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B4E1FCA9-6AC9-4BD4-A95A-24B3780BC2DF}" xr6:coauthVersionLast="47" xr6:coauthVersionMax="47" xr10:uidLastSave="{00000000-0000-0000-0000-000000000000}"/>
  <bookViews>
    <workbookView xWindow="-21480" yWindow="3420" windowWidth="13830" windowHeight="7110" tabRatio="856" xr2:uid="{11A1FF38-F7B9-4622-8DEB-86B8CCF6F371}"/>
  </bookViews>
  <sheets>
    <sheet name="Overview" sheetId="4" r:id="rId1"/>
    <sheet name="Parameter" sheetId="30" r:id="rId2"/>
    <sheet name="Multiplier_Weight" sheetId="76" r:id="rId3"/>
    <sheet name="OP Jackpot" sheetId="53" r:id="rId4"/>
    <sheet name="BG_Symbol" sheetId="13" r:id="rId5"/>
    <sheet name="BG_Symbol (2)" sheetId="68" r:id="rId6"/>
    <sheet name="BG_Symbol (3)" sheetId="74" r:id="rId7"/>
    <sheet name="FG_Symbol" sheetId="69" r:id="rId8"/>
    <sheet name="FG_Symbol (2)" sheetId="70" r:id="rId9"/>
    <sheet name="FG_Symbol (3)" sheetId="71" r:id="rId10"/>
    <sheet name="BF_Symbol" sheetId="72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76" l="1" a="1"/>
  <c r="G4" i="76" s="1"/>
  <c r="F4" i="76" a="1"/>
  <c r="F4" i="76" s="1"/>
  <c r="E4" i="76" a="1"/>
  <c r="E4" i="76" s="1"/>
  <c r="D4" i="76" a="1"/>
  <c r="D4" i="76" s="1"/>
  <c r="C4" i="76" a="1"/>
  <c r="C4" i="76" s="1"/>
  <c r="B3" i="4" l="1"/>
  <c r="G27" i="72" l="1"/>
  <c r="F27" i="72"/>
  <c r="E27" i="72"/>
  <c r="D27" i="72"/>
  <c r="C27" i="72"/>
  <c r="G26" i="72"/>
  <c r="F26" i="72"/>
  <c r="E26" i="72"/>
  <c r="D26" i="72"/>
  <c r="C26" i="72"/>
  <c r="G27" i="71"/>
  <c r="F27" i="71"/>
  <c r="D27" i="71"/>
  <c r="C27" i="71"/>
  <c r="G26" i="71"/>
  <c r="F26" i="71"/>
  <c r="D26" i="71"/>
  <c r="C26" i="71"/>
  <c r="G27" i="70"/>
  <c r="F27" i="70"/>
  <c r="D27" i="70"/>
  <c r="C27" i="70"/>
  <c r="G26" i="70"/>
  <c r="F26" i="70"/>
  <c r="D26" i="70"/>
  <c r="C26" i="70"/>
  <c r="G27" i="69"/>
  <c r="F27" i="69"/>
  <c r="D27" i="69"/>
  <c r="C27" i="69"/>
  <c r="G26" i="69"/>
  <c r="F26" i="69"/>
  <c r="D26" i="69"/>
  <c r="C26" i="69"/>
  <c r="G27" i="74"/>
  <c r="F27" i="74"/>
  <c r="E27" i="74"/>
  <c r="D27" i="74"/>
  <c r="C27" i="74"/>
  <c r="G26" i="74"/>
  <c r="F26" i="74"/>
  <c r="E26" i="74"/>
  <c r="D26" i="74"/>
  <c r="C26" i="74"/>
  <c r="G27" i="68"/>
  <c r="F27" i="68"/>
  <c r="E27" i="68"/>
  <c r="D27" i="68"/>
  <c r="C27" i="68"/>
  <c r="G26" i="68"/>
  <c r="F26" i="68"/>
  <c r="E26" i="68"/>
  <c r="D26" i="68"/>
  <c r="C26" i="68"/>
  <c r="G26" i="13"/>
  <c r="F26" i="13"/>
  <c r="E26" i="13"/>
  <c r="D26" i="13"/>
  <c r="C26" i="13"/>
  <c r="G27" i="13"/>
  <c r="F27" i="13"/>
  <c r="E27" i="13"/>
  <c r="D27" i="13"/>
  <c r="C27" i="13"/>
  <c r="AO74" i="13" l="1"/>
  <c r="AN74" i="13"/>
  <c r="AM74" i="13"/>
  <c r="AL74" i="13"/>
  <c r="AK74" i="13"/>
  <c r="AO50" i="13"/>
  <c r="AN50" i="13"/>
  <c r="AM50" i="13"/>
  <c r="AL50" i="13"/>
  <c r="AK50" i="13"/>
  <c r="AO26" i="13"/>
  <c r="AN26" i="13"/>
  <c r="AM26" i="13"/>
  <c r="AL26" i="13"/>
  <c r="AK26" i="13"/>
  <c r="AO74" i="71" l="1"/>
  <c r="AN74" i="71"/>
  <c r="AM74" i="71"/>
  <c r="AL74" i="71"/>
  <c r="AK74" i="71"/>
  <c r="AH74" i="71"/>
  <c r="AG74" i="71"/>
  <c r="AF74" i="71"/>
  <c r="AE74" i="71"/>
  <c r="AD74" i="71"/>
  <c r="AO50" i="71"/>
  <c r="AN50" i="71"/>
  <c r="AM50" i="71"/>
  <c r="AL50" i="71"/>
  <c r="AK50" i="71"/>
  <c r="AH50" i="71"/>
  <c r="AG50" i="71"/>
  <c r="AF50" i="71"/>
  <c r="AE50" i="71"/>
  <c r="AD50" i="71"/>
  <c r="AO26" i="71"/>
  <c r="AN26" i="71"/>
  <c r="AM26" i="71"/>
  <c r="AL26" i="71"/>
  <c r="AK26" i="71"/>
  <c r="AH26" i="71"/>
  <c r="AG26" i="71"/>
  <c r="AF26" i="71"/>
  <c r="AE26" i="71"/>
  <c r="AD26" i="71"/>
  <c r="J4" i="71" a="1"/>
  <c r="J4" i="71" s="1"/>
  <c r="AO74" i="70"/>
  <c r="AN74" i="70"/>
  <c r="AM74" i="70"/>
  <c r="AL74" i="70"/>
  <c r="AK74" i="70"/>
  <c r="AH74" i="70"/>
  <c r="AG74" i="70"/>
  <c r="AF74" i="70"/>
  <c r="AE74" i="70"/>
  <c r="AD74" i="70"/>
  <c r="AO50" i="70"/>
  <c r="AN50" i="70"/>
  <c r="AM50" i="70"/>
  <c r="AL50" i="70"/>
  <c r="AK50" i="70"/>
  <c r="AH50" i="70"/>
  <c r="AG50" i="70"/>
  <c r="AF50" i="70"/>
  <c r="AE50" i="70"/>
  <c r="AD50" i="70"/>
  <c r="AO26" i="70"/>
  <c r="AN26" i="70"/>
  <c r="AM26" i="70"/>
  <c r="AL26" i="70"/>
  <c r="AK26" i="70"/>
  <c r="AH26" i="70"/>
  <c r="AG26" i="70"/>
  <c r="AF26" i="70"/>
  <c r="AE26" i="70"/>
  <c r="AD26" i="70"/>
  <c r="J4" i="70" a="1"/>
  <c r="J4" i="70" s="1"/>
  <c r="AO74" i="69"/>
  <c r="AN74" i="69"/>
  <c r="AM74" i="69"/>
  <c r="AL74" i="69"/>
  <c r="AK74" i="69"/>
  <c r="AH74" i="69"/>
  <c r="AG74" i="69"/>
  <c r="AF74" i="69"/>
  <c r="AE74" i="69"/>
  <c r="AD74" i="69"/>
  <c r="AO50" i="69"/>
  <c r="AN50" i="69"/>
  <c r="AM50" i="69"/>
  <c r="AL50" i="69"/>
  <c r="AK50" i="69"/>
  <c r="AH50" i="69"/>
  <c r="AG50" i="69"/>
  <c r="AF50" i="69"/>
  <c r="AE50" i="69"/>
  <c r="AD50" i="69"/>
  <c r="AO26" i="69"/>
  <c r="AN26" i="69"/>
  <c r="AM26" i="69"/>
  <c r="AL26" i="69"/>
  <c r="AK26" i="69"/>
  <c r="AH26" i="69"/>
  <c r="AG26" i="69"/>
  <c r="AF26" i="69"/>
  <c r="AE26" i="69"/>
  <c r="AD26" i="69"/>
  <c r="J4" i="69" a="1"/>
  <c r="J4" i="69" s="1"/>
  <c r="AO74" i="74"/>
  <c r="AN74" i="74"/>
  <c r="AM74" i="74"/>
  <c r="AL74" i="74"/>
  <c r="AK74" i="74"/>
  <c r="AH74" i="74"/>
  <c r="AG74" i="74"/>
  <c r="AF74" i="74"/>
  <c r="AE74" i="74"/>
  <c r="AD74" i="74"/>
  <c r="AO50" i="74"/>
  <c r="AN50" i="74"/>
  <c r="AM50" i="74"/>
  <c r="AL50" i="74"/>
  <c r="AK50" i="74"/>
  <c r="AH50" i="74"/>
  <c r="AG50" i="74"/>
  <c r="AF50" i="74"/>
  <c r="AE50" i="74"/>
  <c r="AD50" i="74"/>
  <c r="AO26" i="74"/>
  <c r="AN26" i="74"/>
  <c r="AM26" i="74"/>
  <c r="AL26" i="74"/>
  <c r="AK26" i="74"/>
  <c r="AH26" i="74"/>
  <c r="AG26" i="74"/>
  <c r="AF26" i="74"/>
  <c r="AE26" i="74"/>
  <c r="AD26" i="74"/>
  <c r="J4" i="74" a="1"/>
  <c r="J4" i="74" s="1"/>
  <c r="AO74" i="68"/>
  <c r="AN74" i="68"/>
  <c r="AM74" i="68"/>
  <c r="AL74" i="68"/>
  <c r="AK74" i="68"/>
  <c r="AH74" i="68"/>
  <c r="AG74" i="68"/>
  <c r="AF74" i="68"/>
  <c r="AE74" i="68"/>
  <c r="AD74" i="68"/>
  <c r="AO50" i="68"/>
  <c r="AN50" i="68"/>
  <c r="AM50" i="68"/>
  <c r="AL50" i="68"/>
  <c r="AK50" i="68"/>
  <c r="AH50" i="68"/>
  <c r="AG50" i="68"/>
  <c r="AF50" i="68"/>
  <c r="AE50" i="68"/>
  <c r="AD50" i="68"/>
  <c r="AO26" i="68"/>
  <c r="AN26" i="68"/>
  <c r="AM26" i="68"/>
  <c r="AL26" i="68"/>
  <c r="AK26" i="68"/>
  <c r="AH26" i="68"/>
  <c r="AG26" i="68"/>
  <c r="AF26" i="68"/>
  <c r="AE26" i="68"/>
  <c r="AD26" i="68"/>
  <c r="J4" i="68" a="1"/>
  <c r="J4" i="68" s="1"/>
  <c r="AO74" i="72" l="1"/>
  <c r="AN74" i="72"/>
  <c r="AM74" i="72"/>
  <c r="AL74" i="72"/>
  <c r="AK74" i="72"/>
  <c r="AH74" i="72"/>
  <c r="AG74" i="72"/>
  <c r="AF74" i="72"/>
  <c r="AE74" i="72"/>
  <c r="AD74" i="72"/>
  <c r="AO50" i="72"/>
  <c r="AN50" i="72"/>
  <c r="AM50" i="72"/>
  <c r="AL50" i="72"/>
  <c r="AK50" i="72"/>
  <c r="AH50" i="72"/>
  <c r="AG50" i="72"/>
  <c r="AF50" i="72"/>
  <c r="AE50" i="72"/>
  <c r="AD50" i="72"/>
  <c r="AO26" i="72"/>
  <c r="AN26" i="72"/>
  <c r="AM26" i="72"/>
  <c r="AL26" i="72"/>
  <c r="AK26" i="72"/>
  <c r="AH26" i="72"/>
  <c r="AG26" i="72"/>
  <c r="AF26" i="72"/>
  <c r="AE26" i="72"/>
  <c r="AD26" i="72"/>
  <c r="AH74" i="13"/>
  <c r="AG74" i="13"/>
  <c r="AF74" i="13"/>
  <c r="AE74" i="13"/>
  <c r="AD74" i="13"/>
  <c r="AH50" i="13"/>
  <c r="AG50" i="13"/>
  <c r="AF50" i="13"/>
  <c r="AE50" i="13"/>
  <c r="AD50" i="13"/>
  <c r="AH26" i="13"/>
  <c r="AG26" i="13"/>
  <c r="AF26" i="13"/>
  <c r="AE26" i="13"/>
  <c r="AD26" i="13"/>
  <c r="H4" i="74" l="1" a="1"/>
  <c r="H4" i="74" s="1"/>
  <c r="A4" i="74" a="1"/>
  <c r="D21" i="74" s="1"/>
  <c r="E6" i="74" l="1"/>
  <c r="F9" i="74"/>
  <c r="F13" i="74"/>
  <c r="F17" i="74"/>
  <c r="F21" i="74"/>
  <c r="A4" i="74"/>
  <c r="Q4" i="74" s="1" a="1"/>
  <c r="Q4" i="74" s="1"/>
  <c r="F6" i="74"/>
  <c r="G9" i="74"/>
  <c r="G13" i="74"/>
  <c r="G17" i="74"/>
  <c r="G21" i="74"/>
  <c r="G7" i="74"/>
  <c r="G11" i="74"/>
  <c r="G15" i="74"/>
  <c r="G19" i="74"/>
  <c r="G23" i="74"/>
  <c r="E7" i="74"/>
  <c r="E11" i="74"/>
  <c r="E15" i="74"/>
  <c r="E19" i="74"/>
  <c r="E23" i="74"/>
  <c r="F7" i="74"/>
  <c r="F11" i="74"/>
  <c r="F15" i="74"/>
  <c r="F19" i="74"/>
  <c r="F23" i="74"/>
  <c r="C8" i="74"/>
  <c r="C12" i="74"/>
  <c r="C16" i="74"/>
  <c r="C20" i="74"/>
  <c r="E17" i="74"/>
  <c r="G6" i="74"/>
  <c r="C14" i="74"/>
  <c r="D14" i="74"/>
  <c r="D18" i="74"/>
  <c r="D22" i="74"/>
  <c r="E10" i="74"/>
  <c r="E14" i="74"/>
  <c r="E18" i="74"/>
  <c r="E22" i="74"/>
  <c r="F10" i="74"/>
  <c r="F14" i="74"/>
  <c r="F18" i="74"/>
  <c r="F22" i="74"/>
  <c r="G10" i="74"/>
  <c r="G14" i="74"/>
  <c r="G18" i="74"/>
  <c r="G22" i="74"/>
  <c r="D7" i="74"/>
  <c r="D11" i="74"/>
  <c r="D15" i="74"/>
  <c r="D19" i="74"/>
  <c r="D23" i="74"/>
  <c r="D5" i="74"/>
  <c r="F16" i="74"/>
  <c r="D6" i="74"/>
  <c r="E9" i="74"/>
  <c r="E13" i="74"/>
  <c r="E21" i="74"/>
  <c r="C10" i="74"/>
  <c r="C18" i="74"/>
  <c r="C22" i="74"/>
  <c r="D10" i="74"/>
  <c r="C7" i="74"/>
  <c r="C11" i="74"/>
  <c r="C15" i="74"/>
  <c r="C19" i="74"/>
  <c r="C23" i="74"/>
  <c r="C5" i="74"/>
  <c r="D8" i="74"/>
  <c r="D12" i="74"/>
  <c r="D16" i="74"/>
  <c r="D20" i="74"/>
  <c r="E8" i="74"/>
  <c r="E12" i="74"/>
  <c r="E16" i="74"/>
  <c r="E20" i="74"/>
  <c r="E5" i="74"/>
  <c r="F8" i="74"/>
  <c r="F12" i="74"/>
  <c r="F20" i="74"/>
  <c r="F5" i="74"/>
  <c r="G8" i="74"/>
  <c r="G12" i="74"/>
  <c r="G16" i="74"/>
  <c r="G20" i="74"/>
  <c r="G5" i="74"/>
  <c r="C9" i="74"/>
  <c r="C13" i="74"/>
  <c r="C17" i="74"/>
  <c r="C21" i="74"/>
  <c r="C6" i="74"/>
  <c r="D9" i="74"/>
  <c r="D13" i="74"/>
  <c r="D17" i="74"/>
  <c r="AJ54" i="74" l="1" a="1"/>
  <c r="AJ54" i="74" s="1"/>
  <c r="AC54" i="74" a="1"/>
  <c r="AC54" i="74" s="1"/>
  <c r="AJ6" i="74" a="1"/>
  <c r="AJ6" i="74" s="1"/>
  <c r="AC6" i="74" a="1"/>
  <c r="AC6" i="74" s="1"/>
  <c r="AJ30" i="74" a="1"/>
  <c r="AJ30" i="74" s="1"/>
  <c r="AC30" i="74" a="1"/>
  <c r="AC30" i="74" s="1"/>
  <c r="D4" i="74"/>
  <c r="D24" i="74" s="1"/>
  <c r="C4" i="74"/>
  <c r="G4" i="74"/>
  <c r="G24" i="74" s="1"/>
  <c r="F4" i="74"/>
  <c r="F24" i="74" s="1"/>
  <c r="E4" i="74"/>
  <c r="E24" i="74" s="1"/>
  <c r="C24" i="74" l="1"/>
  <c r="C20" i="72" l="1"/>
  <c r="G19" i="72"/>
  <c r="F19" i="72"/>
  <c r="E19" i="72"/>
  <c r="D19" i="72"/>
  <c r="C19" i="72"/>
  <c r="G18" i="72"/>
  <c r="G14" i="72"/>
  <c r="F14" i="72"/>
  <c r="E14" i="72"/>
  <c r="D14" i="72"/>
  <c r="C14" i="72"/>
  <c r="G12" i="72"/>
  <c r="F12" i="72"/>
  <c r="D9" i="72"/>
  <c r="E8" i="72"/>
  <c r="D8" i="72"/>
  <c r="C8" i="72"/>
  <c r="G7" i="72"/>
  <c r="F7" i="72"/>
  <c r="E7" i="72"/>
  <c r="J4" i="72" a="1"/>
  <c r="J4" i="72" s="1"/>
  <c r="H4" i="72" a="1"/>
  <c r="H4" i="72" s="1"/>
  <c r="A4" i="72" a="1"/>
  <c r="F21" i="72" s="1"/>
  <c r="D20" i="71"/>
  <c r="C20" i="71"/>
  <c r="G19" i="71"/>
  <c r="F19" i="71"/>
  <c r="E19" i="71"/>
  <c r="D15" i="71"/>
  <c r="C15" i="71"/>
  <c r="H4" i="71" a="1"/>
  <c r="H4" i="71" s="1"/>
  <c r="A4" i="71" a="1"/>
  <c r="F21" i="71" s="1"/>
  <c r="G22" i="70"/>
  <c r="F22" i="70"/>
  <c r="E22" i="70"/>
  <c r="D18" i="70"/>
  <c r="C18" i="70"/>
  <c r="G17" i="70"/>
  <c r="E13" i="70"/>
  <c r="D13" i="70"/>
  <c r="H4" i="70" a="1"/>
  <c r="H4" i="70" s="1"/>
  <c r="A4" i="70" a="1"/>
  <c r="F21" i="70" s="1"/>
  <c r="H4" i="69" a="1"/>
  <c r="H4" i="69" s="1"/>
  <c r="A4" i="69" a="1"/>
  <c r="F21" i="69" s="1"/>
  <c r="H4" i="68" a="1"/>
  <c r="H4" i="68" s="1"/>
  <c r="A4" i="68" a="1"/>
  <c r="D22" i="68" s="1"/>
  <c r="E9" i="69" l="1"/>
  <c r="D15" i="69"/>
  <c r="D20" i="69"/>
  <c r="A4" i="69"/>
  <c r="G9" i="69"/>
  <c r="E15" i="69"/>
  <c r="E20" i="69"/>
  <c r="E11" i="68"/>
  <c r="F6" i="69"/>
  <c r="F11" i="69"/>
  <c r="F16" i="69"/>
  <c r="C22" i="69"/>
  <c r="D20" i="72"/>
  <c r="D11" i="68"/>
  <c r="F5" i="69"/>
  <c r="E11" i="69"/>
  <c r="E16" i="69"/>
  <c r="G21" i="69"/>
  <c r="E20" i="71"/>
  <c r="G9" i="72"/>
  <c r="C15" i="72"/>
  <c r="F11" i="68"/>
  <c r="G6" i="69"/>
  <c r="G11" i="69"/>
  <c r="G16" i="69"/>
  <c r="D22" i="69"/>
  <c r="D15" i="72"/>
  <c r="G11" i="68"/>
  <c r="C7" i="69"/>
  <c r="C12" i="69"/>
  <c r="D17" i="69"/>
  <c r="E22" i="69"/>
  <c r="D10" i="72"/>
  <c r="E15" i="72"/>
  <c r="G20" i="72"/>
  <c r="E14" i="68"/>
  <c r="D7" i="69"/>
  <c r="D12" i="69"/>
  <c r="E17" i="69"/>
  <c r="F22" i="69"/>
  <c r="C8" i="71"/>
  <c r="E10" i="72"/>
  <c r="F15" i="72"/>
  <c r="C21" i="72"/>
  <c r="C5" i="69"/>
  <c r="G10" i="69"/>
  <c r="G15" i="69"/>
  <c r="G20" i="69"/>
  <c r="C11" i="68"/>
  <c r="E5" i="69"/>
  <c r="D11" i="69"/>
  <c r="D16" i="69"/>
  <c r="E21" i="69"/>
  <c r="F20" i="72"/>
  <c r="E7" i="69"/>
  <c r="G17" i="69"/>
  <c r="D8" i="71"/>
  <c r="F10" i="72"/>
  <c r="D21" i="72"/>
  <c r="F7" i="69"/>
  <c r="F12" i="69"/>
  <c r="C18" i="69"/>
  <c r="F23" i="69"/>
  <c r="E8" i="71"/>
  <c r="D5" i="72"/>
  <c r="G10" i="72"/>
  <c r="G21" i="72"/>
  <c r="G7" i="69"/>
  <c r="C13" i="69"/>
  <c r="D18" i="69"/>
  <c r="G23" i="69"/>
  <c r="F8" i="71"/>
  <c r="E5" i="72"/>
  <c r="C11" i="72"/>
  <c r="E16" i="72"/>
  <c r="C22" i="72"/>
  <c r="E22" i="68"/>
  <c r="C8" i="69"/>
  <c r="D13" i="69"/>
  <c r="E18" i="69"/>
  <c r="E13" i="69"/>
  <c r="G10" i="68"/>
  <c r="D5" i="69"/>
  <c r="C11" i="69"/>
  <c r="C16" i="69"/>
  <c r="C21" i="69"/>
  <c r="G8" i="71"/>
  <c r="F5" i="72"/>
  <c r="D11" i="72"/>
  <c r="F16" i="72"/>
  <c r="G22" i="72"/>
  <c r="F22" i="68"/>
  <c r="D8" i="69"/>
  <c r="D19" i="69"/>
  <c r="C9" i="71"/>
  <c r="G16" i="72"/>
  <c r="G22" i="68"/>
  <c r="G13" i="69"/>
  <c r="E19" i="69"/>
  <c r="C13" i="71"/>
  <c r="G11" i="72"/>
  <c r="C17" i="72"/>
  <c r="C23" i="68"/>
  <c r="C14" i="69"/>
  <c r="D13" i="71"/>
  <c r="C12" i="72"/>
  <c r="E23" i="72"/>
  <c r="D23" i="68"/>
  <c r="C9" i="69"/>
  <c r="D14" i="69"/>
  <c r="G19" i="69"/>
  <c r="G8" i="70"/>
  <c r="F14" i="71"/>
  <c r="G6" i="72"/>
  <c r="D12" i="72"/>
  <c r="E18" i="72"/>
  <c r="F23" i="72"/>
  <c r="Q4" i="69" a="1"/>
  <c r="Q4" i="69" s="1"/>
  <c r="C10" i="69"/>
  <c r="F15" i="69"/>
  <c r="F20" i="69"/>
  <c r="C10" i="72"/>
  <c r="F14" i="68"/>
  <c r="E12" i="69"/>
  <c r="E23" i="69"/>
  <c r="C5" i="72"/>
  <c r="G15" i="72"/>
  <c r="F19" i="68"/>
  <c r="D16" i="72"/>
  <c r="G19" i="68"/>
  <c r="G5" i="72"/>
  <c r="E11" i="72"/>
  <c r="C23" i="72"/>
  <c r="E8" i="69"/>
  <c r="E8" i="70"/>
  <c r="C6" i="72"/>
  <c r="D23" i="72"/>
  <c r="G8" i="69"/>
  <c r="F19" i="69"/>
  <c r="F8" i="70"/>
  <c r="F6" i="72"/>
  <c r="D17" i="72"/>
  <c r="E23" i="68"/>
  <c r="D9" i="69"/>
  <c r="C15" i="69"/>
  <c r="C20" i="69"/>
  <c r="C13" i="70"/>
  <c r="G14" i="71"/>
  <c r="C7" i="72"/>
  <c r="E12" i="72"/>
  <c r="F18" i="72"/>
  <c r="G23" i="72"/>
  <c r="F15" i="71"/>
  <c r="G20" i="71"/>
  <c r="C15" i="68"/>
  <c r="G23" i="68"/>
  <c r="F5" i="70"/>
  <c r="E10" i="70"/>
  <c r="C15" i="70"/>
  <c r="C20" i="70"/>
  <c r="D5" i="71"/>
  <c r="G10" i="71"/>
  <c r="C16" i="71"/>
  <c r="D21" i="71"/>
  <c r="A4" i="70"/>
  <c r="F4" i="70" s="1"/>
  <c r="D9" i="70"/>
  <c r="C14" i="70"/>
  <c r="F18" i="70"/>
  <c r="D23" i="70"/>
  <c r="C5" i="70"/>
  <c r="G9" i="70"/>
  <c r="C19" i="70"/>
  <c r="D5" i="70"/>
  <c r="C10" i="70"/>
  <c r="F14" i="70"/>
  <c r="D19" i="70"/>
  <c r="E9" i="71"/>
  <c r="G14" i="68"/>
  <c r="F23" i="68"/>
  <c r="E5" i="70"/>
  <c r="D10" i="70"/>
  <c r="G14" i="70"/>
  <c r="G19" i="70"/>
  <c r="C5" i="71"/>
  <c r="F10" i="71"/>
  <c r="G15" i="71"/>
  <c r="C21" i="71"/>
  <c r="D15" i="68"/>
  <c r="F8" i="69"/>
  <c r="G12" i="69"/>
  <c r="C17" i="69"/>
  <c r="D21" i="69"/>
  <c r="G5" i="70"/>
  <c r="F10" i="70"/>
  <c r="D15" i="70"/>
  <c r="D20" i="70"/>
  <c r="E5" i="71"/>
  <c r="C11" i="71"/>
  <c r="D16" i="71"/>
  <c r="F22" i="71"/>
  <c r="D7" i="72"/>
  <c r="F11" i="72"/>
  <c r="C16" i="72"/>
  <c r="E20" i="72"/>
  <c r="E14" i="70"/>
  <c r="D6" i="70"/>
  <c r="C23" i="71"/>
  <c r="F6" i="70"/>
  <c r="D11" i="70"/>
  <c r="D16" i="70"/>
  <c r="G20" i="70"/>
  <c r="C6" i="71"/>
  <c r="F11" i="71"/>
  <c r="G16" i="71"/>
  <c r="D23" i="71"/>
  <c r="C9" i="70"/>
  <c r="G13" i="70"/>
  <c r="E18" i="70"/>
  <c r="C23" i="70"/>
  <c r="E9" i="70"/>
  <c r="D14" i="70"/>
  <c r="G18" i="70"/>
  <c r="G23" i="70"/>
  <c r="E4" i="69"/>
  <c r="AC30" i="69" a="1"/>
  <c r="AC30" i="69" s="1"/>
  <c r="AJ54" i="69" a="1"/>
  <c r="AJ54" i="69" s="1"/>
  <c r="AC54" i="69" a="1"/>
  <c r="AC54" i="69" s="1"/>
  <c r="AC6" i="69" a="1"/>
  <c r="AC6" i="69" s="1"/>
  <c r="AJ6" i="69" a="1"/>
  <c r="AJ6" i="69" s="1"/>
  <c r="AJ30" i="69" a="1"/>
  <c r="AJ30" i="69" s="1"/>
  <c r="E16" i="70"/>
  <c r="D6" i="71"/>
  <c r="G11" i="71"/>
  <c r="E23" i="71"/>
  <c r="E15" i="68"/>
  <c r="F15" i="68"/>
  <c r="D7" i="68"/>
  <c r="E18" i="68"/>
  <c r="F18" i="71"/>
  <c r="D9" i="71"/>
  <c r="E15" i="71"/>
  <c r="F20" i="71"/>
  <c r="C6" i="70"/>
  <c r="G10" i="70"/>
  <c r="G15" i="70"/>
  <c r="E20" i="70"/>
  <c r="F5" i="71"/>
  <c r="D11" i="71"/>
  <c r="E16" i="71"/>
  <c r="G22" i="71"/>
  <c r="E7" i="68"/>
  <c r="F18" i="68"/>
  <c r="C7" i="70"/>
  <c r="C12" i="70"/>
  <c r="F16" i="70"/>
  <c r="C7" i="71"/>
  <c r="C12" i="71"/>
  <c r="D17" i="71"/>
  <c r="F23" i="71"/>
  <c r="D7" i="70"/>
  <c r="D12" i="70"/>
  <c r="G16" i="70"/>
  <c r="E21" i="70"/>
  <c r="D7" i="71"/>
  <c r="D12" i="71"/>
  <c r="G23" i="71"/>
  <c r="F8" i="72"/>
  <c r="C13" i="72"/>
  <c r="G17" i="72"/>
  <c r="D22" i="72"/>
  <c r="D21" i="70"/>
  <c r="F7" i="68"/>
  <c r="G18" i="68"/>
  <c r="G7" i="68"/>
  <c r="G5" i="69"/>
  <c r="D10" i="69"/>
  <c r="F18" i="69"/>
  <c r="G7" i="70"/>
  <c r="E12" i="70"/>
  <c r="C17" i="70"/>
  <c r="E7" i="71"/>
  <c r="E12" i="71"/>
  <c r="E10" i="68"/>
  <c r="D19" i="68"/>
  <c r="C6" i="69"/>
  <c r="E10" i="69"/>
  <c r="F14" i="69"/>
  <c r="G18" i="69"/>
  <c r="C23" i="69"/>
  <c r="C8" i="70"/>
  <c r="F12" i="70"/>
  <c r="D17" i="70"/>
  <c r="C22" i="70"/>
  <c r="F7" i="71"/>
  <c r="F12" i="71"/>
  <c r="C19" i="71"/>
  <c r="A4" i="72"/>
  <c r="D4" i="72" s="1"/>
  <c r="D24" i="72" s="1"/>
  <c r="G8" i="72"/>
  <c r="D13" i="72"/>
  <c r="C18" i="72"/>
  <c r="E22" i="72"/>
  <c r="C11" i="70"/>
  <c r="C16" i="70"/>
  <c r="F20" i="70"/>
  <c r="G5" i="71"/>
  <c r="E11" i="71"/>
  <c r="F16" i="71"/>
  <c r="C7" i="68"/>
  <c r="G15" i="68"/>
  <c r="G6" i="70"/>
  <c r="G11" i="70"/>
  <c r="C21" i="70"/>
  <c r="C17" i="71"/>
  <c r="C19" i="68"/>
  <c r="E14" i="69"/>
  <c r="G22" i="69"/>
  <c r="G21" i="70"/>
  <c r="G18" i="71"/>
  <c r="F10" i="68"/>
  <c r="E19" i="68"/>
  <c r="D6" i="69"/>
  <c r="F10" i="69"/>
  <c r="G14" i="69"/>
  <c r="C19" i="69"/>
  <c r="D23" i="69"/>
  <c r="D8" i="70"/>
  <c r="G12" i="70"/>
  <c r="E17" i="70"/>
  <c r="D22" i="70"/>
  <c r="G7" i="71"/>
  <c r="G12" i="71"/>
  <c r="D19" i="71"/>
  <c r="C9" i="72"/>
  <c r="G13" i="72"/>
  <c r="D18" i="72"/>
  <c r="F22" i="72"/>
  <c r="Q4" i="72" a="1"/>
  <c r="Q4" i="72" s="1"/>
  <c r="D6" i="72"/>
  <c r="E9" i="72"/>
  <c r="E13" i="72"/>
  <c r="E17" i="72"/>
  <c r="E21" i="72"/>
  <c r="E6" i="72"/>
  <c r="F9" i="72"/>
  <c r="F13" i="72"/>
  <c r="F17" i="72"/>
  <c r="E13" i="71"/>
  <c r="E17" i="71"/>
  <c r="E21" i="71"/>
  <c r="A4" i="71"/>
  <c r="F6" i="71"/>
  <c r="G9" i="71"/>
  <c r="G13" i="71"/>
  <c r="G17" i="71"/>
  <c r="G21" i="71"/>
  <c r="G6" i="71"/>
  <c r="C10" i="71"/>
  <c r="C14" i="71"/>
  <c r="C18" i="71"/>
  <c r="C22" i="71"/>
  <c r="D10" i="71"/>
  <c r="D14" i="71"/>
  <c r="D18" i="71"/>
  <c r="D22" i="71"/>
  <c r="E10" i="71"/>
  <c r="E14" i="71"/>
  <c r="E18" i="71"/>
  <c r="E22" i="71"/>
  <c r="E6" i="71"/>
  <c r="F9" i="71"/>
  <c r="F13" i="71"/>
  <c r="F17" i="71"/>
  <c r="D4" i="70"/>
  <c r="G4" i="70"/>
  <c r="E7" i="70"/>
  <c r="E11" i="70"/>
  <c r="E15" i="70"/>
  <c r="E19" i="70"/>
  <c r="E23" i="70"/>
  <c r="F7" i="70"/>
  <c r="F11" i="70"/>
  <c r="F15" i="70"/>
  <c r="F19" i="70"/>
  <c r="F23" i="70"/>
  <c r="E6" i="70"/>
  <c r="F9" i="70"/>
  <c r="F13" i="70"/>
  <c r="F17" i="70"/>
  <c r="F4" i="69"/>
  <c r="G4" i="69"/>
  <c r="C4" i="69"/>
  <c r="D4" i="69"/>
  <c r="E6" i="69"/>
  <c r="F9" i="69"/>
  <c r="F13" i="69"/>
  <c r="F17" i="69"/>
  <c r="E6" i="68"/>
  <c r="F9" i="68"/>
  <c r="F13" i="68"/>
  <c r="F17" i="68"/>
  <c r="F21" i="68"/>
  <c r="A4" i="68"/>
  <c r="F6" i="68"/>
  <c r="G9" i="68"/>
  <c r="G13" i="68"/>
  <c r="G17" i="68"/>
  <c r="G21" i="68"/>
  <c r="F5" i="68"/>
  <c r="G8" i="68"/>
  <c r="G12" i="68"/>
  <c r="G16" i="68"/>
  <c r="G20" i="68"/>
  <c r="G5" i="68"/>
  <c r="C9" i="68"/>
  <c r="C13" i="68"/>
  <c r="C17" i="68"/>
  <c r="C21" i="68"/>
  <c r="C6" i="68"/>
  <c r="D9" i="68"/>
  <c r="D13" i="68"/>
  <c r="D17" i="68"/>
  <c r="D21" i="68"/>
  <c r="D6" i="68"/>
  <c r="E9" i="68"/>
  <c r="E13" i="68"/>
  <c r="E17" i="68"/>
  <c r="E21" i="68"/>
  <c r="G6" i="68"/>
  <c r="C10" i="68"/>
  <c r="C14" i="68"/>
  <c r="C18" i="68"/>
  <c r="C22" i="68"/>
  <c r="C8" i="68"/>
  <c r="C12" i="68"/>
  <c r="C16" i="68"/>
  <c r="C20" i="68"/>
  <c r="C5" i="68"/>
  <c r="D8" i="68"/>
  <c r="D12" i="68"/>
  <c r="D16" i="68"/>
  <c r="D20" i="68"/>
  <c r="D5" i="68"/>
  <c r="E8" i="68"/>
  <c r="E12" i="68"/>
  <c r="E16" i="68"/>
  <c r="E20" i="68"/>
  <c r="E5" i="68"/>
  <c r="F8" i="68"/>
  <c r="F12" i="68"/>
  <c r="F16" i="68"/>
  <c r="F20" i="68"/>
  <c r="D10" i="68"/>
  <c r="D14" i="68"/>
  <c r="D18" i="68"/>
  <c r="J4" i="13" a="1"/>
  <c r="J4" i="13" s="1"/>
  <c r="F4" i="72" l="1"/>
  <c r="E4" i="72"/>
  <c r="E24" i="72" s="1"/>
  <c r="C4" i="72"/>
  <c r="C24" i="72" s="1"/>
  <c r="G24" i="70"/>
  <c r="G24" i="69"/>
  <c r="E4" i="70"/>
  <c r="AJ30" i="70" a="1"/>
  <c r="AJ30" i="70" s="1"/>
  <c r="AJ54" i="70" a="1"/>
  <c r="AJ54" i="70" s="1"/>
  <c r="AJ6" i="70" a="1"/>
  <c r="AJ6" i="70" s="1"/>
  <c r="AC30" i="70" a="1"/>
  <c r="AC30" i="70" s="1"/>
  <c r="AC6" i="70" a="1"/>
  <c r="AC6" i="70" s="1"/>
  <c r="AC54" i="70" a="1"/>
  <c r="AC54" i="70" s="1"/>
  <c r="AJ54" i="68" a="1"/>
  <c r="AJ54" i="68" s="1"/>
  <c r="AJ6" i="68" a="1"/>
  <c r="AJ6" i="68" s="1"/>
  <c r="AC6" i="68" a="1"/>
  <c r="AC6" i="68" s="1"/>
  <c r="AC54" i="68" a="1"/>
  <c r="AC54" i="68" s="1"/>
  <c r="AJ30" i="68" a="1"/>
  <c r="AJ30" i="68" s="1"/>
  <c r="AC30" i="68" a="1"/>
  <c r="AC30" i="68" s="1"/>
  <c r="C4" i="70"/>
  <c r="C24" i="70" s="1"/>
  <c r="Q4" i="70" a="1"/>
  <c r="Q4" i="70" s="1"/>
  <c r="Q4" i="68" a="1"/>
  <c r="Q4" i="68" s="1"/>
  <c r="AJ54" i="71" a="1"/>
  <c r="AJ54" i="71" s="1"/>
  <c r="AC54" i="71" a="1"/>
  <c r="AC54" i="71" s="1"/>
  <c r="AC6" i="71" a="1"/>
  <c r="AC6" i="71" s="1"/>
  <c r="AJ30" i="71" a="1"/>
  <c r="AJ30" i="71" s="1"/>
  <c r="AC30" i="71" a="1"/>
  <c r="AC30" i="71" s="1"/>
  <c r="AJ6" i="71" a="1"/>
  <c r="AJ6" i="71" s="1"/>
  <c r="D24" i="70"/>
  <c r="G4" i="72"/>
  <c r="G24" i="72" s="1"/>
  <c r="E24" i="69"/>
  <c r="E27" i="69" s="1"/>
  <c r="D24" i="69"/>
  <c r="AJ30" i="72" a="1"/>
  <c r="AJ30" i="72" s="1"/>
  <c r="AC30" i="72" a="1"/>
  <c r="AC30" i="72" s="1"/>
  <c r="AC54" i="72" a="1"/>
  <c r="AC54" i="72" s="1"/>
  <c r="AJ54" i="72" a="1"/>
  <c r="AJ54" i="72" s="1"/>
  <c r="AC6" i="72" a="1"/>
  <c r="AC6" i="72" s="1"/>
  <c r="AJ6" i="72" a="1"/>
  <c r="AJ6" i="72" s="1"/>
  <c r="C24" i="69"/>
  <c r="Q4" i="71" a="1"/>
  <c r="Q4" i="71" s="1"/>
  <c r="F24" i="72"/>
  <c r="G4" i="71"/>
  <c r="G24" i="71" s="1"/>
  <c r="E4" i="71"/>
  <c r="D4" i="71"/>
  <c r="D24" i="71" s="1"/>
  <c r="C4" i="71"/>
  <c r="C24" i="71" s="1"/>
  <c r="F4" i="71"/>
  <c r="F24" i="71" s="1"/>
  <c r="F24" i="70"/>
  <c r="F24" i="69"/>
  <c r="E4" i="68"/>
  <c r="E24" i="68" s="1"/>
  <c r="F4" i="68"/>
  <c r="F24" i="68" s="1"/>
  <c r="G4" i="68"/>
  <c r="G24" i="68" s="1"/>
  <c r="D4" i="68"/>
  <c r="D24" i="68" s="1"/>
  <c r="C4" i="68"/>
  <c r="E24" i="71" l="1"/>
  <c r="E27" i="71" s="1"/>
  <c r="E24" i="70"/>
  <c r="E27" i="70" s="1"/>
  <c r="E26" i="69"/>
  <c r="C24" i="68"/>
  <c r="E26" i="71" l="1"/>
  <c r="E26" i="70"/>
  <c r="H4" i="13" l="1" a="1"/>
  <c r="H4" i="13" s="1"/>
  <c r="A4" i="13" a="1"/>
  <c r="C22" i="13" l="1"/>
  <c r="D22" i="13"/>
  <c r="G22" i="13"/>
  <c r="C23" i="13"/>
  <c r="D23" i="13"/>
  <c r="E23" i="13"/>
  <c r="F23" i="13"/>
  <c r="G23" i="13"/>
  <c r="E22" i="13"/>
  <c r="F22" i="13"/>
  <c r="A4" i="13"/>
  <c r="E13" i="13"/>
  <c r="E20" i="13"/>
  <c r="C21" i="13"/>
  <c r="D14" i="13"/>
  <c r="F6" i="13"/>
  <c r="F13" i="13"/>
  <c r="F20" i="13"/>
  <c r="G6" i="13"/>
  <c r="G13" i="13"/>
  <c r="G20" i="13"/>
  <c r="C7" i="13"/>
  <c r="C14" i="13"/>
  <c r="D7" i="13"/>
  <c r="D21" i="13"/>
  <c r="E7" i="13"/>
  <c r="E14" i="13"/>
  <c r="F7" i="13"/>
  <c r="F14" i="13"/>
  <c r="G7" i="13"/>
  <c r="F16" i="13"/>
  <c r="G16" i="13"/>
  <c r="C10" i="13"/>
  <c r="C17" i="13"/>
  <c r="D10" i="13"/>
  <c r="D17" i="13"/>
  <c r="E10" i="13"/>
  <c r="E17" i="13"/>
  <c r="F10" i="13"/>
  <c r="F17" i="13"/>
  <c r="G10" i="13"/>
  <c r="G17" i="13"/>
  <c r="C11" i="13"/>
  <c r="D11" i="13"/>
  <c r="C20" i="13"/>
  <c r="D13" i="13"/>
  <c r="D20" i="13"/>
  <c r="C8" i="13"/>
  <c r="E11" i="13"/>
  <c r="G14" i="13"/>
  <c r="C18" i="13"/>
  <c r="E21" i="13"/>
  <c r="D8" i="13"/>
  <c r="F11" i="13"/>
  <c r="D18" i="13"/>
  <c r="F21" i="13"/>
  <c r="C5" i="13"/>
  <c r="G11" i="13"/>
  <c r="C15" i="13"/>
  <c r="E18" i="13"/>
  <c r="F8" i="13"/>
  <c r="D15" i="13"/>
  <c r="F18" i="13"/>
  <c r="E5" i="13"/>
  <c r="C12" i="13"/>
  <c r="E15" i="13"/>
  <c r="G18" i="13"/>
  <c r="G5" i="13"/>
  <c r="E12" i="13"/>
  <c r="D19" i="13"/>
  <c r="D6" i="13"/>
  <c r="F9" i="13"/>
  <c r="D16" i="13"/>
  <c r="F19" i="13"/>
  <c r="E8" i="13"/>
  <c r="G21" i="13"/>
  <c r="D5" i="13"/>
  <c r="G8" i="13"/>
  <c r="F5" i="13"/>
  <c r="D12" i="13"/>
  <c r="F15" i="13"/>
  <c r="C9" i="13"/>
  <c r="G15" i="13"/>
  <c r="C19" i="13"/>
  <c r="D9" i="13"/>
  <c r="F12" i="13"/>
  <c r="C6" i="13"/>
  <c r="E9" i="13"/>
  <c r="G12" i="13"/>
  <c r="C16" i="13"/>
  <c r="E19" i="13"/>
  <c r="E6" i="13"/>
  <c r="G9" i="13"/>
  <c r="C13" i="13"/>
  <c r="E16" i="13"/>
  <c r="G19" i="13"/>
  <c r="AJ54" i="13" l="1" a="1"/>
  <c r="AJ54" i="13" s="1"/>
  <c r="AJ6" i="13" a="1"/>
  <c r="AJ6" i="13" s="1"/>
  <c r="AJ30" i="13" a="1"/>
  <c r="AJ30" i="13" s="1"/>
  <c r="AC30" i="13" a="1"/>
  <c r="AC30" i="13" s="1"/>
  <c r="AC54" i="13" a="1"/>
  <c r="AC54" i="13" s="1"/>
  <c r="AC6" i="13" a="1"/>
  <c r="AC6" i="13" s="1"/>
  <c r="E4" i="13"/>
  <c r="E24" i="13" s="1"/>
  <c r="Q4" i="13" a="1"/>
  <c r="Q4" i="13" s="1"/>
  <c r="D4" i="13"/>
  <c r="D24" i="13" s="1"/>
  <c r="F4" i="13"/>
  <c r="F24" i="13" s="1"/>
  <c r="C4" i="13"/>
  <c r="C24" i="13" s="1"/>
  <c r="G4" i="13"/>
  <c r="G24" i="13" s="1"/>
  <c r="B36" i="4" l="1"/>
  <c r="E24" i="53" l="1"/>
  <c r="C35" i="53" s="1"/>
  <c r="E20" i="53"/>
  <c r="C34" i="53" s="1"/>
  <c r="E16" i="53"/>
  <c r="C33" i="53" s="1"/>
  <c r="E12" i="53"/>
  <c r="C32" i="53" s="1"/>
  <c r="E8" i="53"/>
  <c r="C31" i="53" s="1"/>
  <c r="E4" i="53"/>
  <c r="C30" i="53" s="1"/>
  <c r="A17" i="4" l="1"/>
  <c r="A11" i="4" a="1"/>
  <c r="A11" i="4" s="1"/>
  <c r="C17" i="4" l="1"/>
  <c r="A21" i="4" l="1"/>
  <c r="C21" i="4"/>
  <c r="C11" i="4" l="1"/>
  <c r="C12" i="4"/>
  <c r="A1" i="30" l="1" a="1"/>
  <c r="A1" i="30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<sst xmlns="http://schemas.openxmlformats.org/spreadsheetml/2006/main" count="7181" uniqueCount="181">
  <si>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</si>
  <si>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</si>
  <si>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</si>
  <si>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</si>
  <si>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</si>
  <si>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Symbol</t>
    <phoneticPr fontId="22" type="noConversion"/>
  </si>
  <si>
    <t>R1</t>
    <phoneticPr fontId="22" type="noConversion"/>
  </si>
  <si>
    <t>R2</t>
    <phoneticPr fontId="22" type="noConversion"/>
  </si>
  <si>
    <t>R3</t>
    <phoneticPr fontId="22" type="noConversion"/>
  </si>
  <si>
    <t>R4</t>
    <phoneticPr fontId="22" type="noConversion"/>
  </si>
  <si>
    <t>R5</t>
    <phoneticPr fontId="22" type="noConversion"/>
  </si>
  <si>
    <t>ID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</si>
  <si>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</si>
  <si>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</si>
  <si>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</si>
  <si>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</si>
  <si>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</si>
  <si>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</si>
  <si>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</si>
  <si>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</si>
  <si>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</si>
  <si>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</si>
  <si>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</si>
  <si>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</si>
  <si>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</si>
  <si>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</si>
  <si>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</si>
  <si>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</si>
  <si>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</si>
  <si>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</si>
  <si>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</si>
  <si>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</si>
  <si>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</si>
  <si>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</si>
  <si>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</si>
  <si>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</si>
  <si>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</si>
  <si>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</si>
  <si>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</si>
  <si>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</si>
  <si>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</si>
  <si>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</si>
  <si>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</si>
  <si>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</si>
  <si>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</si>
  <si>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</si>
  <si>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</si>
  <si>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</si>
  <si>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</si>
  <si>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</si>
  <si>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</si>
  <si>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</si>
  <si>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</si>
  <si>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</si>
  <si>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</si>
  <si>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</si>
  <si>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</si>
  <si>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</si>
  <si>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Threshold</t>
  </si>
  <si>
    <t>FGC1Screen</t>
    <phoneticPr fontId="20" type="noConversion"/>
  </si>
  <si>
    <t>BGC1Screen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</si>
  <si>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</si>
  <si>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</si>
  <si>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</si>
  <si>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</si>
  <si>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</si>
  <si>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</si>
  <si>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</si>
  <si>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</si>
  <si>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</si>
  <si>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</si>
  <si>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</si>
  <si>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Gold M1</t>
    <phoneticPr fontId="20" type="noConversion"/>
  </si>
  <si>
    <t>Gold M2</t>
    <phoneticPr fontId="20" type="noConversion"/>
  </si>
  <si>
    <t>Gold M3</t>
    <phoneticPr fontId="20" type="noConversion"/>
  </si>
  <si>
    <t>Gold M4</t>
    <phoneticPr fontId="20" type="noConversion"/>
  </si>
  <si>
    <t>Gold A</t>
    <phoneticPr fontId="20" type="noConversion"/>
  </si>
  <si>
    <t>Gold K</t>
    <phoneticPr fontId="20" type="noConversion"/>
  </si>
  <si>
    <t>Gold Q</t>
    <phoneticPr fontId="20" type="noConversion"/>
  </si>
  <si>
    <t>Gold J</t>
    <phoneticPr fontId="20" type="noConversion"/>
  </si>
  <si>
    <t>Eliminate Wheel Weight B</t>
  </si>
  <si>
    <t>GK</t>
  </si>
  <si>
    <t>NB-Newbie-A</t>
  </si>
  <si>
    <t>NB-Newbie-A</t>
    <phoneticPr fontId="20" type="noConversion"/>
  </si>
  <si>
    <t>NB-Newbie-B</t>
  </si>
  <si>
    <t>NB-Newbie-B</t>
    <phoneticPr fontId="20" type="noConversion"/>
  </si>
  <si>
    <t>NB-Oldhand-B</t>
  </si>
  <si>
    <t>NB-Oldhand-B</t>
    <phoneticPr fontId="20" type="noConversion"/>
  </si>
  <si>
    <t>NB-Oldhand-A</t>
  </si>
  <si>
    <t>NB-Oldhand-A</t>
    <phoneticPr fontId="20" type="noConversion"/>
  </si>
  <si>
    <t>BF-A</t>
  </si>
  <si>
    <t>BF-A</t>
    <phoneticPr fontId="20" type="noConversion"/>
  </si>
  <si>
    <t>BF-B</t>
  </si>
  <si>
    <t>BF-B</t>
    <phoneticPr fontId="20" type="noConversion"/>
  </si>
  <si>
    <t>H026192</t>
    <phoneticPr fontId="22" type="noConversion"/>
  </si>
  <si>
    <t>M5</t>
  </si>
  <si>
    <t>G5</t>
  </si>
  <si>
    <t>Gold M5</t>
  </si>
  <si>
    <t xml:space="preserve">3+ Combo </t>
    <phoneticPr fontId="20" type="noConversion"/>
  </si>
  <si>
    <t xml:space="preserve">1 Combo </t>
    <phoneticPr fontId="20" type="noConversion"/>
  </si>
  <si>
    <t xml:space="preserve">2 Combo </t>
    <phoneticPr fontId="20" type="noConversion"/>
  </si>
  <si>
    <t>Symbol</t>
    <phoneticPr fontId="20" type="noConversion"/>
  </si>
  <si>
    <t>Symbol ID</t>
    <phoneticPr fontId="20" type="noConversion"/>
  </si>
  <si>
    <t>Symbol Weight</t>
    <phoneticPr fontId="22" type="noConversion"/>
  </si>
  <si>
    <t>Eliminate Wheel Weight A</t>
    <phoneticPr fontId="20" type="noConversion"/>
  </si>
  <si>
    <t>The maximum of free spins is 50.</t>
    <phoneticPr fontId="20" type="noConversion"/>
  </si>
  <si>
    <t>Weight_BG</t>
    <phoneticPr fontId="28" type="noConversion"/>
  </si>
  <si>
    <t>Weight_FG</t>
    <phoneticPr fontId="28" type="noConversion"/>
  </si>
  <si>
    <t>Weight_BF</t>
    <phoneticPr fontId="28" type="noConversion"/>
  </si>
  <si>
    <t>Golden Symbol</t>
    <phoneticPr fontId="20" type="noConversion"/>
  </si>
  <si>
    <t>Normal Symbol</t>
    <phoneticPr fontId="20" type="noConversion"/>
  </si>
  <si>
    <t>G2</t>
    <phoneticPr fontId="20" type="noConversion"/>
  </si>
  <si>
    <t>G1</t>
    <phoneticPr fontId="20" type="noConversion"/>
  </si>
  <si>
    <t>Newbie</t>
    <phoneticPr fontId="20" type="noConversion"/>
  </si>
  <si>
    <t>Oldhand</t>
    <phoneticPr fontId="20" type="noConversion"/>
  </si>
  <si>
    <t>Range</t>
  </si>
  <si>
    <t>Free Game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</si>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</sst>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0_);[Red]\(0.00\)"/>
    <numFmt numFmtId="178" formatCode="_-* #,##0_-;\-* #,##0_-;_-* &quot;-&quot;??_-;_-@_-"/>
    <numFmt numFmtId="179" formatCode="0_);[Red]\(0\)"/>
  </numFmts>
  <fonts count="29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9"/>
      <name val="Courier New"/>
      <family val="2"/>
      <charset val="136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9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0" fontId="25" fillId="0" borderId="11" xfId="0" applyFont="1" applyBorder="1"/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179" fontId="19" fillId="0" borderId="0" xfId="0" applyNumberFormat="1" applyFont="1" applyAlignment="1">
      <alignment horizontal="center" vertical="center"/>
    </xf>
    <xf numFmtId="0" fontId="19" fillId="0" borderId="11" xfId="0" applyFont="1" applyBorder="1"/>
    <xf numFmtId="0" fontId="19" fillId="0" borderId="11" xfId="0" applyFont="1" applyFill="1" applyBorder="1" applyAlignment="1">
      <alignment horizontal="center" vertical="center" wrapText="1"/>
    </xf>
    <xf numFmtId="10" fontId="19" fillId="0" borderId="11" xfId="1" applyNumberFormat="1" applyFont="1" applyFill="1" applyBorder="1" applyAlignment="1">
      <alignment horizontal="center" vertical="center" wrapText="1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79" fontId="25" fillId="35" borderId="11" xfId="0" applyNumberFormat="1" applyFont="1" applyFill="1" applyBorder="1"/>
    <xf numFmtId="0" fontId="19" fillId="37" borderId="1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178" fontId="25" fillId="35" borderId="11" xfId="61099" applyNumberFormat="1" applyFont="1" applyFill="1" applyBorder="1" applyAlignment="1"/>
    <xf numFmtId="0" fontId="19" fillId="0" borderId="14" xfId="0" applyFont="1" applyBorder="1"/>
    <xf numFmtId="0" fontId="25" fillId="33" borderId="14" xfId="0" applyFont="1" applyFill="1" applyBorder="1"/>
    <xf numFmtId="0" fontId="25" fillId="0" borderId="14" xfId="0" applyFont="1" applyBorder="1"/>
    <xf numFmtId="0" fontId="19" fillId="0" borderId="14" xfId="0" applyFont="1" applyFill="1" applyBorder="1" applyAlignment="1">
      <alignment horizontal="center" vertical="center"/>
    </xf>
    <xf numFmtId="0" fontId="19" fillId="37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4" xfId="0" applyFont="1" applyFill="1" applyBorder="1"/>
    <xf numFmtId="0" fontId="19" fillId="0" borderId="14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38" borderId="11" xfId="0" applyFont="1" applyFill="1" applyBorder="1" applyAlignment="1">
      <alignment horizontal="center" vertical="center"/>
    </xf>
    <xf numFmtId="0" fontId="19" fillId="38" borderId="10" xfId="0" quotePrefix="1" applyFont="1" applyFill="1" applyBorder="1" applyAlignment="1">
      <alignment horizontal="center" vertical="center"/>
    </xf>
    <xf numFmtId="0" fontId="19" fillId="38" borderId="11" xfId="0" quotePrefix="1" applyFont="1" applyFill="1" applyBorder="1" applyAlignment="1">
      <alignment horizontal="center" vertical="center"/>
    </xf>
    <xf numFmtId="0" fontId="19" fillId="38" borderId="14" xfId="0" applyFont="1" applyFill="1" applyBorder="1" applyAlignment="1">
      <alignment horizontal="center" vertical="center"/>
    </xf>
    <xf numFmtId="0" fontId="19" fillId="33" borderId="10" xfId="0" applyFont="1" applyFill="1" applyBorder="1"/>
    <xf numFmtId="0" fontId="19" fillId="33" borderId="14" xfId="0" applyFont="1" applyFill="1" applyBorder="1"/>
    <xf numFmtId="0" fontId="19" fillId="37" borderId="14" xfId="0" applyFont="1" applyFill="1" applyBorder="1" applyAlignment="1">
      <alignment horizontal="center" vertical="center"/>
    </xf>
    <xf numFmtId="0" fontId="27" fillId="37" borderId="14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0" fontId="19" fillId="0" borderId="10" xfId="0" applyFont="1" applyBorder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3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3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3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/>
    </xf>
    <xf numFmtId="0" fontId="25" fillId="36" borderId="14" xfId="0" applyFont="1" applyFill="1" applyBorder="1" applyAlignment="1">
      <alignment horizontal="center" vertic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50"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SVN/Slot/IGaming/H026/H026192_0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Description"/>
      <sheetName val="Parameter"/>
      <sheetName val="Multiplier_Weight"/>
      <sheetName val="工作表2"/>
      <sheetName val="Multiplier_Weight_Newbie"/>
      <sheetName val="Multiplier_Weight_Oldhand"/>
      <sheetName val="工作表1"/>
      <sheetName val="OP Jackpot"/>
      <sheetName val="BG_Symbol"/>
      <sheetName val="BG_Symbol (2)"/>
      <sheetName val="BG_Symbol (3)"/>
      <sheetName val="FG_Symbol"/>
      <sheetName val="FG_Symbol (2)"/>
      <sheetName val="FG_Symbol (3)"/>
      <sheetName val="BF_Symbol"/>
    </sheetNames>
    <sheetDataSet>
      <sheetData sheetId="0">
        <row r="3">
          <cell r="B3" t="str">
            <v>0.1.0.1</v>
          </cell>
        </row>
      </sheetData>
      <sheetData sheetId="1"/>
      <sheetData sheetId="2">
        <row r="3">
          <cell r="B3" t="str">
            <v>Line</v>
          </cell>
          <cell r="I3" t="str">
            <v>Table Selection Weight - Base Game (Weight/Total)</v>
          </cell>
          <cell r="N3" t="str">
            <v>Multiple Selection Weight - Special Pool (Weight/Total)</v>
          </cell>
          <cell r="AC3" t="str">
            <v>Used Special Pool Weight (Weight/10000)</v>
          </cell>
        </row>
        <row r="4">
          <cell r="B4" t="str">
            <v>ID</v>
          </cell>
          <cell r="C4" t="str">
            <v>R1</v>
          </cell>
          <cell r="D4" t="str">
            <v>R2</v>
          </cell>
          <cell r="E4" t="str">
            <v>R3</v>
          </cell>
          <cell r="F4" t="str">
            <v>R4</v>
          </cell>
          <cell r="G4" t="str">
            <v>R5</v>
          </cell>
          <cell r="I4" t="str">
            <v>Worksheet Name</v>
          </cell>
          <cell r="J4" t="str">
            <v>Weight</v>
          </cell>
          <cell r="K4" t="str">
            <v>RTP</v>
          </cell>
          <cell r="N4" t="str">
            <v>Worksheet Name \ Multiple</v>
          </cell>
          <cell r="O4">
            <v>0</v>
          </cell>
          <cell r="P4">
            <v>2</v>
          </cell>
          <cell r="Q4">
            <v>3</v>
          </cell>
          <cell r="R4">
            <v>5</v>
          </cell>
          <cell r="S4">
            <v>8</v>
          </cell>
          <cell r="T4">
            <v>10</v>
          </cell>
          <cell r="U4">
            <v>15</v>
          </cell>
          <cell r="V4">
            <v>20</v>
          </cell>
          <cell r="W4">
            <v>25</v>
          </cell>
          <cell r="X4">
            <v>35</v>
          </cell>
          <cell r="Y4">
            <v>50</v>
          </cell>
          <cell r="Z4">
            <v>80</v>
          </cell>
          <cell r="AA4">
            <v>100</v>
          </cell>
          <cell r="AC4" t="str">
            <v>Worksheet Name \ Multiple</v>
          </cell>
          <cell r="AD4">
            <v>1</v>
          </cell>
          <cell r="AE4">
            <v>2</v>
          </cell>
          <cell r="AF4">
            <v>3</v>
          </cell>
          <cell r="AG4">
            <v>4</v>
          </cell>
          <cell r="AH4">
            <v>5</v>
          </cell>
          <cell r="AI4">
            <v>6</v>
          </cell>
          <cell r="AJ4">
            <v>7</v>
          </cell>
          <cell r="AK4">
            <v>8</v>
          </cell>
          <cell r="AL4">
            <v>9</v>
          </cell>
        </row>
        <row r="5">
          <cell r="B5">
            <v>0</v>
          </cell>
          <cell r="C5">
            <v>1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I5" t="str">
            <v>BG_Symbol</v>
          </cell>
          <cell r="J5">
            <v>6500</v>
          </cell>
          <cell r="L5">
            <v>0.65</v>
          </cell>
          <cell r="N5" t="str">
            <v>BG_Symbol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4140</v>
          </cell>
          <cell r="U5">
            <v>3000</v>
          </cell>
          <cell r="V5">
            <v>2000</v>
          </cell>
          <cell r="W5">
            <v>500</v>
          </cell>
          <cell r="X5">
            <v>60</v>
          </cell>
          <cell r="Y5">
            <v>120</v>
          </cell>
          <cell r="Z5">
            <v>60</v>
          </cell>
          <cell r="AA5">
            <v>120</v>
          </cell>
          <cell r="AB5">
            <v>16.380000000000003</v>
          </cell>
          <cell r="AC5" t="str">
            <v>BG_Symbol</v>
          </cell>
          <cell r="AD5">
            <v>300</v>
          </cell>
          <cell r="AE5">
            <v>600</v>
          </cell>
          <cell r="AF5">
            <v>1080</v>
          </cell>
          <cell r="AG5">
            <v>1440</v>
          </cell>
          <cell r="AH5">
            <v>2250</v>
          </cell>
          <cell r="AI5">
            <v>2700</v>
          </cell>
          <cell r="AJ5">
            <v>3150</v>
          </cell>
          <cell r="AK5">
            <v>3600</v>
          </cell>
          <cell r="AL5">
            <v>4050</v>
          </cell>
        </row>
        <row r="6">
          <cell r="B6">
            <v>1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I6" t="str">
            <v>BG_Symbol (2)</v>
          </cell>
          <cell r="J6">
            <v>1500</v>
          </cell>
          <cell r="L6">
            <v>0.15</v>
          </cell>
          <cell r="M6">
            <v>8000</v>
          </cell>
          <cell r="N6" t="str">
            <v>BG_Symbol (2)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4970</v>
          </cell>
          <cell r="U6">
            <v>3000</v>
          </cell>
          <cell r="V6">
            <v>1350</v>
          </cell>
          <cell r="W6">
            <v>500</v>
          </cell>
          <cell r="X6">
            <v>30</v>
          </cell>
          <cell r="Y6">
            <v>60</v>
          </cell>
          <cell r="Z6">
            <v>30</v>
          </cell>
          <cell r="AA6">
            <v>60</v>
          </cell>
          <cell r="AB6">
            <v>14.664999999999999</v>
          </cell>
          <cell r="AC6" t="str">
            <v>BG_Symbol (2)</v>
          </cell>
          <cell r="AD6">
            <v>0</v>
          </cell>
          <cell r="AE6">
            <v>0</v>
          </cell>
          <cell r="AF6">
            <v>1050</v>
          </cell>
          <cell r="AG6">
            <v>1400</v>
          </cell>
          <cell r="AH6">
            <v>1750</v>
          </cell>
          <cell r="AI6">
            <v>2100</v>
          </cell>
          <cell r="AJ6">
            <v>3675</v>
          </cell>
          <cell r="AK6">
            <v>4200</v>
          </cell>
          <cell r="AL6">
            <v>4725</v>
          </cell>
        </row>
        <row r="7">
          <cell r="B7">
            <v>2</v>
          </cell>
          <cell r="C7">
            <v>2</v>
          </cell>
          <cell r="D7">
            <v>2</v>
          </cell>
          <cell r="E7">
            <v>2</v>
          </cell>
          <cell r="F7">
            <v>2</v>
          </cell>
          <cell r="G7">
            <v>2</v>
          </cell>
          <cell r="I7" t="str">
            <v>BG_Symbol (3)</v>
          </cell>
          <cell r="J7">
            <v>2000</v>
          </cell>
          <cell r="L7">
            <v>0.2</v>
          </cell>
          <cell r="N7" t="str">
            <v>BG_Symbol (3)</v>
          </cell>
          <cell r="O7">
            <v>10000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 t="str">
            <v>BG_Symbol (3)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</row>
        <row r="8">
          <cell r="B8">
            <v>3</v>
          </cell>
          <cell r="C8">
            <v>0</v>
          </cell>
          <cell r="D8">
            <v>1</v>
          </cell>
          <cell r="E8">
            <v>2</v>
          </cell>
          <cell r="F8">
            <v>1</v>
          </cell>
          <cell r="G8">
            <v>0</v>
          </cell>
          <cell r="J8">
            <v>10000</v>
          </cell>
          <cell r="K8">
            <v>0</v>
          </cell>
          <cell r="N8" t="str">
            <v>FG_Symbol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4370</v>
          </cell>
          <cell r="U8">
            <v>2700</v>
          </cell>
          <cell r="V8">
            <v>1400</v>
          </cell>
          <cell r="W8">
            <v>270</v>
          </cell>
          <cell r="X8">
            <v>270</v>
          </cell>
          <cell r="Y8">
            <v>360</v>
          </cell>
          <cell r="Z8">
            <v>270</v>
          </cell>
          <cell r="AA8">
            <v>360</v>
          </cell>
          <cell r="AB8">
            <v>20.400000000000006</v>
          </cell>
          <cell r="AC8" t="str">
            <v>FG_Symbol</v>
          </cell>
          <cell r="AD8">
            <v>0</v>
          </cell>
          <cell r="AE8">
            <v>0</v>
          </cell>
          <cell r="AF8">
            <v>525</v>
          </cell>
          <cell r="AG8">
            <v>700</v>
          </cell>
          <cell r="AH8">
            <v>1750</v>
          </cell>
          <cell r="AI8">
            <v>2100</v>
          </cell>
          <cell r="AJ8">
            <v>3675</v>
          </cell>
          <cell r="AK8">
            <v>4200</v>
          </cell>
          <cell r="AL8">
            <v>4725</v>
          </cell>
        </row>
        <row r="9">
          <cell r="B9">
            <v>4</v>
          </cell>
          <cell r="C9">
            <v>2</v>
          </cell>
          <cell r="D9">
            <v>1</v>
          </cell>
          <cell r="E9">
            <v>0</v>
          </cell>
          <cell r="F9">
            <v>1</v>
          </cell>
          <cell r="G9">
            <v>2</v>
          </cell>
          <cell r="N9" t="str">
            <v>FG_Symbol (2)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4370</v>
          </cell>
          <cell r="U9">
            <v>2700</v>
          </cell>
          <cell r="V9">
            <v>1400</v>
          </cell>
          <cell r="W9">
            <v>270</v>
          </cell>
          <cell r="X9">
            <v>270</v>
          </cell>
          <cell r="Y9">
            <v>360</v>
          </cell>
          <cell r="Z9">
            <v>270</v>
          </cell>
          <cell r="AA9">
            <v>360</v>
          </cell>
          <cell r="AB9">
            <v>20.400000000000006</v>
          </cell>
          <cell r="AC9" t="str">
            <v>FG_Symbol (2)</v>
          </cell>
          <cell r="AD9">
            <v>0</v>
          </cell>
          <cell r="AE9">
            <v>0</v>
          </cell>
          <cell r="AF9">
            <v>525</v>
          </cell>
          <cell r="AG9">
            <v>700</v>
          </cell>
          <cell r="AH9">
            <v>1750</v>
          </cell>
          <cell r="AI9">
            <v>2100</v>
          </cell>
          <cell r="AJ9">
            <v>3675</v>
          </cell>
          <cell r="AK9">
            <v>4200</v>
          </cell>
          <cell r="AL9">
            <v>4725</v>
          </cell>
        </row>
        <row r="10">
          <cell r="B10">
            <v>5</v>
          </cell>
          <cell r="C10">
            <v>0</v>
          </cell>
          <cell r="D10">
            <v>0</v>
          </cell>
          <cell r="E10">
            <v>1</v>
          </cell>
          <cell r="F10">
            <v>0</v>
          </cell>
          <cell r="G10">
            <v>0</v>
          </cell>
          <cell r="I10" t="str">
            <v>Table Selection Weight - Free Game (Weight/Total)</v>
          </cell>
          <cell r="N10" t="str">
            <v>FG_Symbol (3)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4370</v>
          </cell>
          <cell r="U10">
            <v>2700</v>
          </cell>
          <cell r="V10">
            <v>1400</v>
          </cell>
          <cell r="W10">
            <v>270</v>
          </cell>
          <cell r="X10">
            <v>270</v>
          </cell>
          <cell r="Y10">
            <v>360</v>
          </cell>
          <cell r="Z10">
            <v>270</v>
          </cell>
          <cell r="AA10">
            <v>360</v>
          </cell>
          <cell r="AB10">
            <v>20.400000000000006</v>
          </cell>
          <cell r="AC10" t="str">
            <v>FG_Symbol (3)</v>
          </cell>
          <cell r="AD10">
            <v>0</v>
          </cell>
          <cell r="AE10">
            <v>0</v>
          </cell>
          <cell r="AF10">
            <v>525</v>
          </cell>
          <cell r="AG10">
            <v>700</v>
          </cell>
          <cell r="AH10">
            <v>1750</v>
          </cell>
          <cell r="AI10">
            <v>2100</v>
          </cell>
          <cell r="AJ10">
            <v>3675</v>
          </cell>
          <cell r="AK10">
            <v>4200</v>
          </cell>
          <cell r="AL10">
            <v>4725</v>
          </cell>
        </row>
        <row r="11">
          <cell r="B11">
            <v>6</v>
          </cell>
          <cell r="C11">
            <v>2</v>
          </cell>
          <cell r="D11">
            <v>2</v>
          </cell>
          <cell r="E11">
            <v>1</v>
          </cell>
          <cell r="F11">
            <v>2</v>
          </cell>
          <cell r="G11">
            <v>2</v>
          </cell>
          <cell r="I11" t="str">
            <v>Worksheet Name</v>
          </cell>
          <cell r="J11" t="str">
            <v>Weight</v>
          </cell>
          <cell r="K11" t="str">
            <v>RTP</v>
          </cell>
          <cell r="N11" t="str">
            <v>BF_Symbol</v>
          </cell>
          <cell r="O11">
            <v>10000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 t="str">
            <v>BF_Symbol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</row>
        <row r="12">
          <cell r="B12">
            <v>7</v>
          </cell>
          <cell r="C12">
            <v>1</v>
          </cell>
          <cell r="D12">
            <v>2</v>
          </cell>
          <cell r="E12">
            <v>2</v>
          </cell>
          <cell r="F12">
            <v>2</v>
          </cell>
          <cell r="G12">
            <v>1</v>
          </cell>
          <cell r="I12" t="str">
            <v>FG_Symbol</v>
          </cell>
          <cell r="J12">
            <v>10000</v>
          </cell>
          <cell r="L12">
            <v>1</v>
          </cell>
        </row>
        <row r="13">
          <cell r="B13">
            <v>8</v>
          </cell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I13" t="str">
            <v>FG_Symbol (2)</v>
          </cell>
          <cell r="J13">
            <v>0</v>
          </cell>
          <cell r="L13">
            <v>0</v>
          </cell>
        </row>
        <row r="14">
          <cell r="B14">
            <v>9</v>
          </cell>
          <cell r="C14">
            <v>0</v>
          </cell>
          <cell r="D14">
            <v>1</v>
          </cell>
          <cell r="E14">
            <v>1</v>
          </cell>
          <cell r="F14">
            <v>1</v>
          </cell>
          <cell r="G14">
            <v>0</v>
          </cell>
          <cell r="I14" t="str">
            <v>FG_Symbol (3)</v>
          </cell>
          <cell r="J14">
            <v>0</v>
          </cell>
          <cell r="L14">
            <v>0</v>
          </cell>
          <cell r="N14" t="str">
            <v>Multiple Selection Weight - Reel3 Before Eliminate (Weight/Total)</v>
          </cell>
        </row>
        <row r="15">
          <cell r="B15">
            <v>10</v>
          </cell>
          <cell r="C15">
            <v>2</v>
          </cell>
          <cell r="D15">
            <v>1</v>
          </cell>
          <cell r="E15">
            <v>1</v>
          </cell>
          <cell r="F15">
            <v>1</v>
          </cell>
          <cell r="G15">
            <v>2</v>
          </cell>
          <cell r="J15">
            <v>10000</v>
          </cell>
          <cell r="K15">
            <v>0</v>
          </cell>
          <cell r="N15" t="str">
            <v>Worksheet Name \ Multiple</v>
          </cell>
          <cell r="O15">
            <v>0</v>
          </cell>
          <cell r="P15">
            <v>2</v>
          </cell>
          <cell r="Q15">
            <v>3</v>
          </cell>
          <cell r="R15">
            <v>5</v>
          </cell>
          <cell r="S15">
            <v>8</v>
          </cell>
          <cell r="T15">
            <v>10</v>
          </cell>
          <cell r="U15">
            <v>15</v>
          </cell>
          <cell r="V15">
            <v>20</v>
          </cell>
          <cell r="W15">
            <v>25</v>
          </cell>
          <cell r="X15">
            <v>35</v>
          </cell>
          <cell r="Y15">
            <v>50</v>
          </cell>
          <cell r="Z15">
            <v>80</v>
          </cell>
          <cell r="AA15">
            <v>100</v>
          </cell>
        </row>
        <row r="16">
          <cell r="B16">
            <v>11</v>
          </cell>
          <cell r="C16">
            <v>1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N16" t="str">
            <v>BG_Symbol</v>
          </cell>
          <cell r="O16">
            <v>10000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B17">
            <v>12</v>
          </cell>
          <cell r="C17">
            <v>1</v>
          </cell>
          <cell r="D17">
            <v>1</v>
          </cell>
          <cell r="E17">
            <v>2</v>
          </cell>
          <cell r="F17">
            <v>1</v>
          </cell>
          <cell r="G17">
            <v>1</v>
          </cell>
          <cell r="I17" t="str">
            <v>Table Selection Weight - Buy Feature (Weight/Total)</v>
          </cell>
          <cell r="N17" t="str">
            <v>BG_Symbol (2)</v>
          </cell>
          <cell r="O17">
            <v>0</v>
          </cell>
          <cell r="P17">
            <v>4200</v>
          </cell>
          <cell r="Q17">
            <v>3400</v>
          </cell>
          <cell r="R17">
            <v>1200</v>
          </cell>
          <cell r="S17">
            <v>1200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3.42</v>
          </cell>
        </row>
        <row r="18">
          <cell r="B18">
            <v>13</v>
          </cell>
          <cell r="C18">
            <v>1</v>
          </cell>
          <cell r="D18">
            <v>0</v>
          </cell>
          <cell r="E18">
            <v>1</v>
          </cell>
          <cell r="F18">
            <v>0</v>
          </cell>
          <cell r="G18">
            <v>1</v>
          </cell>
          <cell r="I18" t="str">
            <v>Worksheet Name</v>
          </cell>
          <cell r="J18" t="str">
            <v>Weight</v>
          </cell>
          <cell r="K18" t="str">
            <v>RTP</v>
          </cell>
          <cell r="N18" t="str">
            <v>BG_Symbol (3)</v>
          </cell>
          <cell r="O18">
            <v>10000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B19">
            <v>14</v>
          </cell>
          <cell r="C19">
            <v>1</v>
          </cell>
          <cell r="D19">
            <v>2</v>
          </cell>
          <cell r="E19">
            <v>1</v>
          </cell>
          <cell r="F19">
            <v>2</v>
          </cell>
          <cell r="G19">
            <v>1</v>
          </cell>
          <cell r="I19" t="str">
            <v>FG_Symbol</v>
          </cell>
          <cell r="J19">
            <v>10000</v>
          </cell>
          <cell r="L19">
            <v>1</v>
          </cell>
          <cell r="N19" t="str">
            <v>FG_Symbol</v>
          </cell>
          <cell r="O19">
            <v>0</v>
          </cell>
          <cell r="P19">
            <v>6300</v>
          </cell>
          <cell r="Q19">
            <v>2800</v>
          </cell>
          <cell r="R19">
            <v>600</v>
          </cell>
          <cell r="S19">
            <v>300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2.6399999999999997</v>
          </cell>
        </row>
        <row r="20">
          <cell r="B20">
            <v>15</v>
          </cell>
          <cell r="C20">
            <v>0</v>
          </cell>
          <cell r="D20">
            <v>1</v>
          </cell>
          <cell r="E20">
            <v>0</v>
          </cell>
          <cell r="F20">
            <v>1</v>
          </cell>
          <cell r="G20">
            <v>0</v>
          </cell>
          <cell r="I20" t="str">
            <v>FG_Symbol (2)</v>
          </cell>
          <cell r="J20">
            <v>0</v>
          </cell>
          <cell r="L20">
            <v>0</v>
          </cell>
          <cell r="N20" t="str">
            <v>FG_Symbol (2)</v>
          </cell>
          <cell r="O20">
            <v>0</v>
          </cell>
          <cell r="P20">
            <v>6300</v>
          </cell>
          <cell r="Q20">
            <v>2800</v>
          </cell>
          <cell r="R20">
            <v>600</v>
          </cell>
          <cell r="S20">
            <v>300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2.6399999999999997</v>
          </cell>
        </row>
        <row r="21">
          <cell r="B21">
            <v>16</v>
          </cell>
          <cell r="C21">
            <v>2</v>
          </cell>
          <cell r="D21">
            <v>1</v>
          </cell>
          <cell r="E21">
            <v>2</v>
          </cell>
          <cell r="F21">
            <v>1</v>
          </cell>
          <cell r="G21">
            <v>2</v>
          </cell>
          <cell r="I21" t="str">
            <v>FG_Symbol (3)</v>
          </cell>
          <cell r="J21">
            <v>0</v>
          </cell>
          <cell r="L21">
            <v>0</v>
          </cell>
          <cell r="N21" t="str">
            <v>FG_Symbol (3)</v>
          </cell>
          <cell r="O21">
            <v>0</v>
          </cell>
          <cell r="P21">
            <v>6300</v>
          </cell>
          <cell r="Q21">
            <v>2800</v>
          </cell>
          <cell r="R21">
            <v>600</v>
          </cell>
          <cell r="S21">
            <v>300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2.6399999999999997</v>
          </cell>
        </row>
        <row r="22">
          <cell r="B22">
            <v>17</v>
          </cell>
          <cell r="C22">
            <v>0</v>
          </cell>
          <cell r="D22">
            <v>0</v>
          </cell>
          <cell r="E22">
            <v>1</v>
          </cell>
          <cell r="F22">
            <v>2</v>
          </cell>
          <cell r="G22">
            <v>2</v>
          </cell>
          <cell r="J22">
            <v>10000</v>
          </cell>
          <cell r="K22">
            <v>0</v>
          </cell>
          <cell r="N22" t="str">
            <v>BF_Symbol</v>
          </cell>
          <cell r="O22">
            <v>10000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B23">
            <v>18</v>
          </cell>
          <cell r="C23">
            <v>2</v>
          </cell>
          <cell r="D23">
            <v>2</v>
          </cell>
          <cell r="E23">
            <v>1</v>
          </cell>
          <cell r="F23">
            <v>0</v>
          </cell>
          <cell r="G23">
            <v>0</v>
          </cell>
        </row>
        <row r="24">
          <cell r="B24">
            <v>19</v>
          </cell>
          <cell r="C24">
            <v>0</v>
          </cell>
          <cell r="D24">
            <v>2</v>
          </cell>
          <cell r="E24">
            <v>0</v>
          </cell>
          <cell r="F24">
            <v>2</v>
          </cell>
          <cell r="G24">
            <v>0</v>
          </cell>
          <cell r="I24" t="str">
            <v>Multiplier Range</v>
          </cell>
        </row>
        <row r="25">
          <cell r="I25" t="str">
            <v>Multiplier</v>
          </cell>
          <cell r="N25" t="str">
            <v>Multiple Selection Weight - Reel3 After Eliminate (Weight/Total)</v>
          </cell>
        </row>
        <row r="26">
          <cell r="I26">
            <v>0</v>
          </cell>
          <cell r="N26" t="str">
            <v>Worksheet Name \ Multiple</v>
          </cell>
          <cell r="O26">
            <v>0</v>
          </cell>
          <cell r="P26">
            <v>2</v>
          </cell>
          <cell r="Q26">
            <v>3</v>
          </cell>
          <cell r="R26">
            <v>5</v>
          </cell>
          <cell r="S26">
            <v>8</v>
          </cell>
          <cell r="T26">
            <v>10</v>
          </cell>
          <cell r="U26">
            <v>15</v>
          </cell>
          <cell r="V26">
            <v>20</v>
          </cell>
          <cell r="W26">
            <v>25</v>
          </cell>
          <cell r="X26">
            <v>35</v>
          </cell>
          <cell r="Y26">
            <v>50</v>
          </cell>
          <cell r="Z26">
            <v>80</v>
          </cell>
          <cell r="AA26">
            <v>100</v>
          </cell>
        </row>
        <row r="27">
          <cell r="I27">
            <v>2</v>
          </cell>
          <cell r="N27" t="str">
            <v>BG_Symbol</v>
          </cell>
          <cell r="O27">
            <v>10000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I28">
            <v>3</v>
          </cell>
          <cell r="N28" t="str">
            <v>BG_Symbol (2)</v>
          </cell>
          <cell r="O28">
            <v>0</v>
          </cell>
          <cell r="P28">
            <v>4800</v>
          </cell>
          <cell r="Q28">
            <v>4000</v>
          </cell>
          <cell r="R28">
            <v>600</v>
          </cell>
          <cell r="S28">
            <v>600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2.94</v>
          </cell>
        </row>
        <row r="29">
          <cell r="I29">
            <v>5</v>
          </cell>
          <cell r="N29" t="str">
            <v>BG_Symbol (3)</v>
          </cell>
          <cell r="O29">
            <v>10000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I30">
            <v>8</v>
          </cell>
          <cell r="N30" t="str">
            <v>FG_Symbol</v>
          </cell>
          <cell r="O30">
            <v>0</v>
          </cell>
          <cell r="P30">
            <v>6550</v>
          </cell>
          <cell r="Q30">
            <v>3000</v>
          </cell>
          <cell r="R30">
            <v>300</v>
          </cell>
          <cell r="S30">
            <v>150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2.48</v>
          </cell>
        </row>
        <row r="31">
          <cell r="I31">
            <v>10</v>
          </cell>
          <cell r="N31" t="str">
            <v>FG_Symbol (2)</v>
          </cell>
          <cell r="O31">
            <v>0</v>
          </cell>
          <cell r="P31">
            <v>6550</v>
          </cell>
          <cell r="Q31">
            <v>3000</v>
          </cell>
          <cell r="R31">
            <v>300</v>
          </cell>
          <cell r="S31">
            <v>150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2.48</v>
          </cell>
        </row>
        <row r="32">
          <cell r="I32">
            <v>15</v>
          </cell>
          <cell r="N32" t="str">
            <v>FG_Symbol (3)</v>
          </cell>
          <cell r="O32">
            <v>0</v>
          </cell>
          <cell r="P32">
            <v>6550</v>
          </cell>
          <cell r="Q32">
            <v>3000</v>
          </cell>
          <cell r="R32">
            <v>300</v>
          </cell>
          <cell r="S32">
            <v>150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2.48</v>
          </cell>
        </row>
        <row r="33">
          <cell r="I33">
            <v>20</v>
          </cell>
          <cell r="N33" t="str">
            <v>BF_Symbol</v>
          </cell>
          <cell r="O33">
            <v>10000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I34">
            <v>25</v>
          </cell>
        </row>
        <row r="35">
          <cell r="I35">
            <v>35</v>
          </cell>
        </row>
        <row r="36">
          <cell r="I36">
            <v>50</v>
          </cell>
          <cell r="N36" t="str">
            <v>Multiple Selection Weight - Before Eliminate (Weight/Total)</v>
          </cell>
        </row>
        <row r="37">
          <cell r="I37">
            <v>80</v>
          </cell>
          <cell r="N37" t="str">
            <v>Worksheet Name \ Multiple</v>
          </cell>
          <cell r="O37">
            <v>0</v>
          </cell>
          <cell r="P37">
            <v>2</v>
          </cell>
          <cell r="Q37">
            <v>3</v>
          </cell>
          <cell r="R37">
            <v>5</v>
          </cell>
          <cell r="S37">
            <v>8</v>
          </cell>
          <cell r="T37">
            <v>10</v>
          </cell>
          <cell r="U37">
            <v>15</v>
          </cell>
          <cell r="V37">
            <v>20</v>
          </cell>
          <cell r="W37">
            <v>25</v>
          </cell>
          <cell r="X37">
            <v>35</v>
          </cell>
          <cell r="Y37">
            <v>50</v>
          </cell>
          <cell r="Z37">
            <v>80</v>
          </cell>
          <cell r="AA37">
            <v>100</v>
          </cell>
        </row>
        <row r="38">
          <cell r="I38">
            <v>100</v>
          </cell>
          <cell r="N38" t="str">
            <v>BG_Symbol</v>
          </cell>
          <cell r="O38">
            <v>8500</v>
          </cell>
          <cell r="P38">
            <v>500</v>
          </cell>
          <cell r="Q38">
            <v>400</v>
          </cell>
          <cell r="R38">
            <v>300</v>
          </cell>
          <cell r="S38">
            <v>300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4.0666666666666664</v>
          </cell>
        </row>
        <row r="39">
          <cell r="N39" t="str">
            <v>BG_Symbol (2)</v>
          </cell>
          <cell r="O39">
            <v>9100</v>
          </cell>
          <cell r="P39">
            <v>350</v>
          </cell>
          <cell r="Q39">
            <v>250</v>
          </cell>
          <cell r="R39">
            <v>150</v>
          </cell>
          <cell r="S39">
            <v>150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3.7777777777777777</v>
          </cell>
        </row>
        <row r="40">
          <cell r="N40" t="str">
            <v>BG_Symbol (3)</v>
          </cell>
          <cell r="O40">
            <v>9200</v>
          </cell>
          <cell r="P40">
            <v>400</v>
          </cell>
          <cell r="Q40">
            <v>300</v>
          </cell>
          <cell r="R40">
            <v>50</v>
          </cell>
          <cell r="S40">
            <v>50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2.9375</v>
          </cell>
        </row>
        <row r="41">
          <cell r="I41" t="str">
            <v>Eliminate Table Weight</v>
          </cell>
          <cell r="N41" t="str">
            <v>FG_Symbol</v>
          </cell>
          <cell r="O41">
            <v>6710</v>
          </cell>
          <cell r="P41">
            <v>2100</v>
          </cell>
          <cell r="Q41">
            <v>860</v>
          </cell>
          <cell r="R41">
            <v>220</v>
          </cell>
          <cell r="S41">
            <v>110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2.6626139817629175</v>
          </cell>
        </row>
        <row r="42">
          <cell r="J42" t="str">
            <v xml:space="preserve"> A</v>
          </cell>
          <cell r="K42" t="str">
            <v>B</v>
          </cell>
          <cell r="N42" t="str">
            <v>FG_Symbol (2)</v>
          </cell>
          <cell r="O42">
            <v>6710</v>
          </cell>
          <cell r="P42">
            <v>2100</v>
          </cell>
          <cell r="Q42">
            <v>860</v>
          </cell>
          <cell r="R42">
            <v>220</v>
          </cell>
          <cell r="S42">
            <v>110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2.6626139817629175</v>
          </cell>
        </row>
        <row r="43">
          <cell r="I43" t="str">
            <v>Base Game</v>
          </cell>
          <cell r="J43">
            <v>10</v>
          </cell>
          <cell r="K43">
            <v>0</v>
          </cell>
          <cell r="N43" t="str">
            <v>FG_Symbol (3)</v>
          </cell>
          <cell r="O43">
            <v>6710</v>
          </cell>
          <cell r="P43">
            <v>2100</v>
          </cell>
          <cell r="Q43">
            <v>860</v>
          </cell>
          <cell r="R43">
            <v>220</v>
          </cell>
          <cell r="S43">
            <v>110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2.6626139817629175</v>
          </cell>
        </row>
        <row r="44">
          <cell r="I44" t="str">
            <v>Free Game</v>
          </cell>
          <cell r="J44">
            <v>10</v>
          </cell>
          <cell r="K44">
            <v>0</v>
          </cell>
          <cell r="N44" t="str">
            <v>BF_Symbol</v>
          </cell>
          <cell r="O44">
            <v>10000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 t="e">
            <v>#DIV/0!</v>
          </cell>
        </row>
        <row r="47">
          <cell r="N47" t="str">
            <v>Multiple Selection Weight - After Eliminate (Weight/Total)</v>
          </cell>
        </row>
        <row r="48">
          <cell r="N48" t="str">
            <v>Worksheet Name \ Multiple</v>
          </cell>
          <cell r="O48">
            <v>0</v>
          </cell>
          <cell r="P48">
            <v>2</v>
          </cell>
          <cell r="Q48">
            <v>3</v>
          </cell>
          <cell r="R48">
            <v>5</v>
          </cell>
          <cell r="S48">
            <v>8</v>
          </cell>
          <cell r="T48">
            <v>10</v>
          </cell>
          <cell r="U48">
            <v>15</v>
          </cell>
          <cell r="V48">
            <v>20</v>
          </cell>
          <cell r="W48">
            <v>25</v>
          </cell>
          <cell r="X48">
            <v>35</v>
          </cell>
          <cell r="Y48">
            <v>50</v>
          </cell>
          <cell r="Z48">
            <v>80</v>
          </cell>
          <cell r="AA48">
            <v>100</v>
          </cell>
        </row>
        <row r="49">
          <cell r="N49" t="str">
            <v>BG_Symbol</v>
          </cell>
          <cell r="O49">
            <v>8500</v>
          </cell>
          <cell r="P49">
            <v>600</v>
          </cell>
          <cell r="Q49">
            <v>500</v>
          </cell>
          <cell r="R49">
            <v>200</v>
          </cell>
          <cell r="S49">
            <v>200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3.5333333333333332</v>
          </cell>
        </row>
        <row r="50">
          <cell r="N50" t="str">
            <v>BG_Symbol (2)</v>
          </cell>
          <cell r="O50">
            <v>9100</v>
          </cell>
          <cell r="P50">
            <v>450</v>
          </cell>
          <cell r="Q50">
            <v>350</v>
          </cell>
          <cell r="R50">
            <v>50</v>
          </cell>
          <cell r="S50">
            <v>50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2.8888888888888893</v>
          </cell>
        </row>
        <row r="51">
          <cell r="N51" t="str">
            <v>BG_Symbol (3)</v>
          </cell>
          <cell r="O51">
            <v>8900</v>
          </cell>
          <cell r="P51">
            <v>550</v>
          </cell>
          <cell r="Q51">
            <v>450</v>
          </cell>
          <cell r="R51">
            <v>50</v>
          </cell>
          <cell r="S51">
            <v>50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2.8181818181818188</v>
          </cell>
        </row>
        <row r="52">
          <cell r="N52" t="str">
            <v>FG_Symbol</v>
          </cell>
          <cell r="O52">
            <v>6710</v>
          </cell>
          <cell r="P52">
            <v>2150</v>
          </cell>
          <cell r="Q52">
            <v>970</v>
          </cell>
          <cell r="R52">
            <v>110</v>
          </cell>
          <cell r="S52">
            <v>60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2.5045592705167175</v>
          </cell>
        </row>
        <row r="53">
          <cell r="N53" t="str">
            <v>FG_Symbol (2)</v>
          </cell>
          <cell r="O53">
            <v>6710</v>
          </cell>
          <cell r="P53">
            <v>2150</v>
          </cell>
          <cell r="Q53">
            <v>970</v>
          </cell>
          <cell r="R53">
            <v>110</v>
          </cell>
          <cell r="S53">
            <v>60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2.5045592705167175</v>
          </cell>
        </row>
        <row r="54">
          <cell r="N54" t="str">
            <v>FG_Symbol (3)</v>
          </cell>
          <cell r="O54">
            <v>6710</v>
          </cell>
          <cell r="P54">
            <v>2150</v>
          </cell>
          <cell r="Q54">
            <v>970</v>
          </cell>
          <cell r="R54">
            <v>110</v>
          </cell>
          <cell r="S54">
            <v>60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2.5045592705167175</v>
          </cell>
        </row>
        <row r="55">
          <cell r="N55" t="str">
            <v>BF_Symbol</v>
          </cell>
          <cell r="O55">
            <v>10000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 t="e">
            <v>#DIV/0!</v>
          </cell>
        </row>
      </sheetData>
      <sheetData sheetId="3"/>
      <sheetData sheetId="4"/>
      <sheetData sheetId="5">
        <row r="15">
          <cell r="L15" t="e">
            <v>#DIV/0!</v>
          </cell>
        </row>
        <row r="16">
          <cell r="L16" t="e">
            <v>#DIV/0!</v>
          </cell>
        </row>
        <row r="17">
          <cell r="L17" t="e">
            <v>#DIV/0!</v>
          </cell>
        </row>
        <row r="18">
          <cell r="L18" t="e">
            <v>#DIV/0!</v>
          </cell>
        </row>
        <row r="19">
          <cell r="L19" t="e">
            <v>#DIV/0!</v>
          </cell>
        </row>
        <row r="20">
          <cell r="L20" t="e">
            <v>#DIV/0!</v>
          </cell>
        </row>
        <row r="21">
          <cell r="L21" t="e">
            <v>#DIV/0!</v>
          </cell>
        </row>
        <row r="22">
          <cell r="L22" t="e">
            <v>#DIV/0!</v>
          </cell>
        </row>
        <row r="23">
          <cell r="L23" t="e">
            <v>#DIV/0!</v>
          </cell>
        </row>
        <row r="24">
          <cell r="L24" t="e">
            <v>#DIV/0!</v>
          </cell>
        </row>
        <row r="25">
          <cell r="L25" t="e">
            <v>#DIV/0!</v>
          </cell>
        </row>
        <row r="26">
          <cell r="L26" t="e">
            <v>#DIV/0!</v>
          </cell>
        </row>
        <row r="27">
          <cell r="L27" t="e">
            <v>#DIV/0!</v>
          </cell>
        </row>
        <row r="28">
          <cell r="L28" t="e">
            <v>#DIV/0!</v>
          </cell>
        </row>
        <row r="29">
          <cell r="L29" t="e">
            <v>#DIV/0!</v>
          </cell>
        </row>
        <row r="30">
          <cell r="L30" t="e">
            <v>#DIV/0!</v>
          </cell>
        </row>
        <row r="31">
          <cell r="L31" t="e">
            <v>#DIV/0!</v>
          </cell>
        </row>
        <row r="32">
          <cell r="L32" t="e">
            <v>#DIV/0!</v>
          </cell>
        </row>
        <row r="33">
          <cell r="L33" t="e">
            <v>#DIV/0!</v>
          </cell>
        </row>
        <row r="34">
          <cell r="L34" t="e">
            <v>#DIV/0!</v>
          </cell>
        </row>
        <row r="35">
          <cell r="L35" t="e">
            <v>#DIV/0!</v>
          </cell>
        </row>
        <row r="36">
          <cell r="L36" t="e">
            <v>#DIV/0!</v>
          </cell>
        </row>
        <row r="37">
          <cell r="L37" t="e">
            <v>#DIV/0!</v>
          </cell>
        </row>
        <row r="38">
          <cell r="L38" t="e">
            <v>#DIV/0!</v>
          </cell>
        </row>
        <row r="39">
          <cell r="L39" t="e">
            <v>#DIV/0!</v>
          </cell>
        </row>
        <row r="40">
          <cell r="L40" t="e">
            <v>#DIV/0!</v>
          </cell>
        </row>
        <row r="41">
          <cell r="L41" t="e">
            <v>#DIV/0!</v>
          </cell>
        </row>
        <row r="42">
          <cell r="L42" t="e">
            <v>#DIV/0!</v>
          </cell>
        </row>
        <row r="43">
          <cell r="L43" t="e">
            <v>#DIV/0!</v>
          </cell>
        </row>
        <row r="44">
          <cell r="L44" t="e">
            <v>#DIV/0!</v>
          </cell>
        </row>
        <row r="45">
          <cell r="L45" t="e">
            <v>#DIV/0!</v>
          </cell>
        </row>
        <row r="46">
          <cell r="L46" t="e">
            <v>#DIV/0!</v>
          </cell>
        </row>
        <row r="47">
          <cell r="L47" t="e">
            <v>#DIV/0!</v>
          </cell>
        </row>
        <row r="48">
          <cell r="L48" t="e">
            <v>#DIV/0!</v>
          </cell>
        </row>
        <row r="49">
          <cell r="L49" t="e">
            <v>#DIV/0!</v>
          </cell>
        </row>
        <row r="50">
          <cell r="L50" t="e">
            <v>#DIV/0!</v>
          </cell>
        </row>
        <row r="51">
          <cell r="L51" t="e">
            <v>#DIV/0!</v>
          </cell>
        </row>
        <row r="52">
          <cell r="L52" t="e">
            <v>#DIV/0!</v>
          </cell>
        </row>
        <row r="53">
          <cell r="L53" t="e">
            <v>#DIV/0!</v>
          </cell>
        </row>
        <row r="54">
          <cell r="L54" t="e">
            <v>#DIV/0!</v>
          </cell>
        </row>
        <row r="55">
          <cell r="L55" t="e">
            <v>#DIV/0!</v>
          </cell>
        </row>
        <row r="56">
          <cell r="L56" t="e">
            <v>#DIV/0!</v>
          </cell>
        </row>
        <row r="57">
          <cell r="L57" t="e">
            <v>#DIV/0!</v>
          </cell>
        </row>
        <row r="58">
          <cell r="L58" t="e">
            <v>#DIV/0!</v>
          </cell>
        </row>
        <row r="59">
          <cell r="L59" t="e">
            <v>#DIV/0!</v>
          </cell>
        </row>
        <row r="60">
          <cell r="L60" t="e">
            <v>#DIV/0!</v>
          </cell>
        </row>
        <row r="61">
          <cell r="L61" t="e">
            <v>#DIV/0!</v>
          </cell>
        </row>
        <row r="62">
          <cell r="L62" t="e">
            <v>#DIV/0!</v>
          </cell>
        </row>
        <row r="63">
          <cell r="L63" t="e">
            <v>#DIV/0!</v>
          </cell>
        </row>
        <row r="64">
          <cell r="L64" t="e">
            <v>#DIV/0!</v>
          </cell>
        </row>
        <row r="65">
          <cell r="L65" t="e">
            <v>#DIV/0!</v>
          </cell>
        </row>
        <row r="66">
          <cell r="L66" t="e">
            <v>#DIV/0!</v>
          </cell>
        </row>
        <row r="67">
          <cell r="L67" t="e">
            <v>#DIV/0!</v>
          </cell>
        </row>
        <row r="68">
          <cell r="L68" t="e">
            <v>#DIV/0!</v>
          </cell>
        </row>
        <row r="69">
          <cell r="L69" t="e">
            <v>#DIV/0!</v>
          </cell>
        </row>
        <row r="70">
          <cell r="L70" t="e">
            <v>#DIV/0!</v>
          </cell>
        </row>
        <row r="71">
          <cell r="L71" t="e">
            <v>#DIV/0!</v>
          </cell>
        </row>
        <row r="72">
          <cell r="L72" t="e">
            <v>#DIV/0!</v>
          </cell>
        </row>
        <row r="73">
          <cell r="L73" t="e">
            <v>#DIV/0!</v>
          </cell>
        </row>
        <row r="74">
          <cell r="L74" t="e">
            <v>#DIV/0!</v>
          </cell>
        </row>
        <row r="75">
          <cell r="L75" t="e">
            <v>#DIV/0!</v>
          </cell>
        </row>
        <row r="76">
          <cell r="L76" t="e">
            <v>#DIV/0!</v>
          </cell>
        </row>
        <row r="77">
          <cell r="L77" t="e">
            <v>#DIV/0!</v>
          </cell>
        </row>
        <row r="78">
          <cell r="L78" t="e">
            <v>#DIV/0!</v>
          </cell>
        </row>
        <row r="79">
          <cell r="L79">
            <v>0</v>
          </cell>
        </row>
        <row r="87"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0</v>
          </cell>
        </row>
        <row r="93">
          <cell r="L93">
            <v>0</v>
          </cell>
        </row>
        <row r="94">
          <cell r="L94">
            <v>0</v>
          </cell>
        </row>
        <row r="95">
          <cell r="L95">
            <v>0</v>
          </cell>
        </row>
        <row r="96">
          <cell r="L96">
            <v>0</v>
          </cell>
        </row>
        <row r="97">
          <cell r="L97">
            <v>0</v>
          </cell>
        </row>
        <row r="98">
          <cell r="L98" t="e">
            <v>#DIV/0!</v>
          </cell>
        </row>
        <row r="99">
          <cell r="L99" t="e">
            <v>#DIV/0!</v>
          </cell>
        </row>
        <row r="100">
          <cell r="L100" t="e">
            <v>#DIV/0!</v>
          </cell>
        </row>
        <row r="101">
          <cell r="L101" t="e">
            <v>#DIV/0!</v>
          </cell>
        </row>
        <row r="102">
          <cell r="L102" t="e">
            <v>#DIV/0!</v>
          </cell>
        </row>
        <row r="103">
          <cell r="L103" t="e">
            <v>#DIV/0!</v>
          </cell>
        </row>
        <row r="104">
          <cell r="L104" t="e">
            <v>#DIV/0!</v>
          </cell>
        </row>
        <row r="105">
          <cell r="L105" t="e">
            <v>#DIV/0!</v>
          </cell>
        </row>
        <row r="106">
          <cell r="L106" t="e">
            <v>#DIV/0!</v>
          </cell>
        </row>
        <row r="107">
          <cell r="L107" t="e">
            <v>#DIV/0!</v>
          </cell>
        </row>
        <row r="108">
          <cell r="L108" t="e">
            <v>#DIV/0!</v>
          </cell>
        </row>
        <row r="109">
          <cell r="L109" t="e">
            <v>#DIV/0!</v>
          </cell>
        </row>
        <row r="110">
          <cell r="L110" t="e">
            <v>#DIV/0!</v>
          </cell>
        </row>
        <row r="111">
          <cell r="L111" t="e">
            <v>#DIV/0!</v>
          </cell>
        </row>
        <row r="112">
          <cell r="L112" t="e">
            <v>#DIV/0!</v>
          </cell>
        </row>
        <row r="113">
          <cell r="L113" t="e">
            <v>#DIV/0!</v>
          </cell>
        </row>
        <row r="114">
          <cell r="L114" t="e">
            <v>#DIV/0!</v>
          </cell>
        </row>
        <row r="115">
          <cell r="L115" t="e">
            <v>#DIV/0!</v>
          </cell>
        </row>
        <row r="116">
          <cell r="L116" t="e">
            <v>#DIV/0!</v>
          </cell>
        </row>
        <row r="117">
          <cell r="L117" t="e">
            <v>#DIV/0!</v>
          </cell>
        </row>
        <row r="118">
          <cell r="L118" t="e">
            <v>#DIV/0!</v>
          </cell>
        </row>
        <row r="119">
          <cell r="L119" t="e">
            <v>#DIV/0!</v>
          </cell>
        </row>
        <row r="120">
          <cell r="L120" t="e">
            <v>#DIV/0!</v>
          </cell>
        </row>
        <row r="121">
          <cell r="L121" t="e">
            <v>#DIV/0!</v>
          </cell>
        </row>
        <row r="122">
          <cell r="L122" t="e">
            <v>#DIV/0!</v>
          </cell>
        </row>
        <row r="123">
          <cell r="L123" t="e">
            <v>#DIV/0!</v>
          </cell>
        </row>
        <row r="124">
          <cell r="L124" t="e">
            <v>#DIV/0!</v>
          </cell>
        </row>
        <row r="125">
          <cell r="L125" t="e">
            <v>#DIV/0!</v>
          </cell>
        </row>
        <row r="126">
          <cell r="L126" t="e">
            <v>#DIV/0!</v>
          </cell>
        </row>
        <row r="127">
          <cell r="L127" t="e">
            <v>#DIV/0!</v>
          </cell>
        </row>
        <row r="128">
          <cell r="L128" t="e">
            <v>#DIV/0!</v>
          </cell>
        </row>
        <row r="129">
          <cell r="L129" t="e">
            <v>#DIV/0!</v>
          </cell>
        </row>
        <row r="130">
          <cell r="L130" t="e">
            <v>#DIV/0!</v>
          </cell>
        </row>
        <row r="131">
          <cell r="L131" t="e">
            <v>#DIV/0!</v>
          </cell>
        </row>
        <row r="132">
          <cell r="L132" t="e">
            <v>#DIV/0!</v>
          </cell>
        </row>
        <row r="133">
          <cell r="L133" t="e">
            <v>#DIV/0!</v>
          </cell>
        </row>
        <row r="134">
          <cell r="L134" t="e">
            <v>#DIV/0!</v>
          </cell>
        </row>
        <row r="135">
          <cell r="L135" t="e">
            <v>#DIV/0!</v>
          </cell>
        </row>
        <row r="136">
          <cell r="L136" t="e">
            <v>#DIV/0!</v>
          </cell>
        </row>
        <row r="137">
          <cell r="L137" t="e">
            <v>#DIV/0!</v>
          </cell>
        </row>
        <row r="138">
          <cell r="L138" t="e">
            <v>#DIV/0!</v>
          </cell>
        </row>
        <row r="139">
          <cell r="L139" t="e">
            <v>#DIV/0!</v>
          </cell>
        </row>
        <row r="140">
          <cell r="L140" t="e">
            <v>#DIV/0!</v>
          </cell>
        </row>
        <row r="141">
          <cell r="L141" t="e">
            <v>#DIV/0!</v>
          </cell>
        </row>
        <row r="142">
          <cell r="L142" t="e">
            <v>#DIV/0!</v>
          </cell>
        </row>
        <row r="143">
          <cell r="L143" t="e">
            <v>#DIV/0!</v>
          </cell>
        </row>
        <row r="144">
          <cell r="L144" t="e">
            <v>#DIV/0!</v>
          </cell>
        </row>
        <row r="145">
          <cell r="L145" t="e">
            <v>#DIV/0!</v>
          </cell>
        </row>
        <row r="146">
          <cell r="L146" t="e">
            <v>#DIV/0!</v>
          </cell>
        </row>
        <row r="147">
          <cell r="L147" t="e">
            <v>#DIV/0!</v>
          </cell>
        </row>
        <row r="148">
          <cell r="L148" t="e">
            <v>#DIV/0!</v>
          </cell>
        </row>
        <row r="149">
          <cell r="L149" t="e">
            <v>#DIV/0!</v>
          </cell>
        </row>
        <row r="150">
          <cell r="L150" t="e">
            <v>#DIV/0!</v>
          </cell>
        </row>
      </sheetData>
      <sheetData sheetId="6">
        <row r="15">
          <cell r="L15">
            <v>722907411</v>
          </cell>
        </row>
        <row r="87">
          <cell r="L87">
            <v>0</v>
          </cell>
        </row>
        <row r="157">
          <cell r="L157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2"/>
  <sheetViews>
    <sheetView tabSelected="1" workbookViewId="0">
      <selection activeCell="C4" sqref="C4"/>
    </sheetView>
  </sheetViews>
  <sheetFormatPr defaultColWidth="8.88671875" defaultRowHeight="15.6" x14ac:dyDescent="0.3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 x14ac:dyDescent="0.3">
      <c r="A2" s="17" t="s">
        <v>39</v>
      </c>
      <c r="B2" s="37" t="s">
        <v>94</v>
      </c>
      <c r="C2" s="5"/>
    </row>
    <row r="3" spans="1:9" x14ac:dyDescent="0.3">
      <c r="A3" s="17" t="s">
        <v>40</v>
      </c>
      <c r="B3" s="37" t="str">
        <f>[1]Overview!$B$3</f>
        <v>0.1.0.1</v>
      </c>
      <c r="C3" s="18"/>
    </row>
    <row r="4" spans="1:9" x14ac:dyDescent="0.3">
      <c r="C4" s="27"/>
    </row>
    <row r="5" spans="1:9" x14ac:dyDescent="0.3">
      <c r="C5" s="27"/>
    </row>
    <row r="6" spans="1:9" x14ac:dyDescent="0.3">
      <c r="A6" s="19" t="s">
        <v>56</v>
      </c>
      <c r="C6" s="27"/>
    </row>
    <row r="7" spans="1:9" x14ac:dyDescent="0.3">
      <c r="A7" s="36">
        <v>100</v>
      </c>
      <c r="C7" s="27"/>
    </row>
    <row r="8" spans="1:9" x14ac:dyDescent="0.3">
      <c r="C8" s="27"/>
    </row>
    <row r="9" spans="1:9" x14ac:dyDescent="0.3">
      <c r="C9" s="27"/>
    </row>
    <row r="10" spans="1:9" x14ac:dyDescent="0.3">
      <c r="A10" s="19" t="s">
        <v>51</v>
      </c>
      <c r="B10" s="19" t="s">
        <v>54</v>
      </c>
      <c r="C10" s="32" t="s">
        <v>38</v>
      </c>
      <c r="D10" s="32" t="s">
        <v>52</v>
      </c>
      <c r="G10" s="7"/>
      <c r="H10" s="7"/>
      <c r="I10" s="7"/>
    </row>
    <row r="11" spans="1:9" x14ac:dyDescent="0.3">
      <c r="A11" s="41" cm="1">
        <f t="array" ref="A11:A12">B11:B12*A7</f>
        <v>100</v>
      </c>
      <c r="B11" s="36">
        <v>1</v>
      </c>
      <c r="C11" s="54">
        <f>SUM(B17:B18)</f>
        <v>0</v>
      </c>
      <c r="D11" s="54" t="s">
        <v>53</v>
      </c>
      <c r="H11" s="7"/>
      <c r="I11" s="7"/>
    </row>
    <row r="12" spans="1:9" x14ac:dyDescent="0.3">
      <c r="A12" s="41">
        <v>7500</v>
      </c>
      <c r="B12" s="36">
        <v>75</v>
      </c>
      <c r="C12" s="49">
        <f>SUM(B21:B22)</f>
        <v>0</v>
      </c>
      <c r="D12" s="49" t="s">
        <v>55</v>
      </c>
    </row>
    <row r="13" spans="1:9" x14ac:dyDescent="0.3">
      <c r="A13" s="22"/>
      <c r="B13" s="22"/>
      <c r="C13" s="23"/>
      <c r="D13" s="2"/>
      <c r="F13" s="3"/>
    </row>
    <row r="14" spans="1:9" x14ac:dyDescent="0.3">
      <c r="A14" s="10"/>
      <c r="B14" s="10"/>
      <c r="C14" s="23"/>
      <c r="D14" s="23"/>
      <c r="F14" s="4"/>
    </row>
    <row r="15" spans="1:9" x14ac:dyDescent="0.3">
      <c r="A15" s="26" t="s">
        <v>24</v>
      </c>
      <c r="B15" s="11"/>
      <c r="C15" s="46"/>
      <c r="D15" s="43"/>
      <c r="E15" s="47"/>
      <c r="F15" s="7"/>
      <c r="G15" s="7"/>
      <c r="H15" s="7"/>
      <c r="I15" s="12"/>
    </row>
    <row r="16" spans="1:9" x14ac:dyDescent="0.3">
      <c r="A16" s="32" t="s">
        <v>52</v>
      </c>
      <c r="B16" s="19" t="s">
        <v>0</v>
      </c>
      <c r="C16" s="19" t="s">
        <v>1</v>
      </c>
      <c r="D16" s="19" t="s">
        <v>2</v>
      </c>
      <c r="E16" s="19" t="s">
        <v>12</v>
      </c>
      <c r="F16" s="55"/>
      <c r="G16" s="7"/>
      <c r="H16" s="7"/>
      <c r="I16" s="12"/>
    </row>
    <row r="17" spans="1:9" x14ac:dyDescent="0.3">
      <c r="A17" s="87" t="str">
        <f>D11</f>
        <v>Normal Bet</v>
      </c>
      <c r="B17" s="40"/>
      <c r="C17" s="88" t="e">
        <f>1/D17</f>
        <v>#DIV/0!</v>
      </c>
      <c r="D17" s="90"/>
      <c r="E17" s="28" t="s">
        <v>49</v>
      </c>
      <c r="F17" s="55"/>
      <c r="G17" s="7"/>
      <c r="H17" s="7"/>
      <c r="I17" s="12"/>
    </row>
    <row r="18" spans="1:9" x14ac:dyDescent="0.3">
      <c r="A18" s="87"/>
      <c r="B18" s="40"/>
      <c r="C18" s="89"/>
      <c r="D18" s="91"/>
      <c r="E18" s="28" t="s">
        <v>57</v>
      </c>
      <c r="F18" s="55"/>
      <c r="G18" s="7"/>
      <c r="H18" s="7"/>
      <c r="I18" s="12"/>
    </row>
    <row r="19" spans="1:9" x14ac:dyDescent="0.3">
      <c r="A19" s="44"/>
      <c r="B19" s="45"/>
      <c r="C19" s="46"/>
      <c r="D19" s="43"/>
      <c r="E19" s="7"/>
      <c r="F19" s="55"/>
      <c r="G19" s="7"/>
      <c r="H19" s="7"/>
      <c r="I19" s="12"/>
    </row>
    <row r="20" spans="1:9" x14ac:dyDescent="0.3">
      <c r="A20" s="32" t="s">
        <v>52</v>
      </c>
      <c r="B20" s="19" t="s">
        <v>0</v>
      </c>
      <c r="C20" s="19" t="s">
        <v>1</v>
      </c>
      <c r="D20" s="19" t="s">
        <v>2</v>
      </c>
      <c r="E20" s="19" t="s">
        <v>12</v>
      </c>
      <c r="F20" s="55"/>
      <c r="G20" s="7"/>
      <c r="H20" s="7"/>
      <c r="I20" s="12"/>
    </row>
    <row r="21" spans="1:9" x14ac:dyDescent="0.3">
      <c r="A21" s="87" t="str">
        <f>D12</f>
        <v>Buy Feature</v>
      </c>
      <c r="B21" s="40"/>
      <c r="C21" s="88">
        <f>1/D21</f>
        <v>1</v>
      </c>
      <c r="D21" s="92">
        <v>1</v>
      </c>
      <c r="E21" s="28" t="s">
        <v>49</v>
      </c>
      <c r="F21" s="55"/>
      <c r="G21" s="7"/>
      <c r="H21" s="7"/>
      <c r="I21" s="12"/>
    </row>
    <row r="22" spans="1:9" x14ac:dyDescent="0.3">
      <c r="A22" s="87"/>
      <c r="B22" s="40"/>
      <c r="C22" s="89"/>
      <c r="D22" s="93"/>
      <c r="E22" s="28" t="s">
        <v>57</v>
      </c>
      <c r="F22" s="55"/>
      <c r="G22" s="7"/>
      <c r="H22" s="7"/>
      <c r="I22" s="12"/>
    </row>
    <row r="23" spans="1:9" x14ac:dyDescent="0.3">
      <c r="A23" s="44"/>
      <c r="B23" s="45"/>
      <c r="C23" s="46"/>
      <c r="D23" s="43"/>
      <c r="E23" s="7"/>
      <c r="F23" s="7"/>
      <c r="G23" s="7"/>
      <c r="H23" s="7"/>
      <c r="I23" s="12"/>
    </row>
    <row r="24" spans="1:9" x14ac:dyDescent="0.3">
      <c r="A24" s="44"/>
      <c r="B24" s="45"/>
      <c r="C24" s="46"/>
      <c r="D24" s="43"/>
      <c r="E24" s="7"/>
      <c r="F24" s="7"/>
      <c r="G24" s="7"/>
      <c r="H24" s="7"/>
      <c r="I24" s="12"/>
    </row>
    <row r="25" spans="1:9" x14ac:dyDescent="0.3">
      <c r="A25" s="19" t="s">
        <v>3</v>
      </c>
      <c r="B25" s="19">
        <v>1</v>
      </c>
      <c r="C25" s="19">
        <v>2</v>
      </c>
      <c r="D25" s="19">
        <v>3</v>
      </c>
      <c r="E25" s="19">
        <v>4</v>
      </c>
      <c r="F25" s="19">
        <v>5</v>
      </c>
      <c r="G25" s="7"/>
      <c r="H25" s="7"/>
    </row>
    <row r="26" spans="1:9" x14ac:dyDescent="0.3">
      <c r="A26" s="20" t="s">
        <v>4</v>
      </c>
      <c r="B26" s="21">
        <v>3</v>
      </c>
      <c r="C26" s="21">
        <v>3</v>
      </c>
      <c r="D26" s="21">
        <v>3</v>
      </c>
      <c r="E26" s="21">
        <v>3</v>
      </c>
      <c r="F26" s="21">
        <v>3</v>
      </c>
      <c r="G26" s="7"/>
      <c r="H26" s="7"/>
    </row>
    <row r="27" spans="1:9" x14ac:dyDescent="0.3">
      <c r="A27" s="30"/>
      <c r="B27" s="30"/>
      <c r="C27" s="30"/>
      <c r="D27" s="30"/>
      <c r="E27" s="30"/>
      <c r="F27" s="30"/>
      <c r="G27" s="30"/>
    </row>
    <row r="28" spans="1:9" x14ac:dyDescent="0.3">
      <c r="A28" s="30"/>
      <c r="B28" s="30"/>
      <c r="C28" s="30"/>
      <c r="D28" s="30"/>
      <c r="E28" s="30"/>
      <c r="F28" s="30"/>
      <c r="G28" s="30"/>
    </row>
    <row r="29" spans="1:9" x14ac:dyDescent="0.3">
      <c r="A29" s="1" t="s">
        <v>47</v>
      </c>
    </row>
    <row r="30" spans="1:9" x14ac:dyDescent="0.3">
      <c r="A30" s="19" t="s">
        <v>41</v>
      </c>
      <c r="B30" s="19" t="s">
        <v>49</v>
      </c>
      <c r="C30" s="19" t="s">
        <v>50</v>
      </c>
    </row>
    <row r="31" spans="1:9" x14ac:dyDescent="0.3">
      <c r="A31" s="21">
        <v>3</v>
      </c>
      <c r="B31" s="38">
        <v>15</v>
      </c>
      <c r="C31" s="38">
        <v>15</v>
      </c>
    </row>
    <row r="32" spans="1:9" x14ac:dyDescent="0.3">
      <c r="A32" s="21">
        <v>4</v>
      </c>
      <c r="B32" s="38">
        <v>17</v>
      </c>
      <c r="C32" s="38">
        <v>17</v>
      </c>
    </row>
    <row r="33" spans="1:6" x14ac:dyDescent="0.3">
      <c r="A33" s="8">
        <v>5</v>
      </c>
      <c r="B33" s="39">
        <v>19</v>
      </c>
      <c r="C33" s="39">
        <v>19</v>
      </c>
    </row>
    <row r="34" spans="1:6" x14ac:dyDescent="0.3">
      <c r="A34" s="82" t="s">
        <v>105</v>
      </c>
      <c r="B34" s="31"/>
    </row>
    <row r="36" spans="1:6" x14ac:dyDescent="0.3">
      <c r="A36" s="1" t="s">
        <v>46</v>
      </c>
      <c r="B36" s="1" t="str">
        <f>"All wins show for "&amp;A7&amp;" credit bet."</f>
        <v>All wins show for 100 credit bet.</v>
      </c>
    </row>
    <row r="37" spans="1:6" x14ac:dyDescent="0.3">
      <c r="A37" s="19" t="s">
        <v>42</v>
      </c>
      <c r="B37" s="19" t="s">
        <v>43</v>
      </c>
      <c r="C37" s="19">
        <v>3</v>
      </c>
      <c r="D37" s="19">
        <v>4</v>
      </c>
      <c r="E37" s="19">
        <v>5</v>
      </c>
      <c r="F37" s="19" t="s">
        <v>48</v>
      </c>
    </row>
    <row r="38" spans="1:6" x14ac:dyDescent="0.3">
      <c r="A38" s="21" t="s">
        <v>25</v>
      </c>
      <c r="B38" s="21" t="s">
        <v>44</v>
      </c>
      <c r="C38" s="33">
        <v>0</v>
      </c>
      <c r="D38" s="33">
        <v>0</v>
      </c>
      <c r="E38" s="33">
        <v>0</v>
      </c>
      <c r="F38" s="34">
        <v>0</v>
      </c>
    </row>
    <row r="39" spans="1:6" x14ac:dyDescent="0.3">
      <c r="A39" s="8" t="s">
        <v>30</v>
      </c>
      <c r="B39" s="8" t="s">
        <v>45</v>
      </c>
      <c r="C39" s="29">
        <v>0</v>
      </c>
      <c r="D39" s="29">
        <v>0</v>
      </c>
      <c r="E39" s="29">
        <v>0</v>
      </c>
      <c r="F39" s="35">
        <v>1</v>
      </c>
    </row>
    <row r="40" spans="1:6" x14ac:dyDescent="0.3">
      <c r="A40" s="74" t="s">
        <v>26</v>
      </c>
      <c r="B40" s="74" t="s">
        <v>26</v>
      </c>
      <c r="C40" s="74">
        <v>250</v>
      </c>
      <c r="D40" s="74">
        <v>1250</v>
      </c>
      <c r="E40" s="74">
        <v>5000</v>
      </c>
      <c r="F40" s="75">
        <v>2</v>
      </c>
    </row>
    <row r="41" spans="1:6" x14ac:dyDescent="0.3">
      <c r="A41" s="74" t="s">
        <v>27</v>
      </c>
      <c r="B41" s="74" t="s">
        <v>27</v>
      </c>
      <c r="C41" s="74">
        <v>100</v>
      </c>
      <c r="D41" s="74">
        <v>500</v>
      </c>
      <c r="E41" s="74">
        <v>2000</v>
      </c>
      <c r="F41" s="76">
        <v>3</v>
      </c>
    </row>
    <row r="42" spans="1:6" x14ac:dyDescent="0.3">
      <c r="A42" s="74" t="s">
        <v>28</v>
      </c>
      <c r="B42" s="74" t="s">
        <v>28</v>
      </c>
      <c r="C42" s="74">
        <v>75</v>
      </c>
      <c r="D42" s="74">
        <v>250</v>
      </c>
      <c r="E42" s="74">
        <v>1000</v>
      </c>
      <c r="F42" s="75">
        <v>4</v>
      </c>
    </row>
    <row r="43" spans="1:6" x14ac:dyDescent="0.3">
      <c r="A43" s="74" t="s">
        <v>29</v>
      </c>
      <c r="B43" s="74" t="s">
        <v>29</v>
      </c>
      <c r="C43" s="74">
        <v>50</v>
      </c>
      <c r="D43" s="74">
        <v>200</v>
      </c>
      <c r="E43" s="74">
        <v>750</v>
      </c>
      <c r="F43" s="76">
        <v>5</v>
      </c>
    </row>
    <row r="44" spans="1:6" x14ac:dyDescent="0.3">
      <c r="A44" s="74" t="s">
        <v>95</v>
      </c>
      <c r="B44" s="74" t="s">
        <v>95</v>
      </c>
      <c r="C44" s="77">
        <v>25</v>
      </c>
      <c r="D44" s="77">
        <v>100</v>
      </c>
      <c r="E44" s="77">
        <v>500</v>
      </c>
      <c r="F44" s="75">
        <v>6</v>
      </c>
    </row>
    <row r="45" spans="1:6" x14ac:dyDescent="0.3">
      <c r="A45" s="74" t="s">
        <v>23</v>
      </c>
      <c r="B45" s="74" t="s">
        <v>23</v>
      </c>
      <c r="C45" s="74">
        <v>10</v>
      </c>
      <c r="D45" s="74">
        <v>50</v>
      </c>
      <c r="E45" s="74">
        <v>250</v>
      </c>
      <c r="F45" s="76">
        <v>7</v>
      </c>
    </row>
    <row r="46" spans="1:6" x14ac:dyDescent="0.3">
      <c r="A46" s="74" t="s">
        <v>31</v>
      </c>
      <c r="B46" s="74" t="s">
        <v>31</v>
      </c>
      <c r="C46" s="74">
        <v>10</v>
      </c>
      <c r="D46" s="74">
        <v>50</v>
      </c>
      <c r="E46" s="74">
        <v>250</v>
      </c>
      <c r="F46" s="75">
        <v>8</v>
      </c>
    </row>
    <row r="47" spans="1:6" x14ac:dyDescent="0.3">
      <c r="A47" s="74" t="s">
        <v>32</v>
      </c>
      <c r="B47" s="74" t="s">
        <v>32</v>
      </c>
      <c r="C47" s="74">
        <v>10</v>
      </c>
      <c r="D47" s="74">
        <v>50</v>
      </c>
      <c r="E47" s="74">
        <v>250</v>
      </c>
      <c r="F47" s="76">
        <v>9</v>
      </c>
    </row>
    <row r="48" spans="1:6" x14ac:dyDescent="0.3">
      <c r="A48" s="74" t="s">
        <v>33</v>
      </c>
      <c r="B48" s="74" t="s">
        <v>33</v>
      </c>
      <c r="C48" s="74">
        <v>10</v>
      </c>
      <c r="D48" s="74">
        <v>50</v>
      </c>
      <c r="E48" s="74">
        <v>250</v>
      </c>
      <c r="F48" s="75">
        <v>10</v>
      </c>
    </row>
    <row r="49" spans="1:9" x14ac:dyDescent="0.3">
      <c r="A49" s="8" t="s">
        <v>61</v>
      </c>
      <c r="B49" s="8" t="s">
        <v>72</v>
      </c>
      <c r="C49" s="29">
        <v>250</v>
      </c>
      <c r="D49" s="29">
        <v>1250</v>
      </c>
      <c r="E49" s="29">
        <v>5000</v>
      </c>
      <c r="F49" s="35">
        <v>11</v>
      </c>
    </row>
    <row r="50" spans="1:9" x14ac:dyDescent="0.3">
      <c r="A50" s="8" t="s">
        <v>62</v>
      </c>
      <c r="B50" s="8" t="s">
        <v>73</v>
      </c>
      <c r="C50" s="29">
        <v>100</v>
      </c>
      <c r="D50" s="29">
        <v>500</v>
      </c>
      <c r="E50" s="29">
        <v>2000</v>
      </c>
      <c r="F50" s="34">
        <v>12</v>
      </c>
    </row>
    <row r="51" spans="1:9" x14ac:dyDescent="0.3">
      <c r="A51" s="8" t="s">
        <v>63</v>
      </c>
      <c r="B51" s="8" t="s">
        <v>74</v>
      </c>
      <c r="C51" s="29">
        <v>75</v>
      </c>
      <c r="D51" s="29">
        <v>250</v>
      </c>
      <c r="E51" s="29">
        <v>1000</v>
      </c>
      <c r="F51" s="35">
        <v>13</v>
      </c>
    </row>
    <row r="52" spans="1:9" x14ac:dyDescent="0.3">
      <c r="A52" s="8" t="s">
        <v>64</v>
      </c>
      <c r="B52" s="8" t="s">
        <v>75</v>
      </c>
      <c r="C52" s="29">
        <v>50</v>
      </c>
      <c r="D52" s="29">
        <v>200</v>
      </c>
      <c r="E52" s="29">
        <v>750</v>
      </c>
      <c r="F52" s="34">
        <v>14</v>
      </c>
    </row>
    <row r="53" spans="1:9" x14ac:dyDescent="0.3">
      <c r="A53" s="8" t="s">
        <v>96</v>
      </c>
      <c r="B53" s="8" t="s">
        <v>97</v>
      </c>
      <c r="C53" s="65">
        <v>25</v>
      </c>
      <c r="D53" s="65">
        <v>100</v>
      </c>
      <c r="E53" s="65">
        <v>500</v>
      </c>
      <c r="F53" s="35">
        <v>15</v>
      </c>
    </row>
    <row r="54" spans="1:9" x14ac:dyDescent="0.3">
      <c r="A54" s="8" t="s">
        <v>66</v>
      </c>
      <c r="B54" s="8" t="s">
        <v>76</v>
      </c>
      <c r="C54" s="29">
        <v>10</v>
      </c>
      <c r="D54" s="29">
        <v>50</v>
      </c>
      <c r="E54" s="29">
        <v>250</v>
      </c>
      <c r="F54" s="34">
        <v>16</v>
      </c>
    </row>
    <row r="55" spans="1:9" x14ac:dyDescent="0.3">
      <c r="A55" s="8" t="s">
        <v>67</v>
      </c>
      <c r="B55" s="8" t="s">
        <v>77</v>
      </c>
      <c r="C55" s="29">
        <v>10</v>
      </c>
      <c r="D55" s="29">
        <v>50</v>
      </c>
      <c r="E55" s="29">
        <v>250</v>
      </c>
      <c r="F55" s="35">
        <v>17</v>
      </c>
    </row>
    <row r="56" spans="1:9" x14ac:dyDescent="0.3">
      <c r="A56" s="8" t="s">
        <v>69</v>
      </c>
      <c r="B56" s="8" t="s">
        <v>78</v>
      </c>
      <c r="C56" s="29">
        <v>10</v>
      </c>
      <c r="D56" s="29">
        <v>50</v>
      </c>
      <c r="E56" s="29">
        <v>250</v>
      </c>
      <c r="F56" s="34">
        <v>18</v>
      </c>
    </row>
    <row r="57" spans="1:9" x14ac:dyDescent="0.3">
      <c r="A57" s="8" t="s">
        <v>71</v>
      </c>
      <c r="B57" s="8" t="s">
        <v>79</v>
      </c>
      <c r="C57" s="29">
        <v>10</v>
      </c>
      <c r="D57" s="29">
        <v>50</v>
      </c>
      <c r="E57" s="29">
        <v>250</v>
      </c>
      <c r="F57" s="35">
        <v>19</v>
      </c>
    </row>
    <row r="58" spans="1:9" x14ac:dyDescent="0.3">
      <c r="A58" s="23"/>
      <c r="B58" s="23"/>
      <c r="C58" s="23"/>
      <c r="D58" s="23"/>
      <c r="E58" s="23"/>
      <c r="F58" s="23"/>
      <c r="G58" s="23"/>
      <c r="H58" s="23"/>
      <c r="I58" s="23"/>
    </row>
    <row r="59" spans="1:9" x14ac:dyDescent="0.3">
      <c r="A59" s="23"/>
      <c r="B59" s="23"/>
      <c r="C59" s="23"/>
      <c r="D59" s="23"/>
      <c r="E59" s="23"/>
      <c r="F59" s="23"/>
      <c r="G59" s="23"/>
      <c r="H59" s="23"/>
      <c r="I59" s="23"/>
    </row>
    <row r="60" spans="1:9" x14ac:dyDescent="0.3">
      <c r="A60" s="23"/>
      <c r="B60" s="23"/>
      <c r="C60" s="23"/>
      <c r="D60" s="23"/>
      <c r="E60" s="23"/>
      <c r="F60" s="23"/>
      <c r="G60" s="23"/>
      <c r="H60" s="23"/>
      <c r="I60" s="23"/>
    </row>
    <row r="61" spans="1:9" x14ac:dyDescent="0.3">
      <c r="A61" s="23"/>
      <c r="B61" s="23"/>
      <c r="C61" s="23"/>
      <c r="D61" s="23"/>
      <c r="E61" s="23"/>
      <c r="F61" s="23"/>
      <c r="G61" s="23"/>
      <c r="H61" s="23"/>
      <c r="I61" s="23"/>
    </row>
    <row r="62" spans="1:9" x14ac:dyDescent="0.3">
      <c r="A62" s="23"/>
      <c r="B62" s="23"/>
      <c r="C62" s="23"/>
      <c r="D62" s="23"/>
      <c r="E62" s="23"/>
      <c r="F62" s="23"/>
      <c r="G62" s="23"/>
      <c r="H62" s="23"/>
      <c r="I62" s="23"/>
    </row>
    <row r="63" spans="1:9" x14ac:dyDescent="0.3">
      <c r="A63" s="23"/>
      <c r="B63" s="23"/>
      <c r="C63" s="23"/>
      <c r="D63" s="23"/>
      <c r="E63" s="23"/>
      <c r="F63" s="23"/>
      <c r="G63" s="23"/>
      <c r="H63" s="23"/>
      <c r="I63" s="23"/>
    </row>
    <row r="64" spans="1:9" x14ac:dyDescent="0.3">
      <c r="A64" s="23"/>
      <c r="B64" s="23"/>
      <c r="C64" s="23"/>
      <c r="D64" s="23"/>
      <c r="E64" s="23"/>
      <c r="F64" s="23"/>
      <c r="G64" s="23"/>
      <c r="H64" s="23"/>
      <c r="I64" s="23"/>
    </row>
    <row r="65" spans="1:9" x14ac:dyDescent="0.3">
      <c r="A65" s="23"/>
      <c r="B65" s="23"/>
      <c r="C65" s="23"/>
      <c r="D65" s="23"/>
      <c r="E65" s="23"/>
      <c r="F65" s="23"/>
      <c r="G65" s="23"/>
      <c r="H65" s="23"/>
      <c r="I65" s="23"/>
    </row>
    <row r="66" spans="1:9" x14ac:dyDescent="0.3">
      <c r="A66" s="23"/>
      <c r="B66" s="23"/>
      <c r="C66" s="23"/>
      <c r="D66" s="23"/>
      <c r="E66" s="23"/>
      <c r="F66" s="23"/>
      <c r="G66" s="23"/>
      <c r="H66" s="23"/>
      <c r="I66" s="23"/>
    </row>
    <row r="67" spans="1:9" x14ac:dyDescent="0.3">
      <c r="A67" s="23"/>
      <c r="B67" s="23"/>
      <c r="C67" s="23"/>
      <c r="D67" s="23"/>
      <c r="E67" s="23"/>
      <c r="F67" s="23"/>
      <c r="G67" s="23"/>
      <c r="H67" s="23"/>
      <c r="I67" s="23"/>
    </row>
    <row r="68" spans="1:9" x14ac:dyDescent="0.3">
      <c r="A68" s="23"/>
      <c r="B68" s="23"/>
      <c r="C68" s="23"/>
      <c r="D68" s="23"/>
      <c r="E68" s="23"/>
      <c r="F68" s="23"/>
      <c r="G68" s="23"/>
      <c r="H68" s="23"/>
      <c r="I68" s="23"/>
    </row>
    <row r="69" spans="1:9" x14ac:dyDescent="0.3">
      <c r="A69" s="23"/>
      <c r="B69" s="23"/>
      <c r="C69" s="23"/>
      <c r="D69" s="23"/>
      <c r="E69" s="23"/>
      <c r="F69" s="23"/>
      <c r="G69" s="23"/>
      <c r="H69" s="23"/>
      <c r="I69" s="23"/>
    </row>
    <row r="70" spans="1:9" x14ac:dyDescent="0.3">
      <c r="A70" s="23"/>
      <c r="B70" s="23"/>
      <c r="C70" s="23"/>
      <c r="D70" s="23"/>
      <c r="E70" s="23"/>
      <c r="F70" s="23"/>
      <c r="G70" s="23"/>
      <c r="H70" s="23"/>
      <c r="I70" s="23"/>
    </row>
    <row r="71" spans="1:9" x14ac:dyDescent="0.3">
      <c r="A71" s="23"/>
      <c r="B71" s="23"/>
      <c r="C71" s="23"/>
      <c r="D71" s="23"/>
      <c r="E71" s="23"/>
      <c r="F71" s="23"/>
      <c r="G71" s="23"/>
      <c r="H71" s="23"/>
      <c r="I71" s="23"/>
    </row>
    <row r="72" spans="1:9" x14ac:dyDescent="0.3">
      <c r="A72" s="23"/>
      <c r="B72" s="23"/>
      <c r="C72" s="23"/>
      <c r="D72" s="23"/>
      <c r="E72" s="23"/>
      <c r="F72" s="23"/>
      <c r="G72" s="23"/>
      <c r="H72" s="23"/>
      <c r="I72" s="23"/>
    </row>
    <row r="73" spans="1:9" x14ac:dyDescent="0.3">
      <c r="A73" s="23"/>
      <c r="B73" s="23"/>
      <c r="C73" s="23"/>
      <c r="D73" s="23"/>
      <c r="E73" s="23"/>
      <c r="F73" s="23"/>
      <c r="G73" s="23"/>
      <c r="H73" s="23"/>
      <c r="I73" s="23"/>
    </row>
    <row r="74" spans="1:9" x14ac:dyDescent="0.3">
      <c r="A74" s="23"/>
      <c r="B74" s="23"/>
      <c r="C74" s="23"/>
      <c r="D74" s="23"/>
      <c r="E74" s="23"/>
      <c r="F74" s="23"/>
      <c r="G74" s="23"/>
      <c r="H74" s="23"/>
      <c r="I74" s="23"/>
    </row>
    <row r="75" spans="1:9" x14ac:dyDescent="0.3">
      <c r="A75" s="23"/>
      <c r="B75" s="23"/>
      <c r="C75" s="23"/>
      <c r="D75" s="23"/>
      <c r="E75" s="23"/>
      <c r="F75" s="23"/>
      <c r="G75" s="23"/>
      <c r="H75" s="23"/>
      <c r="I75" s="23"/>
    </row>
    <row r="76" spans="1:9" x14ac:dyDescent="0.3">
      <c r="A76" s="23"/>
      <c r="B76" s="23"/>
      <c r="C76" s="23"/>
      <c r="D76" s="23"/>
      <c r="E76" s="23"/>
      <c r="F76" s="23"/>
      <c r="G76" s="23"/>
      <c r="H76" s="23"/>
      <c r="I76" s="23"/>
    </row>
    <row r="77" spans="1:9" x14ac:dyDescent="0.3">
      <c r="A77" s="23"/>
      <c r="B77" s="23"/>
      <c r="C77" s="23"/>
      <c r="D77" s="23"/>
      <c r="E77" s="23"/>
      <c r="F77" s="23"/>
      <c r="G77" s="23"/>
      <c r="H77" s="23"/>
      <c r="I77" s="23"/>
    </row>
    <row r="78" spans="1:9" x14ac:dyDescent="0.3">
      <c r="A78" s="23"/>
      <c r="B78" s="23"/>
      <c r="C78" s="23"/>
      <c r="D78" s="23"/>
      <c r="E78" s="23"/>
      <c r="F78" s="23"/>
      <c r="G78" s="23"/>
      <c r="H78" s="23"/>
      <c r="I78" s="23"/>
    </row>
    <row r="79" spans="1:9" x14ac:dyDescent="0.3">
      <c r="A79" s="23"/>
      <c r="B79" s="23"/>
      <c r="C79" s="23"/>
      <c r="D79" s="23"/>
      <c r="E79" s="23"/>
      <c r="F79" s="23"/>
      <c r="G79" s="23"/>
      <c r="H79" s="23"/>
      <c r="I79" s="23"/>
    </row>
    <row r="80" spans="1:9" x14ac:dyDescent="0.3">
      <c r="B80" s="6"/>
      <c r="C80" s="6"/>
      <c r="D80" s="6"/>
    </row>
    <row r="82" spans="6:9" x14ac:dyDescent="0.3">
      <c r="F82" s="23"/>
      <c r="G82" s="23"/>
      <c r="H82" s="23"/>
      <c r="I82" s="23"/>
    </row>
    <row r="87" spans="6:9" x14ac:dyDescent="0.3">
      <c r="F87" s="23"/>
      <c r="G87" s="23"/>
      <c r="H87" s="23"/>
      <c r="I87" s="23"/>
    </row>
    <row r="92" spans="6:9" x14ac:dyDescent="0.3">
      <c r="F92" s="23"/>
      <c r="G92" s="23"/>
    </row>
    <row r="97" spans="6:7" x14ac:dyDescent="0.3">
      <c r="F97" s="23"/>
      <c r="G97" s="23"/>
    </row>
    <row r="102" spans="6:7" x14ac:dyDescent="0.3">
      <c r="F102" s="23"/>
      <c r="G102" s="23"/>
    </row>
  </sheetData>
  <mergeCells count="6">
    <mergeCell ref="A17:A18"/>
    <mergeCell ref="C17:C18"/>
    <mergeCell ref="D17:D18"/>
    <mergeCell ref="A21:A22"/>
    <mergeCell ref="D21:D22"/>
    <mergeCell ref="C21:C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1:AP130"/>
  <sheetViews>
    <sheetView zoomScale="85" zoomScaleNormal="85" workbookViewId="0">
      <selection activeCell="R20" sqref="R20"/>
    </sheetView>
  </sheetViews>
  <sheetFormatPr defaultColWidth="8.88671875" defaultRowHeight="16.2" x14ac:dyDescent="0.3"/>
  <cols>
    <col min="1" max="8" width="8.88671875" style="16"/>
    <col min="9" max="9" width="57.6640625" style="16" customWidth="1"/>
    <col min="10" max="10" width="16.21875" style="16" bestFit="1" customWidth="1"/>
    <col min="11" max="11" width="10.5546875" style="16" customWidth="1"/>
    <col min="12" max="12" width="11" style="16" bestFit="1" customWidth="1"/>
    <col min="13" max="13" width="8.88671875" style="16"/>
    <col min="14" max="14" width="26" style="16" customWidth="1"/>
    <col min="15" max="27" width="8.88671875" style="16"/>
    <col min="28" max="28" width="11.6640625" style="50" bestFit="1" customWidth="1"/>
    <col min="29" max="29" width="37.33203125" style="16" customWidth="1"/>
    <col min="30" max="30" width="9.5546875" style="16" bestFit="1" customWidth="1"/>
    <col min="31" max="39" width="8.88671875" style="16"/>
    <col min="43" max="16384" width="8.88671875" style="60"/>
  </cols>
  <sheetData>
    <row r="1" spans="1:39" x14ac:dyDescent="0.3">
      <c r="A1" s="16" t="str" cm="1">
        <f t="array" ref="A1:AM56">_xlfn.LET(_xlpm.x, [1]Parameter!$A$1:$AM$56, IF(_xlpm.x="", "", _xlpm.x))</f>
        <v/>
      </c>
      <c r="B1" s="16" t="str">
        <v/>
      </c>
      <c r="C1" s="16" t="str">
        <v/>
      </c>
      <c r="D1" s="16" t="str">
        <v/>
      </c>
      <c r="E1" s="16" t="str">
        <v/>
      </c>
      <c r="F1" s="16" t="str">
        <v/>
      </c>
      <c r="G1" s="16" t="str">
        <v/>
      </c>
      <c r="H1" s="16" t="str">
        <v/>
      </c>
      <c r="I1" s="16" t="str">
        <v/>
      </c>
      <c r="J1" s="16" t="str">
        <v/>
      </c>
      <c r="K1" s="16" t="str">
        <v/>
      </c>
      <c r="L1" s="16" t="str">
        <v/>
      </c>
      <c r="M1" s="16" t="str">
        <v/>
      </c>
      <c r="N1" s="16" t="str">
        <v/>
      </c>
      <c r="O1" s="16" t="str">
        <v/>
      </c>
      <c r="P1" s="16" t="str">
        <v/>
      </c>
      <c r="Q1" s="16" t="str">
        <v/>
      </c>
      <c r="R1" s="16" t="str">
        <v/>
      </c>
      <c r="S1" s="16" t="str">
        <v/>
      </c>
      <c r="T1" s="16" t="str">
        <v/>
      </c>
      <c r="U1" s="16" t="str">
        <v/>
      </c>
      <c r="V1" s="16" t="str">
        <v/>
      </c>
      <c r="W1" s="16" t="str">
        <v/>
      </c>
      <c r="X1" s="16" t="str">
        <v/>
      </c>
      <c r="Y1" s="16" t="str">
        <v/>
      </c>
      <c r="Z1" s="16" t="str">
        <v/>
      </c>
      <c r="AA1" s="16" t="str">
        <v/>
      </c>
      <c r="AB1" s="50" t="str">
        <v/>
      </c>
      <c r="AC1" s="16" t="str">
        <v/>
      </c>
      <c r="AD1" s="16" t="str">
        <v/>
      </c>
      <c r="AE1" s="16" t="str">
        <v/>
      </c>
      <c r="AF1" s="16" t="str">
        <v/>
      </c>
      <c r="AG1" s="16" t="str">
        <v/>
      </c>
      <c r="AH1" s="16" t="str">
        <v/>
      </c>
      <c r="AI1" s="16" t="str">
        <v/>
      </c>
      <c r="AJ1" s="16" t="str">
        <v/>
      </c>
      <c r="AK1" s="16" t="str">
        <v/>
      </c>
      <c r="AL1" s="16" t="str">
        <v/>
      </c>
      <c r="AM1" s="16" t="str">
        <v/>
      </c>
    </row>
    <row r="2" spans="1:39" x14ac:dyDescent="0.3">
      <c r="A2" s="16" t="str">
        <v/>
      </c>
      <c r="B2" s="16" t="str">
        <v/>
      </c>
      <c r="C2" s="16" t="str">
        <v/>
      </c>
      <c r="D2" s="16" t="str">
        <v/>
      </c>
      <c r="E2" s="16" t="str">
        <v/>
      </c>
      <c r="F2" s="16" t="str">
        <v/>
      </c>
      <c r="G2" s="16" t="str">
        <v/>
      </c>
      <c r="H2" s="16" t="str">
        <v/>
      </c>
      <c r="I2" s="16" t="str">
        <v/>
      </c>
      <c r="J2" s="16" t="str">
        <v/>
      </c>
      <c r="K2" s="16" t="str">
        <v/>
      </c>
      <c r="L2" s="16" t="str">
        <v/>
      </c>
      <c r="M2" s="16" t="str">
        <v/>
      </c>
      <c r="N2" s="16" t="str">
        <v/>
      </c>
      <c r="O2" s="16" t="str">
        <v/>
      </c>
      <c r="P2" s="16" t="str">
        <v/>
      </c>
      <c r="Q2" s="16" t="str">
        <v/>
      </c>
      <c r="R2" s="16" t="str">
        <v/>
      </c>
      <c r="S2" s="16" t="str">
        <v/>
      </c>
      <c r="T2" s="16" t="str">
        <v/>
      </c>
      <c r="U2" s="16" t="str">
        <v/>
      </c>
      <c r="V2" s="16" t="str">
        <v/>
      </c>
      <c r="W2" s="16" t="str">
        <v/>
      </c>
      <c r="X2" s="16" t="str">
        <v/>
      </c>
      <c r="Y2" s="16" t="str">
        <v/>
      </c>
      <c r="Z2" s="16" t="str">
        <v/>
      </c>
      <c r="AA2" s="16" t="str">
        <v/>
      </c>
      <c r="AB2" s="50" t="str">
        <v/>
      </c>
      <c r="AC2" s="16" t="str">
        <v/>
      </c>
      <c r="AD2" s="16" t="str">
        <v/>
      </c>
      <c r="AE2" s="16" t="str">
        <v/>
      </c>
      <c r="AF2" s="16" t="str">
        <v/>
      </c>
      <c r="AG2" s="16" t="str">
        <v/>
      </c>
      <c r="AH2" s="16" t="str">
        <v/>
      </c>
      <c r="AI2" s="16" t="str">
        <v/>
      </c>
      <c r="AJ2" s="16" t="str">
        <v/>
      </c>
      <c r="AK2" s="16" t="str">
        <v/>
      </c>
      <c r="AL2" s="16" t="str">
        <v/>
      </c>
      <c r="AM2" s="16" t="str">
        <v/>
      </c>
    </row>
    <row r="3" spans="1:39" x14ac:dyDescent="0.3">
      <c r="A3" s="16" t="str">
        <v/>
      </c>
      <c r="B3" s="16" t="str">
        <v>Line</v>
      </c>
      <c r="C3" s="16" t="str">
        <v/>
      </c>
      <c r="D3" s="16" t="str">
        <v/>
      </c>
      <c r="E3" s="16" t="str">
        <v/>
      </c>
      <c r="F3" s="16" t="str">
        <v/>
      </c>
      <c r="G3" s="16" t="str">
        <v/>
      </c>
      <c r="H3" s="16" t="str">
        <v/>
      </c>
      <c r="I3" s="16" t="str">
        <v>Table Selection Weight - Base Game (Weight/Total)</v>
      </c>
      <c r="J3" s="16" t="str">
        <v/>
      </c>
      <c r="K3" s="16" t="str">
        <v/>
      </c>
      <c r="L3" s="16" t="str">
        <v/>
      </c>
      <c r="M3" s="16" t="str">
        <v/>
      </c>
      <c r="N3" s="16" t="str">
        <v>Multiple Selection Weight - Special Pool (Weight/Total)</v>
      </c>
      <c r="O3" s="16" t="str">
        <v/>
      </c>
      <c r="P3" s="16" t="str">
        <v/>
      </c>
      <c r="Q3" s="16" t="str">
        <v/>
      </c>
      <c r="R3" s="16" t="str">
        <v/>
      </c>
      <c r="S3" s="16" t="str">
        <v/>
      </c>
      <c r="T3" s="16" t="str">
        <v/>
      </c>
      <c r="U3" s="16" t="str">
        <v/>
      </c>
      <c r="V3" s="16" t="str">
        <v/>
      </c>
      <c r="W3" s="16" t="str">
        <v/>
      </c>
      <c r="X3" s="16" t="str">
        <v/>
      </c>
      <c r="Y3" s="16" t="str">
        <v/>
      </c>
      <c r="Z3" s="16" t="str">
        <v/>
      </c>
      <c r="AA3" s="16" t="str">
        <v/>
      </c>
      <c r="AB3" s="50" t="str">
        <v/>
      </c>
      <c r="AC3" s="16" t="str">
        <v>Used Special Pool Weight (Weight/10000)</v>
      </c>
      <c r="AD3" s="16" t="str">
        <v/>
      </c>
      <c r="AE3" s="16" t="str">
        <v/>
      </c>
      <c r="AF3" s="16" t="str">
        <v/>
      </c>
      <c r="AG3" s="16" t="str">
        <v/>
      </c>
      <c r="AH3" s="16" t="str">
        <v/>
      </c>
      <c r="AI3" s="16" t="str">
        <v/>
      </c>
      <c r="AJ3" s="16" t="str">
        <v/>
      </c>
      <c r="AK3" s="16" t="str">
        <v/>
      </c>
      <c r="AL3" s="16" t="str">
        <v/>
      </c>
      <c r="AM3" s="16" t="str">
        <v/>
      </c>
    </row>
    <row r="4" spans="1:39" x14ac:dyDescent="0.3">
      <c r="A4" s="16" t="str">
        <v/>
      </c>
      <c r="B4" s="68" t="str">
        <v>ID</v>
      </c>
      <c r="C4" s="68" t="str">
        <v>R1</v>
      </c>
      <c r="D4" s="68" t="str">
        <v>R2</v>
      </c>
      <c r="E4" s="68" t="str">
        <v>R3</v>
      </c>
      <c r="F4" s="68" t="str">
        <v>R4</v>
      </c>
      <c r="G4" s="68" t="str">
        <v>R5</v>
      </c>
      <c r="H4" s="16" t="str">
        <v/>
      </c>
      <c r="I4" s="67" t="str">
        <v>Worksheet Name</v>
      </c>
      <c r="J4" s="68" t="str">
        <v>Weight</v>
      </c>
      <c r="K4" s="68" t="str">
        <v>RTP</v>
      </c>
      <c r="L4" s="16" t="str">
        <v/>
      </c>
      <c r="M4" s="16" t="str">
        <v/>
      </c>
      <c r="N4" s="68" t="str">
        <v>Worksheet Name \ Multiple</v>
      </c>
      <c r="O4" s="68">
        <v>0</v>
      </c>
      <c r="P4" s="68">
        <v>2</v>
      </c>
      <c r="Q4" s="68">
        <v>3</v>
      </c>
      <c r="R4" s="68">
        <v>5</v>
      </c>
      <c r="S4" s="68">
        <v>8</v>
      </c>
      <c r="T4" s="68">
        <v>10</v>
      </c>
      <c r="U4" s="68">
        <v>15</v>
      </c>
      <c r="V4" s="68">
        <v>20</v>
      </c>
      <c r="W4" s="68">
        <v>25</v>
      </c>
      <c r="X4" s="68">
        <v>35</v>
      </c>
      <c r="Y4" s="68">
        <v>50</v>
      </c>
      <c r="Z4" s="68">
        <v>80</v>
      </c>
      <c r="AA4" s="68">
        <v>100</v>
      </c>
      <c r="AB4" s="50" t="str">
        <v/>
      </c>
      <c r="AC4" s="68" t="str">
        <v>Worksheet Name \ Multiple</v>
      </c>
      <c r="AD4" s="68">
        <v>1</v>
      </c>
      <c r="AE4" s="68">
        <v>2</v>
      </c>
      <c r="AF4" s="68">
        <v>3</v>
      </c>
      <c r="AG4" s="68">
        <v>4</v>
      </c>
      <c r="AH4" s="68">
        <v>5</v>
      </c>
      <c r="AI4" s="68">
        <v>6</v>
      </c>
      <c r="AJ4" s="68">
        <v>7</v>
      </c>
      <c r="AK4" s="68">
        <v>8</v>
      </c>
      <c r="AL4" s="68">
        <v>9</v>
      </c>
      <c r="AM4" s="16" t="str">
        <v/>
      </c>
    </row>
    <row r="5" spans="1:39" x14ac:dyDescent="0.3">
      <c r="A5" s="16" t="str">
        <v/>
      </c>
      <c r="B5" s="62">
        <v>0</v>
      </c>
      <c r="C5" s="79">
        <v>1</v>
      </c>
      <c r="D5" s="79">
        <v>1</v>
      </c>
      <c r="E5" s="79">
        <v>1</v>
      </c>
      <c r="F5" s="79">
        <v>1</v>
      </c>
      <c r="G5" s="79">
        <v>1</v>
      </c>
      <c r="H5" s="16" t="str">
        <v/>
      </c>
      <c r="I5" s="62" t="str">
        <v>BG_Symbol</v>
      </c>
      <c r="J5" s="69">
        <v>6500</v>
      </c>
      <c r="K5" s="84" t="str">
        <v/>
      </c>
      <c r="L5" s="73">
        <v>0.65</v>
      </c>
      <c r="M5" s="16" t="str">
        <v/>
      </c>
      <c r="N5" s="62" t="str">
        <v>BG_Symbol</v>
      </c>
      <c r="O5" s="70">
        <v>0</v>
      </c>
      <c r="P5" s="70">
        <v>0</v>
      </c>
      <c r="Q5" s="70">
        <v>0</v>
      </c>
      <c r="R5" s="70">
        <v>0</v>
      </c>
      <c r="S5" s="70">
        <v>0</v>
      </c>
      <c r="T5" s="70">
        <v>4140</v>
      </c>
      <c r="U5" s="70">
        <v>3000</v>
      </c>
      <c r="V5" s="70">
        <v>2000</v>
      </c>
      <c r="W5" s="70">
        <v>500</v>
      </c>
      <c r="X5" s="70">
        <v>60</v>
      </c>
      <c r="Y5" s="70">
        <v>120</v>
      </c>
      <c r="Z5" s="70">
        <v>60</v>
      </c>
      <c r="AA5" s="70">
        <v>120</v>
      </c>
      <c r="AB5" s="83">
        <v>16.380000000000003</v>
      </c>
      <c r="AC5" s="62" t="str">
        <v>BG_Symbol</v>
      </c>
      <c r="AD5" s="70">
        <v>300</v>
      </c>
      <c r="AE5" s="70">
        <v>600</v>
      </c>
      <c r="AF5" s="70">
        <v>1080</v>
      </c>
      <c r="AG5" s="70">
        <v>1440</v>
      </c>
      <c r="AH5" s="70">
        <v>2250</v>
      </c>
      <c r="AI5" s="70">
        <v>2700</v>
      </c>
      <c r="AJ5" s="70">
        <v>3150</v>
      </c>
      <c r="AK5" s="70">
        <v>3600</v>
      </c>
      <c r="AL5" s="70">
        <v>4050</v>
      </c>
      <c r="AM5" s="16" t="str">
        <v/>
      </c>
    </row>
    <row r="6" spans="1:39" x14ac:dyDescent="0.3">
      <c r="A6" s="16" t="str">
        <v/>
      </c>
      <c r="B6" s="62">
        <v>1</v>
      </c>
      <c r="C6" s="79">
        <v>0</v>
      </c>
      <c r="D6" s="79">
        <v>0</v>
      </c>
      <c r="E6" s="79">
        <v>0</v>
      </c>
      <c r="F6" s="79">
        <v>0</v>
      </c>
      <c r="G6" s="79">
        <v>0</v>
      </c>
      <c r="H6" s="16" t="str">
        <v/>
      </c>
      <c r="I6" s="62" t="str">
        <v>BG_Symbol (2)</v>
      </c>
      <c r="J6" s="70">
        <v>1500</v>
      </c>
      <c r="K6" s="62" t="str">
        <v/>
      </c>
      <c r="L6" s="73">
        <v>0.15</v>
      </c>
      <c r="M6" s="16">
        <v>8000</v>
      </c>
      <c r="N6" s="62" t="str">
        <v>BG_Symbol (2)</v>
      </c>
      <c r="O6" s="70">
        <v>0</v>
      </c>
      <c r="P6" s="70">
        <v>0</v>
      </c>
      <c r="Q6" s="70">
        <v>0</v>
      </c>
      <c r="R6" s="70">
        <v>0</v>
      </c>
      <c r="S6" s="70">
        <v>0</v>
      </c>
      <c r="T6" s="70">
        <v>4970</v>
      </c>
      <c r="U6" s="70">
        <v>3000</v>
      </c>
      <c r="V6" s="70">
        <v>1350</v>
      </c>
      <c r="W6" s="70">
        <v>500</v>
      </c>
      <c r="X6" s="70">
        <v>30</v>
      </c>
      <c r="Y6" s="70">
        <v>60</v>
      </c>
      <c r="Z6" s="70">
        <v>30</v>
      </c>
      <c r="AA6" s="70">
        <v>60</v>
      </c>
      <c r="AB6" s="83">
        <v>14.664999999999999</v>
      </c>
      <c r="AC6" s="62" t="str">
        <v>BG_Symbol (2)</v>
      </c>
      <c r="AD6" s="70">
        <v>0</v>
      </c>
      <c r="AE6" s="70">
        <v>0</v>
      </c>
      <c r="AF6" s="70">
        <v>1050</v>
      </c>
      <c r="AG6" s="70">
        <v>1400</v>
      </c>
      <c r="AH6" s="70">
        <v>1750</v>
      </c>
      <c r="AI6" s="70">
        <v>2100</v>
      </c>
      <c r="AJ6" s="70">
        <v>3675</v>
      </c>
      <c r="AK6" s="70">
        <v>4200</v>
      </c>
      <c r="AL6" s="70">
        <v>4725</v>
      </c>
      <c r="AM6" s="16" t="str">
        <v/>
      </c>
    </row>
    <row r="7" spans="1:39" x14ac:dyDescent="0.3">
      <c r="A7" s="16" t="str">
        <v/>
      </c>
      <c r="B7" s="62">
        <v>2</v>
      </c>
      <c r="C7" s="79">
        <v>2</v>
      </c>
      <c r="D7" s="79">
        <v>2</v>
      </c>
      <c r="E7" s="79">
        <v>2</v>
      </c>
      <c r="F7" s="79">
        <v>2</v>
      </c>
      <c r="G7" s="79">
        <v>2</v>
      </c>
      <c r="H7" s="16" t="str">
        <v/>
      </c>
      <c r="I7" s="62" t="str">
        <v>BG_Symbol (3)</v>
      </c>
      <c r="J7" s="70">
        <v>2000</v>
      </c>
      <c r="K7" s="62" t="str">
        <v/>
      </c>
      <c r="L7" s="73">
        <v>0.2</v>
      </c>
      <c r="M7" s="16" t="str">
        <v/>
      </c>
      <c r="N7" s="62" t="str">
        <v>BG_Symbol (3)</v>
      </c>
      <c r="O7" s="70">
        <v>10000</v>
      </c>
      <c r="P7" s="70">
        <v>0</v>
      </c>
      <c r="Q7" s="70">
        <v>0</v>
      </c>
      <c r="R7" s="70">
        <v>0</v>
      </c>
      <c r="S7" s="70">
        <v>0</v>
      </c>
      <c r="T7" s="70">
        <v>0</v>
      </c>
      <c r="U7" s="70">
        <v>0</v>
      </c>
      <c r="V7" s="70">
        <v>0</v>
      </c>
      <c r="W7" s="70">
        <v>0</v>
      </c>
      <c r="X7" s="70">
        <v>0</v>
      </c>
      <c r="Y7" s="70">
        <v>0</v>
      </c>
      <c r="Z7" s="70">
        <v>0</v>
      </c>
      <c r="AA7" s="70">
        <v>0</v>
      </c>
      <c r="AB7" s="83">
        <v>0</v>
      </c>
      <c r="AC7" s="62" t="str">
        <v>BG_Symbol (3)</v>
      </c>
      <c r="AD7" s="70">
        <v>0</v>
      </c>
      <c r="AE7" s="70">
        <v>0</v>
      </c>
      <c r="AF7" s="70">
        <v>0</v>
      </c>
      <c r="AG7" s="70">
        <v>0</v>
      </c>
      <c r="AH7" s="70">
        <v>0</v>
      </c>
      <c r="AI7" s="70">
        <v>0</v>
      </c>
      <c r="AJ7" s="70">
        <v>0</v>
      </c>
      <c r="AK7" s="70">
        <v>0</v>
      </c>
      <c r="AL7" s="70">
        <v>0</v>
      </c>
      <c r="AM7" s="16" t="str">
        <v/>
      </c>
    </row>
    <row r="8" spans="1:39" x14ac:dyDescent="0.3">
      <c r="A8" s="16" t="str">
        <v/>
      </c>
      <c r="B8" s="62">
        <v>3</v>
      </c>
      <c r="C8" s="79">
        <v>0</v>
      </c>
      <c r="D8" s="79">
        <v>1</v>
      </c>
      <c r="E8" s="79">
        <v>2</v>
      </c>
      <c r="F8" s="79">
        <v>1</v>
      </c>
      <c r="G8" s="79">
        <v>0</v>
      </c>
      <c r="H8" s="16" t="str">
        <v/>
      </c>
      <c r="I8" s="16" t="str">
        <v/>
      </c>
      <c r="J8" s="50">
        <v>10000</v>
      </c>
      <c r="K8" s="50">
        <v>0</v>
      </c>
      <c r="L8" s="50" t="str">
        <v/>
      </c>
      <c r="M8" s="16" t="str">
        <v/>
      </c>
      <c r="N8" s="62" t="str">
        <v>FG_Symbol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4370</v>
      </c>
      <c r="U8" s="70">
        <v>2700</v>
      </c>
      <c r="V8" s="70">
        <v>1400</v>
      </c>
      <c r="W8" s="70">
        <v>270</v>
      </c>
      <c r="X8" s="70">
        <v>270</v>
      </c>
      <c r="Y8" s="70">
        <v>360</v>
      </c>
      <c r="Z8" s="70">
        <v>270</v>
      </c>
      <c r="AA8" s="70">
        <v>360</v>
      </c>
      <c r="AB8" s="83">
        <v>20.400000000000006</v>
      </c>
      <c r="AC8" s="62" t="str">
        <v>FG_Symbol</v>
      </c>
      <c r="AD8" s="70">
        <v>0</v>
      </c>
      <c r="AE8" s="70">
        <v>0</v>
      </c>
      <c r="AF8" s="70">
        <v>525</v>
      </c>
      <c r="AG8" s="70">
        <v>700</v>
      </c>
      <c r="AH8" s="70">
        <v>1750</v>
      </c>
      <c r="AI8" s="70">
        <v>2100</v>
      </c>
      <c r="AJ8" s="70">
        <v>3675</v>
      </c>
      <c r="AK8" s="70">
        <v>4200</v>
      </c>
      <c r="AL8" s="70">
        <v>4725</v>
      </c>
      <c r="AM8" s="16" t="str">
        <v/>
      </c>
    </row>
    <row r="9" spans="1:39" x14ac:dyDescent="0.3">
      <c r="A9" s="16" t="str">
        <v/>
      </c>
      <c r="B9" s="62">
        <v>4</v>
      </c>
      <c r="C9" s="79">
        <v>2</v>
      </c>
      <c r="D9" s="79">
        <v>1</v>
      </c>
      <c r="E9" s="79">
        <v>0</v>
      </c>
      <c r="F9" s="79">
        <v>1</v>
      </c>
      <c r="G9" s="79">
        <v>2</v>
      </c>
      <c r="H9" s="16" t="str">
        <v/>
      </c>
      <c r="I9" s="16" t="str">
        <v/>
      </c>
      <c r="J9" s="16" t="str">
        <v/>
      </c>
      <c r="K9" s="16" t="str">
        <v/>
      </c>
      <c r="L9" s="50" t="str">
        <v/>
      </c>
      <c r="M9" s="16" t="str">
        <v/>
      </c>
      <c r="N9" s="62" t="str">
        <v>FG_Symbol (2)</v>
      </c>
      <c r="O9" s="70">
        <v>0</v>
      </c>
      <c r="P9" s="70">
        <v>0</v>
      </c>
      <c r="Q9" s="70">
        <v>0</v>
      </c>
      <c r="R9" s="70">
        <v>0</v>
      </c>
      <c r="S9" s="70">
        <v>0</v>
      </c>
      <c r="T9" s="70">
        <v>4370</v>
      </c>
      <c r="U9" s="70">
        <v>2700</v>
      </c>
      <c r="V9" s="70">
        <v>1400</v>
      </c>
      <c r="W9" s="70">
        <v>270</v>
      </c>
      <c r="X9" s="70">
        <v>270</v>
      </c>
      <c r="Y9" s="70">
        <v>360</v>
      </c>
      <c r="Z9" s="70">
        <v>270</v>
      </c>
      <c r="AA9" s="70">
        <v>360</v>
      </c>
      <c r="AB9" s="83">
        <v>20.400000000000006</v>
      </c>
      <c r="AC9" s="62" t="str">
        <v>FG_Symbol (2)</v>
      </c>
      <c r="AD9" s="70">
        <v>0</v>
      </c>
      <c r="AE9" s="70">
        <v>0</v>
      </c>
      <c r="AF9" s="70">
        <v>525</v>
      </c>
      <c r="AG9" s="70">
        <v>700</v>
      </c>
      <c r="AH9" s="70">
        <v>1750</v>
      </c>
      <c r="AI9" s="70">
        <v>2100</v>
      </c>
      <c r="AJ9" s="70">
        <v>3675</v>
      </c>
      <c r="AK9" s="70">
        <v>4200</v>
      </c>
      <c r="AL9" s="70">
        <v>4725</v>
      </c>
      <c r="AM9" s="16" t="str">
        <v/>
      </c>
    </row>
    <row r="10" spans="1:39" x14ac:dyDescent="0.3">
      <c r="A10" s="16" t="str">
        <v/>
      </c>
      <c r="B10" s="62">
        <v>5</v>
      </c>
      <c r="C10" s="79">
        <v>0</v>
      </c>
      <c r="D10" s="79">
        <v>0</v>
      </c>
      <c r="E10" s="79">
        <v>1</v>
      </c>
      <c r="F10" s="79">
        <v>0</v>
      </c>
      <c r="G10" s="79">
        <v>0</v>
      </c>
      <c r="H10" s="16" t="str">
        <v/>
      </c>
      <c r="I10" s="16" t="str">
        <v>Table Selection Weight - Free Game (Weight/Total)</v>
      </c>
      <c r="J10" s="16" t="str">
        <v/>
      </c>
      <c r="K10" s="16" t="str">
        <v/>
      </c>
      <c r="L10" s="50" t="str">
        <v/>
      </c>
      <c r="M10" s="16" t="str">
        <v/>
      </c>
      <c r="N10" s="62" t="str">
        <v>FG_Symbol (3)</v>
      </c>
      <c r="O10" s="70">
        <v>0</v>
      </c>
      <c r="P10" s="70">
        <v>0</v>
      </c>
      <c r="Q10" s="70">
        <v>0</v>
      </c>
      <c r="R10" s="70">
        <v>0</v>
      </c>
      <c r="S10" s="70">
        <v>0</v>
      </c>
      <c r="T10" s="70">
        <v>4370</v>
      </c>
      <c r="U10" s="70">
        <v>2700</v>
      </c>
      <c r="V10" s="70">
        <v>1400</v>
      </c>
      <c r="W10" s="70">
        <v>270</v>
      </c>
      <c r="X10" s="70">
        <v>270</v>
      </c>
      <c r="Y10" s="70">
        <v>360</v>
      </c>
      <c r="Z10" s="70">
        <v>270</v>
      </c>
      <c r="AA10" s="70">
        <v>360</v>
      </c>
      <c r="AB10" s="83">
        <v>20.400000000000006</v>
      </c>
      <c r="AC10" s="62" t="str">
        <v>FG_Symbol (3)</v>
      </c>
      <c r="AD10" s="70">
        <v>0</v>
      </c>
      <c r="AE10" s="70">
        <v>0</v>
      </c>
      <c r="AF10" s="70">
        <v>525</v>
      </c>
      <c r="AG10" s="70">
        <v>700</v>
      </c>
      <c r="AH10" s="70">
        <v>1750</v>
      </c>
      <c r="AI10" s="70">
        <v>2100</v>
      </c>
      <c r="AJ10" s="70">
        <v>3675</v>
      </c>
      <c r="AK10" s="70">
        <v>4200</v>
      </c>
      <c r="AL10" s="70">
        <v>4725</v>
      </c>
      <c r="AM10" s="16" t="str">
        <v/>
      </c>
    </row>
    <row r="11" spans="1:39" ht="15.6" customHeight="1" x14ac:dyDescent="0.3">
      <c r="A11" s="16" t="str">
        <v/>
      </c>
      <c r="B11" s="62">
        <v>6</v>
      </c>
      <c r="C11" s="79">
        <v>2</v>
      </c>
      <c r="D11" s="79">
        <v>2</v>
      </c>
      <c r="E11" s="79">
        <v>1</v>
      </c>
      <c r="F11" s="79">
        <v>2</v>
      </c>
      <c r="G11" s="79">
        <v>2</v>
      </c>
      <c r="H11" s="16" t="str">
        <v/>
      </c>
      <c r="I11" s="67" t="str">
        <v>Worksheet Name</v>
      </c>
      <c r="J11" s="68" t="str">
        <v>Weight</v>
      </c>
      <c r="K11" s="68" t="str">
        <v>RTP</v>
      </c>
      <c r="L11" s="16" t="str">
        <v/>
      </c>
      <c r="M11" s="16" t="str">
        <v/>
      </c>
      <c r="N11" s="62" t="str">
        <v>BF_Symbol</v>
      </c>
      <c r="O11" s="70">
        <v>10000</v>
      </c>
      <c r="P11" s="70">
        <v>0</v>
      </c>
      <c r="Q11" s="70">
        <v>0</v>
      </c>
      <c r="R11" s="70">
        <v>0</v>
      </c>
      <c r="S11" s="70">
        <v>0</v>
      </c>
      <c r="T11" s="70">
        <v>0</v>
      </c>
      <c r="U11" s="70">
        <v>0</v>
      </c>
      <c r="V11" s="70">
        <v>0</v>
      </c>
      <c r="W11" s="70">
        <v>0</v>
      </c>
      <c r="X11" s="70">
        <v>0</v>
      </c>
      <c r="Y11" s="70">
        <v>0</v>
      </c>
      <c r="Z11" s="70">
        <v>0</v>
      </c>
      <c r="AA11" s="70">
        <v>0</v>
      </c>
      <c r="AB11" s="83">
        <v>0</v>
      </c>
      <c r="AC11" s="62" t="str">
        <v>BF_Symbol</v>
      </c>
      <c r="AD11" s="70">
        <v>0</v>
      </c>
      <c r="AE11" s="70">
        <v>0</v>
      </c>
      <c r="AF11" s="70">
        <v>0</v>
      </c>
      <c r="AG11" s="70">
        <v>0</v>
      </c>
      <c r="AH11" s="70">
        <v>0</v>
      </c>
      <c r="AI11" s="70">
        <v>0</v>
      </c>
      <c r="AJ11" s="70">
        <v>0</v>
      </c>
      <c r="AK11" s="70">
        <v>0</v>
      </c>
      <c r="AL11" s="70">
        <v>0</v>
      </c>
      <c r="AM11" s="16" t="str">
        <v/>
      </c>
    </row>
    <row r="12" spans="1:39" ht="15.6" customHeight="1" x14ac:dyDescent="0.3">
      <c r="A12" s="16" t="str">
        <v/>
      </c>
      <c r="B12" s="62">
        <v>7</v>
      </c>
      <c r="C12" s="79">
        <v>1</v>
      </c>
      <c r="D12" s="79">
        <v>2</v>
      </c>
      <c r="E12" s="79">
        <v>2</v>
      </c>
      <c r="F12" s="79">
        <v>2</v>
      </c>
      <c r="G12" s="79">
        <v>1</v>
      </c>
      <c r="H12" s="16" t="str">
        <v/>
      </c>
      <c r="I12" s="62" t="str">
        <v>FG_Symbol</v>
      </c>
      <c r="J12" s="69">
        <v>10000</v>
      </c>
      <c r="K12" s="84" t="str">
        <v/>
      </c>
      <c r="L12" s="73">
        <v>1</v>
      </c>
      <c r="M12" s="16" t="str">
        <v/>
      </c>
      <c r="N12" s="16" t="str">
        <v/>
      </c>
      <c r="O12" s="16" t="str">
        <v/>
      </c>
      <c r="P12" s="16" t="str">
        <v/>
      </c>
      <c r="Q12" s="16" t="str">
        <v/>
      </c>
      <c r="R12" s="16" t="str">
        <v/>
      </c>
      <c r="S12" s="16" t="str">
        <v/>
      </c>
      <c r="T12" s="16" t="str">
        <v/>
      </c>
      <c r="U12" s="16" t="str">
        <v/>
      </c>
      <c r="V12" s="16" t="str">
        <v/>
      </c>
      <c r="W12" s="16" t="str">
        <v/>
      </c>
      <c r="X12" s="16" t="str">
        <v/>
      </c>
      <c r="Y12" s="16" t="str">
        <v/>
      </c>
      <c r="Z12" s="16" t="str">
        <v/>
      </c>
      <c r="AA12" s="16" t="str">
        <v/>
      </c>
      <c r="AB12" s="50" t="str">
        <v/>
      </c>
      <c r="AC12" s="16" t="str">
        <v/>
      </c>
      <c r="AD12" s="16" t="str">
        <v/>
      </c>
      <c r="AE12" s="16" t="str">
        <v/>
      </c>
      <c r="AF12" s="16" t="str">
        <v/>
      </c>
      <c r="AG12" s="16" t="str">
        <v/>
      </c>
      <c r="AH12" s="16" t="str">
        <v/>
      </c>
      <c r="AI12" s="16" t="str">
        <v/>
      </c>
      <c r="AJ12" s="16" t="str">
        <v/>
      </c>
      <c r="AK12" s="16" t="str">
        <v/>
      </c>
      <c r="AL12" s="16" t="str">
        <v/>
      </c>
      <c r="AM12" s="16" t="str">
        <v/>
      </c>
    </row>
    <row r="13" spans="1:39" ht="15.6" customHeight="1" x14ac:dyDescent="0.3">
      <c r="A13" s="16" t="str">
        <v/>
      </c>
      <c r="B13" s="62">
        <v>8</v>
      </c>
      <c r="C13" s="79">
        <v>1</v>
      </c>
      <c r="D13" s="79">
        <v>0</v>
      </c>
      <c r="E13" s="79">
        <v>0</v>
      </c>
      <c r="F13" s="79">
        <v>0</v>
      </c>
      <c r="G13" s="79">
        <v>1</v>
      </c>
      <c r="H13" s="16" t="str">
        <v/>
      </c>
      <c r="I13" s="62" t="str">
        <v>FG_Symbol (2)</v>
      </c>
      <c r="J13" s="70">
        <v>0</v>
      </c>
      <c r="K13" s="62" t="str">
        <v/>
      </c>
      <c r="L13" s="73">
        <v>0</v>
      </c>
      <c r="M13" s="16" t="str">
        <v/>
      </c>
      <c r="N13" s="16" t="str">
        <v/>
      </c>
      <c r="O13" s="16" t="str">
        <v/>
      </c>
      <c r="P13" s="16" t="str">
        <v/>
      </c>
      <c r="Q13" s="16" t="str">
        <v/>
      </c>
      <c r="R13" s="16" t="str">
        <v/>
      </c>
      <c r="S13" s="16" t="str">
        <v/>
      </c>
      <c r="T13" s="16" t="str">
        <v/>
      </c>
      <c r="U13" s="16" t="str">
        <v/>
      </c>
      <c r="V13" s="16" t="str">
        <v/>
      </c>
      <c r="W13" s="16" t="str">
        <v/>
      </c>
      <c r="X13" s="16" t="str">
        <v/>
      </c>
      <c r="Y13" s="16" t="str">
        <v/>
      </c>
      <c r="Z13" s="16" t="str">
        <v/>
      </c>
      <c r="AA13" s="16" t="str">
        <v/>
      </c>
      <c r="AB13" s="50" t="str">
        <v/>
      </c>
      <c r="AC13" s="16" t="str">
        <v/>
      </c>
      <c r="AD13" s="16" t="str">
        <v/>
      </c>
      <c r="AE13" s="16" t="str">
        <v/>
      </c>
      <c r="AF13" s="16" t="str">
        <v/>
      </c>
      <c r="AG13" s="16" t="str">
        <v/>
      </c>
      <c r="AH13" s="16" t="str">
        <v/>
      </c>
      <c r="AI13" s="16" t="str">
        <v/>
      </c>
      <c r="AJ13" s="16" t="str">
        <v/>
      </c>
      <c r="AK13" s="16" t="str">
        <v/>
      </c>
      <c r="AL13" s="16" t="str">
        <v/>
      </c>
      <c r="AM13" s="16" t="str">
        <v/>
      </c>
    </row>
    <row r="14" spans="1:39" ht="15.6" customHeight="1" x14ac:dyDescent="0.3">
      <c r="A14" s="16" t="str">
        <v/>
      </c>
      <c r="B14" s="62">
        <v>9</v>
      </c>
      <c r="C14" s="79">
        <v>0</v>
      </c>
      <c r="D14" s="79">
        <v>1</v>
      </c>
      <c r="E14" s="79">
        <v>1</v>
      </c>
      <c r="F14" s="79">
        <v>1</v>
      </c>
      <c r="G14" s="79">
        <v>0</v>
      </c>
      <c r="H14" s="16" t="str">
        <v/>
      </c>
      <c r="I14" s="62" t="str">
        <v>FG_Symbol (3)</v>
      </c>
      <c r="J14" s="70">
        <v>0</v>
      </c>
      <c r="K14" s="62" t="str">
        <v/>
      </c>
      <c r="L14" s="73">
        <v>0</v>
      </c>
      <c r="M14" s="16" t="str">
        <v/>
      </c>
      <c r="N14" s="16" t="str">
        <v>Multiple Selection Weight - Reel3 Before Eliminate (Weight/Total)</v>
      </c>
      <c r="O14" s="16" t="str">
        <v/>
      </c>
      <c r="P14" s="16" t="str">
        <v/>
      </c>
      <c r="Q14" s="16" t="str">
        <v/>
      </c>
      <c r="R14" s="16" t="str">
        <v/>
      </c>
      <c r="S14" s="16" t="str">
        <v/>
      </c>
      <c r="T14" s="16" t="str">
        <v/>
      </c>
      <c r="U14" s="16" t="str">
        <v/>
      </c>
      <c r="V14" s="16" t="str">
        <v/>
      </c>
      <c r="W14" s="16" t="str">
        <v/>
      </c>
      <c r="X14" s="16" t="str">
        <v/>
      </c>
      <c r="Y14" s="16" t="str">
        <v/>
      </c>
      <c r="Z14" s="16" t="str">
        <v/>
      </c>
      <c r="AA14" s="16" t="str">
        <v/>
      </c>
      <c r="AB14" s="50" t="str">
        <v/>
      </c>
      <c r="AC14" s="16" t="str">
        <v/>
      </c>
      <c r="AD14" s="16" t="str">
        <v/>
      </c>
      <c r="AE14" s="16" t="str">
        <v/>
      </c>
      <c r="AF14" s="16" t="str">
        <v/>
      </c>
      <c r="AG14" s="16" t="str">
        <v/>
      </c>
      <c r="AH14" s="16" t="str">
        <v/>
      </c>
      <c r="AI14" s="16" t="str">
        <v/>
      </c>
      <c r="AJ14" s="16" t="str">
        <v/>
      </c>
      <c r="AK14" s="16" t="str">
        <v/>
      </c>
      <c r="AL14" s="16" t="str">
        <v/>
      </c>
      <c r="AM14" s="16" t="str">
        <v/>
      </c>
    </row>
    <row r="15" spans="1:39" ht="15.6" customHeight="1" x14ac:dyDescent="0.3">
      <c r="A15" s="16" t="str">
        <v/>
      </c>
      <c r="B15" s="62">
        <v>10</v>
      </c>
      <c r="C15" s="79">
        <v>2</v>
      </c>
      <c r="D15" s="79">
        <v>1</v>
      </c>
      <c r="E15" s="79">
        <v>1</v>
      </c>
      <c r="F15" s="79">
        <v>1</v>
      </c>
      <c r="G15" s="79">
        <v>2</v>
      </c>
      <c r="H15" s="16" t="str">
        <v/>
      </c>
      <c r="I15" s="16" t="str">
        <v/>
      </c>
      <c r="J15" s="50">
        <v>10000</v>
      </c>
      <c r="K15" s="50">
        <v>0</v>
      </c>
      <c r="L15" s="50" t="str">
        <v/>
      </c>
      <c r="M15" s="16" t="str">
        <v/>
      </c>
      <c r="N15" s="68" t="str">
        <v>Worksheet Name \ Multiple</v>
      </c>
      <c r="O15" s="68">
        <v>0</v>
      </c>
      <c r="P15" s="68">
        <v>2</v>
      </c>
      <c r="Q15" s="68">
        <v>3</v>
      </c>
      <c r="R15" s="68">
        <v>5</v>
      </c>
      <c r="S15" s="68">
        <v>8</v>
      </c>
      <c r="T15" s="68">
        <v>10</v>
      </c>
      <c r="U15" s="68">
        <v>15</v>
      </c>
      <c r="V15" s="68">
        <v>20</v>
      </c>
      <c r="W15" s="68">
        <v>25</v>
      </c>
      <c r="X15" s="68">
        <v>35</v>
      </c>
      <c r="Y15" s="68">
        <v>50</v>
      </c>
      <c r="Z15" s="68">
        <v>80</v>
      </c>
      <c r="AA15" s="68">
        <v>100</v>
      </c>
      <c r="AB15" s="50" t="str">
        <v/>
      </c>
      <c r="AC15" s="16" t="str">
        <v/>
      </c>
      <c r="AD15" s="16" t="str">
        <v/>
      </c>
      <c r="AE15" s="16" t="str">
        <v/>
      </c>
      <c r="AF15" s="16" t="str">
        <v/>
      </c>
      <c r="AG15" s="16" t="str">
        <v/>
      </c>
      <c r="AH15" s="16" t="str">
        <v/>
      </c>
      <c r="AI15" s="16" t="str">
        <v/>
      </c>
      <c r="AJ15" s="16" t="str">
        <v/>
      </c>
      <c r="AK15" s="16" t="str">
        <v/>
      </c>
      <c r="AL15" s="16" t="str">
        <v/>
      </c>
      <c r="AM15" s="16" t="str">
        <v/>
      </c>
    </row>
    <row r="16" spans="1:39" ht="15.6" customHeight="1" x14ac:dyDescent="0.3">
      <c r="A16" s="16" t="str">
        <v/>
      </c>
      <c r="B16" s="62">
        <v>11</v>
      </c>
      <c r="C16" s="79">
        <v>1</v>
      </c>
      <c r="D16" s="79">
        <v>1</v>
      </c>
      <c r="E16" s="79">
        <v>0</v>
      </c>
      <c r="F16" s="79">
        <v>1</v>
      </c>
      <c r="G16" s="79">
        <v>1</v>
      </c>
      <c r="H16" s="16" t="str">
        <v/>
      </c>
      <c r="I16" s="16" t="str">
        <v/>
      </c>
      <c r="J16" s="16" t="str">
        <v/>
      </c>
      <c r="K16" s="16" t="str">
        <v/>
      </c>
      <c r="L16" s="50" t="str">
        <v/>
      </c>
      <c r="M16" s="16" t="str">
        <v/>
      </c>
      <c r="N16" s="84" t="str">
        <v>BG_Symbol</v>
      </c>
      <c r="O16" s="70">
        <v>10000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0</v>
      </c>
      <c r="X16" s="70">
        <v>0</v>
      </c>
      <c r="Y16" s="70">
        <v>0</v>
      </c>
      <c r="Z16" s="70">
        <v>0</v>
      </c>
      <c r="AA16" s="70">
        <v>0</v>
      </c>
      <c r="AB16" s="83">
        <v>0</v>
      </c>
      <c r="AC16" s="16" t="str">
        <v/>
      </c>
      <c r="AD16" s="85" t="str">
        <v/>
      </c>
      <c r="AE16" s="85" t="str">
        <v/>
      </c>
      <c r="AF16" s="16" t="str">
        <v/>
      </c>
      <c r="AG16" s="16" t="str">
        <v/>
      </c>
      <c r="AH16" s="16" t="str">
        <v/>
      </c>
      <c r="AI16" s="16" t="str">
        <v/>
      </c>
      <c r="AJ16" s="16" t="str">
        <v/>
      </c>
      <c r="AK16" s="16" t="str">
        <v/>
      </c>
      <c r="AL16" s="16" t="str">
        <v/>
      </c>
      <c r="AM16" s="16" t="str">
        <v/>
      </c>
    </row>
    <row r="17" spans="1:39" ht="15.6" customHeight="1" x14ac:dyDescent="0.3">
      <c r="A17" s="16" t="str">
        <v/>
      </c>
      <c r="B17" s="62">
        <v>12</v>
      </c>
      <c r="C17" s="79">
        <v>1</v>
      </c>
      <c r="D17" s="79">
        <v>1</v>
      </c>
      <c r="E17" s="79">
        <v>2</v>
      </c>
      <c r="F17" s="79">
        <v>1</v>
      </c>
      <c r="G17" s="79">
        <v>1</v>
      </c>
      <c r="H17" s="16" t="str">
        <v/>
      </c>
      <c r="I17" s="16" t="str">
        <v>Table Selection Weight - Buy Feature (Weight/Total)</v>
      </c>
      <c r="J17" s="16" t="str">
        <v/>
      </c>
      <c r="K17" s="16" t="str">
        <v/>
      </c>
      <c r="L17" s="50" t="str">
        <v/>
      </c>
      <c r="M17" s="16" t="str">
        <v/>
      </c>
      <c r="N17" s="62" t="str">
        <v>BG_Symbol (2)</v>
      </c>
      <c r="O17" s="70">
        <v>0</v>
      </c>
      <c r="P17" s="70">
        <v>4200</v>
      </c>
      <c r="Q17" s="70">
        <v>3400</v>
      </c>
      <c r="R17" s="70">
        <v>1200</v>
      </c>
      <c r="S17" s="70">
        <v>1200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0</v>
      </c>
      <c r="Z17" s="70">
        <v>0</v>
      </c>
      <c r="AA17" s="70">
        <v>0</v>
      </c>
      <c r="AB17" s="83">
        <v>3.42</v>
      </c>
      <c r="AC17" s="16" t="str">
        <v/>
      </c>
      <c r="AD17" s="85" t="str">
        <v/>
      </c>
      <c r="AE17" s="85" t="str">
        <v/>
      </c>
      <c r="AF17" s="16" t="str">
        <v/>
      </c>
      <c r="AG17" s="16" t="str">
        <v/>
      </c>
      <c r="AH17" s="16" t="str">
        <v/>
      </c>
      <c r="AI17" s="16" t="str">
        <v/>
      </c>
      <c r="AJ17" s="16" t="str">
        <v/>
      </c>
      <c r="AK17" s="16" t="str">
        <v/>
      </c>
      <c r="AL17" s="16" t="str">
        <v/>
      </c>
      <c r="AM17" s="16" t="str">
        <v/>
      </c>
    </row>
    <row r="18" spans="1:39" ht="15.6" customHeight="1" x14ac:dyDescent="0.3">
      <c r="A18" s="16" t="str">
        <v/>
      </c>
      <c r="B18" s="62">
        <v>13</v>
      </c>
      <c r="C18" s="79">
        <v>1</v>
      </c>
      <c r="D18" s="79">
        <v>0</v>
      </c>
      <c r="E18" s="79">
        <v>1</v>
      </c>
      <c r="F18" s="79">
        <v>0</v>
      </c>
      <c r="G18" s="79">
        <v>1</v>
      </c>
      <c r="H18" s="16" t="str">
        <v/>
      </c>
      <c r="I18" s="67" t="str">
        <v>Worksheet Name</v>
      </c>
      <c r="J18" s="68" t="str">
        <v>Weight</v>
      </c>
      <c r="K18" s="68" t="str">
        <v>RTP</v>
      </c>
      <c r="L18" s="16" t="str">
        <v/>
      </c>
      <c r="M18" s="16" t="str">
        <v/>
      </c>
      <c r="N18" s="62" t="str">
        <v>BG_Symbol (3)</v>
      </c>
      <c r="O18" s="70">
        <v>10000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0</v>
      </c>
      <c r="Z18" s="70">
        <v>0</v>
      </c>
      <c r="AA18" s="70">
        <v>0</v>
      </c>
      <c r="AB18" s="83">
        <v>0</v>
      </c>
      <c r="AC18" s="16" t="str">
        <v/>
      </c>
      <c r="AD18" s="85" t="str">
        <v/>
      </c>
      <c r="AE18" s="85" t="str">
        <v/>
      </c>
      <c r="AF18" s="16" t="str">
        <v/>
      </c>
      <c r="AG18" s="16" t="str">
        <v/>
      </c>
      <c r="AH18" s="16" t="str">
        <v/>
      </c>
      <c r="AI18" s="16" t="str">
        <v/>
      </c>
      <c r="AJ18" s="16" t="str">
        <v/>
      </c>
      <c r="AK18" s="16" t="str">
        <v/>
      </c>
      <c r="AL18" s="16" t="str">
        <v/>
      </c>
      <c r="AM18" s="16" t="str">
        <v/>
      </c>
    </row>
    <row r="19" spans="1:39" ht="15.6" customHeight="1" x14ac:dyDescent="0.3">
      <c r="A19" s="16" t="str">
        <v/>
      </c>
      <c r="B19" s="62">
        <v>14</v>
      </c>
      <c r="C19" s="79">
        <v>1</v>
      </c>
      <c r="D19" s="79">
        <v>2</v>
      </c>
      <c r="E19" s="79">
        <v>1</v>
      </c>
      <c r="F19" s="79">
        <v>2</v>
      </c>
      <c r="G19" s="79">
        <v>1</v>
      </c>
      <c r="H19" s="16" t="str">
        <v/>
      </c>
      <c r="I19" s="62" t="str">
        <v>FG_Symbol</v>
      </c>
      <c r="J19" s="69">
        <v>10000</v>
      </c>
      <c r="K19" s="84" t="str">
        <v/>
      </c>
      <c r="L19" s="73">
        <v>1</v>
      </c>
      <c r="M19" s="16" t="str">
        <v/>
      </c>
      <c r="N19" s="62" t="str">
        <v>FG_Symbol</v>
      </c>
      <c r="O19" s="70">
        <v>0</v>
      </c>
      <c r="P19" s="70">
        <v>6300</v>
      </c>
      <c r="Q19" s="70">
        <v>2800</v>
      </c>
      <c r="R19" s="70">
        <v>600</v>
      </c>
      <c r="S19" s="70">
        <v>300</v>
      </c>
      <c r="T19" s="70">
        <v>0</v>
      </c>
      <c r="U19" s="70">
        <v>0</v>
      </c>
      <c r="V19" s="70">
        <v>0</v>
      </c>
      <c r="W19" s="70">
        <v>0</v>
      </c>
      <c r="X19" s="70">
        <v>0</v>
      </c>
      <c r="Y19" s="70">
        <v>0</v>
      </c>
      <c r="Z19" s="70">
        <v>0</v>
      </c>
      <c r="AA19" s="70">
        <v>0</v>
      </c>
      <c r="AB19" s="83">
        <v>2.6399999999999997</v>
      </c>
      <c r="AC19" s="16" t="str">
        <v/>
      </c>
      <c r="AD19" s="85" t="str">
        <v/>
      </c>
      <c r="AE19" s="85" t="str">
        <v/>
      </c>
      <c r="AF19" s="16" t="str">
        <v/>
      </c>
      <c r="AG19" s="16" t="str">
        <v/>
      </c>
      <c r="AH19" s="16" t="str">
        <v/>
      </c>
      <c r="AI19" s="16" t="str">
        <v/>
      </c>
      <c r="AJ19" s="16" t="str">
        <v/>
      </c>
      <c r="AK19" s="16" t="str">
        <v/>
      </c>
      <c r="AL19" s="16" t="str">
        <v/>
      </c>
      <c r="AM19" s="16" t="str">
        <v/>
      </c>
    </row>
    <row r="20" spans="1:39" ht="15.6" customHeight="1" x14ac:dyDescent="0.3">
      <c r="A20" s="16" t="str">
        <v/>
      </c>
      <c r="B20" s="62">
        <v>15</v>
      </c>
      <c r="C20" s="79">
        <v>0</v>
      </c>
      <c r="D20" s="79">
        <v>1</v>
      </c>
      <c r="E20" s="79">
        <v>0</v>
      </c>
      <c r="F20" s="79">
        <v>1</v>
      </c>
      <c r="G20" s="79">
        <v>0</v>
      </c>
      <c r="H20" s="16" t="str">
        <v/>
      </c>
      <c r="I20" s="62" t="str">
        <v>FG_Symbol (2)</v>
      </c>
      <c r="J20" s="70">
        <v>0</v>
      </c>
      <c r="K20" s="62" t="str">
        <v/>
      </c>
      <c r="L20" s="73">
        <v>0</v>
      </c>
      <c r="M20" s="16" t="str">
        <v/>
      </c>
      <c r="N20" s="62" t="str">
        <v>FG_Symbol (2)</v>
      </c>
      <c r="O20" s="70">
        <v>0</v>
      </c>
      <c r="P20" s="70">
        <v>6300</v>
      </c>
      <c r="Q20" s="70">
        <v>2800</v>
      </c>
      <c r="R20" s="70">
        <v>600</v>
      </c>
      <c r="S20" s="70">
        <v>300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0</v>
      </c>
      <c r="Z20" s="70">
        <v>0</v>
      </c>
      <c r="AA20" s="70">
        <v>0</v>
      </c>
      <c r="AB20" s="83">
        <v>2.6399999999999997</v>
      </c>
      <c r="AC20" s="16" t="str">
        <v/>
      </c>
      <c r="AD20" s="85" t="str">
        <v/>
      </c>
      <c r="AE20" s="85" t="str">
        <v/>
      </c>
      <c r="AF20" s="16" t="str">
        <v/>
      </c>
      <c r="AG20" s="16" t="str">
        <v/>
      </c>
      <c r="AH20" s="16" t="str">
        <v/>
      </c>
      <c r="AI20" s="16" t="str">
        <v/>
      </c>
      <c r="AJ20" s="16" t="str">
        <v/>
      </c>
      <c r="AK20" s="16" t="str">
        <v/>
      </c>
      <c r="AL20" s="16" t="str">
        <v/>
      </c>
      <c r="AM20" s="16" t="str">
        <v/>
      </c>
    </row>
    <row r="21" spans="1:39" ht="15.6" customHeight="1" x14ac:dyDescent="0.3">
      <c r="A21" s="16" t="str">
        <v/>
      </c>
      <c r="B21" s="62">
        <v>16</v>
      </c>
      <c r="C21" s="79">
        <v>2</v>
      </c>
      <c r="D21" s="79">
        <v>1</v>
      </c>
      <c r="E21" s="79">
        <v>2</v>
      </c>
      <c r="F21" s="79">
        <v>1</v>
      </c>
      <c r="G21" s="79">
        <v>2</v>
      </c>
      <c r="H21" s="16" t="str">
        <v/>
      </c>
      <c r="I21" s="62" t="str">
        <v>FG_Symbol (3)</v>
      </c>
      <c r="J21" s="70">
        <v>0</v>
      </c>
      <c r="K21" s="62" t="str">
        <v/>
      </c>
      <c r="L21" s="73">
        <v>0</v>
      </c>
      <c r="M21" s="16" t="str">
        <v/>
      </c>
      <c r="N21" s="62" t="str">
        <v>FG_Symbol (3)</v>
      </c>
      <c r="O21" s="70">
        <v>0</v>
      </c>
      <c r="P21" s="70">
        <v>6300</v>
      </c>
      <c r="Q21" s="70">
        <v>2800</v>
      </c>
      <c r="R21" s="70">
        <v>600</v>
      </c>
      <c r="S21" s="70">
        <v>300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83">
        <v>2.6399999999999997</v>
      </c>
      <c r="AC21" s="16" t="str">
        <v/>
      </c>
      <c r="AD21" s="85" t="str">
        <v/>
      </c>
      <c r="AE21" s="85" t="str">
        <v/>
      </c>
      <c r="AF21" s="16" t="str">
        <v/>
      </c>
      <c r="AG21" s="16" t="str">
        <v/>
      </c>
      <c r="AH21" s="16" t="str">
        <v/>
      </c>
      <c r="AI21" s="16" t="str">
        <v/>
      </c>
      <c r="AJ21" s="16" t="str">
        <v/>
      </c>
      <c r="AK21" s="16" t="str">
        <v/>
      </c>
      <c r="AL21" s="16" t="str">
        <v/>
      </c>
      <c r="AM21" s="16" t="str">
        <v/>
      </c>
    </row>
    <row r="22" spans="1:39" ht="15.6" customHeight="1" x14ac:dyDescent="0.3">
      <c r="A22" s="16" t="str">
        <v/>
      </c>
      <c r="B22" s="62">
        <v>17</v>
      </c>
      <c r="C22" s="79">
        <v>0</v>
      </c>
      <c r="D22" s="79">
        <v>0</v>
      </c>
      <c r="E22" s="79">
        <v>1</v>
      </c>
      <c r="F22" s="79">
        <v>2</v>
      </c>
      <c r="G22" s="79">
        <v>2</v>
      </c>
      <c r="H22" s="16" t="str">
        <v/>
      </c>
      <c r="I22" s="16" t="str">
        <v/>
      </c>
      <c r="J22" s="50">
        <v>10000</v>
      </c>
      <c r="K22" s="50">
        <v>0</v>
      </c>
      <c r="L22" s="16" t="str">
        <v/>
      </c>
      <c r="M22" s="16" t="str">
        <v/>
      </c>
      <c r="N22" s="62" t="str">
        <v>BF_Symbol</v>
      </c>
      <c r="O22" s="70">
        <v>10000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0</v>
      </c>
      <c r="Z22" s="70">
        <v>0</v>
      </c>
      <c r="AA22" s="70">
        <v>0</v>
      </c>
      <c r="AB22" s="83">
        <v>0</v>
      </c>
      <c r="AC22" s="16" t="str">
        <v/>
      </c>
      <c r="AD22" s="85" t="str">
        <v/>
      </c>
      <c r="AE22" s="85" t="str">
        <v/>
      </c>
      <c r="AF22" s="16" t="str">
        <v/>
      </c>
      <c r="AG22" s="16" t="str">
        <v/>
      </c>
      <c r="AH22" s="16" t="str">
        <v/>
      </c>
      <c r="AI22" s="16" t="str">
        <v/>
      </c>
      <c r="AJ22" s="16" t="str">
        <v/>
      </c>
      <c r="AK22" s="16" t="str">
        <v/>
      </c>
      <c r="AL22" s="16" t="str">
        <v/>
      </c>
      <c r="AM22" s="16" t="str">
        <v/>
      </c>
    </row>
    <row r="23" spans="1:39" ht="15.6" customHeight="1" x14ac:dyDescent="0.3">
      <c r="A23" s="16" t="str">
        <v/>
      </c>
      <c r="B23" s="62">
        <v>18</v>
      </c>
      <c r="C23" s="79">
        <v>2</v>
      </c>
      <c r="D23" s="79">
        <v>2</v>
      </c>
      <c r="E23" s="79">
        <v>1</v>
      </c>
      <c r="F23" s="79">
        <v>0</v>
      </c>
      <c r="G23" s="79">
        <v>0</v>
      </c>
      <c r="H23" s="16" t="str">
        <v/>
      </c>
      <c r="I23" s="16" t="str">
        <v/>
      </c>
      <c r="J23" s="16" t="str">
        <v/>
      </c>
      <c r="K23" s="16" t="str">
        <v/>
      </c>
      <c r="L23" s="16" t="str">
        <v/>
      </c>
      <c r="M23" s="16" t="str">
        <v/>
      </c>
      <c r="N23" s="16" t="str">
        <v/>
      </c>
      <c r="O23" s="16" t="str">
        <v/>
      </c>
      <c r="P23" s="16" t="str">
        <v/>
      </c>
      <c r="Q23" s="16" t="str">
        <v/>
      </c>
      <c r="R23" s="16" t="str">
        <v/>
      </c>
      <c r="S23" s="16" t="str">
        <v/>
      </c>
      <c r="T23" s="16" t="str">
        <v/>
      </c>
      <c r="U23" s="16" t="str">
        <v/>
      </c>
      <c r="V23" s="16" t="str">
        <v/>
      </c>
      <c r="W23" s="16" t="str">
        <v/>
      </c>
      <c r="X23" s="16" t="str">
        <v/>
      </c>
      <c r="Y23" s="16" t="str">
        <v/>
      </c>
      <c r="Z23" s="16" t="str">
        <v/>
      </c>
      <c r="AA23" s="16" t="str">
        <v/>
      </c>
      <c r="AB23" s="50" t="str">
        <v/>
      </c>
      <c r="AC23" s="16" t="str">
        <v/>
      </c>
      <c r="AD23" s="16" t="str">
        <v/>
      </c>
      <c r="AE23" s="16" t="str">
        <v/>
      </c>
      <c r="AF23" s="16" t="str">
        <v/>
      </c>
      <c r="AG23" s="16" t="str">
        <v/>
      </c>
      <c r="AH23" s="16" t="str">
        <v/>
      </c>
      <c r="AI23" s="16" t="str">
        <v/>
      </c>
      <c r="AJ23" s="16" t="str">
        <v/>
      </c>
      <c r="AK23" s="16" t="str">
        <v/>
      </c>
      <c r="AL23" s="16" t="str">
        <v/>
      </c>
      <c r="AM23" s="16" t="str">
        <v/>
      </c>
    </row>
    <row r="24" spans="1:39" ht="15.6" customHeight="1" x14ac:dyDescent="0.3">
      <c r="A24" s="16" t="str">
        <v/>
      </c>
      <c r="B24" s="62">
        <v>19</v>
      </c>
      <c r="C24" s="79">
        <v>0</v>
      </c>
      <c r="D24" s="79">
        <v>2</v>
      </c>
      <c r="E24" s="79">
        <v>0</v>
      </c>
      <c r="F24" s="79">
        <v>2</v>
      </c>
      <c r="G24" s="79">
        <v>0</v>
      </c>
      <c r="H24" s="16" t="str">
        <v/>
      </c>
      <c r="I24" s="16" t="str">
        <v>Multiplier Range</v>
      </c>
      <c r="J24" s="16" t="str">
        <v/>
      </c>
      <c r="K24" s="16" t="str">
        <v/>
      </c>
      <c r="L24" s="16" t="str">
        <v/>
      </c>
      <c r="M24" s="16" t="str">
        <v/>
      </c>
      <c r="N24" s="16" t="str">
        <v/>
      </c>
      <c r="O24" s="16" t="str">
        <v/>
      </c>
      <c r="P24" s="16" t="str">
        <v/>
      </c>
      <c r="Q24" s="16" t="str">
        <v/>
      </c>
      <c r="R24" s="16" t="str">
        <v/>
      </c>
      <c r="S24" s="16" t="str">
        <v/>
      </c>
      <c r="T24" s="16" t="str">
        <v/>
      </c>
      <c r="U24" s="16" t="str">
        <v/>
      </c>
      <c r="V24" s="16" t="str">
        <v/>
      </c>
      <c r="W24" s="16" t="str">
        <v/>
      </c>
      <c r="X24" s="16" t="str">
        <v/>
      </c>
      <c r="Y24" s="16" t="str">
        <v/>
      </c>
      <c r="Z24" s="16" t="str">
        <v/>
      </c>
      <c r="AA24" s="16" t="str">
        <v/>
      </c>
      <c r="AB24" s="50" t="str">
        <v/>
      </c>
      <c r="AC24" s="16" t="str">
        <v/>
      </c>
      <c r="AD24" s="16" t="str">
        <v/>
      </c>
      <c r="AE24" s="16" t="str">
        <v/>
      </c>
      <c r="AF24" s="16" t="str">
        <v/>
      </c>
      <c r="AG24" s="16" t="str">
        <v/>
      </c>
      <c r="AH24" s="16" t="str">
        <v/>
      </c>
      <c r="AI24" s="16" t="str">
        <v/>
      </c>
      <c r="AJ24" s="16" t="str">
        <v/>
      </c>
      <c r="AK24" s="16" t="str">
        <v/>
      </c>
      <c r="AL24" s="16" t="str">
        <v/>
      </c>
      <c r="AM24" s="16" t="str">
        <v/>
      </c>
    </row>
    <row r="25" spans="1:39" ht="15.6" customHeight="1" x14ac:dyDescent="0.3">
      <c r="A25" s="16" t="str">
        <v/>
      </c>
      <c r="B25" s="16" t="str">
        <v/>
      </c>
      <c r="C25" s="16" t="str">
        <v/>
      </c>
      <c r="D25" s="16" t="str">
        <v/>
      </c>
      <c r="E25" s="16" t="str">
        <v/>
      </c>
      <c r="F25" s="16" t="str">
        <v/>
      </c>
      <c r="G25" s="16" t="str">
        <v/>
      </c>
      <c r="H25" s="16" t="str">
        <v/>
      </c>
      <c r="I25" s="68" t="str">
        <v>Multiplier</v>
      </c>
      <c r="J25" s="16" t="str">
        <v/>
      </c>
      <c r="K25" s="16" t="str">
        <v/>
      </c>
      <c r="L25" s="16" t="str">
        <v/>
      </c>
      <c r="M25" s="16" t="str">
        <v/>
      </c>
      <c r="N25" s="16" t="str">
        <v>Multiple Selection Weight - Reel3 After Eliminate (Weight/Total)</v>
      </c>
      <c r="O25" s="16" t="str">
        <v/>
      </c>
      <c r="P25" s="16" t="str">
        <v/>
      </c>
      <c r="Q25" s="16" t="str">
        <v/>
      </c>
      <c r="R25" s="16" t="str">
        <v/>
      </c>
      <c r="S25" s="16" t="str">
        <v/>
      </c>
      <c r="T25" s="16" t="str">
        <v/>
      </c>
      <c r="U25" s="16" t="str">
        <v/>
      </c>
      <c r="V25" s="16" t="str">
        <v/>
      </c>
      <c r="W25" s="16" t="str">
        <v/>
      </c>
      <c r="X25" s="16" t="str">
        <v/>
      </c>
      <c r="Y25" s="16" t="str">
        <v/>
      </c>
      <c r="Z25" s="16" t="str">
        <v/>
      </c>
      <c r="AA25" s="16" t="str">
        <v/>
      </c>
      <c r="AB25" s="50" t="str">
        <v/>
      </c>
      <c r="AC25" s="16" t="str">
        <v/>
      </c>
      <c r="AD25" s="16" t="str">
        <v/>
      </c>
      <c r="AE25" s="16" t="str">
        <v/>
      </c>
      <c r="AF25" s="16" t="str">
        <v/>
      </c>
      <c r="AG25" s="16" t="str">
        <v/>
      </c>
      <c r="AH25" s="16" t="str">
        <v/>
      </c>
      <c r="AI25" s="16" t="str">
        <v/>
      </c>
      <c r="AJ25" s="16" t="str">
        <v/>
      </c>
      <c r="AK25" s="16" t="str">
        <v/>
      </c>
      <c r="AL25" s="16" t="str">
        <v/>
      </c>
      <c r="AM25" s="16" t="str">
        <v/>
      </c>
    </row>
    <row r="26" spans="1:39" ht="15.6" customHeight="1" x14ac:dyDescent="0.3">
      <c r="A26" s="16" t="str">
        <v/>
      </c>
      <c r="B26" s="16" t="str">
        <v/>
      </c>
      <c r="C26" s="16" t="str">
        <v/>
      </c>
      <c r="D26" s="16" t="str">
        <v/>
      </c>
      <c r="E26" s="16" t="str">
        <v/>
      </c>
      <c r="F26" s="16" t="str">
        <v/>
      </c>
      <c r="G26" s="16" t="str">
        <v/>
      </c>
      <c r="H26" s="16" t="str">
        <v/>
      </c>
      <c r="I26" s="78">
        <v>0</v>
      </c>
      <c r="J26" s="16" t="str">
        <v/>
      </c>
      <c r="K26" s="16" t="str">
        <v/>
      </c>
      <c r="L26" s="16" t="str">
        <v/>
      </c>
      <c r="M26" s="16" t="str">
        <v/>
      </c>
      <c r="N26" s="68" t="str">
        <v>Worksheet Name \ Multiple</v>
      </c>
      <c r="O26" s="68">
        <v>0</v>
      </c>
      <c r="P26" s="68">
        <v>2</v>
      </c>
      <c r="Q26" s="68">
        <v>3</v>
      </c>
      <c r="R26" s="68">
        <v>5</v>
      </c>
      <c r="S26" s="68">
        <v>8</v>
      </c>
      <c r="T26" s="68">
        <v>10</v>
      </c>
      <c r="U26" s="68">
        <v>15</v>
      </c>
      <c r="V26" s="68">
        <v>20</v>
      </c>
      <c r="W26" s="68">
        <v>25</v>
      </c>
      <c r="X26" s="68">
        <v>35</v>
      </c>
      <c r="Y26" s="68">
        <v>50</v>
      </c>
      <c r="Z26" s="68">
        <v>80</v>
      </c>
      <c r="AA26" s="68">
        <v>100</v>
      </c>
      <c r="AB26" s="50" t="str">
        <v/>
      </c>
      <c r="AC26" s="16" t="str">
        <v/>
      </c>
      <c r="AD26" s="16" t="str">
        <v/>
      </c>
      <c r="AE26" s="16" t="str">
        <v/>
      </c>
      <c r="AF26" s="16" t="str">
        <v/>
      </c>
      <c r="AG26" s="16" t="str">
        <v/>
      </c>
      <c r="AH26" s="16" t="str">
        <v/>
      </c>
      <c r="AI26" s="16" t="str">
        <v/>
      </c>
      <c r="AJ26" s="16" t="str">
        <v/>
      </c>
      <c r="AK26" s="16" t="str">
        <v/>
      </c>
      <c r="AL26" s="16" t="str">
        <v/>
      </c>
      <c r="AM26" s="16" t="str">
        <v/>
      </c>
    </row>
    <row r="27" spans="1:39" ht="15.6" customHeight="1" x14ac:dyDescent="0.3">
      <c r="A27" s="16" t="str">
        <v/>
      </c>
      <c r="B27" s="16" t="str">
        <v/>
      </c>
      <c r="C27" s="16" t="str">
        <v/>
      </c>
      <c r="D27" s="16" t="str">
        <v/>
      </c>
      <c r="E27" s="16" t="str">
        <v/>
      </c>
      <c r="F27" s="16" t="str">
        <v/>
      </c>
      <c r="G27" s="16" t="str">
        <v/>
      </c>
      <c r="H27" s="16" t="str">
        <v/>
      </c>
      <c r="I27" s="79">
        <v>2</v>
      </c>
      <c r="J27" s="16" t="str">
        <v/>
      </c>
      <c r="K27" s="16" t="str">
        <v/>
      </c>
      <c r="L27" s="16" t="str">
        <v/>
      </c>
      <c r="M27" s="16" t="str">
        <v/>
      </c>
      <c r="N27" s="84" t="str">
        <v>BG_Symbol</v>
      </c>
      <c r="O27" s="70">
        <v>10000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0</v>
      </c>
      <c r="X27" s="70">
        <v>0</v>
      </c>
      <c r="Y27" s="70">
        <v>0</v>
      </c>
      <c r="Z27" s="70">
        <v>0</v>
      </c>
      <c r="AA27" s="70">
        <v>0</v>
      </c>
      <c r="AB27" s="83">
        <v>0</v>
      </c>
      <c r="AC27" s="16" t="str">
        <v/>
      </c>
      <c r="AD27" s="85" t="str">
        <v/>
      </c>
      <c r="AE27" s="85" t="str">
        <v/>
      </c>
      <c r="AF27" s="16" t="str">
        <v/>
      </c>
      <c r="AG27" s="16" t="str">
        <v/>
      </c>
      <c r="AH27" s="16" t="str">
        <v/>
      </c>
      <c r="AI27" s="16" t="str">
        <v/>
      </c>
      <c r="AJ27" s="16" t="str">
        <v/>
      </c>
      <c r="AK27" s="16" t="str">
        <v/>
      </c>
      <c r="AL27" s="16" t="str">
        <v/>
      </c>
      <c r="AM27" s="16" t="str">
        <v/>
      </c>
    </row>
    <row r="28" spans="1:39" x14ac:dyDescent="0.3">
      <c r="A28" s="16" t="str">
        <v/>
      </c>
      <c r="B28" s="16" t="str">
        <v/>
      </c>
      <c r="C28" s="16" t="str">
        <v/>
      </c>
      <c r="D28" s="16" t="str">
        <v/>
      </c>
      <c r="E28" s="16" t="str">
        <v/>
      </c>
      <c r="F28" s="16" t="str">
        <v/>
      </c>
      <c r="G28" s="16" t="str">
        <v/>
      </c>
      <c r="H28" s="16" t="str">
        <v/>
      </c>
      <c r="I28" s="79">
        <v>3</v>
      </c>
      <c r="J28" s="16" t="str">
        <v/>
      </c>
      <c r="K28" s="16" t="str">
        <v/>
      </c>
      <c r="L28" s="16" t="str">
        <v/>
      </c>
      <c r="M28" s="16" t="str">
        <v/>
      </c>
      <c r="N28" s="62" t="str">
        <v>BG_Symbol (2)</v>
      </c>
      <c r="O28" s="70">
        <v>0</v>
      </c>
      <c r="P28" s="70">
        <v>4800</v>
      </c>
      <c r="Q28" s="70">
        <v>4000</v>
      </c>
      <c r="R28" s="70">
        <v>600</v>
      </c>
      <c r="S28" s="70">
        <v>600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  <c r="Z28" s="70">
        <v>0</v>
      </c>
      <c r="AA28" s="70">
        <v>0</v>
      </c>
      <c r="AB28" s="83">
        <v>2.94</v>
      </c>
      <c r="AC28" s="16" t="str">
        <v/>
      </c>
      <c r="AD28" s="85" t="str">
        <v/>
      </c>
      <c r="AE28" s="85" t="str">
        <v/>
      </c>
      <c r="AF28" s="16" t="str">
        <v/>
      </c>
      <c r="AG28" s="16" t="str">
        <v/>
      </c>
      <c r="AH28" s="16" t="str">
        <v/>
      </c>
      <c r="AI28" s="16" t="str">
        <v/>
      </c>
      <c r="AJ28" s="16" t="str">
        <v/>
      </c>
      <c r="AK28" s="16" t="str">
        <v/>
      </c>
      <c r="AL28" s="16" t="str">
        <v/>
      </c>
      <c r="AM28" s="16" t="str">
        <v/>
      </c>
    </row>
    <row r="29" spans="1:39" x14ac:dyDescent="0.3">
      <c r="A29" s="16" t="str">
        <v/>
      </c>
      <c r="B29" s="16" t="str">
        <v/>
      </c>
      <c r="C29" s="16" t="str">
        <v/>
      </c>
      <c r="D29" s="16" t="str">
        <v/>
      </c>
      <c r="E29" s="16" t="str">
        <v/>
      </c>
      <c r="F29" s="16" t="str">
        <v/>
      </c>
      <c r="G29" s="16" t="str">
        <v/>
      </c>
      <c r="H29" s="16" t="str">
        <v/>
      </c>
      <c r="I29" s="79">
        <v>5</v>
      </c>
      <c r="J29" s="16" t="str">
        <v/>
      </c>
      <c r="K29" s="16" t="str">
        <v/>
      </c>
      <c r="L29" s="16" t="str">
        <v/>
      </c>
      <c r="M29" s="16" t="str">
        <v/>
      </c>
      <c r="N29" s="62" t="str">
        <v>BG_Symbol (3)</v>
      </c>
      <c r="O29" s="70">
        <v>10000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0</v>
      </c>
      <c r="Z29" s="70">
        <v>0</v>
      </c>
      <c r="AA29" s="70">
        <v>0</v>
      </c>
      <c r="AB29" s="83">
        <v>0</v>
      </c>
      <c r="AC29" s="16" t="str">
        <v/>
      </c>
      <c r="AD29" s="85" t="str">
        <v/>
      </c>
      <c r="AE29" s="85" t="str">
        <v/>
      </c>
      <c r="AF29" s="16" t="str">
        <v/>
      </c>
      <c r="AG29" s="16" t="str">
        <v/>
      </c>
      <c r="AH29" s="16" t="str">
        <v/>
      </c>
      <c r="AI29" s="16" t="str">
        <v/>
      </c>
      <c r="AJ29" s="16" t="str">
        <v/>
      </c>
      <c r="AK29" s="16" t="str">
        <v/>
      </c>
      <c r="AL29" s="16" t="str">
        <v/>
      </c>
      <c r="AM29" s="16" t="str">
        <v/>
      </c>
    </row>
    <row r="30" spans="1:39" x14ac:dyDescent="0.3">
      <c r="A30" s="16" t="str">
        <v/>
      </c>
      <c r="B30" s="16" t="str">
        <v/>
      </c>
      <c r="C30" s="16" t="str">
        <v/>
      </c>
      <c r="D30" s="16" t="str">
        <v/>
      </c>
      <c r="E30" s="16" t="str">
        <v/>
      </c>
      <c r="F30" s="16" t="str">
        <v/>
      </c>
      <c r="G30" s="16" t="str">
        <v/>
      </c>
      <c r="H30" s="16" t="str">
        <v/>
      </c>
      <c r="I30" s="79">
        <v>8</v>
      </c>
      <c r="J30" s="16" t="str">
        <v/>
      </c>
      <c r="K30" s="16" t="str">
        <v/>
      </c>
      <c r="L30" s="16" t="str">
        <v/>
      </c>
      <c r="M30" s="16" t="str">
        <v/>
      </c>
      <c r="N30" s="62" t="str">
        <v>FG_Symbol</v>
      </c>
      <c r="O30" s="70">
        <v>0</v>
      </c>
      <c r="P30" s="70">
        <v>6550</v>
      </c>
      <c r="Q30" s="70">
        <v>3000</v>
      </c>
      <c r="R30" s="70">
        <v>300</v>
      </c>
      <c r="S30" s="70">
        <v>150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0</v>
      </c>
      <c r="Z30" s="70">
        <v>0</v>
      </c>
      <c r="AA30" s="70">
        <v>0</v>
      </c>
      <c r="AB30" s="83">
        <v>2.48</v>
      </c>
      <c r="AC30" s="16" t="str">
        <v/>
      </c>
      <c r="AD30" s="85" t="str">
        <v/>
      </c>
      <c r="AE30" s="85" t="str">
        <v/>
      </c>
      <c r="AF30" s="16" t="str">
        <v/>
      </c>
      <c r="AG30" s="16" t="str">
        <v/>
      </c>
      <c r="AH30" s="16" t="str">
        <v/>
      </c>
      <c r="AI30" s="16" t="str">
        <v/>
      </c>
      <c r="AJ30" s="16" t="str">
        <v/>
      </c>
      <c r="AK30" s="16" t="str">
        <v/>
      </c>
      <c r="AL30" s="16" t="str">
        <v/>
      </c>
      <c r="AM30" s="16" t="str">
        <v/>
      </c>
    </row>
    <row r="31" spans="1:39" x14ac:dyDescent="0.3">
      <c r="A31" s="16" t="str">
        <v/>
      </c>
      <c r="B31" s="16" t="str">
        <v/>
      </c>
      <c r="C31" s="16" t="str">
        <v/>
      </c>
      <c r="D31" s="16" t="str">
        <v/>
      </c>
      <c r="E31" s="16" t="str">
        <v/>
      </c>
      <c r="F31" s="16" t="str">
        <v/>
      </c>
      <c r="G31" s="16" t="str">
        <v/>
      </c>
      <c r="H31" s="16" t="str">
        <v/>
      </c>
      <c r="I31" s="79">
        <v>10</v>
      </c>
      <c r="J31" s="16" t="str">
        <v/>
      </c>
      <c r="K31" s="16" t="str">
        <v/>
      </c>
      <c r="L31" s="16" t="str">
        <v/>
      </c>
      <c r="M31" s="16" t="str">
        <v/>
      </c>
      <c r="N31" s="62" t="str">
        <v>FG_Symbol (2)</v>
      </c>
      <c r="O31" s="70">
        <v>0</v>
      </c>
      <c r="P31" s="70">
        <v>6550</v>
      </c>
      <c r="Q31" s="70">
        <v>3000</v>
      </c>
      <c r="R31" s="70">
        <v>300</v>
      </c>
      <c r="S31" s="70">
        <v>150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0</v>
      </c>
      <c r="Z31" s="70">
        <v>0</v>
      </c>
      <c r="AA31" s="70">
        <v>0</v>
      </c>
      <c r="AB31" s="83">
        <v>2.48</v>
      </c>
      <c r="AC31" s="16" t="str">
        <v/>
      </c>
      <c r="AD31" s="85" t="str">
        <v/>
      </c>
      <c r="AE31" s="85" t="str">
        <v/>
      </c>
      <c r="AF31" s="16" t="str">
        <v/>
      </c>
      <c r="AG31" s="16" t="str">
        <v/>
      </c>
      <c r="AH31" s="16" t="str">
        <v/>
      </c>
      <c r="AI31" s="16" t="str">
        <v/>
      </c>
      <c r="AJ31" s="16" t="str">
        <v/>
      </c>
      <c r="AK31" s="16" t="str">
        <v/>
      </c>
      <c r="AL31" s="16" t="str">
        <v/>
      </c>
      <c r="AM31" s="16" t="str">
        <v/>
      </c>
    </row>
    <row r="32" spans="1:39" x14ac:dyDescent="0.3">
      <c r="A32" s="16" t="str">
        <v/>
      </c>
      <c r="B32" s="16" t="str">
        <v/>
      </c>
      <c r="C32" s="16" t="str">
        <v/>
      </c>
      <c r="D32" s="16" t="str">
        <v/>
      </c>
      <c r="E32" s="16" t="str">
        <v/>
      </c>
      <c r="F32" s="16" t="str">
        <v/>
      </c>
      <c r="G32" s="16" t="str">
        <v/>
      </c>
      <c r="H32" s="16" t="str">
        <v/>
      </c>
      <c r="I32" s="79">
        <v>15</v>
      </c>
      <c r="J32" s="16" t="str">
        <v/>
      </c>
      <c r="K32" s="16" t="str">
        <v/>
      </c>
      <c r="L32" s="16" t="str">
        <v/>
      </c>
      <c r="M32" s="16" t="str">
        <v/>
      </c>
      <c r="N32" s="62" t="str">
        <v>FG_Symbol (3)</v>
      </c>
      <c r="O32" s="70">
        <v>0</v>
      </c>
      <c r="P32" s="70">
        <v>6550</v>
      </c>
      <c r="Q32" s="70">
        <v>3000</v>
      </c>
      <c r="R32" s="70">
        <v>300</v>
      </c>
      <c r="S32" s="70">
        <v>150</v>
      </c>
      <c r="T32" s="70">
        <v>0</v>
      </c>
      <c r="U32" s="70">
        <v>0</v>
      </c>
      <c r="V32" s="70">
        <v>0</v>
      </c>
      <c r="W32" s="70">
        <v>0</v>
      </c>
      <c r="X32" s="70">
        <v>0</v>
      </c>
      <c r="Y32" s="70">
        <v>0</v>
      </c>
      <c r="Z32" s="70">
        <v>0</v>
      </c>
      <c r="AA32" s="70">
        <v>0</v>
      </c>
      <c r="AB32" s="83">
        <v>2.48</v>
      </c>
      <c r="AC32" s="16" t="str">
        <v/>
      </c>
      <c r="AD32" s="85" t="str">
        <v/>
      </c>
      <c r="AE32" s="85" t="str">
        <v/>
      </c>
      <c r="AF32" s="16" t="str">
        <v/>
      </c>
      <c r="AG32" s="16" t="str">
        <v/>
      </c>
      <c r="AH32" s="16" t="str">
        <v/>
      </c>
      <c r="AI32" s="16" t="str">
        <v/>
      </c>
      <c r="AJ32" s="16" t="str">
        <v/>
      </c>
      <c r="AK32" s="16" t="str">
        <v/>
      </c>
      <c r="AL32" s="16" t="str">
        <v/>
      </c>
      <c r="AM32" s="16" t="str">
        <v/>
      </c>
    </row>
    <row r="33" spans="1:39" x14ac:dyDescent="0.3">
      <c r="A33" s="16" t="str">
        <v/>
      </c>
      <c r="B33" s="16" t="str">
        <v/>
      </c>
      <c r="C33" s="16" t="str">
        <v/>
      </c>
      <c r="D33" s="16" t="str">
        <v/>
      </c>
      <c r="E33" s="16" t="str">
        <v/>
      </c>
      <c r="F33" s="16" t="str">
        <v/>
      </c>
      <c r="G33" s="16" t="str">
        <v/>
      </c>
      <c r="H33" s="16" t="str">
        <v/>
      </c>
      <c r="I33" s="79">
        <v>20</v>
      </c>
      <c r="J33" s="16" t="str">
        <v/>
      </c>
      <c r="K33" s="16" t="str">
        <v/>
      </c>
      <c r="L33" s="16" t="str">
        <v/>
      </c>
      <c r="M33" s="16" t="str">
        <v/>
      </c>
      <c r="N33" s="62" t="str">
        <v>BF_Symbol</v>
      </c>
      <c r="O33" s="70">
        <v>10000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0</v>
      </c>
      <c r="X33" s="70">
        <v>0</v>
      </c>
      <c r="Y33" s="70">
        <v>0</v>
      </c>
      <c r="Z33" s="70">
        <v>0</v>
      </c>
      <c r="AA33" s="70">
        <v>0</v>
      </c>
      <c r="AB33" s="83">
        <v>0</v>
      </c>
      <c r="AC33" s="16" t="str">
        <v/>
      </c>
      <c r="AD33" s="85" t="str">
        <v/>
      </c>
      <c r="AE33" s="85" t="str">
        <v/>
      </c>
      <c r="AF33" s="16" t="str">
        <v/>
      </c>
      <c r="AG33" s="16" t="str">
        <v/>
      </c>
      <c r="AH33" s="16" t="str">
        <v/>
      </c>
      <c r="AI33" s="16" t="str">
        <v/>
      </c>
      <c r="AJ33" s="16" t="str">
        <v/>
      </c>
      <c r="AK33" s="16" t="str">
        <v/>
      </c>
      <c r="AL33" s="16" t="str">
        <v/>
      </c>
      <c r="AM33" s="16" t="str">
        <v/>
      </c>
    </row>
    <row r="34" spans="1:39" x14ac:dyDescent="0.3">
      <c r="A34" s="16" t="str">
        <v/>
      </c>
      <c r="B34" s="16" t="str">
        <v/>
      </c>
      <c r="C34" s="16" t="str">
        <v/>
      </c>
      <c r="D34" s="16" t="str">
        <v/>
      </c>
      <c r="E34" s="16" t="str">
        <v/>
      </c>
      <c r="F34" s="16" t="str">
        <v/>
      </c>
      <c r="G34" s="16" t="str">
        <v/>
      </c>
      <c r="H34" s="16" t="str">
        <v/>
      </c>
      <c r="I34" s="79">
        <v>25</v>
      </c>
      <c r="J34" s="16" t="str">
        <v/>
      </c>
      <c r="K34" s="16" t="str">
        <v/>
      </c>
      <c r="L34" s="16" t="str">
        <v/>
      </c>
      <c r="M34" s="16" t="str">
        <v/>
      </c>
      <c r="N34" s="16" t="str">
        <v/>
      </c>
      <c r="O34" s="16" t="str">
        <v/>
      </c>
      <c r="P34" s="16" t="str">
        <v/>
      </c>
      <c r="Q34" s="16" t="str">
        <v/>
      </c>
      <c r="R34" s="16" t="str">
        <v/>
      </c>
      <c r="S34" s="16" t="str">
        <v/>
      </c>
      <c r="T34" s="16" t="str">
        <v/>
      </c>
      <c r="U34" s="16" t="str">
        <v/>
      </c>
      <c r="V34" s="16" t="str">
        <v/>
      </c>
      <c r="W34" s="16" t="str">
        <v/>
      </c>
      <c r="X34" s="16" t="str">
        <v/>
      </c>
      <c r="Y34" s="16" t="str">
        <v/>
      </c>
      <c r="Z34" s="16" t="str">
        <v/>
      </c>
      <c r="AA34" s="16" t="str">
        <v/>
      </c>
      <c r="AB34" s="50" t="str">
        <v/>
      </c>
      <c r="AC34" s="16" t="str">
        <v/>
      </c>
      <c r="AD34" s="16" t="str">
        <v/>
      </c>
      <c r="AE34" s="16" t="str">
        <v/>
      </c>
      <c r="AF34" s="16" t="str">
        <v/>
      </c>
      <c r="AG34" s="16" t="str">
        <v/>
      </c>
      <c r="AH34" s="16" t="str">
        <v/>
      </c>
      <c r="AI34" s="16" t="str">
        <v/>
      </c>
      <c r="AJ34" s="16" t="str">
        <v/>
      </c>
      <c r="AK34" s="16" t="str">
        <v/>
      </c>
      <c r="AL34" s="16" t="str">
        <v/>
      </c>
      <c r="AM34" s="16" t="str">
        <v/>
      </c>
    </row>
    <row r="35" spans="1:39" x14ac:dyDescent="0.3">
      <c r="A35" s="16" t="str">
        <v/>
      </c>
      <c r="B35" s="16" t="str">
        <v/>
      </c>
      <c r="C35" s="16" t="str">
        <v/>
      </c>
      <c r="D35" s="16" t="str">
        <v/>
      </c>
      <c r="E35" s="16" t="str">
        <v/>
      </c>
      <c r="F35" s="16" t="str">
        <v/>
      </c>
      <c r="G35" s="16" t="str">
        <v/>
      </c>
      <c r="H35" s="16" t="str">
        <v/>
      </c>
      <c r="I35" s="79">
        <v>35</v>
      </c>
      <c r="J35" s="16" t="str">
        <v/>
      </c>
      <c r="K35" s="16" t="str">
        <v/>
      </c>
      <c r="L35" s="16" t="str">
        <v/>
      </c>
      <c r="M35" s="16" t="str">
        <v/>
      </c>
      <c r="N35" s="16" t="str">
        <v/>
      </c>
      <c r="O35" s="16" t="str">
        <v/>
      </c>
      <c r="P35" s="16" t="str">
        <v/>
      </c>
      <c r="Q35" s="16" t="str">
        <v/>
      </c>
      <c r="R35" s="16" t="str">
        <v/>
      </c>
      <c r="S35" s="16" t="str">
        <v/>
      </c>
      <c r="T35" s="16" t="str">
        <v/>
      </c>
      <c r="U35" s="16" t="str">
        <v/>
      </c>
      <c r="V35" s="16" t="str">
        <v/>
      </c>
      <c r="W35" s="16" t="str">
        <v/>
      </c>
      <c r="X35" s="16" t="str">
        <v/>
      </c>
      <c r="Y35" s="16" t="str">
        <v/>
      </c>
      <c r="Z35" s="16" t="str">
        <v/>
      </c>
      <c r="AA35" s="16" t="str">
        <v/>
      </c>
      <c r="AB35" s="50" t="str">
        <v/>
      </c>
      <c r="AC35" s="16" t="str">
        <v/>
      </c>
      <c r="AD35" s="16" t="str">
        <v/>
      </c>
      <c r="AE35" s="16" t="str">
        <v/>
      </c>
      <c r="AF35" s="16" t="str">
        <v/>
      </c>
      <c r="AG35" s="16" t="str">
        <v/>
      </c>
      <c r="AH35" s="16" t="str">
        <v/>
      </c>
      <c r="AI35" s="16" t="str">
        <v/>
      </c>
      <c r="AJ35" s="16" t="str">
        <v/>
      </c>
      <c r="AK35" s="16" t="str">
        <v/>
      </c>
      <c r="AL35" s="16" t="str">
        <v/>
      </c>
      <c r="AM35" s="16" t="str">
        <v/>
      </c>
    </row>
    <row r="36" spans="1:39" x14ac:dyDescent="0.3">
      <c r="A36" s="16" t="str">
        <v/>
      </c>
      <c r="B36" s="16" t="str">
        <v/>
      </c>
      <c r="C36" s="16" t="str">
        <v/>
      </c>
      <c r="D36" s="16" t="str">
        <v/>
      </c>
      <c r="E36" s="16" t="str">
        <v/>
      </c>
      <c r="F36" s="16" t="str">
        <v/>
      </c>
      <c r="G36" s="16" t="str">
        <v/>
      </c>
      <c r="H36" s="16" t="str">
        <v/>
      </c>
      <c r="I36" s="79">
        <v>50</v>
      </c>
      <c r="J36" s="16" t="str">
        <v/>
      </c>
      <c r="K36" s="16" t="str">
        <v/>
      </c>
      <c r="L36" s="16" t="str">
        <v/>
      </c>
      <c r="M36" s="16" t="str">
        <v/>
      </c>
      <c r="N36" s="16" t="str">
        <v>Multiple Selection Weight - Before Eliminate (Weight/Total)</v>
      </c>
      <c r="O36" s="16" t="str">
        <v/>
      </c>
      <c r="P36" s="16" t="str">
        <v/>
      </c>
      <c r="Q36" s="16" t="str">
        <v/>
      </c>
      <c r="R36" s="16" t="str">
        <v/>
      </c>
      <c r="S36" s="16" t="str">
        <v/>
      </c>
      <c r="T36" s="16" t="str">
        <v/>
      </c>
      <c r="U36" s="16" t="str">
        <v/>
      </c>
      <c r="V36" s="16" t="str">
        <v/>
      </c>
      <c r="W36" s="16" t="str">
        <v/>
      </c>
      <c r="X36" s="16" t="str">
        <v/>
      </c>
      <c r="Y36" s="16" t="str">
        <v/>
      </c>
      <c r="Z36" s="16" t="str">
        <v/>
      </c>
      <c r="AA36" s="16" t="str">
        <v/>
      </c>
      <c r="AB36" s="50" t="str">
        <v/>
      </c>
      <c r="AC36" s="16" t="str">
        <v/>
      </c>
      <c r="AD36" s="16" t="str">
        <v/>
      </c>
      <c r="AE36" s="16" t="str">
        <v/>
      </c>
      <c r="AF36" s="16" t="str">
        <v/>
      </c>
      <c r="AG36" s="16" t="str">
        <v/>
      </c>
      <c r="AH36" s="16" t="str">
        <v/>
      </c>
      <c r="AI36" s="16" t="str">
        <v/>
      </c>
      <c r="AJ36" s="16" t="str">
        <v/>
      </c>
      <c r="AK36" s="16" t="str">
        <v/>
      </c>
      <c r="AL36" s="16" t="str">
        <v/>
      </c>
      <c r="AM36" s="16" t="str">
        <v/>
      </c>
    </row>
    <row r="37" spans="1:39" x14ac:dyDescent="0.3">
      <c r="A37" s="16" t="str">
        <v/>
      </c>
      <c r="B37" s="16" t="str">
        <v/>
      </c>
      <c r="C37" s="16" t="str">
        <v/>
      </c>
      <c r="D37" s="16" t="str">
        <v/>
      </c>
      <c r="E37" s="16" t="str">
        <v/>
      </c>
      <c r="F37" s="16" t="str">
        <v/>
      </c>
      <c r="G37" s="16" t="str">
        <v/>
      </c>
      <c r="H37" s="16" t="str">
        <v/>
      </c>
      <c r="I37" s="79">
        <v>80</v>
      </c>
      <c r="J37" s="16" t="str">
        <v/>
      </c>
      <c r="K37" s="16" t="str">
        <v/>
      </c>
      <c r="L37" s="16" t="str">
        <v/>
      </c>
      <c r="M37" s="16" t="str">
        <v/>
      </c>
      <c r="N37" s="68" t="str">
        <v>Worksheet Name \ Multiple</v>
      </c>
      <c r="O37" s="68">
        <v>0</v>
      </c>
      <c r="P37" s="68">
        <v>2</v>
      </c>
      <c r="Q37" s="68">
        <v>3</v>
      </c>
      <c r="R37" s="68">
        <v>5</v>
      </c>
      <c r="S37" s="68">
        <v>8</v>
      </c>
      <c r="T37" s="68">
        <v>10</v>
      </c>
      <c r="U37" s="68">
        <v>15</v>
      </c>
      <c r="V37" s="68">
        <v>20</v>
      </c>
      <c r="W37" s="68">
        <v>25</v>
      </c>
      <c r="X37" s="68">
        <v>35</v>
      </c>
      <c r="Y37" s="68">
        <v>50</v>
      </c>
      <c r="Z37" s="68">
        <v>80</v>
      </c>
      <c r="AA37" s="68">
        <v>100</v>
      </c>
      <c r="AB37" s="50" t="str">
        <v/>
      </c>
      <c r="AC37" s="16" t="str">
        <v/>
      </c>
      <c r="AD37" s="16" t="str">
        <v/>
      </c>
      <c r="AE37" s="16" t="str">
        <v/>
      </c>
      <c r="AF37" s="16" t="str">
        <v/>
      </c>
      <c r="AG37" s="16" t="str">
        <v/>
      </c>
      <c r="AH37" s="16" t="str">
        <v/>
      </c>
      <c r="AI37" s="16" t="str">
        <v/>
      </c>
      <c r="AJ37" s="16" t="str">
        <v/>
      </c>
      <c r="AK37" s="16" t="str">
        <v/>
      </c>
      <c r="AL37" s="16" t="str">
        <v/>
      </c>
      <c r="AM37" s="16" t="str">
        <v/>
      </c>
    </row>
    <row r="38" spans="1:39" x14ac:dyDescent="0.3">
      <c r="A38" s="16" t="str">
        <v/>
      </c>
      <c r="B38" s="16" t="str">
        <v/>
      </c>
      <c r="C38" s="16" t="str">
        <v/>
      </c>
      <c r="D38" s="16" t="str">
        <v/>
      </c>
      <c r="E38" s="16" t="str">
        <v/>
      </c>
      <c r="F38" s="16" t="str">
        <v/>
      </c>
      <c r="G38" s="16" t="str">
        <v/>
      </c>
      <c r="H38" s="16" t="str">
        <v/>
      </c>
      <c r="I38" s="79">
        <v>100</v>
      </c>
      <c r="J38" s="16" t="str">
        <v/>
      </c>
      <c r="K38" s="16" t="str">
        <v/>
      </c>
      <c r="L38" s="16" t="str">
        <v/>
      </c>
      <c r="M38" s="16" t="str">
        <v/>
      </c>
      <c r="N38" s="62" t="str">
        <v>BG_Symbol</v>
      </c>
      <c r="O38" s="70">
        <v>8500</v>
      </c>
      <c r="P38" s="70">
        <v>500</v>
      </c>
      <c r="Q38" s="70">
        <v>400</v>
      </c>
      <c r="R38" s="70">
        <v>300</v>
      </c>
      <c r="S38" s="70">
        <v>300</v>
      </c>
      <c r="T38" s="70">
        <v>0</v>
      </c>
      <c r="U38" s="70">
        <v>0</v>
      </c>
      <c r="V38" s="70">
        <v>0</v>
      </c>
      <c r="W38" s="70">
        <v>0</v>
      </c>
      <c r="X38" s="70">
        <v>0</v>
      </c>
      <c r="Y38" s="70">
        <v>0</v>
      </c>
      <c r="Z38" s="70">
        <v>0</v>
      </c>
      <c r="AA38" s="70">
        <v>0</v>
      </c>
      <c r="AB38" s="83">
        <v>4.0666666666666664</v>
      </c>
      <c r="AC38" s="83" t="str">
        <v/>
      </c>
      <c r="AD38" s="85" t="str">
        <v/>
      </c>
      <c r="AE38" s="85" t="str">
        <v/>
      </c>
      <c r="AF38" s="16" t="str">
        <v/>
      </c>
      <c r="AG38" s="16" t="str">
        <v/>
      </c>
      <c r="AH38" s="16" t="str">
        <v/>
      </c>
      <c r="AI38" s="16" t="str">
        <v/>
      </c>
      <c r="AJ38" s="16" t="str">
        <v/>
      </c>
      <c r="AK38" s="16" t="str">
        <v/>
      </c>
      <c r="AL38" s="16" t="str">
        <v/>
      </c>
      <c r="AM38" s="16" t="str">
        <v/>
      </c>
    </row>
    <row r="39" spans="1:39" x14ac:dyDescent="0.3">
      <c r="A39" s="16" t="str">
        <v/>
      </c>
      <c r="B39" s="16" t="str">
        <v/>
      </c>
      <c r="C39" s="16" t="str">
        <v/>
      </c>
      <c r="D39" s="16" t="str">
        <v/>
      </c>
      <c r="E39" s="16" t="str">
        <v/>
      </c>
      <c r="F39" s="16" t="str">
        <v/>
      </c>
      <c r="G39" s="16" t="str">
        <v/>
      </c>
      <c r="H39" s="16" t="str">
        <v/>
      </c>
      <c r="I39" s="16" t="str">
        <v/>
      </c>
      <c r="J39" s="16" t="str">
        <v/>
      </c>
      <c r="K39" s="16" t="str">
        <v/>
      </c>
      <c r="L39" s="16" t="str">
        <v/>
      </c>
      <c r="M39" s="16" t="str">
        <v/>
      </c>
      <c r="N39" s="62" t="str">
        <v>BG_Symbol (2)</v>
      </c>
      <c r="O39" s="70">
        <v>9100</v>
      </c>
      <c r="P39" s="70">
        <v>350</v>
      </c>
      <c r="Q39" s="70">
        <v>250</v>
      </c>
      <c r="R39" s="70">
        <v>150</v>
      </c>
      <c r="S39" s="70">
        <v>150</v>
      </c>
      <c r="T39" s="70">
        <v>0</v>
      </c>
      <c r="U39" s="70">
        <v>0</v>
      </c>
      <c r="V39" s="70">
        <v>0</v>
      </c>
      <c r="W39" s="70">
        <v>0</v>
      </c>
      <c r="X39" s="70">
        <v>0</v>
      </c>
      <c r="Y39" s="70">
        <v>0</v>
      </c>
      <c r="Z39" s="70">
        <v>0</v>
      </c>
      <c r="AA39" s="70">
        <v>0</v>
      </c>
      <c r="AB39" s="83">
        <v>3.7777777777777777</v>
      </c>
      <c r="AC39" s="83" t="str">
        <v/>
      </c>
      <c r="AD39" s="85" t="str">
        <v/>
      </c>
      <c r="AE39" s="85" t="str">
        <v/>
      </c>
      <c r="AF39" s="16" t="str">
        <v/>
      </c>
      <c r="AG39" s="16" t="str">
        <v/>
      </c>
      <c r="AH39" s="16" t="str">
        <v/>
      </c>
      <c r="AI39" s="16" t="str">
        <v/>
      </c>
      <c r="AJ39" s="16" t="str">
        <v/>
      </c>
      <c r="AK39" s="16" t="str">
        <v/>
      </c>
      <c r="AL39" s="16" t="str">
        <v/>
      </c>
      <c r="AM39" s="16" t="str">
        <v/>
      </c>
    </row>
    <row r="40" spans="1:39" x14ac:dyDescent="0.3">
      <c r="A40" s="16" t="str">
        <v/>
      </c>
      <c r="B40" s="16" t="str">
        <v/>
      </c>
      <c r="C40" s="16" t="str">
        <v/>
      </c>
      <c r="D40" s="16" t="str">
        <v/>
      </c>
      <c r="E40" s="16" t="str">
        <v/>
      </c>
      <c r="F40" s="16" t="str">
        <v/>
      </c>
      <c r="G40" s="16" t="str">
        <v/>
      </c>
      <c r="H40" s="16" t="str">
        <v/>
      </c>
      <c r="I40" s="16" t="str">
        <v/>
      </c>
      <c r="J40" s="16" t="str">
        <v/>
      </c>
      <c r="K40" s="16" t="str">
        <v/>
      </c>
      <c r="L40" s="16" t="str">
        <v/>
      </c>
      <c r="M40" s="16" t="str">
        <v/>
      </c>
      <c r="N40" s="62" t="str">
        <v>BG_Symbol (3)</v>
      </c>
      <c r="O40" s="70">
        <v>9200</v>
      </c>
      <c r="P40" s="70">
        <v>400</v>
      </c>
      <c r="Q40" s="70">
        <v>300</v>
      </c>
      <c r="R40" s="70">
        <v>50</v>
      </c>
      <c r="S40" s="70">
        <v>50</v>
      </c>
      <c r="T40" s="70">
        <v>0</v>
      </c>
      <c r="U40" s="70">
        <v>0</v>
      </c>
      <c r="V40" s="70">
        <v>0</v>
      </c>
      <c r="W40" s="70">
        <v>0</v>
      </c>
      <c r="X40" s="70">
        <v>0</v>
      </c>
      <c r="Y40" s="70">
        <v>0</v>
      </c>
      <c r="Z40" s="70">
        <v>0</v>
      </c>
      <c r="AA40" s="70">
        <v>0</v>
      </c>
      <c r="AB40" s="83">
        <v>2.9375</v>
      </c>
      <c r="AC40" s="83" t="str">
        <v/>
      </c>
      <c r="AD40" s="85" t="str">
        <v/>
      </c>
      <c r="AE40" s="85" t="str">
        <v/>
      </c>
      <c r="AF40" s="16" t="str">
        <v/>
      </c>
      <c r="AG40" s="16" t="str">
        <v/>
      </c>
      <c r="AH40" s="16" t="str">
        <v/>
      </c>
      <c r="AI40" s="16" t="str">
        <v/>
      </c>
      <c r="AJ40" s="16" t="str">
        <v/>
      </c>
      <c r="AK40" s="16" t="str">
        <v/>
      </c>
      <c r="AL40" s="16" t="str">
        <v/>
      </c>
      <c r="AM40" s="16" t="str">
        <v/>
      </c>
    </row>
    <row r="41" spans="1:39" x14ac:dyDescent="0.3">
      <c r="A41" s="16" t="str">
        <v/>
      </c>
      <c r="B41" s="16" t="str">
        <v/>
      </c>
      <c r="C41" s="16" t="str">
        <v/>
      </c>
      <c r="D41" s="16" t="str">
        <v/>
      </c>
      <c r="E41" s="16" t="str">
        <v/>
      </c>
      <c r="F41" s="16" t="str">
        <v/>
      </c>
      <c r="G41" s="16" t="str">
        <v/>
      </c>
      <c r="H41" s="16" t="str">
        <v/>
      </c>
      <c r="I41" s="16" t="str">
        <v>Eliminate Table Weight</v>
      </c>
      <c r="J41" s="16" t="str">
        <v/>
      </c>
      <c r="K41" s="16" t="str">
        <v/>
      </c>
      <c r="L41" s="16" t="str">
        <v/>
      </c>
      <c r="M41" s="16" t="str">
        <v/>
      </c>
      <c r="N41" s="62" t="str">
        <v>FG_Symbol</v>
      </c>
      <c r="O41" s="70">
        <v>6710</v>
      </c>
      <c r="P41" s="70">
        <v>2100</v>
      </c>
      <c r="Q41" s="70">
        <v>860</v>
      </c>
      <c r="R41" s="70">
        <v>220</v>
      </c>
      <c r="S41" s="70">
        <v>110</v>
      </c>
      <c r="T41" s="70">
        <v>0</v>
      </c>
      <c r="U41" s="70">
        <v>0</v>
      </c>
      <c r="V41" s="70">
        <v>0</v>
      </c>
      <c r="W41" s="70">
        <v>0</v>
      </c>
      <c r="X41" s="70">
        <v>0</v>
      </c>
      <c r="Y41" s="70">
        <v>0</v>
      </c>
      <c r="Z41" s="70">
        <v>0</v>
      </c>
      <c r="AA41" s="70">
        <v>0</v>
      </c>
      <c r="AB41" s="83">
        <v>2.6626139817629175</v>
      </c>
      <c r="AC41" s="83" t="str">
        <v/>
      </c>
      <c r="AD41" s="85" t="str">
        <v/>
      </c>
      <c r="AE41" s="85" t="str">
        <v/>
      </c>
      <c r="AF41" s="16" t="str">
        <v/>
      </c>
      <c r="AG41" s="16" t="str">
        <v/>
      </c>
      <c r="AH41" s="16" t="str">
        <v/>
      </c>
      <c r="AI41" s="16" t="str">
        <v/>
      </c>
      <c r="AJ41" s="16" t="str">
        <v/>
      </c>
      <c r="AK41" s="16" t="str">
        <v/>
      </c>
      <c r="AL41" s="16" t="str">
        <v/>
      </c>
      <c r="AM41" s="16" t="str">
        <v/>
      </c>
    </row>
    <row r="42" spans="1:39" x14ac:dyDescent="0.3">
      <c r="A42" s="16" t="str">
        <v/>
      </c>
      <c r="B42" s="16" t="str">
        <v/>
      </c>
      <c r="C42" s="16" t="str">
        <v/>
      </c>
      <c r="D42" s="16" t="str">
        <v/>
      </c>
      <c r="E42" s="16" t="str">
        <v/>
      </c>
      <c r="F42" s="16" t="str">
        <v/>
      </c>
      <c r="G42" s="16" t="str">
        <v/>
      </c>
      <c r="H42" s="16" t="str">
        <v/>
      </c>
      <c r="I42" s="67" t="str">
        <v/>
      </c>
      <c r="J42" s="68" t="str">
        <v xml:space="preserve"> A</v>
      </c>
      <c r="K42" s="68" t="str">
        <v>B</v>
      </c>
      <c r="L42" s="16" t="str">
        <v/>
      </c>
      <c r="M42" s="16" t="str">
        <v/>
      </c>
      <c r="N42" s="62" t="str">
        <v>FG_Symbol (2)</v>
      </c>
      <c r="O42" s="70">
        <v>6710</v>
      </c>
      <c r="P42" s="70">
        <v>2100</v>
      </c>
      <c r="Q42" s="70">
        <v>860</v>
      </c>
      <c r="R42" s="70">
        <v>220</v>
      </c>
      <c r="S42" s="70">
        <v>110</v>
      </c>
      <c r="T42" s="70">
        <v>0</v>
      </c>
      <c r="U42" s="70">
        <v>0</v>
      </c>
      <c r="V42" s="70">
        <v>0</v>
      </c>
      <c r="W42" s="70">
        <v>0</v>
      </c>
      <c r="X42" s="70">
        <v>0</v>
      </c>
      <c r="Y42" s="70">
        <v>0</v>
      </c>
      <c r="Z42" s="70">
        <v>0</v>
      </c>
      <c r="AA42" s="70">
        <v>0</v>
      </c>
      <c r="AB42" s="83">
        <v>2.6626139817629175</v>
      </c>
      <c r="AC42" s="83" t="str">
        <v/>
      </c>
      <c r="AD42" s="85" t="str">
        <v/>
      </c>
      <c r="AE42" s="85" t="str">
        <v/>
      </c>
      <c r="AF42" s="16" t="str">
        <v/>
      </c>
      <c r="AG42" s="16" t="str">
        <v/>
      </c>
      <c r="AH42" s="16" t="str">
        <v/>
      </c>
      <c r="AI42" s="16" t="str">
        <v/>
      </c>
      <c r="AJ42" s="16" t="str">
        <v/>
      </c>
      <c r="AK42" s="16" t="str">
        <v/>
      </c>
      <c r="AL42" s="16" t="str">
        <v/>
      </c>
      <c r="AM42" s="16" t="str">
        <v/>
      </c>
    </row>
    <row r="43" spans="1:39" x14ac:dyDescent="0.3">
      <c r="A43" s="16" t="str">
        <v/>
      </c>
      <c r="B43" s="16" t="str">
        <v/>
      </c>
      <c r="C43" s="16" t="str">
        <v/>
      </c>
      <c r="D43" s="16" t="str">
        <v/>
      </c>
      <c r="E43" s="16" t="str">
        <v/>
      </c>
      <c r="F43" s="16" t="str">
        <v/>
      </c>
      <c r="G43" s="16" t="str">
        <v/>
      </c>
      <c r="H43" s="16" t="str">
        <v/>
      </c>
      <c r="I43" s="62" t="str">
        <v>Base Game</v>
      </c>
      <c r="J43" s="69">
        <v>10</v>
      </c>
      <c r="K43" s="69">
        <v>0</v>
      </c>
      <c r="L43" s="16" t="str">
        <v/>
      </c>
      <c r="M43" s="16" t="str">
        <v/>
      </c>
      <c r="N43" s="62" t="str">
        <v>FG_Symbol (3)</v>
      </c>
      <c r="O43" s="70">
        <v>6710</v>
      </c>
      <c r="P43" s="70">
        <v>2100</v>
      </c>
      <c r="Q43" s="70">
        <v>860</v>
      </c>
      <c r="R43" s="70">
        <v>220</v>
      </c>
      <c r="S43" s="70">
        <v>110</v>
      </c>
      <c r="T43" s="70">
        <v>0</v>
      </c>
      <c r="U43" s="70">
        <v>0</v>
      </c>
      <c r="V43" s="70">
        <v>0</v>
      </c>
      <c r="W43" s="70">
        <v>0</v>
      </c>
      <c r="X43" s="70">
        <v>0</v>
      </c>
      <c r="Y43" s="70">
        <v>0</v>
      </c>
      <c r="Z43" s="70">
        <v>0</v>
      </c>
      <c r="AA43" s="70">
        <v>0</v>
      </c>
      <c r="AB43" s="83">
        <v>2.6626139817629175</v>
      </c>
      <c r="AC43" s="83" t="str">
        <v/>
      </c>
      <c r="AD43" s="85" t="str">
        <v/>
      </c>
      <c r="AE43" s="85" t="str">
        <v/>
      </c>
      <c r="AF43" s="16" t="str">
        <v/>
      </c>
      <c r="AG43" s="16" t="str">
        <v/>
      </c>
      <c r="AH43" s="16" t="str">
        <v/>
      </c>
      <c r="AI43" s="16" t="str">
        <v/>
      </c>
      <c r="AJ43" s="16" t="str">
        <v/>
      </c>
      <c r="AK43" s="16" t="str">
        <v/>
      </c>
      <c r="AL43" s="16" t="str">
        <v/>
      </c>
      <c r="AM43" s="16" t="str">
        <v/>
      </c>
    </row>
    <row r="44" spans="1:39" x14ac:dyDescent="0.3">
      <c r="A44" s="16" t="str">
        <v/>
      </c>
      <c r="B44" s="16" t="str">
        <v/>
      </c>
      <c r="C44" s="16" t="str">
        <v/>
      </c>
      <c r="D44" s="16" t="str">
        <v/>
      </c>
      <c r="E44" s="16" t="str">
        <v/>
      </c>
      <c r="F44" s="16" t="str">
        <v/>
      </c>
      <c r="G44" s="16" t="str">
        <v/>
      </c>
      <c r="H44" s="16" t="str">
        <v/>
      </c>
      <c r="I44" s="62" t="str">
        <v>Free Game</v>
      </c>
      <c r="J44" s="70">
        <v>10</v>
      </c>
      <c r="K44" s="70">
        <v>0</v>
      </c>
      <c r="L44" s="16" t="str">
        <v/>
      </c>
      <c r="M44" s="16" t="str">
        <v/>
      </c>
      <c r="N44" s="62" t="str">
        <v>BF_Symbol</v>
      </c>
      <c r="O44" s="70">
        <v>10000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0</v>
      </c>
      <c r="Z44" s="70">
        <v>0</v>
      </c>
      <c r="AA44" s="70">
        <v>0</v>
      </c>
      <c r="AB44" s="83" t="e">
        <v>#DIV/0!</v>
      </c>
      <c r="AC44" s="83" t="str">
        <v/>
      </c>
      <c r="AD44" s="85" t="str">
        <v/>
      </c>
      <c r="AE44" s="85" t="str">
        <v/>
      </c>
      <c r="AF44" s="16" t="str">
        <v/>
      </c>
      <c r="AG44" s="16" t="str">
        <v/>
      </c>
      <c r="AH44" s="16" t="str">
        <v/>
      </c>
      <c r="AI44" s="16" t="str">
        <v/>
      </c>
      <c r="AJ44" s="16" t="str">
        <v/>
      </c>
      <c r="AK44" s="16" t="str">
        <v/>
      </c>
      <c r="AL44" s="16" t="str">
        <v/>
      </c>
      <c r="AM44" s="16" t="str">
        <v/>
      </c>
    </row>
    <row r="45" spans="1:39" x14ac:dyDescent="0.3">
      <c r="A45" s="16" t="str">
        <v/>
      </c>
      <c r="B45" s="16" t="str">
        <v/>
      </c>
      <c r="C45" s="16" t="str">
        <v/>
      </c>
      <c r="D45" s="16" t="str">
        <v/>
      </c>
      <c r="E45" s="16" t="str">
        <v/>
      </c>
      <c r="F45" s="16" t="str">
        <v/>
      </c>
      <c r="G45" s="16" t="str">
        <v/>
      </c>
      <c r="H45" s="16" t="str">
        <v/>
      </c>
      <c r="I45" s="16" t="str">
        <v/>
      </c>
      <c r="J45" s="16" t="str">
        <v/>
      </c>
      <c r="K45" s="16" t="str">
        <v/>
      </c>
      <c r="L45" s="16" t="str">
        <v/>
      </c>
      <c r="M45" s="16" t="str">
        <v/>
      </c>
      <c r="N45" s="16" t="str">
        <v/>
      </c>
      <c r="O45" s="16" t="str">
        <v/>
      </c>
      <c r="P45" s="16" t="str">
        <v/>
      </c>
      <c r="Q45" s="16" t="str">
        <v/>
      </c>
      <c r="R45" s="16" t="str">
        <v/>
      </c>
      <c r="S45" s="16" t="str">
        <v/>
      </c>
      <c r="T45" s="16" t="str">
        <v/>
      </c>
      <c r="U45" s="16" t="str">
        <v/>
      </c>
      <c r="V45" s="16" t="str">
        <v/>
      </c>
      <c r="W45" s="16" t="str">
        <v/>
      </c>
      <c r="X45" s="16" t="str">
        <v/>
      </c>
      <c r="Y45" s="16" t="str">
        <v/>
      </c>
      <c r="Z45" s="16" t="str">
        <v/>
      </c>
      <c r="AA45" s="16" t="str">
        <v/>
      </c>
      <c r="AB45" s="50" t="str">
        <v/>
      </c>
      <c r="AC45" s="16" t="str">
        <v/>
      </c>
      <c r="AD45" s="16" t="str">
        <v/>
      </c>
      <c r="AE45" s="16" t="str">
        <v/>
      </c>
      <c r="AF45" s="16" t="str">
        <v/>
      </c>
      <c r="AG45" s="16" t="str">
        <v/>
      </c>
      <c r="AH45" s="16" t="str">
        <v/>
      </c>
      <c r="AI45" s="16" t="str">
        <v/>
      </c>
      <c r="AJ45" s="16" t="str">
        <v/>
      </c>
      <c r="AK45" s="16" t="str">
        <v/>
      </c>
      <c r="AL45" s="16" t="str">
        <v/>
      </c>
      <c r="AM45" s="16" t="str">
        <v/>
      </c>
    </row>
    <row r="46" spans="1:39" x14ac:dyDescent="0.3">
      <c r="A46" s="16" t="str">
        <v/>
      </c>
      <c r="B46" s="16" t="str">
        <v/>
      </c>
      <c r="C46" s="16" t="str">
        <v/>
      </c>
      <c r="D46" s="16" t="str">
        <v/>
      </c>
      <c r="E46" s="16" t="str">
        <v/>
      </c>
      <c r="F46" s="16" t="str">
        <v/>
      </c>
      <c r="G46" s="16" t="str">
        <v/>
      </c>
      <c r="H46" s="16" t="str">
        <v/>
      </c>
      <c r="I46" s="16" t="str">
        <v/>
      </c>
      <c r="J46" s="16" t="str">
        <v/>
      </c>
      <c r="K46" s="16" t="str">
        <v/>
      </c>
      <c r="L46" s="16" t="str">
        <v/>
      </c>
      <c r="M46" s="16" t="str">
        <v/>
      </c>
      <c r="N46" s="16" t="str">
        <v/>
      </c>
      <c r="O46" s="16" t="str">
        <v/>
      </c>
      <c r="P46" s="16" t="str">
        <v/>
      </c>
      <c r="Q46" s="16" t="str">
        <v/>
      </c>
      <c r="R46" s="16" t="str">
        <v/>
      </c>
      <c r="S46" s="16" t="str">
        <v/>
      </c>
      <c r="T46" s="16" t="str">
        <v/>
      </c>
      <c r="U46" s="16" t="str">
        <v/>
      </c>
      <c r="V46" s="16" t="str">
        <v/>
      </c>
      <c r="W46" s="16" t="str">
        <v/>
      </c>
      <c r="X46" s="16" t="str">
        <v/>
      </c>
      <c r="Y46" s="16" t="str">
        <v/>
      </c>
      <c r="Z46" s="16" t="str">
        <v/>
      </c>
      <c r="AA46" s="16" t="str">
        <v/>
      </c>
      <c r="AB46" s="50" t="str">
        <v/>
      </c>
      <c r="AC46" s="16" t="str">
        <v/>
      </c>
      <c r="AD46" s="16" t="str">
        <v/>
      </c>
      <c r="AE46" s="16" t="str">
        <v/>
      </c>
      <c r="AF46" s="16" t="str">
        <v/>
      </c>
      <c r="AG46" s="16" t="str">
        <v/>
      </c>
      <c r="AH46" s="16" t="str">
        <v/>
      </c>
      <c r="AI46" s="16" t="str">
        <v/>
      </c>
      <c r="AJ46" s="16" t="str">
        <v/>
      </c>
      <c r="AK46" s="16" t="str">
        <v/>
      </c>
      <c r="AL46" s="16" t="str">
        <v/>
      </c>
      <c r="AM46" s="16" t="str">
        <v/>
      </c>
    </row>
    <row r="47" spans="1:39" x14ac:dyDescent="0.3">
      <c r="A47" s="16" t="str">
        <v/>
      </c>
      <c r="B47" s="16" t="str">
        <v/>
      </c>
      <c r="C47" s="16" t="str">
        <v/>
      </c>
      <c r="D47" s="16" t="str">
        <v/>
      </c>
      <c r="E47" s="16" t="str">
        <v/>
      </c>
      <c r="F47" s="16" t="str">
        <v/>
      </c>
      <c r="G47" s="16" t="str">
        <v/>
      </c>
      <c r="H47" s="16" t="str">
        <v/>
      </c>
      <c r="I47" s="16" t="str">
        <v/>
      </c>
      <c r="J47" s="16" t="str">
        <v/>
      </c>
      <c r="K47" s="16" t="str">
        <v/>
      </c>
      <c r="L47" s="16" t="str">
        <v/>
      </c>
      <c r="M47" s="16" t="str">
        <v/>
      </c>
      <c r="N47" s="16" t="str">
        <v>Multiple Selection Weight - After Eliminate (Weight/Total)</v>
      </c>
      <c r="O47" s="16" t="str">
        <v/>
      </c>
      <c r="P47" s="16" t="str">
        <v/>
      </c>
      <c r="Q47" s="16" t="str">
        <v/>
      </c>
      <c r="R47" s="16" t="str">
        <v/>
      </c>
      <c r="S47" s="16" t="str">
        <v/>
      </c>
      <c r="T47" s="16" t="str">
        <v/>
      </c>
      <c r="U47" s="16" t="str">
        <v/>
      </c>
      <c r="V47" s="16" t="str">
        <v/>
      </c>
      <c r="W47" s="16" t="str">
        <v/>
      </c>
      <c r="X47" s="16" t="str">
        <v/>
      </c>
      <c r="Y47" s="16" t="str">
        <v/>
      </c>
      <c r="Z47" s="16" t="str">
        <v/>
      </c>
      <c r="AA47" s="16" t="str">
        <v/>
      </c>
      <c r="AB47" s="50" t="str">
        <v/>
      </c>
      <c r="AC47" s="16" t="str">
        <v/>
      </c>
      <c r="AD47" s="16" t="str">
        <v/>
      </c>
      <c r="AE47" s="16" t="str">
        <v/>
      </c>
      <c r="AF47" s="16" t="str">
        <v/>
      </c>
      <c r="AG47" s="16" t="str">
        <v/>
      </c>
      <c r="AH47" s="16" t="str">
        <v/>
      </c>
      <c r="AI47" s="16" t="str">
        <v/>
      </c>
      <c r="AJ47" s="16" t="str">
        <v/>
      </c>
      <c r="AK47" s="16" t="str">
        <v/>
      </c>
      <c r="AL47" s="16" t="str">
        <v/>
      </c>
      <c r="AM47" s="16" t="str">
        <v/>
      </c>
    </row>
    <row r="48" spans="1:39" x14ac:dyDescent="0.3">
      <c r="A48" s="16" t="str">
        <v/>
      </c>
      <c r="B48" s="16" t="str">
        <v/>
      </c>
      <c r="C48" s="16" t="str">
        <v/>
      </c>
      <c r="D48" s="16" t="str">
        <v/>
      </c>
      <c r="E48" s="16" t="str">
        <v/>
      </c>
      <c r="F48" s="16" t="str">
        <v/>
      </c>
      <c r="G48" s="16" t="str">
        <v/>
      </c>
      <c r="H48" s="16" t="str">
        <v/>
      </c>
      <c r="I48" s="16" t="str">
        <v/>
      </c>
      <c r="J48" s="16" t="str">
        <v/>
      </c>
      <c r="K48" s="16" t="str">
        <v/>
      </c>
      <c r="L48" s="16" t="str">
        <v/>
      </c>
      <c r="M48" s="16" t="str">
        <v/>
      </c>
      <c r="N48" s="68" t="str">
        <v>Worksheet Name \ Multiple</v>
      </c>
      <c r="O48" s="68">
        <v>0</v>
      </c>
      <c r="P48" s="68">
        <v>2</v>
      </c>
      <c r="Q48" s="68">
        <v>3</v>
      </c>
      <c r="R48" s="68">
        <v>5</v>
      </c>
      <c r="S48" s="68">
        <v>8</v>
      </c>
      <c r="T48" s="68">
        <v>10</v>
      </c>
      <c r="U48" s="68">
        <v>15</v>
      </c>
      <c r="V48" s="68">
        <v>20</v>
      </c>
      <c r="W48" s="68">
        <v>25</v>
      </c>
      <c r="X48" s="68">
        <v>35</v>
      </c>
      <c r="Y48" s="68">
        <v>50</v>
      </c>
      <c r="Z48" s="68">
        <v>80</v>
      </c>
      <c r="AA48" s="68">
        <v>100</v>
      </c>
      <c r="AB48" s="50" t="str">
        <v/>
      </c>
      <c r="AC48" s="16" t="str">
        <v/>
      </c>
      <c r="AD48" s="16" t="str">
        <v/>
      </c>
      <c r="AE48" s="16" t="str">
        <v/>
      </c>
      <c r="AF48" s="16" t="str">
        <v/>
      </c>
      <c r="AG48" s="16" t="str">
        <v/>
      </c>
      <c r="AH48" s="16" t="str">
        <v/>
      </c>
      <c r="AI48" s="16" t="str">
        <v/>
      </c>
      <c r="AJ48" s="16" t="str">
        <v/>
      </c>
      <c r="AK48" s="16" t="str">
        <v/>
      </c>
      <c r="AL48" s="16" t="str">
        <v/>
      </c>
      <c r="AM48" s="16" t="str">
        <v/>
      </c>
    </row>
    <row r="49" spans="1:39" x14ac:dyDescent="0.3">
      <c r="A49" s="16" t="str">
        <v/>
      </c>
      <c r="B49" s="16" t="str">
        <v/>
      </c>
      <c r="C49" s="16" t="str">
        <v/>
      </c>
      <c r="D49" s="16" t="str">
        <v/>
      </c>
      <c r="E49" s="16" t="str">
        <v/>
      </c>
      <c r="F49" s="16" t="str">
        <v/>
      </c>
      <c r="G49" s="16" t="str">
        <v/>
      </c>
      <c r="H49" s="16" t="str">
        <v/>
      </c>
      <c r="I49" s="16" t="str">
        <v/>
      </c>
      <c r="J49" s="16" t="str">
        <v/>
      </c>
      <c r="K49" s="16" t="str">
        <v/>
      </c>
      <c r="L49" s="16" t="str">
        <v/>
      </c>
      <c r="M49" s="16" t="str">
        <v/>
      </c>
      <c r="N49" s="62" t="str">
        <v>BG_Symbol</v>
      </c>
      <c r="O49" s="70">
        <v>8500</v>
      </c>
      <c r="P49" s="70">
        <v>600</v>
      </c>
      <c r="Q49" s="70">
        <v>500</v>
      </c>
      <c r="R49" s="70">
        <v>200</v>
      </c>
      <c r="S49" s="70">
        <v>200</v>
      </c>
      <c r="T49" s="70">
        <v>0</v>
      </c>
      <c r="U49" s="70">
        <v>0</v>
      </c>
      <c r="V49" s="70">
        <v>0</v>
      </c>
      <c r="W49" s="70">
        <v>0</v>
      </c>
      <c r="X49" s="70">
        <v>0</v>
      </c>
      <c r="Y49" s="70">
        <v>0</v>
      </c>
      <c r="Z49" s="70">
        <v>0</v>
      </c>
      <c r="AA49" s="70">
        <v>0</v>
      </c>
      <c r="AB49" s="83">
        <v>3.5333333333333332</v>
      </c>
      <c r="AC49" s="83" t="str">
        <v/>
      </c>
      <c r="AD49" s="85" t="str">
        <v/>
      </c>
      <c r="AE49" s="85" t="str">
        <v/>
      </c>
      <c r="AF49" s="16" t="str">
        <v/>
      </c>
      <c r="AG49" s="16" t="str">
        <v/>
      </c>
      <c r="AH49" s="16" t="str">
        <v/>
      </c>
      <c r="AI49" s="16" t="str">
        <v/>
      </c>
      <c r="AJ49" s="16" t="str">
        <v/>
      </c>
      <c r="AK49" s="16" t="str">
        <v/>
      </c>
      <c r="AL49" s="16" t="str">
        <v/>
      </c>
      <c r="AM49" s="16" t="str">
        <v/>
      </c>
    </row>
    <row r="50" spans="1:39" x14ac:dyDescent="0.3">
      <c r="A50" s="16" t="str">
        <v/>
      </c>
      <c r="B50" s="16" t="str">
        <v/>
      </c>
      <c r="C50" s="16" t="str">
        <v/>
      </c>
      <c r="D50" s="16" t="str">
        <v/>
      </c>
      <c r="E50" s="16" t="str">
        <v/>
      </c>
      <c r="F50" s="16" t="str">
        <v/>
      </c>
      <c r="G50" s="16" t="str">
        <v/>
      </c>
      <c r="H50" s="16" t="str">
        <v/>
      </c>
      <c r="I50" s="16" t="str">
        <v/>
      </c>
      <c r="J50" s="16" t="str">
        <v/>
      </c>
      <c r="K50" s="16" t="str">
        <v/>
      </c>
      <c r="L50" s="16" t="str">
        <v/>
      </c>
      <c r="M50" s="16" t="str">
        <v/>
      </c>
      <c r="N50" s="62" t="str">
        <v>BG_Symbol (2)</v>
      </c>
      <c r="O50" s="70">
        <v>9100</v>
      </c>
      <c r="P50" s="70">
        <v>450</v>
      </c>
      <c r="Q50" s="70">
        <v>350</v>
      </c>
      <c r="R50" s="70">
        <v>50</v>
      </c>
      <c r="S50" s="70">
        <v>50</v>
      </c>
      <c r="T50" s="70">
        <v>0</v>
      </c>
      <c r="U50" s="70">
        <v>0</v>
      </c>
      <c r="V50" s="70">
        <v>0</v>
      </c>
      <c r="W50" s="70">
        <v>0</v>
      </c>
      <c r="X50" s="70">
        <v>0</v>
      </c>
      <c r="Y50" s="70">
        <v>0</v>
      </c>
      <c r="Z50" s="70">
        <v>0</v>
      </c>
      <c r="AA50" s="70">
        <v>0</v>
      </c>
      <c r="AB50" s="83">
        <v>2.8888888888888893</v>
      </c>
      <c r="AC50" s="83" t="str">
        <v/>
      </c>
      <c r="AD50" s="85" t="str">
        <v/>
      </c>
      <c r="AE50" s="85" t="str">
        <v/>
      </c>
      <c r="AF50" s="16" t="str">
        <v/>
      </c>
      <c r="AG50" s="16" t="str">
        <v/>
      </c>
      <c r="AH50" s="16" t="str">
        <v/>
      </c>
      <c r="AI50" s="16" t="str">
        <v/>
      </c>
      <c r="AJ50" s="16" t="str">
        <v/>
      </c>
      <c r="AK50" s="16" t="str">
        <v/>
      </c>
      <c r="AL50" s="16" t="str">
        <v/>
      </c>
      <c r="AM50" s="16" t="str">
        <v/>
      </c>
    </row>
    <row r="51" spans="1:39" x14ac:dyDescent="0.3">
      <c r="A51" s="16" t="str">
        <v/>
      </c>
      <c r="B51" s="16" t="str">
        <v/>
      </c>
      <c r="C51" s="16" t="str">
        <v/>
      </c>
      <c r="D51" s="16" t="str">
        <v/>
      </c>
      <c r="E51" s="16" t="str">
        <v/>
      </c>
      <c r="F51" s="16" t="str">
        <v/>
      </c>
      <c r="G51" s="16" t="str">
        <v/>
      </c>
      <c r="H51" s="16" t="str">
        <v/>
      </c>
      <c r="I51" s="16" t="str">
        <v/>
      </c>
      <c r="J51" s="16" t="str">
        <v/>
      </c>
      <c r="K51" s="16" t="str">
        <v/>
      </c>
      <c r="L51" s="16" t="str">
        <v/>
      </c>
      <c r="M51" s="16" t="str">
        <v/>
      </c>
      <c r="N51" s="62" t="str">
        <v>BG_Symbol (3)</v>
      </c>
      <c r="O51" s="70">
        <v>8900</v>
      </c>
      <c r="P51" s="70">
        <v>550</v>
      </c>
      <c r="Q51" s="70">
        <v>450</v>
      </c>
      <c r="R51" s="70">
        <v>50</v>
      </c>
      <c r="S51" s="70">
        <v>50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70">
        <v>0</v>
      </c>
      <c r="AB51" s="83">
        <v>2.8181818181818188</v>
      </c>
      <c r="AC51" s="83" t="str">
        <v/>
      </c>
      <c r="AD51" s="85" t="str">
        <v/>
      </c>
      <c r="AE51" s="85" t="str">
        <v/>
      </c>
      <c r="AF51" s="16" t="str">
        <v/>
      </c>
      <c r="AG51" s="16" t="str">
        <v/>
      </c>
      <c r="AH51" s="16" t="str">
        <v/>
      </c>
      <c r="AI51" s="16" t="str">
        <v/>
      </c>
      <c r="AJ51" s="16" t="str">
        <v/>
      </c>
      <c r="AK51" s="16" t="str">
        <v/>
      </c>
      <c r="AL51" s="16" t="str">
        <v/>
      </c>
      <c r="AM51" s="16" t="str">
        <v/>
      </c>
    </row>
    <row r="52" spans="1:39" x14ac:dyDescent="0.3">
      <c r="A52" s="16" t="str">
        <v/>
      </c>
      <c r="B52" s="16" t="str">
        <v/>
      </c>
      <c r="C52" s="16" t="str">
        <v/>
      </c>
      <c r="D52" s="16" t="str">
        <v/>
      </c>
      <c r="E52" s="16" t="str">
        <v/>
      </c>
      <c r="F52" s="16" t="str">
        <v/>
      </c>
      <c r="G52" s="16" t="str">
        <v/>
      </c>
      <c r="H52" s="16" t="str">
        <v/>
      </c>
      <c r="I52" s="16" t="str">
        <v/>
      </c>
      <c r="J52" s="16" t="str">
        <v/>
      </c>
      <c r="K52" s="16" t="str">
        <v/>
      </c>
      <c r="L52" s="16" t="str">
        <v/>
      </c>
      <c r="M52" s="16" t="str">
        <v/>
      </c>
      <c r="N52" s="62" t="str">
        <v>FG_Symbol</v>
      </c>
      <c r="O52" s="70">
        <v>6710</v>
      </c>
      <c r="P52" s="70">
        <v>2150</v>
      </c>
      <c r="Q52" s="70">
        <v>970</v>
      </c>
      <c r="R52" s="70">
        <v>110</v>
      </c>
      <c r="S52" s="70">
        <v>60</v>
      </c>
      <c r="T52" s="70">
        <v>0</v>
      </c>
      <c r="U52" s="70">
        <v>0</v>
      </c>
      <c r="V52" s="70">
        <v>0</v>
      </c>
      <c r="W52" s="70">
        <v>0</v>
      </c>
      <c r="X52" s="70">
        <v>0</v>
      </c>
      <c r="Y52" s="70">
        <v>0</v>
      </c>
      <c r="Z52" s="70">
        <v>0</v>
      </c>
      <c r="AA52" s="70">
        <v>0</v>
      </c>
      <c r="AB52" s="83">
        <v>2.5045592705167175</v>
      </c>
      <c r="AC52" s="83" t="str">
        <v/>
      </c>
      <c r="AD52" s="85" t="str">
        <v/>
      </c>
      <c r="AE52" s="85" t="str">
        <v/>
      </c>
      <c r="AF52" s="16" t="str">
        <v/>
      </c>
      <c r="AG52" s="16" t="str">
        <v/>
      </c>
      <c r="AH52" s="16" t="str">
        <v/>
      </c>
      <c r="AI52" s="16" t="str">
        <v/>
      </c>
      <c r="AJ52" s="16" t="str">
        <v/>
      </c>
      <c r="AK52" s="16" t="str">
        <v/>
      </c>
      <c r="AL52" s="16" t="str">
        <v/>
      </c>
      <c r="AM52" s="16" t="str">
        <v/>
      </c>
    </row>
    <row r="53" spans="1:39" x14ac:dyDescent="0.3">
      <c r="A53" s="16" t="str">
        <v/>
      </c>
      <c r="B53" s="16" t="str">
        <v/>
      </c>
      <c r="C53" s="16" t="str">
        <v/>
      </c>
      <c r="D53" s="16" t="str">
        <v/>
      </c>
      <c r="E53" s="16" t="str">
        <v/>
      </c>
      <c r="F53" s="16" t="str">
        <v/>
      </c>
      <c r="G53" s="16" t="str">
        <v/>
      </c>
      <c r="H53" s="16" t="str">
        <v/>
      </c>
      <c r="I53" s="16" t="str">
        <v/>
      </c>
      <c r="J53" s="16" t="str">
        <v/>
      </c>
      <c r="K53" s="16" t="str">
        <v/>
      </c>
      <c r="L53" s="16" t="str">
        <v/>
      </c>
      <c r="M53" s="16" t="str">
        <v/>
      </c>
      <c r="N53" s="62" t="str">
        <v>FG_Symbol (2)</v>
      </c>
      <c r="O53" s="70">
        <v>6710</v>
      </c>
      <c r="P53" s="70">
        <v>2150</v>
      </c>
      <c r="Q53" s="70">
        <v>970</v>
      </c>
      <c r="R53" s="70">
        <v>110</v>
      </c>
      <c r="S53" s="70">
        <v>60</v>
      </c>
      <c r="T53" s="70">
        <v>0</v>
      </c>
      <c r="U53" s="70">
        <v>0</v>
      </c>
      <c r="V53" s="70">
        <v>0</v>
      </c>
      <c r="W53" s="70">
        <v>0</v>
      </c>
      <c r="X53" s="70">
        <v>0</v>
      </c>
      <c r="Y53" s="70">
        <v>0</v>
      </c>
      <c r="Z53" s="70">
        <v>0</v>
      </c>
      <c r="AA53" s="70">
        <v>0</v>
      </c>
      <c r="AB53" s="83">
        <v>2.5045592705167175</v>
      </c>
      <c r="AC53" s="83" t="str">
        <v/>
      </c>
      <c r="AD53" s="85" t="str">
        <v/>
      </c>
      <c r="AE53" s="85" t="str">
        <v/>
      </c>
      <c r="AF53" s="16" t="str">
        <v/>
      </c>
      <c r="AG53" s="16" t="str">
        <v/>
      </c>
      <c r="AH53" s="16" t="str">
        <v/>
      </c>
      <c r="AI53" s="16" t="str">
        <v/>
      </c>
      <c r="AJ53" s="16" t="str">
        <v/>
      </c>
      <c r="AK53" s="16" t="str">
        <v/>
      </c>
      <c r="AL53" s="16" t="str">
        <v/>
      </c>
      <c r="AM53" s="16" t="str">
        <v/>
      </c>
    </row>
    <row r="54" spans="1:39" x14ac:dyDescent="0.3">
      <c r="A54" s="16" t="str">
        <v/>
      </c>
      <c r="B54" s="16" t="str">
        <v/>
      </c>
      <c r="C54" s="16" t="str">
        <v/>
      </c>
      <c r="D54" s="16" t="str">
        <v/>
      </c>
      <c r="E54" s="16" t="str">
        <v/>
      </c>
      <c r="F54" s="16" t="str">
        <v/>
      </c>
      <c r="G54" s="16" t="str">
        <v/>
      </c>
      <c r="H54" s="16" t="str">
        <v/>
      </c>
      <c r="I54" s="16" t="str">
        <v/>
      </c>
      <c r="J54" s="16" t="str">
        <v/>
      </c>
      <c r="K54" s="16" t="str">
        <v/>
      </c>
      <c r="L54" s="16" t="str">
        <v/>
      </c>
      <c r="M54" s="16" t="str">
        <v/>
      </c>
      <c r="N54" s="62" t="str">
        <v>FG_Symbol (3)</v>
      </c>
      <c r="O54" s="70">
        <v>6710</v>
      </c>
      <c r="P54" s="70">
        <v>2150</v>
      </c>
      <c r="Q54" s="70">
        <v>970</v>
      </c>
      <c r="R54" s="70">
        <v>110</v>
      </c>
      <c r="S54" s="70">
        <v>60</v>
      </c>
      <c r="T54" s="70">
        <v>0</v>
      </c>
      <c r="U54" s="70">
        <v>0</v>
      </c>
      <c r="V54" s="70">
        <v>0</v>
      </c>
      <c r="W54" s="70">
        <v>0</v>
      </c>
      <c r="X54" s="70">
        <v>0</v>
      </c>
      <c r="Y54" s="70">
        <v>0</v>
      </c>
      <c r="Z54" s="70">
        <v>0</v>
      </c>
      <c r="AA54" s="70">
        <v>0</v>
      </c>
      <c r="AB54" s="83">
        <v>2.5045592705167175</v>
      </c>
      <c r="AC54" s="83" t="str">
        <v/>
      </c>
      <c r="AD54" s="85" t="str">
        <v/>
      </c>
      <c r="AE54" s="85" t="str">
        <v/>
      </c>
      <c r="AF54" s="16" t="str">
        <v/>
      </c>
      <c r="AG54" s="16" t="str">
        <v/>
      </c>
      <c r="AH54" s="16" t="str">
        <v/>
      </c>
      <c r="AI54" s="16" t="str">
        <v/>
      </c>
      <c r="AJ54" s="16" t="str">
        <v/>
      </c>
      <c r="AK54" s="16" t="str">
        <v/>
      </c>
      <c r="AL54" s="16" t="str">
        <v/>
      </c>
      <c r="AM54" s="16" t="str">
        <v/>
      </c>
    </row>
    <row r="55" spans="1:39" x14ac:dyDescent="0.3">
      <c r="A55" s="16" t="str">
        <v/>
      </c>
      <c r="B55" s="16" t="str">
        <v/>
      </c>
      <c r="C55" s="16" t="str">
        <v/>
      </c>
      <c r="D55" s="16" t="str">
        <v/>
      </c>
      <c r="E55" s="16" t="str">
        <v/>
      </c>
      <c r="F55" s="16" t="str">
        <v/>
      </c>
      <c r="G55" s="16" t="str">
        <v/>
      </c>
      <c r="H55" s="16" t="str">
        <v/>
      </c>
      <c r="I55" s="16" t="str">
        <v/>
      </c>
      <c r="J55" s="16" t="str">
        <v/>
      </c>
      <c r="K55" s="16" t="str">
        <v/>
      </c>
      <c r="L55" s="16" t="str">
        <v/>
      </c>
      <c r="M55" s="16" t="str">
        <v/>
      </c>
      <c r="N55" s="62" t="str">
        <v>BF_Symbol</v>
      </c>
      <c r="O55" s="70">
        <v>10000</v>
      </c>
      <c r="P55" s="70">
        <v>0</v>
      </c>
      <c r="Q55" s="70">
        <v>0</v>
      </c>
      <c r="R55" s="70">
        <v>0</v>
      </c>
      <c r="S55" s="70">
        <v>0</v>
      </c>
      <c r="T55" s="70">
        <v>0</v>
      </c>
      <c r="U55" s="70">
        <v>0</v>
      </c>
      <c r="V55" s="70">
        <v>0</v>
      </c>
      <c r="W55" s="70">
        <v>0</v>
      </c>
      <c r="X55" s="70">
        <v>0</v>
      </c>
      <c r="Y55" s="70">
        <v>0</v>
      </c>
      <c r="Z55" s="70">
        <v>0</v>
      </c>
      <c r="AA55" s="70">
        <v>0</v>
      </c>
      <c r="AB55" s="83" t="e">
        <v>#DIV/0!</v>
      </c>
      <c r="AC55" s="83" t="str">
        <v/>
      </c>
      <c r="AD55" s="85" t="str">
        <v/>
      </c>
      <c r="AE55" s="85" t="str">
        <v/>
      </c>
      <c r="AF55" s="16" t="str">
        <v/>
      </c>
      <c r="AG55" s="16" t="str">
        <v/>
      </c>
      <c r="AH55" s="16" t="str">
        <v/>
      </c>
      <c r="AI55" s="16" t="str">
        <v/>
      </c>
      <c r="AJ55" s="16" t="str">
        <v/>
      </c>
      <c r="AK55" s="16" t="str">
        <v/>
      </c>
      <c r="AL55" s="16" t="str">
        <v/>
      </c>
      <c r="AM55" s="16" t="str">
        <v/>
      </c>
    </row>
    <row r="56" spans="1:39" x14ac:dyDescent="0.3">
      <c r="A56" s="16" t="str">
        <v/>
      </c>
      <c r="B56" s="16" t="str">
        <v/>
      </c>
      <c r="C56" s="16" t="str">
        <v/>
      </c>
      <c r="D56" s="16" t="str">
        <v/>
      </c>
      <c r="E56" s="16" t="str">
        <v/>
      </c>
      <c r="F56" s="16" t="str">
        <v/>
      </c>
      <c r="G56" s="16" t="str">
        <v/>
      </c>
      <c r="H56" s="16" t="str">
        <v/>
      </c>
      <c r="I56" s="16" t="str">
        <v/>
      </c>
      <c r="J56" s="16" t="str">
        <v/>
      </c>
      <c r="K56" s="16" t="str">
        <v/>
      </c>
      <c r="L56" s="16" t="str">
        <v/>
      </c>
      <c r="M56" s="16" t="str">
        <v/>
      </c>
      <c r="N56" s="16" t="str">
        <v/>
      </c>
      <c r="O56" s="16" t="str">
        <v/>
      </c>
      <c r="P56" s="16" t="str">
        <v/>
      </c>
      <c r="Q56" s="16" t="str">
        <v/>
      </c>
      <c r="R56" s="16" t="str">
        <v/>
      </c>
      <c r="S56" s="16" t="str">
        <v/>
      </c>
      <c r="T56" s="16" t="str">
        <v/>
      </c>
      <c r="U56" s="16" t="str">
        <v/>
      </c>
      <c r="V56" s="16" t="str">
        <v/>
      </c>
      <c r="W56" s="16" t="str">
        <v/>
      </c>
      <c r="X56" s="16" t="str">
        <v/>
      </c>
      <c r="Y56" s="16" t="str">
        <v/>
      </c>
      <c r="Z56" s="16" t="str">
        <v/>
      </c>
      <c r="AA56" s="16" t="str">
        <v/>
      </c>
      <c r="AB56" s="50" t="str">
        <v/>
      </c>
      <c r="AC56" s="16" t="str">
        <v/>
      </c>
      <c r="AD56" s="16" t="str">
        <v/>
      </c>
      <c r="AE56" s="16" t="str">
        <v/>
      </c>
      <c r="AF56" s="16" t="str">
        <v/>
      </c>
      <c r="AG56" s="16" t="str">
        <v/>
      </c>
      <c r="AH56" s="16" t="str">
        <v/>
      </c>
      <c r="AI56" s="16" t="str">
        <v/>
      </c>
      <c r="AJ56" s="16" t="str">
        <v/>
      </c>
      <c r="AK56" s="16" t="str">
        <v/>
      </c>
      <c r="AL56" s="16" t="str">
        <v/>
      </c>
      <c r="AM56" s="16" t="str">
        <v/>
      </c>
    </row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30" hidden="1" x14ac:dyDescent="0.3"/>
  </sheetData>
  <phoneticPr fontId="2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47F7-A5B5-460F-9F96-2AC271F7062C}">
  <dimension ref="B2:G68"/>
  <sheetViews>
    <sheetView zoomScale="115" zoomScaleNormal="115" workbookViewId="0">
      <selection activeCell="D4" sqref="D4"/>
    </sheetView>
  </sheetViews>
  <sheetFormatPr defaultRowHeight="15.6" x14ac:dyDescent="0.3"/>
  <cols>
    <col min="1" max="1" width="8.88671875" style="23"/>
    <col min="2" max="2" width="27.109375" style="16" bestFit="1" customWidth="1"/>
    <col min="3" max="7" width="16.33203125" style="16" bestFit="1" customWidth="1"/>
    <col min="8" max="16384" width="8.88671875" style="23"/>
  </cols>
  <sheetData>
    <row r="2" spans="2:7" x14ac:dyDescent="0.3">
      <c r="C2" s="16" t="s">
        <v>113</v>
      </c>
      <c r="D2" s="16" t="s">
        <v>113</v>
      </c>
      <c r="E2" s="16" t="s">
        <v>114</v>
      </c>
      <c r="F2" s="16" t="s">
        <v>114</v>
      </c>
      <c r="G2" s="16" t="s">
        <v>114</v>
      </c>
    </row>
    <row r="3" spans="2:7" x14ac:dyDescent="0.3">
      <c r="B3" s="68" t="s">
        <v>115</v>
      </c>
      <c r="C3" s="68" t="s">
        <v>106</v>
      </c>
      <c r="D3" s="68" t="s">
        <v>107</v>
      </c>
      <c r="E3" s="68" t="s">
        <v>106</v>
      </c>
      <c r="F3" s="68" t="s">
        <v>107</v>
      </c>
      <c r="G3" s="68" t="s">
        <v>108</v>
      </c>
    </row>
    <row r="4" spans="2:7" x14ac:dyDescent="0.3">
      <c r="B4" s="94" t="s">
        <v>117</v>
      </c>
      <c r="C4" s="70" cm="1">
        <f t="array" ref="C4:C68">IFERROR([1]Multiplier_Weight_Newbie!$L$15:$L$79, 0)</f>
        <v>0</v>
      </c>
      <c r="D4" s="70" cm="1">
        <f t="array" ref="D4:D67">IFERROR([1]Multiplier_Weight_Newbie!$L$87:$L$150, 0)</f>
        <v>0</v>
      </c>
      <c r="E4" s="70" cm="1">
        <f t="array" ref="E4:E68">_xlfn.ANCHORARRAY([1]Multiplier_Weight_Oldhand!L15)</f>
        <v>722907411</v>
      </c>
      <c r="F4" s="70" cm="1">
        <f t="array" ref="F4:F67">_xlfn.ANCHORARRAY([1]Multiplier_Weight_Oldhand!L87)</f>
        <v>0</v>
      </c>
      <c r="G4" s="70" cm="1">
        <f t="array" ref="G4:G67">_xlfn.ANCHORARRAY([1]Multiplier_Weight_Oldhand!L157)</f>
        <v>0</v>
      </c>
    </row>
    <row r="5" spans="2:7" x14ac:dyDescent="0.3">
      <c r="B5" s="94" t="s">
        <v>118</v>
      </c>
      <c r="C5" s="70">
        <v>0</v>
      </c>
      <c r="D5" s="70">
        <v>0</v>
      </c>
      <c r="E5" s="70">
        <v>161351627</v>
      </c>
      <c r="F5" s="70">
        <v>0</v>
      </c>
      <c r="G5" s="70">
        <v>0</v>
      </c>
    </row>
    <row r="6" spans="2:7" x14ac:dyDescent="0.3">
      <c r="B6" s="94" t="s">
        <v>119</v>
      </c>
      <c r="C6" s="70">
        <v>0</v>
      </c>
      <c r="D6" s="70">
        <v>0</v>
      </c>
      <c r="E6" s="70">
        <v>45754318</v>
      </c>
      <c r="F6" s="70">
        <v>0</v>
      </c>
      <c r="G6" s="70">
        <v>0</v>
      </c>
    </row>
    <row r="7" spans="2:7" x14ac:dyDescent="0.3">
      <c r="B7" s="94" t="s">
        <v>120</v>
      </c>
      <c r="C7" s="70">
        <v>0</v>
      </c>
      <c r="D7" s="70">
        <v>0</v>
      </c>
      <c r="E7" s="70">
        <v>21756756</v>
      </c>
      <c r="F7" s="70">
        <v>0</v>
      </c>
      <c r="G7" s="70">
        <v>0</v>
      </c>
    </row>
    <row r="8" spans="2:7" x14ac:dyDescent="0.3">
      <c r="B8" s="94" t="s">
        <v>121</v>
      </c>
      <c r="C8" s="70">
        <v>0</v>
      </c>
      <c r="D8" s="70">
        <v>0</v>
      </c>
      <c r="E8" s="70">
        <v>8506399</v>
      </c>
      <c r="F8" s="70">
        <v>0</v>
      </c>
      <c r="G8" s="70">
        <v>0</v>
      </c>
    </row>
    <row r="9" spans="2:7" x14ac:dyDescent="0.3">
      <c r="B9" s="94" t="s">
        <v>122</v>
      </c>
      <c r="C9" s="70">
        <v>0</v>
      </c>
      <c r="D9" s="70">
        <v>0</v>
      </c>
      <c r="E9" s="70">
        <v>6669454</v>
      </c>
      <c r="F9" s="70">
        <v>0</v>
      </c>
      <c r="G9" s="70">
        <v>0</v>
      </c>
    </row>
    <row r="10" spans="2:7" x14ac:dyDescent="0.3">
      <c r="B10" s="94" t="s">
        <v>123</v>
      </c>
      <c r="C10" s="70">
        <v>0</v>
      </c>
      <c r="D10" s="70">
        <v>0</v>
      </c>
      <c r="E10" s="70">
        <v>5453883</v>
      </c>
      <c r="F10" s="70">
        <v>0</v>
      </c>
      <c r="G10" s="70">
        <v>0</v>
      </c>
    </row>
    <row r="11" spans="2:7" x14ac:dyDescent="0.3">
      <c r="B11" s="94" t="s">
        <v>124</v>
      </c>
      <c r="C11" s="70">
        <v>0</v>
      </c>
      <c r="D11" s="70">
        <v>0</v>
      </c>
      <c r="E11" s="70">
        <v>3331650</v>
      </c>
      <c r="F11" s="70">
        <v>0</v>
      </c>
      <c r="G11" s="70">
        <v>0</v>
      </c>
    </row>
    <row r="12" spans="2:7" x14ac:dyDescent="0.3">
      <c r="B12" s="94" t="s">
        <v>125</v>
      </c>
      <c r="C12" s="70">
        <v>0</v>
      </c>
      <c r="D12" s="70">
        <v>0</v>
      </c>
      <c r="E12" s="70">
        <v>2815459</v>
      </c>
      <c r="F12" s="70">
        <v>0</v>
      </c>
      <c r="G12" s="70">
        <v>0</v>
      </c>
    </row>
    <row r="13" spans="2:7" x14ac:dyDescent="0.3">
      <c r="B13" s="94" t="s">
        <v>126</v>
      </c>
      <c r="C13" s="70">
        <v>0</v>
      </c>
      <c r="D13" s="70">
        <v>0</v>
      </c>
      <c r="E13" s="70">
        <v>2544451</v>
      </c>
      <c r="F13" s="70">
        <v>0</v>
      </c>
      <c r="G13" s="70">
        <v>0</v>
      </c>
    </row>
    <row r="14" spans="2:7" x14ac:dyDescent="0.3">
      <c r="B14" s="94" t="s">
        <v>127</v>
      </c>
      <c r="C14" s="70">
        <v>0</v>
      </c>
      <c r="D14" s="70">
        <v>0</v>
      </c>
      <c r="E14" s="70">
        <v>2271743</v>
      </c>
      <c r="F14" s="70">
        <v>0</v>
      </c>
      <c r="G14" s="70">
        <v>0</v>
      </c>
    </row>
    <row r="15" spans="2:7" x14ac:dyDescent="0.3">
      <c r="B15" s="94" t="s">
        <v>128</v>
      </c>
      <c r="C15" s="70">
        <v>0</v>
      </c>
      <c r="D15" s="70">
        <v>0</v>
      </c>
      <c r="E15" s="70">
        <v>3023686</v>
      </c>
      <c r="F15" s="70">
        <v>131266259</v>
      </c>
      <c r="G15" s="70">
        <v>117561927</v>
      </c>
    </row>
    <row r="16" spans="2:7" x14ac:dyDescent="0.3">
      <c r="B16" s="95" t="s">
        <v>129</v>
      </c>
      <c r="C16" s="70">
        <v>0</v>
      </c>
      <c r="D16" s="70">
        <v>0</v>
      </c>
      <c r="E16" s="70">
        <v>3964399</v>
      </c>
      <c r="F16" s="70">
        <v>131252488</v>
      </c>
      <c r="G16" s="70">
        <v>117549593</v>
      </c>
    </row>
    <row r="17" spans="2:7" x14ac:dyDescent="0.3">
      <c r="B17" s="94" t="s">
        <v>130</v>
      </c>
      <c r="C17" s="70">
        <v>0</v>
      </c>
      <c r="D17" s="70">
        <v>0</v>
      </c>
      <c r="E17" s="70">
        <v>1655752</v>
      </c>
      <c r="F17" s="70">
        <v>131278183</v>
      </c>
      <c r="G17" s="70">
        <v>117572606</v>
      </c>
    </row>
    <row r="18" spans="2:7" x14ac:dyDescent="0.3">
      <c r="B18" s="94" t="s">
        <v>131</v>
      </c>
      <c r="C18" s="70">
        <v>0</v>
      </c>
      <c r="D18" s="70">
        <v>0</v>
      </c>
      <c r="E18" s="70">
        <v>670871</v>
      </c>
      <c r="F18" s="70">
        <v>132249710</v>
      </c>
      <c r="G18" s="70">
        <v>118442704</v>
      </c>
    </row>
    <row r="19" spans="2:7" x14ac:dyDescent="0.3">
      <c r="B19" s="94" t="s">
        <v>132</v>
      </c>
      <c r="C19" s="70">
        <v>0</v>
      </c>
      <c r="D19" s="70">
        <v>0</v>
      </c>
      <c r="E19" s="70">
        <v>567834</v>
      </c>
      <c r="F19" s="70">
        <v>36550552</v>
      </c>
      <c r="G19" s="70">
        <v>32734637</v>
      </c>
    </row>
    <row r="20" spans="2:7" x14ac:dyDescent="0.3">
      <c r="B20" s="95" t="s">
        <v>133</v>
      </c>
      <c r="C20" s="70">
        <v>0</v>
      </c>
      <c r="D20" s="70">
        <v>0</v>
      </c>
      <c r="E20" s="70">
        <v>972126</v>
      </c>
      <c r="F20" s="70">
        <v>29855874</v>
      </c>
      <c r="G20" s="70">
        <v>26738890</v>
      </c>
    </row>
    <row r="21" spans="2:7" x14ac:dyDescent="0.3">
      <c r="B21" s="94" t="s">
        <v>134</v>
      </c>
      <c r="C21" s="70">
        <v>0</v>
      </c>
      <c r="D21" s="70">
        <v>0</v>
      </c>
      <c r="E21" s="70">
        <v>222591</v>
      </c>
      <c r="F21" s="70">
        <v>29391089</v>
      </c>
      <c r="G21" s="70">
        <v>26322629</v>
      </c>
    </row>
    <row r="22" spans="2:7" x14ac:dyDescent="0.3">
      <c r="B22" s="94" t="s">
        <v>135</v>
      </c>
      <c r="C22" s="70">
        <v>0</v>
      </c>
      <c r="D22" s="70">
        <v>0</v>
      </c>
      <c r="E22" s="70">
        <v>212140</v>
      </c>
      <c r="F22" s="70">
        <v>27000172</v>
      </c>
      <c r="G22" s="70">
        <v>24181326</v>
      </c>
    </row>
    <row r="23" spans="2:7" x14ac:dyDescent="0.3">
      <c r="B23" s="95" t="s">
        <v>136</v>
      </c>
      <c r="C23" s="70">
        <v>0</v>
      </c>
      <c r="D23" s="70">
        <v>0</v>
      </c>
      <c r="E23" s="70">
        <v>622768</v>
      </c>
      <c r="F23" s="70">
        <v>22800440</v>
      </c>
      <c r="G23" s="70">
        <v>20420051</v>
      </c>
    </row>
    <row r="24" spans="2:7" x14ac:dyDescent="0.3">
      <c r="B24" s="94" t="s">
        <v>137</v>
      </c>
      <c r="C24" s="70">
        <v>0</v>
      </c>
      <c r="D24" s="70">
        <v>0</v>
      </c>
      <c r="E24" s="70">
        <v>150790</v>
      </c>
      <c r="F24" s="70">
        <v>67250439</v>
      </c>
      <c r="G24" s="70">
        <v>66921582</v>
      </c>
    </row>
    <row r="25" spans="2:7" x14ac:dyDescent="0.3">
      <c r="B25" s="94" t="s">
        <v>138</v>
      </c>
      <c r="C25" s="70">
        <v>0</v>
      </c>
      <c r="D25" s="70">
        <v>0</v>
      </c>
      <c r="E25" s="70">
        <v>129822</v>
      </c>
      <c r="F25" s="70">
        <v>60642210</v>
      </c>
      <c r="G25" s="70">
        <v>60345668</v>
      </c>
    </row>
    <row r="26" spans="2:7" x14ac:dyDescent="0.3">
      <c r="B26" s="94" t="s">
        <v>139</v>
      </c>
      <c r="C26" s="70">
        <v>0</v>
      </c>
      <c r="D26" s="70">
        <v>0</v>
      </c>
      <c r="E26" s="70">
        <v>112006</v>
      </c>
      <c r="F26" s="70">
        <v>30830899</v>
      </c>
      <c r="G26" s="70">
        <v>27612121</v>
      </c>
    </row>
    <row r="27" spans="2:7" x14ac:dyDescent="0.3">
      <c r="B27" s="94" t="s">
        <v>140</v>
      </c>
      <c r="C27" s="70">
        <v>0</v>
      </c>
      <c r="D27" s="70">
        <v>0</v>
      </c>
      <c r="E27" s="70">
        <v>101279</v>
      </c>
      <c r="F27" s="70">
        <v>27035605</v>
      </c>
      <c r="G27" s="70">
        <v>24213060</v>
      </c>
    </row>
    <row r="28" spans="2:7" x14ac:dyDescent="0.3">
      <c r="B28" s="94" t="s">
        <v>141</v>
      </c>
      <c r="C28" s="70">
        <v>0</v>
      </c>
      <c r="D28" s="70">
        <v>0</v>
      </c>
      <c r="E28" s="70">
        <v>0</v>
      </c>
      <c r="F28" s="70">
        <v>42740282</v>
      </c>
      <c r="G28" s="70">
        <v>54230772</v>
      </c>
    </row>
    <row r="29" spans="2:7" x14ac:dyDescent="0.3">
      <c r="B29" s="94" t="s">
        <v>142</v>
      </c>
      <c r="C29" s="70">
        <v>0</v>
      </c>
      <c r="D29" s="70">
        <v>0</v>
      </c>
      <c r="E29" s="70">
        <v>0</v>
      </c>
      <c r="F29" s="70">
        <v>18780093</v>
      </c>
      <c r="G29" s="70">
        <v>25644264</v>
      </c>
    </row>
    <row r="30" spans="2:7" x14ac:dyDescent="0.3">
      <c r="B30" s="94" t="s">
        <v>143</v>
      </c>
      <c r="C30" s="70">
        <v>0</v>
      </c>
      <c r="D30" s="70">
        <v>0</v>
      </c>
      <c r="E30" s="70">
        <v>0</v>
      </c>
      <c r="F30" s="70">
        <v>28816647</v>
      </c>
      <c r="G30" s="70">
        <v>39335711</v>
      </c>
    </row>
    <row r="31" spans="2:7" x14ac:dyDescent="0.3">
      <c r="B31" s="94" t="s">
        <v>144</v>
      </c>
      <c r="C31" s="70">
        <v>0</v>
      </c>
      <c r="D31" s="70">
        <v>0</v>
      </c>
      <c r="E31" s="70">
        <v>0</v>
      </c>
      <c r="F31" s="70">
        <v>8508099</v>
      </c>
      <c r="G31" s="70">
        <v>19668153</v>
      </c>
    </row>
    <row r="32" spans="2:7" x14ac:dyDescent="0.3">
      <c r="B32" s="94" t="s">
        <v>145</v>
      </c>
      <c r="C32" s="70">
        <v>0</v>
      </c>
      <c r="D32" s="70">
        <v>0</v>
      </c>
      <c r="E32" s="70">
        <v>0</v>
      </c>
      <c r="F32" s="70">
        <v>7487067</v>
      </c>
      <c r="G32" s="70">
        <v>17307835</v>
      </c>
    </row>
    <row r="33" spans="2:7" x14ac:dyDescent="0.3">
      <c r="B33" s="94" t="s">
        <v>146</v>
      </c>
      <c r="C33" s="70">
        <v>0</v>
      </c>
      <c r="D33" s="70">
        <v>0</v>
      </c>
      <c r="E33" s="70">
        <v>0</v>
      </c>
      <c r="F33" s="70">
        <v>20060522</v>
      </c>
      <c r="G33" s="70">
        <v>33806543</v>
      </c>
    </row>
    <row r="34" spans="2:7" x14ac:dyDescent="0.3">
      <c r="B34" s="94" t="s">
        <v>147</v>
      </c>
      <c r="C34" s="70">
        <v>0</v>
      </c>
      <c r="D34" s="70">
        <v>0</v>
      </c>
      <c r="E34" s="70">
        <v>0</v>
      </c>
      <c r="F34" s="70">
        <v>5653002</v>
      </c>
      <c r="G34" s="70">
        <v>13068031</v>
      </c>
    </row>
    <row r="35" spans="2:7" x14ac:dyDescent="0.3">
      <c r="B35" s="94" t="s">
        <v>148</v>
      </c>
      <c r="C35" s="70">
        <v>0</v>
      </c>
      <c r="D35" s="70">
        <v>0</v>
      </c>
      <c r="E35" s="70">
        <v>0</v>
      </c>
      <c r="F35" s="70">
        <v>4853474</v>
      </c>
      <c r="G35" s="70">
        <v>11219765</v>
      </c>
    </row>
    <row r="36" spans="2:7" x14ac:dyDescent="0.3">
      <c r="B36" s="94" t="s">
        <v>149</v>
      </c>
      <c r="C36" s="70">
        <v>0</v>
      </c>
      <c r="D36" s="70">
        <v>0</v>
      </c>
      <c r="E36" s="70">
        <v>0</v>
      </c>
      <c r="F36" s="70">
        <v>684156</v>
      </c>
      <c r="G36" s="70">
        <v>612729</v>
      </c>
    </row>
    <row r="37" spans="2:7" x14ac:dyDescent="0.3">
      <c r="B37" s="94" t="s">
        <v>150</v>
      </c>
      <c r="C37" s="70">
        <v>0</v>
      </c>
      <c r="D37" s="70">
        <v>0</v>
      </c>
      <c r="E37" s="70">
        <v>0</v>
      </c>
      <c r="F37" s="70">
        <v>618493</v>
      </c>
      <c r="G37" s="70">
        <v>553922</v>
      </c>
    </row>
    <row r="38" spans="2:7" x14ac:dyDescent="0.3">
      <c r="B38" s="94" t="s">
        <v>151</v>
      </c>
      <c r="C38" s="70">
        <v>0</v>
      </c>
      <c r="D38" s="70">
        <v>0</v>
      </c>
      <c r="E38" s="70">
        <v>0</v>
      </c>
      <c r="F38" s="70">
        <v>550345</v>
      </c>
      <c r="G38" s="70">
        <v>492888</v>
      </c>
    </row>
    <row r="39" spans="2:7" x14ac:dyDescent="0.3">
      <c r="B39" s="94" t="s">
        <v>152</v>
      </c>
      <c r="C39" s="70">
        <v>0</v>
      </c>
      <c r="D39" s="70">
        <v>0</v>
      </c>
      <c r="E39" s="70">
        <v>0</v>
      </c>
      <c r="F39" s="70">
        <v>495462</v>
      </c>
      <c r="G39" s="70">
        <v>443735</v>
      </c>
    </row>
    <row r="40" spans="2:7" x14ac:dyDescent="0.3">
      <c r="B40" s="94" t="s">
        <v>153</v>
      </c>
      <c r="C40" s="70">
        <v>0</v>
      </c>
      <c r="D40" s="70">
        <v>0</v>
      </c>
      <c r="E40" s="70">
        <v>0</v>
      </c>
      <c r="F40" s="70">
        <v>441559</v>
      </c>
      <c r="G40" s="70">
        <v>395460</v>
      </c>
    </row>
    <row r="41" spans="2:7" x14ac:dyDescent="0.3">
      <c r="B41" s="94" t="s">
        <v>154</v>
      </c>
      <c r="C41" s="70">
        <v>0</v>
      </c>
      <c r="D41" s="70">
        <v>0</v>
      </c>
      <c r="E41" s="70">
        <v>0</v>
      </c>
      <c r="F41" s="70">
        <v>392307</v>
      </c>
      <c r="G41" s="70">
        <v>351350</v>
      </c>
    </row>
    <row r="42" spans="2:7" x14ac:dyDescent="0.3">
      <c r="B42" s="94" t="s">
        <v>155</v>
      </c>
      <c r="C42" s="70">
        <v>0</v>
      </c>
      <c r="D42" s="70">
        <v>0</v>
      </c>
      <c r="E42" s="70">
        <v>0</v>
      </c>
      <c r="F42" s="70">
        <v>349538</v>
      </c>
      <c r="G42" s="70">
        <v>313046</v>
      </c>
    </row>
    <row r="43" spans="2:7" x14ac:dyDescent="0.3">
      <c r="B43" s="94" t="s">
        <v>156</v>
      </c>
      <c r="C43" s="70">
        <v>0</v>
      </c>
      <c r="D43" s="70">
        <v>0</v>
      </c>
      <c r="E43" s="70">
        <v>0</v>
      </c>
      <c r="F43" s="70">
        <v>308518</v>
      </c>
      <c r="G43" s="70">
        <v>276309</v>
      </c>
    </row>
    <row r="44" spans="2:7" x14ac:dyDescent="0.3">
      <c r="B44" s="94" t="s">
        <v>157</v>
      </c>
      <c r="C44" s="70">
        <v>0</v>
      </c>
      <c r="D44" s="70">
        <v>0</v>
      </c>
      <c r="E44" s="70">
        <v>0</v>
      </c>
      <c r="F44" s="70">
        <v>278217</v>
      </c>
      <c r="G44" s="70">
        <v>249171</v>
      </c>
    </row>
    <row r="45" spans="2:7" x14ac:dyDescent="0.3">
      <c r="B45" s="94" t="s">
        <v>158</v>
      </c>
      <c r="C45" s="70">
        <v>0</v>
      </c>
      <c r="D45" s="70">
        <v>0</v>
      </c>
      <c r="E45" s="70">
        <v>0</v>
      </c>
      <c r="F45" s="70">
        <v>248702</v>
      </c>
      <c r="G45" s="70">
        <v>222738</v>
      </c>
    </row>
    <row r="46" spans="2:7" x14ac:dyDescent="0.3">
      <c r="B46" s="94" t="s">
        <v>159</v>
      </c>
      <c r="C46" s="70">
        <v>0</v>
      </c>
      <c r="D46" s="70">
        <v>0</v>
      </c>
      <c r="E46" s="70">
        <v>0</v>
      </c>
      <c r="F46" s="70">
        <v>221873</v>
      </c>
      <c r="G46" s="70">
        <v>198709</v>
      </c>
    </row>
    <row r="47" spans="2:7" x14ac:dyDescent="0.3">
      <c r="B47" s="94" t="s">
        <v>160</v>
      </c>
      <c r="C47" s="70">
        <v>0</v>
      </c>
      <c r="D47" s="70">
        <v>0</v>
      </c>
      <c r="E47" s="70">
        <v>0</v>
      </c>
      <c r="F47" s="70">
        <v>199434</v>
      </c>
      <c r="G47" s="70">
        <v>178612</v>
      </c>
    </row>
    <row r="48" spans="2:7" x14ac:dyDescent="0.3">
      <c r="B48" s="94" t="s">
        <v>161</v>
      </c>
      <c r="C48" s="70">
        <v>0</v>
      </c>
      <c r="D48" s="70">
        <v>0</v>
      </c>
      <c r="E48" s="70">
        <v>0</v>
      </c>
      <c r="F48" s="70">
        <v>179929</v>
      </c>
      <c r="G48" s="70">
        <v>161144</v>
      </c>
    </row>
    <row r="49" spans="2:7" x14ac:dyDescent="0.3">
      <c r="B49" s="94" t="s">
        <v>162</v>
      </c>
      <c r="C49" s="70">
        <v>0</v>
      </c>
      <c r="D49" s="70">
        <v>0</v>
      </c>
      <c r="E49" s="70">
        <v>0</v>
      </c>
      <c r="F49" s="70">
        <v>147662</v>
      </c>
      <c r="G49" s="70">
        <v>132246</v>
      </c>
    </row>
    <row r="50" spans="2:7" x14ac:dyDescent="0.3">
      <c r="B50" s="94" t="s">
        <v>163</v>
      </c>
      <c r="C50" s="70">
        <v>0</v>
      </c>
      <c r="D50" s="70">
        <v>0</v>
      </c>
      <c r="E50" s="70">
        <v>0</v>
      </c>
      <c r="F50" s="70">
        <v>471720</v>
      </c>
      <c r="G50" s="70">
        <v>422472</v>
      </c>
    </row>
    <row r="51" spans="2:7" x14ac:dyDescent="0.3">
      <c r="B51" s="94" t="s">
        <v>164</v>
      </c>
      <c r="C51" s="70">
        <v>0</v>
      </c>
      <c r="D51" s="70">
        <v>0</v>
      </c>
      <c r="E51" s="70">
        <v>0</v>
      </c>
      <c r="F51" s="70">
        <v>63183</v>
      </c>
      <c r="G51" s="70">
        <v>56587</v>
      </c>
    </row>
    <row r="52" spans="2:7" x14ac:dyDescent="0.3">
      <c r="B52" s="94" t="s">
        <v>165</v>
      </c>
      <c r="C52" s="70">
        <v>0</v>
      </c>
      <c r="D52" s="70">
        <v>0</v>
      </c>
      <c r="E52" s="70">
        <v>0</v>
      </c>
      <c r="F52" s="70">
        <v>32266</v>
      </c>
      <c r="G52" s="70">
        <v>28897</v>
      </c>
    </row>
    <row r="53" spans="2:7" x14ac:dyDescent="0.3">
      <c r="B53" s="94" t="s">
        <v>166</v>
      </c>
      <c r="C53" s="70">
        <v>0</v>
      </c>
      <c r="D53" s="70">
        <v>0</v>
      </c>
      <c r="E53" s="70">
        <v>0</v>
      </c>
      <c r="F53" s="70">
        <v>13508</v>
      </c>
      <c r="G53" s="70">
        <v>12098</v>
      </c>
    </row>
    <row r="54" spans="2:7" x14ac:dyDescent="0.3">
      <c r="B54" s="94" t="s">
        <v>167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</row>
    <row r="55" spans="2:7" x14ac:dyDescent="0.3">
      <c r="B55" s="94" t="s">
        <v>168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</row>
    <row r="56" spans="2:7" x14ac:dyDescent="0.3">
      <c r="B56" s="94" t="s">
        <v>169</v>
      </c>
      <c r="C56" s="70">
        <v>0</v>
      </c>
      <c r="D56" s="70">
        <v>0</v>
      </c>
      <c r="E56" s="70">
        <v>0</v>
      </c>
      <c r="F56" s="70">
        <v>0</v>
      </c>
      <c r="G56" s="70">
        <v>0</v>
      </c>
    </row>
    <row r="57" spans="2:7" x14ac:dyDescent="0.3">
      <c r="B57" s="94" t="s">
        <v>170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</row>
    <row r="58" spans="2:7" x14ac:dyDescent="0.3">
      <c r="B58" s="94" t="s">
        <v>171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</row>
    <row r="59" spans="2:7" x14ac:dyDescent="0.3">
      <c r="B59" s="94" t="s">
        <v>172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</row>
    <row r="60" spans="2:7" x14ac:dyDescent="0.3">
      <c r="B60" s="94" t="s">
        <v>173</v>
      </c>
      <c r="C60" s="70">
        <v>0</v>
      </c>
      <c r="D60" s="70">
        <v>0</v>
      </c>
      <c r="E60" s="70">
        <v>0</v>
      </c>
      <c r="F60" s="70">
        <v>0</v>
      </c>
      <c r="G60" s="70">
        <v>0</v>
      </c>
    </row>
    <row r="61" spans="2:7" x14ac:dyDescent="0.3">
      <c r="B61" s="94" t="s">
        <v>174</v>
      </c>
      <c r="C61" s="70">
        <v>0</v>
      </c>
      <c r="D61" s="70">
        <v>0</v>
      </c>
      <c r="E61" s="70">
        <v>0</v>
      </c>
      <c r="F61" s="70">
        <v>0</v>
      </c>
      <c r="G61" s="70">
        <v>0</v>
      </c>
    </row>
    <row r="62" spans="2:7" x14ac:dyDescent="0.3">
      <c r="B62" s="94" t="s">
        <v>175</v>
      </c>
      <c r="C62" s="70">
        <v>0</v>
      </c>
      <c r="D62" s="70">
        <v>0</v>
      </c>
      <c r="E62" s="70">
        <v>0</v>
      </c>
      <c r="F62" s="70">
        <v>0</v>
      </c>
      <c r="G62" s="70">
        <v>0</v>
      </c>
    </row>
    <row r="63" spans="2:7" x14ac:dyDescent="0.3">
      <c r="B63" s="94" t="s">
        <v>176</v>
      </c>
      <c r="C63" s="70">
        <v>0</v>
      </c>
      <c r="D63" s="70">
        <v>0</v>
      </c>
      <c r="E63" s="70">
        <v>0</v>
      </c>
      <c r="F63" s="70">
        <v>0</v>
      </c>
      <c r="G63" s="70">
        <v>0</v>
      </c>
    </row>
    <row r="64" spans="2:7" x14ac:dyDescent="0.3">
      <c r="B64" s="94" t="s">
        <v>177</v>
      </c>
      <c r="C64" s="70">
        <v>0</v>
      </c>
      <c r="D64" s="70">
        <v>0</v>
      </c>
      <c r="E64" s="70">
        <v>0</v>
      </c>
      <c r="F64" s="70">
        <v>0</v>
      </c>
      <c r="G64" s="70">
        <v>0</v>
      </c>
    </row>
    <row r="65" spans="2:7" x14ac:dyDescent="0.3">
      <c r="B65" s="94" t="s">
        <v>178</v>
      </c>
      <c r="C65" s="70">
        <v>0</v>
      </c>
      <c r="D65" s="70">
        <v>0</v>
      </c>
      <c r="E65" s="70">
        <v>0</v>
      </c>
      <c r="F65" s="70">
        <v>0</v>
      </c>
      <c r="G65" s="70">
        <v>0</v>
      </c>
    </row>
    <row r="66" spans="2:7" x14ac:dyDescent="0.3">
      <c r="B66" s="94" t="s">
        <v>179</v>
      </c>
      <c r="C66" s="70">
        <v>0</v>
      </c>
      <c r="D66" s="70">
        <v>0</v>
      </c>
      <c r="E66" s="70">
        <v>0</v>
      </c>
      <c r="F66" s="70">
        <v>0</v>
      </c>
      <c r="G66" s="70">
        <v>0</v>
      </c>
    </row>
    <row r="67" spans="2:7" x14ac:dyDescent="0.3">
      <c r="B67" s="94" t="s">
        <v>180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</row>
    <row r="68" spans="2:7" x14ac:dyDescent="0.3">
      <c r="B68" s="94" t="s">
        <v>116</v>
      </c>
      <c r="C68" s="70">
        <v>0</v>
      </c>
      <c r="D68" s="70"/>
      <c r="E68" s="70">
        <v>4173600</v>
      </c>
      <c r="F68" s="70"/>
      <c r="G68" s="70"/>
    </row>
  </sheetData>
  <phoneticPr fontId="2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B3:E55"/>
  <sheetViews>
    <sheetView workbookViewId="0">
      <selection activeCell="F29" sqref="F29"/>
    </sheetView>
  </sheetViews>
  <sheetFormatPr defaultRowHeight="15.6" x14ac:dyDescent="0.3"/>
  <cols>
    <col min="1" max="1" width="8.88671875" style="23"/>
    <col min="2" max="2" width="20.33203125" style="16" customWidth="1"/>
    <col min="3" max="3" width="24.109375" style="23" bestFit="1" customWidth="1"/>
    <col min="4" max="5" width="20.5546875" style="23" customWidth="1"/>
    <col min="6" max="9" width="16.5546875" style="23" customWidth="1"/>
    <col min="10" max="10" width="8.88671875" style="23"/>
    <col min="11" max="11" width="12.44140625" style="23" bestFit="1" customWidth="1"/>
    <col min="12" max="12" width="11" style="23" bestFit="1" customWidth="1"/>
    <col min="13" max="16384" width="8.88671875" style="23"/>
  </cols>
  <sheetData>
    <row r="3" spans="2:5" x14ac:dyDescent="0.3">
      <c r="B3" s="16" t="s">
        <v>83</v>
      </c>
    </row>
    <row r="4" spans="2:5" x14ac:dyDescent="0.3">
      <c r="B4" s="52" t="s">
        <v>60</v>
      </c>
      <c r="C4" s="56"/>
      <c r="D4" s="56"/>
      <c r="E4" s="23" t="e">
        <f>SUM(D4:D5)/C4</f>
        <v>#DIV/0!</v>
      </c>
    </row>
    <row r="5" spans="2:5" x14ac:dyDescent="0.3">
      <c r="B5" s="52" t="s">
        <v>59</v>
      </c>
      <c r="C5" s="48"/>
      <c r="D5" s="56"/>
    </row>
    <row r="7" spans="2:5" x14ac:dyDescent="0.3">
      <c r="B7" s="16" t="s">
        <v>85</v>
      </c>
    </row>
    <row r="8" spans="2:5" x14ac:dyDescent="0.3">
      <c r="B8" s="52" t="s">
        <v>60</v>
      </c>
      <c r="C8" s="63"/>
      <c r="D8" s="63"/>
      <c r="E8" s="23" t="e">
        <f>SUM(D8:D9)/C8</f>
        <v>#DIV/0!</v>
      </c>
    </row>
    <row r="9" spans="2:5" x14ac:dyDescent="0.3">
      <c r="B9" s="52" t="s">
        <v>59</v>
      </c>
      <c r="C9" s="64"/>
      <c r="D9" s="63"/>
    </row>
    <row r="11" spans="2:5" x14ac:dyDescent="0.3">
      <c r="B11" s="16" t="s">
        <v>89</v>
      </c>
    </row>
    <row r="12" spans="2:5" x14ac:dyDescent="0.3">
      <c r="B12" s="52" t="s">
        <v>60</v>
      </c>
      <c r="C12" s="56"/>
      <c r="D12" s="56"/>
      <c r="E12" s="23" t="e">
        <f>SUM(D12:D13)/C12</f>
        <v>#DIV/0!</v>
      </c>
    </row>
    <row r="13" spans="2:5" x14ac:dyDescent="0.3">
      <c r="B13" s="52" t="s">
        <v>59</v>
      </c>
      <c r="C13" s="48"/>
      <c r="D13" s="56"/>
    </row>
    <row r="15" spans="2:5" x14ac:dyDescent="0.3">
      <c r="B15" s="16" t="s">
        <v>87</v>
      </c>
    </row>
    <row r="16" spans="2:5" x14ac:dyDescent="0.3">
      <c r="B16" s="52" t="s">
        <v>60</v>
      </c>
      <c r="C16" s="56"/>
      <c r="D16" s="56"/>
      <c r="E16" s="23" t="e">
        <f>SUM(D16:D17)/C16</f>
        <v>#DIV/0!</v>
      </c>
    </row>
    <row r="17" spans="2:5" x14ac:dyDescent="0.3">
      <c r="B17" s="52" t="s">
        <v>59</v>
      </c>
      <c r="C17" s="48"/>
      <c r="D17" s="56"/>
    </row>
    <row r="19" spans="2:5" x14ac:dyDescent="0.3">
      <c r="B19" s="16" t="s">
        <v>91</v>
      </c>
    </row>
    <row r="20" spans="2:5" x14ac:dyDescent="0.3">
      <c r="B20" s="52" t="s">
        <v>60</v>
      </c>
      <c r="C20" s="56"/>
      <c r="D20" s="56"/>
      <c r="E20" s="23" t="e">
        <f>SUM(D20:D21)/C20</f>
        <v>#DIV/0!</v>
      </c>
    </row>
    <row r="21" spans="2:5" x14ac:dyDescent="0.3">
      <c r="B21" s="52" t="s">
        <v>59</v>
      </c>
      <c r="C21" s="48"/>
      <c r="D21" s="56"/>
    </row>
    <row r="23" spans="2:5" x14ac:dyDescent="0.3">
      <c r="B23" s="16" t="s">
        <v>93</v>
      </c>
    </row>
    <row r="24" spans="2:5" x14ac:dyDescent="0.3">
      <c r="B24" s="52" t="s">
        <v>60</v>
      </c>
      <c r="C24" s="56"/>
      <c r="D24" s="56"/>
      <c r="E24" s="23" t="e">
        <f>SUM(D24:D25)/C24</f>
        <v>#DIV/0!</v>
      </c>
    </row>
    <row r="25" spans="2:5" x14ac:dyDescent="0.3">
      <c r="B25" s="52" t="s">
        <v>59</v>
      </c>
      <c r="C25" s="48"/>
      <c r="D25" s="56"/>
    </row>
    <row r="28" spans="2:5" x14ac:dyDescent="0.3">
      <c r="B28" s="52" t="s">
        <v>58</v>
      </c>
      <c r="C28" s="61">
        <v>10000000000</v>
      </c>
    </row>
    <row r="30" spans="2:5" x14ac:dyDescent="0.3">
      <c r="B30" s="62" t="s">
        <v>82</v>
      </c>
      <c r="C30" s="57" t="e">
        <f>ROUND(E4*$C$28, 0)</f>
        <v>#DIV/0!</v>
      </c>
    </row>
    <row r="31" spans="2:5" x14ac:dyDescent="0.3">
      <c r="B31" s="62" t="s">
        <v>84</v>
      </c>
      <c r="C31" s="57" t="e">
        <f>ROUND(E8*$C$28, 0)</f>
        <v>#DIV/0!</v>
      </c>
    </row>
    <row r="32" spans="2:5" x14ac:dyDescent="0.3">
      <c r="B32" s="62" t="s">
        <v>88</v>
      </c>
      <c r="C32" s="57" t="e">
        <f>ROUND(E12*$C$28, 0)</f>
        <v>#DIV/0!</v>
      </c>
    </row>
    <row r="33" spans="2:3" x14ac:dyDescent="0.3">
      <c r="B33" s="62" t="s">
        <v>86</v>
      </c>
      <c r="C33" s="57" t="e">
        <f>ROUND(E16*$C$28, 0)</f>
        <v>#DIV/0!</v>
      </c>
    </row>
    <row r="34" spans="2:3" x14ac:dyDescent="0.3">
      <c r="B34" s="62" t="s">
        <v>90</v>
      </c>
      <c r="C34" s="57" t="e">
        <f>ROUND(E20*$C$28, 0)</f>
        <v>#DIV/0!</v>
      </c>
    </row>
    <row r="35" spans="2:3" x14ac:dyDescent="0.3">
      <c r="B35" s="62" t="s">
        <v>92</v>
      </c>
      <c r="C35" s="57" t="e">
        <f>ROUND(E24*$C$28, 0)</f>
        <v>#DIV/0!</v>
      </c>
    </row>
    <row r="38" spans="2:3" x14ac:dyDescent="0.3">
      <c r="B38" s="23"/>
    </row>
    <row r="39" spans="2:3" x14ac:dyDescent="0.3">
      <c r="B39" s="23"/>
    </row>
    <row r="40" spans="2:3" x14ac:dyDescent="0.3">
      <c r="B40" s="23"/>
    </row>
    <row r="41" spans="2:3" x14ac:dyDescent="0.3">
      <c r="B41" s="23"/>
    </row>
    <row r="42" spans="2:3" x14ac:dyDescent="0.3">
      <c r="B42" s="23"/>
    </row>
    <row r="43" spans="2:3" x14ac:dyDescent="0.3">
      <c r="B43" s="23"/>
    </row>
    <row r="44" spans="2:3" x14ac:dyDescent="0.3">
      <c r="B44" s="23"/>
    </row>
    <row r="45" spans="2:3" x14ac:dyDescent="0.3">
      <c r="B45" s="23"/>
    </row>
    <row r="46" spans="2:3" x14ac:dyDescent="0.3">
      <c r="B46" s="23"/>
    </row>
    <row r="47" spans="2:3" x14ac:dyDescent="0.3">
      <c r="B47" s="23"/>
    </row>
    <row r="48" spans="2:3" x14ac:dyDescent="0.3">
      <c r="B48" s="23"/>
    </row>
    <row r="49" spans="2:2" x14ac:dyDescent="0.3">
      <c r="B49" s="23"/>
    </row>
    <row r="50" spans="2:2" x14ac:dyDescent="0.3">
      <c r="B50" s="23"/>
    </row>
    <row r="51" spans="2:2" x14ac:dyDescent="0.3">
      <c r="B51" s="23"/>
    </row>
    <row r="52" spans="2:2" x14ac:dyDescent="0.3">
      <c r="B52" s="23"/>
    </row>
    <row r="53" spans="2:2" x14ac:dyDescent="0.3">
      <c r="B53" s="23"/>
    </row>
    <row r="54" spans="2:2" x14ac:dyDescent="0.3">
      <c r="B54" s="23"/>
    </row>
    <row r="55" spans="2:2" x14ac:dyDescent="0.3">
      <c r="B55" s="23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workbookViewId="0">
      <selection activeCell="K8" sqref="K8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1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6" t="s">
        <v>101</v>
      </c>
      <c r="Q2" s="26" t="s">
        <v>102</v>
      </c>
      <c r="W2" s="26" t="s">
        <v>103</v>
      </c>
      <c r="AC2" s="26" t="s">
        <v>104</v>
      </c>
      <c r="AH2" s="5"/>
      <c r="AI2" s="5"/>
      <c r="AJ2" s="26" t="s">
        <v>104</v>
      </c>
      <c r="AO2" s="5"/>
    </row>
    <row r="3" spans="1:41" ht="15.9" customHeight="1" x14ac:dyDescent="0.3">
      <c r="A3" s="19" t="s">
        <v>5</v>
      </c>
      <c r="B3" s="19" t="s">
        <v>12</v>
      </c>
      <c r="C3" s="19" t="s">
        <v>6</v>
      </c>
      <c r="D3" s="19" t="s">
        <v>7</v>
      </c>
      <c r="E3" s="19" t="s">
        <v>8</v>
      </c>
      <c r="F3" s="19" t="s">
        <v>9</v>
      </c>
      <c r="G3" s="19" t="s">
        <v>10</v>
      </c>
      <c r="H3" s="19" t="s">
        <v>11</v>
      </c>
      <c r="I3" s="14"/>
      <c r="J3" s="19"/>
      <c r="K3" s="19" t="s">
        <v>13</v>
      </c>
      <c r="L3" s="19" t="s">
        <v>14</v>
      </c>
      <c r="M3" s="19" t="s">
        <v>15</v>
      </c>
      <c r="N3" s="19" t="s">
        <v>16</v>
      </c>
      <c r="O3" s="19" t="s">
        <v>17</v>
      </c>
      <c r="Q3" s="19" t="s">
        <v>13</v>
      </c>
      <c r="R3" s="19" t="s">
        <v>14</v>
      </c>
      <c r="S3" s="19" t="s">
        <v>15</v>
      </c>
      <c r="T3" s="19" t="s">
        <v>16</v>
      </c>
      <c r="U3" s="19" t="s">
        <v>17</v>
      </c>
      <c r="W3" s="19" t="s">
        <v>6</v>
      </c>
      <c r="X3" s="19" t="s">
        <v>14</v>
      </c>
      <c r="Y3" s="19" t="s">
        <v>15</v>
      </c>
      <c r="Z3" s="19" t="s">
        <v>16</v>
      </c>
      <c r="AA3" s="19" t="s">
        <v>17</v>
      </c>
    </row>
    <row r="4" spans="1:41" ht="15.9" customHeight="1" x14ac:dyDescent="0.3">
      <c r="A4" s="28" t="str" cm="1">
        <f t="array" ref="A4:B23">Overview!A38:B57</f>
        <v>WW</v>
      </c>
      <c r="B4" s="8" t="str">
        <v>Wild</v>
      </c>
      <c r="C4" s="53">
        <f t="shared" ref="C4:C23" si="0">COUNTIF(K:K, $A4)</f>
        <v>0</v>
      </c>
      <c r="D4" s="53">
        <f t="shared" ref="D4:D23" si="1">COUNTIF(L:L, $A4)</f>
        <v>0</v>
      </c>
      <c r="E4" s="53">
        <f t="shared" ref="E4:E23" si="2">COUNTIF(M:M, $A4)</f>
        <v>0</v>
      </c>
      <c r="F4" s="53">
        <f t="shared" ref="F4:F23" si="3">COUNTIF(N:N, $A4)</f>
        <v>0</v>
      </c>
      <c r="G4" s="53">
        <f t="shared" ref="G4:G23" si="4">COUNTIF(O:O, $A4)</f>
        <v>0</v>
      </c>
      <c r="H4" s="8" cm="1">
        <f t="array" ref="H4:H23">Overview!F38:F57</f>
        <v>0</v>
      </c>
      <c r="I4" s="51"/>
      <c r="J4" s="24" cm="1">
        <f t="array" ref="J4:J203">_xlfn.SEQUENCE(MAX(COUNTA(K:K), COUNTA(L:L), COUNTA(M:M), COUNTA(N:N), COUNTA(O:O))-1,,0)</f>
        <v>0</v>
      </c>
      <c r="K4" s="25" t="s">
        <v>95</v>
      </c>
      <c r="L4" s="25" t="s">
        <v>95</v>
      </c>
      <c r="M4" s="25" t="s">
        <v>95</v>
      </c>
      <c r="N4" s="25" t="s">
        <v>81</v>
      </c>
      <c r="O4" s="25" t="s">
        <v>19</v>
      </c>
      <c r="Q4" s="24" cm="1">
        <f t="array" ref="Q4:U304">_xlfn.LET(_xlpm.x, K4:O304, IF(_xlpm.x="", "", _xlfn.XLOOKUP(_xlpm.x, $A$4:$A$23,_xlfn.ANCHORARRAY( H4))))</f>
        <v>6</v>
      </c>
      <c r="R4" s="24">
        <v>6</v>
      </c>
      <c r="S4" s="24">
        <v>6</v>
      </c>
      <c r="T4" s="24">
        <v>17</v>
      </c>
      <c r="U4" s="24">
        <v>5</v>
      </c>
      <c r="W4" s="24">
        <v>1</v>
      </c>
      <c r="X4" s="24">
        <v>1</v>
      </c>
      <c r="Y4" s="24">
        <v>1</v>
      </c>
      <c r="Z4" s="24">
        <v>1</v>
      </c>
      <c r="AA4" s="24">
        <v>1</v>
      </c>
      <c r="AB4" s="42"/>
      <c r="AC4" s="26" t="s">
        <v>99</v>
      </c>
      <c r="AH4" s="5"/>
      <c r="AI4" s="5"/>
      <c r="AJ4" s="26" t="s">
        <v>99</v>
      </c>
      <c r="AO4" s="5"/>
    </row>
    <row r="5" spans="1:41" ht="15.9" customHeight="1" x14ac:dyDescent="0.3">
      <c r="A5" s="28" t="str">
        <v>C1</v>
      </c>
      <c r="B5" s="8" t="str">
        <v>Scatter</v>
      </c>
      <c r="C5" s="53">
        <f t="shared" si="0"/>
        <v>0</v>
      </c>
      <c r="D5" s="53">
        <f t="shared" si="1"/>
        <v>6</v>
      </c>
      <c r="E5" s="53">
        <f t="shared" si="2"/>
        <v>0</v>
      </c>
      <c r="F5" s="53">
        <f t="shared" si="3"/>
        <v>9</v>
      </c>
      <c r="G5" s="53">
        <f t="shared" si="4"/>
        <v>0</v>
      </c>
      <c r="H5" s="8">
        <v>1</v>
      </c>
      <c r="I5" s="51"/>
      <c r="J5" s="9">
        <v>1</v>
      </c>
      <c r="K5" s="15" t="s">
        <v>35</v>
      </c>
      <c r="L5" s="15" t="s">
        <v>21</v>
      </c>
      <c r="M5" s="15" t="s">
        <v>35</v>
      </c>
      <c r="N5" s="15" t="s">
        <v>34</v>
      </c>
      <c r="O5" s="15" t="s">
        <v>22</v>
      </c>
      <c r="Q5" s="9">
        <v>8</v>
      </c>
      <c r="R5" s="9">
        <v>2</v>
      </c>
      <c r="S5" s="9">
        <v>8</v>
      </c>
      <c r="T5" s="9">
        <v>9</v>
      </c>
      <c r="U5" s="9">
        <v>3</v>
      </c>
      <c r="W5" s="24">
        <v>1</v>
      </c>
      <c r="X5" s="24">
        <v>1</v>
      </c>
      <c r="Y5" s="24">
        <v>1</v>
      </c>
      <c r="Z5" s="24">
        <v>1</v>
      </c>
      <c r="AA5" s="24">
        <v>1</v>
      </c>
      <c r="AC5" s="68" t="s">
        <v>42</v>
      </c>
      <c r="AD5" s="68" t="s">
        <v>13</v>
      </c>
      <c r="AE5" s="68" t="s">
        <v>14</v>
      </c>
      <c r="AF5" s="68" t="s">
        <v>15</v>
      </c>
      <c r="AG5" s="68" t="s">
        <v>16</v>
      </c>
      <c r="AH5" s="68" t="s">
        <v>17</v>
      </c>
      <c r="AI5" s="5"/>
      <c r="AJ5" s="68" t="s">
        <v>42</v>
      </c>
      <c r="AK5" s="68" t="s">
        <v>13</v>
      </c>
      <c r="AL5" s="68" t="s">
        <v>14</v>
      </c>
      <c r="AM5" s="68" t="s">
        <v>15</v>
      </c>
      <c r="AN5" s="68" t="s">
        <v>16</v>
      </c>
      <c r="AO5" s="68" t="s">
        <v>17</v>
      </c>
    </row>
    <row r="6" spans="1:41" ht="15.9" customHeight="1" x14ac:dyDescent="0.3">
      <c r="A6" s="66" t="str">
        <v>M1</v>
      </c>
      <c r="B6" s="58" t="str">
        <v>M1</v>
      </c>
      <c r="C6" s="66">
        <f t="shared" si="0"/>
        <v>4</v>
      </c>
      <c r="D6" s="66">
        <f t="shared" si="1"/>
        <v>11</v>
      </c>
      <c r="E6" s="66">
        <f t="shared" si="2"/>
        <v>5</v>
      </c>
      <c r="F6" s="66">
        <f t="shared" si="3"/>
        <v>21</v>
      </c>
      <c r="G6" s="66">
        <f t="shared" si="4"/>
        <v>23</v>
      </c>
      <c r="H6" s="58">
        <v>2</v>
      </c>
      <c r="I6" s="51"/>
      <c r="J6" s="24">
        <v>2</v>
      </c>
      <c r="K6" s="15" t="s">
        <v>19</v>
      </c>
      <c r="L6" s="15" t="s">
        <v>64</v>
      </c>
      <c r="M6" s="15" t="s">
        <v>81</v>
      </c>
      <c r="N6" s="15" t="s">
        <v>18</v>
      </c>
      <c r="O6" s="15" t="s">
        <v>22</v>
      </c>
      <c r="Q6" s="9">
        <v>5</v>
      </c>
      <c r="R6" s="9">
        <v>14</v>
      </c>
      <c r="S6" s="9">
        <v>17</v>
      </c>
      <c r="T6" s="9">
        <v>4</v>
      </c>
      <c r="U6" s="9">
        <v>3</v>
      </c>
      <c r="W6" s="24">
        <v>1</v>
      </c>
      <c r="X6" s="24">
        <v>1</v>
      </c>
      <c r="Y6" s="24">
        <v>1</v>
      </c>
      <c r="Z6" s="24">
        <v>1</v>
      </c>
      <c r="AA6" s="24">
        <v>1</v>
      </c>
      <c r="AC6" s="71" t="str" cm="1">
        <f t="array" ref="AC6:AC25">$A$4:$A$23</f>
        <v>WW</v>
      </c>
      <c r="AD6" s="72">
        <v>0</v>
      </c>
      <c r="AE6" s="72">
        <v>0</v>
      </c>
      <c r="AF6" s="72">
        <v>0</v>
      </c>
      <c r="AG6" s="72">
        <v>0</v>
      </c>
      <c r="AH6" s="72">
        <v>0</v>
      </c>
      <c r="AI6" s="5"/>
      <c r="AJ6" s="71" t="str" cm="1">
        <f t="array" ref="AJ6:AJ25">$A$4:$A$23</f>
        <v>WW</v>
      </c>
      <c r="AK6" s="72">
        <v>0</v>
      </c>
      <c r="AL6" s="72">
        <v>0</v>
      </c>
      <c r="AM6" s="72">
        <v>0</v>
      </c>
      <c r="AN6" s="72">
        <v>0</v>
      </c>
      <c r="AO6" s="72">
        <v>0</v>
      </c>
    </row>
    <row r="7" spans="1:41" ht="15.9" customHeight="1" x14ac:dyDescent="0.3">
      <c r="A7" s="66" t="str">
        <v>M2</v>
      </c>
      <c r="B7" s="58" t="str">
        <v>M2</v>
      </c>
      <c r="C7" s="66">
        <f t="shared" si="0"/>
        <v>4</v>
      </c>
      <c r="D7" s="66">
        <f t="shared" si="1"/>
        <v>11</v>
      </c>
      <c r="E7" s="66">
        <f t="shared" si="2"/>
        <v>5</v>
      </c>
      <c r="F7" s="66">
        <f t="shared" si="3"/>
        <v>21</v>
      </c>
      <c r="G7" s="66">
        <f t="shared" si="4"/>
        <v>23</v>
      </c>
      <c r="H7" s="58">
        <v>3</v>
      </c>
      <c r="I7" s="51"/>
      <c r="J7" s="9">
        <v>3</v>
      </c>
      <c r="K7" s="15" t="s">
        <v>37</v>
      </c>
      <c r="L7" s="25" t="s">
        <v>37</v>
      </c>
      <c r="M7" s="15" t="s">
        <v>19</v>
      </c>
      <c r="N7" s="15" t="s">
        <v>18</v>
      </c>
      <c r="O7" s="15" t="s">
        <v>36</v>
      </c>
      <c r="Q7" s="9">
        <v>7</v>
      </c>
      <c r="R7" s="9">
        <v>7</v>
      </c>
      <c r="S7" s="9">
        <v>5</v>
      </c>
      <c r="T7" s="9">
        <v>4</v>
      </c>
      <c r="U7" s="9">
        <v>10</v>
      </c>
      <c r="W7" s="24">
        <v>1</v>
      </c>
      <c r="X7" s="24">
        <v>1</v>
      </c>
      <c r="Y7" s="24">
        <v>1</v>
      </c>
      <c r="Z7" s="24">
        <v>1</v>
      </c>
      <c r="AA7" s="24">
        <v>1</v>
      </c>
      <c r="AC7" s="71" t="str">
        <v>C1</v>
      </c>
      <c r="AD7" s="71">
        <v>0</v>
      </c>
      <c r="AE7" s="71">
        <v>6</v>
      </c>
      <c r="AF7" s="71">
        <v>0</v>
      </c>
      <c r="AG7" s="71">
        <v>9</v>
      </c>
      <c r="AH7" s="71">
        <v>0</v>
      </c>
      <c r="AI7" s="5"/>
      <c r="AJ7" s="71" t="str">
        <v>C1</v>
      </c>
      <c r="AK7" s="71">
        <v>0</v>
      </c>
      <c r="AL7" s="71">
        <v>6</v>
      </c>
      <c r="AM7" s="71">
        <v>0</v>
      </c>
      <c r="AN7" s="71">
        <v>9</v>
      </c>
      <c r="AO7" s="71">
        <v>0</v>
      </c>
    </row>
    <row r="8" spans="1:41" ht="15.9" customHeight="1" x14ac:dyDescent="0.3">
      <c r="A8" s="66" t="str">
        <v>M3</v>
      </c>
      <c r="B8" s="58" t="str">
        <v>M3</v>
      </c>
      <c r="C8" s="66">
        <f t="shared" si="0"/>
        <v>4</v>
      </c>
      <c r="D8" s="66">
        <f t="shared" si="1"/>
        <v>11</v>
      </c>
      <c r="E8" s="66">
        <f t="shared" si="2"/>
        <v>5</v>
      </c>
      <c r="F8" s="66">
        <f t="shared" si="3"/>
        <v>21</v>
      </c>
      <c r="G8" s="66">
        <f t="shared" si="4"/>
        <v>22</v>
      </c>
      <c r="H8" s="58">
        <v>4</v>
      </c>
      <c r="I8" s="51"/>
      <c r="J8" s="24">
        <v>4</v>
      </c>
      <c r="K8" s="15" t="s">
        <v>35</v>
      </c>
      <c r="L8" s="15" t="s">
        <v>95</v>
      </c>
      <c r="M8" s="15" t="s">
        <v>22</v>
      </c>
      <c r="N8" s="15" t="s">
        <v>81</v>
      </c>
      <c r="O8" s="15" t="s">
        <v>35</v>
      </c>
      <c r="Q8" s="9">
        <v>8</v>
      </c>
      <c r="R8" s="9">
        <v>6</v>
      </c>
      <c r="S8" s="9">
        <v>3</v>
      </c>
      <c r="T8" s="9">
        <v>17</v>
      </c>
      <c r="U8" s="9">
        <v>8</v>
      </c>
      <c r="W8" s="24">
        <v>1</v>
      </c>
      <c r="X8" s="24">
        <v>1</v>
      </c>
      <c r="Y8" s="24">
        <v>1</v>
      </c>
      <c r="Z8" s="24">
        <v>1</v>
      </c>
      <c r="AA8" s="24">
        <v>1</v>
      </c>
      <c r="AC8" s="80" t="str">
        <v>M1</v>
      </c>
      <c r="AD8" s="66">
        <v>4</v>
      </c>
      <c r="AE8" s="66">
        <v>11</v>
      </c>
      <c r="AF8" s="66">
        <v>5</v>
      </c>
      <c r="AG8" s="66">
        <v>21</v>
      </c>
      <c r="AH8" s="66">
        <v>23</v>
      </c>
      <c r="AI8" s="5"/>
      <c r="AJ8" s="80" t="str">
        <v>M1</v>
      </c>
      <c r="AK8" s="66">
        <v>4</v>
      </c>
      <c r="AL8" s="66">
        <v>11</v>
      </c>
      <c r="AM8" s="66">
        <v>5</v>
      </c>
      <c r="AN8" s="66">
        <v>21</v>
      </c>
      <c r="AO8" s="66">
        <v>23</v>
      </c>
    </row>
    <row r="9" spans="1:41" ht="15.9" customHeight="1" x14ac:dyDescent="0.3">
      <c r="A9" s="66" t="str">
        <v>M4</v>
      </c>
      <c r="B9" s="58" t="str">
        <v>M4</v>
      </c>
      <c r="C9" s="66">
        <f t="shared" si="0"/>
        <v>43</v>
      </c>
      <c r="D9" s="66">
        <f t="shared" si="1"/>
        <v>20</v>
      </c>
      <c r="E9" s="66">
        <f t="shared" si="2"/>
        <v>41</v>
      </c>
      <c r="F9" s="66">
        <f t="shared" si="3"/>
        <v>14</v>
      </c>
      <c r="G9" s="66">
        <f t="shared" si="4"/>
        <v>22</v>
      </c>
      <c r="H9" s="58">
        <v>5</v>
      </c>
      <c r="I9" s="51"/>
      <c r="J9" s="9">
        <v>5</v>
      </c>
      <c r="K9" s="15" t="s">
        <v>37</v>
      </c>
      <c r="L9" s="15" t="s">
        <v>62</v>
      </c>
      <c r="M9" s="15" t="s">
        <v>37</v>
      </c>
      <c r="N9" s="15" t="s">
        <v>68</v>
      </c>
      <c r="O9" s="15" t="s">
        <v>36</v>
      </c>
      <c r="Q9" s="9">
        <v>7</v>
      </c>
      <c r="R9" s="9">
        <v>12</v>
      </c>
      <c r="S9" s="9">
        <v>7</v>
      </c>
      <c r="T9" s="9">
        <v>18</v>
      </c>
      <c r="U9" s="9">
        <v>10</v>
      </c>
      <c r="W9" s="24">
        <v>1</v>
      </c>
      <c r="X9" s="24">
        <v>1</v>
      </c>
      <c r="Y9" s="24">
        <v>1</v>
      </c>
      <c r="Z9" s="24">
        <v>1</v>
      </c>
      <c r="AA9" s="24">
        <v>1</v>
      </c>
      <c r="AC9" s="80" t="str">
        <v>M2</v>
      </c>
      <c r="AD9" s="66">
        <v>4</v>
      </c>
      <c r="AE9" s="66">
        <v>11</v>
      </c>
      <c r="AF9" s="66">
        <v>5</v>
      </c>
      <c r="AG9" s="66">
        <v>21</v>
      </c>
      <c r="AH9" s="66">
        <v>23</v>
      </c>
      <c r="AI9" s="5"/>
      <c r="AJ9" s="80" t="str">
        <v>M2</v>
      </c>
      <c r="AK9" s="66">
        <v>4</v>
      </c>
      <c r="AL9" s="66">
        <v>11</v>
      </c>
      <c r="AM9" s="66">
        <v>5</v>
      </c>
      <c r="AN9" s="66">
        <v>21</v>
      </c>
      <c r="AO9" s="66">
        <v>23</v>
      </c>
    </row>
    <row r="10" spans="1:41" ht="15.9" customHeight="1" x14ac:dyDescent="0.3">
      <c r="A10" s="66" t="str">
        <v>M5</v>
      </c>
      <c r="B10" s="58" t="str">
        <v>M5</v>
      </c>
      <c r="C10" s="66">
        <f t="shared" si="0"/>
        <v>43</v>
      </c>
      <c r="D10" s="66">
        <f t="shared" si="1"/>
        <v>21</v>
      </c>
      <c r="E10" s="66">
        <f t="shared" si="2"/>
        <v>41</v>
      </c>
      <c r="F10" s="66">
        <f t="shared" si="3"/>
        <v>14</v>
      </c>
      <c r="G10" s="66">
        <f t="shared" si="4"/>
        <v>22</v>
      </c>
      <c r="H10" s="58">
        <v>6</v>
      </c>
      <c r="I10" s="51"/>
      <c r="J10" s="24">
        <v>6</v>
      </c>
      <c r="K10" s="15" t="s">
        <v>35</v>
      </c>
      <c r="L10" s="15" t="s">
        <v>37</v>
      </c>
      <c r="M10" s="15" t="s">
        <v>96</v>
      </c>
      <c r="N10" s="15" t="s">
        <v>95</v>
      </c>
      <c r="O10" s="15" t="s">
        <v>37</v>
      </c>
      <c r="Q10" s="9">
        <v>8</v>
      </c>
      <c r="R10" s="9">
        <v>7</v>
      </c>
      <c r="S10" s="9">
        <v>15</v>
      </c>
      <c r="T10" s="9">
        <v>6</v>
      </c>
      <c r="U10" s="9">
        <v>7</v>
      </c>
      <c r="W10" s="24">
        <v>1</v>
      </c>
      <c r="X10" s="24">
        <v>1</v>
      </c>
      <c r="Y10" s="24">
        <v>1</v>
      </c>
      <c r="Z10" s="24">
        <v>1</v>
      </c>
      <c r="AA10" s="24">
        <v>1</v>
      </c>
      <c r="AC10" s="80" t="str">
        <v>M3</v>
      </c>
      <c r="AD10" s="66">
        <v>4</v>
      </c>
      <c r="AE10" s="66">
        <v>11</v>
      </c>
      <c r="AF10" s="66">
        <v>5</v>
      </c>
      <c r="AG10" s="66">
        <v>21</v>
      </c>
      <c r="AH10" s="66">
        <v>22</v>
      </c>
      <c r="AI10" s="5"/>
      <c r="AJ10" s="80" t="str">
        <v>M3</v>
      </c>
      <c r="AK10" s="66">
        <v>4</v>
      </c>
      <c r="AL10" s="66">
        <v>11</v>
      </c>
      <c r="AM10" s="66">
        <v>5</v>
      </c>
      <c r="AN10" s="66">
        <v>21</v>
      </c>
      <c r="AO10" s="66">
        <v>22</v>
      </c>
    </row>
    <row r="11" spans="1:41" ht="15.9" customHeight="1" x14ac:dyDescent="0.3">
      <c r="A11" s="66" t="str">
        <v>A</v>
      </c>
      <c r="B11" s="58" t="str">
        <v>A</v>
      </c>
      <c r="C11" s="66">
        <f t="shared" si="0"/>
        <v>47</v>
      </c>
      <c r="D11" s="66">
        <f t="shared" si="1"/>
        <v>21</v>
      </c>
      <c r="E11" s="66">
        <f t="shared" si="2"/>
        <v>41</v>
      </c>
      <c r="F11" s="66">
        <f t="shared" si="3"/>
        <v>14</v>
      </c>
      <c r="G11" s="66">
        <f t="shared" si="4"/>
        <v>22</v>
      </c>
      <c r="H11" s="58">
        <v>7</v>
      </c>
      <c r="I11" s="51"/>
      <c r="J11" s="9">
        <v>7</v>
      </c>
      <c r="K11" s="15" t="s">
        <v>35</v>
      </c>
      <c r="L11" s="15" t="s">
        <v>37</v>
      </c>
      <c r="M11" s="15" t="s">
        <v>34</v>
      </c>
      <c r="N11" s="15" t="s">
        <v>21</v>
      </c>
      <c r="O11" s="15" t="s">
        <v>37</v>
      </c>
      <c r="Q11" s="9">
        <v>8</v>
      </c>
      <c r="R11" s="9">
        <v>7</v>
      </c>
      <c r="S11" s="9">
        <v>9</v>
      </c>
      <c r="T11" s="9">
        <v>2</v>
      </c>
      <c r="U11" s="9">
        <v>7</v>
      </c>
      <c r="W11" s="24">
        <v>1</v>
      </c>
      <c r="X11" s="24">
        <v>1</v>
      </c>
      <c r="Y11" s="24">
        <v>1</v>
      </c>
      <c r="Z11" s="24">
        <v>1</v>
      </c>
      <c r="AA11" s="24">
        <v>1</v>
      </c>
      <c r="AC11" s="80" t="str">
        <v>M4</v>
      </c>
      <c r="AD11" s="66">
        <v>43</v>
      </c>
      <c r="AE11" s="66">
        <v>20</v>
      </c>
      <c r="AF11" s="66">
        <v>41</v>
      </c>
      <c r="AG11" s="66">
        <v>14</v>
      </c>
      <c r="AH11" s="66">
        <v>22</v>
      </c>
      <c r="AI11" s="5"/>
      <c r="AJ11" s="80" t="str">
        <v>M4</v>
      </c>
      <c r="AK11" s="66">
        <v>43</v>
      </c>
      <c r="AL11" s="66">
        <v>20</v>
      </c>
      <c r="AM11" s="66">
        <v>41</v>
      </c>
      <c r="AN11" s="66">
        <v>14</v>
      </c>
      <c r="AO11" s="66">
        <v>22</v>
      </c>
    </row>
    <row r="12" spans="1:41" ht="15.9" customHeight="1" x14ac:dyDescent="0.3">
      <c r="A12" s="66" t="str">
        <v>K</v>
      </c>
      <c r="B12" s="58" t="str">
        <v>K</v>
      </c>
      <c r="C12" s="66">
        <f t="shared" si="0"/>
        <v>47</v>
      </c>
      <c r="D12" s="66">
        <f t="shared" si="1"/>
        <v>21</v>
      </c>
      <c r="E12" s="66">
        <f t="shared" si="2"/>
        <v>41</v>
      </c>
      <c r="F12" s="66">
        <f t="shared" si="3"/>
        <v>14</v>
      </c>
      <c r="G12" s="66">
        <f t="shared" si="4"/>
        <v>22</v>
      </c>
      <c r="H12" s="58">
        <v>8</v>
      </c>
      <c r="I12" s="51"/>
      <c r="J12" s="24">
        <v>8</v>
      </c>
      <c r="K12" s="15" t="s">
        <v>37</v>
      </c>
      <c r="L12" s="15" t="s">
        <v>37</v>
      </c>
      <c r="M12" s="15" t="s">
        <v>35</v>
      </c>
      <c r="N12" s="15" t="s">
        <v>62</v>
      </c>
      <c r="O12" s="15" t="s">
        <v>19</v>
      </c>
      <c r="Q12" s="9">
        <v>7</v>
      </c>
      <c r="R12" s="9">
        <v>7</v>
      </c>
      <c r="S12" s="9">
        <v>8</v>
      </c>
      <c r="T12" s="9">
        <v>12</v>
      </c>
      <c r="U12" s="9">
        <v>5</v>
      </c>
      <c r="W12" s="24">
        <v>1</v>
      </c>
      <c r="X12" s="24">
        <v>1</v>
      </c>
      <c r="Y12" s="24">
        <v>1</v>
      </c>
      <c r="Z12" s="24">
        <v>1</v>
      </c>
      <c r="AA12" s="24">
        <v>1</v>
      </c>
      <c r="AC12" s="80" t="str">
        <v>M5</v>
      </c>
      <c r="AD12" s="66">
        <v>43</v>
      </c>
      <c r="AE12" s="66">
        <v>21</v>
      </c>
      <c r="AF12" s="66">
        <v>41</v>
      </c>
      <c r="AG12" s="66">
        <v>14</v>
      </c>
      <c r="AH12" s="66">
        <v>22</v>
      </c>
      <c r="AI12" s="5"/>
      <c r="AJ12" s="80" t="str">
        <v>M5</v>
      </c>
      <c r="AK12" s="66">
        <v>43</v>
      </c>
      <c r="AL12" s="66">
        <v>21</v>
      </c>
      <c r="AM12" s="66">
        <v>41</v>
      </c>
      <c r="AN12" s="66">
        <v>14</v>
      </c>
      <c r="AO12" s="66">
        <v>22</v>
      </c>
    </row>
    <row r="13" spans="1:41" ht="15.9" customHeight="1" x14ac:dyDescent="0.3">
      <c r="A13" s="66" t="str">
        <v>Q</v>
      </c>
      <c r="B13" s="58" t="str">
        <v>Q</v>
      </c>
      <c r="C13" s="66">
        <f t="shared" si="0"/>
        <v>4</v>
      </c>
      <c r="D13" s="66">
        <f t="shared" si="1"/>
        <v>11</v>
      </c>
      <c r="E13" s="66">
        <f t="shared" si="2"/>
        <v>5</v>
      </c>
      <c r="F13" s="66">
        <f t="shared" si="3"/>
        <v>20</v>
      </c>
      <c r="G13" s="66">
        <f t="shared" si="4"/>
        <v>22</v>
      </c>
      <c r="H13" s="58">
        <v>9</v>
      </c>
      <c r="I13" s="51"/>
      <c r="J13" s="9">
        <v>9</v>
      </c>
      <c r="K13" s="15" t="s">
        <v>95</v>
      </c>
      <c r="L13" s="15" t="s">
        <v>19</v>
      </c>
      <c r="M13" s="15" t="s">
        <v>35</v>
      </c>
      <c r="N13" s="15" t="s">
        <v>37</v>
      </c>
      <c r="O13" s="15" t="s">
        <v>34</v>
      </c>
      <c r="Q13" s="9">
        <v>6</v>
      </c>
      <c r="R13" s="9">
        <v>5</v>
      </c>
      <c r="S13" s="9">
        <v>8</v>
      </c>
      <c r="T13" s="9">
        <v>7</v>
      </c>
      <c r="U13" s="9">
        <v>9</v>
      </c>
      <c r="W13" s="24">
        <v>1</v>
      </c>
      <c r="X13" s="24">
        <v>1</v>
      </c>
      <c r="Y13" s="24">
        <v>1</v>
      </c>
      <c r="Z13" s="24">
        <v>1</v>
      </c>
      <c r="AA13" s="24">
        <v>1</v>
      </c>
      <c r="AC13" s="80" t="str">
        <v>A</v>
      </c>
      <c r="AD13" s="66">
        <v>47</v>
      </c>
      <c r="AE13" s="66">
        <v>21</v>
      </c>
      <c r="AF13" s="66">
        <v>41</v>
      </c>
      <c r="AG13" s="66">
        <v>14</v>
      </c>
      <c r="AH13" s="66">
        <v>22</v>
      </c>
      <c r="AI13" s="5"/>
      <c r="AJ13" s="80" t="str">
        <v>A</v>
      </c>
      <c r="AK13" s="66">
        <v>47</v>
      </c>
      <c r="AL13" s="66">
        <v>21</v>
      </c>
      <c r="AM13" s="66">
        <v>41</v>
      </c>
      <c r="AN13" s="66">
        <v>14</v>
      </c>
      <c r="AO13" s="66">
        <v>22</v>
      </c>
    </row>
    <row r="14" spans="1:41" ht="15.9" customHeight="1" x14ac:dyDescent="0.3">
      <c r="A14" s="66" t="str">
        <v>J</v>
      </c>
      <c r="B14" s="58" t="str">
        <v>J</v>
      </c>
      <c r="C14" s="66">
        <f t="shared" si="0"/>
        <v>4</v>
      </c>
      <c r="D14" s="66">
        <f t="shared" si="1"/>
        <v>11</v>
      </c>
      <c r="E14" s="66">
        <f t="shared" si="2"/>
        <v>4</v>
      </c>
      <c r="F14" s="66">
        <f t="shared" si="3"/>
        <v>20</v>
      </c>
      <c r="G14" s="66">
        <f t="shared" si="4"/>
        <v>22</v>
      </c>
      <c r="H14" s="58">
        <v>10</v>
      </c>
      <c r="I14" s="51"/>
      <c r="J14" s="24">
        <v>10</v>
      </c>
      <c r="K14" s="15" t="s">
        <v>37</v>
      </c>
      <c r="L14" s="15" t="s">
        <v>36</v>
      </c>
      <c r="M14" s="15" t="s">
        <v>95</v>
      </c>
      <c r="N14" s="15" t="s">
        <v>96</v>
      </c>
      <c r="O14" s="15" t="s">
        <v>35</v>
      </c>
      <c r="Q14" s="9">
        <v>7</v>
      </c>
      <c r="R14" s="9">
        <v>10</v>
      </c>
      <c r="S14" s="9">
        <v>6</v>
      </c>
      <c r="T14" s="9">
        <v>15</v>
      </c>
      <c r="U14" s="9">
        <v>8</v>
      </c>
      <c r="W14" s="24">
        <v>1</v>
      </c>
      <c r="X14" s="24">
        <v>1</v>
      </c>
      <c r="Y14" s="24">
        <v>1</v>
      </c>
      <c r="Z14" s="24">
        <v>1</v>
      </c>
      <c r="AA14" s="24">
        <v>1</v>
      </c>
      <c r="AC14" s="80" t="str">
        <v>K</v>
      </c>
      <c r="AD14" s="66">
        <v>47</v>
      </c>
      <c r="AE14" s="66">
        <v>21</v>
      </c>
      <c r="AF14" s="66">
        <v>41</v>
      </c>
      <c r="AG14" s="66">
        <v>14</v>
      </c>
      <c r="AH14" s="66">
        <v>22</v>
      </c>
      <c r="AI14" s="5"/>
      <c r="AJ14" s="80" t="str">
        <v>K</v>
      </c>
      <c r="AK14" s="66">
        <v>47</v>
      </c>
      <c r="AL14" s="66">
        <v>21</v>
      </c>
      <c r="AM14" s="66">
        <v>41</v>
      </c>
      <c r="AN14" s="66">
        <v>14</v>
      </c>
      <c r="AO14" s="66">
        <v>22</v>
      </c>
    </row>
    <row r="15" spans="1:41" ht="15.9" customHeight="1" x14ac:dyDescent="0.3">
      <c r="A15" s="28" t="str">
        <v>G1</v>
      </c>
      <c r="B15" s="8" t="str">
        <v>Gold M1</v>
      </c>
      <c r="C15" s="53">
        <f t="shared" si="0"/>
        <v>0</v>
      </c>
      <c r="D15" s="53">
        <f t="shared" si="1"/>
        <v>4</v>
      </c>
      <c r="E15" s="53">
        <f t="shared" si="2"/>
        <v>0</v>
      </c>
      <c r="F15" s="53">
        <f t="shared" si="3"/>
        <v>4</v>
      </c>
      <c r="G15" s="53">
        <f t="shared" si="4"/>
        <v>0</v>
      </c>
      <c r="H15" s="8">
        <v>11</v>
      </c>
      <c r="I15" s="51"/>
      <c r="J15" s="9">
        <v>11</v>
      </c>
      <c r="K15" s="15" t="s">
        <v>95</v>
      </c>
      <c r="L15" s="15" t="s">
        <v>37</v>
      </c>
      <c r="M15" s="15" t="s">
        <v>37</v>
      </c>
      <c r="N15" s="15" t="s">
        <v>35</v>
      </c>
      <c r="O15" s="15" t="s">
        <v>21</v>
      </c>
      <c r="Q15" s="9">
        <v>6</v>
      </c>
      <c r="R15" s="9">
        <v>7</v>
      </c>
      <c r="S15" s="9">
        <v>7</v>
      </c>
      <c r="T15" s="9">
        <v>8</v>
      </c>
      <c r="U15" s="9">
        <v>2</v>
      </c>
      <c r="W15" s="24">
        <v>1</v>
      </c>
      <c r="X15" s="24">
        <v>1</v>
      </c>
      <c r="Y15" s="24">
        <v>1</v>
      </c>
      <c r="Z15" s="24">
        <v>1</v>
      </c>
      <c r="AA15" s="24">
        <v>1</v>
      </c>
      <c r="AC15" s="80" t="str">
        <v>Q</v>
      </c>
      <c r="AD15" s="66">
        <v>4</v>
      </c>
      <c r="AE15" s="66">
        <v>11</v>
      </c>
      <c r="AF15" s="66">
        <v>5</v>
      </c>
      <c r="AG15" s="66">
        <v>20</v>
      </c>
      <c r="AH15" s="66">
        <v>22</v>
      </c>
      <c r="AI15" s="5"/>
      <c r="AJ15" s="80" t="str">
        <v>Q</v>
      </c>
      <c r="AK15" s="66">
        <v>4</v>
      </c>
      <c r="AL15" s="66">
        <v>11</v>
      </c>
      <c r="AM15" s="66">
        <v>5</v>
      </c>
      <c r="AN15" s="66">
        <v>20</v>
      </c>
      <c r="AO15" s="66">
        <v>22</v>
      </c>
    </row>
    <row r="16" spans="1:41" ht="15.9" customHeight="1" x14ac:dyDescent="0.3">
      <c r="A16" s="28" t="str">
        <v>G2</v>
      </c>
      <c r="B16" s="8" t="str">
        <v>Gold M2</v>
      </c>
      <c r="C16" s="53">
        <f t="shared" si="0"/>
        <v>0</v>
      </c>
      <c r="D16" s="53">
        <f t="shared" si="1"/>
        <v>5</v>
      </c>
      <c r="E16" s="53">
        <f t="shared" si="2"/>
        <v>0</v>
      </c>
      <c r="F16" s="53">
        <f t="shared" si="3"/>
        <v>4</v>
      </c>
      <c r="G16" s="53">
        <f t="shared" si="4"/>
        <v>0</v>
      </c>
      <c r="H16" s="8">
        <v>12</v>
      </c>
      <c r="I16" s="51"/>
      <c r="J16" s="24">
        <v>12</v>
      </c>
      <c r="K16" s="15" t="s">
        <v>37</v>
      </c>
      <c r="L16" s="15" t="s">
        <v>61</v>
      </c>
      <c r="M16" s="15" t="s">
        <v>37</v>
      </c>
      <c r="N16" s="15" t="s">
        <v>35</v>
      </c>
      <c r="O16" s="15" t="s">
        <v>22</v>
      </c>
      <c r="Q16" s="9">
        <v>7</v>
      </c>
      <c r="R16" s="9">
        <v>11</v>
      </c>
      <c r="S16" s="9">
        <v>7</v>
      </c>
      <c r="T16" s="9">
        <v>8</v>
      </c>
      <c r="U16" s="9">
        <v>3</v>
      </c>
      <c r="W16" s="24">
        <v>1</v>
      </c>
      <c r="X16" s="24">
        <v>1</v>
      </c>
      <c r="Y16" s="24">
        <v>1</v>
      </c>
      <c r="Z16" s="24">
        <v>1</v>
      </c>
      <c r="AA16" s="24">
        <v>1</v>
      </c>
      <c r="AC16" s="80" t="str">
        <v>J</v>
      </c>
      <c r="AD16" s="66">
        <v>4</v>
      </c>
      <c r="AE16" s="66">
        <v>11</v>
      </c>
      <c r="AF16" s="66">
        <v>4</v>
      </c>
      <c r="AG16" s="66">
        <v>20</v>
      </c>
      <c r="AH16" s="66">
        <v>22</v>
      </c>
      <c r="AI16" s="5"/>
      <c r="AJ16" s="80" t="str">
        <v>J</v>
      </c>
      <c r="AK16" s="66">
        <v>4</v>
      </c>
      <c r="AL16" s="66">
        <v>11</v>
      </c>
      <c r="AM16" s="66">
        <v>4</v>
      </c>
      <c r="AN16" s="66">
        <v>20</v>
      </c>
      <c r="AO16" s="66">
        <v>22</v>
      </c>
    </row>
    <row r="17" spans="1:41" ht="15.9" customHeight="1" x14ac:dyDescent="0.3">
      <c r="A17" s="28" t="str">
        <v>G3</v>
      </c>
      <c r="B17" s="8" t="str">
        <v>Gold M3</v>
      </c>
      <c r="C17" s="53">
        <f t="shared" si="0"/>
        <v>0</v>
      </c>
      <c r="D17" s="53">
        <f t="shared" si="1"/>
        <v>5</v>
      </c>
      <c r="E17" s="53">
        <f t="shared" si="2"/>
        <v>0</v>
      </c>
      <c r="F17" s="53">
        <f t="shared" si="3"/>
        <v>4</v>
      </c>
      <c r="G17" s="53">
        <f t="shared" si="4"/>
        <v>0</v>
      </c>
      <c r="H17" s="8">
        <v>13</v>
      </c>
      <c r="I17" s="51"/>
      <c r="J17" s="9">
        <v>13</v>
      </c>
      <c r="K17" s="15" t="s">
        <v>35</v>
      </c>
      <c r="L17" s="15" t="s">
        <v>21</v>
      </c>
      <c r="M17" s="15" t="s">
        <v>37</v>
      </c>
      <c r="N17" s="15" t="s">
        <v>18</v>
      </c>
      <c r="O17" s="15" t="s">
        <v>34</v>
      </c>
      <c r="Q17" s="9">
        <v>8</v>
      </c>
      <c r="R17" s="9">
        <v>2</v>
      </c>
      <c r="S17" s="9">
        <v>7</v>
      </c>
      <c r="T17" s="9">
        <v>4</v>
      </c>
      <c r="U17" s="9">
        <v>9</v>
      </c>
      <c r="W17" s="24">
        <v>1</v>
      </c>
      <c r="X17" s="24">
        <v>1</v>
      </c>
      <c r="Y17" s="24">
        <v>1</v>
      </c>
      <c r="Z17" s="24">
        <v>1</v>
      </c>
      <c r="AA17" s="24">
        <v>1</v>
      </c>
      <c r="AC17" s="71" t="str">
        <v>G1</v>
      </c>
      <c r="AD17" s="53">
        <v>0</v>
      </c>
      <c r="AE17" s="53">
        <v>4</v>
      </c>
      <c r="AF17" s="53">
        <v>0</v>
      </c>
      <c r="AG17" s="53">
        <v>4</v>
      </c>
      <c r="AH17" s="53">
        <v>0</v>
      </c>
      <c r="AI17" s="5"/>
      <c r="AJ17" s="71" t="str">
        <v>G1</v>
      </c>
      <c r="AK17" s="53">
        <v>0</v>
      </c>
      <c r="AL17" s="53">
        <v>4</v>
      </c>
      <c r="AM17" s="53">
        <v>0</v>
      </c>
      <c r="AN17" s="53">
        <v>4</v>
      </c>
      <c r="AO17" s="53">
        <v>0</v>
      </c>
    </row>
    <row r="18" spans="1:41" ht="15.9" customHeight="1" x14ac:dyDescent="0.3">
      <c r="A18" s="28" t="str">
        <v>G4</v>
      </c>
      <c r="B18" s="8" t="str">
        <v>Gold M4</v>
      </c>
      <c r="C18" s="53">
        <f t="shared" si="0"/>
        <v>0</v>
      </c>
      <c r="D18" s="53">
        <f t="shared" si="1"/>
        <v>8</v>
      </c>
      <c r="E18" s="53">
        <f t="shared" si="2"/>
        <v>3</v>
      </c>
      <c r="F18" s="53">
        <f t="shared" si="3"/>
        <v>3</v>
      </c>
      <c r="G18" s="53">
        <f t="shared" si="4"/>
        <v>0</v>
      </c>
      <c r="H18" s="8">
        <v>14</v>
      </c>
      <c r="I18" s="51"/>
      <c r="J18" s="24">
        <v>14</v>
      </c>
      <c r="K18" s="15" t="s">
        <v>95</v>
      </c>
      <c r="L18" s="15" t="s">
        <v>37</v>
      </c>
      <c r="M18" s="15" t="s">
        <v>64</v>
      </c>
      <c r="N18" s="15" t="s">
        <v>35</v>
      </c>
      <c r="O18" s="15" t="s">
        <v>34</v>
      </c>
      <c r="Q18" s="9">
        <v>6</v>
      </c>
      <c r="R18" s="9">
        <v>7</v>
      </c>
      <c r="S18" s="9">
        <v>14</v>
      </c>
      <c r="T18" s="9">
        <v>8</v>
      </c>
      <c r="U18" s="9">
        <v>9</v>
      </c>
      <c r="W18" s="24">
        <v>1</v>
      </c>
      <c r="X18" s="24">
        <v>1</v>
      </c>
      <c r="Y18" s="24">
        <v>1</v>
      </c>
      <c r="Z18" s="24">
        <v>1</v>
      </c>
      <c r="AA18" s="24">
        <v>1</v>
      </c>
      <c r="AC18" s="71" t="str">
        <v>G2</v>
      </c>
      <c r="AD18" s="53">
        <v>0</v>
      </c>
      <c r="AE18" s="53">
        <v>5</v>
      </c>
      <c r="AF18" s="53">
        <v>0</v>
      </c>
      <c r="AG18" s="53">
        <v>4</v>
      </c>
      <c r="AH18" s="53">
        <v>0</v>
      </c>
      <c r="AI18" s="5"/>
      <c r="AJ18" s="71" t="str">
        <v>G2</v>
      </c>
      <c r="AK18" s="53">
        <v>0</v>
      </c>
      <c r="AL18" s="53">
        <v>5</v>
      </c>
      <c r="AM18" s="53">
        <v>0</v>
      </c>
      <c r="AN18" s="53">
        <v>4</v>
      </c>
      <c r="AO18" s="53">
        <v>0</v>
      </c>
    </row>
    <row r="19" spans="1:41" ht="15.9" customHeight="1" x14ac:dyDescent="0.3">
      <c r="A19" s="28" t="str">
        <v>G5</v>
      </c>
      <c r="B19" s="8" t="str">
        <v>Gold M5</v>
      </c>
      <c r="C19" s="53">
        <f t="shared" si="0"/>
        <v>0</v>
      </c>
      <c r="D19" s="53">
        <f t="shared" si="1"/>
        <v>8</v>
      </c>
      <c r="E19" s="53">
        <f t="shared" si="2"/>
        <v>3</v>
      </c>
      <c r="F19" s="53">
        <f t="shared" si="3"/>
        <v>3</v>
      </c>
      <c r="G19" s="53">
        <f t="shared" si="4"/>
        <v>0</v>
      </c>
      <c r="H19" s="8">
        <v>15</v>
      </c>
      <c r="I19" s="51"/>
      <c r="J19" s="9">
        <v>15</v>
      </c>
      <c r="K19" s="15" t="s">
        <v>35</v>
      </c>
      <c r="L19" s="15" t="s">
        <v>37</v>
      </c>
      <c r="M19" s="15" t="s">
        <v>35</v>
      </c>
      <c r="N19" s="15" t="s">
        <v>37</v>
      </c>
      <c r="O19" s="15" t="s">
        <v>22</v>
      </c>
      <c r="Q19" s="9">
        <v>8</v>
      </c>
      <c r="R19" s="9">
        <v>7</v>
      </c>
      <c r="S19" s="9">
        <v>8</v>
      </c>
      <c r="T19" s="9">
        <v>7</v>
      </c>
      <c r="U19" s="9">
        <v>3</v>
      </c>
      <c r="W19" s="24">
        <v>1</v>
      </c>
      <c r="X19" s="24">
        <v>1</v>
      </c>
      <c r="Y19" s="24">
        <v>1</v>
      </c>
      <c r="Z19" s="24">
        <v>1</v>
      </c>
      <c r="AA19" s="24">
        <v>1</v>
      </c>
      <c r="AC19" s="71" t="str">
        <v>G3</v>
      </c>
      <c r="AD19" s="53">
        <v>0</v>
      </c>
      <c r="AE19" s="53">
        <v>5</v>
      </c>
      <c r="AF19" s="53">
        <v>0</v>
      </c>
      <c r="AG19" s="53">
        <v>4</v>
      </c>
      <c r="AH19" s="53">
        <v>0</v>
      </c>
      <c r="AI19" s="5"/>
      <c r="AJ19" s="71" t="str">
        <v>G3</v>
      </c>
      <c r="AK19" s="53">
        <v>0</v>
      </c>
      <c r="AL19" s="53">
        <v>5</v>
      </c>
      <c r="AM19" s="53">
        <v>0</v>
      </c>
      <c r="AN19" s="53">
        <v>4</v>
      </c>
      <c r="AO19" s="53">
        <v>0</v>
      </c>
    </row>
    <row r="20" spans="1:41" ht="15.9" customHeight="1" x14ac:dyDescent="0.3">
      <c r="A20" s="28" t="str">
        <v>GA</v>
      </c>
      <c r="B20" s="8" t="str">
        <v>Gold A</v>
      </c>
      <c r="C20" s="53">
        <f t="shared" si="0"/>
        <v>0</v>
      </c>
      <c r="D20" s="53">
        <f t="shared" si="1"/>
        <v>8</v>
      </c>
      <c r="E20" s="53">
        <f t="shared" si="2"/>
        <v>3</v>
      </c>
      <c r="F20" s="53">
        <f t="shared" si="3"/>
        <v>3</v>
      </c>
      <c r="G20" s="53">
        <f t="shared" si="4"/>
        <v>0</v>
      </c>
      <c r="H20" s="8">
        <v>16</v>
      </c>
      <c r="I20" s="51"/>
      <c r="J20" s="24">
        <v>16</v>
      </c>
      <c r="K20" s="15" t="s">
        <v>34</v>
      </c>
      <c r="L20" s="15" t="s">
        <v>34</v>
      </c>
      <c r="M20" s="15" t="s">
        <v>95</v>
      </c>
      <c r="N20" s="15" t="s">
        <v>21</v>
      </c>
      <c r="O20" s="15" t="s">
        <v>95</v>
      </c>
      <c r="Q20" s="9">
        <v>9</v>
      </c>
      <c r="R20" s="9">
        <v>9</v>
      </c>
      <c r="S20" s="9">
        <v>6</v>
      </c>
      <c r="T20" s="9">
        <v>2</v>
      </c>
      <c r="U20" s="9">
        <v>6</v>
      </c>
      <c r="W20" s="24">
        <v>1</v>
      </c>
      <c r="X20" s="24">
        <v>1</v>
      </c>
      <c r="Y20" s="24">
        <v>1</v>
      </c>
      <c r="Z20" s="24">
        <v>1</v>
      </c>
      <c r="AA20" s="24">
        <v>1</v>
      </c>
      <c r="AC20" s="71" t="str">
        <v>G4</v>
      </c>
      <c r="AD20" s="53">
        <v>0</v>
      </c>
      <c r="AE20" s="53">
        <v>8</v>
      </c>
      <c r="AF20" s="53">
        <v>3</v>
      </c>
      <c r="AG20" s="53">
        <v>3</v>
      </c>
      <c r="AH20" s="53">
        <v>0</v>
      </c>
      <c r="AI20" s="5"/>
      <c r="AJ20" s="71" t="str">
        <v>G4</v>
      </c>
      <c r="AK20" s="53">
        <v>0</v>
      </c>
      <c r="AL20" s="53">
        <v>8</v>
      </c>
      <c r="AM20" s="53">
        <v>3</v>
      </c>
      <c r="AN20" s="53">
        <v>3</v>
      </c>
      <c r="AO20" s="53">
        <v>0</v>
      </c>
    </row>
    <row r="21" spans="1:41" ht="15.9" customHeight="1" x14ac:dyDescent="0.3">
      <c r="A21" s="28" t="str">
        <v>GK</v>
      </c>
      <c r="B21" s="8" t="str">
        <v>Gold K</v>
      </c>
      <c r="C21" s="53">
        <f t="shared" si="0"/>
        <v>0</v>
      </c>
      <c r="D21" s="53">
        <f t="shared" si="1"/>
        <v>8</v>
      </c>
      <c r="E21" s="53">
        <f t="shared" si="2"/>
        <v>3</v>
      </c>
      <c r="F21" s="53">
        <f t="shared" si="3"/>
        <v>3</v>
      </c>
      <c r="G21" s="53">
        <f t="shared" si="4"/>
        <v>0</v>
      </c>
      <c r="H21" s="8">
        <v>17</v>
      </c>
      <c r="I21" s="51"/>
      <c r="J21" s="9">
        <v>17</v>
      </c>
      <c r="K21" s="15" t="s">
        <v>19</v>
      </c>
      <c r="L21" s="15" t="s">
        <v>81</v>
      </c>
      <c r="M21" s="15" t="s">
        <v>35</v>
      </c>
      <c r="N21" s="15" t="s">
        <v>34</v>
      </c>
      <c r="O21" s="15" t="s">
        <v>36</v>
      </c>
      <c r="Q21" s="9">
        <v>5</v>
      </c>
      <c r="R21" s="9">
        <v>17</v>
      </c>
      <c r="S21" s="9">
        <v>8</v>
      </c>
      <c r="T21" s="9">
        <v>9</v>
      </c>
      <c r="U21" s="9">
        <v>10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C21" s="71" t="str">
        <v>G5</v>
      </c>
      <c r="AD21" s="53">
        <v>0</v>
      </c>
      <c r="AE21" s="53">
        <v>8</v>
      </c>
      <c r="AF21" s="53">
        <v>3</v>
      </c>
      <c r="AG21" s="53">
        <v>3</v>
      </c>
      <c r="AH21" s="53">
        <v>0</v>
      </c>
      <c r="AI21" s="5"/>
      <c r="AJ21" s="71" t="str">
        <v>G5</v>
      </c>
      <c r="AK21" s="53">
        <v>0</v>
      </c>
      <c r="AL21" s="53">
        <v>8</v>
      </c>
      <c r="AM21" s="53">
        <v>3</v>
      </c>
      <c r="AN21" s="53">
        <v>3</v>
      </c>
      <c r="AO21" s="53">
        <v>0</v>
      </c>
    </row>
    <row r="22" spans="1:41" ht="15.9" customHeight="1" x14ac:dyDescent="0.3">
      <c r="A22" s="28" t="str">
        <v>GQ</v>
      </c>
      <c r="B22" s="8" t="str">
        <v>Gold Q</v>
      </c>
      <c r="C22" s="53">
        <f t="shared" si="0"/>
        <v>0</v>
      </c>
      <c r="D22" s="53">
        <f t="shared" si="1"/>
        <v>5</v>
      </c>
      <c r="E22" s="53">
        <f t="shared" si="2"/>
        <v>0</v>
      </c>
      <c r="F22" s="53">
        <f t="shared" si="3"/>
        <v>4</v>
      </c>
      <c r="G22" s="53">
        <f t="shared" si="4"/>
        <v>0</v>
      </c>
      <c r="H22" s="8">
        <v>18</v>
      </c>
      <c r="I22" s="51"/>
      <c r="J22" s="24">
        <v>18</v>
      </c>
      <c r="K22" s="15" t="s">
        <v>37</v>
      </c>
      <c r="L22" s="15" t="s">
        <v>63</v>
      </c>
      <c r="M22" s="15" t="s">
        <v>37</v>
      </c>
      <c r="N22" s="15" t="s">
        <v>19</v>
      </c>
      <c r="O22" s="15" t="s">
        <v>34</v>
      </c>
      <c r="Q22" s="9">
        <v>7</v>
      </c>
      <c r="R22" s="9">
        <v>13</v>
      </c>
      <c r="S22" s="9">
        <v>7</v>
      </c>
      <c r="T22" s="9">
        <v>5</v>
      </c>
      <c r="U22" s="9">
        <v>9</v>
      </c>
      <c r="W22" s="24">
        <v>1</v>
      </c>
      <c r="X22" s="24">
        <v>1</v>
      </c>
      <c r="Y22" s="24">
        <v>1</v>
      </c>
      <c r="Z22" s="24">
        <v>1</v>
      </c>
      <c r="AA22" s="24">
        <v>1</v>
      </c>
      <c r="AC22" s="71" t="str">
        <v>GA</v>
      </c>
      <c r="AD22" s="53">
        <v>0</v>
      </c>
      <c r="AE22" s="53">
        <v>8</v>
      </c>
      <c r="AF22" s="53">
        <v>3</v>
      </c>
      <c r="AG22" s="53">
        <v>3</v>
      </c>
      <c r="AH22" s="53">
        <v>0</v>
      </c>
      <c r="AI22" s="5"/>
      <c r="AJ22" s="71" t="str">
        <v>GA</v>
      </c>
      <c r="AK22" s="53">
        <v>0</v>
      </c>
      <c r="AL22" s="53">
        <v>8</v>
      </c>
      <c r="AM22" s="53">
        <v>3</v>
      </c>
      <c r="AN22" s="53">
        <v>3</v>
      </c>
      <c r="AO22" s="53">
        <v>0</v>
      </c>
    </row>
    <row r="23" spans="1:41" ht="15.9" customHeight="1" x14ac:dyDescent="0.3">
      <c r="A23" s="28" t="str">
        <v>GJ</v>
      </c>
      <c r="B23" s="8" t="str">
        <v>Gold J</v>
      </c>
      <c r="C23" s="53">
        <f t="shared" si="0"/>
        <v>0</v>
      </c>
      <c r="D23" s="53">
        <f t="shared" si="1"/>
        <v>5</v>
      </c>
      <c r="E23" s="53">
        <f t="shared" si="2"/>
        <v>0</v>
      </c>
      <c r="F23" s="53">
        <f t="shared" si="3"/>
        <v>4</v>
      </c>
      <c r="G23" s="53">
        <f t="shared" si="4"/>
        <v>0</v>
      </c>
      <c r="H23" s="8">
        <v>19</v>
      </c>
      <c r="I23" s="51"/>
      <c r="J23" s="9">
        <v>19</v>
      </c>
      <c r="K23" s="15" t="s">
        <v>19</v>
      </c>
      <c r="L23" s="15" t="s">
        <v>95</v>
      </c>
      <c r="M23" s="15" t="s">
        <v>65</v>
      </c>
      <c r="N23" s="15" t="s">
        <v>64</v>
      </c>
      <c r="O23" s="15" t="s">
        <v>21</v>
      </c>
      <c r="Q23" s="9">
        <v>5</v>
      </c>
      <c r="R23" s="9">
        <v>6</v>
      </c>
      <c r="S23" s="9">
        <v>16</v>
      </c>
      <c r="T23" s="9">
        <v>14</v>
      </c>
      <c r="U23" s="9">
        <v>2</v>
      </c>
      <c r="W23" s="24">
        <v>1</v>
      </c>
      <c r="X23" s="24">
        <v>1</v>
      </c>
      <c r="Y23" s="24">
        <v>1</v>
      </c>
      <c r="Z23" s="24">
        <v>1</v>
      </c>
      <c r="AA23" s="24">
        <v>1</v>
      </c>
      <c r="AC23" s="71" t="str">
        <v>GK</v>
      </c>
      <c r="AD23" s="53">
        <v>0</v>
      </c>
      <c r="AE23" s="53">
        <v>8</v>
      </c>
      <c r="AF23" s="53">
        <v>3</v>
      </c>
      <c r="AG23" s="53">
        <v>3</v>
      </c>
      <c r="AH23" s="53">
        <v>0</v>
      </c>
      <c r="AI23" s="5"/>
      <c r="AJ23" s="71" t="str">
        <v>GK</v>
      </c>
      <c r="AK23" s="53">
        <v>0</v>
      </c>
      <c r="AL23" s="53">
        <v>8</v>
      </c>
      <c r="AM23" s="53">
        <v>3</v>
      </c>
      <c r="AN23" s="53">
        <v>3</v>
      </c>
      <c r="AO23" s="53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51"/>
      <c r="J24" s="24">
        <v>20</v>
      </c>
      <c r="K24" s="15" t="s">
        <v>37</v>
      </c>
      <c r="L24" s="15" t="s">
        <v>35</v>
      </c>
      <c r="M24" s="15" t="s">
        <v>37</v>
      </c>
      <c r="N24" s="15" t="s">
        <v>19</v>
      </c>
      <c r="O24" s="15" t="s">
        <v>34</v>
      </c>
      <c r="Q24" s="9">
        <v>7</v>
      </c>
      <c r="R24" s="9">
        <v>8</v>
      </c>
      <c r="S24" s="9">
        <v>7</v>
      </c>
      <c r="T24" s="9">
        <v>5</v>
      </c>
      <c r="U24" s="9">
        <v>9</v>
      </c>
      <c r="W24" s="24">
        <v>1</v>
      </c>
      <c r="X24" s="24">
        <v>1</v>
      </c>
      <c r="Y24" s="24">
        <v>1</v>
      </c>
      <c r="Z24" s="24">
        <v>1</v>
      </c>
      <c r="AA24" s="24">
        <v>1</v>
      </c>
      <c r="AC24" s="71" t="str">
        <v>GQ</v>
      </c>
      <c r="AD24" s="53">
        <v>0</v>
      </c>
      <c r="AE24" s="53">
        <v>5</v>
      </c>
      <c r="AF24" s="53">
        <v>0</v>
      </c>
      <c r="AG24" s="53">
        <v>4</v>
      </c>
      <c r="AH24" s="53">
        <v>0</v>
      </c>
      <c r="AI24" s="5"/>
      <c r="AJ24" s="71" t="str">
        <v>GQ</v>
      </c>
      <c r="AK24" s="53">
        <v>0</v>
      </c>
      <c r="AL24" s="53">
        <v>5</v>
      </c>
      <c r="AM24" s="53">
        <v>0</v>
      </c>
      <c r="AN24" s="53">
        <v>4</v>
      </c>
      <c r="AO24" s="53">
        <v>0</v>
      </c>
    </row>
    <row r="25" spans="1:41" ht="16.5" customHeight="1" x14ac:dyDescent="0.3">
      <c r="I25" s="51"/>
      <c r="J25" s="9">
        <v>21</v>
      </c>
      <c r="K25" s="15" t="s">
        <v>19</v>
      </c>
      <c r="L25" s="15" t="s">
        <v>37</v>
      </c>
      <c r="M25" s="15" t="s">
        <v>34</v>
      </c>
      <c r="N25" s="15" t="s">
        <v>19</v>
      </c>
      <c r="O25" s="15" t="s">
        <v>36</v>
      </c>
      <c r="Q25" s="9">
        <v>5</v>
      </c>
      <c r="R25" s="9">
        <v>7</v>
      </c>
      <c r="S25" s="9">
        <v>9</v>
      </c>
      <c r="T25" s="9">
        <v>5</v>
      </c>
      <c r="U25" s="9">
        <v>10</v>
      </c>
      <c r="W25" s="24">
        <v>1</v>
      </c>
      <c r="X25" s="24">
        <v>1</v>
      </c>
      <c r="Y25" s="24">
        <v>1</v>
      </c>
      <c r="Z25" s="24">
        <v>1</v>
      </c>
      <c r="AA25" s="24">
        <v>1</v>
      </c>
      <c r="AC25" s="71" t="str">
        <v>GJ</v>
      </c>
      <c r="AD25" s="53">
        <v>0</v>
      </c>
      <c r="AE25" s="53">
        <v>5</v>
      </c>
      <c r="AF25" s="53">
        <v>0</v>
      </c>
      <c r="AG25" s="53">
        <v>4</v>
      </c>
      <c r="AH25" s="53">
        <v>0</v>
      </c>
      <c r="AI25" s="5"/>
      <c r="AJ25" s="71" t="str">
        <v>GJ</v>
      </c>
      <c r="AK25" s="53">
        <v>0</v>
      </c>
      <c r="AL25" s="53">
        <v>5</v>
      </c>
      <c r="AM25" s="53">
        <v>0</v>
      </c>
      <c r="AN25" s="53">
        <v>4</v>
      </c>
      <c r="AO25" s="53">
        <v>0</v>
      </c>
    </row>
    <row r="26" spans="1:41" ht="16.5" customHeight="1" x14ac:dyDescent="0.3">
      <c r="B26" s="5" t="s">
        <v>110</v>
      </c>
      <c r="C26" s="86">
        <f>SUM(C4:C14)/C24</f>
        <v>1</v>
      </c>
      <c r="D26" s="86">
        <f>SUM(D4:D14)/D24</f>
        <v>0.72</v>
      </c>
      <c r="E26" s="86">
        <f>SUM(E4:E14)/E24</f>
        <v>0.94</v>
      </c>
      <c r="F26" s="86">
        <f>SUM(F4:F14)/F24</f>
        <v>0.84</v>
      </c>
      <c r="G26" s="86">
        <f>SUM(G4:G14)/G24</f>
        <v>1</v>
      </c>
      <c r="I26" s="51"/>
      <c r="J26" s="24">
        <v>22</v>
      </c>
      <c r="K26" s="15" t="s">
        <v>34</v>
      </c>
      <c r="L26" s="15" t="s">
        <v>34</v>
      </c>
      <c r="M26" s="15" t="s">
        <v>19</v>
      </c>
      <c r="N26" s="15" t="s">
        <v>34</v>
      </c>
      <c r="O26" s="15" t="s">
        <v>35</v>
      </c>
      <c r="Q26" s="9">
        <v>9</v>
      </c>
      <c r="R26" s="9">
        <v>9</v>
      </c>
      <c r="S26" s="9">
        <v>5</v>
      </c>
      <c r="T26" s="9">
        <v>9</v>
      </c>
      <c r="U26" s="9">
        <v>8</v>
      </c>
      <c r="W26" s="24">
        <v>1</v>
      </c>
      <c r="X26" s="24">
        <v>1</v>
      </c>
      <c r="Y26" s="24">
        <v>1</v>
      </c>
      <c r="Z26" s="24">
        <v>1</v>
      </c>
      <c r="AA26" s="24">
        <v>1</v>
      </c>
      <c r="AD26" s="59">
        <f>SUM(AD6:AD25)</f>
        <v>200</v>
      </c>
      <c r="AE26" s="59">
        <f>SUM(AE6:AE25)</f>
        <v>200</v>
      </c>
      <c r="AF26" s="59">
        <f>SUM(AF6:AF25)</f>
        <v>200</v>
      </c>
      <c r="AG26" s="59">
        <f>SUM(AG6:AG25)</f>
        <v>200</v>
      </c>
      <c r="AH26" s="59">
        <f>SUM(AH6:AH25)</f>
        <v>200</v>
      </c>
      <c r="AI26" s="5"/>
      <c r="AK26" s="59">
        <f>SUM(AK6:AK25)</f>
        <v>200</v>
      </c>
      <c r="AL26" s="59">
        <f>SUM(AL6:AL25)</f>
        <v>200</v>
      </c>
      <c r="AM26" s="59">
        <f>SUM(AM6:AM25)</f>
        <v>200</v>
      </c>
      <c r="AN26" s="59">
        <f>SUM(AN6:AN25)</f>
        <v>200</v>
      </c>
      <c r="AO26" s="59">
        <f>SUM(AO6:AO25)</f>
        <v>200</v>
      </c>
    </row>
    <row r="27" spans="1:41" ht="16.5" customHeight="1" x14ac:dyDescent="0.3">
      <c r="B27" s="5" t="s">
        <v>109</v>
      </c>
      <c r="C27" s="86">
        <f>SUM(C15:C23)/C24</f>
        <v>0</v>
      </c>
      <c r="D27" s="86">
        <f>SUM(D15:D23)/D24</f>
        <v>0.28000000000000003</v>
      </c>
      <c r="E27" s="86">
        <f>SUM(E15:E23)/E24</f>
        <v>0.06</v>
      </c>
      <c r="F27" s="86">
        <f>SUM(F15:F23)/F24</f>
        <v>0.16</v>
      </c>
      <c r="G27" s="86">
        <f>SUM(G15:G23)/G24</f>
        <v>0</v>
      </c>
      <c r="I27" s="51"/>
      <c r="J27" s="9">
        <v>23</v>
      </c>
      <c r="K27" s="15" t="s">
        <v>19</v>
      </c>
      <c r="L27" s="15" t="s">
        <v>95</v>
      </c>
      <c r="M27" s="15" t="s">
        <v>35</v>
      </c>
      <c r="N27" s="15" t="s">
        <v>21</v>
      </c>
      <c r="O27" s="15" t="s">
        <v>22</v>
      </c>
      <c r="Q27" s="9">
        <v>5</v>
      </c>
      <c r="R27" s="9">
        <v>6</v>
      </c>
      <c r="S27" s="9">
        <v>8</v>
      </c>
      <c r="T27" s="9">
        <v>2</v>
      </c>
      <c r="U27" s="9">
        <v>3</v>
      </c>
      <c r="W27" s="24">
        <v>1</v>
      </c>
      <c r="X27" s="24">
        <v>1</v>
      </c>
      <c r="Y27" s="24">
        <v>1</v>
      </c>
      <c r="Z27" s="24">
        <v>1</v>
      </c>
      <c r="AA27" s="24">
        <v>1</v>
      </c>
      <c r="AH27" s="5"/>
      <c r="AI27" s="5"/>
      <c r="AO27" s="5"/>
    </row>
    <row r="28" spans="1:41" ht="16.5" customHeight="1" x14ac:dyDescent="0.3">
      <c r="I28" s="51"/>
      <c r="J28" s="24">
        <v>24</v>
      </c>
      <c r="K28" s="15" t="s">
        <v>35</v>
      </c>
      <c r="L28" s="15" t="s">
        <v>35</v>
      </c>
      <c r="M28" s="15" t="s">
        <v>19</v>
      </c>
      <c r="N28" s="15" t="s">
        <v>34</v>
      </c>
      <c r="O28" s="15" t="s">
        <v>21</v>
      </c>
      <c r="Q28" s="9">
        <v>8</v>
      </c>
      <c r="R28" s="9">
        <v>8</v>
      </c>
      <c r="S28" s="9">
        <v>5</v>
      </c>
      <c r="T28" s="9">
        <v>9</v>
      </c>
      <c r="U28" s="9">
        <v>2</v>
      </c>
      <c r="W28" s="24">
        <v>1</v>
      </c>
      <c r="X28" s="24">
        <v>1</v>
      </c>
      <c r="Y28" s="24">
        <v>1</v>
      </c>
      <c r="Z28" s="24">
        <v>1</v>
      </c>
      <c r="AA28" s="24">
        <v>1</v>
      </c>
      <c r="AC28" s="26" t="s">
        <v>100</v>
      </c>
      <c r="AH28" s="5"/>
      <c r="AI28" s="5"/>
      <c r="AJ28" s="26" t="s">
        <v>100</v>
      </c>
      <c r="AO28" s="5"/>
    </row>
    <row r="29" spans="1:41" ht="16.5" customHeight="1" x14ac:dyDescent="0.3">
      <c r="I29" s="51"/>
      <c r="J29" s="9">
        <v>25</v>
      </c>
      <c r="K29" s="15" t="s">
        <v>19</v>
      </c>
      <c r="L29" s="15" t="s">
        <v>70</v>
      </c>
      <c r="M29" s="15" t="s">
        <v>37</v>
      </c>
      <c r="N29" s="15" t="s">
        <v>34</v>
      </c>
      <c r="O29" s="15" t="s">
        <v>37</v>
      </c>
      <c r="Q29" s="9">
        <v>5</v>
      </c>
      <c r="R29" s="9">
        <v>19</v>
      </c>
      <c r="S29" s="9">
        <v>7</v>
      </c>
      <c r="T29" s="9">
        <v>9</v>
      </c>
      <c r="U29" s="9">
        <v>7</v>
      </c>
      <c r="W29" s="24">
        <v>1</v>
      </c>
      <c r="X29" s="24">
        <v>1</v>
      </c>
      <c r="Y29" s="24">
        <v>1</v>
      </c>
      <c r="Z29" s="24">
        <v>1</v>
      </c>
      <c r="AA29" s="24">
        <v>1</v>
      </c>
      <c r="AC29" s="68" t="s">
        <v>42</v>
      </c>
      <c r="AD29" s="68" t="s">
        <v>13</v>
      </c>
      <c r="AE29" s="68" t="s">
        <v>14</v>
      </c>
      <c r="AF29" s="68" t="s">
        <v>15</v>
      </c>
      <c r="AG29" s="68" t="s">
        <v>16</v>
      </c>
      <c r="AH29" s="68" t="s">
        <v>17</v>
      </c>
      <c r="AI29" s="5"/>
      <c r="AJ29" s="68" t="s">
        <v>42</v>
      </c>
      <c r="AK29" s="68" t="s">
        <v>13</v>
      </c>
      <c r="AL29" s="68" t="s">
        <v>14</v>
      </c>
      <c r="AM29" s="68" t="s">
        <v>15</v>
      </c>
      <c r="AN29" s="68" t="s">
        <v>16</v>
      </c>
      <c r="AO29" s="68" t="s">
        <v>17</v>
      </c>
    </row>
    <row r="30" spans="1:41" ht="16.5" customHeight="1" x14ac:dyDescent="0.3">
      <c r="I30" s="51"/>
      <c r="J30" s="24">
        <v>26</v>
      </c>
      <c r="K30" s="15" t="s">
        <v>22</v>
      </c>
      <c r="L30" s="15" t="s">
        <v>96</v>
      </c>
      <c r="M30" s="15" t="s">
        <v>19</v>
      </c>
      <c r="N30" s="15" t="s">
        <v>34</v>
      </c>
      <c r="O30" s="15" t="s">
        <v>19</v>
      </c>
      <c r="Q30" s="9">
        <v>3</v>
      </c>
      <c r="R30" s="9">
        <v>15</v>
      </c>
      <c r="S30" s="9">
        <v>5</v>
      </c>
      <c r="T30" s="9">
        <v>9</v>
      </c>
      <c r="U30" s="9">
        <v>5</v>
      </c>
      <c r="W30" s="24">
        <v>1</v>
      </c>
      <c r="X30" s="24">
        <v>1</v>
      </c>
      <c r="Y30" s="24">
        <v>1</v>
      </c>
      <c r="Z30" s="24">
        <v>1</v>
      </c>
      <c r="AA30" s="24">
        <v>1</v>
      </c>
      <c r="AC30" s="71" t="str" cm="1">
        <f t="array" ref="AC30:AC49">$A$4:$A$23</f>
        <v>WW</v>
      </c>
      <c r="AD30" s="72">
        <v>0</v>
      </c>
      <c r="AE30" s="72">
        <v>0</v>
      </c>
      <c r="AF30" s="72">
        <v>0</v>
      </c>
      <c r="AG30" s="72">
        <v>0</v>
      </c>
      <c r="AH30" s="72">
        <v>0</v>
      </c>
      <c r="AI30" s="5"/>
      <c r="AJ30" s="71" t="str" cm="1">
        <f t="array" ref="AJ30:AJ49">$A$4:$A$23</f>
        <v>WW</v>
      </c>
      <c r="AK30" s="72">
        <v>0</v>
      </c>
      <c r="AL30" s="72">
        <v>0</v>
      </c>
      <c r="AM30" s="72">
        <v>0</v>
      </c>
      <c r="AN30" s="72">
        <v>0</v>
      </c>
      <c r="AO30" s="72">
        <v>0</v>
      </c>
    </row>
    <row r="31" spans="1:41" ht="16.5" customHeight="1" x14ac:dyDescent="0.3">
      <c r="I31" s="51"/>
      <c r="J31" s="9">
        <v>27</v>
      </c>
      <c r="K31" s="15" t="s">
        <v>19</v>
      </c>
      <c r="L31" s="15" t="s">
        <v>37</v>
      </c>
      <c r="M31" s="15" t="s">
        <v>35</v>
      </c>
      <c r="N31" s="15" t="s">
        <v>36</v>
      </c>
      <c r="O31" s="15" t="s">
        <v>21</v>
      </c>
      <c r="Q31" s="9">
        <v>5</v>
      </c>
      <c r="R31" s="9">
        <v>7</v>
      </c>
      <c r="S31" s="9">
        <v>8</v>
      </c>
      <c r="T31" s="9">
        <v>10</v>
      </c>
      <c r="U31" s="9">
        <v>2</v>
      </c>
      <c r="W31" s="24">
        <v>1</v>
      </c>
      <c r="X31" s="24">
        <v>1</v>
      </c>
      <c r="Y31" s="24">
        <v>1</v>
      </c>
      <c r="Z31" s="24">
        <v>1</v>
      </c>
      <c r="AA31" s="24">
        <v>1</v>
      </c>
      <c r="AC31" s="71" t="str">
        <v>C1</v>
      </c>
      <c r="AD31" s="71">
        <v>0</v>
      </c>
      <c r="AE31" s="71">
        <v>6</v>
      </c>
      <c r="AF31" s="71">
        <v>0</v>
      </c>
      <c r="AG31" s="71">
        <v>9</v>
      </c>
      <c r="AH31" s="71">
        <v>0</v>
      </c>
      <c r="AI31" s="5"/>
      <c r="AJ31" s="71" t="str">
        <v>C1</v>
      </c>
      <c r="AK31" s="71">
        <v>0</v>
      </c>
      <c r="AL31" s="71">
        <v>6</v>
      </c>
      <c r="AM31" s="71">
        <v>0</v>
      </c>
      <c r="AN31" s="71">
        <v>9</v>
      </c>
      <c r="AO31" s="71">
        <v>0</v>
      </c>
    </row>
    <row r="32" spans="1:41" ht="16.5" customHeight="1" x14ac:dyDescent="0.3">
      <c r="J32" s="24">
        <v>28</v>
      </c>
      <c r="K32" s="15" t="s">
        <v>37</v>
      </c>
      <c r="L32" s="15" t="s">
        <v>36</v>
      </c>
      <c r="M32" s="15" t="s">
        <v>19</v>
      </c>
      <c r="N32" s="15" t="s">
        <v>64</v>
      </c>
      <c r="O32" s="15" t="s">
        <v>95</v>
      </c>
      <c r="Q32" s="9">
        <v>7</v>
      </c>
      <c r="R32" s="9">
        <v>10</v>
      </c>
      <c r="S32" s="9">
        <v>5</v>
      </c>
      <c r="T32" s="9">
        <v>14</v>
      </c>
      <c r="U32" s="9">
        <v>6</v>
      </c>
      <c r="W32" s="24">
        <v>1</v>
      </c>
      <c r="X32" s="24">
        <v>1</v>
      </c>
      <c r="Y32" s="24">
        <v>1</v>
      </c>
      <c r="Z32" s="24">
        <v>1</v>
      </c>
      <c r="AA32" s="24">
        <v>1</v>
      </c>
      <c r="AC32" s="80" t="str">
        <v>M1</v>
      </c>
      <c r="AD32" s="66">
        <v>4</v>
      </c>
      <c r="AE32" s="66">
        <v>11</v>
      </c>
      <c r="AF32" s="66">
        <v>5</v>
      </c>
      <c r="AG32" s="66">
        <v>21</v>
      </c>
      <c r="AH32" s="66">
        <v>23</v>
      </c>
      <c r="AI32" s="5"/>
      <c r="AJ32" s="80" t="str">
        <v>M1</v>
      </c>
      <c r="AK32" s="66">
        <v>4</v>
      </c>
      <c r="AL32" s="66">
        <v>11</v>
      </c>
      <c r="AM32" s="66">
        <v>5</v>
      </c>
      <c r="AN32" s="66">
        <v>21</v>
      </c>
      <c r="AO32" s="66">
        <v>23</v>
      </c>
    </row>
    <row r="33" spans="10:41" ht="16.5" customHeight="1" x14ac:dyDescent="0.3">
      <c r="J33" s="9">
        <v>29</v>
      </c>
      <c r="K33" s="15" t="s">
        <v>19</v>
      </c>
      <c r="L33" s="15" t="s">
        <v>95</v>
      </c>
      <c r="M33" s="15" t="s">
        <v>35</v>
      </c>
      <c r="N33" s="15" t="s">
        <v>35</v>
      </c>
      <c r="O33" s="15" t="s">
        <v>22</v>
      </c>
      <c r="Q33" s="9">
        <v>5</v>
      </c>
      <c r="R33" s="9">
        <v>6</v>
      </c>
      <c r="S33" s="9">
        <v>8</v>
      </c>
      <c r="T33" s="9">
        <v>8</v>
      </c>
      <c r="U33" s="9">
        <v>3</v>
      </c>
      <c r="W33" s="24">
        <v>1</v>
      </c>
      <c r="X33" s="24">
        <v>1</v>
      </c>
      <c r="Y33" s="24">
        <v>1</v>
      </c>
      <c r="Z33" s="24">
        <v>1</v>
      </c>
      <c r="AA33" s="24">
        <v>1</v>
      </c>
      <c r="AC33" s="80" t="str">
        <v>M2</v>
      </c>
      <c r="AD33" s="66">
        <v>4</v>
      </c>
      <c r="AE33" s="66">
        <v>11</v>
      </c>
      <c r="AF33" s="66">
        <v>5</v>
      </c>
      <c r="AG33" s="66">
        <v>21</v>
      </c>
      <c r="AH33" s="66">
        <v>23</v>
      </c>
      <c r="AI33" s="5"/>
      <c r="AJ33" s="80" t="str">
        <v>M2</v>
      </c>
      <c r="AK33" s="66">
        <v>4</v>
      </c>
      <c r="AL33" s="66">
        <v>11</v>
      </c>
      <c r="AM33" s="66">
        <v>5</v>
      </c>
      <c r="AN33" s="66">
        <v>21</v>
      </c>
      <c r="AO33" s="66">
        <v>23</v>
      </c>
    </row>
    <row r="34" spans="10:41" ht="16.5" customHeight="1" x14ac:dyDescent="0.3">
      <c r="J34" s="24">
        <v>30</v>
      </c>
      <c r="K34" s="15" t="s">
        <v>95</v>
      </c>
      <c r="L34" s="15" t="s">
        <v>68</v>
      </c>
      <c r="M34" s="15" t="s">
        <v>37</v>
      </c>
      <c r="N34" s="15" t="s">
        <v>21</v>
      </c>
      <c r="O34" s="15" t="s">
        <v>34</v>
      </c>
      <c r="Q34" s="9">
        <v>6</v>
      </c>
      <c r="R34" s="9">
        <v>18</v>
      </c>
      <c r="S34" s="9">
        <v>7</v>
      </c>
      <c r="T34" s="9">
        <v>2</v>
      </c>
      <c r="U34" s="9">
        <v>9</v>
      </c>
      <c r="W34" s="24">
        <v>1</v>
      </c>
      <c r="X34" s="24">
        <v>1</v>
      </c>
      <c r="Y34" s="24">
        <v>1</v>
      </c>
      <c r="Z34" s="24">
        <v>1</v>
      </c>
      <c r="AA34" s="24">
        <v>1</v>
      </c>
      <c r="AC34" s="80" t="str">
        <v>M3</v>
      </c>
      <c r="AD34" s="66">
        <v>4</v>
      </c>
      <c r="AE34" s="66">
        <v>11</v>
      </c>
      <c r="AF34" s="66">
        <v>5</v>
      </c>
      <c r="AG34" s="66">
        <v>21</v>
      </c>
      <c r="AH34" s="66">
        <v>22</v>
      </c>
      <c r="AI34" s="5"/>
      <c r="AJ34" s="80" t="str">
        <v>M3</v>
      </c>
      <c r="AK34" s="66">
        <v>4</v>
      </c>
      <c r="AL34" s="66">
        <v>11</v>
      </c>
      <c r="AM34" s="66">
        <v>5</v>
      </c>
      <c r="AN34" s="66">
        <v>21</v>
      </c>
      <c r="AO34" s="66">
        <v>22</v>
      </c>
    </row>
    <row r="35" spans="10:41" ht="16.5" customHeight="1" x14ac:dyDescent="0.3">
      <c r="J35" s="9">
        <v>31</v>
      </c>
      <c r="K35" s="15" t="s">
        <v>19</v>
      </c>
      <c r="L35" s="15" t="s">
        <v>37</v>
      </c>
      <c r="M35" s="15" t="s">
        <v>35</v>
      </c>
      <c r="N35" s="15" t="s">
        <v>22</v>
      </c>
      <c r="O35" s="15" t="s">
        <v>36</v>
      </c>
      <c r="Q35" s="9">
        <v>5</v>
      </c>
      <c r="R35" s="9">
        <v>7</v>
      </c>
      <c r="S35" s="9">
        <v>8</v>
      </c>
      <c r="T35" s="9">
        <v>3</v>
      </c>
      <c r="U35" s="9">
        <v>10</v>
      </c>
      <c r="W35" s="24">
        <v>1</v>
      </c>
      <c r="X35" s="24">
        <v>1</v>
      </c>
      <c r="Y35" s="24">
        <v>1</v>
      </c>
      <c r="Z35" s="24">
        <v>1</v>
      </c>
      <c r="AA35" s="24">
        <v>1</v>
      </c>
      <c r="AC35" s="80" t="str">
        <v>M4</v>
      </c>
      <c r="AD35" s="66">
        <v>43</v>
      </c>
      <c r="AE35" s="66">
        <v>20</v>
      </c>
      <c r="AF35" s="66">
        <v>41</v>
      </c>
      <c r="AG35" s="66">
        <v>14</v>
      </c>
      <c r="AH35" s="66">
        <v>22</v>
      </c>
      <c r="AI35" s="5"/>
      <c r="AJ35" s="80" t="str">
        <v>M4</v>
      </c>
      <c r="AK35" s="66">
        <v>43</v>
      </c>
      <c r="AL35" s="66">
        <v>20</v>
      </c>
      <c r="AM35" s="66">
        <v>41</v>
      </c>
      <c r="AN35" s="66">
        <v>14</v>
      </c>
      <c r="AO35" s="66">
        <v>22</v>
      </c>
    </row>
    <row r="36" spans="10:41" ht="16.5" customHeight="1" x14ac:dyDescent="0.3">
      <c r="J36" s="24">
        <v>32</v>
      </c>
      <c r="K36" s="15" t="s">
        <v>37</v>
      </c>
      <c r="L36" s="15" t="s">
        <v>21</v>
      </c>
      <c r="M36" s="15" t="s">
        <v>35</v>
      </c>
      <c r="N36" s="15" t="s">
        <v>22</v>
      </c>
      <c r="O36" s="15" t="s">
        <v>19</v>
      </c>
      <c r="Q36" s="9">
        <v>7</v>
      </c>
      <c r="R36" s="9">
        <v>2</v>
      </c>
      <c r="S36" s="9">
        <v>8</v>
      </c>
      <c r="T36" s="9">
        <v>3</v>
      </c>
      <c r="U36" s="9">
        <v>5</v>
      </c>
      <c r="W36" s="24">
        <v>1</v>
      </c>
      <c r="X36" s="24">
        <v>1</v>
      </c>
      <c r="Y36" s="24">
        <v>1</v>
      </c>
      <c r="Z36" s="24">
        <v>1</v>
      </c>
      <c r="AA36" s="24">
        <v>1</v>
      </c>
      <c r="AC36" s="80" t="str">
        <v>M5</v>
      </c>
      <c r="AD36" s="66">
        <v>43</v>
      </c>
      <c r="AE36" s="66">
        <v>21</v>
      </c>
      <c r="AF36" s="66">
        <v>41</v>
      </c>
      <c r="AG36" s="66">
        <v>14</v>
      </c>
      <c r="AH36" s="66">
        <v>22</v>
      </c>
      <c r="AI36" s="5"/>
      <c r="AJ36" s="80" t="str">
        <v>M5</v>
      </c>
      <c r="AK36" s="66">
        <v>43</v>
      </c>
      <c r="AL36" s="66">
        <v>21</v>
      </c>
      <c r="AM36" s="66">
        <v>41</v>
      </c>
      <c r="AN36" s="66">
        <v>14</v>
      </c>
      <c r="AO36" s="66">
        <v>22</v>
      </c>
    </row>
    <row r="37" spans="10:41" ht="16.5" customHeight="1" x14ac:dyDescent="0.3">
      <c r="J37" s="9">
        <v>33</v>
      </c>
      <c r="K37" s="15" t="s">
        <v>95</v>
      </c>
      <c r="L37" s="15" t="s">
        <v>37</v>
      </c>
      <c r="M37" s="15" t="s">
        <v>35</v>
      </c>
      <c r="N37" s="15" t="s">
        <v>22</v>
      </c>
      <c r="O37" s="15" t="s">
        <v>95</v>
      </c>
      <c r="Q37" s="9">
        <v>6</v>
      </c>
      <c r="R37" s="9">
        <v>7</v>
      </c>
      <c r="S37" s="9">
        <v>8</v>
      </c>
      <c r="T37" s="9">
        <v>3</v>
      </c>
      <c r="U37" s="9">
        <v>6</v>
      </c>
      <c r="W37" s="24">
        <v>1</v>
      </c>
      <c r="X37" s="24">
        <v>1</v>
      </c>
      <c r="Y37" s="24">
        <v>1</v>
      </c>
      <c r="Z37" s="24">
        <v>1</v>
      </c>
      <c r="AA37" s="24">
        <v>1</v>
      </c>
      <c r="AC37" s="80" t="str">
        <v>A</v>
      </c>
      <c r="AD37" s="66">
        <v>47</v>
      </c>
      <c r="AE37" s="66">
        <v>21</v>
      </c>
      <c r="AF37" s="66">
        <v>41</v>
      </c>
      <c r="AG37" s="66">
        <v>14</v>
      </c>
      <c r="AH37" s="66">
        <v>22</v>
      </c>
      <c r="AI37" s="5"/>
      <c r="AJ37" s="80" t="str">
        <v>A</v>
      </c>
      <c r="AK37" s="66">
        <v>47</v>
      </c>
      <c r="AL37" s="66">
        <v>21</v>
      </c>
      <c r="AM37" s="66">
        <v>41</v>
      </c>
      <c r="AN37" s="66">
        <v>14</v>
      </c>
      <c r="AO37" s="66">
        <v>22</v>
      </c>
    </row>
    <row r="38" spans="10:41" ht="16.5" customHeight="1" x14ac:dyDescent="0.3">
      <c r="J38" s="24">
        <v>34</v>
      </c>
      <c r="K38" s="15" t="s">
        <v>35</v>
      </c>
      <c r="L38" s="15" t="s">
        <v>95</v>
      </c>
      <c r="M38" s="15" t="s">
        <v>37</v>
      </c>
      <c r="N38" s="15" t="s">
        <v>34</v>
      </c>
      <c r="O38" s="15" t="s">
        <v>18</v>
      </c>
      <c r="Q38" s="9">
        <v>8</v>
      </c>
      <c r="R38" s="9">
        <v>6</v>
      </c>
      <c r="S38" s="9">
        <v>7</v>
      </c>
      <c r="T38" s="9">
        <v>9</v>
      </c>
      <c r="U38" s="9">
        <v>4</v>
      </c>
      <c r="W38" s="24">
        <v>1</v>
      </c>
      <c r="X38" s="24">
        <v>1</v>
      </c>
      <c r="Y38" s="24">
        <v>1</v>
      </c>
      <c r="Z38" s="24">
        <v>1</v>
      </c>
      <c r="AA38" s="24">
        <v>1</v>
      </c>
      <c r="AC38" s="80" t="str">
        <v>K</v>
      </c>
      <c r="AD38" s="66">
        <v>47</v>
      </c>
      <c r="AE38" s="66">
        <v>21</v>
      </c>
      <c r="AF38" s="66">
        <v>41</v>
      </c>
      <c r="AG38" s="66">
        <v>14</v>
      </c>
      <c r="AH38" s="66">
        <v>22</v>
      </c>
      <c r="AI38" s="5"/>
      <c r="AJ38" s="80" t="str">
        <v>K</v>
      </c>
      <c r="AK38" s="66">
        <v>47</v>
      </c>
      <c r="AL38" s="66">
        <v>21</v>
      </c>
      <c r="AM38" s="66">
        <v>41</v>
      </c>
      <c r="AN38" s="66">
        <v>14</v>
      </c>
      <c r="AO38" s="66">
        <v>22</v>
      </c>
    </row>
    <row r="39" spans="10:41" ht="16.5" customHeight="1" x14ac:dyDescent="0.3">
      <c r="J39" s="9">
        <v>35</v>
      </c>
      <c r="K39" s="15" t="s">
        <v>37</v>
      </c>
      <c r="L39" s="15" t="s">
        <v>34</v>
      </c>
      <c r="M39" s="15" t="s">
        <v>37</v>
      </c>
      <c r="N39" s="15" t="s">
        <v>19</v>
      </c>
      <c r="O39" s="15" t="s">
        <v>18</v>
      </c>
      <c r="Q39" s="9">
        <v>7</v>
      </c>
      <c r="R39" s="9">
        <v>9</v>
      </c>
      <c r="S39" s="9">
        <v>7</v>
      </c>
      <c r="T39" s="9">
        <v>5</v>
      </c>
      <c r="U39" s="9">
        <v>4</v>
      </c>
      <c r="W39" s="24">
        <v>1</v>
      </c>
      <c r="X39" s="24">
        <v>1</v>
      </c>
      <c r="Y39" s="24">
        <v>1</v>
      </c>
      <c r="Z39" s="24">
        <v>1</v>
      </c>
      <c r="AA39" s="24">
        <v>1</v>
      </c>
      <c r="AC39" s="80" t="str">
        <v>Q</v>
      </c>
      <c r="AD39" s="66">
        <v>4</v>
      </c>
      <c r="AE39" s="66">
        <v>11</v>
      </c>
      <c r="AF39" s="66">
        <v>5</v>
      </c>
      <c r="AG39" s="66">
        <v>20</v>
      </c>
      <c r="AH39" s="66">
        <v>22</v>
      </c>
      <c r="AI39" s="5"/>
      <c r="AJ39" s="80" t="str">
        <v>Q</v>
      </c>
      <c r="AK39" s="66">
        <v>4</v>
      </c>
      <c r="AL39" s="66">
        <v>11</v>
      </c>
      <c r="AM39" s="66">
        <v>5</v>
      </c>
      <c r="AN39" s="66">
        <v>20</v>
      </c>
      <c r="AO39" s="66">
        <v>22</v>
      </c>
    </row>
    <row r="40" spans="10:41" ht="16.5" customHeight="1" x14ac:dyDescent="0.3">
      <c r="J40" s="24">
        <v>36</v>
      </c>
      <c r="K40" s="15" t="s">
        <v>95</v>
      </c>
      <c r="L40" s="15" t="s">
        <v>36</v>
      </c>
      <c r="M40" s="15" t="s">
        <v>95</v>
      </c>
      <c r="N40" s="15" t="s">
        <v>19</v>
      </c>
      <c r="O40" s="15" t="s">
        <v>36</v>
      </c>
      <c r="Q40" s="9">
        <v>6</v>
      </c>
      <c r="R40" s="9">
        <v>10</v>
      </c>
      <c r="S40" s="9">
        <v>6</v>
      </c>
      <c r="T40" s="9">
        <v>5</v>
      </c>
      <c r="U40" s="9">
        <v>10</v>
      </c>
      <c r="W40" s="24">
        <v>1</v>
      </c>
      <c r="X40" s="24">
        <v>1</v>
      </c>
      <c r="Y40" s="24">
        <v>1</v>
      </c>
      <c r="Z40" s="24">
        <v>1</v>
      </c>
      <c r="AA40" s="24">
        <v>1</v>
      </c>
      <c r="AC40" s="80" t="str">
        <v>J</v>
      </c>
      <c r="AD40" s="66">
        <v>4</v>
      </c>
      <c r="AE40" s="66">
        <v>11</v>
      </c>
      <c r="AF40" s="66">
        <v>4</v>
      </c>
      <c r="AG40" s="66">
        <v>20</v>
      </c>
      <c r="AH40" s="66">
        <v>22</v>
      </c>
      <c r="AI40" s="5"/>
      <c r="AJ40" s="80" t="str">
        <v>J</v>
      </c>
      <c r="AK40" s="66">
        <v>4</v>
      </c>
      <c r="AL40" s="66">
        <v>11</v>
      </c>
      <c r="AM40" s="66">
        <v>4</v>
      </c>
      <c r="AN40" s="66">
        <v>20</v>
      </c>
      <c r="AO40" s="66">
        <v>22</v>
      </c>
    </row>
    <row r="41" spans="10:41" ht="16.5" customHeight="1" x14ac:dyDescent="0.3">
      <c r="J41" s="9">
        <v>37</v>
      </c>
      <c r="K41" s="15" t="s">
        <v>95</v>
      </c>
      <c r="L41" s="15" t="s">
        <v>36</v>
      </c>
      <c r="M41" s="15" t="s">
        <v>35</v>
      </c>
      <c r="N41" s="15" t="s">
        <v>18</v>
      </c>
      <c r="O41" s="15" t="s">
        <v>36</v>
      </c>
      <c r="Q41" s="9">
        <v>6</v>
      </c>
      <c r="R41" s="9">
        <v>10</v>
      </c>
      <c r="S41" s="9">
        <v>8</v>
      </c>
      <c r="T41" s="9">
        <v>4</v>
      </c>
      <c r="U41" s="9">
        <v>10</v>
      </c>
      <c r="W41" s="24">
        <v>1</v>
      </c>
      <c r="X41" s="24">
        <v>1</v>
      </c>
      <c r="Y41" s="24">
        <v>1</v>
      </c>
      <c r="Z41" s="24">
        <v>1</v>
      </c>
      <c r="AA41" s="24">
        <v>1</v>
      </c>
      <c r="AC41" s="71" t="str">
        <v>G1</v>
      </c>
      <c r="AD41" s="53">
        <v>0</v>
      </c>
      <c r="AE41" s="53">
        <v>4</v>
      </c>
      <c r="AF41" s="53">
        <v>0</v>
      </c>
      <c r="AG41" s="53">
        <v>4</v>
      </c>
      <c r="AH41" s="53">
        <v>0</v>
      </c>
      <c r="AI41" s="5"/>
      <c r="AJ41" s="71" t="str">
        <v>G1</v>
      </c>
      <c r="AK41" s="53">
        <v>0</v>
      </c>
      <c r="AL41" s="53">
        <v>4</v>
      </c>
      <c r="AM41" s="53">
        <v>0</v>
      </c>
      <c r="AN41" s="53">
        <v>4</v>
      </c>
      <c r="AO41" s="53">
        <v>0</v>
      </c>
    </row>
    <row r="42" spans="10:41" ht="16.5" customHeight="1" x14ac:dyDescent="0.3">
      <c r="J42" s="24">
        <v>38</v>
      </c>
      <c r="K42" s="15" t="s">
        <v>95</v>
      </c>
      <c r="L42" s="15" t="s">
        <v>95</v>
      </c>
      <c r="M42" s="15" t="s">
        <v>35</v>
      </c>
      <c r="N42" s="15" t="s">
        <v>70</v>
      </c>
      <c r="O42" s="15" t="s">
        <v>18</v>
      </c>
      <c r="Q42" s="9">
        <v>6</v>
      </c>
      <c r="R42" s="9">
        <v>6</v>
      </c>
      <c r="S42" s="9">
        <v>8</v>
      </c>
      <c r="T42" s="9">
        <v>19</v>
      </c>
      <c r="U42" s="9">
        <v>4</v>
      </c>
      <c r="W42" s="24">
        <v>1</v>
      </c>
      <c r="X42" s="24">
        <v>1</v>
      </c>
      <c r="Y42" s="24">
        <v>1</v>
      </c>
      <c r="Z42" s="24">
        <v>1</v>
      </c>
      <c r="AA42" s="24">
        <v>1</v>
      </c>
      <c r="AC42" s="71" t="str">
        <v>G2</v>
      </c>
      <c r="AD42" s="53">
        <v>0</v>
      </c>
      <c r="AE42" s="53">
        <v>5</v>
      </c>
      <c r="AF42" s="53">
        <v>0</v>
      </c>
      <c r="AG42" s="53">
        <v>4</v>
      </c>
      <c r="AH42" s="53">
        <v>0</v>
      </c>
      <c r="AI42" s="5"/>
      <c r="AJ42" s="71" t="str">
        <v>G2</v>
      </c>
      <c r="AK42" s="53">
        <v>0</v>
      </c>
      <c r="AL42" s="53">
        <v>5</v>
      </c>
      <c r="AM42" s="53">
        <v>0</v>
      </c>
      <c r="AN42" s="53">
        <v>4</v>
      </c>
      <c r="AO42" s="53">
        <v>0</v>
      </c>
    </row>
    <row r="43" spans="10:41" ht="16.5" customHeight="1" x14ac:dyDescent="0.3">
      <c r="J43" s="9">
        <v>39</v>
      </c>
      <c r="K43" s="15" t="s">
        <v>36</v>
      </c>
      <c r="L43" s="15" t="s">
        <v>95</v>
      </c>
      <c r="M43" s="15" t="s">
        <v>37</v>
      </c>
      <c r="N43" s="15" t="s">
        <v>36</v>
      </c>
      <c r="O43" s="15" t="s">
        <v>95</v>
      </c>
      <c r="Q43" s="9">
        <v>10</v>
      </c>
      <c r="R43" s="9">
        <v>6</v>
      </c>
      <c r="S43" s="9">
        <v>7</v>
      </c>
      <c r="T43" s="9">
        <v>10</v>
      </c>
      <c r="U43" s="9">
        <v>6</v>
      </c>
      <c r="W43" s="24">
        <v>1</v>
      </c>
      <c r="X43" s="24">
        <v>1</v>
      </c>
      <c r="Y43" s="24">
        <v>1</v>
      </c>
      <c r="Z43" s="24">
        <v>1</v>
      </c>
      <c r="AA43" s="24">
        <v>1</v>
      </c>
      <c r="AC43" s="71" t="str">
        <v>G3</v>
      </c>
      <c r="AD43" s="53">
        <v>0</v>
      </c>
      <c r="AE43" s="53">
        <v>5</v>
      </c>
      <c r="AF43" s="53">
        <v>0</v>
      </c>
      <c r="AG43" s="53">
        <v>4</v>
      </c>
      <c r="AH43" s="53">
        <v>0</v>
      </c>
      <c r="AI43" s="5"/>
      <c r="AJ43" s="71" t="str">
        <v>G3</v>
      </c>
      <c r="AK43" s="53">
        <v>0</v>
      </c>
      <c r="AL43" s="53">
        <v>5</v>
      </c>
      <c r="AM43" s="53">
        <v>0</v>
      </c>
      <c r="AN43" s="53">
        <v>4</v>
      </c>
      <c r="AO43" s="53">
        <v>0</v>
      </c>
    </row>
    <row r="44" spans="10:41" ht="16.5" customHeight="1" x14ac:dyDescent="0.3">
      <c r="J44" s="24">
        <v>40</v>
      </c>
      <c r="K44" s="15" t="s">
        <v>37</v>
      </c>
      <c r="L44" s="15" t="s">
        <v>62</v>
      </c>
      <c r="M44" s="15" t="s">
        <v>19</v>
      </c>
      <c r="N44" s="15" t="s">
        <v>18</v>
      </c>
      <c r="O44" s="15" t="s">
        <v>37</v>
      </c>
      <c r="Q44" s="9">
        <v>7</v>
      </c>
      <c r="R44" s="9">
        <v>12</v>
      </c>
      <c r="S44" s="9">
        <v>5</v>
      </c>
      <c r="T44" s="9">
        <v>4</v>
      </c>
      <c r="U44" s="9">
        <v>7</v>
      </c>
      <c r="W44" s="24">
        <v>1</v>
      </c>
      <c r="X44" s="24">
        <v>1</v>
      </c>
      <c r="Y44" s="24">
        <v>1</v>
      </c>
      <c r="Z44" s="24">
        <v>1</v>
      </c>
      <c r="AA44" s="24">
        <v>1</v>
      </c>
      <c r="AC44" s="71" t="str">
        <v>G4</v>
      </c>
      <c r="AD44" s="53">
        <v>0</v>
      </c>
      <c r="AE44" s="53">
        <v>8</v>
      </c>
      <c r="AF44" s="53">
        <v>3</v>
      </c>
      <c r="AG44" s="53">
        <v>3</v>
      </c>
      <c r="AH44" s="53">
        <v>0</v>
      </c>
      <c r="AI44" s="5"/>
      <c r="AJ44" s="71" t="str">
        <v>G4</v>
      </c>
      <c r="AK44" s="53">
        <v>0</v>
      </c>
      <c r="AL44" s="53">
        <v>8</v>
      </c>
      <c r="AM44" s="53">
        <v>3</v>
      </c>
      <c r="AN44" s="53">
        <v>3</v>
      </c>
      <c r="AO44" s="53">
        <v>0</v>
      </c>
    </row>
    <row r="45" spans="10:41" ht="16.5" customHeight="1" x14ac:dyDescent="0.3">
      <c r="J45" s="9">
        <v>41</v>
      </c>
      <c r="K45" s="15" t="s">
        <v>18</v>
      </c>
      <c r="L45" s="15" t="s">
        <v>19</v>
      </c>
      <c r="M45" s="15" t="s">
        <v>34</v>
      </c>
      <c r="N45" s="15" t="s">
        <v>95</v>
      </c>
      <c r="O45" s="15" t="s">
        <v>19</v>
      </c>
      <c r="Q45" s="9">
        <v>4</v>
      </c>
      <c r="R45" s="9">
        <v>5</v>
      </c>
      <c r="S45" s="9">
        <v>9</v>
      </c>
      <c r="T45" s="9">
        <v>6</v>
      </c>
      <c r="U45" s="9">
        <v>5</v>
      </c>
      <c r="W45" s="24">
        <v>1</v>
      </c>
      <c r="X45" s="24">
        <v>1</v>
      </c>
      <c r="Y45" s="24">
        <v>1</v>
      </c>
      <c r="Z45" s="24">
        <v>1</v>
      </c>
      <c r="AA45" s="24">
        <v>1</v>
      </c>
      <c r="AC45" s="71" t="str">
        <v>G5</v>
      </c>
      <c r="AD45" s="53">
        <v>0</v>
      </c>
      <c r="AE45" s="53">
        <v>8</v>
      </c>
      <c r="AF45" s="53">
        <v>3</v>
      </c>
      <c r="AG45" s="53">
        <v>3</v>
      </c>
      <c r="AH45" s="53">
        <v>0</v>
      </c>
      <c r="AI45" s="5"/>
      <c r="AJ45" s="71" t="str">
        <v>G5</v>
      </c>
      <c r="AK45" s="53">
        <v>0</v>
      </c>
      <c r="AL45" s="53">
        <v>8</v>
      </c>
      <c r="AM45" s="53">
        <v>3</v>
      </c>
      <c r="AN45" s="53">
        <v>3</v>
      </c>
      <c r="AO45" s="53">
        <v>0</v>
      </c>
    </row>
    <row r="46" spans="10:41" ht="16.5" customHeight="1" x14ac:dyDescent="0.3">
      <c r="J46" s="24">
        <v>42</v>
      </c>
      <c r="K46" s="15" t="s">
        <v>95</v>
      </c>
      <c r="L46" s="15" t="s">
        <v>19</v>
      </c>
      <c r="M46" s="15" t="s">
        <v>37</v>
      </c>
      <c r="N46" s="15" t="s">
        <v>21</v>
      </c>
      <c r="O46" s="15" t="s">
        <v>18</v>
      </c>
      <c r="Q46" s="9">
        <v>6</v>
      </c>
      <c r="R46" s="9">
        <v>5</v>
      </c>
      <c r="S46" s="9">
        <v>7</v>
      </c>
      <c r="T46" s="9">
        <v>2</v>
      </c>
      <c r="U46" s="9">
        <v>4</v>
      </c>
      <c r="W46" s="24">
        <v>1</v>
      </c>
      <c r="X46" s="24">
        <v>1</v>
      </c>
      <c r="Y46" s="24">
        <v>1</v>
      </c>
      <c r="Z46" s="24">
        <v>1</v>
      </c>
      <c r="AA46" s="24">
        <v>1</v>
      </c>
      <c r="AC46" s="71" t="str">
        <v>GA</v>
      </c>
      <c r="AD46" s="53">
        <v>0</v>
      </c>
      <c r="AE46" s="53">
        <v>8</v>
      </c>
      <c r="AF46" s="53">
        <v>3</v>
      </c>
      <c r="AG46" s="53">
        <v>3</v>
      </c>
      <c r="AH46" s="53">
        <v>0</v>
      </c>
      <c r="AI46" s="5"/>
      <c r="AJ46" s="71" t="str">
        <v>GA</v>
      </c>
      <c r="AK46" s="53">
        <v>0</v>
      </c>
      <c r="AL46" s="53">
        <v>8</v>
      </c>
      <c r="AM46" s="53">
        <v>3</v>
      </c>
      <c r="AN46" s="53">
        <v>3</v>
      </c>
      <c r="AO46" s="53">
        <v>0</v>
      </c>
    </row>
    <row r="47" spans="10:41" ht="16.5" customHeight="1" x14ac:dyDescent="0.3">
      <c r="J47" s="9">
        <v>43</v>
      </c>
      <c r="K47" s="15" t="s">
        <v>35</v>
      </c>
      <c r="L47" s="15" t="s">
        <v>65</v>
      </c>
      <c r="M47" s="15" t="s">
        <v>22</v>
      </c>
      <c r="N47" s="15" t="s">
        <v>20</v>
      </c>
      <c r="O47" s="15" t="s">
        <v>34</v>
      </c>
      <c r="Q47" s="9">
        <v>8</v>
      </c>
      <c r="R47" s="9">
        <v>16</v>
      </c>
      <c r="S47" s="9">
        <v>3</v>
      </c>
      <c r="T47" s="9">
        <v>1</v>
      </c>
      <c r="U47" s="9">
        <v>9</v>
      </c>
      <c r="W47" s="24">
        <v>1</v>
      </c>
      <c r="X47" s="24">
        <v>1</v>
      </c>
      <c r="Y47" s="24">
        <v>1</v>
      </c>
      <c r="Z47" s="24">
        <v>1</v>
      </c>
      <c r="AA47" s="24">
        <v>1</v>
      </c>
      <c r="AC47" s="71" t="str">
        <v>GK</v>
      </c>
      <c r="AD47" s="53">
        <v>0</v>
      </c>
      <c r="AE47" s="53">
        <v>8</v>
      </c>
      <c r="AF47" s="53">
        <v>3</v>
      </c>
      <c r="AG47" s="53">
        <v>3</v>
      </c>
      <c r="AH47" s="53">
        <v>0</v>
      </c>
      <c r="AI47" s="5"/>
      <c r="AJ47" s="71" t="str">
        <v>GK</v>
      </c>
      <c r="AK47" s="53">
        <v>0</v>
      </c>
      <c r="AL47" s="53">
        <v>8</v>
      </c>
      <c r="AM47" s="53">
        <v>3</v>
      </c>
      <c r="AN47" s="53">
        <v>3</v>
      </c>
      <c r="AO47" s="53">
        <v>0</v>
      </c>
    </row>
    <row r="48" spans="10:41" ht="16.5" customHeight="1" x14ac:dyDescent="0.3">
      <c r="J48" s="24">
        <v>44</v>
      </c>
      <c r="K48" s="15" t="s">
        <v>37</v>
      </c>
      <c r="L48" s="15" t="s">
        <v>19</v>
      </c>
      <c r="M48" s="15" t="s">
        <v>21</v>
      </c>
      <c r="N48" s="15" t="s">
        <v>37</v>
      </c>
      <c r="O48" s="15" t="s">
        <v>22</v>
      </c>
      <c r="Q48" s="9">
        <v>7</v>
      </c>
      <c r="R48" s="9">
        <v>5</v>
      </c>
      <c r="S48" s="9">
        <v>2</v>
      </c>
      <c r="T48" s="9">
        <v>7</v>
      </c>
      <c r="U48" s="9">
        <v>3</v>
      </c>
      <c r="W48" s="24">
        <v>1</v>
      </c>
      <c r="X48" s="24">
        <v>1</v>
      </c>
      <c r="Y48" s="24">
        <v>1</v>
      </c>
      <c r="Z48" s="24">
        <v>1</v>
      </c>
      <c r="AA48" s="24">
        <v>1</v>
      </c>
      <c r="AC48" s="71" t="str">
        <v>GQ</v>
      </c>
      <c r="AD48" s="53">
        <v>0</v>
      </c>
      <c r="AE48" s="53">
        <v>5</v>
      </c>
      <c r="AF48" s="53">
        <v>0</v>
      </c>
      <c r="AG48" s="53">
        <v>4</v>
      </c>
      <c r="AH48" s="53">
        <v>0</v>
      </c>
      <c r="AI48" s="5"/>
      <c r="AJ48" s="71" t="str">
        <v>GQ</v>
      </c>
      <c r="AK48" s="53">
        <v>0</v>
      </c>
      <c r="AL48" s="53">
        <v>5</v>
      </c>
      <c r="AM48" s="53">
        <v>0</v>
      </c>
      <c r="AN48" s="53">
        <v>4</v>
      </c>
      <c r="AO48" s="53">
        <v>0</v>
      </c>
    </row>
    <row r="49" spans="10:41" ht="16.5" customHeight="1" x14ac:dyDescent="0.3">
      <c r="J49" s="9">
        <v>45</v>
      </c>
      <c r="K49" s="15" t="s">
        <v>37</v>
      </c>
      <c r="L49" s="15" t="s">
        <v>35</v>
      </c>
      <c r="M49" s="15" t="s">
        <v>21</v>
      </c>
      <c r="N49" s="15" t="s">
        <v>61</v>
      </c>
      <c r="O49" s="15" t="s">
        <v>37</v>
      </c>
      <c r="Q49" s="9">
        <v>7</v>
      </c>
      <c r="R49" s="9">
        <v>8</v>
      </c>
      <c r="S49" s="9">
        <v>2</v>
      </c>
      <c r="T49" s="9">
        <v>11</v>
      </c>
      <c r="U49" s="9">
        <v>7</v>
      </c>
      <c r="W49" s="24">
        <v>1</v>
      </c>
      <c r="X49" s="24">
        <v>1</v>
      </c>
      <c r="Y49" s="24">
        <v>1</v>
      </c>
      <c r="Z49" s="24">
        <v>1</v>
      </c>
      <c r="AA49" s="24">
        <v>1</v>
      </c>
      <c r="AC49" s="71" t="str">
        <v>GJ</v>
      </c>
      <c r="AD49" s="53">
        <v>0</v>
      </c>
      <c r="AE49" s="53">
        <v>5</v>
      </c>
      <c r="AF49" s="53">
        <v>0</v>
      </c>
      <c r="AG49" s="53">
        <v>4</v>
      </c>
      <c r="AH49" s="53">
        <v>0</v>
      </c>
      <c r="AI49" s="5"/>
      <c r="AJ49" s="71" t="str">
        <v>GJ</v>
      </c>
      <c r="AK49" s="53">
        <v>0</v>
      </c>
      <c r="AL49" s="53">
        <v>5</v>
      </c>
      <c r="AM49" s="53">
        <v>0</v>
      </c>
      <c r="AN49" s="53">
        <v>4</v>
      </c>
      <c r="AO49" s="53">
        <v>0</v>
      </c>
    </row>
    <row r="50" spans="10:41" ht="16.5" customHeight="1" x14ac:dyDescent="0.3">
      <c r="J50" s="24">
        <v>46</v>
      </c>
      <c r="K50" s="15" t="s">
        <v>35</v>
      </c>
      <c r="L50" s="15" t="s">
        <v>22</v>
      </c>
      <c r="M50" s="15" t="s">
        <v>95</v>
      </c>
      <c r="N50" s="15" t="s">
        <v>18</v>
      </c>
      <c r="O50" s="15" t="s">
        <v>19</v>
      </c>
      <c r="Q50" s="9">
        <v>8</v>
      </c>
      <c r="R50" s="9">
        <v>3</v>
      </c>
      <c r="S50" s="9">
        <v>6</v>
      </c>
      <c r="T50" s="9">
        <v>4</v>
      </c>
      <c r="U50" s="9">
        <v>5</v>
      </c>
      <c r="W50" s="24">
        <v>1</v>
      </c>
      <c r="X50" s="24">
        <v>1</v>
      </c>
      <c r="Y50" s="24">
        <v>1</v>
      </c>
      <c r="Z50" s="24">
        <v>1</v>
      </c>
      <c r="AA50" s="24">
        <v>1</v>
      </c>
      <c r="AD50" s="59">
        <f>SUM(AD30:AD49)</f>
        <v>200</v>
      </c>
      <c r="AE50" s="59">
        <f>SUM(AE30:AE49)</f>
        <v>200</v>
      </c>
      <c r="AF50" s="59">
        <f>SUM(AF30:AF49)</f>
        <v>200</v>
      </c>
      <c r="AG50" s="59">
        <f>SUM(AG30:AG49)</f>
        <v>200</v>
      </c>
      <c r="AH50" s="59">
        <f>SUM(AH30:AH49)</f>
        <v>200</v>
      </c>
      <c r="AI50" s="5"/>
      <c r="AK50" s="59">
        <f>SUM(AK30:AK49)</f>
        <v>200</v>
      </c>
      <c r="AL50" s="59">
        <f>SUM(AL30:AL49)</f>
        <v>200</v>
      </c>
      <c r="AM50" s="59">
        <f>SUM(AM30:AM49)</f>
        <v>200</v>
      </c>
      <c r="AN50" s="59">
        <f>SUM(AN30:AN49)</f>
        <v>200</v>
      </c>
      <c r="AO50" s="59">
        <f>SUM(AO30:AO49)</f>
        <v>200</v>
      </c>
    </row>
    <row r="51" spans="10:41" ht="16.5" customHeight="1" x14ac:dyDescent="0.3">
      <c r="J51" s="9">
        <v>47</v>
      </c>
      <c r="K51" s="15" t="s">
        <v>35</v>
      </c>
      <c r="L51" s="15" t="s">
        <v>37</v>
      </c>
      <c r="M51" s="15" t="s">
        <v>95</v>
      </c>
      <c r="N51" s="15" t="s">
        <v>62</v>
      </c>
      <c r="O51" s="15" t="s">
        <v>35</v>
      </c>
      <c r="Q51" s="9">
        <v>8</v>
      </c>
      <c r="R51" s="9">
        <v>7</v>
      </c>
      <c r="S51" s="9">
        <v>6</v>
      </c>
      <c r="T51" s="9">
        <v>12</v>
      </c>
      <c r="U51" s="9">
        <v>8</v>
      </c>
      <c r="W51" s="24">
        <v>1</v>
      </c>
      <c r="X51" s="24">
        <v>1</v>
      </c>
      <c r="Y51" s="24">
        <v>1</v>
      </c>
      <c r="Z51" s="24">
        <v>1</v>
      </c>
      <c r="AA51" s="24">
        <v>1</v>
      </c>
      <c r="AH51" s="5"/>
      <c r="AI51" s="5"/>
      <c r="AO51" s="5"/>
    </row>
    <row r="52" spans="10:41" ht="16.5" customHeight="1" x14ac:dyDescent="0.3">
      <c r="J52" s="24">
        <v>48</v>
      </c>
      <c r="K52" s="15" t="s">
        <v>95</v>
      </c>
      <c r="L52" s="15" t="s">
        <v>19</v>
      </c>
      <c r="M52" s="15" t="s">
        <v>64</v>
      </c>
      <c r="N52" s="15" t="s">
        <v>18</v>
      </c>
      <c r="O52" s="15" t="s">
        <v>34</v>
      </c>
      <c r="Q52" s="9">
        <v>6</v>
      </c>
      <c r="R52" s="9">
        <v>5</v>
      </c>
      <c r="S52" s="9">
        <v>14</v>
      </c>
      <c r="T52" s="9">
        <v>4</v>
      </c>
      <c r="U52" s="9">
        <v>9</v>
      </c>
      <c r="W52" s="24">
        <v>1</v>
      </c>
      <c r="X52" s="24">
        <v>1</v>
      </c>
      <c r="Y52" s="24">
        <v>1</v>
      </c>
      <c r="Z52" s="24">
        <v>1</v>
      </c>
      <c r="AA52" s="24">
        <v>1</v>
      </c>
      <c r="AC52" s="26" t="s">
        <v>98</v>
      </c>
      <c r="AH52" s="5"/>
      <c r="AI52" s="5"/>
      <c r="AJ52" s="26" t="s">
        <v>98</v>
      </c>
      <c r="AO52" s="5"/>
    </row>
    <row r="53" spans="10:41" ht="16.5" customHeight="1" x14ac:dyDescent="0.3">
      <c r="J53" s="9">
        <v>49</v>
      </c>
      <c r="K53" s="15" t="s">
        <v>37</v>
      </c>
      <c r="L53" s="15" t="s">
        <v>35</v>
      </c>
      <c r="M53" s="15" t="s">
        <v>19</v>
      </c>
      <c r="N53" s="15" t="s">
        <v>34</v>
      </c>
      <c r="O53" s="15" t="s">
        <v>35</v>
      </c>
      <c r="Q53" s="9">
        <v>7</v>
      </c>
      <c r="R53" s="9">
        <v>8</v>
      </c>
      <c r="S53" s="9">
        <v>5</v>
      </c>
      <c r="T53" s="9">
        <v>9</v>
      </c>
      <c r="U53" s="9">
        <v>8</v>
      </c>
      <c r="W53" s="24">
        <v>1</v>
      </c>
      <c r="X53" s="24">
        <v>1</v>
      </c>
      <c r="Y53" s="24">
        <v>1</v>
      </c>
      <c r="Z53" s="24">
        <v>1</v>
      </c>
      <c r="AA53" s="24">
        <v>1</v>
      </c>
      <c r="AC53" s="68" t="s">
        <v>42</v>
      </c>
      <c r="AD53" s="68" t="s">
        <v>13</v>
      </c>
      <c r="AE53" s="68" t="s">
        <v>14</v>
      </c>
      <c r="AF53" s="68" t="s">
        <v>15</v>
      </c>
      <c r="AG53" s="68" t="s">
        <v>16</v>
      </c>
      <c r="AH53" s="68" t="s">
        <v>17</v>
      </c>
      <c r="AI53" s="5"/>
      <c r="AJ53" s="68" t="s">
        <v>42</v>
      </c>
      <c r="AK53" s="68" t="s">
        <v>13</v>
      </c>
      <c r="AL53" s="68" t="s">
        <v>14</v>
      </c>
      <c r="AM53" s="68" t="s">
        <v>15</v>
      </c>
      <c r="AN53" s="68" t="s">
        <v>16</v>
      </c>
      <c r="AO53" s="68" t="s">
        <v>17</v>
      </c>
    </row>
    <row r="54" spans="10:41" ht="16.5" customHeight="1" x14ac:dyDescent="0.3">
      <c r="J54" s="24">
        <v>50</v>
      </c>
      <c r="K54" s="15" t="s">
        <v>35</v>
      </c>
      <c r="L54" s="15" t="s">
        <v>64</v>
      </c>
      <c r="M54" s="15" t="s">
        <v>18</v>
      </c>
      <c r="N54" s="15" t="s">
        <v>34</v>
      </c>
      <c r="O54" s="15" t="s">
        <v>36</v>
      </c>
      <c r="Q54" s="9">
        <v>8</v>
      </c>
      <c r="R54" s="9">
        <v>14</v>
      </c>
      <c r="S54" s="9">
        <v>4</v>
      </c>
      <c r="T54" s="9">
        <v>9</v>
      </c>
      <c r="U54" s="9">
        <v>10</v>
      </c>
      <c r="W54" s="24">
        <v>1</v>
      </c>
      <c r="X54" s="24">
        <v>1</v>
      </c>
      <c r="Y54" s="24">
        <v>1</v>
      </c>
      <c r="Z54" s="24">
        <v>1</v>
      </c>
      <c r="AA54" s="24">
        <v>1</v>
      </c>
      <c r="AC54" s="71" t="str" cm="1">
        <f t="array" ref="AC54:AC73">$A$4:$A$23</f>
        <v>WW</v>
      </c>
      <c r="AD54" s="72">
        <v>0</v>
      </c>
      <c r="AE54" s="72">
        <v>0</v>
      </c>
      <c r="AF54" s="72">
        <v>0</v>
      </c>
      <c r="AG54" s="72">
        <v>0</v>
      </c>
      <c r="AH54" s="72">
        <v>0</v>
      </c>
      <c r="AI54" s="5"/>
      <c r="AJ54" s="71" t="str" cm="1">
        <f t="array" ref="AJ54:AJ73">$A$4:$A$23</f>
        <v>WW</v>
      </c>
      <c r="AK54" s="72">
        <v>0</v>
      </c>
      <c r="AL54" s="72">
        <v>0</v>
      </c>
      <c r="AM54" s="72">
        <v>0</v>
      </c>
      <c r="AN54" s="72">
        <v>0</v>
      </c>
      <c r="AO54" s="72">
        <v>0</v>
      </c>
    </row>
    <row r="55" spans="10:41" ht="16.5" customHeight="1" x14ac:dyDescent="0.3">
      <c r="J55" s="9">
        <v>51</v>
      </c>
      <c r="K55" s="15" t="s">
        <v>95</v>
      </c>
      <c r="L55" s="15" t="s">
        <v>81</v>
      </c>
      <c r="M55" s="15" t="s">
        <v>37</v>
      </c>
      <c r="N55" s="15" t="s">
        <v>63</v>
      </c>
      <c r="O55" s="15" t="s">
        <v>95</v>
      </c>
      <c r="Q55" s="9">
        <v>6</v>
      </c>
      <c r="R55" s="9">
        <v>17</v>
      </c>
      <c r="S55" s="9">
        <v>7</v>
      </c>
      <c r="T55" s="9">
        <v>13</v>
      </c>
      <c r="U55" s="9">
        <v>6</v>
      </c>
      <c r="W55" s="24">
        <v>1</v>
      </c>
      <c r="X55" s="24">
        <v>1</v>
      </c>
      <c r="Y55" s="24">
        <v>1</v>
      </c>
      <c r="Z55" s="24">
        <v>1</v>
      </c>
      <c r="AA55" s="24">
        <v>1</v>
      </c>
      <c r="AC55" s="71" t="str">
        <v>C1</v>
      </c>
      <c r="AD55" s="71">
        <v>0</v>
      </c>
      <c r="AE55" s="71">
        <v>6</v>
      </c>
      <c r="AF55" s="71">
        <v>0</v>
      </c>
      <c r="AG55" s="71">
        <v>9</v>
      </c>
      <c r="AH55" s="71">
        <v>0</v>
      </c>
      <c r="AI55" s="5"/>
      <c r="AJ55" s="71" t="str">
        <v>C1</v>
      </c>
      <c r="AK55" s="71">
        <v>0</v>
      </c>
      <c r="AL55" s="71">
        <v>6</v>
      </c>
      <c r="AM55" s="71">
        <v>0</v>
      </c>
      <c r="AN55" s="71">
        <v>9</v>
      </c>
      <c r="AO55" s="71">
        <v>0</v>
      </c>
    </row>
    <row r="56" spans="10:41" ht="16.5" customHeight="1" x14ac:dyDescent="0.3">
      <c r="J56" s="24">
        <v>52</v>
      </c>
      <c r="K56" s="15" t="s">
        <v>37</v>
      </c>
      <c r="L56" s="15" t="s">
        <v>37</v>
      </c>
      <c r="M56" s="15" t="s">
        <v>36</v>
      </c>
      <c r="N56" s="15" t="s">
        <v>22</v>
      </c>
      <c r="O56" s="15" t="s">
        <v>37</v>
      </c>
      <c r="Q56" s="9">
        <v>7</v>
      </c>
      <c r="R56" s="9">
        <v>7</v>
      </c>
      <c r="S56" s="9">
        <v>10</v>
      </c>
      <c r="T56" s="9">
        <v>3</v>
      </c>
      <c r="U56" s="9">
        <v>7</v>
      </c>
      <c r="W56" s="24">
        <v>1</v>
      </c>
      <c r="X56" s="24">
        <v>1</v>
      </c>
      <c r="Y56" s="24">
        <v>1</v>
      </c>
      <c r="Z56" s="24">
        <v>1</v>
      </c>
      <c r="AA56" s="24">
        <v>1</v>
      </c>
      <c r="AC56" s="80" t="str">
        <v>M1</v>
      </c>
      <c r="AD56" s="66">
        <v>4</v>
      </c>
      <c r="AE56" s="66">
        <v>11</v>
      </c>
      <c r="AF56" s="66">
        <v>5</v>
      </c>
      <c r="AG56" s="66">
        <v>21</v>
      </c>
      <c r="AH56" s="66">
        <v>23</v>
      </c>
      <c r="AI56" s="5"/>
      <c r="AJ56" s="80" t="str">
        <v>M1</v>
      </c>
      <c r="AK56" s="66">
        <v>4</v>
      </c>
      <c r="AL56" s="66">
        <v>11</v>
      </c>
      <c r="AM56" s="66">
        <v>5</v>
      </c>
      <c r="AN56" s="66">
        <v>21</v>
      </c>
      <c r="AO56" s="66">
        <v>23</v>
      </c>
    </row>
    <row r="57" spans="10:41" ht="16.5" customHeight="1" x14ac:dyDescent="0.3">
      <c r="J57" s="9">
        <v>53</v>
      </c>
      <c r="K57" s="15" t="s">
        <v>19</v>
      </c>
      <c r="L57" s="15" t="s">
        <v>62</v>
      </c>
      <c r="M57" s="15" t="s">
        <v>37</v>
      </c>
      <c r="N57" s="15" t="s">
        <v>62</v>
      </c>
      <c r="O57" s="15" t="s">
        <v>37</v>
      </c>
      <c r="Q57" s="9">
        <v>5</v>
      </c>
      <c r="R57" s="9">
        <v>12</v>
      </c>
      <c r="S57" s="9">
        <v>7</v>
      </c>
      <c r="T57" s="9">
        <v>12</v>
      </c>
      <c r="U57" s="9">
        <v>7</v>
      </c>
      <c r="W57" s="24">
        <v>1</v>
      </c>
      <c r="X57" s="24">
        <v>1</v>
      </c>
      <c r="Y57" s="24">
        <v>1</v>
      </c>
      <c r="Z57" s="24">
        <v>1</v>
      </c>
      <c r="AA57" s="24">
        <v>1</v>
      </c>
      <c r="AC57" s="80" t="str">
        <v>M2</v>
      </c>
      <c r="AD57" s="66">
        <v>4</v>
      </c>
      <c r="AE57" s="66">
        <v>11</v>
      </c>
      <c r="AF57" s="66">
        <v>5</v>
      </c>
      <c r="AG57" s="66">
        <v>21</v>
      </c>
      <c r="AH57" s="66">
        <v>23</v>
      </c>
      <c r="AI57" s="5"/>
      <c r="AJ57" s="80" t="str">
        <v>M2</v>
      </c>
      <c r="AK57" s="66">
        <v>4</v>
      </c>
      <c r="AL57" s="66">
        <v>11</v>
      </c>
      <c r="AM57" s="66">
        <v>5</v>
      </c>
      <c r="AN57" s="66">
        <v>21</v>
      </c>
      <c r="AO57" s="66">
        <v>23</v>
      </c>
    </row>
    <row r="58" spans="10:41" ht="16.5" customHeight="1" x14ac:dyDescent="0.3">
      <c r="J58" s="24">
        <v>54</v>
      </c>
      <c r="K58" s="15" t="s">
        <v>19</v>
      </c>
      <c r="L58" s="15" t="s">
        <v>70</v>
      </c>
      <c r="M58" s="15" t="s">
        <v>95</v>
      </c>
      <c r="N58" s="15" t="s">
        <v>35</v>
      </c>
      <c r="O58" s="15" t="s">
        <v>22</v>
      </c>
      <c r="Q58" s="9">
        <v>5</v>
      </c>
      <c r="R58" s="9">
        <v>19</v>
      </c>
      <c r="S58" s="9">
        <v>6</v>
      </c>
      <c r="T58" s="9">
        <v>8</v>
      </c>
      <c r="U58" s="9">
        <v>3</v>
      </c>
      <c r="W58" s="24">
        <v>1</v>
      </c>
      <c r="X58" s="24">
        <v>1</v>
      </c>
      <c r="Y58" s="24">
        <v>1</v>
      </c>
      <c r="Z58" s="24">
        <v>1</v>
      </c>
      <c r="AA58" s="24">
        <v>1</v>
      </c>
      <c r="AC58" s="80" t="str">
        <v>M3</v>
      </c>
      <c r="AD58" s="66">
        <v>4</v>
      </c>
      <c r="AE58" s="66">
        <v>11</v>
      </c>
      <c r="AF58" s="66">
        <v>5</v>
      </c>
      <c r="AG58" s="66">
        <v>21</v>
      </c>
      <c r="AH58" s="66">
        <v>22</v>
      </c>
      <c r="AI58" s="5"/>
      <c r="AJ58" s="80" t="str">
        <v>M3</v>
      </c>
      <c r="AK58" s="66">
        <v>4</v>
      </c>
      <c r="AL58" s="66">
        <v>11</v>
      </c>
      <c r="AM58" s="66">
        <v>5</v>
      </c>
      <c r="AN58" s="66">
        <v>21</v>
      </c>
      <c r="AO58" s="66">
        <v>22</v>
      </c>
    </row>
    <row r="59" spans="10:41" ht="16.5" customHeight="1" x14ac:dyDescent="0.3">
      <c r="J59" s="9">
        <v>55</v>
      </c>
      <c r="K59" s="15" t="s">
        <v>19</v>
      </c>
      <c r="L59" s="15" t="s">
        <v>95</v>
      </c>
      <c r="M59" s="15" t="s">
        <v>65</v>
      </c>
      <c r="N59" s="15" t="s">
        <v>36</v>
      </c>
      <c r="O59" s="15" t="s">
        <v>34</v>
      </c>
      <c r="Q59" s="9">
        <v>5</v>
      </c>
      <c r="R59" s="9">
        <v>6</v>
      </c>
      <c r="S59" s="9">
        <v>16</v>
      </c>
      <c r="T59" s="9">
        <v>10</v>
      </c>
      <c r="U59" s="9">
        <v>9</v>
      </c>
      <c r="W59" s="24">
        <v>1</v>
      </c>
      <c r="X59" s="24">
        <v>1</v>
      </c>
      <c r="Y59" s="24">
        <v>1</v>
      </c>
      <c r="Z59" s="24">
        <v>1</v>
      </c>
      <c r="AA59" s="24">
        <v>1</v>
      </c>
      <c r="AC59" s="80" t="str">
        <v>M4</v>
      </c>
      <c r="AD59" s="66">
        <v>43</v>
      </c>
      <c r="AE59" s="66">
        <v>20</v>
      </c>
      <c r="AF59" s="66">
        <v>41</v>
      </c>
      <c r="AG59" s="66">
        <v>14</v>
      </c>
      <c r="AH59" s="66">
        <v>22</v>
      </c>
      <c r="AI59" s="5"/>
      <c r="AJ59" s="80" t="str">
        <v>M4</v>
      </c>
      <c r="AK59" s="66">
        <v>43</v>
      </c>
      <c r="AL59" s="66">
        <v>20</v>
      </c>
      <c r="AM59" s="66">
        <v>41</v>
      </c>
      <c r="AN59" s="66">
        <v>14</v>
      </c>
      <c r="AO59" s="66">
        <v>22</v>
      </c>
    </row>
    <row r="60" spans="10:41" ht="16.5" customHeight="1" x14ac:dyDescent="0.3">
      <c r="J60" s="24">
        <v>56</v>
      </c>
      <c r="K60" s="15" t="s">
        <v>22</v>
      </c>
      <c r="L60" s="15" t="s">
        <v>21</v>
      </c>
      <c r="M60" s="15" t="s">
        <v>35</v>
      </c>
      <c r="N60" s="15" t="s">
        <v>22</v>
      </c>
      <c r="O60" s="15" t="s">
        <v>22</v>
      </c>
      <c r="Q60" s="9">
        <v>3</v>
      </c>
      <c r="R60" s="9">
        <v>2</v>
      </c>
      <c r="S60" s="9">
        <v>8</v>
      </c>
      <c r="T60" s="9">
        <v>3</v>
      </c>
      <c r="U60" s="9">
        <v>3</v>
      </c>
      <c r="W60" s="24">
        <v>1</v>
      </c>
      <c r="X60" s="24">
        <v>1</v>
      </c>
      <c r="Y60" s="24">
        <v>1</v>
      </c>
      <c r="Z60" s="24">
        <v>1</v>
      </c>
      <c r="AA60" s="24">
        <v>1</v>
      </c>
      <c r="AC60" s="80" t="str">
        <v>M5</v>
      </c>
      <c r="AD60" s="66">
        <v>43</v>
      </c>
      <c r="AE60" s="66">
        <v>21</v>
      </c>
      <c r="AF60" s="66">
        <v>41</v>
      </c>
      <c r="AG60" s="66">
        <v>14</v>
      </c>
      <c r="AH60" s="66">
        <v>22</v>
      </c>
      <c r="AI60" s="5"/>
      <c r="AJ60" s="80" t="str">
        <v>M5</v>
      </c>
      <c r="AK60" s="66">
        <v>43</v>
      </c>
      <c r="AL60" s="66">
        <v>21</v>
      </c>
      <c r="AM60" s="66">
        <v>41</v>
      </c>
      <c r="AN60" s="66">
        <v>14</v>
      </c>
      <c r="AO60" s="66">
        <v>22</v>
      </c>
    </row>
    <row r="61" spans="10:41" x14ac:dyDescent="0.3">
      <c r="J61" s="9">
        <v>57</v>
      </c>
      <c r="K61" s="15" t="s">
        <v>21</v>
      </c>
      <c r="L61" s="15" t="s">
        <v>34</v>
      </c>
      <c r="M61" s="15" t="s">
        <v>21</v>
      </c>
      <c r="N61" s="15" t="s">
        <v>21</v>
      </c>
      <c r="O61" s="15" t="s">
        <v>36</v>
      </c>
      <c r="Q61" s="9">
        <v>2</v>
      </c>
      <c r="R61" s="9">
        <v>9</v>
      </c>
      <c r="S61" s="9">
        <v>2</v>
      </c>
      <c r="T61" s="9">
        <v>2</v>
      </c>
      <c r="U61" s="9">
        <v>10</v>
      </c>
      <c r="W61" s="24">
        <v>1</v>
      </c>
      <c r="X61" s="24">
        <v>1</v>
      </c>
      <c r="Y61" s="24">
        <v>1</v>
      </c>
      <c r="Z61" s="24">
        <v>1</v>
      </c>
      <c r="AA61" s="24">
        <v>1</v>
      </c>
      <c r="AC61" s="80" t="str">
        <v>A</v>
      </c>
      <c r="AD61" s="66">
        <v>47</v>
      </c>
      <c r="AE61" s="66">
        <v>21</v>
      </c>
      <c r="AF61" s="66">
        <v>41</v>
      </c>
      <c r="AG61" s="66">
        <v>14</v>
      </c>
      <c r="AH61" s="66">
        <v>22</v>
      </c>
      <c r="AI61" s="5"/>
      <c r="AJ61" s="80" t="str">
        <v>A</v>
      </c>
      <c r="AK61" s="66">
        <v>47</v>
      </c>
      <c r="AL61" s="66">
        <v>21</v>
      </c>
      <c r="AM61" s="66">
        <v>41</v>
      </c>
      <c r="AN61" s="66">
        <v>14</v>
      </c>
      <c r="AO61" s="66">
        <v>22</v>
      </c>
    </row>
    <row r="62" spans="10:41" x14ac:dyDescent="0.3">
      <c r="J62" s="24">
        <v>58</v>
      </c>
      <c r="K62" s="15" t="s">
        <v>95</v>
      </c>
      <c r="L62" s="15" t="s">
        <v>34</v>
      </c>
      <c r="M62" s="15" t="s">
        <v>19</v>
      </c>
      <c r="N62" s="15" t="s">
        <v>21</v>
      </c>
      <c r="O62" s="15" t="s">
        <v>19</v>
      </c>
      <c r="Q62" s="9">
        <v>6</v>
      </c>
      <c r="R62" s="9">
        <v>9</v>
      </c>
      <c r="S62" s="9">
        <v>5</v>
      </c>
      <c r="T62" s="9">
        <v>2</v>
      </c>
      <c r="U62" s="9">
        <v>5</v>
      </c>
      <c r="W62" s="24">
        <v>1</v>
      </c>
      <c r="X62" s="24">
        <v>1</v>
      </c>
      <c r="Y62" s="24">
        <v>1</v>
      </c>
      <c r="Z62" s="24">
        <v>1</v>
      </c>
      <c r="AA62" s="24">
        <v>1</v>
      </c>
      <c r="AC62" s="80" t="str">
        <v>K</v>
      </c>
      <c r="AD62" s="66">
        <v>47</v>
      </c>
      <c r="AE62" s="66">
        <v>21</v>
      </c>
      <c r="AF62" s="66">
        <v>41</v>
      </c>
      <c r="AG62" s="66">
        <v>14</v>
      </c>
      <c r="AH62" s="66">
        <v>22</v>
      </c>
      <c r="AI62" s="5"/>
      <c r="AJ62" s="80" t="str">
        <v>K</v>
      </c>
      <c r="AK62" s="66">
        <v>47</v>
      </c>
      <c r="AL62" s="66">
        <v>21</v>
      </c>
      <c r="AM62" s="66">
        <v>41</v>
      </c>
      <c r="AN62" s="66">
        <v>14</v>
      </c>
      <c r="AO62" s="66">
        <v>22</v>
      </c>
    </row>
    <row r="63" spans="10:41" ht="16.5" customHeight="1" x14ac:dyDescent="0.3">
      <c r="J63" s="9">
        <v>59</v>
      </c>
      <c r="K63" s="15" t="s">
        <v>35</v>
      </c>
      <c r="L63" s="15" t="s">
        <v>96</v>
      </c>
      <c r="M63" s="15" t="s">
        <v>19</v>
      </c>
      <c r="N63" s="15" t="s">
        <v>35</v>
      </c>
      <c r="O63" s="15" t="s">
        <v>19</v>
      </c>
      <c r="Q63" s="9">
        <v>8</v>
      </c>
      <c r="R63" s="9">
        <v>15</v>
      </c>
      <c r="S63" s="9">
        <v>5</v>
      </c>
      <c r="T63" s="9">
        <v>8</v>
      </c>
      <c r="U63" s="9">
        <v>5</v>
      </c>
      <c r="W63" s="24">
        <v>1</v>
      </c>
      <c r="X63" s="24">
        <v>1</v>
      </c>
      <c r="Y63" s="24">
        <v>1</v>
      </c>
      <c r="Z63" s="24">
        <v>1</v>
      </c>
      <c r="AA63" s="24">
        <v>1</v>
      </c>
      <c r="AC63" s="80" t="str">
        <v>Q</v>
      </c>
      <c r="AD63" s="66">
        <v>4</v>
      </c>
      <c r="AE63" s="66">
        <v>11</v>
      </c>
      <c r="AF63" s="66">
        <v>5</v>
      </c>
      <c r="AG63" s="66">
        <v>20</v>
      </c>
      <c r="AH63" s="66">
        <v>22</v>
      </c>
      <c r="AI63" s="5"/>
      <c r="AJ63" s="80" t="str">
        <v>Q</v>
      </c>
      <c r="AK63" s="66">
        <v>4</v>
      </c>
      <c r="AL63" s="66">
        <v>11</v>
      </c>
      <c r="AM63" s="66">
        <v>5</v>
      </c>
      <c r="AN63" s="66">
        <v>20</v>
      </c>
      <c r="AO63" s="66">
        <v>22</v>
      </c>
    </row>
    <row r="64" spans="10:41" ht="16.5" customHeight="1" x14ac:dyDescent="0.3">
      <c r="J64" s="24">
        <v>60</v>
      </c>
      <c r="K64" s="15" t="s">
        <v>19</v>
      </c>
      <c r="L64" s="15" t="s">
        <v>19</v>
      </c>
      <c r="M64" s="15" t="s">
        <v>19</v>
      </c>
      <c r="N64" s="15" t="s">
        <v>35</v>
      </c>
      <c r="O64" s="15" t="s">
        <v>35</v>
      </c>
      <c r="Q64" s="9">
        <v>5</v>
      </c>
      <c r="R64" s="9">
        <v>5</v>
      </c>
      <c r="S64" s="9">
        <v>5</v>
      </c>
      <c r="T64" s="9">
        <v>8</v>
      </c>
      <c r="U64" s="9">
        <v>8</v>
      </c>
      <c r="W64" s="24">
        <v>1</v>
      </c>
      <c r="X64" s="24">
        <v>1</v>
      </c>
      <c r="Y64" s="24">
        <v>1</v>
      </c>
      <c r="Z64" s="24">
        <v>1</v>
      </c>
      <c r="AA64" s="24">
        <v>1</v>
      </c>
      <c r="AC64" s="80" t="str">
        <v>J</v>
      </c>
      <c r="AD64" s="66">
        <v>4</v>
      </c>
      <c r="AE64" s="66">
        <v>11</v>
      </c>
      <c r="AF64" s="66">
        <v>4</v>
      </c>
      <c r="AG64" s="66">
        <v>20</v>
      </c>
      <c r="AH64" s="66">
        <v>22</v>
      </c>
      <c r="AI64" s="5"/>
      <c r="AJ64" s="80" t="str">
        <v>J</v>
      </c>
      <c r="AK64" s="66">
        <v>4</v>
      </c>
      <c r="AL64" s="66">
        <v>11</v>
      </c>
      <c r="AM64" s="66">
        <v>4</v>
      </c>
      <c r="AN64" s="66">
        <v>20</v>
      </c>
      <c r="AO64" s="66">
        <v>22</v>
      </c>
    </row>
    <row r="65" spans="10:41" ht="16.5" customHeight="1" x14ac:dyDescent="0.3">
      <c r="J65" s="9">
        <v>61</v>
      </c>
      <c r="K65" s="15" t="s">
        <v>19</v>
      </c>
      <c r="L65" s="15" t="s">
        <v>37</v>
      </c>
      <c r="M65" s="15" t="s">
        <v>37</v>
      </c>
      <c r="N65" s="15" t="s">
        <v>22</v>
      </c>
      <c r="O65" s="15" t="s">
        <v>22</v>
      </c>
      <c r="Q65" s="9">
        <v>5</v>
      </c>
      <c r="R65" s="9">
        <v>7</v>
      </c>
      <c r="S65" s="9">
        <v>7</v>
      </c>
      <c r="T65" s="9">
        <v>3</v>
      </c>
      <c r="U65" s="9">
        <v>3</v>
      </c>
      <c r="W65" s="24">
        <v>1</v>
      </c>
      <c r="X65" s="24">
        <v>1</v>
      </c>
      <c r="Y65" s="24">
        <v>1</v>
      </c>
      <c r="Z65" s="24">
        <v>1</v>
      </c>
      <c r="AA65" s="24">
        <v>1</v>
      </c>
      <c r="AC65" s="71" t="str">
        <v>G1</v>
      </c>
      <c r="AD65" s="53">
        <v>0</v>
      </c>
      <c r="AE65" s="53">
        <v>4</v>
      </c>
      <c r="AF65" s="53">
        <v>0</v>
      </c>
      <c r="AG65" s="53">
        <v>4</v>
      </c>
      <c r="AH65" s="53">
        <v>0</v>
      </c>
      <c r="AI65" s="5"/>
      <c r="AJ65" s="71" t="str">
        <v>G1</v>
      </c>
      <c r="AK65" s="53">
        <v>0</v>
      </c>
      <c r="AL65" s="53">
        <v>4</v>
      </c>
      <c r="AM65" s="53">
        <v>0</v>
      </c>
      <c r="AN65" s="53">
        <v>4</v>
      </c>
      <c r="AO65" s="53">
        <v>0</v>
      </c>
    </row>
    <row r="66" spans="10:41" ht="16.5" customHeight="1" x14ac:dyDescent="0.3">
      <c r="J66" s="24">
        <v>62</v>
      </c>
      <c r="K66" s="15" t="s">
        <v>21</v>
      </c>
      <c r="L66" s="15" t="s">
        <v>22</v>
      </c>
      <c r="M66" s="15" t="s">
        <v>22</v>
      </c>
      <c r="N66" s="15" t="s">
        <v>36</v>
      </c>
      <c r="O66" s="15" t="s">
        <v>95</v>
      </c>
      <c r="Q66" s="9">
        <v>2</v>
      </c>
      <c r="R66" s="9">
        <v>3</v>
      </c>
      <c r="S66" s="9">
        <v>3</v>
      </c>
      <c r="T66" s="9">
        <v>10</v>
      </c>
      <c r="U66" s="9">
        <v>6</v>
      </c>
      <c r="W66" s="24">
        <v>1</v>
      </c>
      <c r="X66" s="24">
        <v>1</v>
      </c>
      <c r="Y66" s="24">
        <v>1</v>
      </c>
      <c r="Z66" s="24">
        <v>1</v>
      </c>
      <c r="AA66" s="24">
        <v>1</v>
      </c>
      <c r="AC66" s="71" t="str">
        <v>G2</v>
      </c>
      <c r="AD66" s="53">
        <v>0</v>
      </c>
      <c r="AE66" s="53">
        <v>5</v>
      </c>
      <c r="AF66" s="53">
        <v>0</v>
      </c>
      <c r="AG66" s="53">
        <v>4</v>
      </c>
      <c r="AH66" s="53">
        <v>0</v>
      </c>
      <c r="AI66" s="5"/>
      <c r="AJ66" s="71" t="str">
        <v>G2</v>
      </c>
      <c r="AK66" s="53">
        <v>0</v>
      </c>
      <c r="AL66" s="53">
        <v>5</v>
      </c>
      <c r="AM66" s="53">
        <v>0</v>
      </c>
      <c r="AN66" s="53">
        <v>4</v>
      </c>
      <c r="AO66" s="53">
        <v>0</v>
      </c>
    </row>
    <row r="67" spans="10:41" ht="16.5" customHeight="1" x14ac:dyDescent="0.3">
      <c r="J67" s="9">
        <v>63</v>
      </c>
      <c r="K67" s="15" t="s">
        <v>95</v>
      </c>
      <c r="L67" s="15" t="s">
        <v>65</v>
      </c>
      <c r="M67" s="15" t="s">
        <v>95</v>
      </c>
      <c r="N67" s="15" t="s">
        <v>18</v>
      </c>
      <c r="O67" s="15" t="s">
        <v>35</v>
      </c>
      <c r="Q67" s="9">
        <v>6</v>
      </c>
      <c r="R67" s="9">
        <v>16</v>
      </c>
      <c r="S67" s="9">
        <v>6</v>
      </c>
      <c r="T67" s="9">
        <v>4</v>
      </c>
      <c r="U67" s="9">
        <v>8</v>
      </c>
      <c r="W67" s="24">
        <v>1</v>
      </c>
      <c r="X67" s="24">
        <v>1</v>
      </c>
      <c r="Y67" s="24">
        <v>1</v>
      </c>
      <c r="Z67" s="24">
        <v>1</v>
      </c>
      <c r="AA67" s="24">
        <v>1</v>
      </c>
      <c r="AC67" s="71" t="str">
        <v>G3</v>
      </c>
      <c r="AD67" s="53">
        <v>0</v>
      </c>
      <c r="AE67" s="53">
        <v>5</v>
      </c>
      <c r="AF67" s="53">
        <v>0</v>
      </c>
      <c r="AG67" s="53">
        <v>4</v>
      </c>
      <c r="AH67" s="53">
        <v>0</v>
      </c>
      <c r="AI67" s="5"/>
      <c r="AJ67" s="71" t="str">
        <v>G3</v>
      </c>
      <c r="AK67" s="53">
        <v>0</v>
      </c>
      <c r="AL67" s="53">
        <v>5</v>
      </c>
      <c r="AM67" s="53">
        <v>0</v>
      </c>
      <c r="AN67" s="53">
        <v>4</v>
      </c>
      <c r="AO67" s="53">
        <v>0</v>
      </c>
    </row>
    <row r="68" spans="10:41" ht="16.5" customHeight="1" x14ac:dyDescent="0.3">
      <c r="J68" s="24">
        <v>64</v>
      </c>
      <c r="K68" s="15" t="s">
        <v>19</v>
      </c>
      <c r="L68" s="15" t="s">
        <v>19</v>
      </c>
      <c r="M68" s="15" t="s">
        <v>19</v>
      </c>
      <c r="N68" s="15" t="s">
        <v>22</v>
      </c>
      <c r="O68" s="15" t="s">
        <v>18</v>
      </c>
      <c r="Q68" s="9">
        <v>5</v>
      </c>
      <c r="R68" s="9">
        <v>5</v>
      </c>
      <c r="S68" s="9">
        <v>5</v>
      </c>
      <c r="T68" s="9">
        <v>3</v>
      </c>
      <c r="U68" s="9">
        <v>4</v>
      </c>
      <c r="W68" s="24">
        <v>1</v>
      </c>
      <c r="X68" s="24">
        <v>1</v>
      </c>
      <c r="Y68" s="24">
        <v>1</v>
      </c>
      <c r="Z68" s="24">
        <v>1</v>
      </c>
      <c r="AA68" s="24">
        <v>1</v>
      </c>
      <c r="AC68" s="71" t="str">
        <v>G4</v>
      </c>
      <c r="AD68" s="53">
        <v>0</v>
      </c>
      <c r="AE68" s="53">
        <v>8</v>
      </c>
      <c r="AF68" s="53">
        <v>3</v>
      </c>
      <c r="AG68" s="53">
        <v>3</v>
      </c>
      <c r="AH68" s="53">
        <v>0</v>
      </c>
      <c r="AI68" s="5"/>
      <c r="AJ68" s="71" t="str">
        <v>G4</v>
      </c>
      <c r="AK68" s="53">
        <v>0</v>
      </c>
      <c r="AL68" s="53">
        <v>8</v>
      </c>
      <c r="AM68" s="53">
        <v>3</v>
      </c>
      <c r="AN68" s="53">
        <v>3</v>
      </c>
      <c r="AO68" s="53">
        <v>0</v>
      </c>
    </row>
    <row r="69" spans="10:41" ht="16.5" customHeight="1" x14ac:dyDescent="0.3">
      <c r="J69" s="9">
        <v>65</v>
      </c>
      <c r="K69" s="15" t="s">
        <v>37</v>
      </c>
      <c r="L69" s="15" t="s">
        <v>95</v>
      </c>
      <c r="M69" s="15" t="s">
        <v>95</v>
      </c>
      <c r="N69" s="15" t="s">
        <v>34</v>
      </c>
      <c r="O69" s="15" t="s">
        <v>36</v>
      </c>
      <c r="Q69" s="9">
        <v>7</v>
      </c>
      <c r="R69" s="9">
        <v>6</v>
      </c>
      <c r="S69" s="9">
        <v>6</v>
      </c>
      <c r="T69" s="9">
        <v>9</v>
      </c>
      <c r="U69" s="9">
        <v>10</v>
      </c>
      <c r="W69" s="24">
        <v>1</v>
      </c>
      <c r="X69" s="24">
        <v>1</v>
      </c>
      <c r="Y69" s="24">
        <v>1</v>
      </c>
      <c r="Z69" s="24">
        <v>1</v>
      </c>
      <c r="AA69" s="24">
        <v>1</v>
      </c>
      <c r="AC69" s="71" t="str">
        <v>G5</v>
      </c>
      <c r="AD69" s="53">
        <v>0</v>
      </c>
      <c r="AE69" s="53">
        <v>8</v>
      </c>
      <c r="AF69" s="53">
        <v>3</v>
      </c>
      <c r="AG69" s="53">
        <v>3</v>
      </c>
      <c r="AH69" s="53">
        <v>0</v>
      </c>
      <c r="AI69" s="5"/>
      <c r="AJ69" s="71" t="str">
        <v>G5</v>
      </c>
      <c r="AK69" s="53">
        <v>0</v>
      </c>
      <c r="AL69" s="53">
        <v>8</v>
      </c>
      <c r="AM69" s="53">
        <v>3</v>
      </c>
      <c r="AN69" s="53">
        <v>3</v>
      </c>
      <c r="AO69" s="53">
        <v>0</v>
      </c>
    </row>
    <row r="70" spans="10:41" ht="16.5" customHeight="1" x14ac:dyDescent="0.3">
      <c r="J70" s="24">
        <v>66</v>
      </c>
      <c r="K70" s="15" t="s">
        <v>95</v>
      </c>
      <c r="L70" s="15" t="s">
        <v>36</v>
      </c>
      <c r="M70" s="15" t="s">
        <v>19</v>
      </c>
      <c r="N70" s="15" t="s">
        <v>36</v>
      </c>
      <c r="O70" s="15" t="s">
        <v>34</v>
      </c>
      <c r="Q70" s="9">
        <v>6</v>
      </c>
      <c r="R70" s="9">
        <v>10</v>
      </c>
      <c r="S70" s="9">
        <v>5</v>
      </c>
      <c r="T70" s="9">
        <v>10</v>
      </c>
      <c r="U70" s="9">
        <v>9</v>
      </c>
      <c r="W70" s="24">
        <v>1</v>
      </c>
      <c r="X70" s="24">
        <v>1</v>
      </c>
      <c r="Y70" s="24">
        <v>1</v>
      </c>
      <c r="Z70" s="24">
        <v>1</v>
      </c>
      <c r="AA70" s="24">
        <v>1</v>
      </c>
      <c r="AC70" s="71" t="str">
        <v>GA</v>
      </c>
      <c r="AD70" s="53">
        <v>0</v>
      </c>
      <c r="AE70" s="53">
        <v>8</v>
      </c>
      <c r="AF70" s="53">
        <v>3</v>
      </c>
      <c r="AG70" s="53">
        <v>3</v>
      </c>
      <c r="AH70" s="53">
        <v>0</v>
      </c>
      <c r="AI70" s="5"/>
      <c r="AJ70" s="71" t="str">
        <v>GA</v>
      </c>
      <c r="AK70" s="53">
        <v>0</v>
      </c>
      <c r="AL70" s="53">
        <v>8</v>
      </c>
      <c r="AM70" s="53">
        <v>3</v>
      </c>
      <c r="AN70" s="53">
        <v>3</v>
      </c>
      <c r="AO70" s="53">
        <v>0</v>
      </c>
    </row>
    <row r="71" spans="10:41" ht="16.5" customHeight="1" x14ac:dyDescent="0.3">
      <c r="J71" s="9">
        <v>67</v>
      </c>
      <c r="K71" s="15" t="s">
        <v>19</v>
      </c>
      <c r="L71" s="15" t="s">
        <v>96</v>
      </c>
      <c r="M71" s="15" t="s">
        <v>95</v>
      </c>
      <c r="N71" s="15" t="s">
        <v>36</v>
      </c>
      <c r="O71" s="15" t="s">
        <v>37</v>
      </c>
      <c r="Q71" s="9">
        <v>5</v>
      </c>
      <c r="R71" s="9">
        <v>15</v>
      </c>
      <c r="S71" s="9">
        <v>6</v>
      </c>
      <c r="T71" s="9">
        <v>10</v>
      </c>
      <c r="U71" s="9">
        <v>7</v>
      </c>
      <c r="W71" s="24">
        <v>1</v>
      </c>
      <c r="X71" s="24">
        <v>1</v>
      </c>
      <c r="Y71" s="24">
        <v>1</v>
      </c>
      <c r="Z71" s="24">
        <v>1</v>
      </c>
      <c r="AA71" s="24">
        <v>1</v>
      </c>
      <c r="AC71" s="71" t="str">
        <v>GK</v>
      </c>
      <c r="AD71" s="53">
        <v>0</v>
      </c>
      <c r="AE71" s="53">
        <v>8</v>
      </c>
      <c r="AF71" s="53">
        <v>3</v>
      </c>
      <c r="AG71" s="53">
        <v>3</v>
      </c>
      <c r="AH71" s="53">
        <v>0</v>
      </c>
      <c r="AI71" s="5"/>
      <c r="AJ71" s="71" t="str">
        <v>GK</v>
      </c>
      <c r="AK71" s="53">
        <v>0</v>
      </c>
      <c r="AL71" s="53">
        <v>8</v>
      </c>
      <c r="AM71" s="53">
        <v>3</v>
      </c>
      <c r="AN71" s="53">
        <v>3</v>
      </c>
      <c r="AO71" s="53">
        <v>0</v>
      </c>
    </row>
    <row r="72" spans="10:41" ht="16.5" customHeight="1" x14ac:dyDescent="0.3">
      <c r="J72" s="24">
        <v>68</v>
      </c>
      <c r="K72" s="15" t="s">
        <v>95</v>
      </c>
      <c r="L72" s="15" t="s">
        <v>81</v>
      </c>
      <c r="M72" s="15" t="s">
        <v>19</v>
      </c>
      <c r="N72" s="15" t="s">
        <v>36</v>
      </c>
      <c r="O72" s="15" t="s">
        <v>18</v>
      </c>
      <c r="Q72" s="9">
        <v>6</v>
      </c>
      <c r="R72" s="9">
        <v>17</v>
      </c>
      <c r="S72" s="9">
        <v>5</v>
      </c>
      <c r="T72" s="9">
        <v>10</v>
      </c>
      <c r="U72" s="9">
        <v>4</v>
      </c>
      <c r="W72" s="24">
        <v>1</v>
      </c>
      <c r="X72" s="24">
        <v>1</v>
      </c>
      <c r="Y72" s="24">
        <v>1</v>
      </c>
      <c r="Z72" s="24">
        <v>1</v>
      </c>
      <c r="AA72" s="24">
        <v>1</v>
      </c>
      <c r="AC72" s="71" t="str">
        <v>GQ</v>
      </c>
      <c r="AD72" s="53">
        <v>0</v>
      </c>
      <c r="AE72" s="53">
        <v>5</v>
      </c>
      <c r="AF72" s="53">
        <v>0</v>
      </c>
      <c r="AG72" s="53">
        <v>4</v>
      </c>
      <c r="AH72" s="53">
        <v>0</v>
      </c>
      <c r="AI72" s="5"/>
      <c r="AJ72" s="71" t="str">
        <v>GQ</v>
      </c>
      <c r="AK72" s="53">
        <v>0</v>
      </c>
      <c r="AL72" s="53">
        <v>5</v>
      </c>
      <c r="AM72" s="53">
        <v>0</v>
      </c>
      <c r="AN72" s="53">
        <v>4</v>
      </c>
      <c r="AO72" s="53">
        <v>0</v>
      </c>
    </row>
    <row r="73" spans="10:41" ht="16.5" customHeight="1" x14ac:dyDescent="0.3">
      <c r="J73" s="9">
        <v>69</v>
      </c>
      <c r="K73" s="15" t="s">
        <v>36</v>
      </c>
      <c r="L73" s="15" t="s">
        <v>20</v>
      </c>
      <c r="M73" s="15" t="s">
        <v>35</v>
      </c>
      <c r="N73" s="15" t="s">
        <v>70</v>
      </c>
      <c r="O73" s="15" t="s">
        <v>21</v>
      </c>
      <c r="Q73" s="9">
        <v>10</v>
      </c>
      <c r="R73" s="9">
        <v>1</v>
      </c>
      <c r="S73" s="9">
        <v>8</v>
      </c>
      <c r="T73" s="9">
        <v>19</v>
      </c>
      <c r="U73" s="9">
        <v>2</v>
      </c>
      <c r="W73" s="24">
        <v>1</v>
      </c>
      <c r="X73" s="24">
        <v>1</v>
      </c>
      <c r="Y73" s="24">
        <v>1</v>
      </c>
      <c r="Z73" s="24">
        <v>1</v>
      </c>
      <c r="AA73" s="24">
        <v>1</v>
      </c>
      <c r="AC73" s="71" t="str">
        <v>GJ</v>
      </c>
      <c r="AD73" s="53">
        <v>0</v>
      </c>
      <c r="AE73" s="53">
        <v>5</v>
      </c>
      <c r="AF73" s="53">
        <v>0</v>
      </c>
      <c r="AG73" s="53">
        <v>4</v>
      </c>
      <c r="AH73" s="53">
        <v>0</v>
      </c>
      <c r="AI73" s="5"/>
      <c r="AJ73" s="71" t="str">
        <v>GJ</v>
      </c>
      <c r="AK73" s="53">
        <v>0</v>
      </c>
      <c r="AL73" s="53">
        <v>5</v>
      </c>
      <c r="AM73" s="53">
        <v>0</v>
      </c>
      <c r="AN73" s="53">
        <v>4</v>
      </c>
      <c r="AO73" s="53">
        <v>0</v>
      </c>
    </row>
    <row r="74" spans="10:41" ht="16.5" customHeight="1" x14ac:dyDescent="0.3">
      <c r="J74" s="24">
        <v>70</v>
      </c>
      <c r="K74" s="15" t="s">
        <v>37</v>
      </c>
      <c r="L74" s="15" t="s">
        <v>36</v>
      </c>
      <c r="M74" s="15" t="s">
        <v>19</v>
      </c>
      <c r="N74" s="15" t="s">
        <v>21</v>
      </c>
      <c r="O74" s="15" t="s">
        <v>19</v>
      </c>
      <c r="Q74" s="9">
        <v>7</v>
      </c>
      <c r="R74" s="9">
        <v>10</v>
      </c>
      <c r="S74" s="9">
        <v>5</v>
      </c>
      <c r="T74" s="9">
        <v>2</v>
      </c>
      <c r="U74" s="9">
        <v>5</v>
      </c>
      <c r="W74" s="24">
        <v>1</v>
      </c>
      <c r="X74" s="24">
        <v>1</v>
      </c>
      <c r="Y74" s="24">
        <v>1</v>
      </c>
      <c r="Z74" s="24">
        <v>1</v>
      </c>
      <c r="AA74" s="24">
        <v>1</v>
      </c>
      <c r="AD74" s="59">
        <f>SUM(AD54:AD73)</f>
        <v>200</v>
      </c>
      <c r="AE74" s="59">
        <f>SUM(AE54:AE73)</f>
        <v>200</v>
      </c>
      <c r="AF74" s="59">
        <f>SUM(AF54:AF73)</f>
        <v>200</v>
      </c>
      <c r="AG74" s="59">
        <f>SUM(AG54:AG73)</f>
        <v>200</v>
      </c>
      <c r="AH74" s="59">
        <f>SUM(AH54:AH73)</f>
        <v>200</v>
      </c>
      <c r="AI74" s="5"/>
      <c r="AK74" s="59">
        <f>SUM(AK54:AK73)</f>
        <v>200</v>
      </c>
      <c r="AL74" s="59">
        <f>SUM(AL54:AL73)</f>
        <v>200</v>
      </c>
      <c r="AM74" s="59">
        <f>SUM(AM54:AM73)</f>
        <v>200</v>
      </c>
      <c r="AN74" s="59">
        <f>SUM(AN54:AN73)</f>
        <v>200</v>
      </c>
      <c r="AO74" s="59">
        <f>SUM(AO54:AO73)</f>
        <v>200</v>
      </c>
    </row>
    <row r="75" spans="10:41" ht="16.5" customHeight="1" x14ac:dyDescent="0.3">
      <c r="J75" s="9">
        <v>71</v>
      </c>
      <c r="K75" s="15" t="s">
        <v>95</v>
      </c>
      <c r="L75" s="15" t="s">
        <v>35</v>
      </c>
      <c r="M75" s="15" t="s">
        <v>18</v>
      </c>
      <c r="N75" s="15" t="s">
        <v>62</v>
      </c>
      <c r="O75" s="15" t="s">
        <v>37</v>
      </c>
      <c r="Q75" s="9">
        <v>6</v>
      </c>
      <c r="R75" s="9">
        <v>8</v>
      </c>
      <c r="S75" s="9">
        <v>4</v>
      </c>
      <c r="T75" s="9">
        <v>12</v>
      </c>
      <c r="U75" s="9">
        <v>7</v>
      </c>
      <c r="W75" s="24">
        <v>1</v>
      </c>
      <c r="X75" s="24">
        <v>1</v>
      </c>
      <c r="Y75" s="24">
        <v>1</v>
      </c>
      <c r="Z75" s="24">
        <v>1</v>
      </c>
      <c r="AA75" s="24">
        <v>1</v>
      </c>
      <c r="AH75" s="5"/>
      <c r="AI75" s="5"/>
      <c r="AO75" s="5"/>
    </row>
    <row r="76" spans="10:41" ht="16.5" customHeight="1" x14ac:dyDescent="0.3">
      <c r="J76" s="24">
        <v>72</v>
      </c>
      <c r="K76" s="15" t="s">
        <v>35</v>
      </c>
      <c r="L76" s="15" t="s">
        <v>35</v>
      </c>
      <c r="M76" s="15" t="s">
        <v>19</v>
      </c>
      <c r="N76" s="15" t="s">
        <v>21</v>
      </c>
      <c r="O76" s="15" t="s">
        <v>35</v>
      </c>
      <c r="Q76" s="9">
        <v>8</v>
      </c>
      <c r="R76" s="9">
        <v>8</v>
      </c>
      <c r="S76" s="9">
        <v>5</v>
      </c>
      <c r="T76" s="9">
        <v>2</v>
      </c>
      <c r="U76" s="9">
        <v>8</v>
      </c>
      <c r="W76" s="24">
        <v>1</v>
      </c>
      <c r="X76" s="24">
        <v>1</v>
      </c>
      <c r="Y76" s="24">
        <v>1</v>
      </c>
      <c r="Z76" s="24">
        <v>1</v>
      </c>
      <c r="AA76" s="24">
        <v>1</v>
      </c>
      <c r="AH76" s="5"/>
      <c r="AI76" s="5"/>
      <c r="AO76" s="5"/>
    </row>
    <row r="77" spans="10:41" ht="16.5" customHeight="1" x14ac:dyDescent="0.3">
      <c r="J77" s="9">
        <v>73</v>
      </c>
      <c r="K77" s="15" t="s">
        <v>95</v>
      </c>
      <c r="L77" s="15" t="s">
        <v>19</v>
      </c>
      <c r="M77" s="15" t="s">
        <v>37</v>
      </c>
      <c r="N77" s="15" t="s">
        <v>19</v>
      </c>
      <c r="O77" s="15" t="s">
        <v>37</v>
      </c>
      <c r="Q77" s="9">
        <v>6</v>
      </c>
      <c r="R77" s="9">
        <v>5</v>
      </c>
      <c r="S77" s="9">
        <v>7</v>
      </c>
      <c r="T77" s="9">
        <v>5</v>
      </c>
      <c r="U77" s="9">
        <v>7</v>
      </c>
      <c r="W77" s="24">
        <v>1</v>
      </c>
      <c r="X77" s="24">
        <v>1</v>
      </c>
      <c r="Y77" s="24">
        <v>1</v>
      </c>
      <c r="Z77" s="24">
        <v>1</v>
      </c>
      <c r="AA77" s="24">
        <v>1</v>
      </c>
      <c r="AH77" s="5"/>
      <c r="AI77" s="5"/>
      <c r="AO77" s="5"/>
    </row>
    <row r="78" spans="10:41" ht="16.5" customHeight="1" x14ac:dyDescent="0.3">
      <c r="J78" s="24">
        <v>74</v>
      </c>
      <c r="K78" s="15" t="s">
        <v>35</v>
      </c>
      <c r="L78" s="15" t="s">
        <v>19</v>
      </c>
      <c r="M78" s="15" t="s">
        <v>19</v>
      </c>
      <c r="N78" s="15" t="s">
        <v>20</v>
      </c>
      <c r="O78" s="15" t="s">
        <v>37</v>
      </c>
      <c r="Q78" s="9">
        <v>8</v>
      </c>
      <c r="R78" s="9">
        <v>5</v>
      </c>
      <c r="S78" s="9">
        <v>5</v>
      </c>
      <c r="T78" s="9">
        <v>1</v>
      </c>
      <c r="U78" s="9">
        <v>7</v>
      </c>
      <c r="W78" s="24">
        <v>1</v>
      </c>
      <c r="X78" s="24">
        <v>1</v>
      </c>
      <c r="Y78" s="24">
        <v>1</v>
      </c>
      <c r="Z78" s="24">
        <v>1</v>
      </c>
      <c r="AA78" s="24">
        <v>1</v>
      </c>
      <c r="AH78" s="5"/>
      <c r="AI78" s="5"/>
      <c r="AO78" s="5"/>
    </row>
    <row r="79" spans="10:41" ht="16.5" customHeight="1" x14ac:dyDescent="0.3">
      <c r="J79" s="9">
        <v>75</v>
      </c>
      <c r="K79" s="15" t="s">
        <v>95</v>
      </c>
      <c r="L79" s="15" t="s">
        <v>36</v>
      </c>
      <c r="M79" s="15" t="s">
        <v>95</v>
      </c>
      <c r="N79" s="15" t="s">
        <v>34</v>
      </c>
      <c r="O79" s="15" t="s">
        <v>18</v>
      </c>
      <c r="Q79" s="9">
        <v>6</v>
      </c>
      <c r="R79" s="9">
        <v>10</v>
      </c>
      <c r="S79" s="9">
        <v>6</v>
      </c>
      <c r="T79" s="9">
        <v>9</v>
      </c>
      <c r="U79" s="9">
        <v>4</v>
      </c>
      <c r="W79" s="24">
        <v>1</v>
      </c>
      <c r="X79" s="24">
        <v>1</v>
      </c>
      <c r="Y79" s="24">
        <v>1</v>
      </c>
      <c r="Z79" s="24">
        <v>1</v>
      </c>
      <c r="AA79" s="24">
        <v>1</v>
      </c>
      <c r="AH79" s="5"/>
      <c r="AI79" s="5"/>
      <c r="AO79" s="5"/>
    </row>
    <row r="80" spans="10:41" x14ac:dyDescent="0.3">
      <c r="J80" s="24">
        <v>76</v>
      </c>
      <c r="K80" s="15" t="s">
        <v>35</v>
      </c>
      <c r="L80" s="15" t="s">
        <v>18</v>
      </c>
      <c r="M80" s="15" t="s">
        <v>34</v>
      </c>
      <c r="N80" s="15" t="s">
        <v>34</v>
      </c>
      <c r="O80" s="15" t="s">
        <v>95</v>
      </c>
      <c r="Q80" s="9">
        <v>8</v>
      </c>
      <c r="R80" s="9">
        <v>4</v>
      </c>
      <c r="S80" s="9">
        <v>9</v>
      </c>
      <c r="T80" s="9">
        <v>9</v>
      </c>
      <c r="U80" s="9">
        <v>6</v>
      </c>
      <c r="W80" s="24">
        <v>1</v>
      </c>
      <c r="X80" s="24">
        <v>1</v>
      </c>
      <c r="Y80" s="24">
        <v>1</v>
      </c>
      <c r="Z80" s="24">
        <v>1</v>
      </c>
      <c r="AA80" s="24">
        <v>1</v>
      </c>
      <c r="AH80" s="5"/>
      <c r="AI80" s="5"/>
      <c r="AO80" s="5"/>
    </row>
    <row r="81" spans="10:41" x14ac:dyDescent="0.3">
      <c r="J81" s="9">
        <v>77</v>
      </c>
      <c r="K81" s="15" t="s">
        <v>95</v>
      </c>
      <c r="L81" s="15" t="s">
        <v>37</v>
      </c>
      <c r="M81" s="15" t="s">
        <v>95</v>
      </c>
      <c r="N81" s="15" t="s">
        <v>36</v>
      </c>
      <c r="O81" s="15" t="s">
        <v>34</v>
      </c>
      <c r="Q81" s="9">
        <v>6</v>
      </c>
      <c r="R81" s="9">
        <v>7</v>
      </c>
      <c r="S81" s="9">
        <v>6</v>
      </c>
      <c r="T81" s="9">
        <v>10</v>
      </c>
      <c r="U81" s="9">
        <v>9</v>
      </c>
      <c r="W81" s="24">
        <v>1</v>
      </c>
      <c r="X81" s="24">
        <v>1</v>
      </c>
      <c r="Y81" s="24">
        <v>1</v>
      </c>
      <c r="Z81" s="24">
        <v>1</v>
      </c>
      <c r="AA81" s="24">
        <v>1</v>
      </c>
      <c r="AH81" s="5"/>
      <c r="AI81" s="5"/>
      <c r="AO81" s="5"/>
    </row>
    <row r="82" spans="10:41" x14ac:dyDescent="0.3">
      <c r="J82" s="24">
        <v>78</v>
      </c>
      <c r="K82" s="15" t="s">
        <v>95</v>
      </c>
      <c r="L82" s="15" t="s">
        <v>34</v>
      </c>
      <c r="M82" s="15" t="s">
        <v>35</v>
      </c>
      <c r="N82" s="15" t="s">
        <v>22</v>
      </c>
      <c r="O82" s="15" t="s">
        <v>35</v>
      </c>
      <c r="Q82" s="9">
        <v>6</v>
      </c>
      <c r="R82" s="9">
        <v>9</v>
      </c>
      <c r="S82" s="9">
        <v>8</v>
      </c>
      <c r="T82" s="9">
        <v>3</v>
      </c>
      <c r="U82" s="9">
        <v>8</v>
      </c>
      <c r="W82" s="24">
        <v>1</v>
      </c>
      <c r="X82" s="24">
        <v>1</v>
      </c>
      <c r="Y82" s="24">
        <v>1</v>
      </c>
      <c r="Z82" s="24">
        <v>1</v>
      </c>
      <c r="AA82" s="24">
        <v>1</v>
      </c>
      <c r="AH82" s="5"/>
      <c r="AI82" s="5"/>
      <c r="AO82" s="5"/>
    </row>
    <row r="83" spans="10:41" x14ac:dyDescent="0.3">
      <c r="J83" s="9">
        <v>79</v>
      </c>
      <c r="K83" s="15" t="s">
        <v>95</v>
      </c>
      <c r="L83" s="15" t="s">
        <v>19</v>
      </c>
      <c r="M83" s="15" t="s">
        <v>95</v>
      </c>
      <c r="N83" s="15" t="s">
        <v>37</v>
      </c>
      <c r="O83" s="15" t="s">
        <v>35</v>
      </c>
      <c r="Q83" s="9">
        <v>6</v>
      </c>
      <c r="R83" s="9">
        <v>5</v>
      </c>
      <c r="S83" s="9">
        <v>6</v>
      </c>
      <c r="T83" s="9">
        <v>7</v>
      </c>
      <c r="U83" s="9">
        <v>8</v>
      </c>
      <c r="W83" s="24">
        <v>1</v>
      </c>
      <c r="X83" s="24">
        <v>1</v>
      </c>
      <c r="Y83" s="24">
        <v>1</v>
      </c>
      <c r="Z83" s="24">
        <v>1</v>
      </c>
      <c r="AA83" s="24">
        <v>1</v>
      </c>
      <c r="AH83" s="5"/>
      <c r="AI83" s="5"/>
      <c r="AO83" s="5"/>
    </row>
    <row r="84" spans="10:41" x14ac:dyDescent="0.3">
      <c r="J84" s="24">
        <v>80</v>
      </c>
      <c r="K84" s="15" t="s">
        <v>35</v>
      </c>
      <c r="L84" s="15" t="s">
        <v>65</v>
      </c>
      <c r="M84" s="15" t="s">
        <v>35</v>
      </c>
      <c r="N84" s="15" t="s">
        <v>19</v>
      </c>
      <c r="O84" s="15" t="s">
        <v>18</v>
      </c>
      <c r="Q84" s="9">
        <v>8</v>
      </c>
      <c r="R84" s="9">
        <v>16</v>
      </c>
      <c r="S84" s="9">
        <v>8</v>
      </c>
      <c r="T84" s="9">
        <v>5</v>
      </c>
      <c r="U84" s="9">
        <v>4</v>
      </c>
      <c r="W84" s="24">
        <v>1</v>
      </c>
      <c r="X84" s="24">
        <v>1</v>
      </c>
      <c r="Y84" s="24">
        <v>1</v>
      </c>
      <c r="Z84" s="24">
        <v>1</v>
      </c>
      <c r="AA84" s="24">
        <v>1</v>
      </c>
      <c r="AH84" s="5"/>
      <c r="AI84" s="5"/>
      <c r="AO84" s="5"/>
    </row>
    <row r="85" spans="10:41" x14ac:dyDescent="0.3">
      <c r="J85" s="9">
        <v>81</v>
      </c>
      <c r="K85" s="15" t="s">
        <v>37</v>
      </c>
      <c r="L85" s="15" t="s">
        <v>18</v>
      </c>
      <c r="M85" s="15" t="s">
        <v>18</v>
      </c>
      <c r="N85" s="15" t="s">
        <v>20</v>
      </c>
      <c r="O85" s="15" t="s">
        <v>36</v>
      </c>
      <c r="Q85" s="9">
        <v>7</v>
      </c>
      <c r="R85" s="9">
        <v>4</v>
      </c>
      <c r="S85" s="9">
        <v>4</v>
      </c>
      <c r="T85" s="9">
        <v>1</v>
      </c>
      <c r="U85" s="9">
        <v>10</v>
      </c>
      <c r="W85" s="24">
        <v>1</v>
      </c>
      <c r="X85" s="24">
        <v>1</v>
      </c>
      <c r="Y85" s="24">
        <v>1</v>
      </c>
      <c r="Z85" s="24">
        <v>1</v>
      </c>
      <c r="AA85" s="24">
        <v>1</v>
      </c>
      <c r="AH85" s="5"/>
      <c r="AI85" s="5"/>
      <c r="AO85" s="5"/>
    </row>
    <row r="86" spans="10:41" x14ac:dyDescent="0.3">
      <c r="J86" s="24">
        <v>82</v>
      </c>
      <c r="K86" s="15" t="s">
        <v>21</v>
      </c>
      <c r="L86" s="15" t="s">
        <v>95</v>
      </c>
      <c r="M86" s="15" t="s">
        <v>35</v>
      </c>
      <c r="N86" s="15" t="s">
        <v>36</v>
      </c>
      <c r="O86" s="15" t="s">
        <v>37</v>
      </c>
      <c r="Q86" s="9">
        <v>2</v>
      </c>
      <c r="R86" s="9">
        <v>6</v>
      </c>
      <c r="S86" s="9">
        <v>8</v>
      </c>
      <c r="T86" s="9">
        <v>10</v>
      </c>
      <c r="U86" s="9">
        <v>7</v>
      </c>
      <c r="W86" s="24">
        <v>1</v>
      </c>
      <c r="X86" s="24">
        <v>1</v>
      </c>
      <c r="Y86" s="24">
        <v>1</v>
      </c>
      <c r="Z86" s="24">
        <v>1</v>
      </c>
      <c r="AA86" s="24">
        <v>1</v>
      </c>
      <c r="AH86" s="5"/>
      <c r="AI86" s="5"/>
      <c r="AO86" s="5"/>
    </row>
    <row r="87" spans="10:41" x14ac:dyDescent="0.3">
      <c r="J87" s="9">
        <v>83</v>
      </c>
      <c r="K87" s="15" t="s">
        <v>18</v>
      </c>
      <c r="L87" s="15" t="s">
        <v>95</v>
      </c>
      <c r="M87" s="15" t="s">
        <v>19</v>
      </c>
      <c r="N87" s="15" t="s">
        <v>21</v>
      </c>
      <c r="O87" s="15" t="s">
        <v>21</v>
      </c>
      <c r="Q87" s="9">
        <v>4</v>
      </c>
      <c r="R87" s="9">
        <v>6</v>
      </c>
      <c r="S87" s="9">
        <v>5</v>
      </c>
      <c r="T87" s="9">
        <v>2</v>
      </c>
      <c r="U87" s="9">
        <v>2</v>
      </c>
      <c r="W87" s="24">
        <v>1</v>
      </c>
      <c r="X87" s="24">
        <v>1</v>
      </c>
      <c r="Y87" s="24">
        <v>1</v>
      </c>
      <c r="Z87" s="24">
        <v>1</v>
      </c>
      <c r="AA87" s="24">
        <v>1</v>
      </c>
      <c r="AH87" s="5"/>
      <c r="AI87" s="5"/>
      <c r="AO87" s="5"/>
    </row>
    <row r="88" spans="10:41" x14ac:dyDescent="0.3">
      <c r="J88" s="24">
        <v>84</v>
      </c>
      <c r="K88" s="15" t="s">
        <v>19</v>
      </c>
      <c r="L88" s="15" t="s">
        <v>95</v>
      </c>
      <c r="M88" s="15" t="s">
        <v>37</v>
      </c>
      <c r="N88" s="15" t="s">
        <v>18</v>
      </c>
      <c r="O88" s="15" t="s">
        <v>18</v>
      </c>
      <c r="Q88" s="9">
        <v>5</v>
      </c>
      <c r="R88" s="9">
        <v>6</v>
      </c>
      <c r="S88" s="9">
        <v>7</v>
      </c>
      <c r="T88" s="9">
        <v>4</v>
      </c>
      <c r="U88" s="9">
        <v>4</v>
      </c>
      <c r="W88" s="24">
        <v>1</v>
      </c>
      <c r="X88" s="24">
        <v>1</v>
      </c>
      <c r="Y88" s="24">
        <v>1</v>
      </c>
      <c r="Z88" s="24">
        <v>1</v>
      </c>
      <c r="AA88" s="24">
        <v>1</v>
      </c>
      <c r="AH88" s="5"/>
      <c r="AI88" s="5"/>
      <c r="AO88" s="5"/>
    </row>
    <row r="89" spans="10:41" x14ac:dyDescent="0.3">
      <c r="J89" s="9">
        <v>85</v>
      </c>
      <c r="K89" s="15" t="s">
        <v>19</v>
      </c>
      <c r="L89" s="15" t="s">
        <v>18</v>
      </c>
      <c r="M89" s="15" t="s">
        <v>19</v>
      </c>
      <c r="N89" s="15" t="s">
        <v>36</v>
      </c>
      <c r="O89" s="15" t="s">
        <v>18</v>
      </c>
      <c r="Q89" s="9">
        <v>5</v>
      </c>
      <c r="R89" s="9">
        <v>4</v>
      </c>
      <c r="S89" s="9">
        <v>5</v>
      </c>
      <c r="T89" s="9">
        <v>10</v>
      </c>
      <c r="U89" s="9">
        <v>4</v>
      </c>
      <c r="W89" s="24">
        <v>1</v>
      </c>
      <c r="X89" s="24">
        <v>1</v>
      </c>
      <c r="Y89" s="24">
        <v>1</v>
      </c>
      <c r="Z89" s="24">
        <v>1</v>
      </c>
      <c r="AA89" s="24">
        <v>1</v>
      </c>
      <c r="AH89" s="5"/>
      <c r="AI89" s="5"/>
      <c r="AO89" s="5"/>
    </row>
    <row r="90" spans="10:41" x14ac:dyDescent="0.3">
      <c r="J90" s="24">
        <v>86</v>
      </c>
      <c r="K90" s="15" t="s">
        <v>35</v>
      </c>
      <c r="L90" s="15" t="s">
        <v>65</v>
      </c>
      <c r="M90" s="15" t="s">
        <v>37</v>
      </c>
      <c r="N90" s="15" t="s">
        <v>34</v>
      </c>
      <c r="O90" s="15" t="s">
        <v>22</v>
      </c>
      <c r="Q90" s="9">
        <v>8</v>
      </c>
      <c r="R90" s="9">
        <v>16</v>
      </c>
      <c r="S90" s="9">
        <v>7</v>
      </c>
      <c r="T90" s="9">
        <v>9</v>
      </c>
      <c r="U90" s="9">
        <v>3</v>
      </c>
      <c r="W90" s="24">
        <v>1</v>
      </c>
      <c r="X90" s="24">
        <v>1</v>
      </c>
      <c r="Y90" s="24">
        <v>1</v>
      </c>
      <c r="Z90" s="24">
        <v>1</v>
      </c>
      <c r="AA90" s="24">
        <v>1</v>
      </c>
      <c r="AH90" s="5"/>
      <c r="AI90" s="5"/>
      <c r="AO90" s="5"/>
    </row>
    <row r="91" spans="10:41" x14ac:dyDescent="0.3">
      <c r="J91" s="9">
        <v>87</v>
      </c>
      <c r="K91" s="15" t="s">
        <v>37</v>
      </c>
      <c r="L91" s="15" t="s">
        <v>37</v>
      </c>
      <c r="M91" s="15" t="s">
        <v>19</v>
      </c>
      <c r="N91" s="15" t="s">
        <v>81</v>
      </c>
      <c r="O91" s="15" t="s">
        <v>37</v>
      </c>
      <c r="Q91" s="9">
        <v>7</v>
      </c>
      <c r="R91" s="9">
        <v>7</v>
      </c>
      <c r="S91" s="9">
        <v>5</v>
      </c>
      <c r="T91" s="9">
        <v>17</v>
      </c>
      <c r="U91" s="9">
        <v>7</v>
      </c>
      <c r="W91" s="24">
        <v>1</v>
      </c>
      <c r="X91" s="24">
        <v>1</v>
      </c>
      <c r="Y91" s="24">
        <v>1</v>
      </c>
      <c r="Z91" s="24">
        <v>1</v>
      </c>
      <c r="AA91" s="24">
        <v>1</v>
      </c>
      <c r="AH91" s="5"/>
      <c r="AI91" s="5"/>
      <c r="AO91" s="5"/>
    </row>
    <row r="92" spans="10:41" x14ac:dyDescent="0.3">
      <c r="J92" s="24">
        <v>88</v>
      </c>
      <c r="K92" s="15" t="s">
        <v>19</v>
      </c>
      <c r="L92" s="15" t="s">
        <v>35</v>
      </c>
      <c r="M92" s="15" t="s">
        <v>19</v>
      </c>
      <c r="N92" s="15" t="s">
        <v>21</v>
      </c>
      <c r="O92" s="15" t="s">
        <v>22</v>
      </c>
      <c r="Q92" s="9">
        <v>5</v>
      </c>
      <c r="R92" s="9">
        <v>8</v>
      </c>
      <c r="S92" s="9">
        <v>5</v>
      </c>
      <c r="T92" s="9">
        <v>2</v>
      </c>
      <c r="U92" s="9">
        <v>3</v>
      </c>
      <c r="W92" s="24">
        <v>1</v>
      </c>
      <c r="X92" s="24">
        <v>1</v>
      </c>
      <c r="Y92" s="24">
        <v>1</v>
      </c>
      <c r="Z92" s="24">
        <v>1</v>
      </c>
      <c r="AA92" s="24">
        <v>1</v>
      </c>
      <c r="AH92" s="5"/>
      <c r="AI92" s="5"/>
      <c r="AO92" s="5"/>
    </row>
    <row r="93" spans="10:41" x14ac:dyDescent="0.3">
      <c r="J93" s="9">
        <v>89</v>
      </c>
      <c r="K93" s="15" t="s">
        <v>34</v>
      </c>
      <c r="L93" s="15" t="s">
        <v>64</v>
      </c>
      <c r="M93" s="15" t="s">
        <v>19</v>
      </c>
      <c r="N93" s="15" t="s">
        <v>21</v>
      </c>
      <c r="O93" s="15" t="s">
        <v>21</v>
      </c>
      <c r="Q93" s="9">
        <v>9</v>
      </c>
      <c r="R93" s="9">
        <v>14</v>
      </c>
      <c r="S93" s="9">
        <v>5</v>
      </c>
      <c r="T93" s="9">
        <v>2</v>
      </c>
      <c r="U93" s="9">
        <v>2</v>
      </c>
      <c r="W93" s="24">
        <v>1</v>
      </c>
      <c r="X93" s="24">
        <v>1</v>
      </c>
      <c r="Y93" s="24">
        <v>1</v>
      </c>
      <c r="Z93" s="24">
        <v>1</v>
      </c>
      <c r="AA93" s="24">
        <v>1</v>
      </c>
      <c r="AH93" s="5"/>
      <c r="AI93" s="5"/>
      <c r="AO93" s="5"/>
    </row>
    <row r="94" spans="10:41" x14ac:dyDescent="0.3">
      <c r="J94" s="24">
        <v>90</v>
      </c>
      <c r="K94" s="15" t="s">
        <v>37</v>
      </c>
      <c r="L94" s="15" t="s">
        <v>95</v>
      </c>
      <c r="M94" s="15" t="s">
        <v>95</v>
      </c>
      <c r="N94" s="15" t="s">
        <v>37</v>
      </c>
      <c r="O94" s="15" t="s">
        <v>21</v>
      </c>
      <c r="Q94" s="9">
        <v>7</v>
      </c>
      <c r="R94" s="9">
        <v>6</v>
      </c>
      <c r="S94" s="9">
        <v>6</v>
      </c>
      <c r="T94" s="9">
        <v>7</v>
      </c>
      <c r="U94" s="9">
        <v>2</v>
      </c>
      <c r="W94" s="24">
        <v>1</v>
      </c>
      <c r="X94" s="24">
        <v>1</v>
      </c>
      <c r="Y94" s="24">
        <v>1</v>
      </c>
      <c r="Z94" s="24">
        <v>1</v>
      </c>
      <c r="AA94" s="24">
        <v>1</v>
      </c>
      <c r="AH94" s="5"/>
      <c r="AI94" s="5"/>
      <c r="AO94" s="5"/>
    </row>
    <row r="95" spans="10:41" x14ac:dyDescent="0.3">
      <c r="J95" s="9">
        <v>91</v>
      </c>
      <c r="K95" s="15" t="s">
        <v>35</v>
      </c>
      <c r="L95" s="15" t="s">
        <v>64</v>
      </c>
      <c r="M95" s="15" t="s">
        <v>37</v>
      </c>
      <c r="N95" s="15" t="s">
        <v>19</v>
      </c>
      <c r="O95" s="15" t="s">
        <v>36</v>
      </c>
      <c r="Q95" s="9">
        <v>8</v>
      </c>
      <c r="R95" s="9">
        <v>14</v>
      </c>
      <c r="S95" s="9">
        <v>7</v>
      </c>
      <c r="T95" s="9">
        <v>5</v>
      </c>
      <c r="U95" s="9">
        <v>10</v>
      </c>
      <c r="W95" s="24">
        <v>1</v>
      </c>
      <c r="X95" s="24">
        <v>1</v>
      </c>
      <c r="Y95" s="24">
        <v>1</v>
      </c>
      <c r="Z95" s="24">
        <v>1</v>
      </c>
      <c r="AA95" s="24">
        <v>1</v>
      </c>
      <c r="AH95" s="5"/>
      <c r="AI95" s="5"/>
      <c r="AO95" s="5"/>
    </row>
    <row r="96" spans="10:41" x14ac:dyDescent="0.3">
      <c r="J96" s="24">
        <v>92</v>
      </c>
      <c r="K96" s="15" t="s">
        <v>19</v>
      </c>
      <c r="L96" s="15" t="s">
        <v>68</v>
      </c>
      <c r="M96" s="15" t="s">
        <v>35</v>
      </c>
      <c r="N96" s="15" t="s">
        <v>34</v>
      </c>
      <c r="O96" s="15" t="s">
        <v>35</v>
      </c>
      <c r="Q96" s="9">
        <v>5</v>
      </c>
      <c r="R96" s="9">
        <v>18</v>
      </c>
      <c r="S96" s="9">
        <v>8</v>
      </c>
      <c r="T96" s="9">
        <v>9</v>
      </c>
      <c r="U96" s="9">
        <v>8</v>
      </c>
      <c r="W96" s="24">
        <v>1</v>
      </c>
      <c r="X96" s="24">
        <v>1</v>
      </c>
      <c r="Y96" s="24">
        <v>1</v>
      </c>
      <c r="Z96" s="24">
        <v>1</v>
      </c>
      <c r="AA96" s="24">
        <v>1</v>
      </c>
      <c r="AH96" s="5"/>
      <c r="AI96" s="5"/>
      <c r="AO96" s="5"/>
    </row>
    <row r="97" spans="10:41" x14ac:dyDescent="0.3">
      <c r="J97" s="9">
        <v>93</v>
      </c>
      <c r="K97" s="15" t="s">
        <v>37</v>
      </c>
      <c r="L97" s="15" t="s">
        <v>64</v>
      </c>
      <c r="M97" s="15" t="s">
        <v>37</v>
      </c>
      <c r="N97" s="15" t="s">
        <v>22</v>
      </c>
      <c r="O97" s="15" t="s">
        <v>22</v>
      </c>
      <c r="Q97" s="9">
        <v>7</v>
      </c>
      <c r="R97" s="9">
        <v>14</v>
      </c>
      <c r="S97" s="9">
        <v>7</v>
      </c>
      <c r="T97" s="9">
        <v>3</v>
      </c>
      <c r="U97" s="9">
        <v>3</v>
      </c>
      <c r="W97" s="24">
        <v>1</v>
      </c>
      <c r="X97" s="24">
        <v>1</v>
      </c>
      <c r="Y97" s="24">
        <v>1</v>
      </c>
      <c r="Z97" s="24">
        <v>1</v>
      </c>
      <c r="AA97" s="24">
        <v>1</v>
      </c>
      <c r="AH97" s="5"/>
      <c r="AI97" s="5"/>
      <c r="AO97" s="5"/>
    </row>
    <row r="98" spans="10:41" x14ac:dyDescent="0.3">
      <c r="J98" s="24">
        <v>94</v>
      </c>
      <c r="K98" s="15" t="s">
        <v>35</v>
      </c>
      <c r="L98" s="15" t="s">
        <v>35</v>
      </c>
      <c r="M98" s="15" t="s">
        <v>37</v>
      </c>
      <c r="N98" s="15" t="s">
        <v>37</v>
      </c>
      <c r="O98" s="15" t="s">
        <v>18</v>
      </c>
      <c r="Q98" s="9">
        <v>8</v>
      </c>
      <c r="R98" s="9">
        <v>8</v>
      </c>
      <c r="S98" s="9">
        <v>7</v>
      </c>
      <c r="T98" s="9">
        <v>7</v>
      </c>
      <c r="U98" s="9">
        <v>4</v>
      </c>
      <c r="W98" s="24">
        <v>1</v>
      </c>
      <c r="X98" s="24">
        <v>1</v>
      </c>
      <c r="Y98" s="24">
        <v>1</v>
      </c>
      <c r="Z98" s="24">
        <v>1</v>
      </c>
      <c r="AA98" s="24">
        <v>1</v>
      </c>
      <c r="AH98" s="5"/>
      <c r="AI98" s="5"/>
      <c r="AO98" s="5"/>
    </row>
    <row r="99" spans="10:41" x14ac:dyDescent="0.3">
      <c r="J99" s="9">
        <v>95</v>
      </c>
      <c r="K99" s="15" t="s">
        <v>19</v>
      </c>
      <c r="L99" s="15" t="s">
        <v>22</v>
      </c>
      <c r="M99" s="15" t="s">
        <v>95</v>
      </c>
      <c r="N99" s="15" t="s">
        <v>22</v>
      </c>
      <c r="O99" s="15" t="s">
        <v>95</v>
      </c>
      <c r="Q99" s="9">
        <v>5</v>
      </c>
      <c r="R99" s="9">
        <v>3</v>
      </c>
      <c r="S99" s="9">
        <v>6</v>
      </c>
      <c r="T99" s="9">
        <v>3</v>
      </c>
      <c r="U99" s="9">
        <v>6</v>
      </c>
      <c r="W99" s="24">
        <v>1</v>
      </c>
      <c r="X99" s="24">
        <v>1</v>
      </c>
      <c r="Y99" s="24">
        <v>1</v>
      </c>
      <c r="Z99" s="24">
        <v>1</v>
      </c>
      <c r="AA99" s="24">
        <v>1</v>
      </c>
      <c r="AH99" s="5"/>
      <c r="AI99" s="5"/>
      <c r="AO99" s="5"/>
    </row>
    <row r="100" spans="10:41" x14ac:dyDescent="0.3">
      <c r="J100" s="24">
        <v>96</v>
      </c>
      <c r="K100" s="15" t="s">
        <v>34</v>
      </c>
      <c r="L100" s="15" t="s">
        <v>95</v>
      </c>
      <c r="M100" s="15" t="s">
        <v>81</v>
      </c>
      <c r="N100" s="15" t="s">
        <v>22</v>
      </c>
      <c r="O100" s="15" t="s">
        <v>34</v>
      </c>
      <c r="Q100" s="9">
        <v>9</v>
      </c>
      <c r="R100" s="9">
        <v>6</v>
      </c>
      <c r="S100" s="9">
        <v>17</v>
      </c>
      <c r="T100" s="9">
        <v>3</v>
      </c>
      <c r="U100" s="9">
        <v>9</v>
      </c>
      <c r="W100" s="24">
        <v>1</v>
      </c>
      <c r="X100" s="24">
        <v>1</v>
      </c>
      <c r="Y100" s="24">
        <v>1</v>
      </c>
      <c r="Z100" s="24">
        <v>1</v>
      </c>
      <c r="AA100" s="24">
        <v>1</v>
      </c>
      <c r="AH100" s="5"/>
      <c r="AI100" s="5"/>
      <c r="AO100" s="5"/>
    </row>
    <row r="101" spans="10:41" x14ac:dyDescent="0.3">
      <c r="J101" s="9">
        <v>97</v>
      </c>
      <c r="K101" s="15" t="s">
        <v>19</v>
      </c>
      <c r="L101" s="15" t="s">
        <v>96</v>
      </c>
      <c r="M101" s="15" t="s">
        <v>19</v>
      </c>
      <c r="N101" s="15" t="s">
        <v>18</v>
      </c>
      <c r="O101" s="15" t="s">
        <v>21</v>
      </c>
      <c r="Q101" s="9">
        <v>5</v>
      </c>
      <c r="R101" s="9">
        <v>15</v>
      </c>
      <c r="S101" s="9">
        <v>5</v>
      </c>
      <c r="T101" s="9">
        <v>4</v>
      </c>
      <c r="U101" s="9">
        <v>2</v>
      </c>
      <c r="W101" s="24">
        <v>1</v>
      </c>
      <c r="X101" s="24">
        <v>1</v>
      </c>
      <c r="Y101" s="24">
        <v>1</v>
      </c>
      <c r="Z101" s="24">
        <v>1</v>
      </c>
      <c r="AA101" s="24">
        <v>1</v>
      </c>
      <c r="AH101" s="5"/>
      <c r="AI101" s="5"/>
      <c r="AO101" s="5"/>
    </row>
    <row r="102" spans="10:41" x14ac:dyDescent="0.3">
      <c r="J102" s="24">
        <v>98</v>
      </c>
      <c r="K102" s="15" t="s">
        <v>19</v>
      </c>
      <c r="L102" s="15" t="s">
        <v>18</v>
      </c>
      <c r="M102" s="15" t="s">
        <v>36</v>
      </c>
      <c r="N102" s="15" t="s">
        <v>36</v>
      </c>
      <c r="O102" s="15" t="s">
        <v>21</v>
      </c>
      <c r="Q102" s="9">
        <v>5</v>
      </c>
      <c r="R102" s="9">
        <v>4</v>
      </c>
      <c r="S102" s="9">
        <v>10</v>
      </c>
      <c r="T102" s="9">
        <v>10</v>
      </c>
      <c r="U102" s="9">
        <v>2</v>
      </c>
      <c r="W102" s="24">
        <v>1</v>
      </c>
      <c r="X102" s="24">
        <v>1</v>
      </c>
      <c r="Y102" s="24">
        <v>1</v>
      </c>
      <c r="Z102" s="24">
        <v>1</v>
      </c>
      <c r="AA102" s="24">
        <v>1</v>
      </c>
      <c r="AH102" s="5"/>
      <c r="AI102" s="5"/>
      <c r="AO102" s="5"/>
    </row>
    <row r="103" spans="10:41" x14ac:dyDescent="0.3">
      <c r="J103" s="9">
        <v>99</v>
      </c>
      <c r="K103" s="15" t="s">
        <v>19</v>
      </c>
      <c r="L103" s="15" t="s">
        <v>18</v>
      </c>
      <c r="M103" s="15" t="s">
        <v>35</v>
      </c>
      <c r="N103" s="15" t="s">
        <v>36</v>
      </c>
      <c r="O103" s="15" t="s">
        <v>18</v>
      </c>
      <c r="Q103" s="9">
        <v>5</v>
      </c>
      <c r="R103" s="9">
        <v>4</v>
      </c>
      <c r="S103" s="9">
        <v>8</v>
      </c>
      <c r="T103" s="9">
        <v>10</v>
      </c>
      <c r="U103" s="9">
        <v>4</v>
      </c>
      <c r="W103" s="24">
        <v>1</v>
      </c>
      <c r="X103" s="24">
        <v>1</v>
      </c>
      <c r="Y103" s="24">
        <v>1</v>
      </c>
      <c r="Z103" s="24">
        <v>1</v>
      </c>
      <c r="AA103" s="24">
        <v>1</v>
      </c>
      <c r="AH103" s="5"/>
      <c r="AI103" s="5"/>
      <c r="AO103" s="5"/>
    </row>
    <row r="104" spans="10:41" x14ac:dyDescent="0.3">
      <c r="J104" s="24">
        <v>100</v>
      </c>
      <c r="K104" s="15" t="s">
        <v>95</v>
      </c>
      <c r="L104" s="15" t="s">
        <v>19</v>
      </c>
      <c r="M104" s="15" t="s">
        <v>96</v>
      </c>
      <c r="N104" s="15" t="s">
        <v>37</v>
      </c>
      <c r="O104" s="15" t="s">
        <v>18</v>
      </c>
      <c r="Q104" s="9">
        <v>6</v>
      </c>
      <c r="R104" s="9">
        <v>5</v>
      </c>
      <c r="S104" s="9">
        <v>15</v>
      </c>
      <c r="T104" s="9">
        <v>7</v>
      </c>
      <c r="U104" s="9">
        <v>4</v>
      </c>
      <c r="W104" s="24">
        <v>1</v>
      </c>
      <c r="X104" s="24">
        <v>1</v>
      </c>
      <c r="Y104" s="24">
        <v>1</v>
      </c>
      <c r="Z104" s="24">
        <v>1</v>
      </c>
      <c r="AA104" s="24">
        <v>1</v>
      </c>
      <c r="AH104" s="5"/>
      <c r="AI104" s="5"/>
      <c r="AO104" s="5"/>
    </row>
    <row r="105" spans="10:41" x14ac:dyDescent="0.3">
      <c r="J105" s="24">
        <v>101</v>
      </c>
      <c r="K105" s="15" t="s">
        <v>35</v>
      </c>
      <c r="L105" s="15" t="s">
        <v>34</v>
      </c>
      <c r="M105" s="15" t="s">
        <v>19</v>
      </c>
      <c r="N105" s="15" t="s">
        <v>37</v>
      </c>
      <c r="O105" s="15" t="s">
        <v>22</v>
      </c>
      <c r="Q105" s="9">
        <v>8</v>
      </c>
      <c r="R105" s="9">
        <v>9</v>
      </c>
      <c r="S105" s="9">
        <v>5</v>
      </c>
      <c r="T105" s="9">
        <v>7</v>
      </c>
      <c r="U105" s="9">
        <v>3</v>
      </c>
      <c r="W105" s="24">
        <v>1</v>
      </c>
      <c r="X105" s="24">
        <v>1</v>
      </c>
      <c r="Y105" s="24">
        <v>1</v>
      </c>
      <c r="Z105" s="24">
        <v>1</v>
      </c>
      <c r="AA105" s="24">
        <v>1</v>
      </c>
      <c r="AH105" s="5"/>
      <c r="AI105" s="5"/>
      <c r="AO105" s="5"/>
    </row>
    <row r="106" spans="10:41" x14ac:dyDescent="0.3">
      <c r="J106" s="9">
        <v>102</v>
      </c>
      <c r="K106" s="15" t="s">
        <v>37</v>
      </c>
      <c r="L106" s="15" t="s">
        <v>96</v>
      </c>
      <c r="M106" s="15" t="s">
        <v>19</v>
      </c>
      <c r="N106" s="15" t="s">
        <v>95</v>
      </c>
      <c r="O106" s="15" t="s">
        <v>34</v>
      </c>
      <c r="Q106" s="9">
        <v>7</v>
      </c>
      <c r="R106" s="9">
        <v>15</v>
      </c>
      <c r="S106" s="9">
        <v>5</v>
      </c>
      <c r="T106" s="9">
        <v>6</v>
      </c>
      <c r="U106" s="9">
        <v>9</v>
      </c>
      <c r="W106" s="24">
        <v>1</v>
      </c>
      <c r="X106" s="24">
        <v>1</v>
      </c>
      <c r="Y106" s="24">
        <v>1</v>
      </c>
      <c r="Z106" s="24">
        <v>1</v>
      </c>
      <c r="AA106" s="24">
        <v>1</v>
      </c>
      <c r="AH106" s="5"/>
      <c r="AI106" s="5"/>
      <c r="AO106" s="5"/>
    </row>
    <row r="107" spans="10:41" x14ac:dyDescent="0.3">
      <c r="J107" s="24">
        <v>103</v>
      </c>
      <c r="K107" s="15" t="s">
        <v>95</v>
      </c>
      <c r="L107" s="15" t="s">
        <v>95</v>
      </c>
      <c r="M107" s="15" t="s">
        <v>36</v>
      </c>
      <c r="N107" s="15" t="s">
        <v>63</v>
      </c>
      <c r="O107" s="15" t="s">
        <v>35</v>
      </c>
      <c r="Q107" s="9">
        <v>6</v>
      </c>
      <c r="R107" s="9">
        <v>6</v>
      </c>
      <c r="S107" s="9">
        <v>10</v>
      </c>
      <c r="T107" s="9">
        <v>13</v>
      </c>
      <c r="U107" s="9">
        <v>8</v>
      </c>
      <c r="W107" s="24">
        <v>1</v>
      </c>
      <c r="X107" s="24">
        <v>1</v>
      </c>
      <c r="Y107" s="24">
        <v>1</v>
      </c>
      <c r="Z107" s="24">
        <v>1</v>
      </c>
      <c r="AA107" s="24">
        <v>1</v>
      </c>
      <c r="AH107" s="5"/>
      <c r="AI107" s="5"/>
      <c r="AO107" s="5"/>
    </row>
    <row r="108" spans="10:41" x14ac:dyDescent="0.3">
      <c r="J108" s="9">
        <v>104</v>
      </c>
      <c r="K108" s="15" t="s">
        <v>37</v>
      </c>
      <c r="L108" s="15" t="s">
        <v>19</v>
      </c>
      <c r="M108" s="15" t="s">
        <v>95</v>
      </c>
      <c r="N108" s="15" t="s">
        <v>18</v>
      </c>
      <c r="O108" s="15" t="s">
        <v>35</v>
      </c>
      <c r="Q108" s="9">
        <v>7</v>
      </c>
      <c r="R108" s="9">
        <v>5</v>
      </c>
      <c r="S108" s="9">
        <v>6</v>
      </c>
      <c r="T108" s="9">
        <v>4</v>
      </c>
      <c r="U108" s="9">
        <v>8</v>
      </c>
      <c r="W108" s="24">
        <v>1</v>
      </c>
      <c r="X108" s="24">
        <v>1</v>
      </c>
      <c r="Y108" s="24">
        <v>1</v>
      </c>
      <c r="Z108" s="24">
        <v>1</v>
      </c>
      <c r="AA108" s="24">
        <v>1</v>
      </c>
      <c r="AH108" s="5"/>
      <c r="AI108" s="5"/>
      <c r="AO108" s="5"/>
    </row>
    <row r="109" spans="10:41" x14ac:dyDescent="0.3">
      <c r="J109" s="24">
        <v>105</v>
      </c>
      <c r="K109" s="15" t="s">
        <v>95</v>
      </c>
      <c r="L109" s="15" t="s">
        <v>18</v>
      </c>
      <c r="M109" s="15" t="s">
        <v>18</v>
      </c>
      <c r="N109" s="15" t="s">
        <v>95</v>
      </c>
      <c r="O109" s="15" t="s">
        <v>19</v>
      </c>
      <c r="Q109" s="9">
        <v>6</v>
      </c>
      <c r="R109" s="9">
        <v>4</v>
      </c>
      <c r="S109" s="9">
        <v>4</v>
      </c>
      <c r="T109" s="9">
        <v>6</v>
      </c>
      <c r="U109" s="9">
        <v>5</v>
      </c>
      <c r="W109" s="24">
        <v>1</v>
      </c>
      <c r="X109" s="24">
        <v>1</v>
      </c>
      <c r="Y109" s="24">
        <v>1</v>
      </c>
      <c r="Z109" s="24">
        <v>1</v>
      </c>
      <c r="AA109" s="24">
        <v>1</v>
      </c>
      <c r="AH109" s="5"/>
      <c r="AI109" s="5"/>
      <c r="AO109" s="5"/>
    </row>
    <row r="110" spans="10:41" x14ac:dyDescent="0.3">
      <c r="J110" s="9">
        <v>106</v>
      </c>
      <c r="K110" s="15" t="s">
        <v>19</v>
      </c>
      <c r="L110" s="15" t="s">
        <v>63</v>
      </c>
      <c r="M110" s="15" t="s">
        <v>95</v>
      </c>
      <c r="N110" s="15" t="s">
        <v>95</v>
      </c>
      <c r="O110" s="15" t="s">
        <v>19</v>
      </c>
      <c r="Q110" s="9">
        <v>5</v>
      </c>
      <c r="R110" s="9">
        <v>13</v>
      </c>
      <c r="S110" s="9">
        <v>6</v>
      </c>
      <c r="T110" s="9">
        <v>6</v>
      </c>
      <c r="U110" s="9">
        <v>5</v>
      </c>
      <c r="W110" s="24">
        <v>1</v>
      </c>
      <c r="X110" s="24">
        <v>1</v>
      </c>
      <c r="Y110" s="24">
        <v>1</v>
      </c>
      <c r="Z110" s="24">
        <v>1</v>
      </c>
      <c r="AA110" s="24">
        <v>1</v>
      </c>
      <c r="AH110" s="5"/>
      <c r="AI110" s="5"/>
      <c r="AO110" s="5"/>
    </row>
    <row r="111" spans="10:41" x14ac:dyDescent="0.3">
      <c r="J111" s="24">
        <v>107</v>
      </c>
      <c r="K111" s="15" t="s">
        <v>37</v>
      </c>
      <c r="L111" s="15" t="s">
        <v>35</v>
      </c>
      <c r="M111" s="15" t="s">
        <v>35</v>
      </c>
      <c r="N111" s="15" t="s">
        <v>22</v>
      </c>
      <c r="O111" s="15" t="s">
        <v>95</v>
      </c>
      <c r="Q111" s="9">
        <v>7</v>
      </c>
      <c r="R111" s="9">
        <v>8</v>
      </c>
      <c r="S111" s="9">
        <v>8</v>
      </c>
      <c r="T111" s="9">
        <v>3</v>
      </c>
      <c r="U111" s="9">
        <v>6</v>
      </c>
      <c r="W111" s="24">
        <v>1</v>
      </c>
      <c r="X111" s="24">
        <v>1</v>
      </c>
      <c r="Y111" s="24">
        <v>1</v>
      </c>
      <c r="Z111" s="24">
        <v>1</v>
      </c>
      <c r="AA111" s="24">
        <v>1</v>
      </c>
      <c r="AH111" s="5"/>
      <c r="AI111" s="5"/>
      <c r="AO111" s="5"/>
    </row>
    <row r="112" spans="10:41" x14ac:dyDescent="0.3">
      <c r="J112" s="9">
        <v>108</v>
      </c>
      <c r="K112" s="15" t="s">
        <v>95</v>
      </c>
      <c r="L112" s="15" t="s">
        <v>37</v>
      </c>
      <c r="M112" s="15" t="s">
        <v>35</v>
      </c>
      <c r="N112" s="15" t="s">
        <v>18</v>
      </c>
      <c r="O112" s="15" t="s">
        <v>95</v>
      </c>
      <c r="Q112" s="9">
        <v>6</v>
      </c>
      <c r="R112" s="9">
        <v>7</v>
      </c>
      <c r="S112" s="9">
        <v>8</v>
      </c>
      <c r="T112" s="9">
        <v>4</v>
      </c>
      <c r="U112" s="9">
        <v>6</v>
      </c>
      <c r="W112" s="24">
        <v>1</v>
      </c>
      <c r="X112" s="24">
        <v>1</v>
      </c>
      <c r="Y112" s="24">
        <v>1</v>
      </c>
      <c r="Z112" s="24">
        <v>1</v>
      </c>
      <c r="AA112" s="24">
        <v>1</v>
      </c>
      <c r="AH112" s="5"/>
      <c r="AI112" s="5"/>
      <c r="AO112" s="5"/>
    </row>
    <row r="113" spans="10:41" x14ac:dyDescent="0.3">
      <c r="J113" s="24">
        <v>109</v>
      </c>
      <c r="K113" s="15" t="s">
        <v>95</v>
      </c>
      <c r="L113" s="15" t="s">
        <v>95</v>
      </c>
      <c r="M113" s="15" t="s">
        <v>37</v>
      </c>
      <c r="N113" s="15" t="s">
        <v>20</v>
      </c>
      <c r="O113" s="15" t="s">
        <v>18</v>
      </c>
      <c r="Q113" s="9">
        <v>6</v>
      </c>
      <c r="R113" s="9">
        <v>6</v>
      </c>
      <c r="S113" s="9">
        <v>7</v>
      </c>
      <c r="T113" s="9">
        <v>1</v>
      </c>
      <c r="U113" s="9">
        <v>4</v>
      </c>
      <c r="W113" s="24">
        <v>1</v>
      </c>
      <c r="X113" s="24">
        <v>1</v>
      </c>
      <c r="Y113" s="24">
        <v>1</v>
      </c>
      <c r="Z113" s="24">
        <v>1</v>
      </c>
      <c r="AA113" s="24">
        <v>1</v>
      </c>
      <c r="AH113" s="5"/>
      <c r="AI113" s="5"/>
      <c r="AO113" s="5"/>
    </row>
    <row r="114" spans="10:41" x14ac:dyDescent="0.3">
      <c r="J114" s="9">
        <v>110</v>
      </c>
      <c r="K114" s="15" t="s">
        <v>37</v>
      </c>
      <c r="L114" s="15" t="s">
        <v>22</v>
      </c>
      <c r="M114" s="15" t="s">
        <v>95</v>
      </c>
      <c r="N114" s="15" t="s">
        <v>19</v>
      </c>
      <c r="O114" s="15" t="s">
        <v>35</v>
      </c>
      <c r="Q114" s="9">
        <v>7</v>
      </c>
      <c r="R114" s="9">
        <v>3</v>
      </c>
      <c r="S114" s="9">
        <v>6</v>
      </c>
      <c r="T114" s="9">
        <v>5</v>
      </c>
      <c r="U114" s="9">
        <v>8</v>
      </c>
      <c r="W114" s="24">
        <v>1</v>
      </c>
      <c r="X114" s="24">
        <v>1</v>
      </c>
      <c r="Y114" s="24">
        <v>1</v>
      </c>
      <c r="Z114" s="24">
        <v>1</v>
      </c>
      <c r="AA114" s="24">
        <v>1</v>
      </c>
      <c r="AH114" s="5"/>
      <c r="AI114" s="5"/>
      <c r="AO114" s="5"/>
    </row>
    <row r="115" spans="10:41" x14ac:dyDescent="0.3">
      <c r="J115" s="24">
        <v>111</v>
      </c>
      <c r="K115" s="15" t="s">
        <v>19</v>
      </c>
      <c r="L115" s="15" t="s">
        <v>65</v>
      </c>
      <c r="M115" s="15" t="s">
        <v>37</v>
      </c>
      <c r="N115" s="15" t="s">
        <v>35</v>
      </c>
      <c r="O115" s="15" t="s">
        <v>35</v>
      </c>
      <c r="Q115" s="9">
        <v>5</v>
      </c>
      <c r="R115" s="9">
        <v>16</v>
      </c>
      <c r="S115" s="9">
        <v>7</v>
      </c>
      <c r="T115" s="9">
        <v>8</v>
      </c>
      <c r="U115" s="9">
        <v>8</v>
      </c>
      <c r="W115" s="24">
        <v>1</v>
      </c>
      <c r="X115" s="24">
        <v>1</v>
      </c>
      <c r="Y115" s="24">
        <v>1</v>
      </c>
      <c r="Z115" s="24">
        <v>1</v>
      </c>
      <c r="AA115" s="24">
        <v>1</v>
      </c>
      <c r="AH115" s="5"/>
      <c r="AI115" s="5"/>
      <c r="AO115" s="5"/>
    </row>
    <row r="116" spans="10:41" x14ac:dyDescent="0.3">
      <c r="J116" s="9">
        <v>112</v>
      </c>
      <c r="K116" s="15" t="s">
        <v>19</v>
      </c>
      <c r="L116" s="15" t="s">
        <v>81</v>
      </c>
      <c r="M116" s="15" t="s">
        <v>95</v>
      </c>
      <c r="N116" s="15" t="s">
        <v>18</v>
      </c>
      <c r="O116" s="15" t="s">
        <v>95</v>
      </c>
      <c r="Q116" s="9">
        <v>5</v>
      </c>
      <c r="R116" s="9">
        <v>17</v>
      </c>
      <c r="S116" s="9">
        <v>6</v>
      </c>
      <c r="T116" s="9">
        <v>4</v>
      </c>
      <c r="U116" s="9">
        <v>6</v>
      </c>
      <c r="W116" s="24">
        <v>1</v>
      </c>
      <c r="X116" s="24">
        <v>1</v>
      </c>
      <c r="Y116" s="24">
        <v>1</v>
      </c>
      <c r="Z116" s="24">
        <v>1</v>
      </c>
      <c r="AA116" s="24">
        <v>1</v>
      </c>
      <c r="AH116" s="5"/>
      <c r="AI116" s="5"/>
      <c r="AO116" s="5"/>
    </row>
    <row r="117" spans="10:41" x14ac:dyDescent="0.3">
      <c r="J117" s="24">
        <v>113</v>
      </c>
      <c r="K117" s="15" t="s">
        <v>18</v>
      </c>
      <c r="L117" s="15" t="s">
        <v>81</v>
      </c>
      <c r="M117" s="15" t="s">
        <v>35</v>
      </c>
      <c r="N117" s="15" t="s">
        <v>34</v>
      </c>
      <c r="O117" s="15" t="s">
        <v>21</v>
      </c>
      <c r="Q117" s="9">
        <v>4</v>
      </c>
      <c r="R117" s="9">
        <v>17</v>
      </c>
      <c r="S117" s="9">
        <v>8</v>
      </c>
      <c r="T117" s="9">
        <v>9</v>
      </c>
      <c r="U117" s="9">
        <v>2</v>
      </c>
      <c r="W117" s="24">
        <v>1</v>
      </c>
      <c r="X117" s="24">
        <v>1</v>
      </c>
      <c r="Y117" s="24">
        <v>1</v>
      </c>
      <c r="Z117" s="24">
        <v>1</v>
      </c>
      <c r="AA117" s="24">
        <v>1</v>
      </c>
      <c r="AH117" s="5"/>
      <c r="AI117" s="5"/>
      <c r="AO117" s="5"/>
    </row>
    <row r="118" spans="10:41" x14ac:dyDescent="0.3">
      <c r="J118" s="9">
        <v>114</v>
      </c>
      <c r="K118" s="15" t="s">
        <v>21</v>
      </c>
      <c r="L118" s="15" t="s">
        <v>35</v>
      </c>
      <c r="M118" s="15" t="s">
        <v>19</v>
      </c>
      <c r="N118" s="15" t="s">
        <v>61</v>
      </c>
      <c r="O118" s="15" t="s">
        <v>95</v>
      </c>
      <c r="Q118" s="9">
        <v>2</v>
      </c>
      <c r="R118" s="9">
        <v>8</v>
      </c>
      <c r="S118" s="9">
        <v>5</v>
      </c>
      <c r="T118" s="9">
        <v>11</v>
      </c>
      <c r="U118" s="9">
        <v>6</v>
      </c>
      <c r="W118" s="24">
        <v>1</v>
      </c>
      <c r="X118" s="24">
        <v>1</v>
      </c>
      <c r="Y118" s="24">
        <v>1</v>
      </c>
      <c r="Z118" s="24">
        <v>1</v>
      </c>
      <c r="AA118" s="24">
        <v>1</v>
      </c>
      <c r="AH118" s="5"/>
      <c r="AI118" s="5"/>
      <c r="AO118" s="5"/>
    </row>
    <row r="119" spans="10:41" x14ac:dyDescent="0.3">
      <c r="J119" s="24">
        <v>115</v>
      </c>
      <c r="K119" s="15" t="s">
        <v>37</v>
      </c>
      <c r="L119" s="15" t="s">
        <v>19</v>
      </c>
      <c r="M119" s="15" t="s">
        <v>37</v>
      </c>
      <c r="N119" s="15" t="s">
        <v>34</v>
      </c>
      <c r="O119" s="15" t="s">
        <v>95</v>
      </c>
      <c r="Q119" s="9">
        <v>7</v>
      </c>
      <c r="R119" s="9">
        <v>5</v>
      </c>
      <c r="S119" s="9">
        <v>7</v>
      </c>
      <c r="T119" s="9">
        <v>9</v>
      </c>
      <c r="U119" s="9">
        <v>6</v>
      </c>
      <c r="W119" s="24">
        <v>1</v>
      </c>
      <c r="X119" s="24">
        <v>1</v>
      </c>
      <c r="Y119" s="24">
        <v>1</v>
      </c>
      <c r="Z119" s="24">
        <v>1</v>
      </c>
      <c r="AA119" s="24">
        <v>1</v>
      </c>
      <c r="AH119" s="5"/>
      <c r="AI119" s="5"/>
      <c r="AO119" s="5"/>
    </row>
    <row r="120" spans="10:41" x14ac:dyDescent="0.3">
      <c r="J120" s="9">
        <v>116</v>
      </c>
      <c r="K120" s="15" t="s">
        <v>19</v>
      </c>
      <c r="L120" s="15" t="s">
        <v>68</v>
      </c>
      <c r="M120" s="15" t="s">
        <v>19</v>
      </c>
      <c r="N120" s="15" t="s">
        <v>35</v>
      </c>
      <c r="O120" s="15" t="s">
        <v>19</v>
      </c>
      <c r="Q120" s="9">
        <v>5</v>
      </c>
      <c r="R120" s="9">
        <v>18</v>
      </c>
      <c r="S120" s="9">
        <v>5</v>
      </c>
      <c r="T120" s="9">
        <v>8</v>
      </c>
      <c r="U120" s="9">
        <v>5</v>
      </c>
      <c r="W120" s="24">
        <v>1</v>
      </c>
      <c r="X120" s="24">
        <v>1</v>
      </c>
      <c r="Y120" s="24">
        <v>1</v>
      </c>
      <c r="Z120" s="24">
        <v>1</v>
      </c>
      <c r="AA120" s="24">
        <v>1</v>
      </c>
      <c r="AH120" s="5"/>
      <c r="AI120" s="5"/>
      <c r="AO120" s="5"/>
    </row>
    <row r="121" spans="10:41" x14ac:dyDescent="0.3">
      <c r="J121" s="24">
        <v>117</v>
      </c>
      <c r="K121" s="15" t="s">
        <v>37</v>
      </c>
      <c r="L121" s="15" t="s">
        <v>65</v>
      </c>
      <c r="M121" s="15" t="s">
        <v>95</v>
      </c>
      <c r="N121" s="15" t="s">
        <v>19</v>
      </c>
      <c r="O121" s="15" t="s">
        <v>19</v>
      </c>
      <c r="Q121" s="9">
        <v>7</v>
      </c>
      <c r="R121" s="9">
        <v>16</v>
      </c>
      <c r="S121" s="9">
        <v>6</v>
      </c>
      <c r="T121" s="9">
        <v>5</v>
      </c>
      <c r="U121" s="9">
        <v>5</v>
      </c>
      <c r="W121" s="24">
        <v>1</v>
      </c>
      <c r="X121" s="24">
        <v>1</v>
      </c>
      <c r="Y121" s="24">
        <v>1</v>
      </c>
      <c r="Z121" s="24">
        <v>1</v>
      </c>
      <c r="AA121" s="24">
        <v>1</v>
      </c>
      <c r="AH121" s="5"/>
      <c r="AI121" s="5"/>
      <c r="AO121" s="5"/>
    </row>
    <row r="122" spans="10:41" x14ac:dyDescent="0.3">
      <c r="J122" s="9">
        <v>118</v>
      </c>
      <c r="K122" s="15" t="s">
        <v>95</v>
      </c>
      <c r="L122" s="15" t="s">
        <v>65</v>
      </c>
      <c r="M122" s="15" t="s">
        <v>35</v>
      </c>
      <c r="N122" s="15" t="s">
        <v>22</v>
      </c>
      <c r="O122" s="15" t="s">
        <v>36</v>
      </c>
      <c r="Q122" s="9">
        <v>6</v>
      </c>
      <c r="R122" s="9">
        <v>16</v>
      </c>
      <c r="S122" s="9">
        <v>8</v>
      </c>
      <c r="T122" s="9">
        <v>3</v>
      </c>
      <c r="U122" s="9">
        <v>10</v>
      </c>
      <c r="W122" s="24">
        <v>1</v>
      </c>
      <c r="X122" s="24">
        <v>1</v>
      </c>
      <c r="Y122" s="24">
        <v>1</v>
      </c>
      <c r="Z122" s="24">
        <v>1</v>
      </c>
      <c r="AA122" s="24">
        <v>1</v>
      </c>
      <c r="AH122" s="5"/>
      <c r="AI122" s="5"/>
      <c r="AO122" s="5"/>
    </row>
    <row r="123" spans="10:41" x14ac:dyDescent="0.3">
      <c r="J123" s="24">
        <v>119</v>
      </c>
      <c r="K123" s="15" t="s">
        <v>35</v>
      </c>
      <c r="L123" s="15" t="s">
        <v>19</v>
      </c>
      <c r="M123" s="15" t="s">
        <v>18</v>
      </c>
      <c r="N123" s="15" t="s">
        <v>19</v>
      </c>
      <c r="O123" s="15" t="s">
        <v>36</v>
      </c>
      <c r="Q123" s="9">
        <v>8</v>
      </c>
      <c r="R123" s="9">
        <v>5</v>
      </c>
      <c r="S123" s="9">
        <v>4</v>
      </c>
      <c r="T123" s="9">
        <v>5</v>
      </c>
      <c r="U123" s="9">
        <v>10</v>
      </c>
      <c r="W123" s="24">
        <v>1</v>
      </c>
      <c r="X123" s="24">
        <v>1</v>
      </c>
      <c r="Y123" s="24">
        <v>1</v>
      </c>
      <c r="Z123" s="24">
        <v>1</v>
      </c>
      <c r="AA123" s="24">
        <v>1</v>
      </c>
      <c r="AH123" s="5"/>
      <c r="AI123" s="5"/>
      <c r="AO123" s="5"/>
    </row>
    <row r="124" spans="10:41" x14ac:dyDescent="0.3">
      <c r="J124" s="9">
        <v>120</v>
      </c>
      <c r="K124" s="15" t="s">
        <v>95</v>
      </c>
      <c r="L124" s="15" t="s">
        <v>63</v>
      </c>
      <c r="M124" s="15" t="s">
        <v>37</v>
      </c>
      <c r="N124" s="15" t="s">
        <v>34</v>
      </c>
      <c r="O124" s="15" t="s">
        <v>37</v>
      </c>
      <c r="Q124" s="9">
        <v>6</v>
      </c>
      <c r="R124" s="9">
        <v>13</v>
      </c>
      <c r="S124" s="9">
        <v>7</v>
      </c>
      <c r="T124" s="9">
        <v>9</v>
      </c>
      <c r="U124" s="9">
        <v>7</v>
      </c>
      <c r="W124" s="24">
        <v>1</v>
      </c>
      <c r="X124" s="24">
        <v>1</v>
      </c>
      <c r="Y124" s="24">
        <v>1</v>
      </c>
      <c r="Z124" s="24">
        <v>1</v>
      </c>
      <c r="AA124" s="24">
        <v>1</v>
      </c>
      <c r="AH124" s="5"/>
      <c r="AI124" s="5"/>
      <c r="AO124" s="5"/>
    </row>
    <row r="125" spans="10:41" x14ac:dyDescent="0.3">
      <c r="J125" s="24">
        <v>121</v>
      </c>
      <c r="K125" s="15" t="s">
        <v>35</v>
      </c>
      <c r="L125" s="15" t="s">
        <v>61</v>
      </c>
      <c r="M125" s="15" t="s">
        <v>19</v>
      </c>
      <c r="N125" s="15" t="s">
        <v>21</v>
      </c>
      <c r="O125" s="15" t="s">
        <v>19</v>
      </c>
      <c r="Q125" s="9">
        <v>8</v>
      </c>
      <c r="R125" s="9">
        <v>11</v>
      </c>
      <c r="S125" s="9">
        <v>5</v>
      </c>
      <c r="T125" s="9">
        <v>2</v>
      </c>
      <c r="U125" s="9">
        <v>5</v>
      </c>
      <c r="W125" s="24">
        <v>1</v>
      </c>
      <c r="X125" s="24">
        <v>1</v>
      </c>
      <c r="Y125" s="24">
        <v>1</v>
      </c>
      <c r="Z125" s="24">
        <v>1</v>
      </c>
      <c r="AA125" s="24">
        <v>1</v>
      </c>
      <c r="AH125" s="5"/>
      <c r="AI125" s="5"/>
      <c r="AO125" s="5"/>
    </row>
    <row r="126" spans="10:41" x14ac:dyDescent="0.3">
      <c r="J126" s="9">
        <v>122</v>
      </c>
      <c r="K126" s="15" t="s">
        <v>35</v>
      </c>
      <c r="L126" s="15" t="s">
        <v>35</v>
      </c>
      <c r="M126" s="15" t="s">
        <v>35</v>
      </c>
      <c r="N126" s="15" t="s">
        <v>68</v>
      </c>
      <c r="O126" s="15" t="s">
        <v>18</v>
      </c>
      <c r="Q126" s="9">
        <v>8</v>
      </c>
      <c r="R126" s="9">
        <v>8</v>
      </c>
      <c r="S126" s="9">
        <v>8</v>
      </c>
      <c r="T126" s="9">
        <v>18</v>
      </c>
      <c r="U126" s="9">
        <v>4</v>
      </c>
      <c r="W126" s="24">
        <v>1</v>
      </c>
      <c r="X126" s="24">
        <v>1</v>
      </c>
      <c r="Y126" s="24">
        <v>1</v>
      </c>
      <c r="Z126" s="24">
        <v>1</v>
      </c>
      <c r="AA126" s="24">
        <v>1</v>
      </c>
      <c r="AH126" s="5"/>
      <c r="AI126" s="5"/>
      <c r="AO126" s="5"/>
    </row>
    <row r="127" spans="10:41" x14ac:dyDescent="0.3">
      <c r="J127" s="24">
        <v>123</v>
      </c>
      <c r="K127" s="15" t="s">
        <v>19</v>
      </c>
      <c r="L127" s="15" t="s">
        <v>37</v>
      </c>
      <c r="M127" s="15" t="s">
        <v>37</v>
      </c>
      <c r="N127" s="15" t="s">
        <v>36</v>
      </c>
      <c r="O127" s="15" t="s">
        <v>34</v>
      </c>
      <c r="Q127" s="9">
        <v>5</v>
      </c>
      <c r="R127" s="9">
        <v>7</v>
      </c>
      <c r="S127" s="9">
        <v>7</v>
      </c>
      <c r="T127" s="9">
        <v>10</v>
      </c>
      <c r="U127" s="9">
        <v>9</v>
      </c>
      <c r="W127" s="24">
        <v>1</v>
      </c>
      <c r="X127" s="24">
        <v>1</v>
      </c>
      <c r="Y127" s="24">
        <v>1</v>
      </c>
      <c r="Z127" s="24">
        <v>1</v>
      </c>
      <c r="AA127" s="24">
        <v>1</v>
      </c>
      <c r="AH127" s="5"/>
      <c r="AI127" s="5"/>
      <c r="AO127" s="5"/>
    </row>
    <row r="128" spans="10:41" x14ac:dyDescent="0.3">
      <c r="J128" s="9">
        <v>124</v>
      </c>
      <c r="K128" s="15" t="s">
        <v>35</v>
      </c>
      <c r="L128" s="15" t="s">
        <v>20</v>
      </c>
      <c r="M128" s="15" t="s">
        <v>35</v>
      </c>
      <c r="N128" s="15" t="s">
        <v>19</v>
      </c>
      <c r="O128" s="15" t="s">
        <v>22</v>
      </c>
      <c r="Q128" s="9">
        <v>8</v>
      </c>
      <c r="R128" s="9">
        <v>1</v>
      </c>
      <c r="S128" s="9">
        <v>8</v>
      </c>
      <c r="T128" s="9">
        <v>5</v>
      </c>
      <c r="U128" s="9">
        <v>3</v>
      </c>
      <c r="W128" s="24">
        <v>1</v>
      </c>
      <c r="X128" s="24">
        <v>1</v>
      </c>
      <c r="Y128" s="24">
        <v>1</v>
      </c>
      <c r="Z128" s="24">
        <v>1</v>
      </c>
      <c r="AA128" s="24">
        <v>1</v>
      </c>
      <c r="AH128" s="5"/>
      <c r="AI128" s="5"/>
      <c r="AO128" s="5"/>
    </row>
    <row r="129" spans="10:41" x14ac:dyDescent="0.3">
      <c r="J129" s="24">
        <v>125</v>
      </c>
      <c r="K129" s="15" t="s">
        <v>95</v>
      </c>
      <c r="L129" s="15" t="s">
        <v>35</v>
      </c>
      <c r="M129" s="15" t="s">
        <v>37</v>
      </c>
      <c r="N129" s="15" t="s">
        <v>65</v>
      </c>
      <c r="O129" s="15" t="s">
        <v>18</v>
      </c>
      <c r="Q129" s="9">
        <v>6</v>
      </c>
      <c r="R129" s="9">
        <v>8</v>
      </c>
      <c r="S129" s="9">
        <v>7</v>
      </c>
      <c r="T129" s="9">
        <v>16</v>
      </c>
      <c r="U129" s="9">
        <v>4</v>
      </c>
      <c r="W129" s="24">
        <v>1</v>
      </c>
      <c r="X129" s="24">
        <v>1</v>
      </c>
      <c r="Y129" s="24">
        <v>1</v>
      </c>
      <c r="Z129" s="24">
        <v>1</v>
      </c>
      <c r="AA129" s="24">
        <v>1</v>
      </c>
      <c r="AH129" s="5"/>
      <c r="AI129" s="5"/>
      <c r="AO129" s="5"/>
    </row>
    <row r="130" spans="10:41" x14ac:dyDescent="0.3">
      <c r="J130" s="9">
        <v>126</v>
      </c>
      <c r="K130" s="15" t="s">
        <v>37</v>
      </c>
      <c r="L130" s="15" t="s">
        <v>95</v>
      </c>
      <c r="M130" s="15" t="s">
        <v>22</v>
      </c>
      <c r="N130" s="15" t="s">
        <v>68</v>
      </c>
      <c r="O130" s="15" t="s">
        <v>37</v>
      </c>
      <c r="Q130" s="9">
        <v>7</v>
      </c>
      <c r="R130" s="9">
        <v>6</v>
      </c>
      <c r="S130" s="9">
        <v>3</v>
      </c>
      <c r="T130" s="9">
        <v>18</v>
      </c>
      <c r="U130" s="9">
        <v>7</v>
      </c>
      <c r="W130" s="24">
        <v>1</v>
      </c>
      <c r="X130" s="24">
        <v>1</v>
      </c>
      <c r="Y130" s="24">
        <v>1</v>
      </c>
      <c r="Z130" s="24">
        <v>1</v>
      </c>
      <c r="AA130" s="24">
        <v>1</v>
      </c>
      <c r="AH130" s="5"/>
      <c r="AI130" s="5"/>
      <c r="AO130" s="5"/>
    </row>
    <row r="131" spans="10:41" x14ac:dyDescent="0.3">
      <c r="J131" s="24">
        <v>127</v>
      </c>
      <c r="K131" s="15" t="s">
        <v>19</v>
      </c>
      <c r="L131" s="15" t="s">
        <v>63</v>
      </c>
      <c r="M131" s="15" t="s">
        <v>35</v>
      </c>
      <c r="N131" s="15" t="s">
        <v>35</v>
      </c>
      <c r="O131" s="15" t="s">
        <v>18</v>
      </c>
      <c r="Q131" s="9">
        <v>5</v>
      </c>
      <c r="R131" s="9">
        <v>13</v>
      </c>
      <c r="S131" s="9">
        <v>8</v>
      </c>
      <c r="T131" s="9">
        <v>8</v>
      </c>
      <c r="U131" s="9">
        <v>4</v>
      </c>
      <c r="W131" s="24">
        <v>1</v>
      </c>
      <c r="X131" s="24">
        <v>1</v>
      </c>
      <c r="Y131" s="24">
        <v>1</v>
      </c>
      <c r="Z131" s="24">
        <v>1</v>
      </c>
      <c r="AA131" s="24">
        <v>1</v>
      </c>
      <c r="AH131" s="5"/>
      <c r="AI131" s="5"/>
      <c r="AO131" s="5"/>
    </row>
    <row r="132" spans="10:41" x14ac:dyDescent="0.3">
      <c r="J132" s="9">
        <v>128</v>
      </c>
      <c r="K132" s="15" t="s">
        <v>35</v>
      </c>
      <c r="L132" s="15" t="s">
        <v>95</v>
      </c>
      <c r="M132" s="15" t="s">
        <v>19</v>
      </c>
      <c r="N132" s="15" t="s">
        <v>22</v>
      </c>
      <c r="O132" s="15" t="s">
        <v>95</v>
      </c>
      <c r="Q132" s="9">
        <v>8</v>
      </c>
      <c r="R132" s="9">
        <v>6</v>
      </c>
      <c r="S132" s="9">
        <v>5</v>
      </c>
      <c r="T132" s="9">
        <v>3</v>
      </c>
      <c r="U132" s="9">
        <v>6</v>
      </c>
      <c r="W132" s="24">
        <v>1</v>
      </c>
      <c r="X132" s="24">
        <v>1</v>
      </c>
      <c r="Y132" s="24">
        <v>1</v>
      </c>
      <c r="Z132" s="24">
        <v>1</v>
      </c>
      <c r="AA132" s="24">
        <v>1</v>
      </c>
      <c r="AH132" s="5"/>
      <c r="AI132" s="5"/>
      <c r="AO132" s="5"/>
    </row>
    <row r="133" spans="10:41" x14ac:dyDescent="0.3">
      <c r="J133" s="24">
        <v>129</v>
      </c>
      <c r="K133" s="15" t="s">
        <v>37</v>
      </c>
      <c r="L133" s="15" t="s">
        <v>34</v>
      </c>
      <c r="M133" s="15" t="s">
        <v>19</v>
      </c>
      <c r="N133" s="15" t="s">
        <v>36</v>
      </c>
      <c r="O133" s="15" t="s">
        <v>36</v>
      </c>
      <c r="Q133" s="9">
        <v>7</v>
      </c>
      <c r="R133" s="9">
        <v>9</v>
      </c>
      <c r="S133" s="9">
        <v>5</v>
      </c>
      <c r="T133" s="9">
        <v>10</v>
      </c>
      <c r="U133" s="9">
        <v>10</v>
      </c>
      <c r="W133" s="24">
        <v>1</v>
      </c>
      <c r="X133" s="24">
        <v>1</v>
      </c>
      <c r="Y133" s="24">
        <v>1</v>
      </c>
      <c r="Z133" s="24">
        <v>1</v>
      </c>
      <c r="AA133" s="24">
        <v>1</v>
      </c>
      <c r="AH133" s="5"/>
      <c r="AI133" s="5"/>
      <c r="AO133" s="5"/>
    </row>
    <row r="134" spans="10:41" x14ac:dyDescent="0.3">
      <c r="J134" s="9">
        <v>130</v>
      </c>
      <c r="K134" s="15" t="s">
        <v>95</v>
      </c>
      <c r="L134" s="15" t="s">
        <v>96</v>
      </c>
      <c r="M134" s="15" t="s">
        <v>35</v>
      </c>
      <c r="N134" s="15" t="s">
        <v>20</v>
      </c>
      <c r="O134" s="15" t="s">
        <v>37</v>
      </c>
      <c r="Q134" s="9">
        <v>6</v>
      </c>
      <c r="R134" s="9">
        <v>15</v>
      </c>
      <c r="S134" s="9">
        <v>8</v>
      </c>
      <c r="T134" s="9">
        <v>1</v>
      </c>
      <c r="U134" s="9">
        <v>7</v>
      </c>
      <c r="W134" s="24">
        <v>1</v>
      </c>
      <c r="X134" s="24">
        <v>1</v>
      </c>
      <c r="Y134" s="24">
        <v>1</v>
      </c>
      <c r="Z134" s="24">
        <v>1</v>
      </c>
      <c r="AA134" s="24">
        <v>1</v>
      </c>
      <c r="AH134" s="5"/>
      <c r="AI134" s="5"/>
      <c r="AO134" s="5"/>
    </row>
    <row r="135" spans="10:41" x14ac:dyDescent="0.3">
      <c r="J135" s="24">
        <v>131</v>
      </c>
      <c r="K135" s="15" t="s">
        <v>19</v>
      </c>
      <c r="L135" s="15" t="s">
        <v>62</v>
      </c>
      <c r="M135" s="15" t="s">
        <v>81</v>
      </c>
      <c r="N135" s="15" t="s">
        <v>21</v>
      </c>
      <c r="O135" s="15" t="s">
        <v>95</v>
      </c>
      <c r="Q135" s="9">
        <v>5</v>
      </c>
      <c r="R135" s="9">
        <v>12</v>
      </c>
      <c r="S135" s="9">
        <v>17</v>
      </c>
      <c r="T135" s="9">
        <v>2</v>
      </c>
      <c r="U135" s="9">
        <v>6</v>
      </c>
      <c r="W135" s="24">
        <v>1</v>
      </c>
      <c r="X135" s="24">
        <v>1</v>
      </c>
      <c r="Y135" s="24">
        <v>1</v>
      </c>
      <c r="Z135" s="24">
        <v>1</v>
      </c>
      <c r="AA135" s="24">
        <v>1</v>
      </c>
      <c r="AH135" s="5"/>
      <c r="AI135" s="5"/>
      <c r="AO135" s="5"/>
    </row>
    <row r="136" spans="10:41" x14ac:dyDescent="0.3">
      <c r="J136" s="9">
        <v>132</v>
      </c>
      <c r="K136" s="15" t="s">
        <v>35</v>
      </c>
      <c r="L136" s="15" t="s">
        <v>20</v>
      </c>
      <c r="M136" s="15" t="s">
        <v>95</v>
      </c>
      <c r="N136" s="15" t="s">
        <v>37</v>
      </c>
      <c r="O136" s="15" t="s">
        <v>18</v>
      </c>
      <c r="Q136" s="9">
        <v>8</v>
      </c>
      <c r="R136" s="9">
        <v>1</v>
      </c>
      <c r="S136" s="9">
        <v>6</v>
      </c>
      <c r="T136" s="9">
        <v>7</v>
      </c>
      <c r="U136" s="9">
        <v>4</v>
      </c>
      <c r="W136" s="24">
        <v>1</v>
      </c>
      <c r="X136" s="24">
        <v>1</v>
      </c>
      <c r="Y136" s="24">
        <v>1</v>
      </c>
      <c r="Z136" s="24">
        <v>1</v>
      </c>
      <c r="AA136" s="24">
        <v>1</v>
      </c>
      <c r="AH136" s="5"/>
      <c r="AI136" s="5"/>
      <c r="AO136" s="5"/>
    </row>
    <row r="137" spans="10:41" x14ac:dyDescent="0.3">
      <c r="J137" s="24">
        <v>133</v>
      </c>
      <c r="K137" s="15" t="s">
        <v>35</v>
      </c>
      <c r="L137" s="15" t="s">
        <v>95</v>
      </c>
      <c r="M137" s="15" t="s">
        <v>19</v>
      </c>
      <c r="N137" s="15" t="s">
        <v>37</v>
      </c>
      <c r="O137" s="15" t="s">
        <v>95</v>
      </c>
      <c r="Q137" s="9">
        <v>8</v>
      </c>
      <c r="R137" s="9">
        <v>6</v>
      </c>
      <c r="S137" s="9">
        <v>5</v>
      </c>
      <c r="T137" s="9">
        <v>7</v>
      </c>
      <c r="U137" s="9">
        <v>6</v>
      </c>
      <c r="W137" s="24">
        <v>1</v>
      </c>
      <c r="X137" s="24">
        <v>1</v>
      </c>
      <c r="Y137" s="24">
        <v>1</v>
      </c>
      <c r="Z137" s="24">
        <v>1</v>
      </c>
      <c r="AA137" s="24">
        <v>1</v>
      </c>
      <c r="AH137" s="5"/>
      <c r="AI137" s="5"/>
      <c r="AO137" s="5"/>
    </row>
    <row r="138" spans="10:41" x14ac:dyDescent="0.3">
      <c r="J138" s="9">
        <v>134</v>
      </c>
      <c r="K138" s="15" t="s">
        <v>19</v>
      </c>
      <c r="L138" s="15" t="s">
        <v>95</v>
      </c>
      <c r="M138" s="15" t="s">
        <v>34</v>
      </c>
      <c r="N138" s="15" t="s">
        <v>65</v>
      </c>
      <c r="O138" s="15" t="s">
        <v>36</v>
      </c>
      <c r="Q138" s="9">
        <v>5</v>
      </c>
      <c r="R138" s="9">
        <v>6</v>
      </c>
      <c r="S138" s="9">
        <v>9</v>
      </c>
      <c r="T138" s="9">
        <v>16</v>
      </c>
      <c r="U138" s="9">
        <v>10</v>
      </c>
      <c r="W138" s="24">
        <v>1</v>
      </c>
      <c r="X138" s="24">
        <v>1</v>
      </c>
      <c r="Y138" s="24">
        <v>1</v>
      </c>
      <c r="Z138" s="24">
        <v>1</v>
      </c>
      <c r="AA138" s="24">
        <v>1</v>
      </c>
      <c r="AH138" s="5"/>
      <c r="AI138" s="5"/>
      <c r="AO138" s="5"/>
    </row>
    <row r="139" spans="10:41" x14ac:dyDescent="0.3">
      <c r="J139" s="24">
        <v>135</v>
      </c>
      <c r="K139" s="15" t="s">
        <v>36</v>
      </c>
      <c r="L139" s="15" t="s">
        <v>61</v>
      </c>
      <c r="M139" s="15" t="s">
        <v>95</v>
      </c>
      <c r="N139" s="15" t="s">
        <v>22</v>
      </c>
      <c r="O139" s="15" t="s">
        <v>34</v>
      </c>
      <c r="Q139" s="9">
        <v>10</v>
      </c>
      <c r="R139" s="9">
        <v>11</v>
      </c>
      <c r="S139" s="9">
        <v>6</v>
      </c>
      <c r="T139" s="9">
        <v>3</v>
      </c>
      <c r="U139" s="9">
        <v>9</v>
      </c>
      <c r="W139" s="24">
        <v>1</v>
      </c>
      <c r="X139" s="24">
        <v>1</v>
      </c>
      <c r="Y139" s="24">
        <v>1</v>
      </c>
      <c r="Z139" s="24">
        <v>1</v>
      </c>
      <c r="AA139" s="24">
        <v>1</v>
      </c>
      <c r="AH139" s="5"/>
      <c r="AI139" s="5"/>
      <c r="AO139" s="5"/>
    </row>
    <row r="140" spans="10:41" x14ac:dyDescent="0.3">
      <c r="J140" s="9">
        <v>136</v>
      </c>
      <c r="K140" s="15" t="s">
        <v>19</v>
      </c>
      <c r="L140" s="15" t="s">
        <v>18</v>
      </c>
      <c r="M140" s="15" t="s">
        <v>95</v>
      </c>
      <c r="N140" s="15" t="s">
        <v>18</v>
      </c>
      <c r="O140" s="15" t="s">
        <v>18</v>
      </c>
      <c r="Q140" s="9">
        <v>5</v>
      </c>
      <c r="R140" s="9">
        <v>4</v>
      </c>
      <c r="S140" s="9">
        <v>6</v>
      </c>
      <c r="T140" s="9">
        <v>4</v>
      </c>
      <c r="U140" s="9">
        <v>4</v>
      </c>
      <c r="W140" s="24">
        <v>1</v>
      </c>
      <c r="X140" s="24">
        <v>1</v>
      </c>
      <c r="Y140" s="24">
        <v>1</v>
      </c>
      <c r="Z140" s="24">
        <v>1</v>
      </c>
      <c r="AA140" s="24">
        <v>1</v>
      </c>
      <c r="AH140" s="5"/>
      <c r="AI140" s="5"/>
      <c r="AO140" s="5"/>
    </row>
    <row r="141" spans="10:41" x14ac:dyDescent="0.3">
      <c r="J141" s="24">
        <v>137</v>
      </c>
      <c r="K141" s="15" t="s">
        <v>35</v>
      </c>
      <c r="L141" s="15" t="s">
        <v>35</v>
      </c>
      <c r="M141" s="15" t="s">
        <v>35</v>
      </c>
      <c r="N141" s="15" t="s">
        <v>34</v>
      </c>
      <c r="O141" s="15" t="s">
        <v>95</v>
      </c>
      <c r="Q141" s="9">
        <v>8</v>
      </c>
      <c r="R141" s="9">
        <v>8</v>
      </c>
      <c r="S141" s="9">
        <v>8</v>
      </c>
      <c r="T141" s="9">
        <v>9</v>
      </c>
      <c r="U141" s="9">
        <v>6</v>
      </c>
      <c r="W141" s="24">
        <v>1</v>
      </c>
      <c r="X141" s="24">
        <v>1</v>
      </c>
      <c r="Y141" s="24">
        <v>1</v>
      </c>
      <c r="Z141" s="24">
        <v>1</v>
      </c>
      <c r="AA141" s="24">
        <v>1</v>
      </c>
      <c r="AH141" s="5"/>
      <c r="AI141" s="5"/>
      <c r="AO141" s="5"/>
    </row>
    <row r="142" spans="10:41" x14ac:dyDescent="0.3">
      <c r="J142" s="9">
        <v>138</v>
      </c>
      <c r="K142" s="15" t="s">
        <v>18</v>
      </c>
      <c r="L142" s="15" t="s">
        <v>35</v>
      </c>
      <c r="M142" s="15" t="s">
        <v>95</v>
      </c>
      <c r="N142" s="15" t="s">
        <v>95</v>
      </c>
      <c r="O142" s="15" t="s">
        <v>21</v>
      </c>
      <c r="Q142" s="9">
        <v>4</v>
      </c>
      <c r="R142" s="9">
        <v>8</v>
      </c>
      <c r="S142" s="9">
        <v>6</v>
      </c>
      <c r="T142" s="9">
        <v>6</v>
      </c>
      <c r="U142" s="9">
        <v>2</v>
      </c>
      <c r="W142" s="24">
        <v>1</v>
      </c>
      <c r="X142" s="24">
        <v>1</v>
      </c>
      <c r="Y142" s="24">
        <v>1</v>
      </c>
      <c r="Z142" s="24">
        <v>1</v>
      </c>
      <c r="AA142" s="24">
        <v>1</v>
      </c>
      <c r="AH142" s="5"/>
      <c r="AI142" s="5"/>
      <c r="AO142" s="5"/>
    </row>
    <row r="143" spans="10:41" x14ac:dyDescent="0.3">
      <c r="J143" s="24">
        <v>139</v>
      </c>
      <c r="K143" s="15" t="s">
        <v>22</v>
      </c>
      <c r="L143" s="15" t="s">
        <v>36</v>
      </c>
      <c r="M143" s="15" t="s">
        <v>19</v>
      </c>
      <c r="N143" s="15" t="s">
        <v>20</v>
      </c>
      <c r="O143" s="15" t="s">
        <v>37</v>
      </c>
      <c r="Q143" s="9">
        <v>3</v>
      </c>
      <c r="R143" s="9">
        <v>10</v>
      </c>
      <c r="S143" s="9">
        <v>5</v>
      </c>
      <c r="T143" s="9">
        <v>1</v>
      </c>
      <c r="U143" s="9">
        <v>7</v>
      </c>
      <c r="W143" s="24">
        <v>1</v>
      </c>
      <c r="X143" s="24">
        <v>1</v>
      </c>
      <c r="Y143" s="24">
        <v>1</v>
      </c>
      <c r="Z143" s="24">
        <v>1</v>
      </c>
      <c r="AA143" s="24">
        <v>1</v>
      </c>
      <c r="AH143" s="5"/>
      <c r="AI143" s="5"/>
      <c r="AO143" s="5"/>
    </row>
    <row r="144" spans="10:41" x14ac:dyDescent="0.3">
      <c r="J144" s="9">
        <v>140</v>
      </c>
      <c r="K144" s="15" t="s">
        <v>19</v>
      </c>
      <c r="L144" s="15" t="s">
        <v>36</v>
      </c>
      <c r="M144" s="15" t="s">
        <v>35</v>
      </c>
      <c r="N144" s="15" t="s">
        <v>34</v>
      </c>
      <c r="O144" s="15" t="s">
        <v>95</v>
      </c>
      <c r="Q144" s="9">
        <v>5</v>
      </c>
      <c r="R144" s="9">
        <v>10</v>
      </c>
      <c r="S144" s="9">
        <v>8</v>
      </c>
      <c r="T144" s="9">
        <v>9</v>
      </c>
      <c r="U144" s="9">
        <v>6</v>
      </c>
      <c r="W144" s="24">
        <v>1</v>
      </c>
      <c r="X144" s="24">
        <v>1</v>
      </c>
      <c r="Y144" s="24">
        <v>1</v>
      </c>
      <c r="Z144" s="24">
        <v>1</v>
      </c>
      <c r="AA144" s="24">
        <v>1</v>
      </c>
      <c r="AH144" s="5"/>
      <c r="AI144" s="5"/>
      <c r="AO144" s="5"/>
    </row>
    <row r="145" spans="10:41" x14ac:dyDescent="0.3">
      <c r="J145" s="24">
        <v>141</v>
      </c>
      <c r="K145" s="15" t="s">
        <v>35</v>
      </c>
      <c r="L145" s="15" t="s">
        <v>21</v>
      </c>
      <c r="M145" s="15" t="s">
        <v>95</v>
      </c>
      <c r="N145" s="15" t="s">
        <v>22</v>
      </c>
      <c r="O145" s="15" t="s">
        <v>22</v>
      </c>
      <c r="Q145" s="9">
        <v>8</v>
      </c>
      <c r="R145" s="9">
        <v>2</v>
      </c>
      <c r="S145" s="9">
        <v>6</v>
      </c>
      <c r="T145" s="9">
        <v>3</v>
      </c>
      <c r="U145" s="9">
        <v>3</v>
      </c>
      <c r="W145" s="24">
        <v>1</v>
      </c>
      <c r="X145" s="24">
        <v>1</v>
      </c>
      <c r="Y145" s="24">
        <v>1</v>
      </c>
      <c r="Z145" s="24">
        <v>1</v>
      </c>
      <c r="AA145" s="24">
        <v>1</v>
      </c>
      <c r="AH145" s="5"/>
      <c r="AI145" s="5"/>
      <c r="AO145" s="5"/>
    </row>
    <row r="146" spans="10:41" x14ac:dyDescent="0.3">
      <c r="J146" s="9">
        <v>142</v>
      </c>
      <c r="K146" s="15" t="s">
        <v>95</v>
      </c>
      <c r="L146" s="15" t="s">
        <v>21</v>
      </c>
      <c r="M146" s="15" t="s">
        <v>95</v>
      </c>
      <c r="N146" s="15" t="s">
        <v>95</v>
      </c>
      <c r="O146" s="15" t="s">
        <v>22</v>
      </c>
      <c r="Q146" s="9">
        <v>6</v>
      </c>
      <c r="R146" s="9">
        <v>2</v>
      </c>
      <c r="S146" s="9">
        <v>6</v>
      </c>
      <c r="T146" s="9">
        <v>6</v>
      </c>
      <c r="U146" s="9">
        <v>3</v>
      </c>
      <c r="W146" s="24">
        <v>1</v>
      </c>
      <c r="X146" s="24">
        <v>1</v>
      </c>
      <c r="Y146" s="24">
        <v>1</v>
      </c>
      <c r="Z146" s="24">
        <v>1</v>
      </c>
      <c r="AA146" s="24">
        <v>1</v>
      </c>
      <c r="AH146" s="5"/>
      <c r="AI146" s="5"/>
      <c r="AO146" s="5"/>
    </row>
    <row r="147" spans="10:41" x14ac:dyDescent="0.3">
      <c r="J147" s="24">
        <v>143</v>
      </c>
      <c r="K147" s="15" t="s">
        <v>37</v>
      </c>
      <c r="L147" s="15" t="s">
        <v>34</v>
      </c>
      <c r="M147" s="15" t="s">
        <v>96</v>
      </c>
      <c r="N147" s="15" t="s">
        <v>19</v>
      </c>
      <c r="O147" s="15" t="s">
        <v>19</v>
      </c>
      <c r="Q147" s="9">
        <v>7</v>
      </c>
      <c r="R147" s="9">
        <v>9</v>
      </c>
      <c r="S147" s="9">
        <v>15</v>
      </c>
      <c r="T147" s="9">
        <v>5</v>
      </c>
      <c r="U147" s="9">
        <v>5</v>
      </c>
      <c r="W147" s="24">
        <v>1</v>
      </c>
      <c r="X147" s="24">
        <v>1</v>
      </c>
      <c r="Y147" s="24">
        <v>1</v>
      </c>
      <c r="Z147" s="24">
        <v>1</v>
      </c>
      <c r="AA147" s="24">
        <v>1</v>
      </c>
      <c r="AH147" s="5"/>
      <c r="AI147" s="5"/>
      <c r="AO147" s="5"/>
    </row>
    <row r="148" spans="10:41" x14ac:dyDescent="0.3">
      <c r="J148" s="9">
        <v>144</v>
      </c>
      <c r="K148" s="15" t="s">
        <v>37</v>
      </c>
      <c r="L148" s="15" t="s">
        <v>34</v>
      </c>
      <c r="M148" s="15" t="s">
        <v>35</v>
      </c>
      <c r="N148" s="15" t="s">
        <v>21</v>
      </c>
      <c r="O148" s="15" t="s">
        <v>37</v>
      </c>
      <c r="Q148" s="9">
        <v>7</v>
      </c>
      <c r="R148" s="9">
        <v>9</v>
      </c>
      <c r="S148" s="9">
        <v>8</v>
      </c>
      <c r="T148" s="9">
        <v>2</v>
      </c>
      <c r="U148" s="9">
        <v>7</v>
      </c>
      <c r="W148" s="24">
        <v>1</v>
      </c>
      <c r="X148" s="24">
        <v>1</v>
      </c>
      <c r="Y148" s="24">
        <v>1</v>
      </c>
      <c r="Z148" s="24">
        <v>1</v>
      </c>
      <c r="AA148" s="24">
        <v>1</v>
      </c>
      <c r="AH148" s="5"/>
      <c r="AI148" s="5"/>
      <c r="AO148" s="5"/>
    </row>
    <row r="149" spans="10:41" x14ac:dyDescent="0.3">
      <c r="J149" s="24">
        <v>145</v>
      </c>
      <c r="K149" s="15" t="s">
        <v>95</v>
      </c>
      <c r="L149" s="15" t="s">
        <v>21</v>
      </c>
      <c r="M149" s="15" t="s">
        <v>95</v>
      </c>
      <c r="N149" s="15" t="s">
        <v>18</v>
      </c>
      <c r="O149" s="15" t="s">
        <v>21</v>
      </c>
      <c r="Q149" s="9">
        <v>6</v>
      </c>
      <c r="R149" s="9">
        <v>2</v>
      </c>
      <c r="S149" s="9">
        <v>6</v>
      </c>
      <c r="T149" s="9">
        <v>4</v>
      </c>
      <c r="U149" s="9">
        <v>2</v>
      </c>
      <c r="W149" s="24">
        <v>1</v>
      </c>
      <c r="X149" s="24">
        <v>1</v>
      </c>
      <c r="Y149" s="24">
        <v>1</v>
      </c>
      <c r="Z149" s="24">
        <v>1</v>
      </c>
      <c r="AA149" s="24">
        <v>1</v>
      </c>
      <c r="AH149" s="5"/>
      <c r="AI149" s="5"/>
      <c r="AO149" s="5"/>
    </row>
    <row r="150" spans="10:41" x14ac:dyDescent="0.3">
      <c r="J150" s="9">
        <v>146</v>
      </c>
      <c r="K150" s="15" t="s">
        <v>37</v>
      </c>
      <c r="L150" s="15" t="s">
        <v>81</v>
      </c>
      <c r="M150" s="15" t="s">
        <v>35</v>
      </c>
      <c r="N150" s="15" t="s">
        <v>18</v>
      </c>
      <c r="O150" s="15" t="s">
        <v>37</v>
      </c>
      <c r="Q150" s="9">
        <v>7</v>
      </c>
      <c r="R150" s="9">
        <v>17</v>
      </c>
      <c r="S150" s="9">
        <v>8</v>
      </c>
      <c r="T150" s="9">
        <v>4</v>
      </c>
      <c r="U150" s="9">
        <v>7</v>
      </c>
      <c r="W150" s="24">
        <v>1</v>
      </c>
      <c r="X150" s="24">
        <v>1</v>
      </c>
      <c r="Y150" s="24">
        <v>1</v>
      </c>
      <c r="Z150" s="24">
        <v>1</v>
      </c>
      <c r="AA150" s="24">
        <v>1</v>
      </c>
      <c r="AH150" s="5"/>
      <c r="AI150" s="5"/>
      <c r="AO150" s="5"/>
    </row>
    <row r="151" spans="10:41" x14ac:dyDescent="0.3">
      <c r="J151" s="24">
        <v>147</v>
      </c>
      <c r="K151" s="15" t="s">
        <v>19</v>
      </c>
      <c r="L151" s="15" t="s">
        <v>19</v>
      </c>
      <c r="M151" s="15" t="s">
        <v>37</v>
      </c>
      <c r="N151" s="15" t="s">
        <v>18</v>
      </c>
      <c r="O151" s="15" t="s">
        <v>21</v>
      </c>
      <c r="Q151" s="9">
        <v>5</v>
      </c>
      <c r="R151" s="9">
        <v>5</v>
      </c>
      <c r="S151" s="9">
        <v>7</v>
      </c>
      <c r="T151" s="9">
        <v>4</v>
      </c>
      <c r="U151" s="9">
        <v>2</v>
      </c>
      <c r="W151" s="24">
        <v>1</v>
      </c>
      <c r="X151" s="24">
        <v>1</v>
      </c>
      <c r="Y151" s="24">
        <v>1</v>
      </c>
      <c r="Z151" s="24">
        <v>1</v>
      </c>
      <c r="AA151" s="24">
        <v>1</v>
      </c>
      <c r="AH151" s="5"/>
      <c r="AI151" s="5"/>
      <c r="AO151" s="5"/>
    </row>
    <row r="152" spans="10:41" x14ac:dyDescent="0.3">
      <c r="J152" s="9">
        <v>148</v>
      </c>
      <c r="K152" s="15" t="s">
        <v>19</v>
      </c>
      <c r="L152" s="15" t="s">
        <v>63</v>
      </c>
      <c r="M152" s="15" t="s">
        <v>37</v>
      </c>
      <c r="N152" s="15" t="s">
        <v>37</v>
      </c>
      <c r="O152" s="15" t="s">
        <v>36</v>
      </c>
      <c r="Q152" s="9">
        <v>5</v>
      </c>
      <c r="R152" s="9">
        <v>13</v>
      </c>
      <c r="S152" s="9">
        <v>7</v>
      </c>
      <c r="T152" s="9">
        <v>7</v>
      </c>
      <c r="U152" s="9">
        <v>10</v>
      </c>
      <c r="W152" s="24">
        <v>1</v>
      </c>
      <c r="X152" s="24">
        <v>1</v>
      </c>
      <c r="Y152" s="24">
        <v>1</v>
      </c>
      <c r="Z152" s="24">
        <v>1</v>
      </c>
      <c r="AA152" s="24">
        <v>1</v>
      </c>
      <c r="AH152" s="5"/>
      <c r="AI152" s="5"/>
      <c r="AO152" s="5"/>
    </row>
    <row r="153" spans="10:41" x14ac:dyDescent="0.3">
      <c r="J153" s="24">
        <v>149</v>
      </c>
      <c r="K153" s="15" t="s">
        <v>35</v>
      </c>
      <c r="L153" s="15" t="s">
        <v>96</v>
      </c>
      <c r="M153" s="15" t="s">
        <v>35</v>
      </c>
      <c r="N153" s="15" t="s">
        <v>35</v>
      </c>
      <c r="O153" s="15" t="s">
        <v>22</v>
      </c>
      <c r="Q153" s="9">
        <v>8</v>
      </c>
      <c r="R153" s="9">
        <v>15</v>
      </c>
      <c r="S153" s="9">
        <v>8</v>
      </c>
      <c r="T153" s="9">
        <v>8</v>
      </c>
      <c r="U153" s="9">
        <v>3</v>
      </c>
      <c r="W153" s="24">
        <v>1</v>
      </c>
      <c r="X153" s="24">
        <v>1</v>
      </c>
      <c r="Y153" s="24">
        <v>1</v>
      </c>
      <c r="Z153" s="24">
        <v>1</v>
      </c>
      <c r="AA153" s="24">
        <v>1</v>
      </c>
      <c r="AH153" s="5"/>
      <c r="AI153" s="5"/>
      <c r="AO153" s="5"/>
    </row>
    <row r="154" spans="10:41" x14ac:dyDescent="0.3">
      <c r="J154" s="9">
        <v>150</v>
      </c>
      <c r="K154" s="15" t="s">
        <v>19</v>
      </c>
      <c r="L154" s="15" t="s">
        <v>96</v>
      </c>
      <c r="M154" s="15" t="s">
        <v>19</v>
      </c>
      <c r="N154" s="15" t="s">
        <v>36</v>
      </c>
      <c r="O154" s="15" t="s">
        <v>35</v>
      </c>
      <c r="Q154" s="9">
        <v>5</v>
      </c>
      <c r="R154" s="9">
        <v>15</v>
      </c>
      <c r="S154" s="9">
        <v>5</v>
      </c>
      <c r="T154" s="9">
        <v>10</v>
      </c>
      <c r="U154" s="9">
        <v>8</v>
      </c>
      <c r="W154" s="24">
        <v>1</v>
      </c>
      <c r="X154" s="24">
        <v>1</v>
      </c>
      <c r="Y154" s="24">
        <v>1</v>
      </c>
      <c r="Z154" s="24">
        <v>1</v>
      </c>
      <c r="AA154" s="24">
        <v>1</v>
      </c>
      <c r="AH154" s="5"/>
      <c r="AI154" s="5"/>
      <c r="AO154" s="5"/>
    </row>
    <row r="155" spans="10:41" x14ac:dyDescent="0.3">
      <c r="J155" s="24">
        <v>151</v>
      </c>
      <c r="K155" s="15" t="s">
        <v>35</v>
      </c>
      <c r="L155" s="15" t="s">
        <v>36</v>
      </c>
      <c r="M155" s="15" t="s">
        <v>22</v>
      </c>
      <c r="N155" s="15" t="s">
        <v>36</v>
      </c>
      <c r="O155" s="15" t="s">
        <v>21</v>
      </c>
      <c r="Q155" s="9">
        <v>8</v>
      </c>
      <c r="R155" s="9">
        <v>10</v>
      </c>
      <c r="S155" s="9">
        <v>3</v>
      </c>
      <c r="T155" s="9">
        <v>10</v>
      </c>
      <c r="U155" s="9">
        <v>2</v>
      </c>
      <c r="W155" s="24">
        <v>1</v>
      </c>
      <c r="X155" s="24">
        <v>1</v>
      </c>
      <c r="Y155" s="24">
        <v>1</v>
      </c>
      <c r="Z155" s="24">
        <v>1</v>
      </c>
      <c r="AA155" s="24">
        <v>1</v>
      </c>
      <c r="AH155" s="5"/>
      <c r="AI155" s="5"/>
      <c r="AO155" s="5"/>
    </row>
    <row r="156" spans="10:41" x14ac:dyDescent="0.3">
      <c r="J156" s="9">
        <v>152</v>
      </c>
      <c r="K156" s="15" t="s">
        <v>95</v>
      </c>
      <c r="L156" s="15" t="s">
        <v>18</v>
      </c>
      <c r="M156" s="15" t="s">
        <v>65</v>
      </c>
      <c r="N156" s="15" t="s">
        <v>35</v>
      </c>
      <c r="O156" s="15" t="s">
        <v>19</v>
      </c>
      <c r="Q156" s="9">
        <v>6</v>
      </c>
      <c r="R156" s="9">
        <v>4</v>
      </c>
      <c r="S156" s="9">
        <v>16</v>
      </c>
      <c r="T156" s="9">
        <v>8</v>
      </c>
      <c r="U156" s="9">
        <v>5</v>
      </c>
      <c r="W156" s="24">
        <v>1</v>
      </c>
      <c r="X156" s="24">
        <v>1</v>
      </c>
      <c r="Y156" s="24">
        <v>1</v>
      </c>
      <c r="Z156" s="24">
        <v>1</v>
      </c>
      <c r="AA156" s="24">
        <v>1</v>
      </c>
      <c r="AH156" s="5"/>
      <c r="AI156" s="5"/>
      <c r="AO156" s="5"/>
    </row>
    <row r="157" spans="10:41" x14ac:dyDescent="0.3">
      <c r="J157" s="24">
        <v>153</v>
      </c>
      <c r="K157" s="15" t="s">
        <v>95</v>
      </c>
      <c r="L157" s="15" t="s">
        <v>18</v>
      </c>
      <c r="M157" s="15" t="s">
        <v>19</v>
      </c>
      <c r="N157" s="15" t="s">
        <v>68</v>
      </c>
      <c r="O157" s="15" t="s">
        <v>21</v>
      </c>
      <c r="Q157" s="9">
        <v>6</v>
      </c>
      <c r="R157" s="9">
        <v>4</v>
      </c>
      <c r="S157" s="9">
        <v>5</v>
      </c>
      <c r="T157" s="9">
        <v>18</v>
      </c>
      <c r="U157" s="9">
        <v>2</v>
      </c>
      <c r="W157" s="24">
        <v>1</v>
      </c>
      <c r="X157" s="24">
        <v>1</v>
      </c>
      <c r="Y157" s="24">
        <v>1</v>
      </c>
      <c r="Z157" s="24">
        <v>1</v>
      </c>
      <c r="AA157" s="24">
        <v>1</v>
      </c>
      <c r="AH157" s="5"/>
      <c r="AI157" s="5"/>
      <c r="AO157" s="5"/>
    </row>
    <row r="158" spans="10:41" x14ac:dyDescent="0.3">
      <c r="J158" s="9">
        <v>154</v>
      </c>
      <c r="K158" s="15" t="s">
        <v>35</v>
      </c>
      <c r="L158" s="15" t="s">
        <v>70</v>
      </c>
      <c r="M158" s="15" t="s">
        <v>37</v>
      </c>
      <c r="N158" s="15" t="s">
        <v>95</v>
      </c>
      <c r="O158" s="15" t="s">
        <v>21</v>
      </c>
      <c r="Q158" s="9">
        <v>8</v>
      </c>
      <c r="R158" s="9">
        <v>19</v>
      </c>
      <c r="S158" s="9">
        <v>7</v>
      </c>
      <c r="T158" s="9">
        <v>6</v>
      </c>
      <c r="U158" s="9">
        <v>2</v>
      </c>
      <c r="W158" s="24">
        <v>1</v>
      </c>
      <c r="X158" s="24">
        <v>1</v>
      </c>
      <c r="Y158" s="24">
        <v>1</v>
      </c>
      <c r="Z158" s="24">
        <v>1</v>
      </c>
      <c r="AA158" s="24">
        <v>1</v>
      </c>
      <c r="AH158" s="5"/>
      <c r="AI158" s="5"/>
      <c r="AO158" s="5"/>
    </row>
    <row r="159" spans="10:41" x14ac:dyDescent="0.3">
      <c r="J159" s="24">
        <v>155</v>
      </c>
      <c r="K159" s="15" t="s">
        <v>95</v>
      </c>
      <c r="L159" s="15" t="s">
        <v>64</v>
      </c>
      <c r="M159" s="15" t="s">
        <v>95</v>
      </c>
      <c r="N159" s="15" t="s">
        <v>95</v>
      </c>
      <c r="O159" s="15" t="s">
        <v>22</v>
      </c>
      <c r="Q159" s="9">
        <v>6</v>
      </c>
      <c r="R159" s="9">
        <v>14</v>
      </c>
      <c r="S159" s="9">
        <v>6</v>
      </c>
      <c r="T159" s="9">
        <v>6</v>
      </c>
      <c r="U159" s="9">
        <v>3</v>
      </c>
      <c r="W159" s="24">
        <v>1</v>
      </c>
      <c r="X159" s="24">
        <v>1</v>
      </c>
      <c r="Y159" s="24">
        <v>1</v>
      </c>
      <c r="Z159" s="24">
        <v>1</v>
      </c>
      <c r="AA159" s="24">
        <v>1</v>
      </c>
      <c r="AH159" s="5"/>
      <c r="AI159" s="5"/>
      <c r="AO159" s="5"/>
    </row>
    <row r="160" spans="10:41" x14ac:dyDescent="0.3">
      <c r="J160" s="9">
        <v>156</v>
      </c>
      <c r="K160" s="15" t="s">
        <v>37</v>
      </c>
      <c r="L160" s="15" t="s">
        <v>22</v>
      </c>
      <c r="M160" s="15" t="s">
        <v>64</v>
      </c>
      <c r="N160" s="15" t="s">
        <v>61</v>
      </c>
      <c r="O160" s="15" t="s">
        <v>19</v>
      </c>
      <c r="Q160" s="9">
        <v>7</v>
      </c>
      <c r="R160" s="9">
        <v>3</v>
      </c>
      <c r="S160" s="9">
        <v>14</v>
      </c>
      <c r="T160" s="9">
        <v>11</v>
      </c>
      <c r="U160" s="9">
        <v>5</v>
      </c>
      <c r="W160" s="24">
        <v>1</v>
      </c>
      <c r="X160" s="24">
        <v>1</v>
      </c>
      <c r="Y160" s="24">
        <v>1</v>
      </c>
      <c r="Z160" s="24">
        <v>1</v>
      </c>
      <c r="AA160" s="24">
        <v>1</v>
      </c>
      <c r="AH160" s="5"/>
      <c r="AI160" s="5"/>
      <c r="AO160" s="5"/>
    </row>
    <row r="161" spans="10:41" x14ac:dyDescent="0.3">
      <c r="J161" s="24">
        <v>157</v>
      </c>
      <c r="K161" s="15" t="s">
        <v>35</v>
      </c>
      <c r="L161" s="15" t="s">
        <v>22</v>
      </c>
      <c r="M161" s="15" t="s">
        <v>35</v>
      </c>
      <c r="N161" s="15" t="s">
        <v>95</v>
      </c>
      <c r="O161" s="15" t="s">
        <v>37</v>
      </c>
      <c r="Q161" s="9">
        <v>8</v>
      </c>
      <c r="R161" s="9">
        <v>3</v>
      </c>
      <c r="S161" s="9">
        <v>8</v>
      </c>
      <c r="T161" s="9">
        <v>6</v>
      </c>
      <c r="U161" s="9">
        <v>7</v>
      </c>
      <c r="W161" s="24">
        <v>1</v>
      </c>
      <c r="X161" s="24">
        <v>1</v>
      </c>
      <c r="Y161" s="24">
        <v>1</v>
      </c>
      <c r="Z161" s="24">
        <v>1</v>
      </c>
      <c r="AA161" s="24">
        <v>1</v>
      </c>
      <c r="AH161" s="5"/>
      <c r="AI161" s="5"/>
      <c r="AO161" s="5"/>
    </row>
    <row r="162" spans="10:41" x14ac:dyDescent="0.3">
      <c r="J162" s="9">
        <v>158</v>
      </c>
      <c r="K162" s="15" t="s">
        <v>35</v>
      </c>
      <c r="L162" s="15" t="s">
        <v>37</v>
      </c>
      <c r="M162" s="15" t="s">
        <v>35</v>
      </c>
      <c r="N162" s="15" t="s">
        <v>64</v>
      </c>
      <c r="O162" s="15" t="s">
        <v>36</v>
      </c>
      <c r="Q162" s="9">
        <v>8</v>
      </c>
      <c r="R162" s="9">
        <v>7</v>
      </c>
      <c r="S162" s="9">
        <v>8</v>
      </c>
      <c r="T162" s="9">
        <v>14</v>
      </c>
      <c r="U162" s="9">
        <v>10</v>
      </c>
      <c r="W162" s="24">
        <v>1</v>
      </c>
      <c r="X162" s="24">
        <v>1</v>
      </c>
      <c r="Y162" s="24">
        <v>1</v>
      </c>
      <c r="Z162" s="24">
        <v>1</v>
      </c>
      <c r="AA162" s="24">
        <v>1</v>
      </c>
      <c r="AH162" s="5"/>
      <c r="AI162" s="5"/>
      <c r="AO162" s="5"/>
    </row>
    <row r="163" spans="10:41" x14ac:dyDescent="0.3">
      <c r="J163" s="24">
        <v>159</v>
      </c>
      <c r="K163" s="15" t="s">
        <v>35</v>
      </c>
      <c r="L163" s="15" t="s">
        <v>37</v>
      </c>
      <c r="M163" s="15" t="s">
        <v>35</v>
      </c>
      <c r="N163" s="15" t="s">
        <v>22</v>
      </c>
      <c r="O163" s="15" t="s">
        <v>95</v>
      </c>
      <c r="Q163" s="9">
        <v>8</v>
      </c>
      <c r="R163" s="9">
        <v>7</v>
      </c>
      <c r="S163" s="9">
        <v>8</v>
      </c>
      <c r="T163" s="9">
        <v>3</v>
      </c>
      <c r="U163" s="9">
        <v>6</v>
      </c>
      <c r="W163" s="24">
        <v>1</v>
      </c>
      <c r="X163" s="24">
        <v>1</v>
      </c>
      <c r="Y163" s="24">
        <v>1</v>
      </c>
      <c r="Z163" s="24">
        <v>1</v>
      </c>
      <c r="AA163" s="24">
        <v>1</v>
      </c>
      <c r="AH163" s="5"/>
      <c r="AI163" s="5"/>
      <c r="AO163" s="5"/>
    </row>
    <row r="164" spans="10:41" x14ac:dyDescent="0.3">
      <c r="J164" s="9">
        <v>160</v>
      </c>
      <c r="K164" s="15" t="s">
        <v>95</v>
      </c>
      <c r="L164" s="15" t="s">
        <v>68</v>
      </c>
      <c r="M164" s="15" t="s">
        <v>37</v>
      </c>
      <c r="N164" s="15" t="s">
        <v>18</v>
      </c>
      <c r="O164" s="15" t="s">
        <v>95</v>
      </c>
      <c r="Q164" s="9">
        <v>6</v>
      </c>
      <c r="R164" s="9">
        <v>18</v>
      </c>
      <c r="S164" s="9">
        <v>7</v>
      </c>
      <c r="T164" s="9">
        <v>4</v>
      </c>
      <c r="U164" s="9">
        <v>6</v>
      </c>
      <c r="W164" s="24">
        <v>1</v>
      </c>
      <c r="X164" s="24">
        <v>1</v>
      </c>
      <c r="Y164" s="24">
        <v>1</v>
      </c>
      <c r="Z164" s="24">
        <v>1</v>
      </c>
      <c r="AA164" s="24">
        <v>1</v>
      </c>
      <c r="AH164" s="5"/>
      <c r="AI164" s="5"/>
      <c r="AO164" s="5"/>
    </row>
    <row r="165" spans="10:41" x14ac:dyDescent="0.3">
      <c r="J165" s="24">
        <v>161</v>
      </c>
      <c r="K165" s="15" t="s">
        <v>35</v>
      </c>
      <c r="L165" s="15" t="s">
        <v>36</v>
      </c>
      <c r="M165" s="15" t="s">
        <v>95</v>
      </c>
      <c r="N165" s="15" t="s">
        <v>18</v>
      </c>
      <c r="O165" s="15" t="s">
        <v>21</v>
      </c>
      <c r="Q165" s="9">
        <v>8</v>
      </c>
      <c r="R165" s="9">
        <v>10</v>
      </c>
      <c r="S165" s="9">
        <v>6</v>
      </c>
      <c r="T165" s="9">
        <v>4</v>
      </c>
      <c r="U165" s="9">
        <v>2</v>
      </c>
      <c r="W165" s="24">
        <v>1</v>
      </c>
      <c r="X165" s="24">
        <v>1</v>
      </c>
      <c r="Y165" s="24">
        <v>1</v>
      </c>
      <c r="Z165" s="24">
        <v>1</v>
      </c>
      <c r="AA165" s="24">
        <v>1</v>
      </c>
      <c r="AH165" s="5"/>
      <c r="AI165" s="5"/>
      <c r="AO165" s="5"/>
    </row>
    <row r="166" spans="10:41" x14ac:dyDescent="0.3">
      <c r="J166" s="9">
        <v>162</v>
      </c>
      <c r="K166" s="15" t="s">
        <v>36</v>
      </c>
      <c r="L166" s="15" t="s">
        <v>62</v>
      </c>
      <c r="M166" s="15" t="s">
        <v>37</v>
      </c>
      <c r="N166" s="15" t="s">
        <v>21</v>
      </c>
      <c r="O166" s="15" t="s">
        <v>19</v>
      </c>
      <c r="Q166" s="9">
        <v>10</v>
      </c>
      <c r="R166" s="9">
        <v>12</v>
      </c>
      <c r="S166" s="9">
        <v>7</v>
      </c>
      <c r="T166" s="9">
        <v>2</v>
      </c>
      <c r="U166" s="9">
        <v>5</v>
      </c>
      <c r="W166" s="24">
        <v>1</v>
      </c>
      <c r="X166" s="24">
        <v>1</v>
      </c>
      <c r="Y166" s="24">
        <v>1</v>
      </c>
      <c r="Z166" s="24">
        <v>1</v>
      </c>
      <c r="AA166" s="24">
        <v>1</v>
      </c>
      <c r="AH166" s="5"/>
      <c r="AI166" s="5"/>
      <c r="AO166" s="5"/>
    </row>
    <row r="167" spans="10:41" x14ac:dyDescent="0.3">
      <c r="J167" s="24">
        <v>163</v>
      </c>
      <c r="K167" s="15" t="s">
        <v>19</v>
      </c>
      <c r="L167" s="15" t="s">
        <v>35</v>
      </c>
      <c r="M167" s="15" t="s">
        <v>21</v>
      </c>
      <c r="N167" s="15" t="s">
        <v>21</v>
      </c>
      <c r="O167" s="15" t="s">
        <v>34</v>
      </c>
      <c r="Q167" s="9">
        <v>5</v>
      </c>
      <c r="R167" s="9">
        <v>8</v>
      </c>
      <c r="S167" s="9">
        <v>2</v>
      </c>
      <c r="T167" s="9">
        <v>2</v>
      </c>
      <c r="U167" s="9">
        <v>9</v>
      </c>
      <c r="W167" s="24">
        <v>1</v>
      </c>
      <c r="X167" s="24">
        <v>1</v>
      </c>
      <c r="Y167" s="24">
        <v>1</v>
      </c>
      <c r="Z167" s="24">
        <v>1</v>
      </c>
      <c r="AA167" s="24">
        <v>1</v>
      </c>
      <c r="AH167" s="5"/>
      <c r="AI167" s="5"/>
      <c r="AO167" s="5"/>
    </row>
    <row r="168" spans="10:41" x14ac:dyDescent="0.3">
      <c r="J168" s="9">
        <v>164</v>
      </c>
      <c r="K168" s="15" t="s">
        <v>35</v>
      </c>
      <c r="L168" s="15" t="s">
        <v>34</v>
      </c>
      <c r="M168" s="15" t="s">
        <v>19</v>
      </c>
      <c r="N168" s="15" t="s">
        <v>21</v>
      </c>
      <c r="O168" s="15" t="s">
        <v>36</v>
      </c>
      <c r="Q168" s="9">
        <v>8</v>
      </c>
      <c r="R168" s="9">
        <v>9</v>
      </c>
      <c r="S168" s="9">
        <v>5</v>
      </c>
      <c r="T168" s="9">
        <v>2</v>
      </c>
      <c r="U168" s="9">
        <v>10</v>
      </c>
      <c r="W168" s="24">
        <v>1</v>
      </c>
      <c r="X168" s="24">
        <v>1</v>
      </c>
      <c r="Y168" s="24">
        <v>1</v>
      </c>
      <c r="Z168" s="24">
        <v>1</v>
      </c>
      <c r="AA168" s="24">
        <v>1</v>
      </c>
      <c r="AH168" s="5"/>
      <c r="AI168" s="5"/>
      <c r="AO168" s="5"/>
    </row>
    <row r="169" spans="10:41" x14ac:dyDescent="0.3">
      <c r="J169" s="24">
        <v>165</v>
      </c>
      <c r="K169" s="15" t="s">
        <v>37</v>
      </c>
      <c r="L169" s="15" t="s">
        <v>22</v>
      </c>
      <c r="M169" s="15" t="s">
        <v>35</v>
      </c>
      <c r="N169" s="15" t="s">
        <v>95</v>
      </c>
      <c r="O169" s="15" t="s">
        <v>34</v>
      </c>
      <c r="Q169" s="9">
        <v>7</v>
      </c>
      <c r="R169" s="9">
        <v>3</v>
      </c>
      <c r="S169" s="9">
        <v>8</v>
      </c>
      <c r="T169" s="9">
        <v>6</v>
      </c>
      <c r="U169" s="9">
        <v>9</v>
      </c>
      <c r="W169" s="24">
        <v>1</v>
      </c>
      <c r="X169" s="24">
        <v>1</v>
      </c>
      <c r="Y169" s="24">
        <v>1</v>
      </c>
      <c r="Z169" s="24">
        <v>1</v>
      </c>
      <c r="AA169" s="24">
        <v>1</v>
      </c>
      <c r="AH169" s="5"/>
      <c r="AI169" s="5"/>
      <c r="AO169" s="5"/>
    </row>
    <row r="170" spans="10:41" x14ac:dyDescent="0.3">
      <c r="J170" s="9">
        <v>166</v>
      </c>
      <c r="K170" s="15" t="s">
        <v>37</v>
      </c>
      <c r="L170" s="15" t="s">
        <v>20</v>
      </c>
      <c r="M170" s="15" t="s">
        <v>95</v>
      </c>
      <c r="N170" s="15" t="s">
        <v>37</v>
      </c>
      <c r="O170" s="15" t="s">
        <v>22</v>
      </c>
      <c r="Q170" s="9">
        <v>7</v>
      </c>
      <c r="R170" s="9">
        <v>1</v>
      </c>
      <c r="S170" s="9">
        <v>6</v>
      </c>
      <c r="T170" s="9">
        <v>7</v>
      </c>
      <c r="U170" s="9">
        <v>3</v>
      </c>
      <c r="W170" s="24">
        <v>1</v>
      </c>
      <c r="X170" s="24">
        <v>1</v>
      </c>
      <c r="Y170" s="24">
        <v>1</v>
      </c>
      <c r="Z170" s="24">
        <v>1</v>
      </c>
      <c r="AA170" s="24">
        <v>1</v>
      </c>
      <c r="AH170" s="5"/>
      <c r="AI170" s="5"/>
      <c r="AO170" s="5"/>
    </row>
    <row r="171" spans="10:41" x14ac:dyDescent="0.3">
      <c r="J171" s="24">
        <v>167</v>
      </c>
      <c r="K171" s="15" t="s">
        <v>37</v>
      </c>
      <c r="L171" s="15" t="s">
        <v>19</v>
      </c>
      <c r="M171" s="15" t="s">
        <v>95</v>
      </c>
      <c r="N171" s="15" t="s">
        <v>95</v>
      </c>
      <c r="O171" s="15" t="s">
        <v>19</v>
      </c>
      <c r="Q171" s="9">
        <v>7</v>
      </c>
      <c r="R171" s="9">
        <v>5</v>
      </c>
      <c r="S171" s="9">
        <v>6</v>
      </c>
      <c r="T171" s="9">
        <v>6</v>
      </c>
      <c r="U171" s="9">
        <v>5</v>
      </c>
      <c r="W171" s="24">
        <v>1</v>
      </c>
      <c r="X171" s="24">
        <v>1</v>
      </c>
      <c r="Y171" s="24">
        <v>1</v>
      </c>
      <c r="Z171" s="24">
        <v>1</v>
      </c>
      <c r="AA171" s="24">
        <v>1</v>
      </c>
      <c r="AH171" s="5"/>
      <c r="AI171" s="5"/>
      <c r="AO171" s="5"/>
    </row>
    <row r="172" spans="10:41" x14ac:dyDescent="0.3">
      <c r="J172" s="9">
        <v>168</v>
      </c>
      <c r="K172" s="15" t="s">
        <v>95</v>
      </c>
      <c r="L172" s="15" t="s">
        <v>19</v>
      </c>
      <c r="M172" s="15" t="s">
        <v>95</v>
      </c>
      <c r="N172" s="15" t="s">
        <v>63</v>
      </c>
      <c r="O172" s="15" t="s">
        <v>95</v>
      </c>
      <c r="Q172" s="9">
        <v>6</v>
      </c>
      <c r="R172" s="9">
        <v>5</v>
      </c>
      <c r="S172" s="9">
        <v>6</v>
      </c>
      <c r="T172" s="9">
        <v>13</v>
      </c>
      <c r="U172" s="9">
        <v>6</v>
      </c>
      <c r="W172" s="24">
        <v>1</v>
      </c>
      <c r="X172" s="24">
        <v>1</v>
      </c>
      <c r="Y172" s="24">
        <v>1</v>
      </c>
      <c r="Z172" s="24">
        <v>1</v>
      </c>
      <c r="AA172" s="24">
        <v>1</v>
      </c>
      <c r="AH172" s="5"/>
      <c r="AI172" s="5"/>
      <c r="AO172" s="5"/>
    </row>
    <row r="173" spans="10:41" x14ac:dyDescent="0.3">
      <c r="J173" s="24">
        <v>169</v>
      </c>
      <c r="K173" s="15" t="s">
        <v>95</v>
      </c>
      <c r="L173" s="15" t="s">
        <v>19</v>
      </c>
      <c r="M173" s="15" t="s">
        <v>35</v>
      </c>
      <c r="N173" s="15" t="s">
        <v>36</v>
      </c>
      <c r="O173" s="15" t="s">
        <v>35</v>
      </c>
      <c r="Q173" s="9">
        <v>6</v>
      </c>
      <c r="R173" s="9">
        <v>5</v>
      </c>
      <c r="S173" s="9">
        <v>8</v>
      </c>
      <c r="T173" s="9">
        <v>10</v>
      </c>
      <c r="U173" s="9">
        <v>8</v>
      </c>
      <c r="W173" s="24">
        <v>1</v>
      </c>
      <c r="X173" s="24">
        <v>1</v>
      </c>
      <c r="Y173" s="24">
        <v>1</v>
      </c>
      <c r="Z173" s="24">
        <v>1</v>
      </c>
      <c r="AA173" s="24">
        <v>1</v>
      </c>
      <c r="AH173" s="5"/>
      <c r="AI173" s="5"/>
      <c r="AO173" s="5"/>
    </row>
    <row r="174" spans="10:41" x14ac:dyDescent="0.3">
      <c r="J174" s="9">
        <v>170</v>
      </c>
      <c r="K174" s="15" t="s">
        <v>35</v>
      </c>
      <c r="L174" s="15" t="s">
        <v>18</v>
      </c>
      <c r="M174" s="15" t="s">
        <v>37</v>
      </c>
      <c r="N174" s="15" t="s">
        <v>19</v>
      </c>
      <c r="O174" s="15" t="s">
        <v>18</v>
      </c>
      <c r="Q174" s="9">
        <v>8</v>
      </c>
      <c r="R174" s="9">
        <v>4</v>
      </c>
      <c r="S174" s="9">
        <v>7</v>
      </c>
      <c r="T174" s="9">
        <v>5</v>
      </c>
      <c r="U174" s="9">
        <v>4</v>
      </c>
      <c r="W174" s="24">
        <v>1</v>
      </c>
      <c r="X174" s="24">
        <v>1</v>
      </c>
      <c r="Y174" s="24">
        <v>1</v>
      </c>
      <c r="Z174" s="24">
        <v>1</v>
      </c>
      <c r="AA174" s="24">
        <v>1</v>
      </c>
      <c r="AH174" s="5"/>
      <c r="AI174" s="5"/>
      <c r="AO174" s="5"/>
    </row>
    <row r="175" spans="10:41" x14ac:dyDescent="0.3">
      <c r="J175" s="24">
        <v>171</v>
      </c>
      <c r="K175" s="15" t="s">
        <v>19</v>
      </c>
      <c r="L175" s="15" t="s">
        <v>81</v>
      </c>
      <c r="M175" s="15" t="s">
        <v>95</v>
      </c>
      <c r="N175" s="15" t="s">
        <v>95</v>
      </c>
      <c r="O175" s="15" t="s">
        <v>22</v>
      </c>
      <c r="Q175" s="9">
        <v>5</v>
      </c>
      <c r="R175" s="9">
        <v>17</v>
      </c>
      <c r="S175" s="9">
        <v>6</v>
      </c>
      <c r="T175" s="9">
        <v>6</v>
      </c>
      <c r="U175" s="9">
        <v>3</v>
      </c>
      <c r="W175" s="24">
        <v>1</v>
      </c>
      <c r="X175" s="24">
        <v>1</v>
      </c>
      <c r="Y175" s="24">
        <v>1</v>
      </c>
      <c r="Z175" s="24">
        <v>1</v>
      </c>
      <c r="AA175" s="24">
        <v>1</v>
      </c>
      <c r="AH175" s="5"/>
      <c r="AI175" s="5"/>
      <c r="AO175" s="5"/>
    </row>
    <row r="176" spans="10:41" x14ac:dyDescent="0.3">
      <c r="J176" s="9">
        <v>172</v>
      </c>
      <c r="K176" s="15" t="s">
        <v>95</v>
      </c>
      <c r="L176" s="15" t="s">
        <v>22</v>
      </c>
      <c r="M176" s="15" t="s">
        <v>35</v>
      </c>
      <c r="N176" s="15" t="s">
        <v>36</v>
      </c>
      <c r="O176" s="15" t="s">
        <v>22</v>
      </c>
      <c r="Q176" s="9">
        <v>6</v>
      </c>
      <c r="R176" s="9">
        <v>3</v>
      </c>
      <c r="S176" s="9">
        <v>8</v>
      </c>
      <c r="T176" s="9">
        <v>10</v>
      </c>
      <c r="U176" s="9">
        <v>3</v>
      </c>
      <c r="W176" s="24">
        <v>1</v>
      </c>
      <c r="X176" s="24">
        <v>1</v>
      </c>
      <c r="Y176" s="24">
        <v>1</v>
      </c>
      <c r="Z176" s="24">
        <v>1</v>
      </c>
      <c r="AA176" s="24">
        <v>1</v>
      </c>
      <c r="AH176" s="5"/>
      <c r="AI176" s="5"/>
      <c r="AO176" s="5"/>
    </row>
    <row r="177" spans="10:41" x14ac:dyDescent="0.3">
      <c r="J177" s="24">
        <v>173</v>
      </c>
      <c r="K177" s="15" t="s">
        <v>35</v>
      </c>
      <c r="L177" s="15" t="s">
        <v>35</v>
      </c>
      <c r="M177" s="15" t="s">
        <v>35</v>
      </c>
      <c r="N177" s="15" t="s">
        <v>20</v>
      </c>
      <c r="O177" s="15" t="s">
        <v>35</v>
      </c>
      <c r="Q177" s="9">
        <v>8</v>
      </c>
      <c r="R177" s="9">
        <v>8</v>
      </c>
      <c r="S177" s="9">
        <v>8</v>
      </c>
      <c r="T177" s="9">
        <v>1</v>
      </c>
      <c r="U177" s="9">
        <v>8</v>
      </c>
      <c r="W177" s="24">
        <v>1</v>
      </c>
      <c r="X177" s="24">
        <v>1</v>
      </c>
      <c r="Y177" s="24">
        <v>1</v>
      </c>
      <c r="Z177" s="24">
        <v>1</v>
      </c>
      <c r="AA177" s="24">
        <v>1</v>
      </c>
      <c r="AH177" s="5"/>
      <c r="AI177" s="5"/>
      <c r="AO177" s="5"/>
    </row>
    <row r="178" spans="10:41" x14ac:dyDescent="0.3">
      <c r="J178" s="9">
        <v>174</v>
      </c>
      <c r="K178" s="15" t="s">
        <v>22</v>
      </c>
      <c r="L178" s="15" t="s">
        <v>18</v>
      </c>
      <c r="M178" s="15" t="s">
        <v>37</v>
      </c>
      <c r="N178" s="15" t="s">
        <v>22</v>
      </c>
      <c r="O178" s="15" t="s">
        <v>34</v>
      </c>
      <c r="Q178" s="9">
        <v>3</v>
      </c>
      <c r="R178" s="9">
        <v>4</v>
      </c>
      <c r="S178" s="9">
        <v>7</v>
      </c>
      <c r="T178" s="9">
        <v>3</v>
      </c>
      <c r="U178" s="9">
        <v>9</v>
      </c>
      <c r="W178" s="24">
        <v>1</v>
      </c>
      <c r="X178" s="24">
        <v>1</v>
      </c>
      <c r="Y178" s="24">
        <v>1</v>
      </c>
      <c r="Z178" s="24">
        <v>1</v>
      </c>
      <c r="AA178" s="24">
        <v>1</v>
      </c>
      <c r="AH178" s="5"/>
      <c r="AI178" s="5"/>
      <c r="AO178" s="5"/>
    </row>
    <row r="179" spans="10:41" x14ac:dyDescent="0.3">
      <c r="J179" s="24">
        <v>175</v>
      </c>
      <c r="K179" s="15" t="s">
        <v>37</v>
      </c>
      <c r="L179" s="15" t="s">
        <v>37</v>
      </c>
      <c r="M179" s="15" t="s">
        <v>37</v>
      </c>
      <c r="N179" s="15" t="s">
        <v>96</v>
      </c>
      <c r="O179" s="15" t="s">
        <v>34</v>
      </c>
      <c r="Q179" s="9">
        <v>7</v>
      </c>
      <c r="R179" s="9">
        <v>7</v>
      </c>
      <c r="S179" s="9">
        <v>7</v>
      </c>
      <c r="T179" s="9">
        <v>15</v>
      </c>
      <c r="U179" s="9">
        <v>9</v>
      </c>
      <c r="W179" s="24">
        <v>1</v>
      </c>
      <c r="X179" s="24">
        <v>1</v>
      </c>
      <c r="Y179" s="24">
        <v>1</v>
      </c>
      <c r="Z179" s="24">
        <v>1</v>
      </c>
      <c r="AA179" s="24">
        <v>1</v>
      </c>
      <c r="AH179" s="5"/>
      <c r="AI179" s="5"/>
      <c r="AO179" s="5"/>
    </row>
    <row r="180" spans="10:41" x14ac:dyDescent="0.3">
      <c r="J180" s="9">
        <v>176</v>
      </c>
      <c r="K180" s="15" t="s">
        <v>37</v>
      </c>
      <c r="L180" s="15" t="s">
        <v>19</v>
      </c>
      <c r="M180" s="15" t="s">
        <v>95</v>
      </c>
      <c r="N180" s="15" t="s">
        <v>18</v>
      </c>
      <c r="O180" s="15" t="s">
        <v>36</v>
      </c>
      <c r="Q180" s="9">
        <v>7</v>
      </c>
      <c r="R180" s="9">
        <v>5</v>
      </c>
      <c r="S180" s="9">
        <v>6</v>
      </c>
      <c r="T180" s="9">
        <v>4</v>
      </c>
      <c r="U180" s="9">
        <v>10</v>
      </c>
      <c r="W180" s="24">
        <v>1</v>
      </c>
      <c r="X180" s="24">
        <v>1</v>
      </c>
      <c r="Y180" s="24">
        <v>1</v>
      </c>
      <c r="Z180" s="24">
        <v>1</v>
      </c>
      <c r="AA180" s="24">
        <v>1</v>
      </c>
      <c r="AH180" s="5"/>
      <c r="AI180" s="5"/>
      <c r="AO180" s="5"/>
    </row>
    <row r="181" spans="10:41" x14ac:dyDescent="0.3">
      <c r="J181" s="24">
        <v>177</v>
      </c>
      <c r="K181" s="15" t="s">
        <v>37</v>
      </c>
      <c r="L181" s="15" t="s">
        <v>64</v>
      </c>
      <c r="M181" s="15" t="s">
        <v>19</v>
      </c>
      <c r="N181" s="15" t="s">
        <v>35</v>
      </c>
      <c r="O181" s="15" t="s">
        <v>36</v>
      </c>
      <c r="Q181" s="9">
        <v>7</v>
      </c>
      <c r="R181" s="9">
        <v>14</v>
      </c>
      <c r="S181" s="9">
        <v>5</v>
      </c>
      <c r="T181" s="9">
        <v>8</v>
      </c>
      <c r="U181" s="9">
        <v>10</v>
      </c>
      <c r="W181" s="24">
        <v>1</v>
      </c>
      <c r="X181" s="24">
        <v>1</v>
      </c>
      <c r="Y181" s="24">
        <v>1</v>
      </c>
      <c r="Z181" s="24">
        <v>1</v>
      </c>
      <c r="AA181" s="24">
        <v>1</v>
      </c>
      <c r="AH181" s="5"/>
      <c r="AI181" s="5"/>
      <c r="AO181" s="5"/>
    </row>
    <row r="182" spans="10:41" x14ac:dyDescent="0.3">
      <c r="J182" s="9">
        <v>178</v>
      </c>
      <c r="K182" s="15" t="s">
        <v>95</v>
      </c>
      <c r="L182" s="15" t="s">
        <v>64</v>
      </c>
      <c r="M182" s="15" t="s">
        <v>19</v>
      </c>
      <c r="N182" s="15" t="s">
        <v>21</v>
      </c>
      <c r="O182" s="15" t="s">
        <v>19</v>
      </c>
      <c r="Q182" s="9">
        <v>6</v>
      </c>
      <c r="R182" s="9">
        <v>14</v>
      </c>
      <c r="S182" s="9">
        <v>5</v>
      </c>
      <c r="T182" s="9">
        <v>2</v>
      </c>
      <c r="U182" s="9">
        <v>5</v>
      </c>
      <c r="W182" s="24">
        <v>1</v>
      </c>
      <c r="X182" s="24">
        <v>1</v>
      </c>
      <c r="Y182" s="24">
        <v>1</v>
      </c>
      <c r="Z182" s="24">
        <v>1</v>
      </c>
      <c r="AA182" s="24">
        <v>1</v>
      </c>
      <c r="AH182" s="5"/>
      <c r="AI182" s="5"/>
      <c r="AO182" s="5"/>
    </row>
    <row r="183" spans="10:41" x14ac:dyDescent="0.3">
      <c r="J183" s="24">
        <v>179</v>
      </c>
      <c r="K183" s="15" t="s">
        <v>19</v>
      </c>
      <c r="L183" s="15" t="s">
        <v>21</v>
      </c>
      <c r="M183" s="15" t="s">
        <v>37</v>
      </c>
      <c r="N183" s="15" t="s">
        <v>70</v>
      </c>
      <c r="O183" s="15" t="s">
        <v>35</v>
      </c>
      <c r="Q183" s="9">
        <v>5</v>
      </c>
      <c r="R183" s="9">
        <v>2</v>
      </c>
      <c r="S183" s="9">
        <v>7</v>
      </c>
      <c r="T183" s="9">
        <v>19</v>
      </c>
      <c r="U183" s="9">
        <v>8</v>
      </c>
      <c r="W183" s="24">
        <v>1</v>
      </c>
      <c r="X183" s="24">
        <v>1</v>
      </c>
      <c r="Y183" s="24">
        <v>1</v>
      </c>
      <c r="Z183" s="24">
        <v>1</v>
      </c>
      <c r="AA183" s="24">
        <v>1</v>
      </c>
      <c r="AH183" s="5"/>
      <c r="AI183" s="5"/>
      <c r="AO183" s="5"/>
    </row>
    <row r="184" spans="10:41" x14ac:dyDescent="0.3">
      <c r="J184" s="9">
        <v>180</v>
      </c>
      <c r="K184" s="15" t="s">
        <v>37</v>
      </c>
      <c r="L184" s="15" t="s">
        <v>21</v>
      </c>
      <c r="M184" s="15" t="s">
        <v>19</v>
      </c>
      <c r="N184" s="15" t="s">
        <v>36</v>
      </c>
      <c r="O184" s="15" t="s">
        <v>21</v>
      </c>
      <c r="Q184" s="9">
        <v>7</v>
      </c>
      <c r="R184" s="9">
        <v>2</v>
      </c>
      <c r="S184" s="9">
        <v>5</v>
      </c>
      <c r="T184" s="9">
        <v>10</v>
      </c>
      <c r="U184" s="9">
        <v>2</v>
      </c>
      <c r="W184" s="24">
        <v>1</v>
      </c>
      <c r="X184" s="24">
        <v>1</v>
      </c>
      <c r="Y184" s="24">
        <v>1</v>
      </c>
      <c r="Z184" s="24">
        <v>1</v>
      </c>
      <c r="AA184" s="24">
        <v>1</v>
      </c>
      <c r="AH184" s="5"/>
      <c r="AI184" s="5"/>
      <c r="AO184" s="5"/>
    </row>
    <row r="185" spans="10:41" x14ac:dyDescent="0.3">
      <c r="J185" s="24">
        <v>181</v>
      </c>
      <c r="K185" s="15" t="s">
        <v>35</v>
      </c>
      <c r="L185" s="15" t="s">
        <v>70</v>
      </c>
      <c r="M185" s="15" t="s">
        <v>36</v>
      </c>
      <c r="N185" s="15" t="s">
        <v>22</v>
      </c>
      <c r="O185" s="15" t="s">
        <v>36</v>
      </c>
      <c r="Q185" s="9">
        <v>8</v>
      </c>
      <c r="R185" s="9">
        <v>19</v>
      </c>
      <c r="S185" s="9">
        <v>10</v>
      </c>
      <c r="T185" s="9">
        <v>3</v>
      </c>
      <c r="U185" s="9">
        <v>10</v>
      </c>
      <c r="W185" s="24">
        <v>1</v>
      </c>
      <c r="X185" s="24">
        <v>1</v>
      </c>
      <c r="Y185" s="24">
        <v>1</v>
      </c>
      <c r="Z185" s="24">
        <v>1</v>
      </c>
      <c r="AA185" s="24">
        <v>1</v>
      </c>
      <c r="AH185" s="5"/>
      <c r="AI185" s="5"/>
      <c r="AO185" s="5"/>
    </row>
    <row r="186" spans="10:41" x14ac:dyDescent="0.3">
      <c r="J186" s="9">
        <v>182</v>
      </c>
      <c r="K186" s="15" t="s">
        <v>35</v>
      </c>
      <c r="L186" s="15" t="s">
        <v>68</v>
      </c>
      <c r="M186" s="15" t="s">
        <v>95</v>
      </c>
      <c r="N186" s="15" t="s">
        <v>22</v>
      </c>
      <c r="O186" s="15" t="s">
        <v>19</v>
      </c>
      <c r="Q186" s="9">
        <v>8</v>
      </c>
      <c r="R186" s="9">
        <v>18</v>
      </c>
      <c r="S186" s="9">
        <v>6</v>
      </c>
      <c r="T186" s="9">
        <v>3</v>
      </c>
      <c r="U186" s="9">
        <v>5</v>
      </c>
      <c r="W186" s="24">
        <v>1</v>
      </c>
      <c r="X186" s="24">
        <v>1</v>
      </c>
      <c r="Y186" s="24">
        <v>1</v>
      </c>
      <c r="Z186" s="24">
        <v>1</v>
      </c>
      <c r="AA186" s="24">
        <v>1</v>
      </c>
      <c r="AH186" s="5"/>
      <c r="AI186" s="5"/>
      <c r="AO186" s="5"/>
    </row>
    <row r="187" spans="10:41" x14ac:dyDescent="0.3">
      <c r="J187" s="24">
        <v>183</v>
      </c>
      <c r="K187" s="15" t="s">
        <v>35</v>
      </c>
      <c r="L187" s="15" t="s">
        <v>35</v>
      </c>
      <c r="M187" s="15" t="s">
        <v>21</v>
      </c>
      <c r="N187" s="15" t="s">
        <v>61</v>
      </c>
      <c r="O187" s="15" t="s">
        <v>37</v>
      </c>
      <c r="Q187" s="9">
        <v>8</v>
      </c>
      <c r="R187" s="9">
        <v>8</v>
      </c>
      <c r="S187" s="9">
        <v>2</v>
      </c>
      <c r="T187" s="9">
        <v>11</v>
      </c>
      <c r="U187" s="9">
        <v>7</v>
      </c>
      <c r="W187" s="24">
        <v>1</v>
      </c>
      <c r="X187" s="24">
        <v>1</v>
      </c>
      <c r="Y187" s="24">
        <v>1</v>
      </c>
      <c r="Z187" s="24">
        <v>1</v>
      </c>
      <c r="AA187" s="24">
        <v>1</v>
      </c>
      <c r="AH187" s="5"/>
      <c r="AI187" s="5"/>
      <c r="AO187" s="5"/>
    </row>
    <row r="188" spans="10:41" x14ac:dyDescent="0.3">
      <c r="J188" s="9">
        <v>184</v>
      </c>
      <c r="K188" s="15" t="s">
        <v>37</v>
      </c>
      <c r="L188" s="15" t="s">
        <v>61</v>
      </c>
      <c r="M188" s="15" t="s">
        <v>19</v>
      </c>
      <c r="N188" s="15" t="s">
        <v>20</v>
      </c>
      <c r="O188" s="15" t="s">
        <v>21</v>
      </c>
      <c r="Q188" s="9">
        <v>7</v>
      </c>
      <c r="R188" s="9">
        <v>11</v>
      </c>
      <c r="S188" s="9">
        <v>5</v>
      </c>
      <c r="T188" s="9">
        <v>1</v>
      </c>
      <c r="U188" s="9">
        <v>2</v>
      </c>
      <c r="W188" s="24">
        <v>1</v>
      </c>
      <c r="X188" s="24">
        <v>1</v>
      </c>
      <c r="Y188" s="24">
        <v>1</v>
      </c>
      <c r="Z188" s="24">
        <v>1</v>
      </c>
      <c r="AA188" s="24">
        <v>1</v>
      </c>
      <c r="AH188" s="5"/>
      <c r="AI188" s="5"/>
      <c r="AO188" s="5"/>
    </row>
    <row r="189" spans="10:41" x14ac:dyDescent="0.3">
      <c r="J189" s="24">
        <v>185</v>
      </c>
      <c r="K189" s="15" t="s">
        <v>95</v>
      </c>
      <c r="L189" s="15" t="s">
        <v>35</v>
      </c>
      <c r="M189" s="15" t="s">
        <v>95</v>
      </c>
      <c r="N189" s="15" t="s">
        <v>34</v>
      </c>
      <c r="O189" s="15" t="s">
        <v>18</v>
      </c>
      <c r="Q189" s="9">
        <v>6</v>
      </c>
      <c r="R189" s="9">
        <v>8</v>
      </c>
      <c r="S189" s="9">
        <v>6</v>
      </c>
      <c r="T189" s="9">
        <v>9</v>
      </c>
      <c r="U189" s="9">
        <v>4</v>
      </c>
      <c r="W189" s="24">
        <v>1</v>
      </c>
      <c r="X189" s="24">
        <v>1</v>
      </c>
      <c r="Y189" s="24">
        <v>1</v>
      </c>
      <c r="Z189" s="24">
        <v>1</v>
      </c>
      <c r="AA189" s="24">
        <v>1</v>
      </c>
      <c r="AH189" s="5"/>
      <c r="AI189" s="5"/>
      <c r="AO189" s="5"/>
    </row>
    <row r="190" spans="10:41" x14ac:dyDescent="0.3">
      <c r="J190" s="9">
        <v>186</v>
      </c>
      <c r="K190" s="15" t="s">
        <v>95</v>
      </c>
      <c r="L190" s="15" t="s">
        <v>20</v>
      </c>
      <c r="M190" s="15" t="s">
        <v>95</v>
      </c>
      <c r="N190" s="15" t="s">
        <v>35</v>
      </c>
      <c r="O190" s="15" t="s">
        <v>22</v>
      </c>
      <c r="Q190" s="9">
        <v>6</v>
      </c>
      <c r="R190" s="9">
        <v>1</v>
      </c>
      <c r="S190" s="9">
        <v>6</v>
      </c>
      <c r="T190" s="9">
        <v>8</v>
      </c>
      <c r="U190" s="9">
        <v>3</v>
      </c>
      <c r="W190" s="24">
        <v>1</v>
      </c>
      <c r="X190" s="24">
        <v>1</v>
      </c>
      <c r="Y190" s="24">
        <v>1</v>
      </c>
      <c r="Z190" s="24">
        <v>1</v>
      </c>
      <c r="AA190" s="24">
        <v>1</v>
      </c>
      <c r="AH190" s="5"/>
      <c r="AI190" s="5"/>
      <c r="AO190" s="5"/>
    </row>
    <row r="191" spans="10:41" x14ac:dyDescent="0.3">
      <c r="J191" s="24">
        <v>187</v>
      </c>
      <c r="K191" s="15" t="s">
        <v>35</v>
      </c>
      <c r="L191" s="15" t="s">
        <v>21</v>
      </c>
      <c r="M191" s="15" t="s">
        <v>37</v>
      </c>
      <c r="N191" s="15" t="s">
        <v>18</v>
      </c>
      <c r="O191" s="15" t="s">
        <v>19</v>
      </c>
      <c r="Q191" s="9">
        <v>8</v>
      </c>
      <c r="R191" s="9">
        <v>2</v>
      </c>
      <c r="S191" s="9">
        <v>7</v>
      </c>
      <c r="T191" s="9">
        <v>4</v>
      </c>
      <c r="U191" s="9">
        <v>5</v>
      </c>
      <c r="W191" s="24">
        <v>1</v>
      </c>
      <c r="X191" s="24">
        <v>1</v>
      </c>
      <c r="Y191" s="24">
        <v>1</v>
      </c>
      <c r="Z191" s="24">
        <v>1</v>
      </c>
      <c r="AA191" s="24">
        <v>1</v>
      </c>
      <c r="AH191" s="5"/>
      <c r="AI191" s="5"/>
      <c r="AO191" s="5"/>
    </row>
    <row r="192" spans="10:41" x14ac:dyDescent="0.3">
      <c r="J192" s="9">
        <v>188</v>
      </c>
      <c r="K192" s="15" t="s">
        <v>37</v>
      </c>
      <c r="L192" s="15" t="s">
        <v>19</v>
      </c>
      <c r="M192" s="15" t="s">
        <v>19</v>
      </c>
      <c r="N192" s="15" t="s">
        <v>70</v>
      </c>
      <c r="O192" s="15" t="s">
        <v>35</v>
      </c>
      <c r="Q192" s="9">
        <v>7</v>
      </c>
      <c r="R192" s="9">
        <v>5</v>
      </c>
      <c r="S192" s="9">
        <v>5</v>
      </c>
      <c r="T192" s="9">
        <v>19</v>
      </c>
      <c r="U192" s="9">
        <v>8</v>
      </c>
      <c r="W192" s="24">
        <v>1</v>
      </c>
      <c r="X192" s="24">
        <v>1</v>
      </c>
      <c r="Y192" s="24">
        <v>1</v>
      </c>
      <c r="Z192" s="24">
        <v>1</v>
      </c>
      <c r="AA192" s="24">
        <v>1</v>
      </c>
      <c r="AH192" s="5"/>
      <c r="AI192" s="5"/>
      <c r="AO192" s="5"/>
    </row>
    <row r="193" spans="10:41" x14ac:dyDescent="0.3">
      <c r="J193" s="24">
        <v>189</v>
      </c>
      <c r="K193" s="15" t="s">
        <v>37</v>
      </c>
      <c r="L193" s="15" t="s">
        <v>21</v>
      </c>
      <c r="M193" s="15" t="s">
        <v>37</v>
      </c>
      <c r="N193" s="15" t="s">
        <v>96</v>
      </c>
      <c r="O193" s="15" t="s">
        <v>18</v>
      </c>
      <c r="Q193" s="9">
        <v>7</v>
      </c>
      <c r="R193" s="9">
        <v>2</v>
      </c>
      <c r="S193" s="9">
        <v>7</v>
      </c>
      <c r="T193" s="9">
        <v>15</v>
      </c>
      <c r="U193" s="9">
        <v>4</v>
      </c>
      <c r="W193" s="24">
        <v>1</v>
      </c>
      <c r="X193" s="24">
        <v>1</v>
      </c>
      <c r="Y193" s="24">
        <v>1</v>
      </c>
      <c r="Z193" s="24">
        <v>1</v>
      </c>
      <c r="AA193" s="24">
        <v>1</v>
      </c>
      <c r="AH193" s="5"/>
      <c r="AI193" s="5"/>
      <c r="AO193" s="5"/>
    </row>
    <row r="194" spans="10:41" x14ac:dyDescent="0.3">
      <c r="J194" s="9">
        <v>190</v>
      </c>
      <c r="K194" s="15" t="s">
        <v>35</v>
      </c>
      <c r="L194" s="15" t="s">
        <v>81</v>
      </c>
      <c r="M194" s="15" t="s">
        <v>35</v>
      </c>
      <c r="N194" s="15" t="s">
        <v>22</v>
      </c>
      <c r="O194" s="15" t="s">
        <v>21</v>
      </c>
      <c r="Q194" s="9">
        <v>8</v>
      </c>
      <c r="R194" s="9">
        <v>17</v>
      </c>
      <c r="S194" s="9">
        <v>8</v>
      </c>
      <c r="T194" s="9">
        <v>3</v>
      </c>
      <c r="U194" s="9">
        <v>2</v>
      </c>
      <c r="W194" s="24">
        <v>1</v>
      </c>
      <c r="X194" s="24">
        <v>1</v>
      </c>
      <c r="Y194" s="24">
        <v>1</v>
      </c>
      <c r="Z194" s="24">
        <v>1</v>
      </c>
      <c r="AA194" s="24">
        <v>1</v>
      </c>
      <c r="AH194" s="5"/>
      <c r="AI194" s="5"/>
      <c r="AO194" s="5"/>
    </row>
    <row r="195" spans="10:41" x14ac:dyDescent="0.3">
      <c r="J195" s="24">
        <v>191</v>
      </c>
      <c r="K195" s="15" t="s">
        <v>19</v>
      </c>
      <c r="L195" s="15" t="s">
        <v>22</v>
      </c>
      <c r="M195" s="15" t="s">
        <v>19</v>
      </c>
      <c r="N195" s="15" t="s">
        <v>37</v>
      </c>
      <c r="O195" s="15" t="s">
        <v>21</v>
      </c>
      <c r="Q195" s="9">
        <v>5</v>
      </c>
      <c r="R195" s="9">
        <v>3</v>
      </c>
      <c r="S195" s="9">
        <v>5</v>
      </c>
      <c r="T195" s="9">
        <v>7</v>
      </c>
      <c r="U195" s="9">
        <v>2</v>
      </c>
      <c r="W195" s="24">
        <v>1</v>
      </c>
      <c r="X195" s="24">
        <v>1</v>
      </c>
      <c r="Y195" s="24">
        <v>1</v>
      </c>
      <c r="Z195" s="24">
        <v>1</v>
      </c>
      <c r="AA195" s="24">
        <v>1</v>
      </c>
      <c r="AH195" s="5"/>
      <c r="AI195" s="5"/>
      <c r="AO195" s="5"/>
    </row>
    <row r="196" spans="10:41" x14ac:dyDescent="0.3">
      <c r="J196" s="9">
        <v>192</v>
      </c>
      <c r="K196" s="15" t="s">
        <v>35</v>
      </c>
      <c r="L196" s="15" t="s">
        <v>65</v>
      </c>
      <c r="M196" s="15" t="s">
        <v>19</v>
      </c>
      <c r="N196" s="15" t="s">
        <v>95</v>
      </c>
      <c r="O196" s="15" t="s">
        <v>37</v>
      </c>
      <c r="Q196" s="9">
        <v>8</v>
      </c>
      <c r="R196" s="9">
        <v>16</v>
      </c>
      <c r="S196" s="9">
        <v>5</v>
      </c>
      <c r="T196" s="9">
        <v>6</v>
      </c>
      <c r="U196" s="9">
        <v>7</v>
      </c>
      <c r="W196" s="24">
        <v>1</v>
      </c>
      <c r="X196" s="24">
        <v>1</v>
      </c>
      <c r="Y196" s="24">
        <v>1</v>
      </c>
      <c r="Z196" s="24">
        <v>1</v>
      </c>
      <c r="AA196" s="24">
        <v>1</v>
      </c>
      <c r="AH196" s="5"/>
      <c r="AI196" s="5"/>
      <c r="AO196" s="5"/>
    </row>
    <row r="197" spans="10:41" x14ac:dyDescent="0.3">
      <c r="J197" s="24">
        <v>193</v>
      </c>
      <c r="K197" s="15" t="s">
        <v>37</v>
      </c>
      <c r="L197" s="15" t="s">
        <v>35</v>
      </c>
      <c r="M197" s="15" t="s">
        <v>95</v>
      </c>
      <c r="N197" s="15" t="s">
        <v>37</v>
      </c>
      <c r="O197" s="15" t="s">
        <v>34</v>
      </c>
      <c r="Q197" s="9">
        <v>7</v>
      </c>
      <c r="R197" s="9">
        <v>8</v>
      </c>
      <c r="S197" s="9">
        <v>6</v>
      </c>
      <c r="T197" s="9">
        <v>7</v>
      </c>
      <c r="U197" s="9">
        <v>9</v>
      </c>
      <c r="W197" s="24">
        <v>1</v>
      </c>
      <c r="X197" s="24">
        <v>1</v>
      </c>
      <c r="Y197" s="24">
        <v>1</v>
      </c>
      <c r="Z197" s="24">
        <v>1</v>
      </c>
      <c r="AA197" s="24">
        <v>1</v>
      </c>
      <c r="AH197" s="5"/>
      <c r="AI197" s="5"/>
      <c r="AO197" s="5"/>
    </row>
    <row r="198" spans="10:41" x14ac:dyDescent="0.3">
      <c r="J198" s="9">
        <v>194</v>
      </c>
      <c r="K198" s="15" t="s">
        <v>19</v>
      </c>
      <c r="L198" s="15" t="s">
        <v>35</v>
      </c>
      <c r="M198" s="15" t="s">
        <v>37</v>
      </c>
      <c r="N198" s="15" t="s">
        <v>36</v>
      </c>
      <c r="O198" s="15" t="s">
        <v>34</v>
      </c>
      <c r="Q198" s="9">
        <v>5</v>
      </c>
      <c r="R198" s="9">
        <v>8</v>
      </c>
      <c r="S198" s="9">
        <v>7</v>
      </c>
      <c r="T198" s="9">
        <v>10</v>
      </c>
      <c r="U198" s="9">
        <v>9</v>
      </c>
      <c r="W198" s="24">
        <v>1</v>
      </c>
      <c r="X198" s="24">
        <v>1</v>
      </c>
      <c r="Y198" s="24">
        <v>1</v>
      </c>
      <c r="Z198" s="24">
        <v>1</v>
      </c>
      <c r="AA198" s="24">
        <v>1</v>
      </c>
      <c r="AH198" s="5"/>
      <c r="AI198" s="5"/>
      <c r="AO198" s="5"/>
    </row>
    <row r="199" spans="10:41" x14ac:dyDescent="0.3">
      <c r="J199" s="24">
        <v>195</v>
      </c>
      <c r="K199" s="15" t="s">
        <v>37</v>
      </c>
      <c r="L199" s="15" t="s">
        <v>35</v>
      </c>
      <c r="M199" s="15" t="s">
        <v>37</v>
      </c>
      <c r="N199" s="15" t="s">
        <v>63</v>
      </c>
      <c r="O199" s="15" t="s">
        <v>35</v>
      </c>
      <c r="Q199" s="9">
        <v>7</v>
      </c>
      <c r="R199" s="9">
        <v>8</v>
      </c>
      <c r="S199" s="9">
        <v>7</v>
      </c>
      <c r="T199" s="9">
        <v>13</v>
      </c>
      <c r="U199" s="9">
        <v>8</v>
      </c>
      <c r="W199" s="24">
        <v>1</v>
      </c>
      <c r="X199" s="24">
        <v>1</v>
      </c>
      <c r="Y199" s="24">
        <v>1</v>
      </c>
      <c r="Z199" s="24">
        <v>1</v>
      </c>
      <c r="AA199" s="24">
        <v>1</v>
      </c>
      <c r="AH199" s="5"/>
      <c r="AI199" s="5"/>
      <c r="AO199" s="5"/>
    </row>
    <row r="200" spans="10:41" x14ac:dyDescent="0.3">
      <c r="J200" s="9">
        <v>196</v>
      </c>
      <c r="K200" s="15" t="s">
        <v>19</v>
      </c>
      <c r="L200" s="15" t="s">
        <v>22</v>
      </c>
      <c r="M200" s="15" t="s">
        <v>37</v>
      </c>
      <c r="N200" s="15" t="s">
        <v>20</v>
      </c>
      <c r="O200" s="15" t="s">
        <v>95</v>
      </c>
      <c r="Q200" s="9">
        <v>5</v>
      </c>
      <c r="R200" s="9">
        <v>3</v>
      </c>
      <c r="S200" s="9">
        <v>7</v>
      </c>
      <c r="T200" s="9">
        <v>1</v>
      </c>
      <c r="U200" s="9">
        <v>6</v>
      </c>
      <c r="W200" s="24">
        <v>1</v>
      </c>
      <c r="X200" s="24">
        <v>1</v>
      </c>
      <c r="Y200" s="24">
        <v>1</v>
      </c>
      <c r="Z200" s="24">
        <v>1</v>
      </c>
      <c r="AA200" s="24">
        <v>1</v>
      </c>
      <c r="AH200" s="5"/>
      <c r="AI200" s="5"/>
      <c r="AO200" s="5"/>
    </row>
    <row r="201" spans="10:41" x14ac:dyDescent="0.3">
      <c r="J201" s="24">
        <v>197</v>
      </c>
      <c r="K201" s="15" t="s">
        <v>37</v>
      </c>
      <c r="L201" s="15" t="s">
        <v>22</v>
      </c>
      <c r="M201" s="15" t="s">
        <v>95</v>
      </c>
      <c r="N201" s="15" t="s">
        <v>21</v>
      </c>
      <c r="O201" s="15" t="s">
        <v>35</v>
      </c>
      <c r="Q201" s="9">
        <v>7</v>
      </c>
      <c r="R201" s="9">
        <v>3</v>
      </c>
      <c r="S201" s="9">
        <v>6</v>
      </c>
      <c r="T201" s="9">
        <v>2</v>
      </c>
      <c r="U201" s="9">
        <v>8</v>
      </c>
      <c r="W201" s="24">
        <v>1</v>
      </c>
      <c r="X201" s="24">
        <v>1</v>
      </c>
      <c r="Y201" s="24">
        <v>1</v>
      </c>
      <c r="Z201" s="24">
        <v>1</v>
      </c>
      <c r="AA201" s="24">
        <v>1</v>
      </c>
      <c r="AH201" s="5"/>
      <c r="AI201" s="5"/>
      <c r="AO201" s="5"/>
    </row>
    <row r="202" spans="10:41" x14ac:dyDescent="0.3">
      <c r="J202" s="9">
        <v>198</v>
      </c>
      <c r="K202" s="15" t="s">
        <v>37</v>
      </c>
      <c r="L202" s="15" t="s">
        <v>70</v>
      </c>
      <c r="M202" s="15" t="s">
        <v>95</v>
      </c>
      <c r="N202" s="15" t="s">
        <v>21</v>
      </c>
      <c r="O202" s="15" t="s">
        <v>21</v>
      </c>
      <c r="Q202" s="9">
        <v>7</v>
      </c>
      <c r="R202" s="9">
        <v>19</v>
      </c>
      <c r="S202" s="9">
        <v>6</v>
      </c>
      <c r="T202" s="9">
        <v>2</v>
      </c>
      <c r="U202" s="9">
        <v>2</v>
      </c>
      <c r="W202" s="24">
        <v>1</v>
      </c>
      <c r="X202" s="24">
        <v>1</v>
      </c>
      <c r="Y202" s="24">
        <v>1</v>
      </c>
      <c r="Z202" s="24">
        <v>1</v>
      </c>
      <c r="AA202" s="24">
        <v>1</v>
      </c>
      <c r="AH202" s="5"/>
      <c r="AI202" s="5"/>
      <c r="AO202" s="5"/>
    </row>
    <row r="203" spans="10:41" x14ac:dyDescent="0.3">
      <c r="J203" s="24">
        <v>199</v>
      </c>
      <c r="K203" s="15" t="s">
        <v>35</v>
      </c>
      <c r="L203" s="15" t="s">
        <v>20</v>
      </c>
      <c r="M203" s="15" t="s">
        <v>95</v>
      </c>
      <c r="N203" s="15" t="s">
        <v>65</v>
      </c>
      <c r="O203" s="15" t="s">
        <v>34</v>
      </c>
      <c r="Q203" s="9">
        <v>8</v>
      </c>
      <c r="R203" s="9">
        <v>1</v>
      </c>
      <c r="S203" s="9">
        <v>6</v>
      </c>
      <c r="T203" s="9">
        <v>16</v>
      </c>
      <c r="U203" s="9">
        <v>9</v>
      </c>
      <c r="W203" s="24">
        <v>1</v>
      </c>
      <c r="X203" s="24">
        <v>1</v>
      </c>
      <c r="Y203" s="24">
        <v>1</v>
      </c>
      <c r="Z203" s="24">
        <v>1</v>
      </c>
      <c r="AA203" s="24">
        <v>1</v>
      </c>
      <c r="AH203" s="5"/>
      <c r="AI203" s="5"/>
      <c r="AO203" s="5"/>
    </row>
    <row r="204" spans="10:41" x14ac:dyDescent="0.3">
      <c r="J204" s="9"/>
      <c r="K204" s="15"/>
      <c r="L204" s="15"/>
      <c r="M204" s="15"/>
      <c r="N204" s="15"/>
      <c r="O204" s="15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4"/>
      <c r="X204" s="24"/>
      <c r="Y204" s="24"/>
      <c r="Z204" s="24"/>
      <c r="AA204" s="24"/>
      <c r="AH204" s="5"/>
      <c r="AI204" s="5"/>
      <c r="AO204" s="5"/>
    </row>
    <row r="205" spans="10:41" x14ac:dyDescent="0.3">
      <c r="J205" s="24"/>
      <c r="K205" s="15"/>
      <c r="L205" s="15"/>
      <c r="M205" s="15"/>
      <c r="N205" s="15"/>
      <c r="O205" s="15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4"/>
      <c r="X205" s="24"/>
      <c r="Y205" s="24"/>
      <c r="Z205" s="24"/>
      <c r="AA205" s="24"/>
      <c r="AH205" s="5"/>
      <c r="AI205" s="5"/>
      <c r="AO205" s="5"/>
    </row>
    <row r="206" spans="10:41" x14ac:dyDescent="0.3">
      <c r="J206" s="24"/>
      <c r="K206" s="15"/>
      <c r="L206" s="15"/>
      <c r="M206" s="15"/>
      <c r="N206" s="15"/>
      <c r="O206" s="15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4"/>
      <c r="X206" s="24"/>
      <c r="Y206" s="24"/>
      <c r="Z206" s="24"/>
      <c r="AA206" s="24"/>
      <c r="AH206" s="5"/>
      <c r="AI206" s="5"/>
      <c r="AO206" s="5"/>
    </row>
    <row r="207" spans="10:41" x14ac:dyDescent="0.3">
      <c r="J207" s="9"/>
      <c r="K207" s="15"/>
      <c r="L207" s="15"/>
      <c r="M207" s="15"/>
      <c r="N207" s="15"/>
      <c r="O207" s="15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4"/>
      <c r="X207" s="24"/>
      <c r="Y207" s="24"/>
      <c r="Z207" s="24"/>
      <c r="AA207" s="24"/>
      <c r="AH207" s="5"/>
      <c r="AI207" s="5"/>
      <c r="AO207" s="5"/>
    </row>
    <row r="208" spans="10:41" x14ac:dyDescent="0.3">
      <c r="J208" s="24"/>
      <c r="K208" s="15"/>
      <c r="L208" s="15"/>
      <c r="M208" s="15"/>
      <c r="N208" s="15"/>
      <c r="O208" s="15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4"/>
      <c r="X208" s="24"/>
      <c r="Y208" s="24"/>
      <c r="Z208" s="24"/>
      <c r="AA208" s="24"/>
      <c r="AH208" s="5"/>
      <c r="AI208" s="5"/>
      <c r="AO208" s="5"/>
    </row>
    <row r="209" spans="10:41" x14ac:dyDescent="0.3">
      <c r="J209" s="9"/>
      <c r="K209" s="15"/>
      <c r="L209" s="15"/>
      <c r="M209" s="15"/>
      <c r="N209" s="15"/>
      <c r="O209" s="15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4"/>
      <c r="X209" s="24"/>
      <c r="Y209" s="24"/>
      <c r="Z209" s="24"/>
      <c r="AA209" s="24"/>
      <c r="AH209" s="5"/>
      <c r="AI209" s="5"/>
      <c r="AO209" s="5"/>
    </row>
    <row r="210" spans="10:41" x14ac:dyDescent="0.3">
      <c r="J210" s="24"/>
      <c r="K210" s="15"/>
      <c r="L210" s="15"/>
      <c r="M210" s="15"/>
      <c r="N210" s="15"/>
      <c r="O210" s="15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4"/>
      <c r="X210" s="24"/>
      <c r="Y210" s="24"/>
      <c r="Z210" s="24"/>
      <c r="AA210" s="24"/>
      <c r="AH210" s="5"/>
      <c r="AI210" s="5"/>
      <c r="AO210" s="5"/>
    </row>
    <row r="211" spans="10:41" x14ac:dyDescent="0.3">
      <c r="J211" s="9"/>
      <c r="K211" s="15"/>
      <c r="L211" s="15"/>
      <c r="M211" s="15"/>
      <c r="N211" s="15"/>
      <c r="O211" s="15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4"/>
      <c r="X211" s="24"/>
      <c r="Y211" s="24"/>
      <c r="Z211" s="24"/>
      <c r="AA211" s="24"/>
      <c r="AH211" s="5"/>
      <c r="AI211" s="5"/>
      <c r="AO211" s="5"/>
    </row>
    <row r="212" spans="10:41" x14ac:dyDescent="0.3">
      <c r="J212" s="24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4"/>
      <c r="X212" s="24"/>
      <c r="Y212" s="24"/>
      <c r="Z212" s="24"/>
      <c r="AA212" s="24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4"/>
      <c r="X213" s="24"/>
      <c r="Y213" s="24"/>
      <c r="Z213" s="24"/>
      <c r="AA213" s="24"/>
      <c r="AH213" s="5"/>
      <c r="AI213" s="5"/>
      <c r="AO213" s="5"/>
    </row>
    <row r="214" spans="10:41" x14ac:dyDescent="0.3">
      <c r="J214" s="24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4"/>
      <c r="X214" s="24"/>
      <c r="Y214" s="24"/>
      <c r="Z214" s="24"/>
      <c r="AA214" s="24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4"/>
      <c r="X215" s="24"/>
      <c r="Y215" s="24"/>
      <c r="Z215" s="24"/>
      <c r="AA215" s="24"/>
      <c r="AH215" s="5"/>
      <c r="AI215" s="5"/>
      <c r="AO215" s="5"/>
    </row>
    <row r="216" spans="10:41" x14ac:dyDescent="0.3">
      <c r="J216" s="24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4"/>
      <c r="X216" s="24"/>
      <c r="Y216" s="24"/>
      <c r="Z216" s="24"/>
      <c r="AA216" s="24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4"/>
      <c r="X217" s="24"/>
      <c r="Y217" s="24"/>
      <c r="Z217" s="24"/>
      <c r="AA217" s="24"/>
      <c r="AH217" s="5"/>
      <c r="AI217" s="5"/>
      <c r="AO217" s="5"/>
    </row>
    <row r="218" spans="10:41" x14ac:dyDescent="0.3">
      <c r="J218" s="24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4"/>
      <c r="X218" s="24"/>
      <c r="Y218" s="24"/>
      <c r="Z218" s="24"/>
      <c r="AA218" s="24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4"/>
      <c r="X219" s="24"/>
      <c r="Y219" s="24"/>
      <c r="Z219" s="24"/>
      <c r="AA219" s="24"/>
      <c r="AH219" s="5"/>
      <c r="AI219" s="5"/>
      <c r="AO219" s="5"/>
    </row>
    <row r="220" spans="10:41" x14ac:dyDescent="0.3">
      <c r="J220" s="24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4"/>
      <c r="X220" s="24"/>
      <c r="Y220" s="24"/>
      <c r="Z220" s="24"/>
      <c r="AA220" s="24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4"/>
      <c r="X221" s="24"/>
      <c r="Y221" s="24"/>
      <c r="Z221" s="24"/>
      <c r="AA221" s="24"/>
      <c r="AH221" s="5"/>
      <c r="AI221" s="5"/>
      <c r="AO221" s="5"/>
    </row>
    <row r="222" spans="10:41" x14ac:dyDescent="0.3">
      <c r="J222" s="24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4"/>
      <c r="X222" s="24"/>
      <c r="Y222" s="24"/>
      <c r="Z222" s="24"/>
      <c r="AA222" s="24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4"/>
      <c r="X223" s="24"/>
      <c r="Y223" s="24"/>
      <c r="Z223" s="24"/>
      <c r="AA223" s="24"/>
      <c r="AH223" s="5"/>
      <c r="AI223" s="5"/>
      <c r="AO223" s="5"/>
    </row>
    <row r="224" spans="10:41" x14ac:dyDescent="0.3">
      <c r="J224" s="24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4"/>
      <c r="X224" s="24"/>
      <c r="Y224" s="24"/>
      <c r="Z224" s="24"/>
      <c r="AA224" s="24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4"/>
      <c r="X225" s="24"/>
      <c r="Y225" s="24"/>
      <c r="Z225" s="24"/>
      <c r="AA225" s="24"/>
      <c r="AH225" s="5"/>
      <c r="AI225" s="5"/>
      <c r="AO225" s="5"/>
    </row>
    <row r="226" spans="10:41" x14ac:dyDescent="0.3">
      <c r="J226" s="24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4"/>
      <c r="X226" s="24"/>
      <c r="Y226" s="24"/>
      <c r="Z226" s="24"/>
      <c r="AA226" s="24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4"/>
      <c r="X227" s="24"/>
      <c r="Y227" s="24"/>
      <c r="Z227" s="24"/>
      <c r="AA227" s="24"/>
      <c r="AH227" s="5"/>
      <c r="AI227" s="5"/>
      <c r="AO227" s="5"/>
    </row>
    <row r="228" spans="10:41" x14ac:dyDescent="0.3">
      <c r="J228" s="24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4"/>
      <c r="X228" s="24"/>
      <c r="Y228" s="24"/>
      <c r="Z228" s="24"/>
      <c r="AA228" s="24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4"/>
      <c r="X229" s="24"/>
      <c r="Y229" s="24"/>
      <c r="Z229" s="24"/>
      <c r="AA229" s="24"/>
      <c r="AH229" s="5"/>
      <c r="AI229" s="5"/>
      <c r="AO229" s="5"/>
    </row>
    <row r="230" spans="10:41" x14ac:dyDescent="0.3">
      <c r="J230" s="24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4"/>
      <c r="X230" s="24"/>
      <c r="Y230" s="24"/>
      <c r="Z230" s="24"/>
      <c r="AA230" s="24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4"/>
      <c r="X231" s="24"/>
      <c r="Y231" s="24"/>
      <c r="Z231" s="24"/>
      <c r="AA231" s="24"/>
      <c r="AH231" s="5"/>
      <c r="AI231" s="5"/>
      <c r="AO231" s="5"/>
    </row>
    <row r="232" spans="10:41" x14ac:dyDescent="0.3">
      <c r="J232" s="24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4"/>
      <c r="X232" s="24"/>
      <c r="Y232" s="24"/>
      <c r="Z232" s="24"/>
      <c r="AA232" s="24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4"/>
      <c r="X233" s="24"/>
      <c r="Y233" s="24"/>
      <c r="Z233" s="24"/>
      <c r="AA233" s="24"/>
      <c r="AH233" s="5"/>
      <c r="AI233" s="5"/>
      <c r="AO233" s="5"/>
    </row>
    <row r="234" spans="10:41" x14ac:dyDescent="0.3">
      <c r="J234" s="24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4"/>
      <c r="X234" s="24"/>
      <c r="Y234" s="24"/>
      <c r="Z234" s="24"/>
      <c r="AA234" s="24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4"/>
      <c r="X235" s="24"/>
      <c r="Y235" s="24"/>
      <c r="Z235" s="24"/>
      <c r="AA235" s="24"/>
      <c r="AH235" s="5"/>
      <c r="AI235" s="5"/>
      <c r="AO235" s="5"/>
    </row>
    <row r="236" spans="10:41" x14ac:dyDescent="0.3">
      <c r="J236" s="24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4"/>
      <c r="X236" s="24"/>
      <c r="Y236" s="24"/>
      <c r="Z236" s="24"/>
      <c r="AA236" s="24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4"/>
      <c r="X237" s="24"/>
      <c r="Y237" s="24"/>
      <c r="Z237" s="24"/>
      <c r="AA237" s="24"/>
      <c r="AH237" s="5"/>
      <c r="AI237" s="5"/>
      <c r="AO237" s="5"/>
    </row>
    <row r="238" spans="10:41" x14ac:dyDescent="0.3">
      <c r="J238" s="24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4"/>
      <c r="X238" s="24"/>
      <c r="Y238" s="24"/>
      <c r="Z238" s="24"/>
      <c r="AA238" s="24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4"/>
      <c r="X239" s="24"/>
      <c r="Y239" s="24"/>
      <c r="Z239" s="24"/>
      <c r="AA239" s="24"/>
      <c r="AH239" s="5"/>
      <c r="AI239" s="5"/>
      <c r="AO239" s="5"/>
    </row>
    <row r="240" spans="10:41" x14ac:dyDescent="0.3">
      <c r="J240" s="24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4"/>
      <c r="X240" s="24"/>
      <c r="Y240" s="24"/>
      <c r="Z240" s="24"/>
      <c r="AA240" s="24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4"/>
      <c r="X241" s="24"/>
      <c r="Y241" s="24"/>
      <c r="Z241" s="24"/>
      <c r="AA241" s="24"/>
      <c r="AH241" s="5"/>
      <c r="AI241" s="5"/>
      <c r="AO241" s="5"/>
    </row>
    <row r="242" spans="10:41" x14ac:dyDescent="0.3">
      <c r="J242" s="24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4"/>
      <c r="X242" s="24"/>
      <c r="Y242" s="24"/>
      <c r="Z242" s="24"/>
      <c r="AA242" s="24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4"/>
      <c r="X243" s="24"/>
      <c r="Y243" s="24"/>
      <c r="Z243" s="24"/>
      <c r="AA243" s="24"/>
      <c r="AH243" s="5"/>
      <c r="AI243" s="5"/>
      <c r="AO243" s="5"/>
    </row>
    <row r="244" spans="10:41" x14ac:dyDescent="0.3">
      <c r="J244" s="24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4"/>
      <c r="X244" s="24"/>
      <c r="Y244" s="24"/>
      <c r="Z244" s="24"/>
      <c r="AA244" s="24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4"/>
      <c r="X245" s="24"/>
      <c r="Y245" s="24"/>
      <c r="Z245" s="24"/>
      <c r="AA245" s="24"/>
      <c r="AH245" s="5"/>
      <c r="AI245" s="5"/>
      <c r="AO245" s="5"/>
    </row>
    <row r="246" spans="10:41" x14ac:dyDescent="0.3">
      <c r="J246" s="24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4"/>
      <c r="X246" s="24"/>
      <c r="Y246" s="24"/>
      <c r="Z246" s="24"/>
      <c r="AA246" s="24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4"/>
      <c r="X247" s="24"/>
      <c r="Y247" s="24"/>
      <c r="Z247" s="24"/>
      <c r="AA247" s="24"/>
      <c r="AH247" s="5"/>
      <c r="AI247" s="5"/>
      <c r="AO247" s="5"/>
    </row>
    <row r="248" spans="10:41" x14ac:dyDescent="0.3">
      <c r="J248" s="24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4"/>
      <c r="X248" s="24"/>
      <c r="Y248" s="24"/>
      <c r="Z248" s="24"/>
      <c r="AA248" s="24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4"/>
      <c r="X249" s="24"/>
      <c r="Y249" s="24"/>
      <c r="Z249" s="24"/>
      <c r="AA249" s="24"/>
      <c r="AH249" s="5"/>
      <c r="AI249" s="5"/>
      <c r="AO249" s="5"/>
    </row>
    <row r="250" spans="10:41" x14ac:dyDescent="0.3">
      <c r="J250" s="24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4"/>
      <c r="X250" s="24"/>
      <c r="Y250" s="24"/>
      <c r="Z250" s="24"/>
      <c r="AA250" s="24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4"/>
      <c r="X251" s="24"/>
      <c r="Y251" s="24"/>
      <c r="Z251" s="24"/>
      <c r="AA251" s="24"/>
      <c r="AH251" s="5"/>
      <c r="AI251" s="5"/>
      <c r="AO251" s="5"/>
    </row>
    <row r="252" spans="10:41" x14ac:dyDescent="0.3">
      <c r="J252" s="24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4"/>
      <c r="X252" s="24"/>
      <c r="Y252" s="24"/>
      <c r="Z252" s="24"/>
      <c r="AA252" s="24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4"/>
      <c r="X253" s="24"/>
      <c r="Y253" s="24"/>
      <c r="Z253" s="24"/>
      <c r="AA253" s="24"/>
      <c r="AH253" s="5"/>
      <c r="AI253" s="5"/>
      <c r="AO253" s="5"/>
    </row>
    <row r="254" spans="10:41" x14ac:dyDescent="0.3">
      <c r="J254" s="24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4"/>
      <c r="X254" s="24"/>
      <c r="Y254" s="24"/>
      <c r="Z254" s="24"/>
      <c r="AA254" s="24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4"/>
      <c r="X255" s="24"/>
      <c r="Y255" s="24"/>
      <c r="Z255" s="24"/>
      <c r="AA255" s="24"/>
      <c r="AH255" s="5"/>
      <c r="AI255" s="5"/>
      <c r="AO255" s="5"/>
    </row>
    <row r="256" spans="10:41" x14ac:dyDescent="0.3">
      <c r="J256" s="24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4"/>
      <c r="X256" s="24"/>
      <c r="Y256" s="24"/>
      <c r="Z256" s="24"/>
      <c r="AA256" s="24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4"/>
      <c r="X257" s="24"/>
      <c r="Y257" s="24"/>
      <c r="Z257" s="24"/>
      <c r="AA257" s="24"/>
      <c r="AH257" s="5"/>
      <c r="AI257" s="5"/>
      <c r="AO257" s="5"/>
    </row>
    <row r="258" spans="10:41" x14ac:dyDescent="0.3">
      <c r="J258" s="24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4"/>
      <c r="X258" s="24"/>
      <c r="Y258" s="24"/>
      <c r="Z258" s="24"/>
      <c r="AA258" s="24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4"/>
      <c r="X259" s="24"/>
      <c r="Y259" s="24"/>
      <c r="Z259" s="24"/>
      <c r="AA259" s="24"/>
      <c r="AH259" s="5"/>
      <c r="AI259" s="5"/>
      <c r="AO259" s="5"/>
    </row>
    <row r="260" spans="10:41" x14ac:dyDescent="0.3">
      <c r="J260" s="24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4"/>
      <c r="X260" s="24"/>
      <c r="Y260" s="24"/>
      <c r="Z260" s="24"/>
      <c r="AA260" s="24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4"/>
      <c r="X261" s="24"/>
      <c r="Y261" s="24"/>
      <c r="Z261" s="24"/>
      <c r="AA261" s="24"/>
      <c r="AH261" s="5"/>
      <c r="AI261" s="5"/>
      <c r="AO261" s="5"/>
    </row>
    <row r="262" spans="10:41" x14ac:dyDescent="0.3">
      <c r="J262" s="24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4"/>
      <c r="X262" s="24"/>
      <c r="Y262" s="24"/>
      <c r="Z262" s="24"/>
      <c r="AA262" s="24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4"/>
      <c r="X263" s="24"/>
      <c r="Y263" s="24"/>
      <c r="Z263" s="24"/>
      <c r="AA263" s="24"/>
      <c r="AH263" s="5"/>
      <c r="AI263" s="5"/>
      <c r="AO263" s="5"/>
    </row>
    <row r="264" spans="10:41" x14ac:dyDescent="0.3">
      <c r="J264" s="24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4"/>
      <c r="X264" s="24"/>
      <c r="Y264" s="24"/>
      <c r="Z264" s="24"/>
      <c r="AA264" s="24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4"/>
      <c r="X265" s="24"/>
      <c r="Y265" s="24"/>
      <c r="Z265" s="24"/>
      <c r="AA265" s="24"/>
      <c r="AH265" s="5"/>
      <c r="AI265" s="5"/>
      <c r="AO265" s="5"/>
    </row>
    <row r="266" spans="10:41" x14ac:dyDescent="0.3">
      <c r="J266" s="24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4"/>
      <c r="X266" s="24"/>
      <c r="Y266" s="24"/>
      <c r="Z266" s="24"/>
      <c r="AA266" s="24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4"/>
      <c r="X267" s="24"/>
      <c r="Y267" s="24"/>
      <c r="Z267" s="24"/>
      <c r="AA267" s="24"/>
      <c r="AH267" s="5"/>
      <c r="AI267" s="5"/>
      <c r="AO267" s="5"/>
    </row>
    <row r="268" spans="10:41" x14ac:dyDescent="0.3">
      <c r="J268" s="24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4"/>
      <c r="X268" s="24"/>
      <c r="Y268" s="24"/>
      <c r="Z268" s="24"/>
      <c r="AA268" s="24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4"/>
      <c r="X269" s="24"/>
      <c r="Y269" s="24"/>
      <c r="Z269" s="24"/>
      <c r="AA269" s="24"/>
      <c r="AH269" s="5"/>
      <c r="AI269" s="5"/>
      <c r="AO269" s="5"/>
    </row>
    <row r="270" spans="10:41" x14ac:dyDescent="0.3">
      <c r="J270" s="24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4"/>
      <c r="X270" s="24"/>
      <c r="Y270" s="24"/>
      <c r="Z270" s="24"/>
      <c r="AA270" s="24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4"/>
      <c r="X271" s="24"/>
      <c r="Y271" s="24"/>
      <c r="Z271" s="24"/>
      <c r="AA271" s="24"/>
      <c r="AH271" s="5"/>
      <c r="AI271" s="5"/>
      <c r="AO271" s="5"/>
    </row>
    <row r="272" spans="10:41" x14ac:dyDescent="0.3">
      <c r="J272" s="24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4"/>
      <c r="X272" s="24"/>
      <c r="Y272" s="24"/>
      <c r="Z272" s="24"/>
      <c r="AA272" s="24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4"/>
      <c r="X273" s="24"/>
      <c r="Y273" s="24"/>
      <c r="Z273" s="24"/>
      <c r="AA273" s="24"/>
      <c r="AH273" s="5"/>
      <c r="AI273" s="5"/>
      <c r="AO273" s="5"/>
    </row>
    <row r="274" spans="10:41" x14ac:dyDescent="0.3">
      <c r="J274" s="24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4"/>
      <c r="X274" s="24"/>
      <c r="Y274" s="24"/>
      <c r="Z274" s="24"/>
      <c r="AA274" s="24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4"/>
      <c r="X275" s="24"/>
      <c r="Y275" s="24"/>
      <c r="Z275" s="24"/>
      <c r="AA275" s="24"/>
      <c r="AH275" s="5"/>
      <c r="AI275" s="5"/>
      <c r="AO275" s="5"/>
    </row>
    <row r="276" spans="10:41" x14ac:dyDescent="0.3">
      <c r="J276" s="24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4"/>
      <c r="X276" s="24"/>
      <c r="Y276" s="24"/>
      <c r="Z276" s="24"/>
      <c r="AA276" s="24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4"/>
      <c r="X277" s="24"/>
      <c r="Y277" s="24"/>
      <c r="Z277" s="24"/>
      <c r="AA277" s="24"/>
      <c r="AH277" s="5"/>
      <c r="AI277" s="5"/>
      <c r="AO277" s="5"/>
    </row>
    <row r="278" spans="10:41" x14ac:dyDescent="0.3">
      <c r="J278" s="24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4"/>
      <c r="X278" s="24"/>
      <c r="Y278" s="24"/>
      <c r="Z278" s="24"/>
      <c r="AA278" s="24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4"/>
      <c r="X279" s="24"/>
      <c r="Y279" s="24"/>
      <c r="Z279" s="24"/>
      <c r="AA279" s="24"/>
      <c r="AH279" s="5"/>
      <c r="AI279" s="5"/>
      <c r="AO279" s="5"/>
    </row>
    <row r="280" spans="10:41" x14ac:dyDescent="0.3">
      <c r="J280" s="24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4"/>
      <c r="X280" s="24"/>
      <c r="Y280" s="24"/>
      <c r="Z280" s="24"/>
      <c r="AA280" s="24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4"/>
      <c r="X281" s="24"/>
      <c r="Y281" s="24"/>
      <c r="Z281" s="24"/>
      <c r="AA281" s="24"/>
      <c r="AH281" s="5"/>
      <c r="AI281" s="5"/>
      <c r="AO281" s="5"/>
    </row>
    <row r="282" spans="10:41" x14ac:dyDescent="0.3">
      <c r="J282" s="24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4"/>
      <c r="X282" s="24"/>
      <c r="Y282" s="24"/>
      <c r="Z282" s="24"/>
      <c r="AA282" s="24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4"/>
      <c r="X283" s="24"/>
      <c r="Y283" s="24"/>
      <c r="Z283" s="24"/>
      <c r="AA283" s="24"/>
      <c r="AH283" s="5"/>
      <c r="AI283" s="5"/>
      <c r="AO283" s="5"/>
    </row>
    <row r="284" spans="10:41" x14ac:dyDescent="0.3">
      <c r="J284" s="24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4"/>
      <c r="X284" s="24"/>
      <c r="Y284" s="24"/>
      <c r="Z284" s="24"/>
      <c r="AA284" s="24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4"/>
      <c r="X285" s="24"/>
      <c r="Y285" s="24"/>
      <c r="Z285" s="24"/>
      <c r="AA285" s="24"/>
      <c r="AH285" s="5"/>
      <c r="AI285" s="5"/>
      <c r="AO285" s="5"/>
    </row>
    <row r="286" spans="10:41" x14ac:dyDescent="0.3">
      <c r="J286" s="24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4"/>
      <c r="X286" s="24"/>
      <c r="Y286" s="24"/>
      <c r="Z286" s="24"/>
      <c r="AA286" s="24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4"/>
      <c r="X287" s="24"/>
      <c r="Y287" s="24"/>
      <c r="Z287" s="24"/>
      <c r="AA287" s="24"/>
      <c r="AH287" s="5"/>
      <c r="AI287" s="5"/>
      <c r="AO287" s="5"/>
    </row>
    <row r="288" spans="10:41" x14ac:dyDescent="0.3">
      <c r="J288" s="24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4"/>
      <c r="X288" s="24"/>
      <c r="Y288" s="24"/>
      <c r="Z288" s="24"/>
      <c r="AA288" s="24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4"/>
      <c r="X289" s="24"/>
      <c r="Y289" s="24"/>
      <c r="Z289" s="24"/>
      <c r="AA289" s="24"/>
      <c r="AH289" s="5"/>
      <c r="AI289" s="5"/>
      <c r="AO289" s="5"/>
    </row>
    <row r="290" spans="10:41" x14ac:dyDescent="0.3">
      <c r="J290" s="24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4"/>
      <c r="X290" s="24"/>
      <c r="Y290" s="24"/>
      <c r="Z290" s="24"/>
      <c r="AA290" s="24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4"/>
      <c r="X291" s="24"/>
      <c r="Y291" s="24"/>
      <c r="Z291" s="24"/>
      <c r="AA291" s="24"/>
      <c r="AH291" s="5"/>
      <c r="AI291" s="5"/>
      <c r="AO291" s="5"/>
    </row>
    <row r="292" spans="10:41" x14ac:dyDescent="0.3">
      <c r="J292" s="24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4"/>
      <c r="X292" s="24"/>
      <c r="Y292" s="24"/>
      <c r="Z292" s="24"/>
      <c r="AA292" s="24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4"/>
      <c r="X293" s="24"/>
      <c r="Y293" s="24"/>
      <c r="Z293" s="24"/>
      <c r="AA293" s="24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4"/>
      <c r="X294" s="24"/>
      <c r="Y294" s="24"/>
      <c r="Z294" s="24"/>
      <c r="AA294" s="24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4"/>
      <c r="X295" s="24"/>
      <c r="Y295" s="24"/>
      <c r="Z295" s="24"/>
      <c r="AA295" s="24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4"/>
      <c r="X296" s="24"/>
      <c r="Y296" s="24"/>
      <c r="Z296" s="24"/>
      <c r="AA296" s="24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4"/>
      <c r="X297" s="24"/>
      <c r="Y297" s="24"/>
      <c r="Z297" s="24"/>
      <c r="AA297" s="24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4"/>
      <c r="X298" s="24"/>
      <c r="Y298" s="24"/>
      <c r="Z298" s="24"/>
      <c r="AA298" s="24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4"/>
      <c r="X299" s="24"/>
      <c r="Y299" s="24"/>
      <c r="Z299" s="24"/>
      <c r="AA299" s="24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4"/>
      <c r="X300" s="24"/>
      <c r="Y300" s="24"/>
      <c r="Z300" s="24"/>
      <c r="AA300" s="24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4"/>
      <c r="X301" s="24"/>
      <c r="Y301" s="24"/>
      <c r="Z301" s="24"/>
      <c r="AA301" s="24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4"/>
      <c r="X302" s="24"/>
      <c r="Y302" s="24"/>
      <c r="Z302" s="24"/>
      <c r="AA302" s="24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4"/>
      <c r="X303" s="24"/>
      <c r="Y303" s="24"/>
      <c r="Z303" s="24"/>
      <c r="AA303" s="24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4"/>
      <c r="X304" s="24"/>
      <c r="Y304" s="24"/>
      <c r="Z304" s="24"/>
      <c r="AA304" s="24"/>
      <c r="AH304" s="5"/>
      <c r="AI304" s="5"/>
      <c r="AO304" s="5"/>
    </row>
    <row r="305" spans="34:41" x14ac:dyDescent="0.3">
      <c r="AH305" s="5"/>
      <c r="AO305" s="5"/>
    </row>
  </sheetData>
  <phoneticPr fontId="20" type="noConversion"/>
  <conditionalFormatting sqref="K1:O1048576">
    <cfRule type="cellIs" dxfId="149" priority="14" operator="equal">
      <formula>"C1"</formula>
    </cfRule>
    <cfRule type="cellIs" dxfId="148" priority="15" operator="between">
      <formula>"G1"</formula>
      <formula>"G5"</formula>
    </cfRule>
    <cfRule type="cellIs" dxfId="147" priority="17" operator="between">
      <formula>"M1"</formula>
      <formula>"M5"</formula>
    </cfRule>
  </conditionalFormatting>
  <conditionalFormatting sqref="W5:AA304 X4:AA4">
    <cfRule type="expression" dxfId="146" priority="18">
      <formula>_xlfn.LET(_xlpm.x, W4, AND(NOT(_xlfn.ISFORMULA(_xlpm.x)), _xlpm.x&lt;&gt;""))</formula>
    </cfRule>
  </conditionalFormatting>
  <conditionalFormatting sqref="W4:AA203">
    <cfRule type="expression" dxfId="145" priority="13">
      <formula>_xlfn.LET(_xlpm.x, W4, AND(NOT(_xlfn.ISFORMULA(_xlpm.x)), _xlpm.x&lt;&gt;""))</formula>
    </cfRule>
  </conditionalFormatting>
  <conditionalFormatting sqref="C31:G46">
    <cfRule type="dataBar" priority="1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{5F12016C-3BAE-444D-B78B-6CB855B07C82}</x14:id>
        </ext>
      </extLst>
    </cfRule>
  </conditionalFormatting>
  <conditionalFormatting sqref="D52:D54">
    <cfRule type="cellIs" dxfId="144" priority="9" operator="equal">
      <formula>"C1"</formula>
    </cfRule>
    <cfRule type="cellIs" dxfId="143" priority="10" operator="between">
      <formula>"G1"</formula>
      <formula>"G4"</formula>
    </cfRule>
    <cfRule type="cellIs" dxfId="142" priority="11" operator="between">
      <formula>"GA"</formula>
      <formula>"GQ"</formula>
    </cfRule>
    <cfRule type="cellIs" dxfId="141" priority="12" operator="between">
      <formula>"M1"</formula>
      <formula>"M4"</formula>
    </cfRule>
  </conditionalFormatting>
  <conditionalFormatting sqref="E52:E54">
    <cfRule type="cellIs" dxfId="140" priority="5" operator="equal">
      <formula>"C1"</formula>
    </cfRule>
    <cfRule type="cellIs" dxfId="139" priority="6" operator="between">
      <formula>"G1"</formula>
      <formula>"G4"</formula>
    </cfRule>
    <cfRule type="cellIs" dxfId="138" priority="7" operator="between">
      <formula>"GA"</formula>
      <formula>"GQ"</formula>
    </cfRule>
    <cfRule type="cellIs" dxfId="137" priority="8" operator="between">
      <formula>"M1"</formula>
      <formula>"M4"</formula>
    </cfRule>
  </conditionalFormatting>
  <conditionalFormatting sqref="F52:F54">
    <cfRule type="cellIs" dxfId="136" priority="1" operator="equal">
      <formula>"C1"</formula>
    </cfRule>
    <cfRule type="cellIs" dxfId="135" priority="2" operator="between">
      <formula>"G1"</formula>
      <formula>"G4"</formula>
    </cfRule>
    <cfRule type="cellIs" dxfId="134" priority="3" operator="between">
      <formula>"GA"</formula>
      <formula>"GQ"</formula>
    </cfRule>
    <cfRule type="cellIs" dxfId="133" priority="4" operator="between">
      <formula>"M1"</formula>
      <formula>"M4"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12016C-3BAE-444D-B78B-6CB855B07C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C31:G46</xm:sqref>
        </x14:conditionalFormatting>
        <x14:conditionalFormatting xmlns:xm="http://schemas.microsoft.com/office/excel/2006/main">
          <x14:cfRule type="containsText" priority="16" operator="containsText" id="{45217A0C-0F0E-4E95-968A-57B035B268B9}">
            <xm:f>NOT(ISERROR(SEARCH("G",K1)))</xm:f>
            <xm:f>"G"</xm:f>
            <x14:dxf>
              <fill>
                <patternFill>
                  <bgColor rgb="FFFFFFCC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topLeftCell="U1" workbookViewId="0">
      <selection activeCell="F27" sqref="F27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3" width="11" style="5" bestFit="1" customWidth="1"/>
    <col min="4" max="4" width="9.5546875" style="5" bestFit="1" customWidth="1"/>
    <col min="5" max="5" width="11" style="5" bestFit="1" customWidth="1"/>
    <col min="6" max="6" width="9.5546875" style="5" bestFit="1" customWidth="1"/>
    <col min="7" max="7" width="11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6" t="s">
        <v>101</v>
      </c>
      <c r="Q2" s="26" t="s">
        <v>102</v>
      </c>
      <c r="W2" s="26" t="s">
        <v>103</v>
      </c>
      <c r="AC2" s="26" t="s">
        <v>104</v>
      </c>
      <c r="AH2" s="5"/>
      <c r="AI2" s="5"/>
      <c r="AJ2" s="26" t="s">
        <v>80</v>
      </c>
      <c r="AO2" s="5"/>
    </row>
    <row r="3" spans="1:41" ht="15.9" customHeight="1" x14ac:dyDescent="0.3">
      <c r="A3" s="19" t="s">
        <v>5</v>
      </c>
      <c r="B3" s="19" t="s">
        <v>12</v>
      </c>
      <c r="C3" s="19" t="s">
        <v>6</v>
      </c>
      <c r="D3" s="19" t="s">
        <v>7</v>
      </c>
      <c r="E3" s="19" t="s">
        <v>8</v>
      </c>
      <c r="F3" s="19" t="s">
        <v>9</v>
      </c>
      <c r="G3" s="19" t="s">
        <v>10</v>
      </c>
      <c r="H3" s="19" t="s">
        <v>11</v>
      </c>
      <c r="I3" s="14"/>
      <c r="J3" s="19"/>
      <c r="K3" s="19" t="s">
        <v>13</v>
      </c>
      <c r="L3" s="19" t="s">
        <v>14</v>
      </c>
      <c r="M3" s="19" t="s">
        <v>15</v>
      </c>
      <c r="N3" s="19" t="s">
        <v>16</v>
      </c>
      <c r="O3" s="19" t="s">
        <v>17</v>
      </c>
      <c r="Q3" s="19" t="s">
        <v>13</v>
      </c>
      <c r="R3" s="19" t="s">
        <v>14</v>
      </c>
      <c r="S3" s="19" t="s">
        <v>15</v>
      </c>
      <c r="T3" s="19" t="s">
        <v>16</v>
      </c>
      <c r="U3" s="19" t="s">
        <v>17</v>
      </c>
      <c r="W3" s="19" t="s">
        <v>6</v>
      </c>
      <c r="X3" s="19" t="s">
        <v>14</v>
      </c>
      <c r="Y3" s="19" t="s">
        <v>15</v>
      </c>
      <c r="Z3" s="19" t="s">
        <v>16</v>
      </c>
      <c r="AA3" s="19" t="s">
        <v>17</v>
      </c>
      <c r="AO3" s="5"/>
    </row>
    <row r="4" spans="1:41" ht="15.9" customHeight="1" x14ac:dyDescent="0.3">
      <c r="A4" s="28" t="str" cm="1">
        <f t="array" ref="A4:B23">Overview!A38:B57</f>
        <v>WW</v>
      </c>
      <c r="B4" s="8" t="str">
        <v>Wild</v>
      </c>
      <c r="C4" s="53">
        <f t="shared" ref="C4:G23" si="0">COUNTIF(K:K, $A4)</f>
        <v>0</v>
      </c>
      <c r="D4" s="53">
        <f t="shared" si="0"/>
        <v>0</v>
      </c>
      <c r="E4" s="53">
        <f t="shared" si="0"/>
        <v>0</v>
      </c>
      <c r="F4" s="53">
        <f t="shared" si="0"/>
        <v>0</v>
      </c>
      <c r="G4" s="53">
        <f t="shared" si="0"/>
        <v>0</v>
      </c>
      <c r="H4" s="8" cm="1">
        <f t="array" ref="H4:H23">Overview!F38:F57</f>
        <v>0</v>
      </c>
      <c r="I4" s="51"/>
      <c r="J4" s="24" cm="1">
        <f t="array" ref="J4:J203">_xlfn.SEQUENCE(MAX(COUNTA(K:K), COUNTA(L:L), COUNTA(M:M), COUNTA(N:N), COUNTA(O:O))-1,,0)</f>
        <v>0</v>
      </c>
      <c r="K4" s="25" t="s">
        <v>35</v>
      </c>
      <c r="L4" s="25" t="s">
        <v>34</v>
      </c>
      <c r="M4" s="25" t="s">
        <v>65</v>
      </c>
      <c r="N4" s="25" t="s">
        <v>36</v>
      </c>
      <c r="O4" s="25" t="s">
        <v>21</v>
      </c>
      <c r="Q4" s="24" cm="1">
        <f t="array" ref="Q4:U304">_xlfn.LET(_xlpm.x, K4:O304, IF(_xlpm.x="", "", _xlfn.XLOOKUP(_xlpm.x, $A$4:$A$23,_xlfn.ANCHORARRAY( H4))))</f>
        <v>8</v>
      </c>
      <c r="R4" s="24">
        <v>9</v>
      </c>
      <c r="S4" s="24">
        <v>16</v>
      </c>
      <c r="T4" s="24">
        <v>10</v>
      </c>
      <c r="U4" s="24">
        <v>2</v>
      </c>
      <c r="W4" s="24">
        <v>1</v>
      </c>
      <c r="X4" s="24">
        <v>1</v>
      </c>
      <c r="Y4" s="24">
        <v>1</v>
      </c>
      <c r="Z4" s="24">
        <v>1</v>
      </c>
      <c r="AA4" s="24">
        <v>1</v>
      </c>
      <c r="AB4" s="42"/>
      <c r="AC4" s="26" t="s">
        <v>99</v>
      </c>
      <c r="AH4" s="5"/>
      <c r="AI4" s="5"/>
      <c r="AJ4" s="26" t="s">
        <v>99</v>
      </c>
      <c r="AO4" s="5"/>
    </row>
    <row r="5" spans="1:41" ht="15.9" customHeight="1" x14ac:dyDescent="0.3">
      <c r="A5" s="28" t="str">
        <v>C1</v>
      </c>
      <c r="B5" s="8" t="str">
        <v>Scatter</v>
      </c>
      <c r="C5" s="53">
        <f t="shared" si="0"/>
        <v>0</v>
      </c>
      <c r="D5" s="53">
        <f t="shared" si="0"/>
        <v>6</v>
      </c>
      <c r="E5" s="53">
        <f t="shared" si="0"/>
        <v>0</v>
      </c>
      <c r="F5" s="53">
        <f t="shared" si="0"/>
        <v>9</v>
      </c>
      <c r="G5" s="53">
        <f t="shared" si="0"/>
        <v>0</v>
      </c>
      <c r="H5" s="8">
        <v>1</v>
      </c>
      <c r="I5" s="51"/>
      <c r="J5" s="9">
        <v>1</v>
      </c>
      <c r="K5" s="15" t="s">
        <v>37</v>
      </c>
      <c r="L5" s="15" t="s">
        <v>37</v>
      </c>
      <c r="M5" s="15" t="s">
        <v>68</v>
      </c>
      <c r="N5" s="15" t="s">
        <v>21</v>
      </c>
      <c r="O5" s="15" t="s">
        <v>18</v>
      </c>
      <c r="Q5" s="9">
        <v>7</v>
      </c>
      <c r="R5" s="9">
        <v>7</v>
      </c>
      <c r="S5" s="9">
        <v>18</v>
      </c>
      <c r="T5" s="9">
        <v>2</v>
      </c>
      <c r="U5" s="9">
        <v>4</v>
      </c>
      <c r="W5" s="24">
        <v>1</v>
      </c>
      <c r="X5" s="24">
        <v>1</v>
      </c>
      <c r="Y5" s="24">
        <v>1</v>
      </c>
      <c r="Z5" s="24">
        <v>1</v>
      </c>
      <c r="AA5" s="24">
        <v>1</v>
      </c>
      <c r="AC5" s="68" t="s">
        <v>42</v>
      </c>
      <c r="AD5" s="68" t="s">
        <v>13</v>
      </c>
      <c r="AE5" s="68" t="s">
        <v>14</v>
      </c>
      <c r="AF5" s="68" t="s">
        <v>15</v>
      </c>
      <c r="AG5" s="68" t="s">
        <v>16</v>
      </c>
      <c r="AH5" s="68" t="s">
        <v>17</v>
      </c>
      <c r="AI5" s="5"/>
      <c r="AJ5" s="68" t="s">
        <v>42</v>
      </c>
      <c r="AK5" s="68" t="s">
        <v>13</v>
      </c>
      <c r="AL5" s="68" t="s">
        <v>14</v>
      </c>
      <c r="AM5" s="68" t="s">
        <v>15</v>
      </c>
      <c r="AN5" s="68" t="s">
        <v>16</v>
      </c>
      <c r="AO5" s="68" t="s">
        <v>17</v>
      </c>
    </row>
    <row r="6" spans="1:41" ht="15.9" customHeight="1" x14ac:dyDescent="0.3">
      <c r="A6" s="66" t="str">
        <v>M1</v>
      </c>
      <c r="B6" s="58" t="str">
        <v>M1</v>
      </c>
      <c r="C6" s="66">
        <f t="shared" si="0"/>
        <v>4</v>
      </c>
      <c r="D6" s="66">
        <f t="shared" si="0"/>
        <v>11</v>
      </c>
      <c r="E6" s="66">
        <f t="shared" si="0"/>
        <v>0</v>
      </c>
      <c r="F6" s="66">
        <f t="shared" si="0"/>
        <v>22</v>
      </c>
      <c r="G6" s="66">
        <f t="shared" si="0"/>
        <v>28</v>
      </c>
      <c r="H6" s="58">
        <v>2</v>
      </c>
      <c r="I6" s="51"/>
      <c r="J6" s="24">
        <v>2</v>
      </c>
      <c r="K6" s="15" t="s">
        <v>21</v>
      </c>
      <c r="L6" s="15" t="s">
        <v>65</v>
      </c>
      <c r="M6" s="15" t="s">
        <v>64</v>
      </c>
      <c r="N6" s="15" t="s">
        <v>18</v>
      </c>
      <c r="O6" s="15" t="s">
        <v>22</v>
      </c>
      <c r="Q6" s="9">
        <v>2</v>
      </c>
      <c r="R6" s="9">
        <v>16</v>
      </c>
      <c r="S6" s="9">
        <v>14</v>
      </c>
      <c r="T6" s="9">
        <v>4</v>
      </c>
      <c r="U6" s="9">
        <v>3</v>
      </c>
      <c r="W6" s="24">
        <v>1</v>
      </c>
      <c r="X6" s="24">
        <v>1</v>
      </c>
      <c r="Y6" s="24">
        <v>1</v>
      </c>
      <c r="Z6" s="24">
        <v>1</v>
      </c>
      <c r="AA6" s="24">
        <v>1</v>
      </c>
      <c r="AC6" s="71" t="str" cm="1">
        <f t="array" ref="AC6:AC25">$A$4:$A$23</f>
        <v>WW</v>
      </c>
      <c r="AD6" s="72">
        <v>0</v>
      </c>
      <c r="AE6" s="72">
        <v>0</v>
      </c>
      <c r="AF6" s="72">
        <v>0</v>
      </c>
      <c r="AG6" s="72">
        <v>0</v>
      </c>
      <c r="AH6" s="72">
        <v>0</v>
      </c>
      <c r="AI6" s="5"/>
      <c r="AJ6" s="71" t="str" cm="1">
        <f t="array" ref="AJ6:AJ25">$A$4:$A$23</f>
        <v>WW</v>
      </c>
      <c r="AK6" s="72">
        <v>0</v>
      </c>
      <c r="AL6" s="72">
        <v>0</v>
      </c>
      <c r="AM6" s="72">
        <v>0</v>
      </c>
      <c r="AN6" s="72">
        <v>0</v>
      </c>
      <c r="AO6" s="72">
        <v>0</v>
      </c>
    </row>
    <row r="7" spans="1:41" ht="15.9" customHeight="1" x14ac:dyDescent="0.3">
      <c r="A7" s="66" t="str">
        <v>M2</v>
      </c>
      <c r="B7" s="58" t="str">
        <v>M2</v>
      </c>
      <c r="C7" s="66">
        <f t="shared" si="0"/>
        <v>4</v>
      </c>
      <c r="D7" s="66">
        <f t="shared" si="0"/>
        <v>11</v>
      </c>
      <c r="E7" s="66">
        <f t="shared" si="0"/>
        <v>0</v>
      </c>
      <c r="F7" s="66">
        <f t="shared" si="0"/>
        <v>22</v>
      </c>
      <c r="G7" s="66">
        <f t="shared" si="0"/>
        <v>27</v>
      </c>
      <c r="H7" s="58">
        <v>3</v>
      </c>
      <c r="I7" s="51"/>
      <c r="J7" s="9">
        <v>3</v>
      </c>
      <c r="K7" s="15" t="s">
        <v>19</v>
      </c>
      <c r="L7" s="25" t="s">
        <v>34</v>
      </c>
      <c r="M7" s="15" t="s">
        <v>96</v>
      </c>
      <c r="N7" s="15" t="s">
        <v>18</v>
      </c>
      <c r="O7" s="15" t="s">
        <v>22</v>
      </c>
      <c r="Q7" s="9">
        <v>5</v>
      </c>
      <c r="R7" s="9">
        <v>9</v>
      </c>
      <c r="S7" s="9">
        <v>15</v>
      </c>
      <c r="T7" s="9">
        <v>4</v>
      </c>
      <c r="U7" s="9">
        <v>3</v>
      </c>
      <c r="W7" s="24">
        <v>1</v>
      </c>
      <c r="X7" s="24">
        <v>1</v>
      </c>
      <c r="Y7" s="24">
        <v>1</v>
      </c>
      <c r="Z7" s="24">
        <v>1</v>
      </c>
      <c r="AA7" s="24">
        <v>1</v>
      </c>
      <c r="AC7" s="71" t="str">
        <v>C1</v>
      </c>
      <c r="AD7" s="53">
        <v>0</v>
      </c>
      <c r="AE7" s="53">
        <v>6</v>
      </c>
      <c r="AF7" s="53">
        <v>0</v>
      </c>
      <c r="AG7" s="53">
        <v>9</v>
      </c>
      <c r="AH7" s="53">
        <v>0</v>
      </c>
      <c r="AI7" s="5"/>
      <c r="AJ7" s="71" t="str">
        <v>C1</v>
      </c>
      <c r="AK7" s="71">
        <v>0</v>
      </c>
      <c r="AL7" s="71">
        <v>6</v>
      </c>
      <c r="AM7" s="71">
        <v>0</v>
      </c>
      <c r="AN7" s="71">
        <v>9</v>
      </c>
      <c r="AO7" s="71">
        <v>0</v>
      </c>
    </row>
    <row r="8" spans="1:41" ht="15.9" customHeight="1" x14ac:dyDescent="0.3">
      <c r="A8" s="66" t="str">
        <v>M3</v>
      </c>
      <c r="B8" s="58" t="str">
        <v>M3</v>
      </c>
      <c r="C8" s="66">
        <f t="shared" si="0"/>
        <v>4</v>
      </c>
      <c r="D8" s="66">
        <f t="shared" si="0"/>
        <v>11</v>
      </c>
      <c r="E8" s="66">
        <f t="shared" si="0"/>
        <v>0</v>
      </c>
      <c r="F8" s="66">
        <f t="shared" si="0"/>
        <v>22</v>
      </c>
      <c r="G8" s="66">
        <f t="shared" si="0"/>
        <v>27</v>
      </c>
      <c r="H8" s="58">
        <v>4</v>
      </c>
      <c r="I8" s="51"/>
      <c r="J8" s="24">
        <v>4</v>
      </c>
      <c r="K8" s="15" t="s">
        <v>35</v>
      </c>
      <c r="L8" s="15" t="s">
        <v>65</v>
      </c>
      <c r="M8" s="15" t="s">
        <v>64</v>
      </c>
      <c r="N8" s="15" t="s">
        <v>22</v>
      </c>
      <c r="O8" s="15" t="s">
        <v>35</v>
      </c>
      <c r="Q8" s="9">
        <v>8</v>
      </c>
      <c r="R8" s="9">
        <v>16</v>
      </c>
      <c r="S8" s="9">
        <v>14</v>
      </c>
      <c r="T8" s="9">
        <v>3</v>
      </c>
      <c r="U8" s="9">
        <v>8</v>
      </c>
      <c r="W8" s="24">
        <v>1</v>
      </c>
      <c r="X8" s="24">
        <v>1</v>
      </c>
      <c r="Y8" s="24">
        <v>1</v>
      </c>
      <c r="Z8" s="24">
        <v>1</v>
      </c>
      <c r="AA8" s="24">
        <v>1</v>
      </c>
      <c r="AC8" s="80" t="str">
        <v>M1</v>
      </c>
      <c r="AD8" s="66">
        <v>4</v>
      </c>
      <c r="AE8" s="66">
        <v>11</v>
      </c>
      <c r="AF8" s="66">
        <v>0</v>
      </c>
      <c r="AG8" s="66">
        <v>22</v>
      </c>
      <c r="AH8" s="66">
        <v>28</v>
      </c>
      <c r="AI8" s="5"/>
      <c r="AJ8" s="80" t="str">
        <v>M1</v>
      </c>
      <c r="AK8" s="66">
        <v>4</v>
      </c>
      <c r="AL8" s="66">
        <v>11</v>
      </c>
      <c r="AM8" s="66">
        <v>0</v>
      </c>
      <c r="AN8" s="66">
        <v>22</v>
      </c>
      <c r="AO8" s="66">
        <v>28</v>
      </c>
    </row>
    <row r="9" spans="1:41" ht="15.9" customHeight="1" x14ac:dyDescent="0.3">
      <c r="A9" s="66" t="str">
        <v>M4</v>
      </c>
      <c r="B9" s="58" t="str">
        <v>M4</v>
      </c>
      <c r="C9" s="66">
        <f t="shared" si="0"/>
        <v>43</v>
      </c>
      <c r="D9" s="66">
        <f t="shared" si="0"/>
        <v>19</v>
      </c>
      <c r="E9" s="66">
        <f t="shared" si="0"/>
        <v>0</v>
      </c>
      <c r="F9" s="66">
        <f t="shared" si="0"/>
        <v>12</v>
      </c>
      <c r="G9" s="66">
        <f t="shared" si="0"/>
        <v>16</v>
      </c>
      <c r="H9" s="58">
        <v>5</v>
      </c>
      <c r="I9" s="51"/>
      <c r="J9" s="9">
        <v>5</v>
      </c>
      <c r="K9" s="15" t="s">
        <v>95</v>
      </c>
      <c r="L9" s="15" t="s">
        <v>18</v>
      </c>
      <c r="M9" s="15" t="s">
        <v>81</v>
      </c>
      <c r="N9" s="15" t="s">
        <v>22</v>
      </c>
      <c r="O9" s="15" t="s">
        <v>22</v>
      </c>
      <c r="Q9" s="9">
        <v>6</v>
      </c>
      <c r="R9" s="9">
        <v>4</v>
      </c>
      <c r="S9" s="9">
        <v>17</v>
      </c>
      <c r="T9" s="9">
        <v>3</v>
      </c>
      <c r="U9" s="9">
        <v>3</v>
      </c>
      <c r="W9" s="24">
        <v>1</v>
      </c>
      <c r="X9" s="24">
        <v>1</v>
      </c>
      <c r="Y9" s="24">
        <v>1</v>
      </c>
      <c r="Z9" s="24">
        <v>1</v>
      </c>
      <c r="AA9" s="24">
        <v>1</v>
      </c>
      <c r="AC9" s="80" t="str">
        <v>M2</v>
      </c>
      <c r="AD9" s="66">
        <v>4</v>
      </c>
      <c r="AE9" s="66">
        <v>11</v>
      </c>
      <c r="AF9" s="66">
        <v>0</v>
      </c>
      <c r="AG9" s="66">
        <v>22</v>
      </c>
      <c r="AH9" s="66">
        <v>27</v>
      </c>
      <c r="AI9" s="5"/>
      <c r="AJ9" s="80" t="str">
        <v>M2</v>
      </c>
      <c r="AK9" s="66">
        <v>4</v>
      </c>
      <c r="AL9" s="66">
        <v>11</v>
      </c>
      <c r="AM9" s="66">
        <v>0</v>
      </c>
      <c r="AN9" s="66">
        <v>22</v>
      </c>
      <c r="AO9" s="66">
        <v>27</v>
      </c>
    </row>
    <row r="10" spans="1:41" ht="15.9" customHeight="1" x14ac:dyDescent="0.3">
      <c r="A10" s="66" t="str">
        <v>M5</v>
      </c>
      <c r="B10" s="58" t="str">
        <v>M5</v>
      </c>
      <c r="C10" s="66">
        <f t="shared" si="0"/>
        <v>43</v>
      </c>
      <c r="D10" s="66">
        <f t="shared" si="0"/>
        <v>20</v>
      </c>
      <c r="E10" s="66">
        <f t="shared" si="0"/>
        <v>0</v>
      </c>
      <c r="F10" s="66">
        <f t="shared" si="0"/>
        <v>12</v>
      </c>
      <c r="G10" s="66">
        <f t="shared" si="0"/>
        <v>16</v>
      </c>
      <c r="H10" s="58">
        <v>6</v>
      </c>
      <c r="I10" s="51"/>
      <c r="J10" s="24">
        <v>6</v>
      </c>
      <c r="K10" s="15" t="s">
        <v>35</v>
      </c>
      <c r="L10" s="15" t="s">
        <v>19</v>
      </c>
      <c r="M10" s="15" t="s">
        <v>65</v>
      </c>
      <c r="N10" s="15" t="s">
        <v>36</v>
      </c>
      <c r="O10" s="15" t="s">
        <v>37</v>
      </c>
      <c r="Q10" s="9">
        <v>8</v>
      </c>
      <c r="R10" s="9">
        <v>5</v>
      </c>
      <c r="S10" s="9">
        <v>16</v>
      </c>
      <c r="T10" s="9">
        <v>10</v>
      </c>
      <c r="U10" s="9">
        <v>7</v>
      </c>
      <c r="W10" s="24">
        <v>1</v>
      </c>
      <c r="X10" s="24">
        <v>1</v>
      </c>
      <c r="Y10" s="24">
        <v>1</v>
      </c>
      <c r="Z10" s="24">
        <v>1</v>
      </c>
      <c r="AA10" s="24">
        <v>1</v>
      </c>
      <c r="AC10" s="80" t="str">
        <v>M3</v>
      </c>
      <c r="AD10" s="66">
        <v>4</v>
      </c>
      <c r="AE10" s="66">
        <v>11</v>
      </c>
      <c r="AF10" s="66">
        <v>0</v>
      </c>
      <c r="AG10" s="66">
        <v>22</v>
      </c>
      <c r="AH10" s="66">
        <v>27</v>
      </c>
      <c r="AI10" s="5"/>
      <c r="AJ10" s="80" t="str">
        <v>M3</v>
      </c>
      <c r="AK10" s="66">
        <v>4</v>
      </c>
      <c r="AL10" s="66">
        <v>11</v>
      </c>
      <c r="AM10" s="66">
        <v>0</v>
      </c>
      <c r="AN10" s="66">
        <v>22</v>
      </c>
      <c r="AO10" s="66">
        <v>27</v>
      </c>
    </row>
    <row r="11" spans="1:41" ht="15.9" customHeight="1" x14ac:dyDescent="0.3">
      <c r="A11" s="66" t="str">
        <v>A</v>
      </c>
      <c r="B11" s="58" t="str">
        <v>A</v>
      </c>
      <c r="C11" s="66">
        <f t="shared" si="0"/>
        <v>47</v>
      </c>
      <c r="D11" s="66">
        <f t="shared" si="0"/>
        <v>20</v>
      </c>
      <c r="E11" s="66">
        <f t="shared" si="0"/>
        <v>0</v>
      </c>
      <c r="F11" s="66">
        <f t="shared" si="0"/>
        <v>12</v>
      </c>
      <c r="G11" s="66">
        <f t="shared" si="0"/>
        <v>16</v>
      </c>
      <c r="H11" s="58">
        <v>7</v>
      </c>
      <c r="I11" s="51"/>
      <c r="J11" s="9">
        <v>7</v>
      </c>
      <c r="K11" s="15" t="s">
        <v>95</v>
      </c>
      <c r="L11" s="15" t="s">
        <v>63</v>
      </c>
      <c r="M11" s="15" t="s">
        <v>96</v>
      </c>
      <c r="N11" s="15" t="s">
        <v>36</v>
      </c>
      <c r="O11" s="15" t="s">
        <v>95</v>
      </c>
      <c r="Q11" s="9">
        <v>6</v>
      </c>
      <c r="R11" s="9">
        <v>13</v>
      </c>
      <c r="S11" s="9">
        <v>15</v>
      </c>
      <c r="T11" s="9">
        <v>10</v>
      </c>
      <c r="U11" s="9">
        <v>6</v>
      </c>
      <c r="W11" s="24">
        <v>1</v>
      </c>
      <c r="X11" s="24">
        <v>1</v>
      </c>
      <c r="Y11" s="24">
        <v>1</v>
      </c>
      <c r="Z11" s="24">
        <v>1</v>
      </c>
      <c r="AA11" s="24">
        <v>1</v>
      </c>
      <c r="AC11" s="80" t="str">
        <v>M4</v>
      </c>
      <c r="AD11" s="66">
        <v>43</v>
      </c>
      <c r="AE11" s="66">
        <v>19</v>
      </c>
      <c r="AF11" s="66">
        <v>0</v>
      </c>
      <c r="AG11" s="66">
        <v>12</v>
      </c>
      <c r="AH11" s="66">
        <v>16</v>
      </c>
      <c r="AI11" s="5"/>
      <c r="AJ11" s="80" t="str">
        <v>M4</v>
      </c>
      <c r="AK11" s="66">
        <v>43</v>
      </c>
      <c r="AL11" s="66">
        <v>19</v>
      </c>
      <c r="AM11" s="66">
        <v>0</v>
      </c>
      <c r="AN11" s="66">
        <v>12</v>
      </c>
      <c r="AO11" s="66">
        <v>16</v>
      </c>
    </row>
    <row r="12" spans="1:41" ht="15.9" customHeight="1" x14ac:dyDescent="0.3">
      <c r="A12" s="66" t="str">
        <v>K</v>
      </c>
      <c r="B12" s="58" t="str">
        <v>K</v>
      </c>
      <c r="C12" s="66">
        <f t="shared" si="0"/>
        <v>47</v>
      </c>
      <c r="D12" s="66">
        <f t="shared" si="0"/>
        <v>20</v>
      </c>
      <c r="E12" s="66">
        <f t="shared" si="0"/>
        <v>0</v>
      </c>
      <c r="F12" s="66">
        <f t="shared" si="0"/>
        <v>12</v>
      </c>
      <c r="G12" s="66">
        <f t="shared" si="0"/>
        <v>16</v>
      </c>
      <c r="H12" s="58">
        <v>8</v>
      </c>
      <c r="I12" s="51"/>
      <c r="J12" s="24">
        <v>8</v>
      </c>
      <c r="K12" s="15" t="s">
        <v>19</v>
      </c>
      <c r="L12" s="15" t="s">
        <v>37</v>
      </c>
      <c r="M12" s="15" t="s">
        <v>81</v>
      </c>
      <c r="N12" s="15" t="s">
        <v>95</v>
      </c>
      <c r="O12" s="15" t="s">
        <v>95</v>
      </c>
      <c r="Q12" s="9">
        <v>5</v>
      </c>
      <c r="R12" s="9">
        <v>7</v>
      </c>
      <c r="S12" s="9">
        <v>17</v>
      </c>
      <c r="T12" s="9">
        <v>6</v>
      </c>
      <c r="U12" s="9">
        <v>6</v>
      </c>
      <c r="W12" s="24">
        <v>1</v>
      </c>
      <c r="X12" s="24">
        <v>1</v>
      </c>
      <c r="Y12" s="24">
        <v>1</v>
      </c>
      <c r="Z12" s="24">
        <v>1</v>
      </c>
      <c r="AA12" s="24">
        <v>1</v>
      </c>
      <c r="AC12" s="80" t="str">
        <v>M5</v>
      </c>
      <c r="AD12" s="66">
        <v>43</v>
      </c>
      <c r="AE12" s="66">
        <v>20</v>
      </c>
      <c r="AF12" s="66">
        <v>0</v>
      </c>
      <c r="AG12" s="66">
        <v>12</v>
      </c>
      <c r="AH12" s="66">
        <v>16</v>
      </c>
      <c r="AI12" s="5"/>
      <c r="AJ12" s="80" t="str">
        <v>M5</v>
      </c>
      <c r="AK12" s="66">
        <v>43</v>
      </c>
      <c r="AL12" s="66">
        <v>20</v>
      </c>
      <c r="AM12" s="66">
        <v>0</v>
      </c>
      <c r="AN12" s="66">
        <v>12</v>
      </c>
      <c r="AO12" s="66">
        <v>16</v>
      </c>
    </row>
    <row r="13" spans="1:41" ht="15.9" customHeight="1" x14ac:dyDescent="0.3">
      <c r="A13" s="66" t="str">
        <v>Q</v>
      </c>
      <c r="B13" s="58" t="str">
        <v>Q</v>
      </c>
      <c r="C13" s="66">
        <f t="shared" si="0"/>
        <v>4</v>
      </c>
      <c r="D13" s="66">
        <f t="shared" si="0"/>
        <v>11</v>
      </c>
      <c r="E13" s="66">
        <f t="shared" si="0"/>
        <v>0</v>
      </c>
      <c r="F13" s="66">
        <f t="shared" si="0"/>
        <v>21</v>
      </c>
      <c r="G13" s="66">
        <f t="shared" si="0"/>
        <v>27</v>
      </c>
      <c r="H13" s="58">
        <v>9</v>
      </c>
      <c r="I13" s="51"/>
      <c r="J13" s="9">
        <v>9</v>
      </c>
      <c r="K13" s="15" t="s">
        <v>35</v>
      </c>
      <c r="L13" s="15" t="s">
        <v>70</v>
      </c>
      <c r="M13" s="15" t="s">
        <v>96</v>
      </c>
      <c r="N13" s="15" t="s">
        <v>70</v>
      </c>
      <c r="O13" s="15" t="s">
        <v>21</v>
      </c>
      <c r="Q13" s="9">
        <v>8</v>
      </c>
      <c r="R13" s="9">
        <v>19</v>
      </c>
      <c r="S13" s="9">
        <v>15</v>
      </c>
      <c r="T13" s="9">
        <v>19</v>
      </c>
      <c r="U13" s="9">
        <v>2</v>
      </c>
      <c r="W13" s="24">
        <v>1</v>
      </c>
      <c r="X13" s="24">
        <v>1</v>
      </c>
      <c r="Y13" s="24">
        <v>1</v>
      </c>
      <c r="Z13" s="24">
        <v>1</v>
      </c>
      <c r="AA13" s="24">
        <v>1</v>
      </c>
      <c r="AC13" s="80" t="str">
        <v>A</v>
      </c>
      <c r="AD13" s="66">
        <v>47</v>
      </c>
      <c r="AE13" s="66">
        <v>20</v>
      </c>
      <c r="AF13" s="66">
        <v>0</v>
      </c>
      <c r="AG13" s="66">
        <v>12</v>
      </c>
      <c r="AH13" s="66">
        <v>16</v>
      </c>
      <c r="AI13" s="5"/>
      <c r="AJ13" s="80" t="str">
        <v>A</v>
      </c>
      <c r="AK13" s="66">
        <v>47</v>
      </c>
      <c r="AL13" s="66">
        <v>20</v>
      </c>
      <c r="AM13" s="66">
        <v>0</v>
      </c>
      <c r="AN13" s="66">
        <v>12</v>
      </c>
      <c r="AO13" s="66">
        <v>16</v>
      </c>
    </row>
    <row r="14" spans="1:41" ht="15.9" customHeight="1" x14ac:dyDescent="0.3">
      <c r="A14" s="66" t="str">
        <v>J</v>
      </c>
      <c r="B14" s="58" t="str">
        <v>J</v>
      </c>
      <c r="C14" s="66">
        <f t="shared" si="0"/>
        <v>4</v>
      </c>
      <c r="D14" s="66">
        <f t="shared" si="0"/>
        <v>11</v>
      </c>
      <c r="E14" s="66">
        <f t="shared" si="0"/>
        <v>0</v>
      </c>
      <c r="F14" s="66">
        <f t="shared" si="0"/>
        <v>21</v>
      </c>
      <c r="G14" s="66">
        <f t="shared" si="0"/>
        <v>27</v>
      </c>
      <c r="H14" s="58">
        <v>10</v>
      </c>
      <c r="I14" s="51"/>
      <c r="J14" s="24">
        <v>10</v>
      </c>
      <c r="K14" s="15" t="s">
        <v>34</v>
      </c>
      <c r="L14" s="15" t="s">
        <v>62</v>
      </c>
      <c r="M14" s="15" t="s">
        <v>65</v>
      </c>
      <c r="N14" s="15" t="s">
        <v>21</v>
      </c>
      <c r="O14" s="15" t="s">
        <v>35</v>
      </c>
      <c r="Q14" s="9">
        <v>9</v>
      </c>
      <c r="R14" s="9">
        <v>12</v>
      </c>
      <c r="S14" s="9">
        <v>16</v>
      </c>
      <c r="T14" s="9">
        <v>2</v>
      </c>
      <c r="U14" s="9">
        <v>8</v>
      </c>
      <c r="W14" s="24">
        <v>1</v>
      </c>
      <c r="X14" s="24">
        <v>1</v>
      </c>
      <c r="Y14" s="24">
        <v>1</v>
      </c>
      <c r="Z14" s="24">
        <v>1</v>
      </c>
      <c r="AA14" s="24">
        <v>1</v>
      </c>
      <c r="AC14" s="80" t="str">
        <v>K</v>
      </c>
      <c r="AD14" s="66">
        <v>47</v>
      </c>
      <c r="AE14" s="66">
        <v>20</v>
      </c>
      <c r="AF14" s="66">
        <v>0</v>
      </c>
      <c r="AG14" s="66">
        <v>12</v>
      </c>
      <c r="AH14" s="66">
        <v>16</v>
      </c>
      <c r="AI14" s="5"/>
      <c r="AJ14" s="80" t="str">
        <v>K</v>
      </c>
      <c r="AK14" s="66">
        <v>47</v>
      </c>
      <c r="AL14" s="66">
        <v>20</v>
      </c>
      <c r="AM14" s="66">
        <v>0</v>
      </c>
      <c r="AN14" s="66">
        <v>12</v>
      </c>
      <c r="AO14" s="66">
        <v>16</v>
      </c>
    </row>
    <row r="15" spans="1:41" ht="15.9" customHeight="1" x14ac:dyDescent="0.3">
      <c r="A15" s="28" t="str">
        <v>G1</v>
      </c>
      <c r="B15" s="8" t="str">
        <v>Gold M1</v>
      </c>
      <c r="C15" s="53">
        <f t="shared" si="0"/>
        <v>0</v>
      </c>
      <c r="D15" s="53">
        <f t="shared" si="0"/>
        <v>4</v>
      </c>
      <c r="E15" s="53">
        <f t="shared" si="0"/>
        <v>5</v>
      </c>
      <c r="F15" s="53">
        <f t="shared" si="0"/>
        <v>5</v>
      </c>
      <c r="G15" s="53">
        <f t="shared" si="0"/>
        <v>0</v>
      </c>
      <c r="H15" s="8">
        <v>11</v>
      </c>
      <c r="I15" s="51"/>
      <c r="J15" s="9">
        <v>11</v>
      </c>
      <c r="K15" s="15" t="s">
        <v>37</v>
      </c>
      <c r="L15" s="15" t="s">
        <v>96</v>
      </c>
      <c r="M15" s="15" t="s">
        <v>64</v>
      </c>
      <c r="N15" s="15" t="s">
        <v>37</v>
      </c>
      <c r="O15" s="15" t="s">
        <v>35</v>
      </c>
      <c r="Q15" s="9">
        <v>7</v>
      </c>
      <c r="R15" s="9">
        <v>15</v>
      </c>
      <c r="S15" s="9">
        <v>14</v>
      </c>
      <c r="T15" s="9">
        <v>7</v>
      </c>
      <c r="U15" s="9">
        <v>8</v>
      </c>
      <c r="W15" s="24">
        <v>1</v>
      </c>
      <c r="X15" s="24">
        <v>1</v>
      </c>
      <c r="Y15" s="24">
        <v>1</v>
      </c>
      <c r="Z15" s="24">
        <v>1</v>
      </c>
      <c r="AA15" s="24">
        <v>1</v>
      </c>
      <c r="AC15" s="80" t="str">
        <v>Q</v>
      </c>
      <c r="AD15" s="66">
        <v>4</v>
      </c>
      <c r="AE15" s="66">
        <v>11</v>
      </c>
      <c r="AF15" s="66">
        <v>0</v>
      </c>
      <c r="AG15" s="66">
        <v>21</v>
      </c>
      <c r="AH15" s="66">
        <v>27</v>
      </c>
      <c r="AI15" s="5"/>
      <c r="AJ15" s="80" t="str">
        <v>Q</v>
      </c>
      <c r="AK15" s="66">
        <v>4</v>
      </c>
      <c r="AL15" s="66">
        <v>11</v>
      </c>
      <c r="AM15" s="66">
        <v>0</v>
      </c>
      <c r="AN15" s="66">
        <v>21</v>
      </c>
      <c r="AO15" s="66">
        <v>27</v>
      </c>
    </row>
    <row r="16" spans="1:41" ht="15.9" customHeight="1" x14ac:dyDescent="0.3">
      <c r="A16" s="28" t="str">
        <v>G2</v>
      </c>
      <c r="B16" s="8" t="str">
        <v>Gold M2</v>
      </c>
      <c r="C16" s="53">
        <f t="shared" si="0"/>
        <v>0</v>
      </c>
      <c r="D16" s="53">
        <f t="shared" si="0"/>
        <v>5</v>
      </c>
      <c r="E16" s="53">
        <f t="shared" si="0"/>
        <v>5</v>
      </c>
      <c r="F16" s="53">
        <f t="shared" si="0"/>
        <v>5</v>
      </c>
      <c r="G16" s="53">
        <f t="shared" si="0"/>
        <v>0</v>
      </c>
      <c r="H16" s="8">
        <v>12</v>
      </c>
      <c r="I16" s="51"/>
      <c r="J16" s="24">
        <v>12</v>
      </c>
      <c r="K16" s="15" t="s">
        <v>34</v>
      </c>
      <c r="L16" s="15" t="s">
        <v>19</v>
      </c>
      <c r="M16" s="15" t="s">
        <v>81</v>
      </c>
      <c r="N16" s="15" t="s">
        <v>65</v>
      </c>
      <c r="O16" s="15" t="s">
        <v>34</v>
      </c>
      <c r="Q16" s="9">
        <v>9</v>
      </c>
      <c r="R16" s="9">
        <v>5</v>
      </c>
      <c r="S16" s="9">
        <v>17</v>
      </c>
      <c r="T16" s="9">
        <v>16</v>
      </c>
      <c r="U16" s="9">
        <v>9</v>
      </c>
      <c r="W16" s="24">
        <v>1</v>
      </c>
      <c r="X16" s="24">
        <v>1</v>
      </c>
      <c r="Y16" s="24">
        <v>1</v>
      </c>
      <c r="Z16" s="24">
        <v>1</v>
      </c>
      <c r="AA16" s="24">
        <v>1</v>
      </c>
      <c r="AC16" s="80" t="str">
        <v>J</v>
      </c>
      <c r="AD16" s="66">
        <v>4</v>
      </c>
      <c r="AE16" s="66">
        <v>11</v>
      </c>
      <c r="AF16" s="66">
        <v>0</v>
      </c>
      <c r="AG16" s="66">
        <v>21</v>
      </c>
      <c r="AH16" s="66">
        <v>27</v>
      </c>
      <c r="AI16" s="5"/>
      <c r="AJ16" s="80" t="str">
        <v>J</v>
      </c>
      <c r="AK16" s="66">
        <v>4</v>
      </c>
      <c r="AL16" s="66">
        <v>11</v>
      </c>
      <c r="AM16" s="66">
        <v>0</v>
      </c>
      <c r="AN16" s="66">
        <v>21</v>
      </c>
      <c r="AO16" s="66">
        <v>27</v>
      </c>
    </row>
    <row r="17" spans="1:41" ht="15.9" customHeight="1" x14ac:dyDescent="0.3">
      <c r="A17" s="28" t="str">
        <v>G3</v>
      </c>
      <c r="B17" s="8" t="str">
        <v>Gold M3</v>
      </c>
      <c r="C17" s="53">
        <f t="shared" si="0"/>
        <v>0</v>
      </c>
      <c r="D17" s="53">
        <f t="shared" si="0"/>
        <v>5</v>
      </c>
      <c r="E17" s="53">
        <f t="shared" si="0"/>
        <v>5</v>
      </c>
      <c r="F17" s="53">
        <f t="shared" si="0"/>
        <v>5</v>
      </c>
      <c r="G17" s="53">
        <f t="shared" si="0"/>
        <v>0</v>
      </c>
      <c r="H17" s="8">
        <v>13</v>
      </c>
      <c r="I17" s="51"/>
      <c r="J17" s="9">
        <v>13</v>
      </c>
      <c r="K17" s="15" t="s">
        <v>35</v>
      </c>
      <c r="L17" s="15" t="s">
        <v>37</v>
      </c>
      <c r="M17" s="15" t="s">
        <v>96</v>
      </c>
      <c r="N17" s="15" t="s">
        <v>35</v>
      </c>
      <c r="O17" s="15" t="s">
        <v>22</v>
      </c>
      <c r="Q17" s="9">
        <v>8</v>
      </c>
      <c r="R17" s="9">
        <v>7</v>
      </c>
      <c r="S17" s="9">
        <v>15</v>
      </c>
      <c r="T17" s="9">
        <v>8</v>
      </c>
      <c r="U17" s="9">
        <v>3</v>
      </c>
      <c r="W17" s="24">
        <v>1</v>
      </c>
      <c r="X17" s="24">
        <v>1</v>
      </c>
      <c r="Y17" s="24">
        <v>1</v>
      </c>
      <c r="Z17" s="24">
        <v>1</v>
      </c>
      <c r="AA17" s="24">
        <v>1</v>
      </c>
      <c r="AC17" s="71" t="str">
        <v>G1</v>
      </c>
      <c r="AD17" s="53">
        <v>0</v>
      </c>
      <c r="AE17" s="53">
        <v>4</v>
      </c>
      <c r="AF17" s="53">
        <v>5</v>
      </c>
      <c r="AG17" s="53">
        <v>5</v>
      </c>
      <c r="AH17" s="53">
        <v>0</v>
      </c>
      <c r="AI17" s="5"/>
      <c r="AJ17" s="71" t="str">
        <v>G1</v>
      </c>
      <c r="AK17" s="53">
        <v>0</v>
      </c>
      <c r="AL17" s="53">
        <v>4</v>
      </c>
      <c r="AM17" s="53">
        <v>5</v>
      </c>
      <c r="AN17" s="53">
        <v>5</v>
      </c>
      <c r="AO17" s="53">
        <v>0</v>
      </c>
    </row>
    <row r="18" spans="1:41" ht="15.9" customHeight="1" x14ac:dyDescent="0.3">
      <c r="A18" s="28" t="str">
        <v>G4</v>
      </c>
      <c r="B18" s="8" t="str">
        <v>Gold M4</v>
      </c>
      <c r="C18" s="53">
        <f t="shared" si="0"/>
        <v>0</v>
      </c>
      <c r="D18" s="53">
        <f t="shared" si="0"/>
        <v>9</v>
      </c>
      <c r="E18" s="53">
        <f t="shared" si="0"/>
        <v>44</v>
      </c>
      <c r="F18" s="53">
        <f t="shared" si="0"/>
        <v>3</v>
      </c>
      <c r="G18" s="53">
        <f t="shared" si="0"/>
        <v>0</v>
      </c>
      <c r="H18" s="8">
        <v>14</v>
      </c>
      <c r="I18" s="51"/>
      <c r="J18" s="24">
        <v>14</v>
      </c>
      <c r="K18" s="15" t="s">
        <v>37</v>
      </c>
      <c r="L18" s="15" t="s">
        <v>65</v>
      </c>
      <c r="M18" s="15" t="s">
        <v>64</v>
      </c>
      <c r="N18" s="15" t="s">
        <v>37</v>
      </c>
      <c r="O18" s="15" t="s">
        <v>36</v>
      </c>
      <c r="Q18" s="9">
        <v>7</v>
      </c>
      <c r="R18" s="9">
        <v>16</v>
      </c>
      <c r="S18" s="9">
        <v>14</v>
      </c>
      <c r="T18" s="9">
        <v>7</v>
      </c>
      <c r="U18" s="9">
        <v>10</v>
      </c>
      <c r="W18" s="24">
        <v>1</v>
      </c>
      <c r="X18" s="24">
        <v>1</v>
      </c>
      <c r="Y18" s="24">
        <v>1</v>
      </c>
      <c r="Z18" s="24">
        <v>1</v>
      </c>
      <c r="AA18" s="24">
        <v>1</v>
      </c>
      <c r="AC18" s="71" t="str">
        <v>G2</v>
      </c>
      <c r="AD18" s="53">
        <v>0</v>
      </c>
      <c r="AE18" s="53">
        <v>5</v>
      </c>
      <c r="AF18" s="53">
        <v>5</v>
      </c>
      <c r="AG18" s="53">
        <v>5</v>
      </c>
      <c r="AH18" s="53">
        <v>0</v>
      </c>
      <c r="AI18" s="5"/>
      <c r="AJ18" s="71" t="str">
        <v>G2</v>
      </c>
      <c r="AK18" s="53">
        <v>0</v>
      </c>
      <c r="AL18" s="53">
        <v>5</v>
      </c>
      <c r="AM18" s="53">
        <v>5</v>
      </c>
      <c r="AN18" s="53">
        <v>5</v>
      </c>
      <c r="AO18" s="53">
        <v>0</v>
      </c>
    </row>
    <row r="19" spans="1:41" ht="15.9" customHeight="1" x14ac:dyDescent="0.3">
      <c r="A19" s="28" t="str">
        <v>G5</v>
      </c>
      <c r="B19" s="8" t="str">
        <v>Gold M5</v>
      </c>
      <c r="C19" s="53">
        <f t="shared" si="0"/>
        <v>0</v>
      </c>
      <c r="D19" s="53">
        <f t="shared" si="0"/>
        <v>9</v>
      </c>
      <c r="E19" s="53">
        <f t="shared" si="0"/>
        <v>44</v>
      </c>
      <c r="F19" s="53">
        <f t="shared" si="0"/>
        <v>3</v>
      </c>
      <c r="G19" s="53">
        <f t="shared" si="0"/>
        <v>0</v>
      </c>
      <c r="H19" s="8">
        <v>15</v>
      </c>
      <c r="I19" s="51"/>
      <c r="J19" s="9">
        <v>15</v>
      </c>
      <c r="K19" s="15" t="s">
        <v>37</v>
      </c>
      <c r="L19" s="15" t="s">
        <v>70</v>
      </c>
      <c r="M19" s="15" t="s">
        <v>65</v>
      </c>
      <c r="N19" s="15" t="s">
        <v>37</v>
      </c>
      <c r="O19" s="15" t="s">
        <v>95</v>
      </c>
      <c r="Q19" s="9">
        <v>7</v>
      </c>
      <c r="R19" s="9">
        <v>19</v>
      </c>
      <c r="S19" s="9">
        <v>16</v>
      </c>
      <c r="T19" s="9">
        <v>7</v>
      </c>
      <c r="U19" s="9">
        <v>6</v>
      </c>
      <c r="W19" s="24">
        <v>1</v>
      </c>
      <c r="X19" s="24">
        <v>1</v>
      </c>
      <c r="Y19" s="24">
        <v>1</v>
      </c>
      <c r="Z19" s="24">
        <v>1</v>
      </c>
      <c r="AA19" s="24">
        <v>1</v>
      </c>
      <c r="AC19" s="71" t="str">
        <v>G3</v>
      </c>
      <c r="AD19" s="53">
        <v>0</v>
      </c>
      <c r="AE19" s="53">
        <v>5</v>
      </c>
      <c r="AF19" s="53">
        <v>5</v>
      </c>
      <c r="AG19" s="53">
        <v>5</v>
      </c>
      <c r="AH19" s="53">
        <v>0</v>
      </c>
      <c r="AI19" s="5"/>
      <c r="AJ19" s="71" t="str">
        <v>G3</v>
      </c>
      <c r="AK19" s="53">
        <v>0</v>
      </c>
      <c r="AL19" s="53">
        <v>5</v>
      </c>
      <c r="AM19" s="53">
        <v>5</v>
      </c>
      <c r="AN19" s="53">
        <v>5</v>
      </c>
      <c r="AO19" s="53">
        <v>0</v>
      </c>
    </row>
    <row r="20" spans="1:41" ht="15.9" customHeight="1" x14ac:dyDescent="0.3">
      <c r="A20" s="28" t="str">
        <v>GA</v>
      </c>
      <c r="B20" s="8" t="str">
        <v>Gold A</v>
      </c>
      <c r="C20" s="53">
        <f t="shared" si="0"/>
        <v>0</v>
      </c>
      <c r="D20" s="53">
        <f t="shared" si="0"/>
        <v>9</v>
      </c>
      <c r="E20" s="53">
        <f t="shared" si="0"/>
        <v>44</v>
      </c>
      <c r="F20" s="53">
        <f t="shared" si="0"/>
        <v>3</v>
      </c>
      <c r="G20" s="53">
        <f t="shared" si="0"/>
        <v>0</v>
      </c>
      <c r="H20" s="8">
        <v>16</v>
      </c>
      <c r="I20" s="51"/>
      <c r="J20" s="24">
        <v>16</v>
      </c>
      <c r="K20" s="15" t="s">
        <v>37</v>
      </c>
      <c r="L20" s="15" t="s">
        <v>22</v>
      </c>
      <c r="M20" s="15" t="s">
        <v>68</v>
      </c>
      <c r="N20" s="15" t="s">
        <v>62</v>
      </c>
      <c r="O20" s="15" t="s">
        <v>21</v>
      </c>
      <c r="Q20" s="9">
        <v>7</v>
      </c>
      <c r="R20" s="9">
        <v>3</v>
      </c>
      <c r="S20" s="9">
        <v>18</v>
      </c>
      <c r="T20" s="9">
        <v>12</v>
      </c>
      <c r="U20" s="9">
        <v>2</v>
      </c>
      <c r="W20" s="24">
        <v>1</v>
      </c>
      <c r="X20" s="24">
        <v>1</v>
      </c>
      <c r="Y20" s="24">
        <v>1</v>
      </c>
      <c r="Z20" s="24">
        <v>1</v>
      </c>
      <c r="AA20" s="24">
        <v>1</v>
      </c>
      <c r="AC20" s="71" t="str">
        <v>G4</v>
      </c>
      <c r="AD20" s="53">
        <v>0</v>
      </c>
      <c r="AE20" s="53">
        <v>9</v>
      </c>
      <c r="AF20" s="53">
        <v>44</v>
      </c>
      <c r="AG20" s="53">
        <v>3</v>
      </c>
      <c r="AH20" s="53">
        <v>0</v>
      </c>
      <c r="AI20" s="5"/>
      <c r="AJ20" s="71" t="str">
        <v>G4</v>
      </c>
      <c r="AK20" s="53">
        <v>0</v>
      </c>
      <c r="AL20" s="53">
        <v>9</v>
      </c>
      <c r="AM20" s="53">
        <v>44</v>
      </c>
      <c r="AN20" s="53">
        <v>3</v>
      </c>
      <c r="AO20" s="53">
        <v>0</v>
      </c>
    </row>
    <row r="21" spans="1:41" ht="15.9" customHeight="1" x14ac:dyDescent="0.3">
      <c r="A21" s="28" t="str">
        <v>GK</v>
      </c>
      <c r="B21" s="8" t="str">
        <v>Gold K</v>
      </c>
      <c r="C21" s="53">
        <f t="shared" si="0"/>
        <v>0</v>
      </c>
      <c r="D21" s="53">
        <f t="shared" si="0"/>
        <v>9</v>
      </c>
      <c r="E21" s="53">
        <f t="shared" si="0"/>
        <v>44</v>
      </c>
      <c r="F21" s="53">
        <f t="shared" si="0"/>
        <v>3</v>
      </c>
      <c r="G21" s="53">
        <f t="shared" si="0"/>
        <v>0</v>
      </c>
      <c r="H21" s="8">
        <v>17</v>
      </c>
      <c r="I21" s="51"/>
      <c r="J21" s="9">
        <v>17</v>
      </c>
      <c r="K21" s="15" t="s">
        <v>35</v>
      </c>
      <c r="L21" s="15" t="s">
        <v>96</v>
      </c>
      <c r="M21" s="15" t="s">
        <v>65</v>
      </c>
      <c r="N21" s="15" t="s">
        <v>81</v>
      </c>
      <c r="O21" s="15" t="s">
        <v>37</v>
      </c>
      <c r="Q21" s="9">
        <v>8</v>
      </c>
      <c r="R21" s="9">
        <v>15</v>
      </c>
      <c r="S21" s="9">
        <v>16</v>
      </c>
      <c r="T21" s="9">
        <v>17</v>
      </c>
      <c r="U21" s="9">
        <v>7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C21" s="71" t="str">
        <v>G5</v>
      </c>
      <c r="AD21" s="53">
        <v>0</v>
      </c>
      <c r="AE21" s="53">
        <v>9</v>
      </c>
      <c r="AF21" s="53">
        <v>44</v>
      </c>
      <c r="AG21" s="53">
        <v>3</v>
      </c>
      <c r="AH21" s="53">
        <v>0</v>
      </c>
      <c r="AI21" s="5"/>
      <c r="AJ21" s="71" t="str">
        <v>G5</v>
      </c>
      <c r="AK21" s="53">
        <v>0</v>
      </c>
      <c r="AL21" s="53">
        <v>9</v>
      </c>
      <c r="AM21" s="53">
        <v>44</v>
      </c>
      <c r="AN21" s="53">
        <v>3</v>
      </c>
      <c r="AO21" s="53">
        <v>0</v>
      </c>
    </row>
    <row r="22" spans="1:41" ht="15.9" customHeight="1" x14ac:dyDescent="0.3">
      <c r="A22" s="28" t="str">
        <v>GQ</v>
      </c>
      <c r="B22" s="8" t="str">
        <v>Gold Q</v>
      </c>
      <c r="C22" s="53">
        <f t="shared" si="0"/>
        <v>0</v>
      </c>
      <c r="D22" s="53">
        <f t="shared" si="0"/>
        <v>5</v>
      </c>
      <c r="E22" s="53">
        <f t="shared" si="0"/>
        <v>5</v>
      </c>
      <c r="F22" s="53">
        <f t="shared" si="0"/>
        <v>4</v>
      </c>
      <c r="G22" s="53">
        <f t="shared" si="0"/>
        <v>0</v>
      </c>
      <c r="H22" s="8">
        <v>18</v>
      </c>
      <c r="I22" s="51"/>
      <c r="J22" s="24">
        <v>18</v>
      </c>
      <c r="K22" s="15" t="s">
        <v>95</v>
      </c>
      <c r="L22" s="15" t="s">
        <v>95</v>
      </c>
      <c r="M22" s="15" t="s">
        <v>96</v>
      </c>
      <c r="N22" s="15" t="s">
        <v>34</v>
      </c>
      <c r="O22" s="15" t="s">
        <v>36</v>
      </c>
      <c r="Q22" s="9">
        <v>6</v>
      </c>
      <c r="R22" s="9">
        <v>6</v>
      </c>
      <c r="S22" s="9">
        <v>15</v>
      </c>
      <c r="T22" s="9">
        <v>9</v>
      </c>
      <c r="U22" s="9">
        <v>10</v>
      </c>
      <c r="W22" s="24">
        <v>1</v>
      </c>
      <c r="X22" s="24">
        <v>1</v>
      </c>
      <c r="Y22" s="24">
        <v>1</v>
      </c>
      <c r="Z22" s="24">
        <v>1</v>
      </c>
      <c r="AA22" s="24">
        <v>1</v>
      </c>
      <c r="AC22" s="71" t="str">
        <v>GA</v>
      </c>
      <c r="AD22" s="53">
        <v>0</v>
      </c>
      <c r="AE22" s="53">
        <v>9</v>
      </c>
      <c r="AF22" s="53">
        <v>44</v>
      </c>
      <c r="AG22" s="53">
        <v>3</v>
      </c>
      <c r="AH22" s="53">
        <v>0</v>
      </c>
      <c r="AI22" s="5"/>
      <c r="AJ22" s="71" t="str">
        <v>GA</v>
      </c>
      <c r="AK22" s="53">
        <v>0</v>
      </c>
      <c r="AL22" s="53">
        <v>9</v>
      </c>
      <c r="AM22" s="53">
        <v>44</v>
      </c>
      <c r="AN22" s="53">
        <v>3</v>
      </c>
      <c r="AO22" s="53">
        <v>0</v>
      </c>
    </row>
    <row r="23" spans="1:41" ht="15.9" customHeight="1" x14ac:dyDescent="0.3">
      <c r="A23" s="28" t="str">
        <v>GJ</v>
      </c>
      <c r="B23" s="8" t="str">
        <v>Gold J</v>
      </c>
      <c r="C23" s="53">
        <f t="shared" si="0"/>
        <v>0</v>
      </c>
      <c r="D23" s="53">
        <f t="shared" si="0"/>
        <v>5</v>
      </c>
      <c r="E23" s="53">
        <f t="shared" si="0"/>
        <v>4</v>
      </c>
      <c r="F23" s="53">
        <f t="shared" si="0"/>
        <v>4</v>
      </c>
      <c r="G23" s="53">
        <f t="shared" si="0"/>
        <v>0</v>
      </c>
      <c r="H23" s="8">
        <v>19</v>
      </c>
      <c r="I23" s="51"/>
      <c r="J23" s="9">
        <v>19</v>
      </c>
      <c r="K23" s="15" t="s">
        <v>19</v>
      </c>
      <c r="L23" s="15" t="s">
        <v>18</v>
      </c>
      <c r="M23" s="15" t="s">
        <v>81</v>
      </c>
      <c r="N23" s="15" t="s">
        <v>34</v>
      </c>
      <c r="O23" s="15" t="s">
        <v>21</v>
      </c>
      <c r="Q23" s="9">
        <v>5</v>
      </c>
      <c r="R23" s="9">
        <v>4</v>
      </c>
      <c r="S23" s="9">
        <v>17</v>
      </c>
      <c r="T23" s="9">
        <v>9</v>
      </c>
      <c r="U23" s="9">
        <v>2</v>
      </c>
      <c r="W23" s="24">
        <v>1</v>
      </c>
      <c r="X23" s="24">
        <v>1</v>
      </c>
      <c r="Y23" s="24">
        <v>1</v>
      </c>
      <c r="Z23" s="24">
        <v>1</v>
      </c>
      <c r="AA23" s="24">
        <v>1</v>
      </c>
      <c r="AC23" s="71" t="str">
        <v>GK</v>
      </c>
      <c r="AD23" s="53">
        <v>0</v>
      </c>
      <c r="AE23" s="53">
        <v>9</v>
      </c>
      <c r="AF23" s="53">
        <v>44</v>
      </c>
      <c r="AG23" s="53">
        <v>3</v>
      </c>
      <c r="AH23" s="53">
        <v>0</v>
      </c>
      <c r="AI23" s="5"/>
      <c r="AJ23" s="71" t="str">
        <v>GK</v>
      </c>
      <c r="AK23" s="53">
        <v>0</v>
      </c>
      <c r="AL23" s="53">
        <v>9</v>
      </c>
      <c r="AM23" s="53">
        <v>44</v>
      </c>
      <c r="AN23" s="53">
        <v>3</v>
      </c>
      <c r="AO23" s="53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51"/>
      <c r="J24" s="24">
        <v>20</v>
      </c>
      <c r="K24" s="15" t="s">
        <v>95</v>
      </c>
      <c r="L24" s="15" t="s">
        <v>61</v>
      </c>
      <c r="M24" s="15" t="s">
        <v>64</v>
      </c>
      <c r="N24" s="15" t="s">
        <v>18</v>
      </c>
      <c r="O24" s="15" t="s">
        <v>34</v>
      </c>
      <c r="Q24" s="9">
        <v>6</v>
      </c>
      <c r="R24" s="9">
        <v>11</v>
      </c>
      <c r="S24" s="9">
        <v>14</v>
      </c>
      <c r="T24" s="9">
        <v>4</v>
      </c>
      <c r="U24" s="9">
        <v>9</v>
      </c>
      <c r="W24" s="24">
        <v>1</v>
      </c>
      <c r="X24" s="24">
        <v>1</v>
      </c>
      <c r="Y24" s="24">
        <v>1</v>
      </c>
      <c r="Z24" s="24">
        <v>1</v>
      </c>
      <c r="AA24" s="24">
        <v>1</v>
      </c>
      <c r="AC24" s="71" t="str">
        <v>GQ</v>
      </c>
      <c r="AD24" s="53">
        <v>0</v>
      </c>
      <c r="AE24" s="53">
        <v>5</v>
      </c>
      <c r="AF24" s="53">
        <v>5</v>
      </c>
      <c r="AG24" s="53">
        <v>4</v>
      </c>
      <c r="AH24" s="53">
        <v>0</v>
      </c>
      <c r="AI24" s="5"/>
      <c r="AJ24" s="71" t="str">
        <v>GQ</v>
      </c>
      <c r="AK24" s="53">
        <v>0</v>
      </c>
      <c r="AL24" s="53">
        <v>5</v>
      </c>
      <c r="AM24" s="53">
        <v>5</v>
      </c>
      <c r="AN24" s="53">
        <v>4</v>
      </c>
      <c r="AO24" s="53">
        <v>0</v>
      </c>
    </row>
    <row r="25" spans="1:41" ht="16.5" customHeight="1" x14ac:dyDescent="0.3">
      <c r="I25" s="51"/>
      <c r="J25" s="9">
        <v>21</v>
      </c>
      <c r="K25" s="15" t="s">
        <v>18</v>
      </c>
      <c r="L25" s="15" t="s">
        <v>81</v>
      </c>
      <c r="M25" s="15" t="s">
        <v>81</v>
      </c>
      <c r="N25" s="15" t="s">
        <v>20</v>
      </c>
      <c r="O25" s="15" t="s">
        <v>36</v>
      </c>
      <c r="Q25" s="9">
        <v>4</v>
      </c>
      <c r="R25" s="9">
        <v>17</v>
      </c>
      <c r="S25" s="9">
        <v>17</v>
      </c>
      <c r="T25" s="9">
        <v>1</v>
      </c>
      <c r="U25" s="9">
        <v>10</v>
      </c>
      <c r="W25" s="24">
        <v>1</v>
      </c>
      <c r="X25" s="24">
        <v>1</v>
      </c>
      <c r="Y25" s="24">
        <v>1</v>
      </c>
      <c r="Z25" s="24">
        <v>1</v>
      </c>
      <c r="AA25" s="24">
        <v>1</v>
      </c>
      <c r="AC25" s="71" t="str">
        <v>GJ</v>
      </c>
      <c r="AD25" s="53">
        <v>0</v>
      </c>
      <c r="AE25" s="53">
        <v>5</v>
      </c>
      <c r="AF25" s="53">
        <v>4</v>
      </c>
      <c r="AG25" s="53">
        <v>4</v>
      </c>
      <c r="AH25" s="53">
        <v>0</v>
      </c>
      <c r="AI25" s="5"/>
      <c r="AJ25" s="71" t="str">
        <v>GJ</v>
      </c>
      <c r="AK25" s="53">
        <v>0</v>
      </c>
      <c r="AL25" s="53">
        <v>5</v>
      </c>
      <c r="AM25" s="53">
        <v>4</v>
      </c>
      <c r="AN25" s="53">
        <v>4</v>
      </c>
      <c r="AO25" s="53">
        <v>0</v>
      </c>
    </row>
    <row r="26" spans="1:41" ht="16.5" customHeight="1" x14ac:dyDescent="0.3">
      <c r="B26" s="5" t="s">
        <v>110</v>
      </c>
      <c r="C26" s="86">
        <f>SUM(C4:C14)/C24</f>
        <v>1</v>
      </c>
      <c r="D26" s="86">
        <f>SUM(D4:D14)/D24</f>
        <v>0.7</v>
      </c>
      <c r="E26" s="86">
        <f>SUM(E4:E14)/E24</f>
        <v>0</v>
      </c>
      <c r="F26" s="86">
        <f>SUM(F4:F14)/F24</f>
        <v>0.82499999999999996</v>
      </c>
      <c r="G26" s="86">
        <f>SUM(G4:G14)/G24</f>
        <v>1</v>
      </c>
      <c r="I26" s="51"/>
      <c r="J26" s="24">
        <v>22</v>
      </c>
      <c r="K26" s="15" t="s">
        <v>35</v>
      </c>
      <c r="L26" s="15" t="s">
        <v>22</v>
      </c>
      <c r="M26" s="15" t="s">
        <v>70</v>
      </c>
      <c r="N26" s="15" t="s">
        <v>96</v>
      </c>
      <c r="O26" s="15" t="s">
        <v>18</v>
      </c>
      <c r="Q26" s="9">
        <v>8</v>
      </c>
      <c r="R26" s="9">
        <v>3</v>
      </c>
      <c r="S26" s="9">
        <v>19</v>
      </c>
      <c r="T26" s="9">
        <v>15</v>
      </c>
      <c r="U26" s="9">
        <v>4</v>
      </c>
      <c r="W26" s="24">
        <v>1</v>
      </c>
      <c r="X26" s="24">
        <v>1</v>
      </c>
      <c r="Y26" s="24">
        <v>1</v>
      </c>
      <c r="Z26" s="24">
        <v>1</v>
      </c>
      <c r="AA26" s="24">
        <v>1</v>
      </c>
      <c r="AD26" s="59">
        <f>SUM(AD6:AD25)</f>
        <v>200</v>
      </c>
      <c r="AE26" s="59">
        <f>SUM(AE6:AE25)</f>
        <v>200</v>
      </c>
      <c r="AF26" s="59">
        <f>SUM(AF6:AF25)</f>
        <v>200</v>
      </c>
      <c r="AG26" s="59">
        <f>SUM(AG6:AG25)</f>
        <v>200</v>
      </c>
      <c r="AH26" s="59">
        <f>SUM(AH6:AH25)</f>
        <v>200</v>
      </c>
      <c r="AI26" s="5"/>
      <c r="AK26" s="59">
        <f>SUM(AK6:AK25)</f>
        <v>200</v>
      </c>
      <c r="AL26" s="59">
        <f>SUM(AL6:AL25)</f>
        <v>200</v>
      </c>
      <c r="AM26" s="59">
        <f>SUM(AM6:AM25)</f>
        <v>200</v>
      </c>
      <c r="AN26" s="59">
        <f>SUM(AN6:AN25)</f>
        <v>200</v>
      </c>
      <c r="AO26" s="59">
        <f>SUM(AO6:AO25)</f>
        <v>200</v>
      </c>
    </row>
    <row r="27" spans="1:41" ht="16.5" customHeight="1" x14ac:dyDescent="0.3">
      <c r="B27" s="5" t="s">
        <v>109</v>
      </c>
      <c r="C27" s="86">
        <f>SUM(C15:C23)/C24</f>
        <v>0</v>
      </c>
      <c r="D27" s="86">
        <f>SUM(D15:D23)/D24</f>
        <v>0.3</v>
      </c>
      <c r="E27" s="86">
        <f>SUM(E15:E23)/E24</f>
        <v>1</v>
      </c>
      <c r="F27" s="86">
        <f>SUM(F15:F23)/F24</f>
        <v>0.17499999999999999</v>
      </c>
      <c r="G27" s="86">
        <f>SUM(G15:G23)/G24</f>
        <v>0</v>
      </c>
      <c r="I27" s="51"/>
      <c r="J27" s="9">
        <v>23</v>
      </c>
      <c r="K27" s="15" t="s">
        <v>19</v>
      </c>
      <c r="L27" s="15" t="s">
        <v>34</v>
      </c>
      <c r="M27" s="15" t="s">
        <v>64</v>
      </c>
      <c r="N27" s="15" t="s">
        <v>36</v>
      </c>
      <c r="O27" s="15" t="s">
        <v>22</v>
      </c>
      <c r="Q27" s="9">
        <v>5</v>
      </c>
      <c r="R27" s="9">
        <v>9</v>
      </c>
      <c r="S27" s="9">
        <v>14</v>
      </c>
      <c r="T27" s="9">
        <v>10</v>
      </c>
      <c r="U27" s="9">
        <v>3</v>
      </c>
      <c r="W27" s="24">
        <v>1</v>
      </c>
      <c r="X27" s="24">
        <v>1</v>
      </c>
      <c r="Y27" s="24">
        <v>1</v>
      </c>
      <c r="Z27" s="24">
        <v>1</v>
      </c>
      <c r="AA27" s="24">
        <v>1</v>
      </c>
      <c r="AH27" s="5"/>
      <c r="AI27" s="5"/>
      <c r="AO27" s="5"/>
    </row>
    <row r="28" spans="1:41" ht="16.5" customHeight="1" x14ac:dyDescent="0.3">
      <c r="I28" s="51"/>
      <c r="J28" s="24">
        <v>24</v>
      </c>
      <c r="K28" s="15" t="s">
        <v>95</v>
      </c>
      <c r="L28" s="15" t="s">
        <v>96</v>
      </c>
      <c r="M28" s="15" t="s">
        <v>96</v>
      </c>
      <c r="N28" s="15" t="s">
        <v>35</v>
      </c>
      <c r="O28" s="15" t="s">
        <v>21</v>
      </c>
      <c r="Q28" s="9">
        <v>6</v>
      </c>
      <c r="R28" s="9">
        <v>15</v>
      </c>
      <c r="S28" s="9">
        <v>15</v>
      </c>
      <c r="T28" s="9">
        <v>8</v>
      </c>
      <c r="U28" s="9">
        <v>2</v>
      </c>
      <c r="W28" s="24">
        <v>1</v>
      </c>
      <c r="X28" s="24">
        <v>1</v>
      </c>
      <c r="Y28" s="24">
        <v>1</v>
      </c>
      <c r="Z28" s="24">
        <v>1</v>
      </c>
      <c r="AA28" s="24">
        <v>1</v>
      </c>
      <c r="AC28" s="26" t="s">
        <v>100</v>
      </c>
      <c r="AH28" s="5"/>
      <c r="AI28" s="5"/>
      <c r="AJ28" s="26" t="s">
        <v>100</v>
      </c>
      <c r="AO28" s="5"/>
    </row>
    <row r="29" spans="1:41" ht="16.5" customHeight="1" x14ac:dyDescent="0.3">
      <c r="I29" s="51"/>
      <c r="J29" s="9">
        <v>25</v>
      </c>
      <c r="K29" s="15" t="s">
        <v>36</v>
      </c>
      <c r="L29" s="15" t="s">
        <v>22</v>
      </c>
      <c r="M29" s="15" t="s">
        <v>81</v>
      </c>
      <c r="N29" s="15" t="s">
        <v>34</v>
      </c>
      <c r="O29" s="15" t="s">
        <v>18</v>
      </c>
      <c r="Q29" s="9">
        <v>10</v>
      </c>
      <c r="R29" s="9">
        <v>3</v>
      </c>
      <c r="S29" s="9">
        <v>17</v>
      </c>
      <c r="T29" s="9">
        <v>9</v>
      </c>
      <c r="U29" s="9">
        <v>4</v>
      </c>
      <c r="W29" s="24">
        <v>1</v>
      </c>
      <c r="X29" s="24">
        <v>1</v>
      </c>
      <c r="Y29" s="24">
        <v>1</v>
      </c>
      <c r="Z29" s="24">
        <v>1</v>
      </c>
      <c r="AA29" s="24">
        <v>1</v>
      </c>
      <c r="AC29" s="68" t="s">
        <v>42</v>
      </c>
      <c r="AD29" s="68" t="s">
        <v>13</v>
      </c>
      <c r="AE29" s="68" t="s">
        <v>14</v>
      </c>
      <c r="AF29" s="68" t="s">
        <v>15</v>
      </c>
      <c r="AG29" s="68" t="s">
        <v>16</v>
      </c>
      <c r="AH29" s="68" t="s">
        <v>17</v>
      </c>
      <c r="AI29" s="5"/>
      <c r="AJ29" s="68" t="s">
        <v>42</v>
      </c>
      <c r="AK29" s="68" t="s">
        <v>13</v>
      </c>
      <c r="AL29" s="68" t="s">
        <v>14</v>
      </c>
      <c r="AM29" s="68" t="s">
        <v>15</v>
      </c>
      <c r="AN29" s="68" t="s">
        <v>16</v>
      </c>
      <c r="AO29" s="68" t="s">
        <v>17</v>
      </c>
    </row>
    <row r="30" spans="1:41" ht="16.5" customHeight="1" x14ac:dyDescent="0.3">
      <c r="I30" s="51"/>
      <c r="J30" s="24">
        <v>26</v>
      </c>
      <c r="K30" s="15" t="s">
        <v>95</v>
      </c>
      <c r="L30" s="15" t="s">
        <v>35</v>
      </c>
      <c r="M30" s="15" t="s">
        <v>64</v>
      </c>
      <c r="N30" s="15" t="s">
        <v>95</v>
      </c>
      <c r="O30" s="15" t="s">
        <v>21</v>
      </c>
      <c r="Q30" s="9">
        <v>6</v>
      </c>
      <c r="R30" s="9">
        <v>8</v>
      </c>
      <c r="S30" s="9">
        <v>14</v>
      </c>
      <c r="T30" s="9">
        <v>6</v>
      </c>
      <c r="U30" s="9">
        <v>2</v>
      </c>
      <c r="W30" s="24">
        <v>1</v>
      </c>
      <c r="X30" s="24">
        <v>1</v>
      </c>
      <c r="Y30" s="24">
        <v>1</v>
      </c>
      <c r="Z30" s="24">
        <v>1</v>
      </c>
      <c r="AA30" s="24">
        <v>1</v>
      </c>
      <c r="AC30" s="71" t="str" cm="1">
        <f t="array" ref="AC30:AC49">$A$4:$A$23</f>
        <v>WW</v>
      </c>
      <c r="AD30" s="72">
        <v>0</v>
      </c>
      <c r="AE30" s="72">
        <v>0</v>
      </c>
      <c r="AF30" s="72">
        <v>0</v>
      </c>
      <c r="AG30" s="72">
        <v>0</v>
      </c>
      <c r="AH30" s="72">
        <v>0</v>
      </c>
      <c r="AI30" s="5"/>
      <c r="AJ30" s="71" t="str" cm="1">
        <f t="array" ref="AJ30:AJ49">$A$4:$A$23</f>
        <v>WW</v>
      </c>
      <c r="AK30" s="72">
        <v>0</v>
      </c>
      <c r="AL30" s="72">
        <v>0</v>
      </c>
      <c r="AM30" s="72">
        <v>0</v>
      </c>
      <c r="AN30" s="72">
        <v>0</v>
      </c>
      <c r="AO30" s="72">
        <v>0</v>
      </c>
    </row>
    <row r="31" spans="1:41" ht="16.5" customHeight="1" x14ac:dyDescent="0.3">
      <c r="I31" s="51"/>
      <c r="J31" s="9">
        <v>27</v>
      </c>
      <c r="K31" s="15" t="s">
        <v>21</v>
      </c>
      <c r="L31" s="15" t="s">
        <v>35</v>
      </c>
      <c r="M31" s="15" t="s">
        <v>70</v>
      </c>
      <c r="N31" s="15" t="s">
        <v>21</v>
      </c>
      <c r="O31" s="15" t="s">
        <v>18</v>
      </c>
      <c r="Q31" s="9">
        <v>2</v>
      </c>
      <c r="R31" s="9">
        <v>8</v>
      </c>
      <c r="S31" s="9">
        <v>19</v>
      </c>
      <c r="T31" s="9">
        <v>2</v>
      </c>
      <c r="U31" s="9">
        <v>4</v>
      </c>
      <c r="W31" s="24">
        <v>1</v>
      </c>
      <c r="X31" s="24">
        <v>1</v>
      </c>
      <c r="Y31" s="24">
        <v>1</v>
      </c>
      <c r="Z31" s="24">
        <v>1</v>
      </c>
      <c r="AA31" s="24">
        <v>1</v>
      </c>
      <c r="AC31" s="71" t="str">
        <v>C1</v>
      </c>
      <c r="AD31" s="71">
        <v>0</v>
      </c>
      <c r="AE31" s="71">
        <v>6</v>
      </c>
      <c r="AF31" s="71">
        <v>0</v>
      </c>
      <c r="AG31" s="71">
        <v>9</v>
      </c>
      <c r="AH31" s="71">
        <v>0</v>
      </c>
      <c r="AI31" s="5"/>
      <c r="AJ31" s="71" t="str">
        <v>C1</v>
      </c>
      <c r="AK31" s="71">
        <v>0</v>
      </c>
      <c r="AL31" s="71">
        <v>6</v>
      </c>
      <c r="AM31" s="71">
        <v>0</v>
      </c>
      <c r="AN31" s="71">
        <v>9</v>
      </c>
      <c r="AO31" s="71">
        <v>0</v>
      </c>
    </row>
    <row r="32" spans="1:41" ht="16.5" customHeight="1" x14ac:dyDescent="0.3">
      <c r="J32" s="24">
        <v>28</v>
      </c>
      <c r="K32" s="15" t="s">
        <v>95</v>
      </c>
      <c r="L32" s="15" t="s">
        <v>36</v>
      </c>
      <c r="M32" s="15" t="s">
        <v>65</v>
      </c>
      <c r="N32" s="15" t="s">
        <v>20</v>
      </c>
      <c r="O32" s="15" t="s">
        <v>21</v>
      </c>
      <c r="Q32" s="9">
        <v>6</v>
      </c>
      <c r="R32" s="9">
        <v>10</v>
      </c>
      <c r="S32" s="9">
        <v>16</v>
      </c>
      <c r="T32" s="9">
        <v>1</v>
      </c>
      <c r="U32" s="9">
        <v>2</v>
      </c>
      <c r="W32" s="24">
        <v>1</v>
      </c>
      <c r="X32" s="24">
        <v>1</v>
      </c>
      <c r="Y32" s="24">
        <v>1</v>
      </c>
      <c r="Z32" s="24">
        <v>1</v>
      </c>
      <c r="AA32" s="24">
        <v>1</v>
      </c>
      <c r="AC32" s="80" t="str">
        <v>M1</v>
      </c>
      <c r="AD32" s="66">
        <v>4</v>
      </c>
      <c r="AE32" s="66">
        <v>11</v>
      </c>
      <c r="AF32" s="66">
        <v>0</v>
      </c>
      <c r="AG32" s="66">
        <v>22</v>
      </c>
      <c r="AH32" s="66">
        <v>28</v>
      </c>
      <c r="AI32" s="5"/>
      <c r="AJ32" s="80" t="str">
        <v>M1</v>
      </c>
      <c r="AK32" s="66">
        <v>4</v>
      </c>
      <c r="AL32" s="66">
        <v>11</v>
      </c>
      <c r="AM32" s="66">
        <v>0</v>
      </c>
      <c r="AN32" s="66">
        <v>22</v>
      </c>
      <c r="AO32" s="66">
        <v>28</v>
      </c>
    </row>
    <row r="33" spans="10:41" ht="16.5" customHeight="1" x14ac:dyDescent="0.3">
      <c r="J33" s="9">
        <v>29</v>
      </c>
      <c r="K33" s="15" t="s">
        <v>95</v>
      </c>
      <c r="L33" s="15" t="s">
        <v>36</v>
      </c>
      <c r="M33" s="15" t="s">
        <v>64</v>
      </c>
      <c r="N33" s="15" t="s">
        <v>18</v>
      </c>
      <c r="O33" s="15" t="s">
        <v>22</v>
      </c>
      <c r="Q33" s="9">
        <v>6</v>
      </c>
      <c r="R33" s="9">
        <v>10</v>
      </c>
      <c r="S33" s="9">
        <v>14</v>
      </c>
      <c r="T33" s="9">
        <v>4</v>
      </c>
      <c r="U33" s="9">
        <v>3</v>
      </c>
      <c r="W33" s="24">
        <v>1</v>
      </c>
      <c r="X33" s="24">
        <v>1</v>
      </c>
      <c r="Y33" s="24">
        <v>1</v>
      </c>
      <c r="Z33" s="24">
        <v>1</v>
      </c>
      <c r="AA33" s="24">
        <v>1</v>
      </c>
      <c r="AC33" s="80" t="str">
        <v>M2</v>
      </c>
      <c r="AD33" s="66">
        <v>4</v>
      </c>
      <c r="AE33" s="66">
        <v>11</v>
      </c>
      <c r="AF33" s="66">
        <v>0</v>
      </c>
      <c r="AG33" s="66">
        <v>22</v>
      </c>
      <c r="AH33" s="66">
        <v>27</v>
      </c>
      <c r="AI33" s="5"/>
      <c r="AJ33" s="80" t="str">
        <v>M2</v>
      </c>
      <c r="AK33" s="66">
        <v>4</v>
      </c>
      <c r="AL33" s="66">
        <v>11</v>
      </c>
      <c r="AM33" s="66">
        <v>0</v>
      </c>
      <c r="AN33" s="66">
        <v>22</v>
      </c>
      <c r="AO33" s="66">
        <v>27</v>
      </c>
    </row>
    <row r="34" spans="10:41" ht="16.5" customHeight="1" x14ac:dyDescent="0.3">
      <c r="J34" s="24">
        <v>30</v>
      </c>
      <c r="K34" s="15" t="s">
        <v>95</v>
      </c>
      <c r="L34" s="15" t="s">
        <v>22</v>
      </c>
      <c r="M34" s="15" t="s">
        <v>63</v>
      </c>
      <c r="N34" s="15" t="s">
        <v>61</v>
      </c>
      <c r="O34" s="15" t="s">
        <v>21</v>
      </c>
      <c r="Q34" s="9">
        <v>6</v>
      </c>
      <c r="R34" s="9">
        <v>3</v>
      </c>
      <c r="S34" s="9">
        <v>13</v>
      </c>
      <c r="T34" s="9">
        <v>11</v>
      </c>
      <c r="U34" s="9">
        <v>2</v>
      </c>
      <c r="W34" s="24">
        <v>1</v>
      </c>
      <c r="X34" s="24">
        <v>1</v>
      </c>
      <c r="Y34" s="24">
        <v>1</v>
      </c>
      <c r="Z34" s="24">
        <v>1</v>
      </c>
      <c r="AA34" s="24">
        <v>1</v>
      </c>
      <c r="AC34" s="80" t="str">
        <v>M3</v>
      </c>
      <c r="AD34" s="66">
        <v>4</v>
      </c>
      <c r="AE34" s="66">
        <v>11</v>
      </c>
      <c r="AF34" s="66">
        <v>0</v>
      </c>
      <c r="AG34" s="66">
        <v>22</v>
      </c>
      <c r="AH34" s="66">
        <v>27</v>
      </c>
      <c r="AI34" s="5"/>
      <c r="AJ34" s="80" t="str">
        <v>M3</v>
      </c>
      <c r="AK34" s="66">
        <v>4</v>
      </c>
      <c r="AL34" s="66">
        <v>11</v>
      </c>
      <c r="AM34" s="66">
        <v>0</v>
      </c>
      <c r="AN34" s="66">
        <v>22</v>
      </c>
      <c r="AO34" s="66">
        <v>27</v>
      </c>
    </row>
    <row r="35" spans="10:41" ht="16.5" customHeight="1" x14ac:dyDescent="0.3">
      <c r="J35" s="9">
        <v>31</v>
      </c>
      <c r="K35" s="15" t="s">
        <v>35</v>
      </c>
      <c r="L35" s="15" t="s">
        <v>35</v>
      </c>
      <c r="M35" s="15" t="s">
        <v>64</v>
      </c>
      <c r="N35" s="15" t="s">
        <v>37</v>
      </c>
      <c r="O35" s="15" t="s">
        <v>21</v>
      </c>
      <c r="Q35" s="9">
        <v>8</v>
      </c>
      <c r="R35" s="9">
        <v>8</v>
      </c>
      <c r="S35" s="9">
        <v>14</v>
      </c>
      <c r="T35" s="9">
        <v>7</v>
      </c>
      <c r="U35" s="9">
        <v>2</v>
      </c>
      <c r="W35" s="24">
        <v>1</v>
      </c>
      <c r="X35" s="24">
        <v>1</v>
      </c>
      <c r="Y35" s="24">
        <v>1</v>
      </c>
      <c r="Z35" s="24">
        <v>1</v>
      </c>
      <c r="AA35" s="24">
        <v>1</v>
      </c>
      <c r="AC35" s="80" t="str">
        <v>M4</v>
      </c>
      <c r="AD35" s="66">
        <v>43</v>
      </c>
      <c r="AE35" s="66">
        <v>19</v>
      </c>
      <c r="AF35" s="66">
        <v>0</v>
      </c>
      <c r="AG35" s="66">
        <v>12</v>
      </c>
      <c r="AH35" s="66">
        <v>16</v>
      </c>
      <c r="AI35" s="5"/>
      <c r="AJ35" s="80" t="str">
        <v>M4</v>
      </c>
      <c r="AK35" s="66">
        <v>43</v>
      </c>
      <c r="AL35" s="66">
        <v>19</v>
      </c>
      <c r="AM35" s="66">
        <v>0</v>
      </c>
      <c r="AN35" s="66">
        <v>12</v>
      </c>
      <c r="AO35" s="66">
        <v>16</v>
      </c>
    </row>
    <row r="36" spans="10:41" ht="16.5" customHeight="1" x14ac:dyDescent="0.3">
      <c r="J36" s="24">
        <v>32</v>
      </c>
      <c r="K36" s="15" t="s">
        <v>37</v>
      </c>
      <c r="L36" s="15" t="s">
        <v>70</v>
      </c>
      <c r="M36" s="15" t="s">
        <v>96</v>
      </c>
      <c r="N36" s="15" t="s">
        <v>18</v>
      </c>
      <c r="O36" s="15" t="s">
        <v>34</v>
      </c>
      <c r="Q36" s="9">
        <v>7</v>
      </c>
      <c r="R36" s="9">
        <v>19</v>
      </c>
      <c r="S36" s="9">
        <v>15</v>
      </c>
      <c r="T36" s="9">
        <v>4</v>
      </c>
      <c r="U36" s="9">
        <v>9</v>
      </c>
      <c r="W36" s="24">
        <v>1</v>
      </c>
      <c r="X36" s="24">
        <v>1</v>
      </c>
      <c r="Y36" s="24">
        <v>1</v>
      </c>
      <c r="Z36" s="24">
        <v>1</v>
      </c>
      <c r="AA36" s="24">
        <v>1</v>
      </c>
      <c r="AC36" s="80" t="str">
        <v>M5</v>
      </c>
      <c r="AD36" s="66">
        <v>43</v>
      </c>
      <c r="AE36" s="66">
        <v>20</v>
      </c>
      <c r="AF36" s="66">
        <v>0</v>
      </c>
      <c r="AG36" s="66">
        <v>12</v>
      </c>
      <c r="AH36" s="66">
        <v>16</v>
      </c>
      <c r="AI36" s="5"/>
      <c r="AJ36" s="80" t="str">
        <v>M5</v>
      </c>
      <c r="AK36" s="66">
        <v>43</v>
      </c>
      <c r="AL36" s="66">
        <v>20</v>
      </c>
      <c r="AM36" s="66">
        <v>0</v>
      </c>
      <c r="AN36" s="66">
        <v>12</v>
      </c>
      <c r="AO36" s="66">
        <v>16</v>
      </c>
    </row>
    <row r="37" spans="10:41" ht="16.5" customHeight="1" x14ac:dyDescent="0.3">
      <c r="J37" s="9">
        <v>33</v>
      </c>
      <c r="K37" s="15" t="s">
        <v>95</v>
      </c>
      <c r="L37" s="15" t="s">
        <v>35</v>
      </c>
      <c r="M37" s="15" t="s">
        <v>81</v>
      </c>
      <c r="N37" s="15" t="s">
        <v>81</v>
      </c>
      <c r="O37" s="15" t="s">
        <v>36</v>
      </c>
      <c r="Q37" s="9">
        <v>6</v>
      </c>
      <c r="R37" s="9">
        <v>8</v>
      </c>
      <c r="S37" s="9">
        <v>17</v>
      </c>
      <c r="T37" s="9">
        <v>17</v>
      </c>
      <c r="U37" s="9">
        <v>10</v>
      </c>
      <c r="W37" s="24">
        <v>1</v>
      </c>
      <c r="X37" s="24">
        <v>1</v>
      </c>
      <c r="Y37" s="24">
        <v>1</v>
      </c>
      <c r="Z37" s="24">
        <v>1</v>
      </c>
      <c r="AA37" s="24">
        <v>1</v>
      </c>
      <c r="AC37" s="80" t="str">
        <v>A</v>
      </c>
      <c r="AD37" s="66">
        <v>47</v>
      </c>
      <c r="AE37" s="66">
        <v>20</v>
      </c>
      <c r="AF37" s="66">
        <v>0</v>
      </c>
      <c r="AG37" s="66">
        <v>12</v>
      </c>
      <c r="AH37" s="66">
        <v>16</v>
      </c>
      <c r="AI37" s="5"/>
      <c r="AJ37" s="80" t="str">
        <v>A</v>
      </c>
      <c r="AK37" s="66">
        <v>47</v>
      </c>
      <c r="AL37" s="66">
        <v>20</v>
      </c>
      <c r="AM37" s="66">
        <v>0</v>
      </c>
      <c r="AN37" s="66">
        <v>12</v>
      </c>
      <c r="AO37" s="66">
        <v>16</v>
      </c>
    </row>
    <row r="38" spans="10:41" ht="16.5" customHeight="1" x14ac:dyDescent="0.3">
      <c r="J38" s="24">
        <v>34</v>
      </c>
      <c r="K38" s="15" t="s">
        <v>19</v>
      </c>
      <c r="L38" s="15" t="s">
        <v>19</v>
      </c>
      <c r="M38" s="15" t="s">
        <v>65</v>
      </c>
      <c r="N38" s="15" t="s">
        <v>21</v>
      </c>
      <c r="O38" s="15" t="s">
        <v>35</v>
      </c>
      <c r="Q38" s="9">
        <v>5</v>
      </c>
      <c r="R38" s="9">
        <v>5</v>
      </c>
      <c r="S38" s="9">
        <v>16</v>
      </c>
      <c r="T38" s="9">
        <v>2</v>
      </c>
      <c r="U38" s="9">
        <v>8</v>
      </c>
      <c r="W38" s="24">
        <v>1</v>
      </c>
      <c r="X38" s="24">
        <v>1</v>
      </c>
      <c r="Y38" s="24">
        <v>1</v>
      </c>
      <c r="Z38" s="24">
        <v>1</v>
      </c>
      <c r="AA38" s="24">
        <v>1</v>
      </c>
      <c r="AC38" s="80" t="str">
        <v>K</v>
      </c>
      <c r="AD38" s="66">
        <v>47</v>
      </c>
      <c r="AE38" s="66">
        <v>20</v>
      </c>
      <c r="AF38" s="66">
        <v>0</v>
      </c>
      <c r="AG38" s="66">
        <v>12</v>
      </c>
      <c r="AH38" s="66">
        <v>16</v>
      </c>
      <c r="AI38" s="5"/>
      <c r="AJ38" s="80" t="str">
        <v>K</v>
      </c>
      <c r="AK38" s="66">
        <v>47</v>
      </c>
      <c r="AL38" s="66">
        <v>20</v>
      </c>
      <c r="AM38" s="66">
        <v>0</v>
      </c>
      <c r="AN38" s="66">
        <v>12</v>
      </c>
      <c r="AO38" s="66">
        <v>16</v>
      </c>
    </row>
    <row r="39" spans="10:41" ht="16.5" customHeight="1" x14ac:dyDescent="0.3">
      <c r="J39" s="9">
        <v>35</v>
      </c>
      <c r="K39" s="15" t="s">
        <v>35</v>
      </c>
      <c r="L39" s="15" t="s">
        <v>18</v>
      </c>
      <c r="M39" s="15" t="s">
        <v>96</v>
      </c>
      <c r="N39" s="15" t="s">
        <v>19</v>
      </c>
      <c r="O39" s="15" t="s">
        <v>19</v>
      </c>
      <c r="Q39" s="9">
        <v>8</v>
      </c>
      <c r="R39" s="9">
        <v>4</v>
      </c>
      <c r="S39" s="9">
        <v>15</v>
      </c>
      <c r="T39" s="9">
        <v>5</v>
      </c>
      <c r="U39" s="9">
        <v>5</v>
      </c>
      <c r="W39" s="24">
        <v>1</v>
      </c>
      <c r="X39" s="24">
        <v>1</v>
      </c>
      <c r="Y39" s="24">
        <v>1</v>
      </c>
      <c r="Z39" s="24">
        <v>1</v>
      </c>
      <c r="AA39" s="24">
        <v>1</v>
      </c>
      <c r="AC39" s="80" t="str">
        <v>Q</v>
      </c>
      <c r="AD39" s="66">
        <v>4</v>
      </c>
      <c r="AE39" s="66">
        <v>11</v>
      </c>
      <c r="AF39" s="66">
        <v>0</v>
      </c>
      <c r="AG39" s="66">
        <v>21</v>
      </c>
      <c r="AH39" s="66">
        <v>27</v>
      </c>
      <c r="AI39" s="5"/>
      <c r="AJ39" s="80" t="str">
        <v>Q</v>
      </c>
      <c r="AK39" s="66">
        <v>4</v>
      </c>
      <c r="AL39" s="66">
        <v>11</v>
      </c>
      <c r="AM39" s="66">
        <v>0</v>
      </c>
      <c r="AN39" s="66">
        <v>21</v>
      </c>
      <c r="AO39" s="66">
        <v>27</v>
      </c>
    </row>
    <row r="40" spans="10:41" ht="16.5" customHeight="1" x14ac:dyDescent="0.3">
      <c r="J40" s="24">
        <v>36</v>
      </c>
      <c r="K40" s="15" t="s">
        <v>19</v>
      </c>
      <c r="L40" s="15" t="s">
        <v>18</v>
      </c>
      <c r="M40" s="15" t="s">
        <v>64</v>
      </c>
      <c r="N40" s="15" t="s">
        <v>19</v>
      </c>
      <c r="O40" s="15" t="s">
        <v>18</v>
      </c>
      <c r="Q40" s="9">
        <v>5</v>
      </c>
      <c r="R40" s="9">
        <v>4</v>
      </c>
      <c r="S40" s="9">
        <v>14</v>
      </c>
      <c r="T40" s="9">
        <v>5</v>
      </c>
      <c r="U40" s="9">
        <v>4</v>
      </c>
      <c r="W40" s="24">
        <v>1</v>
      </c>
      <c r="X40" s="24">
        <v>1</v>
      </c>
      <c r="Y40" s="24">
        <v>1</v>
      </c>
      <c r="Z40" s="24">
        <v>1</v>
      </c>
      <c r="AA40" s="24">
        <v>1</v>
      </c>
      <c r="AC40" s="80" t="str">
        <v>J</v>
      </c>
      <c r="AD40" s="66">
        <v>4</v>
      </c>
      <c r="AE40" s="66">
        <v>11</v>
      </c>
      <c r="AF40" s="66">
        <v>0</v>
      </c>
      <c r="AG40" s="66">
        <v>21</v>
      </c>
      <c r="AH40" s="66">
        <v>27</v>
      </c>
      <c r="AI40" s="5"/>
      <c r="AJ40" s="80" t="str">
        <v>J</v>
      </c>
      <c r="AK40" s="66">
        <v>4</v>
      </c>
      <c r="AL40" s="66">
        <v>11</v>
      </c>
      <c r="AM40" s="66">
        <v>0</v>
      </c>
      <c r="AN40" s="66">
        <v>21</v>
      </c>
      <c r="AO40" s="66">
        <v>27</v>
      </c>
    </row>
    <row r="41" spans="10:41" ht="16.5" customHeight="1" x14ac:dyDescent="0.3">
      <c r="J41" s="9">
        <v>37</v>
      </c>
      <c r="K41" s="15" t="s">
        <v>95</v>
      </c>
      <c r="L41" s="15" t="s">
        <v>96</v>
      </c>
      <c r="M41" s="15" t="s">
        <v>81</v>
      </c>
      <c r="N41" s="15" t="s">
        <v>61</v>
      </c>
      <c r="O41" s="15" t="s">
        <v>19</v>
      </c>
      <c r="Q41" s="9">
        <v>6</v>
      </c>
      <c r="R41" s="9">
        <v>15</v>
      </c>
      <c r="S41" s="9">
        <v>17</v>
      </c>
      <c r="T41" s="9">
        <v>11</v>
      </c>
      <c r="U41" s="9">
        <v>5</v>
      </c>
      <c r="W41" s="24">
        <v>1</v>
      </c>
      <c r="X41" s="24">
        <v>1</v>
      </c>
      <c r="Y41" s="24">
        <v>1</v>
      </c>
      <c r="Z41" s="24">
        <v>1</v>
      </c>
      <c r="AA41" s="24">
        <v>1</v>
      </c>
      <c r="AC41" s="71" t="str">
        <v>G1</v>
      </c>
      <c r="AD41" s="53">
        <v>0</v>
      </c>
      <c r="AE41" s="53">
        <v>4</v>
      </c>
      <c r="AF41" s="53">
        <v>5</v>
      </c>
      <c r="AG41" s="53">
        <v>5</v>
      </c>
      <c r="AH41" s="53">
        <v>0</v>
      </c>
      <c r="AI41" s="5"/>
      <c r="AJ41" s="71" t="str">
        <v>G1</v>
      </c>
      <c r="AK41" s="53">
        <v>0</v>
      </c>
      <c r="AL41" s="53">
        <v>4</v>
      </c>
      <c r="AM41" s="53">
        <v>5</v>
      </c>
      <c r="AN41" s="53">
        <v>5</v>
      </c>
      <c r="AO41" s="53">
        <v>0</v>
      </c>
    </row>
    <row r="42" spans="10:41" ht="16.5" customHeight="1" x14ac:dyDescent="0.3">
      <c r="J42" s="24">
        <v>38</v>
      </c>
      <c r="K42" s="15" t="s">
        <v>19</v>
      </c>
      <c r="L42" s="15" t="s">
        <v>63</v>
      </c>
      <c r="M42" s="15" t="s">
        <v>65</v>
      </c>
      <c r="N42" s="15" t="s">
        <v>34</v>
      </c>
      <c r="O42" s="15" t="s">
        <v>22</v>
      </c>
      <c r="Q42" s="9">
        <v>5</v>
      </c>
      <c r="R42" s="9">
        <v>13</v>
      </c>
      <c r="S42" s="9">
        <v>16</v>
      </c>
      <c r="T42" s="9">
        <v>9</v>
      </c>
      <c r="U42" s="9">
        <v>3</v>
      </c>
      <c r="W42" s="24">
        <v>1</v>
      </c>
      <c r="X42" s="24">
        <v>1</v>
      </c>
      <c r="Y42" s="24">
        <v>1</v>
      </c>
      <c r="Z42" s="24">
        <v>1</v>
      </c>
      <c r="AA42" s="24">
        <v>1</v>
      </c>
      <c r="AC42" s="71" t="str">
        <v>G2</v>
      </c>
      <c r="AD42" s="53">
        <v>0</v>
      </c>
      <c r="AE42" s="53">
        <v>5</v>
      </c>
      <c r="AF42" s="53">
        <v>5</v>
      </c>
      <c r="AG42" s="53">
        <v>5</v>
      </c>
      <c r="AH42" s="53">
        <v>0</v>
      </c>
      <c r="AI42" s="5"/>
      <c r="AJ42" s="71" t="str">
        <v>G2</v>
      </c>
      <c r="AK42" s="53">
        <v>0</v>
      </c>
      <c r="AL42" s="53">
        <v>5</v>
      </c>
      <c r="AM42" s="53">
        <v>5</v>
      </c>
      <c r="AN42" s="53">
        <v>5</v>
      </c>
      <c r="AO42" s="53">
        <v>0</v>
      </c>
    </row>
    <row r="43" spans="10:41" ht="16.5" customHeight="1" x14ac:dyDescent="0.3">
      <c r="J43" s="9">
        <v>39</v>
      </c>
      <c r="K43" s="15" t="s">
        <v>19</v>
      </c>
      <c r="L43" s="15" t="s">
        <v>19</v>
      </c>
      <c r="M43" s="15" t="s">
        <v>61</v>
      </c>
      <c r="N43" s="15" t="s">
        <v>22</v>
      </c>
      <c r="O43" s="15" t="s">
        <v>22</v>
      </c>
      <c r="Q43" s="9">
        <v>5</v>
      </c>
      <c r="R43" s="9">
        <v>5</v>
      </c>
      <c r="S43" s="9">
        <v>11</v>
      </c>
      <c r="T43" s="9">
        <v>3</v>
      </c>
      <c r="U43" s="9">
        <v>3</v>
      </c>
      <c r="W43" s="24">
        <v>1</v>
      </c>
      <c r="X43" s="24">
        <v>1</v>
      </c>
      <c r="Y43" s="24">
        <v>1</v>
      </c>
      <c r="Z43" s="24">
        <v>1</v>
      </c>
      <c r="AA43" s="24">
        <v>1</v>
      </c>
      <c r="AC43" s="71" t="str">
        <v>G3</v>
      </c>
      <c r="AD43" s="53">
        <v>0</v>
      </c>
      <c r="AE43" s="53">
        <v>5</v>
      </c>
      <c r="AF43" s="53">
        <v>5</v>
      </c>
      <c r="AG43" s="53">
        <v>5</v>
      </c>
      <c r="AH43" s="53">
        <v>0</v>
      </c>
      <c r="AI43" s="5"/>
      <c r="AJ43" s="71" t="str">
        <v>G3</v>
      </c>
      <c r="AK43" s="53">
        <v>0</v>
      </c>
      <c r="AL43" s="53">
        <v>5</v>
      </c>
      <c r="AM43" s="53">
        <v>5</v>
      </c>
      <c r="AN43" s="53">
        <v>5</v>
      </c>
      <c r="AO43" s="53">
        <v>0</v>
      </c>
    </row>
    <row r="44" spans="10:41" ht="16.5" customHeight="1" x14ac:dyDescent="0.3">
      <c r="J44" s="24">
        <v>40</v>
      </c>
      <c r="K44" s="15" t="s">
        <v>19</v>
      </c>
      <c r="L44" s="15" t="s">
        <v>61</v>
      </c>
      <c r="M44" s="15" t="s">
        <v>65</v>
      </c>
      <c r="N44" s="15" t="s">
        <v>64</v>
      </c>
      <c r="O44" s="15" t="s">
        <v>34</v>
      </c>
      <c r="Q44" s="9">
        <v>5</v>
      </c>
      <c r="R44" s="9">
        <v>11</v>
      </c>
      <c r="S44" s="9">
        <v>16</v>
      </c>
      <c r="T44" s="9">
        <v>14</v>
      </c>
      <c r="U44" s="9">
        <v>9</v>
      </c>
      <c r="W44" s="24">
        <v>1</v>
      </c>
      <c r="X44" s="24">
        <v>1</v>
      </c>
      <c r="Y44" s="24">
        <v>1</v>
      </c>
      <c r="Z44" s="24">
        <v>1</v>
      </c>
      <c r="AA44" s="24">
        <v>1</v>
      </c>
      <c r="AC44" s="71" t="str">
        <v>G4</v>
      </c>
      <c r="AD44" s="53">
        <v>0</v>
      </c>
      <c r="AE44" s="53">
        <v>9</v>
      </c>
      <c r="AF44" s="53">
        <v>44</v>
      </c>
      <c r="AG44" s="53">
        <v>3</v>
      </c>
      <c r="AH44" s="53">
        <v>0</v>
      </c>
      <c r="AI44" s="5"/>
      <c r="AJ44" s="71" t="str">
        <v>G4</v>
      </c>
      <c r="AK44" s="53">
        <v>0</v>
      </c>
      <c r="AL44" s="53">
        <v>9</v>
      </c>
      <c r="AM44" s="53">
        <v>44</v>
      </c>
      <c r="AN44" s="53">
        <v>3</v>
      </c>
      <c r="AO44" s="53">
        <v>0</v>
      </c>
    </row>
    <row r="45" spans="10:41" ht="16.5" customHeight="1" x14ac:dyDescent="0.3">
      <c r="J45" s="9">
        <v>41</v>
      </c>
      <c r="K45" s="15" t="s">
        <v>95</v>
      </c>
      <c r="L45" s="15" t="s">
        <v>18</v>
      </c>
      <c r="M45" s="15" t="s">
        <v>81</v>
      </c>
      <c r="N45" s="15" t="s">
        <v>68</v>
      </c>
      <c r="O45" s="15" t="s">
        <v>35</v>
      </c>
      <c r="Q45" s="9">
        <v>6</v>
      </c>
      <c r="R45" s="9">
        <v>4</v>
      </c>
      <c r="S45" s="9">
        <v>17</v>
      </c>
      <c r="T45" s="9">
        <v>18</v>
      </c>
      <c r="U45" s="9">
        <v>8</v>
      </c>
      <c r="W45" s="24">
        <v>1</v>
      </c>
      <c r="X45" s="24">
        <v>1</v>
      </c>
      <c r="Y45" s="24">
        <v>1</v>
      </c>
      <c r="Z45" s="24">
        <v>1</v>
      </c>
      <c r="AA45" s="24">
        <v>1</v>
      </c>
      <c r="AC45" s="71" t="str">
        <v>G5</v>
      </c>
      <c r="AD45" s="53">
        <v>0</v>
      </c>
      <c r="AE45" s="53">
        <v>9</v>
      </c>
      <c r="AF45" s="53">
        <v>44</v>
      </c>
      <c r="AG45" s="53">
        <v>3</v>
      </c>
      <c r="AH45" s="53">
        <v>0</v>
      </c>
      <c r="AI45" s="5"/>
      <c r="AJ45" s="71" t="str">
        <v>G5</v>
      </c>
      <c r="AK45" s="53">
        <v>0</v>
      </c>
      <c r="AL45" s="53">
        <v>9</v>
      </c>
      <c r="AM45" s="53">
        <v>44</v>
      </c>
      <c r="AN45" s="53">
        <v>3</v>
      </c>
      <c r="AO45" s="53">
        <v>0</v>
      </c>
    </row>
    <row r="46" spans="10:41" ht="16.5" customHeight="1" x14ac:dyDescent="0.3">
      <c r="J46" s="24">
        <v>42</v>
      </c>
      <c r="K46" s="15" t="s">
        <v>37</v>
      </c>
      <c r="L46" s="15" t="s">
        <v>19</v>
      </c>
      <c r="M46" s="15" t="s">
        <v>64</v>
      </c>
      <c r="N46" s="15" t="s">
        <v>35</v>
      </c>
      <c r="O46" s="15" t="s">
        <v>35</v>
      </c>
      <c r="Q46" s="9">
        <v>7</v>
      </c>
      <c r="R46" s="9">
        <v>5</v>
      </c>
      <c r="S46" s="9">
        <v>14</v>
      </c>
      <c r="T46" s="9">
        <v>8</v>
      </c>
      <c r="U46" s="9">
        <v>8</v>
      </c>
      <c r="W46" s="24">
        <v>1</v>
      </c>
      <c r="X46" s="24">
        <v>1</v>
      </c>
      <c r="Y46" s="24">
        <v>1</v>
      </c>
      <c r="Z46" s="24">
        <v>1</v>
      </c>
      <c r="AA46" s="24">
        <v>1</v>
      </c>
      <c r="AC46" s="71" t="str">
        <v>GA</v>
      </c>
      <c r="AD46" s="53">
        <v>0</v>
      </c>
      <c r="AE46" s="53">
        <v>9</v>
      </c>
      <c r="AF46" s="53">
        <v>44</v>
      </c>
      <c r="AG46" s="53">
        <v>3</v>
      </c>
      <c r="AH46" s="53">
        <v>0</v>
      </c>
      <c r="AI46" s="5"/>
      <c r="AJ46" s="71" t="str">
        <v>GA</v>
      </c>
      <c r="AK46" s="53">
        <v>0</v>
      </c>
      <c r="AL46" s="53">
        <v>9</v>
      </c>
      <c r="AM46" s="53">
        <v>44</v>
      </c>
      <c r="AN46" s="53">
        <v>3</v>
      </c>
      <c r="AO46" s="53">
        <v>0</v>
      </c>
    </row>
    <row r="47" spans="10:41" ht="16.5" customHeight="1" x14ac:dyDescent="0.3">
      <c r="J47" s="9">
        <v>43</v>
      </c>
      <c r="K47" s="15" t="s">
        <v>19</v>
      </c>
      <c r="L47" s="15" t="s">
        <v>81</v>
      </c>
      <c r="M47" s="15" t="s">
        <v>65</v>
      </c>
      <c r="N47" s="15" t="s">
        <v>36</v>
      </c>
      <c r="O47" s="15" t="s">
        <v>19</v>
      </c>
      <c r="Q47" s="9">
        <v>5</v>
      </c>
      <c r="R47" s="9">
        <v>17</v>
      </c>
      <c r="S47" s="9">
        <v>16</v>
      </c>
      <c r="T47" s="9">
        <v>10</v>
      </c>
      <c r="U47" s="9">
        <v>5</v>
      </c>
      <c r="W47" s="24">
        <v>1</v>
      </c>
      <c r="X47" s="24">
        <v>1</v>
      </c>
      <c r="Y47" s="24">
        <v>1</v>
      </c>
      <c r="Z47" s="24">
        <v>1</v>
      </c>
      <c r="AA47" s="24">
        <v>1</v>
      </c>
      <c r="AC47" s="71" t="str">
        <v>GK</v>
      </c>
      <c r="AD47" s="53">
        <v>0</v>
      </c>
      <c r="AE47" s="53">
        <v>9</v>
      </c>
      <c r="AF47" s="53">
        <v>44</v>
      </c>
      <c r="AG47" s="53">
        <v>3</v>
      </c>
      <c r="AH47" s="53">
        <v>0</v>
      </c>
      <c r="AI47" s="5"/>
      <c r="AJ47" s="71" t="str">
        <v>GK</v>
      </c>
      <c r="AK47" s="53">
        <v>0</v>
      </c>
      <c r="AL47" s="53">
        <v>9</v>
      </c>
      <c r="AM47" s="53">
        <v>44</v>
      </c>
      <c r="AN47" s="53">
        <v>3</v>
      </c>
      <c r="AO47" s="53">
        <v>0</v>
      </c>
    </row>
    <row r="48" spans="10:41" ht="16.5" customHeight="1" x14ac:dyDescent="0.3">
      <c r="J48" s="24">
        <v>44</v>
      </c>
      <c r="K48" s="15" t="s">
        <v>95</v>
      </c>
      <c r="L48" s="15" t="s">
        <v>20</v>
      </c>
      <c r="M48" s="15" t="s">
        <v>96</v>
      </c>
      <c r="N48" s="15" t="s">
        <v>95</v>
      </c>
      <c r="O48" s="15" t="s">
        <v>21</v>
      </c>
      <c r="Q48" s="9">
        <v>6</v>
      </c>
      <c r="R48" s="9">
        <v>1</v>
      </c>
      <c r="S48" s="9">
        <v>15</v>
      </c>
      <c r="T48" s="9">
        <v>6</v>
      </c>
      <c r="U48" s="9">
        <v>2</v>
      </c>
      <c r="W48" s="24">
        <v>1</v>
      </c>
      <c r="X48" s="24">
        <v>1</v>
      </c>
      <c r="Y48" s="24">
        <v>1</v>
      </c>
      <c r="Z48" s="24">
        <v>1</v>
      </c>
      <c r="AA48" s="24">
        <v>1</v>
      </c>
      <c r="AC48" s="71" t="str">
        <v>GQ</v>
      </c>
      <c r="AD48" s="53">
        <v>0</v>
      </c>
      <c r="AE48" s="53">
        <v>5</v>
      </c>
      <c r="AF48" s="53">
        <v>5</v>
      </c>
      <c r="AG48" s="53">
        <v>4</v>
      </c>
      <c r="AH48" s="53">
        <v>0</v>
      </c>
      <c r="AI48" s="5"/>
      <c r="AJ48" s="71" t="str">
        <v>GQ</v>
      </c>
      <c r="AK48" s="53">
        <v>0</v>
      </c>
      <c r="AL48" s="53">
        <v>5</v>
      </c>
      <c r="AM48" s="53">
        <v>5</v>
      </c>
      <c r="AN48" s="53">
        <v>4</v>
      </c>
      <c r="AO48" s="53">
        <v>0</v>
      </c>
    </row>
    <row r="49" spans="10:41" ht="16.5" customHeight="1" x14ac:dyDescent="0.3">
      <c r="J49" s="9">
        <v>45</v>
      </c>
      <c r="K49" s="15" t="s">
        <v>19</v>
      </c>
      <c r="L49" s="15" t="s">
        <v>96</v>
      </c>
      <c r="M49" s="15" t="s">
        <v>81</v>
      </c>
      <c r="N49" s="15" t="s">
        <v>95</v>
      </c>
      <c r="O49" s="15" t="s">
        <v>22</v>
      </c>
      <c r="Q49" s="9">
        <v>5</v>
      </c>
      <c r="R49" s="9">
        <v>15</v>
      </c>
      <c r="S49" s="9">
        <v>17</v>
      </c>
      <c r="T49" s="9">
        <v>6</v>
      </c>
      <c r="U49" s="9">
        <v>3</v>
      </c>
      <c r="W49" s="24">
        <v>1</v>
      </c>
      <c r="X49" s="24">
        <v>1</v>
      </c>
      <c r="Y49" s="24">
        <v>1</v>
      </c>
      <c r="Z49" s="24">
        <v>1</v>
      </c>
      <c r="AA49" s="24">
        <v>1</v>
      </c>
      <c r="AC49" s="71" t="str">
        <v>GJ</v>
      </c>
      <c r="AD49" s="53">
        <v>0</v>
      </c>
      <c r="AE49" s="53">
        <v>5</v>
      </c>
      <c r="AF49" s="53">
        <v>4</v>
      </c>
      <c r="AG49" s="53">
        <v>4</v>
      </c>
      <c r="AH49" s="53">
        <v>0</v>
      </c>
      <c r="AI49" s="5"/>
      <c r="AJ49" s="71" t="str">
        <v>GJ</v>
      </c>
      <c r="AK49" s="53">
        <v>0</v>
      </c>
      <c r="AL49" s="53">
        <v>5</v>
      </c>
      <c r="AM49" s="53">
        <v>4</v>
      </c>
      <c r="AN49" s="53">
        <v>4</v>
      </c>
      <c r="AO49" s="53">
        <v>0</v>
      </c>
    </row>
    <row r="50" spans="10:41" ht="16.5" customHeight="1" x14ac:dyDescent="0.3">
      <c r="J50" s="24">
        <v>46</v>
      </c>
      <c r="K50" s="15" t="s">
        <v>18</v>
      </c>
      <c r="L50" s="15" t="s">
        <v>95</v>
      </c>
      <c r="M50" s="15" t="s">
        <v>64</v>
      </c>
      <c r="N50" s="15" t="s">
        <v>22</v>
      </c>
      <c r="O50" s="15" t="s">
        <v>37</v>
      </c>
      <c r="Q50" s="9">
        <v>4</v>
      </c>
      <c r="R50" s="9">
        <v>6</v>
      </c>
      <c r="S50" s="9">
        <v>14</v>
      </c>
      <c r="T50" s="9">
        <v>3</v>
      </c>
      <c r="U50" s="9">
        <v>7</v>
      </c>
      <c r="W50" s="24">
        <v>1</v>
      </c>
      <c r="X50" s="24">
        <v>1</v>
      </c>
      <c r="Y50" s="24">
        <v>1</v>
      </c>
      <c r="Z50" s="24">
        <v>1</v>
      </c>
      <c r="AA50" s="24">
        <v>1</v>
      </c>
      <c r="AD50" s="59">
        <f>SUM(AD30:AD49)</f>
        <v>200</v>
      </c>
      <c r="AE50" s="59">
        <f>SUM(AE30:AE49)</f>
        <v>200</v>
      </c>
      <c r="AF50" s="59">
        <f>SUM(AF30:AF49)</f>
        <v>200</v>
      </c>
      <c r="AG50" s="59">
        <f>SUM(AG30:AG49)</f>
        <v>200</v>
      </c>
      <c r="AH50" s="59">
        <f>SUM(AH30:AH49)</f>
        <v>200</v>
      </c>
      <c r="AI50" s="5"/>
      <c r="AK50" s="59">
        <f>SUM(AK30:AK49)</f>
        <v>200</v>
      </c>
      <c r="AL50" s="59">
        <f>SUM(AL30:AL49)</f>
        <v>200</v>
      </c>
      <c r="AM50" s="59">
        <f>SUM(AM30:AM49)</f>
        <v>200</v>
      </c>
      <c r="AN50" s="59">
        <f>SUM(AN30:AN49)</f>
        <v>200</v>
      </c>
      <c r="AO50" s="59">
        <f>SUM(AO30:AO49)</f>
        <v>200</v>
      </c>
    </row>
    <row r="51" spans="10:41" ht="16.5" customHeight="1" x14ac:dyDescent="0.3">
      <c r="J51" s="9">
        <v>47</v>
      </c>
      <c r="K51" s="15" t="s">
        <v>19</v>
      </c>
      <c r="L51" s="15" t="s">
        <v>64</v>
      </c>
      <c r="M51" s="15" t="s">
        <v>81</v>
      </c>
      <c r="N51" s="15" t="s">
        <v>34</v>
      </c>
      <c r="O51" s="15" t="s">
        <v>37</v>
      </c>
      <c r="Q51" s="9">
        <v>5</v>
      </c>
      <c r="R51" s="9">
        <v>14</v>
      </c>
      <c r="S51" s="9">
        <v>17</v>
      </c>
      <c r="T51" s="9">
        <v>9</v>
      </c>
      <c r="U51" s="9">
        <v>7</v>
      </c>
      <c r="W51" s="24">
        <v>1</v>
      </c>
      <c r="X51" s="24">
        <v>1</v>
      </c>
      <c r="Y51" s="24">
        <v>1</v>
      </c>
      <c r="Z51" s="24">
        <v>1</v>
      </c>
      <c r="AA51" s="24">
        <v>1</v>
      </c>
      <c r="AH51" s="5"/>
      <c r="AI51" s="5"/>
      <c r="AO51" s="5"/>
    </row>
    <row r="52" spans="10:41" ht="16.5" customHeight="1" x14ac:dyDescent="0.3">
      <c r="J52" s="24">
        <v>48</v>
      </c>
      <c r="K52" s="15" t="s">
        <v>95</v>
      </c>
      <c r="L52" s="15" t="s">
        <v>65</v>
      </c>
      <c r="M52" s="15" t="s">
        <v>65</v>
      </c>
      <c r="N52" s="15" t="s">
        <v>22</v>
      </c>
      <c r="O52" s="15" t="s">
        <v>19</v>
      </c>
      <c r="Q52" s="9">
        <v>6</v>
      </c>
      <c r="R52" s="9">
        <v>16</v>
      </c>
      <c r="S52" s="9">
        <v>16</v>
      </c>
      <c r="T52" s="9">
        <v>3</v>
      </c>
      <c r="U52" s="9">
        <v>5</v>
      </c>
      <c r="W52" s="24">
        <v>1</v>
      </c>
      <c r="X52" s="24">
        <v>1</v>
      </c>
      <c r="Y52" s="24">
        <v>1</v>
      </c>
      <c r="Z52" s="24">
        <v>1</v>
      </c>
      <c r="AA52" s="24">
        <v>1</v>
      </c>
      <c r="AC52" s="26" t="s">
        <v>98</v>
      </c>
      <c r="AH52" s="5"/>
      <c r="AI52" s="5"/>
      <c r="AJ52" s="26" t="s">
        <v>98</v>
      </c>
      <c r="AO52" s="5"/>
    </row>
    <row r="53" spans="10:41" ht="16.5" customHeight="1" x14ac:dyDescent="0.3">
      <c r="J53" s="9">
        <v>49</v>
      </c>
      <c r="K53" s="15" t="s">
        <v>35</v>
      </c>
      <c r="L53" s="15" t="s">
        <v>68</v>
      </c>
      <c r="M53" s="15" t="s">
        <v>96</v>
      </c>
      <c r="N53" s="15" t="s">
        <v>95</v>
      </c>
      <c r="O53" s="15" t="s">
        <v>37</v>
      </c>
      <c r="Q53" s="9">
        <v>8</v>
      </c>
      <c r="R53" s="9">
        <v>18</v>
      </c>
      <c r="S53" s="9">
        <v>15</v>
      </c>
      <c r="T53" s="9">
        <v>6</v>
      </c>
      <c r="U53" s="9">
        <v>7</v>
      </c>
      <c r="W53" s="24">
        <v>1</v>
      </c>
      <c r="X53" s="24">
        <v>1</v>
      </c>
      <c r="Y53" s="24">
        <v>1</v>
      </c>
      <c r="Z53" s="24">
        <v>1</v>
      </c>
      <c r="AA53" s="24">
        <v>1</v>
      </c>
      <c r="AC53" s="68" t="s">
        <v>42</v>
      </c>
      <c r="AD53" s="68" t="s">
        <v>13</v>
      </c>
      <c r="AE53" s="68" t="s">
        <v>14</v>
      </c>
      <c r="AF53" s="68" t="s">
        <v>15</v>
      </c>
      <c r="AG53" s="68" t="s">
        <v>16</v>
      </c>
      <c r="AH53" s="68" t="s">
        <v>17</v>
      </c>
      <c r="AI53" s="5"/>
      <c r="AJ53" s="68" t="s">
        <v>42</v>
      </c>
      <c r="AK53" s="68" t="s">
        <v>13</v>
      </c>
      <c r="AL53" s="68" t="s">
        <v>14</v>
      </c>
      <c r="AM53" s="68" t="s">
        <v>15</v>
      </c>
      <c r="AN53" s="68" t="s">
        <v>16</v>
      </c>
      <c r="AO53" s="68" t="s">
        <v>17</v>
      </c>
    </row>
    <row r="54" spans="10:41" ht="16.5" customHeight="1" x14ac:dyDescent="0.3">
      <c r="J54" s="24">
        <v>50</v>
      </c>
      <c r="K54" s="15" t="s">
        <v>37</v>
      </c>
      <c r="L54" s="15" t="s">
        <v>37</v>
      </c>
      <c r="M54" s="15" t="s">
        <v>63</v>
      </c>
      <c r="N54" s="15" t="s">
        <v>95</v>
      </c>
      <c r="O54" s="15" t="s">
        <v>22</v>
      </c>
      <c r="Q54" s="9">
        <v>7</v>
      </c>
      <c r="R54" s="9">
        <v>7</v>
      </c>
      <c r="S54" s="9">
        <v>13</v>
      </c>
      <c r="T54" s="9">
        <v>6</v>
      </c>
      <c r="U54" s="9">
        <v>3</v>
      </c>
      <c r="W54" s="24">
        <v>1</v>
      </c>
      <c r="X54" s="24">
        <v>1</v>
      </c>
      <c r="Y54" s="24">
        <v>1</v>
      </c>
      <c r="Z54" s="24">
        <v>1</v>
      </c>
      <c r="AA54" s="24">
        <v>1</v>
      </c>
      <c r="AC54" s="71" t="str" cm="1">
        <f t="array" ref="AC54:AC73">$A$4:$A$23</f>
        <v>WW</v>
      </c>
      <c r="AD54" s="72">
        <v>0</v>
      </c>
      <c r="AE54" s="72">
        <v>0</v>
      </c>
      <c r="AF54" s="72">
        <v>0</v>
      </c>
      <c r="AG54" s="72">
        <v>0</v>
      </c>
      <c r="AH54" s="72">
        <v>0</v>
      </c>
      <c r="AI54" s="5"/>
      <c r="AJ54" s="71" t="str" cm="1">
        <f t="array" ref="AJ54:AJ73">$A$4:$A$23</f>
        <v>WW</v>
      </c>
      <c r="AK54" s="72">
        <v>0</v>
      </c>
      <c r="AL54" s="72">
        <v>0</v>
      </c>
      <c r="AM54" s="72">
        <v>0</v>
      </c>
      <c r="AN54" s="72">
        <v>0</v>
      </c>
      <c r="AO54" s="72">
        <v>0</v>
      </c>
    </row>
    <row r="55" spans="10:41" ht="16.5" customHeight="1" x14ac:dyDescent="0.3">
      <c r="J55" s="9">
        <v>51</v>
      </c>
      <c r="K55" s="15" t="s">
        <v>35</v>
      </c>
      <c r="L55" s="15" t="s">
        <v>37</v>
      </c>
      <c r="M55" s="15" t="s">
        <v>96</v>
      </c>
      <c r="N55" s="15" t="s">
        <v>63</v>
      </c>
      <c r="O55" s="15" t="s">
        <v>19</v>
      </c>
      <c r="Q55" s="9">
        <v>8</v>
      </c>
      <c r="R55" s="9">
        <v>7</v>
      </c>
      <c r="S55" s="9">
        <v>15</v>
      </c>
      <c r="T55" s="9">
        <v>13</v>
      </c>
      <c r="U55" s="9">
        <v>5</v>
      </c>
      <c r="W55" s="24">
        <v>1</v>
      </c>
      <c r="X55" s="24">
        <v>1</v>
      </c>
      <c r="Y55" s="24">
        <v>1</v>
      </c>
      <c r="Z55" s="24">
        <v>1</v>
      </c>
      <c r="AA55" s="24">
        <v>1</v>
      </c>
      <c r="AC55" s="71" t="str">
        <v>C1</v>
      </c>
      <c r="AD55" s="71">
        <v>0</v>
      </c>
      <c r="AE55" s="71">
        <v>6</v>
      </c>
      <c r="AF55" s="71">
        <v>0</v>
      </c>
      <c r="AG55" s="71">
        <v>9</v>
      </c>
      <c r="AH55" s="71">
        <v>0</v>
      </c>
      <c r="AI55" s="5"/>
      <c r="AJ55" s="71" t="str">
        <v>C1</v>
      </c>
      <c r="AK55" s="71">
        <v>0</v>
      </c>
      <c r="AL55" s="71">
        <v>6</v>
      </c>
      <c r="AM55" s="71">
        <v>0</v>
      </c>
      <c r="AN55" s="71">
        <v>9</v>
      </c>
      <c r="AO55" s="71">
        <v>0</v>
      </c>
    </row>
    <row r="56" spans="10:41" ht="16.5" customHeight="1" x14ac:dyDescent="0.3">
      <c r="J56" s="24">
        <v>52</v>
      </c>
      <c r="K56" s="15" t="s">
        <v>35</v>
      </c>
      <c r="L56" s="15" t="s">
        <v>68</v>
      </c>
      <c r="M56" s="15" t="s">
        <v>64</v>
      </c>
      <c r="N56" s="15" t="s">
        <v>36</v>
      </c>
      <c r="O56" s="15" t="s">
        <v>36</v>
      </c>
      <c r="Q56" s="9">
        <v>8</v>
      </c>
      <c r="R56" s="9">
        <v>18</v>
      </c>
      <c r="S56" s="9">
        <v>14</v>
      </c>
      <c r="T56" s="9">
        <v>10</v>
      </c>
      <c r="U56" s="9">
        <v>10</v>
      </c>
      <c r="W56" s="24">
        <v>1</v>
      </c>
      <c r="X56" s="24">
        <v>1</v>
      </c>
      <c r="Y56" s="24">
        <v>1</v>
      </c>
      <c r="Z56" s="24">
        <v>1</v>
      </c>
      <c r="AA56" s="24">
        <v>1</v>
      </c>
      <c r="AC56" s="80" t="str">
        <v>M1</v>
      </c>
      <c r="AD56" s="66">
        <v>4</v>
      </c>
      <c r="AE56" s="66">
        <v>11</v>
      </c>
      <c r="AF56" s="66">
        <v>0</v>
      </c>
      <c r="AG56" s="66">
        <v>22</v>
      </c>
      <c r="AH56" s="66">
        <v>28</v>
      </c>
      <c r="AI56" s="5"/>
      <c r="AJ56" s="80" t="str">
        <v>M1</v>
      </c>
      <c r="AK56" s="66">
        <v>4</v>
      </c>
      <c r="AL56" s="66">
        <v>11</v>
      </c>
      <c r="AM56" s="66">
        <v>0</v>
      </c>
      <c r="AN56" s="66">
        <v>22</v>
      </c>
      <c r="AO56" s="66">
        <v>28</v>
      </c>
    </row>
    <row r="57" spans="10:41" ht="16.5" customHeight="1" x14ac:dyDescent="0.3">
      <c r="J57" s="9">
        <v>53</v>
      </c>
      <c r="K57" s="15" t="s">
        <v>19</v>
      </c>
      <c r="L57" s="15" t="s">
        <v>37</v>
      </c>
      <c r="M57" s="15" t="s">
        <v>96</v>
      </c>
      <c r="N57" s="15" t="s">
        <v>62</v>
      </c>
      <c r="O57" s="15" t="s">
        <v>18</v>
      </c>
      <c r="Q57" s="9">
        <v>5</v>
      </c>
      <c r="R57" s="9">
        <v>7</v>
      </c>
      <c r="S57" s="9">
        <v>15</v>
      </c>
      <c r="T57" s="9">
        <v>12</v>
      </c>
      <c r="U57" s="9">
        <v>4</v>
      </c>
      <c r="W57" s="24">
        <v>1</v>
      </c>
      <c r="X57" s="24">
        <v>1</v>
      </c>
      <c r="Y57" s="24">
        <v>1</v>
      </c>
      <c r="Z57" s="24">
        <v>1</v>
      </c>
      <c r="AA57" s="24">
        <v>1</v>
      </c>
      <c r="AC57" s="80" t="str">
        <v>M2</v>
      </c>
      <c r="AD57" s="66">
        <v>4</v>
      </c>
      <c r="AE57" s="66">
        <v>11</v>
      </c>
      <c r="AF57" s="66">
        <v>0</v>
      </c>
      <c r="AG57" s="66">
        <v>22</v>
      </c>
      <c r="AH57" s="66">
        <v>27</v>
      </c>
      <c r="AI57" s="5"/>
      <c r="AJ57" s="80" t="str">
        <v>M2</v>
      </c>
      <c r="AK57" s="66">
        <v>4</v>
      </c>
      <c r="AL57" s="66">
        <v>11</v>
      </c>
      <c r="AM57" s="66">
        <v>0</v>
      </c>
      <c r="AN57" s="66">
        <v>22</v>
      </c>
      <c r="AO57" s="66">
        <v>27</v>
      </c>
    </row>
    <row r="58" spans="10:41" ht="16.5" customHeight="1" x14ac:dyDescent="0.3">
      <c r="J58" s="24">
        <v>54</v>
      </c>
      <c r="K58" s="15" t="s">
        <v>35</v>
      </c>
      <c r="L58" s="15" t="s">
        <v>96</v>
      </c>
      <c r="M58" s="15" t="s">
        <v>65</v>
      </c>
      <c r="N58" s="15" t="s">
        <v>37</v>
      </c>
      <c r="O58" s="15" t="s">
        <v>19</v>
      </c>
      <c r="Q58" s="9">
        <v>8</v>
      </c>
      <c r="R58" s="9">
        <v>15</v>
      </c>
      <c r="S58" s="9">
        <v>16</v>
      </c>
      <c r="T58" s="9">
        <v>7</v>
      </c>
      <c r="U58" s="9">
        <v>5</v>
      </c>
      <c r="W58" s="24">
        <v>1</v>
      </c>
      <c r="X58" s="24">
        <v>1</v>
      </c>
      <c r="Y58" s="24">
        <v>1</v>
      </c>
      <c r="Z58" s="24">
        <v>1</v>
      </c>
      <c r="AA58" s="24">
        <v>1</v>
      </c>
      <c r="AC58" s="80" t="str">
        <v>M3</v>
      </c>
      <c r="AD58" s="66">
        <v>4</v>
      </c>
      <c r="AE58" s="66">
        <v>11</v>
      </c>
      <c r="AF58" s="66">
        <v>0</v>
      </c>
      <c r="AG58" s="66">
        <v>22</v>
      </c>
      <c r="AH58" s="66">
        <v>27</v>
      </c>
      <c r="AI58" s="5"/>
      <c r="AJ58" s="80" t="str">
        <v>M3</v>
      </c>
      <c r="AK58" s="66">
        <v>4</v>
      </c>
      <c r="AL58" s="66">
        <v>11</v>
      </c>
      <c r="AM58" s="66">
        <v>0</v>
      </c>
      <c r="AN58" s="66">
        <v>22</v>
      </c>
      <c r="AO58" s="66">
        <v>27</v>
      </c>
    </row>
    <row r="59" spans="10:41" ht="16.5" customHeight="1" x14ac:dyDescent="0.3">
      <c r="J59" s="9">
        <v>55</v>
      </c>
      <c r="K59" s="15" t="s">
        <v>37</v>
      </c>
      <c r="L59" s="15" t="s">
        <v>35</v>
      </c>
      <c r="M59" s="15" t="s">
        <v>96</v>
      </c>
      <c r="N59" s="15" t="s">
        <v>63</v>
      </c>
      <c r="O59" s="15" t="s">
        <v>22</v>
      </c>
      <c r="Q59" s="9">
        <v>7</v>
      </c>
      <c r="R59" s="9">
        <v>8</v>
      </c>
      <c r="S59" s="9">
        <v>15</v>
      </c>
      <c r="T59" s="9">
        <v>13</v>
      </c>
      <c r="U59" s="9">
        <v>3</v>
      </c>
      <c r="W59" s="24">
        <v>1</v>
      </c>
      <c r="X59" s="24">
        <v>1</v>
      </c>
      <c r="Y59" s="24">
        <v>1</v>
      </c>
      <c r="Z59" s="24">
        <v>1</v>
      </c>
      <c r="AA59" s="24">
        <v>1</v>
      </c>
      <c r="AC59" s="80" t="str">
        <v>M4</v>
      </c>
      <c r="AD59" s="66">
        <v>43</v>
      </c>
      <c r="AE59" s="66">
        <v>19</v>
      </c>
      <c r="AF59" s="66">
        <v>0</v>
      </c>
      <c r="AG59" s="66">
        <v>12</v>
      </c>
      <c r="AH59" s="66">
        <v>16</v>
      </c>
      <c r="AI59" s="5"/>
      <c r="AJ59" s="80" t="str">
        <v>M4</v>
      </c>
      <c r="AK59" s="66">
        <v>43</v>
      </c>
      <c r="AL59" s="66">
        <v>19</v>
      </c>
      <c r="AM59" s="66">
        <v>0</v>
      </c>
      <c r="AN59" s="66">
        <v>12</v>
      </c>
      <c r="AO59" s="66">
        <v>16</v>
      </c>
    </row>
    <row r="60" spans="10:41" ht="16.5" customHeight="1" x14ac:dyDescent="0.3">
      <c r="J60" s="24">
        <v>56</v>
      </c>
      <c r="K60" s="15" t="s">
        <v>19</v>
      </c>
      <c r="L60" s="15" t="s">
        <v>37</v>
      </c>
      <c r="M60" s="15" t="s">
        <v>61</v>
      </c>
      <c r="N60" s="15" t="s">
        <v>22</v>
      </c>
      <c r="O60" s="15" t="s">
        <v>95</v>
      </c>
      <c r="Q60" s="9">
        <v>5</v>
      </c>
      <c r="R60" s="9">
        <v>7</v>
      </c>
      <c r="S60" s="9">
        <v>11</v>
      </c>
      <c r="T60" s="9">
        <v>3</v>
      </c>
      <c r="U60" s="9">
        <v>6</v>
      </c>
      <c r="W60" s="24">
        <v>1</v>
      </c>
      <c r="X60" s="24">
        <v>1</v>
      </c>
      <c r="Y60" s="24">
        <v>1</v>
      </c>
      <c r="Z60" s="24">
        <v>1</v>
      </c>
      <c r="AA60" s="24">
        <v>1</v>
      </c>
      <c r="AC60" s="80" t="str">
        <v>M5</v>
      </c>
      <c r="AD60" s="66">
        <v>43</v>
      </c>
      <c r="AE60" s="66">
        <v>20</v>
      </c>
      <c r="AF60" s="66">
        <v>0</v>
      </c>
      <c r="AG60" s="66">
        <v>12</v>
      </c>
      <c r="AH60" s="66">
        <v>16</v>
      </c>
      <c r="AI60" s="5"/>
      <c r="AJ60" s="80" t="str">
        <v>M5</v>
      </c>
      <c r="AK60" s="66">
        <v>43</v>
      </c>
      <c r="AL60" s="66">
        <v>20</v>
      </c>
      <c r="AM60" s="66">
        <v>0</v>
      </c>
      <c r="AN60" s="66">
        <v>12</v>
      </c>
      <c r="AO60" s="66">
        <v>16</v>
      </c>
    </row>
    <row r="61" spans="10:41" x14ac:dyDescent="0.3">
      <c r="J61" s="9">
        <v>57</v>
      </c>
      <c r="K61" s="15" t="s">
        <v>19</v>
      </c>
      <c r="L61" s="15" t="s">
        <v>21</v>
      </c>
      <c r="M61" s="15" t="s">
        <v>81</v>
      </c>
      <c r="N61" s="15" t="s">
        <v>22</v>
      </c>
      <c r="O61" s="15" t="s">
        <v>95</v>
      </c>
      <c r="Q61" s="9">
        <v>5</v>
      </c>
      <c r="R61" s="9">
        <v>2</v>
      </c>
      <c r="S61" s="9">
        <v>17</v>
      </c>
      <c r="T61" s="9">
        <v>3</v>
      </c>
      <c r="U61" s="9">
        <v>6</v>
      </c>
      <c r="W61" s="24">
        <v>1</v>
      </c>
      <c r="X61" s="24">
        <v>1</v>
      </c>
      <c r="Y61" s="24">
        <v>1</v>
      </c>
      <c r="Z61" s="24">
        <v>1</v>
      </c>
      <c r="AA61" s="24">
        <v>1</v>
      </c>
      <c r="AC61" s="80" t="str">
        <v>A</v>
      </c>
      <c r="AD61" s="66">
        <v>47</v>
      </c>
      <c r="AE61" s="66">
        <v>20</v>
      </c>
      <c r="AF61" s="66">
        <v>0</v>
      </c>
      <c r="AG61" s="66">
        <v>12</v>
      </c>
      <c r="AH61" s="66">
        <v>16</v>
      </c>
      <c r="AI61" s="5"/>
      <c r="AJ61" s="80" t="str">
        <v>A</v>
      </c>
      <c r="AK61" s="66">
        <v>47</v>
      </c>
      <c r="AL61" s="66">
        <v>20</v>
      </c>
      <c r="AM61" s="66">
        <v>0</v>
      </c>
      <c r="AN61" s="66">
        <v>12</v>
      </c>
      <c r="AO61" s="66">
        <v>16</v>
      </c>
    </row>
    <row r="62" spans="10:41" x14ac:dyDescent="0.3">
      <c r="J62" s="24">
        <v>58</v>
      </c>
      <c r="K62" s="15" t="s">
        <v>19</v>
      </c>
      <c r="L62" s="15" t="s">
        <v>21</v>
      </c>
      <c r="M62" s="15" t="s">
        <v>62</v>
      </c>
      <c r="N62" s="15" t="s">
        <v>22</v>
      </c>
      <c r="O62" s="15" t="s">
        <v>21</v>
      </c>
      <c r="Q62" s="9">
        <v>5</v>
      </c>
      <c r="R62" s="9">
        <v>2</v>
      </c>
      <c r="S62" s="9">
        <v>12</v>
      </c>
      <c r="T62" s="9">
        <v>3</v>
      </c>
      <c r="U62" s="9">
        <v>2</v>
      </c>
      <c r="W62" s="24">
        <v>1</v>
      </c>
      <c r="X62" s="24">
        <v>1</v>
      </c>
      <c r="Y62" s="24">
        <v>1</v>
      </c>
      <c r="Z62" s="24">
        <v>1</v>
      </c>
      <c r="AA62" s="24">
        <v>1</v>
      </c>
      <c r="AC62" s="80" t="str">
        <v>K</v>
      </c>
      <c r="AD62" s="66">
        <v>47</v>
      </c>
      <c r="AE62" s="66">
        <v>20</v>
      </c>
      <c r="AF62" s="66">
        <v>0</v>
      </c>
      <c r="AG62" s="66">
        <v>12</v>
      </c>
      <c r="AH62" s="66">
        <v>16</v>
      </c>
      <c r="AI62" s="5"/>
      <c r="AJ62" s="80" t="str">
        <v>K</v>
      </c>
      <c r="AK62" s="66">
        <v>47</v>
      </c>
      <c r="AL62" s="66">
        <v>20</v>
      </c>
      <c r="AM62" s="66">
        <v>0</v>
      </c>
      <c r="AN62" s="66">
        <v>12</v>
      </c>
      <c r="AO62" s="66">
        <v>16</v>
      </c>
    </row>
    <row r="63" spans="10:41" ht="16.5" customHeight="1" x14ac:dyDescent="0.3">
      <c r="J63" s="9">
        <v>59</v>
      </c>
      <c r="K63" s="15" t="s">
        <v>37</v>
      </c>
      <c r="L63" s="15" t="s">
        <v>95</v>
      </c>
      <c r="M63" s="15" t="s">
        <v>61</v>
      </c>
      <c r="N63" s="15" t="s">
        <v>64</v>
      </c>
      <c r="O63" s="15" t="s">
        <v>37</v>
      </c>
      <c r="Q63" s="9">
        <v>7</v>
      </c>
      <c r="R63" s="9">
        <v>6</v>
      </c>
      <c r="S63" s="9">
        <v>11</v>
      </c>
      <c r="T63" s="9">
        <v>14</v>
      </c>
      <c r="U63" s="9">
        <v>7</v>
      </c>
      <c r="W63" s="24">
        <v>1</v>
      </c>
      <c r="X63" s="24">
        <v>1</v>
      </c>
      <c r="Y63" s="24">
        <v>1</v>
      </c>
      <c r="Z63" s="24">
        <v>1</v>
      </c>
      <c r="AA63" s="24">
        <v>1</v>
      </c>
      <c r="AC63" s="80" t="str">
        <v>Q</v>
      </c>
      <c r="AD63" s="66">
        <v>4</v>
      </c>
      <c r="AE63" s="66">
        <v>11</v>
      </c>
      <c r="AF63" s="66">
        <v>0</v>
      </c>
      <c r="AG63" s="66">
        <v>21</v>
      </c>
      <c r="AH63" s="66">
        <v>27</v>
      </c>
      <c r="AI63" s="5"/>
      <c r="AJ63" s="80" t="str">
        <v>Q</v>
      </c>
      <c r="AK63" s="66">
        <v>4</v>
      </c>
      <c r="AL63" s="66">
        <v>11</v>
      </c>
      <c r="AM63" s="66">
        <v>0</v>
      </c>
      <c r="AN63" s="66">
        <v>21</v>
      </c>
      <c r="AO63" s="66">
        <v>27</v>
      </c>
    </row>
    <row r="64" spans="10:41" ht="16.5" customHeight="1" x14ac:dyDescent="0.3">
      <c r="J64" s="24">
        <v>60</v>
      </c>
      <c r="K64" s="15" t="s">
        <v>19</v>
      </c>
      <c r="L64" s="15" t="s">
        <v>62</v>
      </c>
      <c r="M64" s="15" t="s">
        <v>63</v>
      </c>
      <c r="N64" s="15" t="s">
        <v>21</v>
      </c>
      <c r="O64" s="15" t="s">
        <v>34</v>
      </c>
      <c r="Q64" s="9">
        <v>5</v>
      </c>
      <c r="R64" s="9">
        <v>12</v>
      </c>
      <c r="S64" s="9">
        <v>13</v>
      </c>
      <c r="T64" s="9">
        <v>2</v>
      </c>
      <c r="U64" s="9">
        <v>9</v>
      </c>
      <c r="W64" s="24">
        <v>1</v>
      </c>
      <c r="X64" s="24">
        <v>1</v>
      </c>
      <c r="Y64" s="24">
        <v>1</v>
      </c>
      <c r="Z64" s="24">
        <v>1</v>
      </c>
      <c r="AA64" s="24">
        <v>1</v>
      </c>
      <c r="AC64" s="80" t="str">
        <v>J</v>
      </c>
      <c r="AD64" s="66">
        <v>4</v>
      </c>
      <c r="AE64" s="66">
        <v>11</v>
      </c>
      <c r="AF64" s="66">
        <v>0</v>
      </c>
      <c r="AG64" s="66">
        <v>21</v>
      </c>
      <c r="AH64" s="66">
        <v>27</v>
      </c>
      <c r="AI64" s="5"/>
      <c r="AJ64" s="80" t="str">
        <v>J</v>
      </c>
      <c r="AK64" s="66">
        <v>4</v>
      </c>
      <c r="AL64" s="66">
        <v>11</v>
      </c>
      <c r="AM64" s="66">
        <v>0</v>
      </c>
      <c r="AN64" s="66">
        <v>21</v>
      </c>
      <c r="AO64" s="66">
        <v>27</v>
      </c>
    </row>
    <row r="65" spans="10:41" ht="16.5" customHeight="1" x14ac:dyDescent="0.3">
      <c r="J65" s="9">
        <v>61</v>
      </c>
      <c r="K65" s="15" t="s">
        <v>37</v>
      </c>
      <c r="L65" s="15" t="s">
        <v>37</v>
      </c>
      <c r="M65" s="15" t="s">
        <v>81</v>
      </c>
      <c r="N65" s="15" t="s">
        <v>95</v>
      </c>
      <c r="O65" s="15" t="s">
        <v>21</v>
      </c>
      <c r="Q65" s="9">
        <v>7</v>
      </c>
      <c r="R65" s="9">
        <v>7</v>
      </c>
      <c r="S65" s="9">
        <v>17</v>
      </c>
      <c r="T65" s="9">
        <v>6</v>
      </c>
      <c r="U65" s="9">
        <v>2</v>
      </c>
      <c r="W65" s="24">
        <v>1</v>
      </c>
      <c r="X65" s="24">
        <v>1</v>
      </c>
      <c r="Y65" s="24">
        <v>1</v>
      </c>
      <c r="Z65" s="24">
        <v>1</v>
      </c>
      <c r="AA65" s="24">
        <v>1</v>
      </c>
      <c r="AC65" s="71" t="str">
        <v>G1</v>
      </c>
      <c r="AD65" s="53">
        <v>0</v>
      </c>
      <c r="AE65" s="53">
        <v>4</v>
      </c>
      <c r="AF65" s="53">
        <v>5</v>
      </c>
      <c r="AG65" s="53">
        <v>5</v>
      </c>
      <c r="AH65" s="53">
        <v>0</v>
      </c>
      <c r="AI65" s="5"/>
      <c r="AJ65" s="71" t="str">
        <v>G1</v>
      </c>
      <c r="AK65" s="53">
        <v>0</v>
      </c>
      <c r="AL65" s="53">
        <v>4</v>
      </c>
      <c r="AM65" s="53">
        <v>5</v>
      </c>
      <c r="AN65" s="53">
        <v>5</v>
      </c>
      <c r="AO65" s="53">
        <v>0</v>
      </c>
    </row>
    <row r="66" spans="10:41" ht="16.5" customHeight="1" x14ac:dyDescent="0.3">
      <c r="J66" s="24">
        <v>62</v>
      </c>
      <c r="K66" s="15" t="s">
        <v>35</v>
      </c>
      <c r="L66" s="15" t="s">
        <v>96</v>
      </c>
      <c r="M66" s="15" t="s">
        <v>64</v>
      </c>
      <c r="N66" s="15" t="s">
        <v>21</v>
      </c>
      <c r="O66" s="15" t="s">
        <v>36</v>
      </c>
      <c r="Q66" s="9">
        <v>8</v>
      </c>
      <c r="R66" s="9">
        <v>15</v>
      </c>
      <c r="S66" s="9">
        <v>14</v>
      </c>
      <c r="T66" s="9">
        <v>2</v>
      </c>
      <c r="U66" s="9">
        <v>10</v>
      </c>
      <c r="W66" s="24">
        <v>1</v>
      </c>
      <c r="X66" s="24">
        <v>1</v>
      </c>
      <c r="Y66" s="24">
        <v>1</v>
      </c>
      <c r="Z66" s="24">
        <v>1</v>
      </c>
      <c r="AA66" s="24">
        <v>1</v>
      </c>
      <c r="AC66" s="71" t="str">
        <v>G2</v>
      </c>
      <c r="AD66" s="53">
        <v>0</v>
      </c>
      <c r="AE66" s="53">
        <v>5</v>
      </c>
      <c r="AF66" s="53">
        <v>5</v>
      </c>
      <c r="AG66" s="53">
        <v>5</v>
      </c>
      <c r="AH66" s="53">
        <v>0</v>
      </c>
      <c r="AI66" s="5"/>
      <c r="AJ66" s="71" t="str">
        <v>G2</v>
      </c>
      <c r="AK66" s="53">
        <v>0</v>
      </c>
      <c r="AL66" s="53">
        <v>5</v>
      </c>
      <c r="AM66" s="53">
        <v>5</v>
      </c>
      <c r="AN66" s="53">
        <v>5</v>
      </c>
      <c r="AO66" s="53">
        <v>0</v>
      </c>
    </row>
    <row r="67" spans="10:41" ht="16.5" customHeight="1" x14ac:dyDescent="0.3">
      <c r="J67" s="9">
        <v>63</v>
      </c>
      <c r="K67" s="15" t="s">
        <v>19</v>
      </c>
      <c r="L67" s="15" t="s">
        <v>21</v>
      </c>
      <c r="M67" s="15" t="s">
        <v>65</v>
      </c>
      <c r="N67" s="15" t="s">
        <v>68</v>
      </c>
      <c r="O67" s="15" t="s">
        <v>34</v>
      </c>
      <c r="Q67" s="9">
        <v>5</v>
      </c>
      <c r="R67" s="9">
        <v>2</v>
      </c>
      <c r="S67" s="9">
        <v>16</v>
      </c>
      <c r="T67" s="9">
        <v>18</v>
      </c>
      <c r="U67" s="9">
        <v>9</v>
      </c>
      <c r="W67" s="24">
        <v>1</v>
      </c>
      <c r="X67" s="24">
        <v>1</v>
      </c>
      <c r="Y67" s="24">
        <v>1</v>
      </c>
      <c r="Z67" s="24">
        <v>1</v>
      </c>
      <c r="AA67" s="24">
        <v>1</v>
      </c>
      <c r="AC67" s="71" t="str">
        <v>G3</v>
      </c>
      <c r="AD67" s="53">
        <v>0</v>
      </c>
      <c r="AE67" s="53">
        <v>5</v>
      </c>
      <c r="AF67" s="53">
        <v>5</v>
      </c>
      <c r="AG67" s="53">
        <v>5</v>
      </c>
      <c r="AH67" s="53">
        <v>0</v>
      </c>
      <c r="AI67" s="5"/>
      <c r="AJ67" s="71" t="str">
        <v>G3</v>
      </c>
      <c r="AK67" s="53">
        <v>0</v>
      </c>
      <c r="AL67" s="53">
        <v>5</v>
      </c>
      <c r="AM67" s="53">
        <v>5</v>
      </c>
      <c r="AN67" s="53">
        <v>5</v>
      </c>
      <c r="AO67" s="53">
        <v>0</v>
      </c>
    </row>
    <row r="68" spans="10:41" ht="16.5" customHeight="1" x14ac:dyDescent="0.3">
      <c r="J68" s="24">
        <v>64</v>
      </c>
      <c r="K68" s="15" t="s">
        <v>22</v>
      </c>
      <c r="L68" s="15" t="s">
        <v>36</v>
      </c>
      <c r="M68" s="15" t="s">
        <v>62</v>
      </c>
      <c r="N68" s="15" t="s">
        <v>34</v>
      </c>
      <c r="O68" s="15" t="s">
        <v>36</v>
      </c>
      <c r="Q68" s="9">
        <v>3</v>
      </c>
      <c r="R68" s="9">
        <v>10</v>
      </c>
      <c r="S68" s="9">
        <v>12</v>
      </c>
      <c r="T68" s="9">
        <v>9</v>
      </c>
      <c r="U68" s="9">
        <v>10</v>
      </c>
      <c r="W68" s="24">
        <v>1</v>
      </c>
      <c r="X68" s="24">
        <v>1</v>
      </c>
      <c r="Y68" s="24">
        <v>1</v>
      </c>
      <c r="Z68" s="24">
        <v>1</v>
      </c>
      <c r="AA68" s="24">
        <v>1</v>
      </c>
      <c r="AC68" s="71" t="str">
        <v>G4</v>
      </c>
      <c r="AD68" s="53">
        <v>0</v>
      </c>
      <c r="AE68" s="53">
        <v>9</v>
      </c>
      <c r="AF68" s="53">
        <v>44</v>
      </c>
      <c r="AG68" s="53">
        <v>3</v>
      </c>
      <c r="AH68" s="53">
        <v>0</v>
      </c>
      <c r="AI68" s="5"/>
      <c r="AJ68" s="71" t="str">
        <v>G4</v>
      </c>
      <c r="AK68" s="53">
        <v>0</v>
      </c>
      <c r="AL68" s="53">
        <v>9</v>
      </c>
      <c r="AM68" s="53">
        <v>44</v>
      </c>
      <c r="AN68" s="53">
        <v>3</v>
      </c>
      <c r="AO68" s="53">
        <v>0</v>
      </c>
    </row>
    <row r="69" spans="10:41" ht="16.5" customHeight="1" x14ac:dyDescent="0.3">
      <c r="J69" s="9">
        <v>65</v>
      </c>
      <c r="K69" s="15" t="s">
        <v>36</v>
      </c>
      <c r="L69" s="15" t="s">
        <v>36</v>
      </c>
      <c r="M69" s="15" t="s">
        <v>64</v>
      </c>
      <c r="N69" s="15" t="s">
        <v>22</v>
      </c>
      <c r="O69" s="15" t="s">
        <v>34</v>
      </c>
      <c r="Q69" s="9">
        <v>10</v>
      </c>
      <c r="R69" s="9">
        <v>10</v>
      </c>
      <c r="S69" s="9">
        <v>14</v>
      </c>
      <c r="T69" s="9">
        <v>3</v>
      </c>
      <c r="U69" s="9">
        <v>9</v>
      </c>
      <c r="W69" s="24">
        <v>1</v>
      </c>
      <c r="X69" s="24">
        <v>1</v>
      </c>
      <c r="Y69" s="24">
        <v>1</v>
      </c>
      <c r="Z69" s="24">
        <v>1</v>
      </c>
      <c r="AA69" s="24">
        <v>1</v>
      </c>
      <c r="AC69" s="71" t="str">
        <v>G5</v>
      </c>
      <c r="AD69" s="53">
        <v>0</v>
      </c>
      <c r="AE69" s="53">
        <v>9</v>
      </c>
      <c r="AF69" s="53">
        <v>44</v>
      </c>
      <c r="AG69" s="53">
        <v>3</v>
      </c>
      <c r="AH69" s="53">
        <v>0</v>
      </c>
      <c r="AI69" s="5"/>
      <c r="AJ69" s="71" t="str">
        <v>G5</v>
      </c>
      <c r="AK69" s="53">
        <v>0</v>
      </c>
      <c r="AL69" s="53">
        <v>9</v>
      </c>
      <c r="AM69" s="53">
        <v>44</v>
      </c>
      <c r="AN69" s="53">
        <v>3</v>
      </c>
      <c r="AO69" s="53">
        <v>0</v>
      </c>
    </row>
    <row r="70" spans="10:41" ht="16.5" customHeight="1" x14ac:dyDescent="0.3">
      <c r="J70" s="24">
        <v>66</v>
      </c>
      <c r="K70" s="15" t="s">
        <v>35</v>
      </c>
      <c r="L70" s="15" t="s">
        <v>35</v>
      </c>
      <c r="M70" s="15" t="s">
        <v>81</v>
      </c>
      <c r="N70" s="15" t="s">
        <v>63</v>
      </c>
      <c r="O70" s="15" t="s">
        <v>21</v>
      </c>
      <c r="Q70" s="9">
        <v>8</v>
      </c>
      <c r="R70" s="9">
        <v>8</v>
      </c>
      <c r="S70" s="9">
        <v>17</v>
      </c>
      <c r="T70" s="9">
        <v>13</v>
      </c>
      <c r="U70" s="9">
        <v>2</v>
      </c>
      <c r="W70" s="24">
        <v>1</v>
      </c>
      <c r="X70" s="24">
        <v>1</v>
      </c>
      <c r="Y70" s="24">
        <v>1</v>
      </c>
      <c r="Z70" s="24">
        <v>1</v>
      </c>
      <c r="AA70" s="24">
        <v>1</v>
      </c>
      <c r="AC70" s="71" t="str">
        <v>GA</v>
      </c>
      <c r="AD70" s="53">
        <v>0</v>
      </c>
      <c r="AE70" s="53">
        <v>9</v>
      </c>
      <c r="AF70" s="53">
        <v>44</v>
      </c>
      <c r="AG70" s="53">
        <v>3</v>
      </c>
      <c r="AH70" s="53">
        <v>0</v>
      </c>
      <c r="AI70" s="5"/>
      <c r="AJ70" s="71" t="str">
        <v>GA</v>
      </c>
      <c r="AK70" s="53">
        <v>0</v>
      </c>
      <c r="AL70" s="53">
        <v>9</v>
      </c>
      <c r="AM70" s="53">
        <v>44</v>
      </c>
      <c r="AN70" s="53">
        <v>3</v>
      </c>
      <c r="AO70" s="53">
        <v>0</v>
      </c>
    </row>
    <row r="71" spans="10:41" ht="16.5" customHeight="1" x14ac:dyDescent="0.3">
      <c r="J71" s="9">
        <v>67</v>
      </c>
      <c r="K71" s="15" t="s">
        <v>35</v>
      </c>
      <c r="L71" s="15" t="s">
        <v>65</v>
      </c>
      <c r="M71" s="15" t="s">
        <v>64</v>
      </c>
      <c r="N71" s="15" t="s">
        <v>20</v>
      </c>
      <c r="O71" s="15" t="s">
        <v>36</v>
      </c>
      <c r="Q71" s="9">
        <v>8</v>
      </c>
      <c r="R71" s="9">
        <v>16</v>
      </c>
      <c r="S71" s="9">
        <v>14</v>
      </c>
      <c r="T71" s="9">
        <v>1</v>
      </c>
      <c r="U71" s="9">
        <v>10</v>
      </c>
      <c r="W71" s="24">
        <v>1</v>
      </c>
      <c r="X71" s="24">
        <v>1</v>
      </c>
      <c r="Y71" s="24">
        <v>1</v>
      </c>
      <c r="Z71" s="24">
        <v>1</v>
      </c>
      <c r="AA71" s="24">
        <v>1</v>
      </c>
      <c r="AC71" s="71" t="str">
        <v>GK</v>
      </c>
      <c r="AD71" s="53">
        <v>0</v>
      </c>
      <c r="AE71" s="53">
        <v>9</v>
      </c>
      <c r="AF71" s="53">
        <v>44</v>
      </c>
      <c r="AG71" s="53">
        <v>3</v>
      </c>
      <c r="AH71" s="53">
        <v>0</v>
      </c>
      <c r="AI71" s="5"/>
      <c r="AJ71" s="71" t="str">
        <v>GK</v>
      </c>
      <c r="AK71" s="53">
        <v>0</v>
      </c>
      <c r="AL71" s="53">
        <v>9</v>
      </c>
      <c r="AM71" s="53">
        <v>44</v>
      </c>
      <c r="AN71" s="53">
        <v>3</v>
      </c>
      <c r="AO71" s="53">
        <v>0</v>
      </c>
    </row>
    <row r="72" spans="10:41" ht="16.5" customHeight="1" x14ac:dyDescent="0.3">
      <c r="J72" s="24">
        <v>68</v>
      </c>
      <c r="K72" s="15" t="s">
        <v>34</v>
      </c>
      <c r="L72" s="15" t="s">
        <v>36</v>
      </c>
      <c r="M72" s="15" t="s">
        <v>68</v>
      </c>
      <c r="N72" s="15" t="s">
        <v>22</v>
      </c>
      <c r="O72" s="15" t="s">
        <v>21</v>
      </c>
      <c r="Q72" s="9">
        <v>9</v>
      </c>
      <c r="R72" s="9">
        <v>10</v>
      </c>
      <c r="S72" s="9">
        <v>18</v>
      </c>
      <c r="T72" s="9">
        <v>3</v>
      </c>
      <c r="U72" s="9">
        <v>2</v>
      </c>
      <c r="W72" s="24">
        <v>1</v>
      </c>
      <c r="X72" s="24">
        <v>1</v>
      </c>
      <c r="Y72" s="24">
        <v>1</v>
      </c>
      <c r="Z72" s="24">
        <v>1</v>
      </c>
      <c r="AA72" s="24">
        <v>1</v>
      </c>
      <c r="AC72" s="71" t="str">
        <v>GQ</v>
      </c>
      <c r="AD72" s="53">
        <v>0</v>
      </c>
      <c r="AE72" s="53">
        <v>5</v>
      </c>
      <c r="AF72" s="53">
        <v>5</v>
      </c>
      <c r="AG72" s="53">
        <v>4</v>
      </c>
      <c r="AH72" s="53">
        <v>0</v>
      </c>
      <c r="AI72" s="5"/>
      <c r="AJ72" s="71" t="str">
        <v>GQ</v>
      </c>
      <c r="AK72" s="53">
        <v>0</v>
      </c>
      <c r="AL72" s="53">
        <v>5</v>
      </c>
      <c r="AM72" s="53">
        <v>5</v>
      </c>
      <c r="AN72" s="53">
        <v>4</v>
      </c>
      <c r="AO72" s="53">
        <v>0</v>
      </c>
    </row>
    <row r="73" spans="10:41" ht="16.5" customHeight="1" x14ac:dyDescent="0.3">
      <c r="J73" s="9">
        <v>69</v>
      </c>
      <c r="K73" s="15" t="s">
        <v>21</v>
      </c>
      <c r="L73" s="15" t="s">
        <v>21</v>
      </c>
      <c r="M73" s="15" t="s">
        <v>65</v>
      </c>
      <c r="N73" s="15" t="s">
        <v>21</v>
      </c>
      <c r="O73" s="15" t="s">
        <v>37</v>
      </c>
      <c r="Q73" s="9">
        <v>2</v>
      </c>
      <c r="R73" s="9">
        <v>2</v>
      </c>
      <c r="S73" s="9">
        <v>16</v>
      </c>
      <c r="T73" s="9">
        <v>2</v>
      </c>
      <c r="U73" s="9">
        <v>7</v>
      </c>
      <c r="W73" s="24">
        <v>1</v>
      </c>
      <c r="X73" s="24">
        <v>1</v>
      </c>
      <c r="Y73" s="24">
        <v>1</v>
      </c>
      <c r="Z73" s="24">
        <v>1</v>
      </c>
      <c r="AA73" s="24">
        <v>1</v>
      </c>
      <c r="AC73" s="71" t="str">
        <v>GJ</v>
      </c>
      <c r="AD73" s="53">
        <v>0</v>
      </c>
      <c r="AE73" s="53">
        <v>5</v>
      </c>
      <c r="AF73" s="53">
        <v>4</v>
      </c>
      <c r="AG73" s="53">
        <v>4</v>
      </c>
      <c r="AH73" s="53">
        <v>0</v>
      </c>
      <c r="AI73" s="5"/>
      <c r="AJ73" s="71" t="str">
        <v>GJ</v>
      </c>
      <c r="AK73" s="53">
        <v>0</v>
      </c>
      <c r="AL73" s="53">
        <v>5</v>
      </c>
      <c r="AM73" s="53">
        <v>4</v>
      </c>
      <c r="AN73" s="53">
        <v>4</v>
      </c>
      <c r="AO73" s="53">
        <v>0</v>
      </c>
    </row>
    <row r="74" spans="10:41" ht="16.5" customHeight="1" x14ac:dyDescent="0.3">
      <c r="J74" s="24">
        <v>70</v>
      </c>
      <c r="K74" s="15" t="s">
        <v>19</v>
      </c>
      <c r="L74" s="15" t="s">
        <v>21</v>
      </c>
      <c r="M74" s="15" t="s">
        <v>64</v>
      </c>
      <c r="N74" s="15" t="s">
        <v>37</v>
      </c>
      <c r="O74" s="15" t="s">
        <v>37</v>
      </c>
      <c r="Q74" s="9">
        <v>5</v>
      </c>
      <c r="R74" s="9">
        <v>2</v>
      </c>
      <c r="S74" s="9">
        <v>14</v>
      </c>
      <c r="T74" s="9">
        <v>7</v>
      </c>
      <c r="U74" s="9">
        <v>7</v>
      </c>
      <c r="W74" s="24">
        <v>1</v>
      </c>
      <c r="X74" s="24">
        <v>1</v>
      </c>
      <c r="Y74" s="24">
        <v>1</v>
      </c>
      <c r="Z74" s="24">
        <v>1</v>
      </c>
      <c r="AA74" s="24">
        <v>1</v>
      </c>
      <c r="AD74" s="59">
        <f>SUM(AD54:AD73)</f>
        <v>200</v>
      </c>
      <c r="AE74" s="59">
        <f>SUM(AE54:AE73)</f>
        <v>200</v>
      </c>
      <c r="AF74" s="59">
        <f>SUM(AF54:AF73)</f>
        <v>200</v>
      </c>
      <c r="AG74" s="59">
        <f>SUM(AG54:AG73)</f>
        <v>200</v>
      </c>
      <c r="AH74" s="59">
        <f>SUM(AH54:AH73)</f>
        <v>200</v>
      </c>
      <c r="AI74" s="5"/>
      <c r="AK74" s="59">
        <f>SUM(AK54:AK73)</f>
        <v>200</v>
      </c>
      <c r="AL74" s="59">
        <f>SUM(AL54:AL73)</f>
        <v>200</v>
      </c>
      <c r="AM74" s="59">
        <f>SUM(AM54:AM73)</f>
        <v>200</v>
      </c>
      <c r="AN74" s="59">
        <f>SUM(AN54:AN73)</f>
        <v>200</v>
      </c>
      <c r="AO74" s="59">
        <f>SUM(AO54:AO73)</f>
        <v>200</v>
      </c>
    </row>
    <row r="75" spans="10:41" ht="16.5" customHeight="1" x14ac:dyDescent="0.3">
      <c r="J75" s="9">
        <v>71</v>
      </c>
      <c r="K75" s="15" t="s">
        <v>95</v>
      </c>
      <c r="L75" s="15" t="s">
        <v>36</v>
      </c>
      <c r="M75" s="15" t="s">
        <v>65</v>
      </c>
      <c r="N75" s="15" t="s">
        <v>18</v>
      </c>
      <c r="O75" s="15" t="s">
        <v>22</v>
      </c>
      <c r="Q75" s="9">
        <v>6</v>
      </c>
      <c r="R75" s="9">
        <v>10</v>
      </c>
      <c r="S75" s="9">
        <v>16</v>
      </c>
      <c r="T75" s="9">
        <v>4</v>
      </c>
      <c r="U75" s="9">
        <v>3</v>
      </c>
      <c r="W75" s="24">
        <v>1</v>
      </c>
      <c r="X75" s="24">
        <v>1</v>
      </c>
      <c r="Y75" s="24">
        <v>1</v>
      </c>
      <c r="Z75" s="24">
        <v>1</v>
      </c>
      <c r="AA75" s="24">
        <v>1</v>
      </c>
      <c r="AH75" s="5"/>
      <c r="AI75" s="5"/>
      <c r="AO75" s="5"/>
    </row>
    <row r="76" spans="10:41" ht="16.5" customHeight="1" x14ac:dyDescent="0.3">
      <c r="J76" s="24">
        <v>72</v>
      </c>
      <c r="K76" s="15" t="s">
        <v>35</v>
      </c>
      <c r="L76" s="15" t="s">
        <v>37</v>
      </c>
      <c r="M76" s="15" t="s">
        <v>62</v>
      </c>
      <c r="N76" s="15" t="s">
        <v>21</v>
      </c>
      <c r="O76" s="15" t="s">
        <v>18</v>
      </c>
      <c r="Q76" s="9">
        <v>8</v>
      </c>
      <c r="R76" s="9">
        <v>7</v>
      </c>
      <c r="S76" s="9">
        <v>12</v>
      </c>
      <c r="T76" s="9">
        <v>2</v>
      </c>
      <c r="U76" s="9">
        <v>4</v>
      </c>
      <c r="W76" s="24">
        <v>1</v>
      </c>
      <c r="X76" s="24">
        <v>1</v>
      </c>
      <c r="Y76" s="24">
        <v>1</v>
      </c>
      <c r="Z76" s="24">
        <v>1</v>
      </c>
      <c r="AA76" s="24">
        <v>1</v>
      </c>
      <c r="AH76" s="5"/>
      <c r="AI76" s="5"/>
      <c r="AO76" s="5"/>
    </row>
    <row r="77" spans="10:41" ht="16.5" customHeight="1" x14ac:dyDescent="0.3">
      <c r="J77" s="9">
        <v>73</v>
      </c>
      <c r="K77" s="15" t="s">
        <v>35</v>
      </c>
      <c r="L77" s="15" t="s">
        <v>18</v>
      </c>
      <c r="M77" s="15" t="s">
        <v>81</v>
      </c>
      <c r="N77" s="15" t="s">
        <v>21</v>
      </c>
      <c r="O77" s="15" t="s">
        <v>95</v>
      </c>
      <c r="Q77" s="9">
        <v>8</v>
      </c>
      <c r="R77" s="9">
        <v>4</v>
      </c>
      <c r="S77" s="9">
        <v>17</v>
      </c>
      <c r="T77" s="9">
        <v>2</v>
      </c>
      <c r="U77" s="9">
        <v>6</v>
      </c>
      <c r="W77" s="24">
        <v>1</v>
      </c>
      <c r="X77" s="24">
        <v>1</v>
      </c>
      <c r="Y77" s="24">
        <v>1</v>
      </c>
      <c r="Z77" s="24">
        <v>1</v>
      </c>
      <c r="AA77" s="24">
        <v>1</v>
      </c>
      <c r="AH77" s="5"/>
      <c r="AI77" s="5"/>
      <c r="AO77" s="5"/>
    </row>
    <row r="78" spans="10:41" ht="16.5" customHeight="1" x14ac:dyDescent="0.3">
      <c r="J78" s="24">
        <v>74</v>
      </c>
      <c r="K78" s="15" t="s">
        <v>95</v>
      </c>
      <c r="L78" s="15" t="s">
        <v>19</v>
      </c>
      <c r="M78" s="15" t="s">
        <v>64</v>
      </c>
      <c r="N78" s="15" t="s">
        <v>20</v>
      </c>
      <c r="O78" s="15" t="s">
        <v>18</v>
      </c>
      <c r="Q78" s="9">
        <v>6</v>
      </c>
      <c r="R78" s="9">
        <v>5</v>
      </c>
      <c r="S78" s="9">
        <v>14</v>
      </c>
      <c r="T78" s="9">
        <v>1</v>
      </c>
      <c r="U78" s="9">
        <v>4</v>
      </c>
      <c r="W78" s="24">
        <v>1</v>
      </c>
      <c r="X78" s="24">
        <v>1</v>
      </c>
      <c r="Y78" s="24">
        <v>1</v>
      </c>
      <c r="Z78" s="24">
        <v>1</v>
      </c>
      <c r="AA78" s="24">
        <v>1</v>
      </c>
      <c r="AH78" s="5"/>
      <c r="AI78" s="5"/>
      <c r="AO78" s="5"/>
    </row>
    <row r="79" spans="10:41" ht="16.5" customHeight="1" x14ac:dyDescent="0.3">
      <c r="J79" s="9">
        <v>75</v>
      </c>
      <c r="K79" s="15" t="s">
        <v>95</v>
      </c>
      <c r="L79" s="15" t="s">
        <v>19</v>
      </c>
      <c r="M79" s="15" t="s">
        <v>96</v>
      </c>
      <c r="N79" s="15" t="s">
        <v>70</v>
      </c>
      <c r="O79" s="15" t="s">
        <v>36</v>
      </c>
      <c r="Q79" s="9">
        <v>6</v>
      </c>
      <c r="R79" s="9">
        <v>5</v>
      </c>
      <c r="S79" s="9">
        <v>15</v>
      </c>
      <c r="T79" s="9">
        <v>19</v>
      </c>
      <c r="U79" s="9">
        <v>10</v>
      </c>
      <c r="W79" s="24">
        <v>1</v>
      </c>
      <c r="X79" s="24">
        <v>1</v>
      </c>
      <c r="Y79" s="24">
        <v>1</v>
      </c>
      <c r="Z79" s="24">
        <v>1</v>
      </c>
      <c r="AA79" s="24">
        <v>1</v>
      </c>
      <c r="AH79" s="5"/>
      <c r="AI79" s="5"/>
      <c r="AO79" s="5"/>
    </row>
    <row r="80" spans="10:41" x14ac:dyDescent="0.3">
      <c r="J80" s="24">
        <v>76</v>
      </c>
      <c r="K80" s="15" t="s">
        <v>37</v>
      </c>
      <c r="L80" s="15" t="s">
        <v>64</v>
      </c>
      <c r="M80" s="15" t="s">
        <v>65</v>
      </c>
      <c r="N80" s="15" t="s">
        <v>34</v>
      </c>
      <c r="O80" s="15" t="s">
        <v>34</v>
      </c>
      <c r="Q80" s="9">
        <v>7</v>
      </c>
      <c r="R80" s="9">
        <v>14</v>
      </c>
      <c r="S80" s="9">
        <v>16</v>
      </c>
      <c r="T80" s="9">
        <v>9</v>
      </c>
      <c r="U80" s="9">
        <v>9</v>
      </c>
      <c r="W80" s="24">
        <v>1</v>
      </c>
      <c r="X80" s="24">
        <v>1</v>
      </c>
      <c r="Y80" s="24">
        <v>1</v>
      </c>
      <c r="Z80" s="24">
        <v>1</v>
      </c>
      <c r="AA80" s="24">
        <v>1</v>
      </c>
      <c r="AH80" s="5"/>
      <c r="AI80" s="5"/>
      <c r="AO80" s="5"/>
    </row>
    <row r="81" spans="10:41" x14ac:dyDescent="0.3">
      <c r="J81" s="9">
        <v>77</v>
      </c>
      <c r="K81" s="15" t="s">
        <v>35</v>
      </c>
      <c r="L81" s="15" t="s">
        <v>22</v>
      </c>
      <c r="M81" s="15" t="s">
        <v>64</v>
      </c>
      <c r="N81" s="15" t="s">
        <v>22</v>
      </c>
      <c r="O81" s="15" t="s">
        <v>34</v>
      </c>
      <c r="Q81" s="9">
        <v>8</v>
      </c>
      <c r="R81" s="9">
        <v>3</v>
      </c>
      <c r="S81" s="9">
        <v>14</v>
      </c>
      <c r="T81" s="9">
        <v>3</v>
      </c>
      <c r="U81" s="9">
        <v>9</v>
      </c>
      <c r="W81" s="24">
        <v>1</v>
      </c>
      <c r="X81" s="24">
        <v>1</v>
      </c>
      <c r="Y81" s="24">
        <v>1</v>
      </c>
      <c r="Z81" s="24">
        <v>1</v>
      </c>
      <c r="AA81" s="24">
        <v>1</v>
      </c>
      <c r="AH81" s="5"/>
      <c r="AI81" s="5"/>
      <c r="AO81" s="5"/>
    </row>
    <row r="82" spans="10:41" x14ac:dyDescent="0.3">
      <c r="J82" s="24">
        <v>78</v>
      </c>
      <c r="K82" s="15" t="s">
        <v>37</v>
      </c>
      <c r="L82" s="15" t="s">
        <v>22</v>
      </c>
      <c r="M82" s="15" t="s">
        <v>81</v>
      </c>
      <c r="N82" s="15" t="s">
        <v>19</v>
      </c>
      <c r="O82" s="15" t="s">
        <v>22</v>
      </c>
      <c r="Q82" s="9">
        <v>7</v>
      </c>
      <c r="R82" s="9">
        <v>3</v>
      </c>
      <c r="S82" s="9">
        <v>17</v>
      </c>
      <c r="T82" s="9">
        <v>5</v>
      </c>
      <c r="U82" s="9">
        <v>3</v>
      </c>
      <c r="W82" s="24">
        <v>1</v>
      </c>
      <c r="X82" s="24">
        <v>1</v>
      </c>
      <c r="Y82" s="24">
        <v>1</v>
      </c>
      <c r="Z82" s="24">
        <v>1</v>
      </c>
      <c r="AA82" s="24">
        <v>1</v>
      </c>
      <c r="AH82" s="5"/>
      <c r="AI82" s="5"/>
      <c r="AO82" s="5"/>
    </row>
    <row r="83" spans="10:41" x14ac:dyDescent="0.3">
      <c r="J83" s="9">
        <v>79</v>
      </c>
      <c r="K83" s="15" t="s">
        <v>36</v>
      </c>
      <c r="L83" s="15" t="s">
        <v>19</v>
      </c>
      <c r="M83" s="15" t="s">
        <v>65</v>
      </c>
      <c r="N83" s="15" t="s">
        <v>34</v>
      </c>
      <c r="O83" s="15" t="s">
        <v>34</v>
      </c>
      <c r="Q83" s="9">
        <v>10</v>
      </c>
      <c r="R83" s="9">
        <v>5</v>
      </c>
      <c r="S83" s="9">
        <v>16</v>
      </c>
      <c r="T83" s="9">
        <v>9</v>
      </c>
      <c r="U83" s="9">
        <v>9</v>
      </c>
      <c r="W83" s="24">
        <v>1</v>
      </c>
      <c r="X83" s="24">
        <v>1</v>
      </c>
      <c r="Y83" s="24">
        <v>1</v>
      </c>
      <c r="Z83" s="24">
        <v>1</v>
      </c>
      <c r="AA83" s="24">
        <v>1</v>
      </c>
      <c r="AH83" s="5"/>
      <c r="AI83" s="5"/>
      <c r="AO83" s="5"/>
    </row>
    <row r="84" spans="10:41" x14ac:dyDescent="0.3">
      <c r="J84" s="24">
        <v>80</v>
      </c>
      <c r="K84" s="15" t="s">
        <v>35</v>
      </c>
      <c r="L84" s="15" t="s">
        <v>95</v>
      </c>
      <c r="M84" s="15" t="s">
        <v>96</v>
      </c>
      <c r="N84" s="15" t="s">
        <v>34</v>
      </c>
      <c r="O84" s="15" t="s">
        <v>18</v>
      </c>
      <c r="Q84" s="9">
        <v>8</v>
      </c>
      <c r="R84" s="9">
        <v>6</v>
      </c>
      <c r="S84" s="9">
        <v>15</v>
      </c>
      <c r="T84" s="9">
        <v>9</v>
      </c>
      <c r="U84" s="9">
        <v>4</v>
      </c>
      <c r="W84" s="24">
        <v>1</v>
      </c>
      <c r="X84" s="24">
        <v>1</v>
      </c>
      <c r="Y84" s="24">
        <v>1</v>
      </c>
      <c r="Z84" s="24">
        <v>1</v>
      </c>
      <c r="AA84" s="24">
        <v>1</v>
      </c>
      <c r="AH84" s="5"/>
      <c r="AI84" s="5"/>
      <c r="AO84" s="5"/>
    </row>
    <row r="85" spans="10:41" x14ac:dyDescent="0.3">
      <c r="J85" s="9">
        <v>81</v>
      </c>
      <c r="K85" s="15" t="s">
        <v>95</v>
      </c>
      <c r="L85" s="15" t="s">
        <v>21</v>
      </c>
      <c r="M85" s="15" t="s">
        <v>65</v>
      </c>
      <c r="N85" s="15" t="s">
        <v>34</v>
      </c>
      <c r="O85" s="15" t="s">
        <v>36</v>
      </c>
      <c r="Q85" s="9">
        <v>6</v>
      </c>
      <c r="R85" s="9">
        <v>2</v>
      </c>
      <c r="S85" s="9">
        <v>16</v>
      </c>
      <c r="T85" s="9">
        <v>9</v>
      </c>
      <c r="U85" s="9">
        <v>10</v>
      </c>
      <c r="W85" s="24">
        <v>1</v>
      </c>
      <c r="X85" s="24">
        <v>1</v>
      </c>
      <c r="Y85" s="24">
        <v>1</v>
      </c>
      <c r="Z85" s="24">
        <v>1</v>
      </c>
      <c r="AA85" s="24">
        <v>1</v>
      </c>
      <c r="AH85" s="5"/>
      <c r="AI85" s="5"/>
      <c r="AO85" s="5"/>
    </row>
    <row r="86" spans="10:41" x14ac:dyDescent="0.3">
      <c r="J86" s="24">
        <v>82</v>
      </c>
      <c r="K86" s="15" t="s">
        <v>95</v>
      </c>
      <c r="L86" s="15" t="s">
        <v>96</v>
      </c>
      <c r="M86" s="15" t="s">
        <v>68</v>
      </c>
      <c r="N86" s="15" t="s">
        <v>21</v>
      </c>
      <c r="O86" s="15" t="s">
        <v>95</v>
      </c>
      <c r="Q86" s="9">
        <v>6</v>
      </c>
      <c r="R86" s="9">
        <v>15</v>
      </c>
      <c r="S86" s="9">
        <v>18</v>
      </c>
      <c r="T86" s="9">
        <v>2</v>
      </c>
      <c r="U86" s="9">
        <v>6</v>
      </c>
      <c r="W86" s="24">
        <v>1</v>
      </c>
      <c r="X86" s="24">
        <v>1</v>
      </c>
      <c r="Y86" s="24">
        <v>1</v>
      </c>
      <c r="Z86" s="24">
        <v>1</v>
      </c>
      <c r="AA86" s="24">
        <v>1</v>
      </c>
      <c r="AH86" s="5"/>
      <c r="AI86" s="5"/>
      <c r="AO86" s="5"/>
    </row>
    <row r="87" spans="10:41" x14ac:dyDescent="0.3">
      <c r="J87" s="9">
        <v>83</v>
      </c>
      <c r="K87" s="15" t="s">
        <v>95</v>
      </c>
      <c r="L87" s="15" t="s">
        <v>18</v>
      </c>
      <c r="M87" s="15" t="s">
        <v>64</v>
      </c>
      <c r="N87" s="15" t="s">
        <v>19</v>
      </c>
      <c r="O87" s="15" t="s">
        <v>22</v>
      </c>
      <c r="Q87" s="9">
        <v>6</v>
      </c>
      <c r="R87" s="9">
        <v>4</v>
      </c>
      <c r="S87" s="9">
        <v>14</v>
      </c>
      <c r="T87" s="9">
        <v>5</v>
      </c>
      <c r="U87" s="9">
        <v>3</v>
      </c>
      <c r="W87" s="24">
        <v>1</v>
      </c>
      <c r="X87" s="24">
        <v>1</v>
      </c>
      <c r="Y87" s="24">
        <v>1</v>
      </c>
      <c r="Z87" s="24">
        <v>1</v>
      </c>
      <c r="AA87" s="24">
        <v>1</v>
      </c>
      <c r="AH87" s="5"/>
      <c r="AI87" s="5"/>
      <c r="AO87" s="5"/>
    </row>
    <row r="88" spans="10:41" x14ac:dyDescent="0.3">
      <c r="J88" s="24">
        <v>84</v>
      </c>
      <c r="K88" s="15" t="s">
        <v>37</v>
      </c>
      <c r="L88" s="15" t="s">
        <v>19</v>
      </c>
      <c r="M88" s="15" t="s">
        <v>81</v>
      </c>
      <c r="N88" s="15" t="s">
        <v>61</v>
      </c>
      <c r="O88" s="15" t="s">
        <v>34</v>
      </c>
      <c r="Q88" s="9">
        <v>7</v>
      </c>
      <c r="R88" s="9">
        <v>5</v>
      </c>
      <c r="S88" s="9">
        <v>17</v>
      </c>
      <c r="T88" s="9">
        <v>11</v>
      </c>
      <c r="U88" s="9">
        <v>9</v>
      </c>
      <c r="W88" s="24">
        <v>1</v>
      </c>
      <c r="X88" s="24">
        <v>1</v>
      </c>
      <c r="Y88" s="24">
        <v>1</v>
      </c>
      <c r="Z88" s="24">
        <v>1</v>
      </c>
      <c r="AA88" s="24">
        <v>1</v>
      </c>
      <c r="AH88" s="5"/>
      <c r="AI88" s="5"/>
      <c r="AO88" s="5"/>
    </row>
    <row r="89" spans="10:41" x14ac:dyDescent="0.3">
      <c r="J89" s="9">
        <v>85</v>
      </c>
      <c r="K89" s="15" t="s">
        <v>37</v>
      </c>
      <c r="L89" s="15" t="s">
        <v>19</v>
      </c>
      <c r="M89" s="15" t="s">
        <v>96</v>
      </c>
      <c r="N89" s="15" t="s">
        <v>22</v>
      </c>
      <c r="O89" s="15" t="s">
        <v>95</v>
      </c>
      <c r="Q89" s="9">
        <v>7</v>
      </c>
      <c r="R89" s="9">
        <v>5</v>
      </c>
      <c r="S89" s="9">
        <v>15</v>
      </c>
      <c r="T89" s="9">
        <v>3</v>
      </c>
      <c r="U89" s="9">
        <v>6</v>
      </c>
      <c r="W89" s="24">
        <v>1</v>
      </c>
      <c r="X89" s="24">
        <v>1</v>
      </c>
      <c r="Y89" s="24">
        <v>1</v>
      </c>
      <c r="Z89" s="24">
        <v>1</v>
      </c>
      <c r="AA89" s="24">
        <v>1</v>
      </c>
      <c r="AH89" s="5"/>
      <c r="AI89" s="5"/>
      <c r="AO89" s="5"/>
    </row>
    <row r="90" spans="10:41" x14ac:dyDescent="0.3">
      <c r="J90" s="24">
        <v>86</v>
      </c>
      <c r="K90" s="15" t="s">
        <v>37</v>
      </c>
      <c r="L90" s="15" t="s">
        <v>19</v>
      </c>
      <c r="M90" s="15" t="s">
        <v>65</v>
      </c>
      <c r="N90" s="15" t="s">
        <v>19</v>
      </c>
      <c r="O90" s="15" t="s">
        <v>37</v>
      </c>
      <c r="Q90" s="9">
        <v>7</v>
      </c>
      <c r="R90" s="9">
        <v>5</v>
      </c>
      <c r="S90" s="9">
        <v>16</v>
      </c>
      <c r="T90" s="9">
        <v>5</v>
      </c>
      <c r="U90" s="9">
        <v>7</v>
      </c>
      <c r="W90" s="24">
        <v>1</v>
      </c>
      <c r="X90" s="24">
        <v>1</v>
      </c>
      <c r="Y90" s="24">
        <v>1</v>
      </c>
      <c r="Z90" s="24">
        <v>1</v>
      </c>
      <c r="AA90" s="24">
        <v>1</v>
      </c>
      <c r="AH90" s="5"/>
      <c r="AI90" s="5"/>
      <c r="AO90" s="5"/>
    </row>
    <row r="91" spans="10:41" x14ac:dyDescent="0.3">
      <c r="J91" s="9">
        <v>87</v>
      </c>
      <c r="K91" s="15" t="s">
        <v>35</v>
      </c>
      <c r="L91" s="15" t="s">
        <v>36</v>
      </c>
      <c r="M91" s="15" t="s">
        <v>64</v>
      </c>
      <c r="N91" s="15" t="s">
        <v>19</v>
      </c>
      <c r="O91" s="15" t="s">
        <v>34</v>
      </c>
      <c r="Q91" s="9">
        <v>8</v>
      </c>
      <c r="R91" s="9">
        <v>10</v>
      </c>
      <c r="S91" s="9">
        <v>14</v>
      </c>
      <c r="T91" s="9">
        <v>5</v>
      </c>
      <c r="U91" s="9">
        <v>9</v>
      </c>
      <c r="W91" s="24">
        <v>1</v>
      </c>
      <c r="X91" s="24">
        <v>1</v>
      </c>
      <c r="Y91" s="24">
        <v>1</v>
      </c>
      <c r="Z91" s="24">
        <v>1</v>
      </c>
      <c r="AA91" s="24">
        <v>1</v>
      </c>
      <c r="AH91" s="5"/>
      <c r="AI91" s="5"/>
      <c r="AO91" s="5"/>
    </row>
    <row r="92" spans="10:41" x14ac:dyDescent="0.3">
      <c r="J92" s="24">
        <v>88</v>
      </c>
      <c r="K92" s="15" t="s">
        <v>37</v>
      </c>
      <c r="L92" s="15" t="s">
        <v>95</v>
      </c>
      <c r="M92" s="15" t="s">
        <v>65</v>
      </c>
      <c r="N92" s="15" t="s">
        <v>20</v>
      </c>
      <c r="O92" s="15" t="s">
        <v>19</v>
      </c>
      <c r="Q92" s="9">
        <v>7</v>
      </c>
      <c r="R92" s="9">
        <v>6</v>
      </c>
      <c r="S92" s="9">
        <v>16</v>
      </c>
      <c r="T92" s="9">
        <v>1</v>
      </c>
      <c r="U92" s="9">
        <v>5</v>
      </c>
      <c r="W92" s="24">
        <v>1</v>
      </c>
      <c r="X92" s="24">
        <v>1</v>
      </c>
      <c r="Y92" s="24">
        <v>1</v>
      </c>
      <c r="Z92" s="24">
        <v>1</v>
      </c>
      <c r="AA92" s="24">
        <v>1</v>
      </c>
      <c r="AH92" s="5"/>
      <c r="AI92" s="5"/>
      <c r="AO92" s="5"/>
    </row>
    <row r="93" spans="10:41" x14ac:dyDescent="0.3">
      <c r="J93" s="9">
        <v>89</v>
      </c>
      <c r="K93" s="15" t="s">
        <v>18</v>
      </c>
      <c r="L93" s="15" t="s">
        <v>95</v>
      </c>
      <c r="M93" s="15" t="s">
        <v>81</v>
      </c>
      <c r="N93" s="15" t="s">
        <v>21</v>
      </c>
      <c r="O93" s="15" t="s">
        <v>34</v>
      </c>
      <c r="Q93" s="9">
        <v>4</v>
      </c>
      <c r="R93" s="9">
        <v>6</v>
      </c>
      <c r="S93" s="9">
        <v>17</v>
      </c>
      <c r="T93" s="9">
        <v>2</v>
      </c>
      <c r="U93" s="9">
        <v>9</v>
      </c>
      <c r="W93" s="24">
        <v>1</v>
      </c>
      <c r="X93" s="24">
        <v>1</v>
      </c>
      <c r="Y93" s="24">
        <v>1</v>
      </c>
      <c r="Z93" s="24">
        <v>1</v>
      </c>
      <c r="AA93" s="24">
        <v>1</v>
      </c>
      <c r="AH93" s="5"/>
      <c r="AI93" s="5"/>
      <c r="AO93" s="5"/>
    </row>
    <row r="94" spans="10:41" x14ac:dyDescent="0.3">
      <c r="J94" s="24">
        <v>90</v>
      </c>
      <c r="K94" s="15" t="s">
        <v>22</v>
      </c>
      <c r="L94" s="15" t="s">
        <v>35</v>
      </c>
      <c r="M94" s="15" t="s">
        <v>64</v>
      </c>
      <c r="N94" s="15" t="s">
        <v>22</v>
      </c>
      <c r="O94" s="15" t="s">
        <v>35</v>
      </c>
      <c r="Q94" s="9">
        <v>3</v>
      </c>
      <c r="R94" s="9">
        <v>8</v>
      </c>
      <c r="S94" s="9">
        <v>14</v>
      </c>
      <c r="T94" s="9">
        <v>3</v>
      </c>
      <c r="U94" s="9">
        <v>8</v>
      </c>
      <c r="W94" s="24">
        <v>1</v>
      </c>
      <c r="X94" s="24">
        <v>1</v>
      </c>
      <c r="Y94" s="24">
        <v>1</v>
      </c>
      <c r="Z94" s="24">
        <v>1</v>
      </c>
      <c r="AA94" s="24">
        <v>1</v>
      </c>
      <c r="AH94" s="5"/>
      <c r="AI94" s="5"/>
      <c r="AO94" s="5"/>
    </row>
    <row r="95" spans="10:41" x14ac:dyDescent="0.3">
      <c r="J95" s="9">
        <v>91</v>
      </c>
      <c r="K95" s="15" t="s">
        <v>19</v>
      </c>
      <c r="L95" s="15" t="s">
        <v>35</v>
      </c>
      <c r="M95" s="15" t="s">
        <v>81</v>
      </c>
      <c r="N95" s="15" t="s">
        <v>21</v>
      </c>
      <c r="O95" s="15" t="s">
        <v>22</v>
      </c>
      <c r="Q95" s="9">
        <v>5</v>
      </c>
      <c r="R95" s="9">
        <v>8</v>
      </c>
      <c r="S95" s="9">
        <v>17</v>
      </c>
      <c r="T95" s="9">
        <v>2</v>
      </c>
      <c r="U95" s="9">
        <v>3</v>
      </c>
      <c r="W95" s="24">
        <v>1</v>
      </c>
      <c r="X95" s="24">
        <v>1</v>
      </c>
      <c r="Y95" s="24">
        <v>1</v>
      </c>
      <c r="Z95" s="24">
        <v>1</v>
      </c>
      <c r="AA95" s="24">
        <v>1</v>
      </c>
      <c r="AH95" s="5"/>
      <c r="AI95" s="5"/>
      <c r="AO95" s="5"/>
    </row>
    <row r="96" spans="10:41" x14ac:dyDescent="0.3">
      <c r="J96" s="24">
        <v>92</v>
      </c>
      <c r="K96" s="15" t="s">
        <v>37</v>
      </c>
      <c r="L96" s="15" t="s">
        <v>65</v>
      </c>
      <c r="M96" s="15" t="s">
        <v>64</v>
      </c>
      <c r="N96" s="15" t="s">
        <v>21</v>
      </c>
      <c r="O96" s="15" t="s">
        <v>21</v>
      </c>
      <c r="Q96" s="9">
        <v>7</v>
      </c>
      <c r="R96" s="9">
        <v>16</v>
      </c>
      <c r="S96" s="9">
        <v>14</v>
      </c>
      <c r="T96" s="9">
        <v>2</v>
      </c>
      <c r="U96" s="9">
        <v>2</v>
      </c>
      <c r="W96" s="24">
        <v>1</v>
      </c>
      <c r="X96" s="24">
        <v>1</v>
      </c>
      <c r="Y96" s="24">
        <v>1</v>
      </c>
      <c r="Z96" s="24">
        <v>1</v>
      </c>
      <c r="AA96" s="24">
        <v>1</v>
      </c>
      <c r="AH96" s="5"/>
      <c r="AI96" s="5"/>
      <c r="AO96" s="5"/>
    </row>
    <row r="97" spans="10:41" x14ac:dyDescent="0.3">
      <c r="J97" s="9">
        <v>93</v>
      </c>
      <c r="K97" s="15" t="s">
        <v>19</v>
      </c>
      <c r="L97" s="15" t="s">
        <v>35</v>
      </c>
      <c r="M97" s="15" t="s">
        <v>65</v>
      </c>
      <c r="N97" s="15" t="s">
        <v>21</v>
      </c>
      <c r="O97" s="15" t="s">
        <v>36</v>
      </c>
      <c r="Q97" s="9">
        <v>5</v>
      </c>
      <c r="R97" s="9">
        <v>8</v>
      </c>
      <c r="S97" s="9">
        <v>16</v>
      </c>
      <c r="T97" s="9">
        <v>2</v>
      </c>
      <c r="U97" s="9">
        <v>10</v>
      </c>
      <c r="W97" s="24">
        <v>1</v>
      </c>
      <c r="X97" s="24">
        <v>1</v>
      </c>
      <c r="Y97" s="24">
        <v>1</v>
      </c>
      <c r="Z97" s="24">
        <v>1</v>
      </c>
      <c r="AA97" s="24">
        <v>1</v>
      </c>
      <c r="AH97" s="5"/>
      <c r="AI97" s="5"/>
      <c r="AO97" s="5"/>
    </row>
    <row r="98" spans="10:41" x14ac:dyDescent="0.3">
      <c r="J98" s="24">
        <v>94</v>
      </c>
      <c r="K98" s="15" t="s">
        <v>37</v>
      </c>
      <c r="L98" s="15" t="s">
        <v>37</v>
      </c>
      <c r="M98" s="15" t="s">
        <v>96</v>
      </c>
      <c r="N98" s="15" t="s">
        <v>61</v>
      </c>
      <c r="O98" s="15" t="s">
        <v>22</v>
      </c>
      <c r="Q98" s="9">
        <v>7</v>
      </c>
      <c r="R98" s="9">
        <v>7</v>
      </c>
      <c r="S98" s="9">
        <v>15</v>
      </c>
      <c r="T98" s="9">
        <v>11</v>
      </c>
      <c r="U98" s="9">
        <v>3</v>
      </c>
      <c r="W98" s="24">
        <v>1</v>
      </c>
      <c r="X98" s="24">
        <v>1</v>
      </c>
      <c r="Y98" s="24">
        <v>1</v>
      </c>
      <c r="Z98" s="24">
        <v>1</v>
      </c>
      <c r="AA98" s="24">
        <v>1</v>
      </c>
      <c r="AH98" s="5"/>
      <c r="AI98" s="5"/>
      <c r="AO98" s="5"/>
    </row>
    <row r="99" spans="10:41" x14ac:dyDescent="0.3">
      <c r="J99" s="9">
        <v>95</v>
      </c>
      <c r="K99" s="15" t="s">
        <v>19</v>
      </c>
      <c r="L99" s="15" t="s">
        <v>35</v>
      </c>
      <c r="M99" s="15" t="s">
        <v>81</v>
      </c>
      <c r="N99" s="15" t="s">
        <v>18</v>
      </c>
      <c r="O99" s="15" t="s">
        <v>35</v>
      </c>
      <c r="Q99" s="9">
        <v>5</v>
      </c>
      <c r="R99" s="9">
        <v>8</v>
      </c>
      <c r="S99" s="9">
        <v>17</v>
      </c>
      <c r="T99" s="9">
        <v>4</v>
      </c>
      <c r="U99" s="9">
        <v>8</v>
      </c>
      <c r="W99" s="24">
        <v>1</v>
      </c>
      <c r="X99" s="24">
        <v>1</v>
      </c>
      <c r="Y99" s="24">
        <v>1</v>
      </c>
      <c r="Z99" s="24">
        <v>1</v>
      </c>
      <c r="AA99" s="24">
        <v>1</v>
      </c>
      <c r="AH99" s="5"/>
      <c r="AI99" s="5"/>
      <c r="AO99" s="5"/>
    </row>
    <row r="100" spans="10:41" x14ac:dyDescent="0.3">
      <c r="J100" s="24">
        <v>96</v>
      </c>
      <c r="K100" s="15" t="s">
        <v>95</v>
      </c>
      <c r="L100" s="15" t="s">
        <v>34</v>
      </c>
      <c r="M100" s="15" t="s">
        <v>96</v>
      </c>
      <c r="N100" s="15" t="s">
        <v>35</v>
      </c>
      <c r="O100" s="15" t="s">
        <v>19</v>
      </c>
      <c r="Q100" s="9">
        <v>6</v>
      </c>
      <c r="R100" s="9">
        <v>9</v>
      </c>
      <c r="S100" s="9">
        <v>15</v>
      </c>
      <c r="T100" s="9">
        <v>8</v>
      </c>
      <c r="U100" s="9">
        <v>5</v>
      </c>
      <c r="W100" s="24">
        <v>1</v>
      </c>
      <c r="X100" s="24">
        <v>1</v>
      </c>
      <c r="Y100" s="24">
        <v>1</v>
      </c>
      <c r="Z100" s="24">
        <v>1</v>
      </c>
      <c r="AA100" s="24">
        <v>1</v>
      </c>
      <c r="AH100" s="5"/>
      <c r="AI100" s="5"/>
      <c r="AO100" s="5"/>
    </row>
    <row r="101" spans="10:41" x14ac:dyDescent="0.3">
      <c r="J101" s="9">
        <v>97</v>
      </c>
      <c r="K101" s="15" t="s">
        <v>19</v>
      </c>
      <c r="L101" s="15" t="s">
        <v>34</v>
      </c>
      <c r="M101" s="15" t="s">
        <v>65</v>
      </c>
      <c r="N101" s="15" t="s">
        <v>35</v>
      </c>
      <c r="O101" s="15" t="s">
        <v>18</v>
      </c>
      <c r="Q101" s="9">
        <v>5</v>
      </c>
      <c r="R101" s="9">
        <v>9</v>
      </c>
      <c r="S101" s="9">
        <v>16</v>
      </c>
      <c r="T101" s="9">
        <v>8</v>
      </c>
      <c r="U101" s="9">
        <v>4</v>
      </c>
      <c r="W101" s="24">
        <v>1</v>
      </c>
      <c r="X101" s="24">
        <v>1</v>
      </c>
      <c r="Y101" s="24">
        <v>1</v>
      </c>
      <c r="Z101" s="24">
        <v>1</v>
      </c>
      <c r="AA101" s="24">
        <v>1</v>
      </c>
      <c r="AH101" s="5"/>
      <c r="AI101" s="5"/>
      <c r="AO101" s="5"/>
    </row>
    <row r="102" spans="10:41" x14ac:dyDescent="0.3">
      <c r="J102" s="24">
        <v>98</v>
      </c>
      <c r="K102" s="15" t="s">
        <v>37</v>
      </c>
      <c r="L102" s="15" t="s">
        <v>21</v>
      </c>
      <c r="M102" s="15" t="s">
        <v>81</v>
      </c>
      <c r="N102" s="15" t="s">
        <v>18</v>
      </c>
      <c r="O102" s="15" t="s">
        <v>21</v>
      </c>
      <c r="Q102" s="9">
        <v>7</v>
      </c>
      <c r="R102" s="9">
        <v>2</v>
      </c>
      <c r="S102" s="9">
        <v>17</v>
      </c>
      <c r="T102" s="9">
        <v>4</v>
      </c>
      <c r="U102" s="9">
        <v>2</v>
      </c>
      <c r="W102" s="24">
        <v>1</v>
      </c>
      <c r="X102" s="24">
        <v>1</v>
      </c>
      <c r="Y102" s="24">
        <v>1</v>
      </c>
      <c r="Z102" s="24">
        <v>1</v>
      </c>
      <c r="AA102" s="24">
        <v>1</v>
      </c>
      <c r="AH102" s="5"/>
      <c r="AI102" s="5"/>
      <c r="AO102" s="5"/>
    </row>
    <row r="103" spans="10:41" x14ac:dyDescent="0.3">
      <c r="J103" s="9">
        <v>99</v>
      </c>
      <c r="K103" s="15" t="s">
        <v>35</v>
      </c>
      <c r="L103" s="15" t="s">
        <v>64</v>
      </c>
      <c r="M103" s="15" t="s">
        <v>61</v>
      </c>
      <c r="N103" s="15" t="s">
        <v>36</v>
      </c>
      <c r="O103" s="15" t="s">
        <v>21</v>
      </c>
      <c r="Q103" s="9">
        <v>8</v>
      </c>
      <c r="R103" s="9">
        <v>14</v>
      </c>
      <c r="S103" s="9">
        <v>11</v>
      </c>
      <c r="T103" s="9">
        <v>10</v>
      </c>
      <c r="U103" s="9">
        <v>2</v>
      </c>
      <c r="W103" s="24">
        <v>1</v>
      </c>
      <c r="X103" s="24">
        <v>1</v>
      </c>
      <c r="Y103" s="24">
        <v>1</v>
      </c>
      <c r="Z103" s="24">
        <v>1</v>
      </c>
      <c r="AA103" s="24">
        <v>1</v>
      </c>
      <c r="AH103" s="5"/>
      <c r="AI103" s="5"/>
      <c r="AO103" s="5"/>
    </row>
    <row r="104" spans="10:41" x14ac:dyDescent="0.3">
      <c r="J104" s="24">
        <v>100</v>
      </c>
      <c r="K104" s="15" t="s">
        <v>37</v>
      </c>
      <c r="L104" s="15" t="s">
        <v>20</v>
      </c>
      <c r="M104" s="15" t="s">
        <v>64</v>
      </c>
      <c r="N104" s="15" t="s">
        <v>22</v>
      </c>
      <c r="O104" s="15" t="s">
        <v>18</v>
      </c>
      <c r="Q104" s="9">
        <v>7</v>
      </c>
      <c r="R104" s="9">
        <v>1</v>
      </c>
      <c r="S104" s="9">
        <v>14</v>
      </c>
      <c r="T104" s="9">
        <v>3</v>
      </c>
      <c r="U104" s="9">
        <v>4</v>
      </c>
      <c r="W104" s="24">
        <v>1</v>
      </c>
      <c r="X104" s="24">
        <v>1</v>
      </c>
      <c r="Y104" s="24">
        <v>1</v>
      </c>
      <c r="Z104" s="24">
        <v>1</v>
      </c>
      <c r="AA104" s="24">
        <v>1</v>
      </c>
      <c r="AH104" s="5"/>
      <c r="AI104" s="5"/>
      <c r="AO104" s="5"/>
    </row>
    <row r="105" spans="10:41" x14ac:dyDescent="0.3">
      <c r="J105" s="24">
        <v>101</v>
      </c>
      <c r="K105" s="15" t="s">
        <v>35</v>
      </c>
      <c r="L105" s="15" t="s">
        <v>95</v>
      </c>
      <c r="M105" s="15" t="s">
        <v>81</v>
      </c>
      <c r="N105" s="15" t="s">
        <v>22</v>
      </c>
      <c r="O105" s="15" t="s">
        <v>36</v>
      </c>
      <c r="Q105" s="9">
        <v>8</v>
      </c>
      <c r="R105" s="9">
        <v>6</v>
      </c>
      <c r="S105" s="9">
        <v>17</v>
      </c>
      <c r="T105" s="9">
        <v>3</v>
      </c>
      <c r="U105" s="9">
        <v>10</v>
      </c>
      <c r="W105" s="24">
        <v>1</v>
      </c>
      <c r="X105" s="24">
        <v>1</v>
      </c>
      <c r="Y105" s="24">
        <v>1</v>
      </c>
      <c r="Z105" s="24">
        <v>1</v>
      </c>
      <c r="AA105" s="24">
        <v>1</v>
      </c>
      <c r="AH105" s="5"/>
      <c r="AI105" s="5"/>
      <c r="AO105" s="5"/>
    </row>
    <row r="106" spans="10:41" x14ac:dyDescent="0.3">
      <c r="J106" s="9">
        <v>102</v>
      </c>
      <c r="K106" s="15" t="s">
        <v>35</v>
      </c>
      <c r="L106" s="15" t="s">
        <v>34</v>
      </c>
      <c r="M106" s="15" t="s">
        <v>64</v>
      </c>
      <c r="N106" s="15" t="s">
        <v>21</v>
      </c>
      <c r="O106" s="15" t="s">
        <v>95</v>
      </c>
      <c r="Q106" s="9">
        <v>8</v>
      </c>
      <c r="R106" s="9">
        <v>9</v>
      </c>
      <c r="S106" s="9">
        <v>14</v>
      </c>
      <c r="T106" s="9">
        <v>2</v>
      </c>
      <c r="U106" s="9">
        <v>6</v>
      </c>
      <c r="W106" s="24">
        <v>1</v>
      </c>
      <c r="X106" s="24">
        <v>1</v>
      </c>
      <c r="Y106" s="24">
        <v>1</v>
      </c>
      <c r="Z106" s="24">
        <v>1</v>
      </c>
      <c r="AA106" s="24">
        <v>1</v>
      </c>
      <c r="AH106" s="5"/>
      <c r="AI106" s="5"/>
      <c r="AO106" s="5"/>
    </row>
    <row r="107" spans="10:41" x14ac:dyDescent="0.3">
      <c r="J107" s="24">
        <v>103</v>
      </c>
      <c r="K107" s="15" t="s">
        <v>37</v>
      </c>
      <c r="L107" s="15" t="s">
        <v>34</v>
      </c>
      <c r="M107" s="15" t="s">
        <v>96</v>
      </c>
      <c r="N107" s="15" t="s">
        <v>63</v>
      </c>
      <c r="O107" s="15" t="s">
        <v>34</v>
      </c>
      <c r="Q107" s="9">
        <v>7</v>
      </c>
      <c r="R107" s="9">
        <v>9</v>
      </c>
      <c r="S107" s="9">
        <v>15</v>
      </c>
      <c r="T107" s="9">
        <v>13</v>
      </c>
      <c r="U107" s="9">
        <v>9</v>
      </c>
      <c r="W107" s="24">
        <v>1</v>
      </c>
      <c r="X107" s="24">
        <v>1</v>
      </c>
      <c r="Y107" s="24">
        <v>1</v>
      </c>
      <c r="Z107" s="24">
        <v>1</v>
      </c>
      <c r="AA107" s="24">
        <v>1</v>
      </c>
      <c r="AH107" s="5"/>
      <c r="AI107" s="5"/>
      <c r="AO107" s="5"/>
    </row>
    <row r="108" spans="10:41" x14ac:dyDescent="0.3">
      <c r="J108" s="9">
        <v>104</v>
      </c>
      <c r="K108" s="15" t="s">
        <v>35</v>
      </c>
      <c r="L108" s="15" t="s">
        <v>64</v>
      </c>
      <c r="M108" s="15" t="s">
        <v>65</v>
      </c>
      <c r="N108" s="15" t="s">
        <v>22</v>
      </c>
      <c r="O108" s="15" t="s">
        <v>36</v>
      </c>
      <c r="Q108" s="9">
        <v>8</v>
      </c>
      <c r="R108" s="9">
        <v>14</v>
      </c>
      <c r="S108" s="9">
        <v>16</v>
      </c>
      <c r="T108" s="9">
        <v>3</v>
      </c>
      <c r="U108" s="9">
        <v>10</v>
      </c>
      <c r="W108" s="24">
        <v>1</v>
      </c>
      <c r="X108" s="24">
        <v>1</v>
      </c>
      <c r="Y108" s="24">
        <v>1</v>
      </c>
      <c r="Z108" s="24">
        <v>1</v>
      </c>
      <c r="AA108" s="24">
        <v>1</v>
      </c>
      <c r="AH108" s="5"/>
      <c r="AI108" s="5"/>
      <c r="AO108" s="5"/>
    </row>
    <row r="109" spans="10:41" x14ac:dyDescent="0.3">
      <c r="J109" s="24">
        <v>105</v>
      </c>
      <c r="K109" s="15" t="s">
        <v>35</v>
      </c>
      <c r="L109" s="15" t="s">
        <v>22</v>
      </c>
      <c r="M109" s="15" t="s">
        <v>96</v>
      </c>
      <c r="N109" s="15" t="s">
        <v>19</v>
      </c>
      <c r="O109" s="15" t="s">
        <v>36</v>
      </c>
      <c r="Q109" s="9">
        <v>8</v>
      </c>
      <c r="R109" s="9">
        <v>3</v>
      </c>
      <c r="S109" s="9">
        <v>15</v>
      </c>
      <c r="T109" s="9">
        <v>5</v>
      </c>
      <c r="U109" s="9">
        <v>10</v>
      </c>
      <c r="W109" s="24">
        <v>1</v>
      </c>
      <c r="X109" s="24">
        <v>1</v>
      </c>
      <c r="Y109" s="24">
        <v>1</v>
      </c>
      <c r="Z109" s="24">
        <v>1</v>
      </c>
      <c r="AA109" s="24">
        <v>1</v>
      </c>
      <c r="AH109" s="5"/>
      <c r="AI109" s="5"/>
      <c r="AO109" s="5"/>
    </row>
    <row r="110" spans="10:41" x14ac:dyDescent="0.3">
      <c r="J110" s="9">
        <v>106</v>
      </c>
      <c r="K110" s="15" t="s">
        <v>35</v>
      </c>
      <c r="L110" s="15" t="s">
        <v>22</v>
      </c>
      <c r="M110" s="15" t="s">
        <v>65</v>
      </c>
      <c r="N110" s="15" t="s">
        <v>61</v>
      </c>
      <c r="O110" s="15" t="s">
        <v>19</v>
      </c>
      <c r="Q110" s="9">
        <v>8</v>
      </c>
      <c r="R110" s="9">
        <v>3</v>
      </c>
      <c r="S110" s="9">
        <v>16</v>
      </c>
      <c r="T110" s="9">
        <v>11</v>
      </c>
      <c r="U110" s="9">
        <v>5</v>
      </c>
      <c r="W110" s="24">
        <v>1</v>
      </c>
      <c r="X110" s="24">
        <v>1</v>
      </c>
      <c r="Y110" s="24">
        <v>1</v>
      </c>
      <c r="Z110" s="24">
        <v>1</v>
      </c>
      <c r="AA110" s="24">
        <v>1</v>
      </c>
      <c r="AH110" s="5"/>
      <c r="AI110" s="5"/>
      <c r="AO110" s="5"/>
    </row>
    <row r="111" spans="10:41" x14ac:dyDescent="0.3">
      <c r="J111" s="24">
        <v>107</v>
      </c>
      <c r="K111" s="15" t="s">
        <v>37</v>
      </c>
      <c r="L111" s="15" t="s">
        <v>19</v>
      </c>
      <c r="M111" s="15" t="s">
        <v>96</v>
      </c>
      <c r="N111" s="15" t="s">
        <v>18</v>
      </c>
      <c r="O111" s="15" t="s">
        <v>19</v>
      </c>
      <c r="Q111" s="9">
        <v>7</v>
      </c>
      <c r="R111" s="9">
        <v>5</v>
      </c>
      <c r="S111" s="9">
        <v>15</v>
      </c>
      <c r="T111" s="9">
        <v>4</v>
      </c>
      <c r="U111" s="9">
        <v>5</v>
      </c>
      <c r="W111" s="24">
        <v>1</v>
      </c>
      <c r="X111" s="24">
        <v>1</v>
      </c>
      <c r="Y111" s="24">
        <v>1</v>
      </c>
      <c r="Z111" s="24">
        <v>1</v>
      </c>
      <c r="AA111" s="24">
        <v>1</v>
      </c>
      <c r="AH111" s="5"/>
      <c r="AI111" s="5"/>
      <c r="AO111" s="5"/>
    </row>
    <row r="112" spans="10:41" x14ac:dyDescent="0.3">
      <c r="J112" s="9">
        <v>108</v>
      </c>
      <c r="K112" s="15" t="s">
        <v>95</v>
      </c>
      <c r="L112" s="15" t="s">
        <v>62</v>
      </c>
      <c r="M112" s="15" t="s">
        <v>64</v>
      </c>
      <c r="N112" s="15" t="s">
        <v>34</v>
      </c>
      <c r="O112" s="15" t="s">
        <v>35</v>
      </c>
      <c r="Q112" s="9">
        <v>6</v>
      </c>
      <c r="R112" s="9">
        <v>12</v>
      </c>
      <c r="S112" s="9">
        <v>14</v>
      </c>
      <c r="T112" s="9">
        <v>9</v>
      </c>
      <c r="U112" s="9">
        <v>8</v>
      </c>
      <c r="W112" s="24">
        <v>1</v>
      </c>
      <c r="X112" s="24">
        <v>1</v>
      </c>
      <c r="Y112" s="24">
        <v>1</v>
      </c>
      <c r="Z112" s="24">
        <v>1</v>
      </c>
      <c r="AA112" s="24">
        <v>1</v>
      </c>
      <c r="AH112" s="5"/>
      <c r="AI112" s="5"/>
      <c r="AO112" s="5"/>
    </row>
    <row r="113" spans="10:41" x14ac:dyDescent="0.3">
      <c r="J113" s="24">
        <v>109</v>
      </c>
      <c r="K113" s="15" t="s">
        <v>35</v>
      </c>
      <c r="L113" s="15" t="s">
        <v>64</v>
      </c>
      <c r="M113" s="15" t="s">
        <v>96</v>
      </c>
      <c r="N113" s="15" t="s">
        <v>36</v>
      </c>
      <c r="O113" s="15" t="s">
        <v>36</v>
      </c>
      <c r="Q113" s="9">
        <v>8</v>
      </c>
      <c r="R113" s="9">
        <v>14</v>
      </c>
      <c r="S113" s="9">
        <v>15</v>
      </c>
      <c r="T113" s="9">
        <v>10</v>
      </c>
      <c r="U113" s="9">
        <v>10</v>
      </c>
      <c r="W113" s="24">
        <v>1</v>
      </c>
      <c r="X113" s="24">
        <v>1</v>
      </c>
      <c r="Y113" s="24">
        <v>1</v>
      </c>
      <c r="Z113" s="24">
        <v>1</v>
      </c>
      <c r="AA113" s="24">
        <v>1</v>
      </c>
      <c r="AH113" s="5"/>
      <c r="AI113" s="5"/>
      <c r="AO113" s="5"/>
    </row>
    <row r="114" spans="10:41" x14ac:dyDescent="0.3">
      <c r="J114" s="9">
        <v>110</v>
      </c>
      <c r="K114" s="15" t="s">
        <v>21</v>
      </c>
      <c r="L114" s="15" t="s">
        <v>37</v>
      </c>
      <c r="M114" s="15" t="s">
        <v>81</v>
      </c>
      <c r="N114" s="15" t="s">
        <v>37</v>
      </c>
      <c r="O114" s="15" t="s">
        <v>21</v>
      </c>
      <c r="Q114" s="9">
        <v>2</v>
      </c>
      <c r="R114" s="9">
        <v>7</v>
      </c>
      <c r="S114" s="9">
        <v>17</v>
      </c>
      <c r="T114" s="9">
        <v>7</v>
      </c>
      <c r="U114" s="9">
        <v>2</v>
      </c>
      <c r="W114" s="24">
        <v>1</v>
      </c>
      <c r="X114" s="24">
        <v>1</v>
      </c>
      <c r="Y114" s="24">
        <v>1</v>
      </c>
      <c r="Z114" s="24">
        <v>1</v>
      </c>
      <c r="AA114" s="24">
        <v>1</v>
      </c>
      <c r="AH114" s="5"/>
      <c r="AI114" s="5"/>
      <c r="AO114" s="5"/>
    </row>
    <row r="115" spans="10:41" x14ac:dyDescent="0.3">
      <c r="J115" s="24">
        <v>111</v>
      </c>
      <c r="K115" s="15" t="s">
        <v>34</v>
      </c>
      <c r="L115" s="15" t="s">
        <v>37</v>
      </c>
      <c r="M115" s="15" t="s">
        <v>64</v>
      </c>
      <c r="N115" s="15" t="s">
        <v>95</v>
      </c>
      <c r="O115" s="15" t="s">
        <v>18</v>
      </c>
      <c r="Q115" s="9">
        <v>9</v>
      </c>
      <c r="R115" s="9">
        <v>7</v>
      </c>
      <c r="S115" s="9">
        <v>14</v>
      </c>
      <c r="T115" s="9">
        <v>6</v>
      </c>
      <c r="U115" s="9">
        <v>4</v>
      </c>
      <c r="W115" s="24">
        <v>1</v>
      </c>
      <c r="X115" s="24">
        <v>1</v>
      </c>
      <c r="Y115" s="24">
        <v>1</v>
      </c>
      <c r="Z115" s="24">
        <v>1</v>
      </c>
      <c r="AA115" s="24">
        <v>1</v>
      </c>
      <c r="AH115" s="5"/>
      <c r="AI115" s="5"/>
      <c r="AO115" s="5"/>
    </row>
    <row r="116" spans="10:41" x14ac:dyDescent="0.3">
      <c r="J116" s="9">
        <v>112</v>
      </c>
      <c r="K116" s="15" t="s">
        <v>95</v>
      </c>
      <c r="L116" s="15" t="s">
        <v>64</v>
      </c>
      <c r="M116" s="15" t="s">
        <v>81</v>
      </c>
      <c r="N116" s="15" t="s">
        <v>18</v>
      </c>
      <c r="O116" s="15" t="s">
        <v>19</v>
      </c>
      <c r="Q116" s="9">
        <v>6</v>
      </c>
      <c r="R116" s="9">
        <v>14</v>
      </c>
      <c r="S116" s="9">
        <v>17</v>
      </c>
      <c r="T116" s="9">
        <v>4</v>
      </c>
      <c r="U116" s="9">
        <v>5</v>
      </c>
      <c r="W116" s="24">
        <v>1</v>
      </c>
      <c r="X116" s="24">
        <v>1</v>
      </c>
      <c r="Y116" s="24">
        <v>1</v>
      </c>
      <c r="Z116" s="24">
        <v>1</v>
      </c>
      <c r="AA116" s="24">
        <v>1</v>
      </c>
      <c r="AH116" s="5"/>
      <c r="AI116" s="5"/>
      <c r="AO116" s="5"/>
    </row>
    <row r="117" spans="10:41" x14ac:dyDescent="0.3">
      <c r="J117" s="24">
        <v>113</v>
      </c>
      <c r="K117" s="15" t="s">
        <v>35</v>
      </c>
      <c r="L117" s="15" t="s">
        <v>19</v>
      </c>
      <c r="M117" s="15" t="s">
        <v>96</v>
      </c>
      <c r="N117" s="15" t="s">
        <v>36</v>
      </c>
      <c r="O117" s="15" t="s">
        <v>19</v>
      </c>
      <c r="Q117" s="9">
        <v>8</v>
      </c>
      <c r="R117" s="9">
        <v>5</v>
      </c>
      <c r="S117" s="9">
        <v>15</v>
      </c>
      <c r="T117" s="9">
        <v>10</v>
      </c>
      <c r="U117" s="9">
        <v>5</v>
      </c>
      <c r="W117" s="24">
        <v>1</v>
      </c>
      <c r="X117" s="24">
        <v>1</v>
      </c>
      <c r="Y117" s="24">
        <v>1</v>
      </c>
      <c r="Z117" s="24">
        <v>1</v>
      </c>
      <c r="AA117" s="24">
        <v>1</v>
      </c>
      <c r="AH117" s="5"/>
      <c r="AI117" s="5"/>
      <c r="AO117" s="5"/>
    </row>
    <row r="118" spans="10:41" x14ac:dyDescent="0.3">
      <c r="J118" s="9">
        <v>114</v>
      </c>
      <c r="K118" s="15" t="s">
        <v>19</v>
      </c>
      <c r="L118" s="15" t="s">
        <v>19</v>
      </c>
      <c r="M118" s="15" t="s">
        <v>65</v>
      </c>
      <c r="N118" s="15" t="s">
        <v>95</v>
      </c>
      <c r="O118" s="15" t="s">
        <v>37</v>
      </c>
      <c r="Q118" s="9">
        <v>5</v>
      </c>
      <c r="R118" s="9">
        <v>5</v>
      </c>
      <c r="S118" s="9">
        <v>16</v>
      </c>
      <c r="T118" s="9">
        <v>6</v>
      </c>
      <c r="U118" s="9">
        <v>7</v>
      </c>
      <c r="W118" s="24">
        <v>1</v>
      </c>
      <c r="X118" s="24">
        <v>1</v>
      </c>
      <c r="Y118" s="24">
        <v>1</v>
      </c>
      <c r="Z118" s="24">
        <v>1</v>
      </c>
      <c r="AA118" s="24">
        <v>1</v>
      </c>
      <c r="AH118" s="5"/>
      <c r="AI118" s="5"/>
      <c r="AO118" s="5"/>
    </row>
    <row r="119" spans="10:41" x14ac:dyDescent="0.3">
      <c r="J119" s="24">
        <v>115</v>
      </c>
      <c r="K119" s="15" t="s">
        <v>35</v>
      </c>
      <c r="L119" s="15" t="s">
        <v>95</v>
      </c>
      <c r="M119" s="15" t="s">
        <v>81</v>
      </c>
      <c r="N119" s="15" t="s">
        <v>65</v>
      </c>
      <c r="O119" s="15" t="s">
        <v>22</v>
      </c>
      <c r="Q119" s="9">
        <v>8</v>
      </c>
      <c r="R119" s="9">
        <v>6</v>
      </c>
      <c r="S119" s="9">
        <v>17</v>
      </c>
      <c r="T119" s="9">
        <v>16</v>
      </c>
      <c r="U119" s="9">
        <v>3</v>
      </c>
      <c r="W119" s="24">
        <v>1</v>
      </c>
      <c r="X119" s="24">
        <v>1</v>
      </c>
      <c r="Y119" s="24">
        <v>1</v>
      </c>
      <c r="Z119" s="24">
        <v>1</v>
      </c>
      <c r="AA119" s="24">
        <v>1</v>
      </c>
      <c r="AH119" s="5"/>
      <c r="AI119" s="5"/>
      <c r="AO119" s="5"/>
    </row>
    <row r="120" spans="10:41" x14ac:dyDescent="0.3">
      <c r="J120" s="9">
        <v>116</v>
      </c>
      <c r="K120" s="15" t="s">
        <v>19</v>
      </c>
      <c r="L120" s="15" t="s">
        <v>95</v>
      </c>
      <c r="M120" s="15" t="s">
        <v>65</v>
      </c>
      <c r="N120" s="15" t="s">
        <v>95</v>
      </c>
      <c r="O120" s="15" t="s">
        <v>35</v>
      </c>
      <c r="Q120" s="9">
        <v>5</v>
      </c>
      <c r="R120" s="9">
        <v>6</v>
      </c>
      <c r="S120" s="9">
        <v>16</v>
      </c>
      <c r="T120" s="9">
        <v>6</v>
      </c>
      <c r="U120" s="9">
        <v>8</v>
      </c>
      <c r="W120" s="24">
        <v>1</v>
      </c>
      <c r="X120" s="24">
        <v>1</v>
      </c>
      <c r="Y120" s="24">
        <v>1</v>
      </c>
      <c r="Z120" s="24">
        <v>1</v>
      </c>
      <c r="AA120" s="24">
        <v>1</v>
      </c>
      <c r="AH120" s="5"/>
      <c r="AI120" s="5"/>
      <c r="AO120" s="5"/>
    </row>
    <row r="121" spans="10:41" x14ac:dyDescent="0.3">
      <c r="J121" s="24">
        <v>117</v>
      </c>
      <c r="K121" s="15" t="s">
        <v>19</v>
      </c>
      <c r="L121" s="15" t="s">
        <v>65</v>
      </c>
      <c r="M121" s="15" t="s">
        <v>96</v>
      </c>
      <c r="N121" s="15" t="s">
        <v>22</v>
      </c>
      <c r="O121" s="15" t="s">
        <v>22</v>
      </c>
      <c r="Q121" s="9">
        <v>5</v>
      </c>
      <c r="R121" s="9">
        <v>16</v>
      </c>
      <c r="S121" s="9">
        <v>15</v>
      </c>
      <c r="T121" s="9">
        <v>3</v>
      </c>
      <c r="U121" s="9">
        <v>3</v>
      </c>
      <c r="W121" s="24">
        <v>1</v>
      </c>
      <c r="X121" s="24">
        <v>1</v>
      </c>
      <c r="Y121" s="24">
        <v>1</v>
      </c>
      <c r="Z121" s="24">
        <v>1</v>
      </c>
      <c r="AA121" s="24">
        <v>1</v>
      </c>
      <c r="AH121" s="5"/>
      <c r="AI121" s="5"/>
      <c r="AO121" s="5"/>
    </row>
    <row r="122" spans="10:41" x14ac:dyDescent="0.3">
      <c r="J122" s="9">
        <v>118</v>
      </c>
      <c r="K122" s="15" t="s">
        <v>37</v>
      </c>
      <c r="L122" s="15" t="s">
        <v>18</v>
      </c>
      <c r="M122" s="15" t="s">
        <v>70</v>
      </c>
      <c r="N122" s="15" t="s">
        <v>37</v>
      </c>
      <c r="O122" s="15" t="s">
        <v>34</v>
      </c>
      <c r="Q122" s="9">
        <v>7</v>
      </c>
      <c r="R122" s="9">
        <v>4</v>
      </c>
      <c r="S122" s="9">
        <v>19</v>
      </c>
      <c r="T122" s="9">
        <v>7</v>
      </c>
      <c r="U122" s="9">
        <v>9</v>
      </c>
      <c r="W122" s="24">
        <v>1</v>
      </c>
      <c r="X122" s="24">
        <v>1</v>
      </c>
      <c r="Y122" s="24">
        <v>1</v>
      </c>
      <c r="Z122" s="24">
        <v>1</v>
      </c>
      <c r="AA122" s="24">
        <v>1</v>
      </c>
      <c r="AH122" s="5"/>
      <c r="AI122" s="5"/>
      <c r="AO122" s="5"/>
    </row>
    <row r="123" spans="10:41" x14ac:dyDescent="0.3">
      <c r="J123" s="24">
        <v>119</v>
      </c>
      <c r="K123" s="15" t="s">
        <v>35</v>
      </c>
      <c r="L123" s="15" t="s">
        <v>34</v>
      </c>
      <c r="M123" s="15" t="s">
        <v>96</v>
      </c>
      <c r="N123" s="15" t="s">
        <v>37</v>
      </c>
      <c r="O123" s="15" t="s">
        <v>35</v>
      </c>
      <c r="Q123" s="9">
        <v>8</v>
      </c>
      <c r="R123" s="9">
        <v>9</v>
      </c>
      <c r="S123" s="9">
        <v>15</v>
      </c>
      <c r="T123" s="9">
        <v>7</v>
      </c>
      <c r="U123" s="9">
        <v>8</v>
      </c>
      <c r="W123" s="24">
        <v>1</v>
      </c>
      <c r="X123" s="24">
        <v>1</v>
      </c>
      <c r="Y123" s="24">
        <v>1</v>
      </c>
      <c r="Z123" s="24">
        <v>1</v>
      </c>
      <c r="AA123" s="24">
        <v>1</v>
      </c>
      <c r="AH123" s="5"/>
      <c r="AI123" s="5"/>
      <c r="AO123" s="5"/>
    </row>
    <row r="124" spans="10:41" x14ac:dyDescent="0.3">
      <c r="J124" s="9">
        <v>120</v>
      </c>
      <c r="K124" s="15" t="s">
        <v>18</v>
      </c>
      <c r="L124" s="15" t="s">
        <v>64</v>
      </c>
      <c r="M124" s="15" t="s">
        <v>68</v>
      </c>
      <c r="N124" s="15" t="s">
        <v>20</v>
      </c>
      <c r="O124" s="15" t="s">
        <v>22</v>
      </c>
      <c r="Q124" s="9">
        <v>4</v>
      </c>
      <c r="R124" s="9">
        <v>14</v>
      </c>
      <c r="S124" s="9">
        <v>18</v>
      </c>
      <c r="T124" s="9">
        <v>1</v>
      </c>
      <c r="U124" s="9">
        <v>3</v>
      </c>
      <c r="W124" s="24">
        <v>1</v>
      </c>
      <c r="X124" s="24">
        <v>1</v>
      </c>
      <c r="Y124" s="24">
        <v>1</v>
      </c>
      <c r="Z124" s="24">
        <v>1</v>
      </c>
      <c r="AA124" s="24">
        <v>1</v>
      </c>
      <c r="AH124" s="5"/>
      <c r="AI124" s="5"/>
      <c r="AO124" s="5"/>
    </row>
    <row r="125" spans="10:41" x14ac:dyDescent="0.3">
      <c r="J125" s="24">
        <v>121</v>
      </c>
      <c r="K125" s="15" t="s">
        <v>95</v>
      </c>
      <c r="L125" s="15" t="s">
        <v>20</v>
      </c>
      <c r="M125" s="15" t="s">
        <v>81</v>
      </c>
      <c r="N125" s="15" t="s">
        <v>18</v>
      </c>
      <c r="O125" s="15" t="s">
        <v>34</v>
      </c>
      <c r="Q125" s="9">
        <v>6</v>
      </c>
      <c r="R125" s="9">
        <v>1</v>
      </c>
      <c r="S125" s="9">
        <v>17</v>
      </c>
      <c r="T125" s="9">
        <v>4</v>
      </c>
      <c r="U125" s="9">
        <v>9</v>
      </c>
      <c r="W125" s="24">
        <v>1</v>
      </c>
      <c r="X125" s="24">
        <v>1</v>
      </c>
      <c r="Y125" s="24">
        <v>1</v>
      </c>
      <c r="Z125" s="24">
        <v>1</v>
      </c>
      <c r="AA125" s="24">
        <v>1</v>
      </c>
      <c r="AH125" s="5"/>
      <c r="AI125" s="5"/>
      <c r="AO125" s="5"/>
    </row>
    <row r="126" spans="10:41" x14ac:dyDescent="0.3">
      <c r="J126" s="9">
        <v>122</v>
      </c>
      <c r="K126" s="15" t="s">
        <v>95</v>
      </c>
      <c r="L126" s="15" t="s">
        <v>22</v>
      </c>
      <c r="M126" s="15" t="s">
        <v>65</v>
      </c>
      <c r="N126" s="15" t="s">
        <v>22</v>
      </c>
      <c r="O126" s="15" t="s">
        <v>34</v>
      </c>
      <c r="Q126" s="9">
        <v>6</v>
      </c>
      <c r="R126" s="9">
        <v>3</v>
      </c>
      <c r="S126" s="9">
        <v>16</v>
      </c>
      <c r="T126" s="9">
        <v>3</v>
      </c>
      <c r="U126" s="9">
        <v>9</v>
      </c>
      <c r="W126" s="24">
        <v>1</v>
      </c>
      <c r="X126" s="24">
        <v>1</v>
      </c>
      <c r="Y126" s="24">
        <v>1</v>
      </c>
      <c r="Z126" s="24">
        <v>1</v>
      </c>
      <c r="AA126" s="24">
        <v>1</v>
      </c>
      <c r="AH126" s="5"/>
      <c r="AI126" s="5"/>
      <c r="AO126" s="5"/>
    </row>
    <row r="127" spans="10:41" x14ac:dyDescent="0.3">
      <c r="J127" s="24">
        <v>123</v>
      </c>
      <c r="K127" s="15" t="s">
        <v>19</v>
      </c>
      <c r="L127" s="15" t="s">
        <v>36</v>
      </c>
      <c r="M127" s="15" t="s">
        <v>64</v>
      </c>
      <c r="N127" s="15" t="s">
        <v>18</v>
      </c>
      <c r="O127" s="15" t="s">
        <v>22</v>
      </c>
      <c r="Q127" s="9">
        <v>5</v>
      </c>
      <c r="R127" s="9">
        <v>10</v>
      </c>
      <c r="S127" s="9">
        <v>14</v>
      </c>
      <c r="T127" s="9">
        <v>4</v>
      </c>
      <c r="U127" s="9">
        <v>3</v>
      </c>
      <c r="W127" s="24">
        <v>1</v>
      </c>
      <c r="X127" s="24">
        <v>1</v>
      </c>
      <c r="Y127" s="24">
        <v>1</v>
      </c>
      <c r="Z127" s="24">
        <v>1</v>
      </c>
      <c r="AA127" s="24">
        <v>1</v>
      </c>
      <c r="AH127" s="5"/>
      <c r="AI127" s="5"/>
      <c r="AO127" s="5"/>
    </row>
    <row r="128" spans="10:41" x14ac:dyDescent="0.3">
      <c r="J128" s="9">
        <v>124</v>
      </c>
      <c r="K128" s="15" t="s">
        <v>95</v>
      </c>
      <c r="L128" s="15" t="s">
        <v>96</v>
      </c>
      <c r="M128" s="15" t="s">
        <v>96</v>
      </c>
      <c r="N128" s="15" t="s">
        <v>18</v>
      </c>
      <c r="O128" s="15" t="s">
        <v>35</v>
      </c>
      <c r="Q128" s="9">
        <v>6</v>
      </c>
      <c r="R128" s="9">
        <v>15</v>
      </c>
      <c r="S128" s="9">
        <v>15</v>
      </c>
      <c r="T128" s="9">
        <v>4</v>
      </c>
      <c r="U128" s="9">
        <v>8</v>
      </c>
      <c r="W128" s="24">
        <v>1</v>
      </c>
      <c r="X128" s="24">
        <v>1</v>
      </c>
      <c r="Y128" s="24">
        <v>1</v>
      </c>
      <c r="Z128" s="24">
        <v>1</v>
      </c>
      <c r="AA128" s="24">
        <v>1</v>
      </c>
      <c r="AH128" s="5"/>
      <c r="AI128" s="5"/>
      <c r="AO128" s="5"/>
    </row>
    <row r="129" spans="10:41" x14ac:dyDescent="0.3">
      <c r="J129" s="24">
        <v>125</v>
      </c>
      <c r="K129" s="15" t="s">
        <v>35</v>
      </c>
      <c r="L129" s="15" t="s">
        <v>61</v>
      </c>
      <c r="M129" s="15" t="s">
        <v>62</v>
      </c>
      <c r="N129" s="15" t="s">
        <v>68</v>
      </c>
      <c r="O129" s="15" t="s">
        <v>35</v>
      </c>
      <c r="Q129" s="9">
        <v>8</v>
      </c>
      <c r="R129" s="9">
        <v>11</v>
      </c>
      <c r="S129" s="9">
        <v>12</v>
      </c>
      <c r="T129" s="9">
        <v>18</v>
      </c>
      <c r="U129" s="9">
        <v>8</v>
      </c>
      <c r="W129" s="24">
        <v>1</v>
      </c>
      <c r="X129" s="24">
        <v>1</v>
      </c>
      <c r="Y129" s="24">
        <v>1</v>
      </c>
      <c r="Z129" s="24">
        <v>1</v>
      </c>
      <c r="AA129" s="24">
        <v>1</v>
      </c>
      <c r="AH129" s="5"/>
      <c r="AI129" s="5"/>
      <c r="AO129" s="5"/>
    </row>
    <row r="130" spans="10:41" x14ac:dyDescent="0.3">
      <c r="J130" s="9">
        <v>126</v>
      </c>
      <c r="K130" s="15" t="s">
        <v>95</v>
      </c>
      <c r="L130" s="15" t="s">
        <v>34</v>
      </c>
      <c r="M130" s="15" t="s">
        <v>81</v>
      </c>
      <c r="N130" s="15" t="s">
        <v>95</v>
      </c>
      <c r="O130" s="15" t="s">
        <v>22</v>
      </c>
      <c r="Q130" s="9">
        <v>6</v>
      </c>
      <c r="R130" s="9">
        <v>9</v>
      </c>
      <c r="S130" s="9">
        <v>17</v>
      </c>
      <c r="T130" s="9">
        <v>6</v>
      </c>
      <c r="U130" s="9">
        <v>3</v>
      </c>
      <c r="W130" s="24">
        <v>1</v>
      </c>
      <c r="X130" s="24">
        <v>1</v>
      </c>
      <c r="Y130" s="24">
        <v>1</v>
      </c>
      <c r="Z130" s="24">
        <v>1</v>
      </c>
      <c r="AA130" s="24">
        <v>1</v>
      </c>
      <c r="AH130" s="5"/>
      <c r="AI130" s="5"/>
      <c r="AO130" s="5"/>
    </row>
    <row r="131" spans="10:41" x14ac:dyDescent="0.3">
      <c r="J131" s="24">
        <v>127</v>
      </c>
      <c r="K131" s="15" t="s">
        <v>35</v>
      </c>
      <c r="L131" s="15" t="s">
        <v>81</v>
      </c>
      <c r="M131" s="15" t="s">
        <v>64</v>
      </c>
      <c r="N131" s="15" t="s">
        <v>34</v>
      </c>
      <c r="O131" s="15" t="s">
        <v>34</v>
      </c>
      <c r="Q131" s="9">
        <v>8</v>
      </c>
      <c r="R131" s="9">
        <v>17</v>
      </c>
      <c r="S131" s="9">
        <v>14</v>
      </c>
      <c r="T131" s="9">
        <v>9</v>
      </c>
      <c r="U131" s="9">
        <v>9</v>
      </c>
      <c r="W131" s="24">
        <v>1</v>
      </c>
      <c r="X131" s="24">
        <v>1</v>
      </c>
      <c r="Y131" s="24">
        <v>1</v>
      </c>
      <c r="Z131" s="24">
        <v>1</v>
      </c>
      <c r="AA131" s="24">
        <v>1</v>
      </c>
      <c r="AH131" s="5"/>
      <c r="AI131" s="5"/>
      <c r="AO131" s="5"/>
    </row>
    <row r="132" spans="10:41" x14ac:dyDescent="0.3">
      <c r="J132" s="9">
        <v>128</v>
      </c>
      <c r="K132" s="15" t="s">
        <v>95</v>
      </c>
      <c r="L132" s="15" t="s">
        <v>20</v>
      </c>
      <c r="M132" s="15" t="s">
        <v>96</v>
      </c>
      <c r="N132" s="15" t="s">
        <v>18</v>
      </c>
      <c r="O132" s="15" t="s">
        <v>18</v>
      </c>
      <c r="Q132" s="9">
        <v>6</v>
      </c>
      <c r="R132" s="9">
        <v>1</v>
      </c>
      <c r="S132" s="9">
        <v>15</v>
      </c>
      <c r="T132" s="9">
        <v>4</v>
      </c>
      <c r="U132" s="9">
        <v>4</v>
      </c>
      <c r="W132" s="24">
        <v>1</v>
      </c>
      <c r="X132" s="24">
        <v>1</v>
      </c>
      <c r="Y132" s="24">
        <v>1</v>
      </c>
      <c r="Z132" s="24">
        <v>1</v>
      </c>
      <c r="AA132" s="24">
        <v>1</v>
      </c>
      <c r="AH132" s="5"/>
      <c r="AI132" s="5"/>
      <c r="AO132" s="5"/>
    </row>
    <row r="133" spans="10:41" x14ac:dyDescent="0.3">
      <c r="J133" s="24">
        <v>129</v>
      </c>
      <c r="K133" s="15" t="s">
        <v>35</v>
      </c>
      <c r="L133" s="15" t="s">
        <v>64</v>
      </c>
      <c r="M133" s="15" t="s">
        <v>81</v>
      </c>
      <c r="N133" s="15" t="s">
        <v>62</v>
      </c>
      <c r="O133" s="15" t="s">
        <v>21</v>
      </c>
      <c r="Q133" s="9">
        <v>8</v>
      </c>
      <c r="R133" s="9">
        <v>14</v>
      </c>
      <c r="S133" s="9">
        <v>17</v>
      </c>
      <c r="T133" s="9">
        <v>12</v>
      </c>
      <c r="U133" s="9">
        <v>2</v>
      </c>
      <c r="W133" s="24">
        <v>1</v>
      </c>
      <c r="X133" s="24">
        <v>1</v>
      </c>
      <c r="Y133" s="24">
        <v>1</v>
      </c>
      <c r="Z133" s="24">
        <v>1</v>
      </c>
      <c r="AA133" s="24">
        <v>1</v>
      </c>
      <c r="AH133" s="5"/>
      <c r="AI133" s="5"/>
      <c r="AO133" s="5"/>
    </row>
    <row r="134" spans="10:41" x14ac:dyDescent="0.3">
      <c r="J134" s="9">
        <v>130</v>
      </c>
      <c r="K134" s="15" t="s">
        <v>95</v>
      </c>
      <c r="L134" s="15" t="s">
        <v>68</v>
      </c>
      <c r="M134" s="15" t="s">
        <v>65</v>
      </c>
      <c r="N134" s="15" t="s">
        <v>70</v>
      </c>
      <c r="O134" s="15" t="s">
        <v>22</v>
      </c>
      <c r="Q134" s="9">
        <v>6</v>
      </c>
      <c r="R134" s="9">
        <v>18</v>
      </c>
      <c r="S134" s="9">
        <v>16</v>
      </c>
      <c r="T134" s="9">
        <v>19</v>
      </c>
      <c r="U134" s="9">
        <v>3</v>
      </c>
      <c r="W134" s="24">
        <v>1</v>
      </c>
      <c r="X134" s="24">
        <v>1</v>
      </c>
      <c r="Y134" s="24">
        <v>1</v>
      </c>
      <c r="Z134" s="24">
        <v>1</v>
      </c>
      <c r="AA134" s="24">
        <v>1</v>
      </c>
      <c r="AH134" s="5"/>
      <c r="AI134" s="5"/>
      <c r="AO134" s="5"/>
    </row>
    <row r="135" spans="10:41" x14ac:dyDescent="0.3">
      <c r="J135" s="24">
        <v>131</v>
      </c>
      <c r="K135" s="15" t="s">
        <v>37</v>
      </c>
      <c r="L135" s="15" t="s">
        <v>95</v>
      </c>
      <c r="M135" s="15" t="s">
        <v>81</v>
      </c>
      <c r="N135" s="15" t="s">
        <v>95</v>
      </c>
      <c r="O135" s="15" t="s">
        <v>37</v>
      </c>
      <c r="Q135" s="9">
        <v>7</v>
      </c>
      <c r="R135" s="9">
        <v>6</v>
      </c>
      <c r="S135" s="9">
        <v>17</v>
      </c>
      <c r="T135" s="9">
        <v>6</v>
      </c>
      <c r="U135" s="9">
        <v>7</v>
      </c>
      <c r="W135" s="24">
        <v>1</v>
      </c>
      <c r="X135" s="24">
        <v>1</v>
      </c>
      <c r="Y135" s="24">
        <v>1</v>
      </c>
      <c r="Z135" s="24">
        <v>1</v>
      </c>
      <c r="AA135" s="24">
        <v>1</v>
      </c>
      <c r="AH135" s="5"/>
      <c r="AI135" s="5"/>
      <c r="AO135" s="5"/>
    </row>
    <row r="136" spans="10:41" x14ac:dyDescent="0.3">
      <c r="J136" s="9">
        <v>132</v>
      </c>
      <c r="K136" s="15" t="s">
        <v>37</v>
      </c>
      <c r="L136" s="15" t="s">
        <v>35</v>
      </c>
      <c r="M136" s="15" t="s">
        <v>63</v>
      </c>
      <c r="N136" s="15" t="s">
        <v>35</v>
      </c>
      <c r="O136" s="15" t="s">
        <v>37</v>
      </c>
      <c r="Q136" s="9">
        <v>7</v>
      </c>
      <c r="R136" s="9">
        <v>8</v>
      </c>
      <c r="S136" s="9">
        <v>13</v>
      </c>
      <c r="T136" s="9">
        <v>8</v>
      </c>
      <c r="U136" s="9">
        <v>7</v>
      </c>
      <c r="W136" s="24">
        <v>1</v>
      </c>
      <c r="X136" s="24">
        <v>1</v>
      </c>
      <c r="Y136" s="24">
        <v>1</v>
      </c>
      <c r="Z136" s="24">
        <v>1</v>
      </c>
      <c r="AA136" s="24">
        <v>1</v>
      </c>
      <c r="AH136" s="5"/>
      <c r="AI136" s="5"/>
      <c r="AO136" s="5"/>
    </row>
    <row r="137" spans="10:41" x14ac:dyDescent="0.3">
      <c r="J137" s="24">
        <v>133</v>
      </c>
      <c r="K137" s="15" t="s">
        <v>95</v>
      </c>
      <c r="L137" s="15" t="s">
        <v>35</v>
      </c>
      <c r="M137" s="15" t="s">
        <v>65</v>
      </c>
      <c r="N137" s="15" t="s">
        <v>36</v>
      </c>
      <c r="O137" s="15" t="s">
        <v>21</v>
      </c>
      <c r="Q137" s="9">
        <v>6</v>
      </c>
      <c r="R137" s="9">
        <v>8</v>
      </c>
      <c r="S137" s="9">
        <v>16</v>
      </c>
      <c r="T137" s="9">
        <v>10</v>
      </c>
      <c r="U137" s="9">
        <v>2</v>
      </c>
      <c r="W137" s="24">
        <v>1</v>
      </c>
      <c r="X137" s="24">
        <v>1</v>
      </c>
      <c r="Y137" s="24">
        <v>1</v>
      </c>
      <c r="Z137" s="24">
        <v>1</v>
      </c>
      <c r="AA137" s="24">
        <v>1</v>
      </c>
      <c r="AH137" s="5"/>
      <c r="AI137" s="5"/>
      <c r="AO137" s="5"/>
    </row>
    <row r="138" spans="10:41" x14ac:dyDescent="0.3">
      <c r="J138" s="9">
        <v>134</v>
      </c>
      <c r="K138" s="15" t="s">
        <v>22</v>
      </c>
      <c r="L138" s="15" t="s">
        <v>35</v>
      </c>
      <c r="M138" s="15" t="s">
        <v>96</v>
      </c>
      <c r="N138" s="15" t="s">
        <v>70</v>
      </c>
      <c r="O138" s="15" t="s">
        <v>35</v>
      </c>
      <c r="Q138" s="9">
        <v>3</v>
      </c>
      <c r="R138" s="9">
        <v>8</v>
      </c>
      <c r="S138" s="9">
        <v>15</v>
      </c>
      <c r="T138" s="9">
        <v>19</v>
      </c>
      <c r="U138" s="9">
        <v>8</v>
      </c>
      <c r="W138" s="24">
        <v>1</v>
      </c>
      <c r="X138" s="24">
        <v>1</v>
      </c>
      <c r="Y138" s="24">
        <v>1</v>
      </c>
      <c r="Z138" s="24">
        <v>1</v>
      </c>
      <c r="AA138" s="24">
        <v>1</v>
      </c>
      <c r="AH138" s="5"/>
      <c r="AI138" s="5"/>
      <c r="AO138" s="5"/>
    </row>
    <row r="139" spans="10:41" x14ac:dyDescent="0.3">
      <c r="J139" s="24">
        <v>135</v>
      </c>
      <c r="K139" s="15" t="s">
        <v>35</v>
      </c>
      <c r="L139" s="15" t="s">
        <v>20</v>
      </c>
      <c r="M139" s="15" t="s">
        <v>64</v>
      </c>
      <c r="N139" s="15" t="s">
        <v>20</v>
      </c>
      <c r="O139" s="15" t="s">
        <v>21</v>
      </c>
      <c r="Q139" s="9">
        <v>8</v>
      </c>
      <c r="R139" s="9">
        <v>1</v>
      </c>
      <c r="S139" s="9">
        <v>14</v>
      </c>
      <c r="T139" s="9">
        <v>1</v>
      </c>
      <c r="U139" s="9">
        <v>2</v>
      </c>
      <c r="W139" s="24">
        <v>1</v>
      </c>
      <c r="X139" s="24">
        <v>1</v>
      </c>
      <c r="Y139" s="24">
        <v>1</v>
      </c>
      <c r="Z139" s="24">
        <v>1</v>
      </c>
      <c r="AA139" s="24">
        <v>1</v>
      </c>
      <c r="AH139" s="5"/>
      <c r="AI139" s="5"/>
      <c r="AO139" s="5"/>
    </row>
    <row r="140" spans="10:41" x14ac:dyDescent="0.3">
      <c r="J140" s="9">
        <v>136</v>
      </c>
      <c r="K140" s="15" t="s">
        <v>95</v>
      </c>
      <c r="L140" s="15" t="s">
        <v>70</v>
      </c>
      <c r="M140" s="15" t="s">
        <v>70</v>
      </c>
      <c r="N140" s="15" t="s">
        <v>37</v>
      </c>
      <c r="O140" s="15" t="s">
        <v>95</v>
      </c>
      <c r="Q140" s="9">
        <v>6</v>
      </c>
      <c r="R140" s="9">
        <v>19</v>
      </c>
      <c r="S140" s="9">
        <v>19</v>
      </c>
      <c r="T140" s="9">
        <v>7</v>
      </c>
      <c r="U140" s="9">
        <v>6</v>
      </c>
      <c r="W140" s="24">
        <v>1</v>
      </c>
      <c r="X140" s="24">
        <v>1</v>
      </c>
      <c r="Y140" s="24">
        <v>1</v>
      </c>
      <c r="Z140" s="24">
        <v>1</v>
      </c>
      <c r="AA140" s="24">
        <v>1</v>
      </c>
      <c r="AH140" s="5"/>
      <c r="AI140" s="5"/>
      <c r="AO140" s="5"/>
    </row>
    <row r="141" spans="10:41" x14ac:dyDescent="0.3">
      <c r="J141" s="24">
        <v>137</v>
      </c>
      <c r="K141" s="15" t="s">
        <v>35</v>
      </c>
      <c r="L141" s="15" t="s">
        <v>19</v>
      </c>
      <c r="M141" s="15" t="s">
        <v>64</v>
      </c>
      <c r="N141" s="15" t="s">
        <v>36</v>
      </c>
      <c r="O141" s="15" t="s">
        <v>36</v>
      </c>
      <c r="Q141" s="9">
        <v>8</v>
      </c>
      <c r="R141" s="9">
        <v>5</v>
      </c>
      <c r="S141" s="9">
        <v>14</v>
      </c>
      <c r="T141" s="9">
        <v>10</v>
      </c>
      <c r="U141" s="9">
        <v>10</v>
      </c>
      <c r="W141" s="24">
        <v>1</v>
      </c>
      <c r="X141" s="24">
        <v>1</v>
      </c>
      <c r="Y141" s="24">
        <v>1</v>
      </c>
      <c r="Z141" s="24">
        <v>1</v>
      </c>
      <c r="AA141" s="24">
        <v>1</v>
      </c>
      <c r="AH141" s="5"/>
      <c r="AI141" s="5"/>
      <c r="AO141" s="5"/>
    </row>
    <row r="142" spans="10:41" x14ac:dyDescent="0.3">
      <c r="J142" s="9">
        <v>138</v>
      </c>
      <c r="K142" s="15" t="s">
        <v>37</v>
      </c>
      <c r="L142" s="15" t="s">
        <v>35</v>
      </c>
      <c r="M142" s="15" t="s">
        <v>96</v>
      </c>
      <c r="N142" s="15" t="s">
        <v>36</v>
      </c>
      <c r="O142" s="15" t="s">
        <v>34</v>
      </c>
      <c r="Q142" s="9">
        <v>7</v>
      </c>
      <c r="R142" s="9">
        <v>8</v>
      </c>
      <c r="S142" s="9">
        <v>15</v>
      </c>
      <c r="T142" s="9">
        <v>10</v>
      </c>
      <c r="U142" s="9">
        <v>9</v>
      </c>
      <c r="W142" s="24">
        <v>1</v>
      </c>
      <c r="X142" s="24">
        <v>1</v>
      </c>
      <c r="Y142" s="24">
        <v>1</v>
      </c>
      <c r="Z142" s="24">
        <v>1</v>
      </c>
      <c r="AA142" s="24">
        <v>1</v>
      </c>
      <c r="AH142" s="5"/>
      <c r="AI142" s="5"/>
      <c r="AO142" s="5"/>
    </row>
    <row r="143" spans="10:41" x14ac:dyDescent="0.3">
      <c r="J143" s="24">
        <v>139</v>
      </c>
      <c r="K143" s="15" t="s">
        <v>22</v>
      </c>
      <c r="L143" s="15" t="s">
        <v>36</v>
      </c>
      <c r="M143" s="15" t="s">
        <v>64</v>
      </c>
      <c r="N143" s="15" t="s">
        <v>18</v>
      </c>
      <c r="O143" s="15" t="s">
        <v>37</v>
      </c>
      <c r="Q143" s="9">
        <v>3</v>
      </c>
      <c r="R143" s="9">
        <v>10</v>
      </c>
      <c r="S143" s="9">
        <v>14</v>
      </c>
      <c r="T143" s="9">
        <v>4</v>
      </c>
      <c r="U143" s="9">
        <v>7</v>
      </c>
      <c r="W143" s="24">
        <v>1</v>
      </c>
      <c r="X143" s="24">
        <v>1</v>
      </c>
      <c r="Y143" s="24">
        <v>1</v>
      </c>
      <c r="Z143" s="24">
        <v>1</v>
      </c>
      <c r="AA143" s="24">
        <v>1</v>
      </c>
      <c r="AH143" s="5"/>
      <c r="AI143" s="5"/>
      <c r="AO143" s="5"/>
    </row>
    <row r="144" spans="10:41" x14ac:dyDescent="0.3">
      <c r="J144" s="9">
        <v>140</v>
      </c>
      <c r="K144" s="15" t="s">
        <v>37</v>
      </c>
      <c r="L144" s="15" t="s">
        <v>81</v>
      </c>
      <c r="M144" s="15" t="s">
        <v>81</v>
      </c>
      <c r="N144" s="15" t="s">
        <v>36</v>
      </c>
      <c r="O144" s="15" t="s">
        <v>18</v>
      </c>
      <c r="Q144" s="9">
        <v>7</v>
      </c>
      <c r="R144" s="9">
        <v>17</v>
      </c>
      <c r="S144" s="9">
        <v>17</v>
      </c>
      <c r="T144" s="9">
        <v>10</v>
      </c>
      <c r="U144" s="9">
        <v>4</v>
      </c>
      <c r="W144" s="24">
        <v>1</v>
      </c>
      <c r="X144" s="24">
        <v>1</v>
      </c>
      <c r="Y144" s="24">
        <v>1</v>
      </c>
      <c r="Z144" s="24">
        <v>1</v>
      </c>
      <c r="AA144" s="24">
        <v>1</v>
      </c>
      <c r="AH144" s="5"/>
      <c r="AI144" s="5"/>
      <c r="AO144" s="5"/>
    </row>
    <row r="145" spans="10:41" x14ac:dyDescent="0.3">
      <c r="J145" s="24">
        <v>141</v>
      </c>
      <c r="K145" s="15" t="s">
        <v>36</v>
      </c>
      <c r="L145" s="15" t="s">
        <v>36</v>
      </c>
      <c r="M145" s="15" t="s">
        <v>65</v>
      </c>
      <c r="N145" s="15" t="s">
        <v>36</v>
      </c>
      <c r="O145" s="15" t="s">
        <v>18</v>
      </c>
      <c r="Q145" s="9">
        <v>10</v>
      </c>
      <c r="R145" s="9">
        <v>10</v>
      </c>
      <c r="S145" s="9">
        <v>16</v>
      </c>
      <c r="T145" s="9">
        <v>10</v>
      </c>
      <c r="U145" s="9">
        <v>4</v>
      </c>
      <c r="W145" s="24">
        <v>1</v>
      </c>
      <c r="X145" s="24">
        <v>1</v>
      </c>
      <c r="Y145" s="24">
        <v>1</v>
      </c>
      <c r="Z145" s="24">
        <v>1</v>
      </c>
      <c r="AA145" s="24">
        <v>1</v>
      </c>
      <c r="AH145" s="5"/>
      <c r="AI145" s="5"/>
      <c r="AO145" s="5"/>
    </row>
    <row r="146" spans="10:41" x14ac:dyDescent="0.3">
      <c r="J146" s="9">
        <v>142</v>
      </c>
      <c r="K146" s="15" t="s">
        <v>37</v>
      </c>
      <c r="L146" s="15" t="s">
        <v>65</v>
      </c>
      <c r="M146" s="15" t="s">
        <v>96</v>
      </c>
      <c r="N146" s="15" t="s">
        <v>36</v>
      </c>
      <c r="O146" s="15" t="s">
        <v>95</v>
      </c>
      <c r="Q146" s="9">
        <v>7</v>
      </c>
      <c r="R146" s="9">
        <v>16</v>
      </c>
      <c r="S146" s="9">
        <v>15</v>
      </c>
      <c r="T146" s="9">
        <v>10</v>
      </c>
      <c r="U146" s="9">
        <v>6</v>
      </c>
      <c r="W146" s="24">
        <v>1</v>
      </c>
      <c r="X146" s="24">
        <v>1</v>
      </c>
      <c r="Y146" s="24">
        <v>1</v>
      </c>
      <c r="Z146" s="24">
        <v>1</v>
      </c>
      <c r="AA146" s="24">
        <v>1</v>
      </c>
      <c r="AH146" s="5"/>
      <c r="AI146" s="5"/>
      <c r="AO146" s="5"/>
    </row>
    <row r="147" spans="10:41" x14ac:dyDescent="0.3">
      <c r="J147" s="24">
        <v>143</v>
      </c>
      <c r="K147" s="15" t="s">
        <v>37</v>
      </c>
      <c r="L147" s="15" t="s">
        <v>21</v>
      </c>
      <c r="M147" s="15" t="s">
        <v>64</v>
      </c>
      <c r="N147" s="15" t="s">
        <v>63</v>
      </c>
      <c r="O147" s="15" t="s">
        <v>18</v>
      </c>
      <c r="Q147" s="9">
        <v>7</v>
      </c>
      <c r="R147" s="9">
        <v>2</v>
      </c>
      <c r="S147" s="9">
        <v>14</v>
      </c>
      <c r="T147" s="9">
        <v>13</v>
      </c>
      <c r="U147" s="9">
        <v>4</v>
      </c>
      <c r="W147" s="24">
        <v>1</v>
      </c>
      <c r="X147" s="24">
        <v>1</v>
      </c>
      <c r="Y147" s="24">
        <v>1</v>
      </c>
      <c r="Z147" s="24">
        <v>1</v>
      </c>
      <c r="AA147" s="24">
        <v>1</v>
      </c>
      <c r="AH147" s="5"/>
      <c r="AI147" s="5"/>
      <c r="AO147" s="5"/>
    </row>
    <row r="148" spans="10:41" x14ac:dyDescent="0.3">
      <c r="J148" s="9">
        <v>144</v>
      </c>
      <c r="K148" s="15" t="s">
        <v>19</v>
      </c>
      <c r="L148" s="15" t="s">
        <v>22</v>
      </c>
      <c r="M148" s="15" t="s">
        <v>96</v>
      </c>
      <c r="N148" s="15" t="s">
        <v>96</v>
      </c>
      <c r="O148" s="15" t="s">
        <v>21</v>
      </c>
      <c r="Q148" s="9">
        <v>5</v>
      </c>
      <c r="R148" s="9">
        <v>3</v>
      </c>
      <c r="S148" s="9">
        <v>15</v>
      </c>
      <c r="T148" s="9">
        <v>15</v>
      </c>
      <c r="U148" s="9">
        <v>2</v>
      </c>
      <c r="W148" s="24">
        <v>1</v>
      </c>
      <c r="X148" s="24">
        <v>1</v>
      </c>
      <c r="Y148" s="24">
        <v>1</v>
      </c>
      <c r="Z148" s="24">
        <v>1</v>
      </c>
      <c r="AA148" s="24">
        <v>1</v>
      </c>
      <c r="AH148" s="5"/>
      <c r="AI148" s="5"/>
      <c r="AO148" s="5"/>
    </row>
    <row r="149" spans="10:41" x14ac:dyDescent="0.3">
      <c r="J149" s="24">
        <v>145</v>
      </c>
      <c r="K149" s="15" t="s">
        <v>37</v>
      </c>
      <c r="L149" s="15" t="s">
        <v>34</v>
      </c>
      <c r="M149" s="15" t="s">
        <v>64</v>
      </c>
      <c r="N149" s="15" t="s">
        <v>81</v>
      </c>
      <c r="O149" s="15" t="s">
        <v>21</v>
      </c>
      <c r="Q149" s="9">
        <v>7</v>
      </c>
      <c r="R149" s="9">
        <v>9</v>
      </c>
      <c r="S149" s="9">
        <v>14</v>
      </c>
      <c r="T149" s="9">
        <v>17</v>
      </c>
      <c r="U149" s="9">
        <v>2</v>
      </c>
      <c r="W149" s="24">
        <v>1</v>
      </c>
      <c r="X149" s="24">
        <v>1</v>
      </c>
      <c r="Y149" s="24">
        <v>1</v>
      </c>
      <c r="Z149" s="24">
        <v>1</v>
      </c>
      <c r="AA149" s="24">
        <v>1</v>
      </c>
      <c r="AH149" s="5"/>
      <c r="AI149" s="5"/>
      <c r="AO149" s="5"/>
    </row>
    <row r="150" spans="10:41" x14ac:dyDescent="0.3">
      <c r="J150" s="9">
        <v>146</v>
      </c>
      <c r="K150" s="15" t="s">
        <v>95</v>
      </c>
      <c r="L150" s="15" t="s">
        <v>37</v>
      </c>
      <c r="M150" s="15" t="s">
        <v>96</v>
      </c>
      <c r="N150" s="15" t="s">
        <v>18</v>
      </c>
      <c r="O150" s="15" t="s">
        <v>36</v>
      </c>
      <c r="Q150" s="9">
        <v>6</v>
      </c>
      <c r="R150" s="9">
        <v>7</v>
      </c>
      <c r="S150" s="9">
        <v>15</v>
      </c>
      <c r="T150" s="9">
        <v>4</v>
      </c>
      <c r="U150" s="9">
        <v>10</v>
      </c>
      <c r="W150" s="24">
        <v>1</v>
      </c>
      <c r="X150" s="24">
        <v>1</v>
      </c>
      <c r="Y150" s="24">
        <v>1</v>
      </c>
      <c r="Z150" s="24">
        <v>1</v>
      </c>
      <c r="AA150" s="24">
        <v>1</v>
      </c>
      <c r="AH150" s="5"/>
      <c r="AI150" s="5"/>
      <c r="AO150" s="5"/>
    </row>
    <row r="151" spans="10:41" x14ac:dyDescent="0.3">
      <c r="J151" s="24">
        <v>147</v>
      </c>
      <c r="K151" s="15" t="s">
        <v>37</v>
      </c>
      <c r="L151" s="15" t="s">
        <v>36</v>
      </c>
      <c r="M151" s="15" t="s">
        <v>64</v>
      </c>
      <c r="N151" s="15" t="s">
        <v>62</v>
      </c>
      <c r="O151" s="15" t="s">
        <v>34</v>
      </c>
      <c r="Q151" s="9">
        <v>7</v>
      </c>
      <c r="R151" s="9">
        <v>10</v>
      </c>
      <c r="S151" s="9">
        <v>14</v>
      </c>
      <c r="T151" s="9">
        <v>12</v>
      </c>
      <c r="U151" s="9">
        <v>9</v>
      </c>
      <c r="W151" s="24">
        <v>1</v>
      </c>
      <c r="X151" s="24">
        <v>1</v>
      </c>
      <c r="Y151" s="24">
        <v>1</v>
      </c>
      <c r="Z151" s="24">
        <v>1</v>
      </c>
      <c r="AA151" s="24">
        <v>1</v>
      </c>
      <c r="AH151" s="5"/>
      <c r="AI151" s="5"/>
      <c r="AO151" s="5"/>
    </row>
    <row r="152" spans="10:41" x14ac:dyDescent="0.3">
      <c r="J152" s="9">
        <v>148</v>
      </c>
      <c r="K152" s="15" t="s">
        <v>37</v>
      </c>
      <c r="L152" s="15" t="s">
        <v>62</v>
      </c>
      <c r="M152" s="15" t="s">
        <v>65</v>
      </c>
      <c r="N152" s="15" t="s">
        <v>36</v>
      </c>
      <c r="O152" s="15" t="s">
        <v>18</v>
      </c>
      <c r="Q152" s="9">
        <v>7</v>
      </c>
      <c r="R152" s="9">
        <v>12</v>
      </c>
      <c r="S152" s="9">
        <v>16</v>
      </c>
      <c r="T152" s="9">
        <v>10</v>
      </c>
      <c r="U152" s="9">
        <v>4</v>
      </c>
      <c r="W152" s="24">
        <v>1</v>
      </c>
      <c r="X152" s="24">
        <v>1</v>
      </c>
      <c r="Y152" s="24">
        <v>1</v>
      </c>
      <c r="Z152" s="24">
        <v>1</v>
      </c>
      <c r="AA152" s="24">
        <v>1</v>
      </c>
      <c r="AH152" s="5"/>
      <c r="AI152" s="5"/>
      <c r="AO152" s="5"/>
    </row>
    <row r="153" spans="10:41" x14ac:dyDescent="0.3">
      <c r="J153" s="24">
        <v>149</v>
      </c>
      <c r="K153" s="15" t="s">
        <v>95</v>
      </c>
      <c r="L153" s="15" t="s">
        <v>95</v>
      </c>
      <c r="M153" s="15" t="s">
        <v>96</v>
      </c>
      <c r="N153" s="15" t="s">
        <v>37</v>
      </c>
      <c r="O153" s="15" t="s">
        <v>21</v>
      </c>
      <c r="Q153" s="9">
        <v>6</v>
      </c>
      <c r="R153" s="9">
        <v>6</v>
      </c>
      <c r="S153" s="9">
        <v>15</v>
      </c>
      <c r="T153" s="9">
        <v>7</v>
      </c>
      <c r="U153" s="9">
        <v>2</v>
      </c>
      <c r="W153" s="24">
        <v>1</v>
      </c>
      <c r="X153" s="24">
        <v>1</v>
      </c>
      <c r="Y153" s="24">
        <v>1</v>
      </c>
      <c r="Z153" s="24">
        <v>1</v>
      </c>
      <c r="AA153" s="24">
        <v>1</v>
      </c>
      <c r="AH153" s="5"/>
      <c r="AI153" s="5"/>
      <c r="AO153" s="5"/>
    </row>
    <row r="154" spans="10:41" x14ac:dyDescent="0.3">
      <c r="J154" s="9">
        <v>150</v>
      </c>
      <c r="K154" s="15" t="s">
        <v>37</v>
      </c>
      <c r="L154" s="15" t="s">
        <v>70</v>
      </c>
      <c r="M154" s="15" t="s">
        <v>81</v>
      </c>
      <c r="N154" s="15" t="s">
        <v>34</v>
      </c>
      <c r="O154" s="15" t="s">
        <v>22</v>
      </c>
      <c r="Q154" s="9">
        <v>7</v>
      </c>
      <c r="R154" s="9">
        <v>19</v>
      </c>
      <c r="S154" s="9">
        <v>17</v>
      </c>
      <c r="T154" s="9">
        <v>9</v>
      </c>
      <c r="U154" s="9">
        <v>3</v>
      </c>
      <c r="W154" s="24">
        <v>1</v>
      </c>
      <c r="X154" s="24">
        <v>1</v>
      </c>
      <c r="Y154" s="24">
        <v>1</v>
      </c>
      <c r="Z154" s="24">
        <v>1</v>
      </c>
      <c r="AA154" s="24">
        <v>1</v>
      </c>
      <c r="AH154" s="5"/>
      <c r="AI154" s="5"/>
      <c r="AO154" s="5"/>
    </row>
    <row r="155" spans="10:41" x14ac:dyDescent="0.3">
      <c r="J155" s="24">
        <v>151</v>
      </c>
      <c r="K155" s="15" t="s">
        <v>19</v>
      </c>
      <c r="L155" s="15" t="s">
        <v>35</v>
      </c>
      <c r="M155" s="15" t="s">
        <v>96</v>
      </c>
      <c r="N155" s="15" t="s">
        <v>21</v>
      </c>
      <c r="O155" s="15" t="s">
        <v>36</v>
      </c>
      <c r="Q155" s="9">
        <v>5</v>
      </c>
      <c r="R155" s="9">
        <v>8</v>
      </c>
      <c r="S155" s="9">
        <v>15</v>
      </c>
      <c r="T155" s="9">
        <v>2</v>
      </c>
      <c r="U155" s="9">
        <v>10</v>
      </c>
      <c r="W155" s="24">
        <v>1</v>
      </c>
      <c r="X155" s="24">
        <v>1</v>
      </c>
      <c r="Y155" s="24">
        <v>1</v>
      </c>
      <c r="Z155" s="24">
        <v>1</v>
      </c>
      <c r="AA155" s="24">
        <v>1</v>
      </c>
      <c r="AH155" s="5"/>
      <c r="AI155" s="5"/>
      <c r="AO155" s="5"/>
    </row>
    <row r="156" spans="10:41" x14ac:dyDescent="0.3">
      <c r="J156" s="9">
        <v>152</v>
      </c>
      <c r="K156" s="15" t="s">
        <v>37</v>
      </c>
      <c r="L156" s="15" t="s">
        <v>21</v>
      </c>
      <c r="M156" s="15" t="s">
        <v>81</v>
      </c>
      <c r="N156" s="15" t="s">
        <v>20</v>
      </c>
      <c r="O156" s="15" t="s">
        <v>34</v>
      </c>
      <c r="Q156" s="9">
        <v>7</v>
      </c>
      <c r="R156" s="9">
        <v>2</v>
      </c>
      <c r="S156" s="9">
        <v>17</v>
      </c>
      <c r="T156" s="9">
        <v>1</v>
      </c>
      <c r="U156" s="9">
        <v>9</v>
      </c>
      <c r="W156" s="24">
        <v>1</v>
      </c>
      <c r="X156" s="24">
        <v>1</v>
      </c>
      <c r="Y156" s="24">
        <v>1</v>
      </c>
      <c r="Z156" s="24">
        <v>1</v>
      </c>
      <c r="AA156" s="24">
        <v>1</v>
      </c>
      <c r="AH156" s="5"/>
      <c r="AI156" s="5"/>
      <c r="AO156" s="5"/>
    </row>
    <row r="157" spans="10:41" x14ac:dyDescent="0.3">
      <c r="J157" s="24">
        <v>153</v>
      </c>
      <c r="K157" s="15" t="s">
        <v>95</v>
      </c>
      <c r="L157" s="15" t="s">
        <v>37</v>
      </c>
      <c r="M157" s="15" t="s">
        <v>96</v>
      </c>
      <c r="N157" s="15" t="s">
        <v>22</v>
      </c>
      <c r="O157" s="15" t="s">
        <v>18</v>
      </c>
      <c r="Q157" s="9">
        <v>6</v>
      </c>
      <c r="R157" s="9">
        <v>7</v>
      </c>
      <c r="S157" s="9">
        <v>15</v>
      </c>
      <c r="T157" s="9">
        <v>3</v>
      </c>
      <c r="U157" s="9">
        <v>4</v>
      </c>
      <c r="W157" s="24">
        <v>1</v>
      </c>
      <c r="X157" s="24">
        <v>1</v>
      </c>
      <c r="Y157" s="24">
        <v>1</v>
      </c>
      <c r="Z157" s="24">
        <v>1</v>
      </c>
      <c r="AA157" s="24">
        <v>1</v>
      </c>
      <c r="AH157" s="5"/>
      <c r="AI157" s="5"/>
      <c r="AO157" s="5"/>
    </row>
    <row r="158" spans="10:41" x14ac:dyDescent="0.3">
      <c r="J158" s="9">
        <v>154</v>
      </c>
      <c r="K158" s="15" t="s">
        <v>19</v>
      </c>
      <c r="L158" s="15" t="s">
        <v>95</v>
      </c>
      <c r="M158" s="15" t="s">
        <v>65</v>
      </c>
      <c r="N158" s="15" t="s">
        <v>19</v>
      </c>
      <c r="O158" s="15" t="s">
        <v>95</v>
      </c>
      <c r="Q158" s="9">
        <v>5</v>
      </c>
      <c r="R158" s="9">
        <v>6</v>
      </c>
      <c r="S158" s="9">
        <v>16</v>
      </c>
      <c r="T158" s="9">
        <v>5</v>
      </c>
      <c r="U158" s="9">
        <v>6</v>
      </c>
      <c r="W158" s="24">
        <v>1</v>
      </c>
      <c r="X158" s="24">
        <v>1</v>
      </c>
      <c r="Y158" s="24">
        <v>1</v>
      </c>
      <c r="Z158" s="24">
        <v>1</v>
      </c>
      <c r="AA158" s="24">
        <v>1</v>
      </c>
      <c r="AH158" s="5"/>
      <c r="AI158" s="5"/>
      <c r="AO158" s="5"/>
    </row>
    <row r="159" spans="10:41" x14ac:dyDescent="0.3">
      <c r="J159" s="24">
        <v>155</v>
      </c>
      <c r="K159" s="15" t="s">
        <v>35</v>
      </c>
      <c r="L159" s="15" t="s">
        <v>68</v>
      </c>
      <c r="M159" s="15" t="s">
        <v>81</v>
      </c>
      <c r="N159" s="15" t="s">
        <v>34</v>
      </c>
      <c r="O159" s="15" t="s">
        <v>21</v>
      </c>
      <c r="Q159" s="9">
        <v>8</v>
      </c>
      <c r="R159" s="9">
        <v>18</v>
      </c>
      <c r="S159" s="9">
        <v>17</v>
      </c>
      <c r="T159" s="9">
        <v>9</v>
      </c>
      <c r="U159" s="9">
        <v>2</v>
      </c>
      <c r="W159" s="24">
        <v>1</v>
      </c>
      <c r="X159" s="24">
        <v>1</v>
      </c>
      <c r="Y159" s="24">
        <v>1</v>
      </c>
      <c r="Z159" s="24">
        <v>1</v>
      </c>
      <c r="AA159" s="24">
        <v>1</v>
      </c>
      <c r="AH159" s="5"/>
      <c r="AI159" s="5"/>
      <c r="AO159" s="5"/>
    </row>
    <row r="160" spans="10:41" x14ac:dyDescent="0.3">
      <c r="J160" s="9">
        <v>156</v>
      </c>
      <c r="K160" s="15" t="s">
        <v>19</v>
      </c>
      <c r="L160" s="15" t="s">
        <v>81</v>
      </c>
      <c r="M160" s="15" t="s">
        <v>65</v>
      </c>
      <c r="N160" s="15" t="s">
        <v>34</v>
      </c>
      <c r="O160" s="15" t="s">
        <v>95</v>
      </c>
      <c r="Q160" s="9">
        <v>5</v>
      </c>
      <c r="R160" s="9">
        <v>17</v>
      </c>
      <c r="S160" s="9">
        <v>16</v>
      </c>
      <c r="T160" s="9">
        <v>9</v>
      </c>
      <c r="U160" s="9">
        <v>6</v>
      </c>
      <c r="W160" s="24">
        <v>1</v>
      </c>
      <c r="X160" s="24">
        <v>1</v>
      </c>
      <c r="Y160" s="24">
        <v>1</v>
      </c>
      <c r="Z160" s="24">
        <v>1</v>
      </c>
      <c r="AA160" s="24">
        <v>1</v>
      </c>
      <c r="AH160" s="5"/>
      <c r="AI160" s="5"/>
      <c r="AO160" s="5"/>
    </row>
    <row r="161" spans="10:41" x14ac:dyDescent="0.3">
      <c r="J161" s="24">
        <v>157</v>
      </c>
      <c r="K161" s="15" t="s">
        <v>35</v>
      </c>
      <c r="L161" s="15" t="s">
        <v>22</v>
      </c>
      <c r="M161" s="15" t="s">
        <v>81</v>
      </c>
      <c r="N161" s="15" t="s">
        <v>18</v>
      </c>
      <c r="O161" s="15" t="s">
        <v>19</v>
      </c>
      <c r="Q161" s="9">
        <v>8</v>
      </c>
      <c r="R161" s="9">
        <v>3</v>
      </c>
      <c r="S161" s="9">
        <v>17</v>
      </c>
      <c r="T161" s="9">
        <v>4</v>
      </c>
      <c r="U161" s="9">
        <v>5</v>
      </c>
      <c r="W161" s="24">
        <v>1</v>
      </c>
      <c r="X161" s="24">
        <v>1</v>
      </c>
      <c r="Y161" s="24">
        <v>1</v>
      </c>
      <c r="Z161" s="24">
        <v>1</v>
      </c>
      <c r="AA161" s="24">
        <v>1</v>
      </c>
      <c r="AH161" s="5"/>
      <c r="AI161" s="5"/>
      <c r="AO161" s="5"/>
    </row>
    <row r="162" spans="10:41" x14ac:dyDescent="0.3">
      <c r="J162" s="9">
        <v>158</v>
      </c>
      <c r="K162" s="15" t="s">
        <v>37</v>
      </c>
      <c r="L162" s="15" t="s">
        <v>61</v>
      </c>
      <c r="M162" s="15" t="s">
        <v>65</v>
      </c>
      <c r="N162" s="15" t="s">
        <v>62</v>
      </c>
      <c r="O162" s="15" t="s">
        <v>19</v>
      </c>
      <c r="Q162" s="9">
        <v>7</v>
      </c>
      <c r="R162" s="9">
        <v>11</v>
      </c>
      <c r="S162" s="9">
        <v>16</v>
      </c>
      <c r="T162" s="9">
        <v>12</v>
      </c>
      <c r="U162" s="9">
        <v>5</v>
      </c>
      <c r="W162" s="24">
        <v>1</v>
      </c>
      <c r="X162" s="24">
        <v>1</v>
      </c>
      <c r="Y162" s="24">
        <v>1</v>
      </c>
      <c r="Z162" s="24">
        <v>1</v>
      </c>
      <c r="AA162" s="24">
        <v>1</v>
      </c>
      <c r="AH162" s="5"/>
      <c r="AI162" s="5"/>
      <c r="AO162" s="5"/>
    </row>
    <row r="163" spans="10:41" x14ac:dyDescent="0.3">
      <c r="J163" s="24">
        <v>159</v>
      </c>
      <c r="K163" s="15" t="s">
        <v>95</v>
      </c>
      <c r="L163" s="15" t="s">
        <v>37</v>
      </c>
      <c r="M163" s="15" t="s">
        <v>81</v>
      </c>
      <c r="N163" s="15" t="s">
        <v>19</v>
      </c>
      <c r="O163" s="15" t="s">
        <v>36</v>
      </c>
      <c r="Q163" s="9">
        <v>6</v>
      </c>
      <c r="R163" s="9">
        <v>7</v>
      </c>
      <c r="S163" s="9">
        <v>17</v>
      </c>
      <c r="T163" s="9">
        <v>5</v>
      </c>
      <c r="U163" s="9">
        <v>10</v>
      </c>
      <c r="W163" s="24">
        <v>1</v>
      </c>
      <c r="X163" s="24">
        <v>1</v>
      </c>
      <c r="Y163" s="24">
        <v>1</v>
      </c>
      <c r="Z163" s="24">
        <v>1</v>
      </c>
      <c r="AA163" s="24">
        <v>1</v>
      </c>
      <c r="AH163" s="5"/>
      <c r="AI163" s="5"/>
      <c r="AO163" s="5"/>
    </row>
    <row r="164" spans="10:41" x14ac:dyDescent="0.3">
      <c r="J164" s="9">
        <v>160</v>
      </c>
      <c r="K164" s="15" t="s">
        <v>19</v>
      </c>
      <c r="L164" s="15" t="s">
        <v>37</v>
      </c>
      <c r="M164" s="15" t="s">
        <v>64</v>
      </c>
      <c r="N164" s="15" t="s">
        <v>21</v>
      </c>
      <c r="O164" s="15" t="s">
        <v>22</v>
      </c>
      <c r="Q164" s="9">
        <v>5</v>
      </c>
      <c r="R164" s="9">
        <v>7</v>
      </c>
      <c r="S164" s="9">
        <v>14</v>
      </c>
      <c r="T164" s="9">
        <v>2</v>
      </c>
      <c r="U164" s="9">
        <v>3</v>
      </c>
      <c r="W164" s="24">
        <v>1</v>
      </c>
      <c r="X164" s="24">
        <v>1</v>
      </c>
      <c r="Y164" s="24">
        <v>1</v>
      </c>
      <c r="Z164" s="24">
        <v>1</v>
      </c>
      <c r="AA164" s="24">
        <v>1</v>
      </c>
      <c r="AH164" s="5"/>
      <c r="AI164" s="5"/>
      <c r="AO164" s="5"/>
    </row>
    <row r="165" spans="10:41" x14ac:dyDescent="0.3">
      <c r="J165" s="24">
        <v>161</v>
      </c>
      <c r="K165" s="15" t="s">
        <v>35</v>
      </c>
      <c r="L165" s="15" t="s">
        <v>37</v>
      </c>
      <c r="M165" s="15" t="s">
        <v>81</v>
      </c>
      <c r="N165" s="15" t="s">
        <v>35</v>
      </c>
      <c r="O165" s="15" t="s">
        <v>35</v>
      </c>
      <c r="Q165" s="9">
        <v>8</v>
      </c>
      <c r="R165" s="9">
        <v>7</v>
      </c>
      <c r="S165" s="9">
        <v>17</v>
      </c>
      <c r="T165" s="9">
        <v>8</v>
      </c>
      <c r="U165" s="9">
        <v>8</v>
      </c>
      <c r="W165" s="24">
        <v>1</v>
      </c>
      <c r="X165" s="24">
        <v>1</v>
      </c>
      <c r="Y165" s="24">
        <v>1</v>
      </c>
      <c r="Z165" s="24">
        <v>1</v>
      </c>
      <c r="AA165" s="24">
        <v>1</v>
      </c>
      <c r="AH165" s="5"/>
      <c r="AI165" s="5"/>
      <c r="AO165" s="5"/>
    </row>
    <row r="166" spans="10:41" x14ac:dyDescent="0.3">
      <c r="J166" s="9">
        <v>162</v>
      </c>
      <c r="K166" s="15" t="s">
        <v>37</v>
      </c>
      <c r="L166" s="15" t="s">
        <v>34</v>
      </c>
      <c r="M166" s="15" t="s">
        <v>64</v>
      </c>
      <c r="N166" s="15" t="s">
        <v>22</v>
      </c>
      <c r="O166" s="15" t="s">
        <v>22</v>
      </c>
      <c r="Q166" s="9">
        <v>7</v>
      </c>
      <c r="R166" s="9">
        <v>9</v>
      </c>
      <c r="S166" s="9">
        <v>14</v>
      </c>
      <c r="T166" s="9">
        <v>3</v>
      </c>
      <c r="U166" s="9">
        <v>3</v>
      </c>
      <c r="W166" s="24">
        <v>1</v>
      </c>
      <c r="X166" s="24">
        <v>1</v>
      </c>
      <c r="Y166" s="24">
        <v>1</v>
      </c>
      <c r="Z166" s="24">
        <v>1</v>
      </c>
      <c r="AA166" s="24">
        <v>1</v>
      </c>
      <c r="AH166" s="5"/>
      <c r="AI166" s="5"/>
      <c r="AO166" s="5"/>
    </row>
    <row r="167" spans="10:41" x14ac:dyDescent="0.3">
      <c r="J167" s="24">
        <v>163</v>
      </c>
      <c r="K167" s="15" t="s">
        <v>35</v>
      </c>
      <c r="L167" s="15" t="s">
        <v>35</v>
      </c>
      <c r="M167" s="15" t="s">
        <v>65</v>
      </c>
      <c r="N167" s="15" t="s">
        <v>19</v>
      </c>
      <c r="O167" s="15" t="s">
        <v>22</v>
      </c>
      <c r="Q167" s="9">
        <v>8</v>
      </c>
      <c r="R167" s="9">
        <v>8</v>
      </c>
      <c r="S167" s="9">
        <v>16</v>
      </c>
      <c r="T167" s="9">
        <v>5</v>
      </c>
      <c r="U167" s="9">
        <v>3</v>
      </c>
      <c r="W167" s="24">
        <v>1</v>
      </c>
      <c r="X167" s="24">
        <v>1</v>
      </c>
      <c r="Y167" s="24">
        <v>1</v>
      </c>
      <c r="Z167" s="24">
        <v>1</v>
      </c>
      <c r="AA167" s="24">
        <v>1</v>
      </c>
      <c r="AH167" s="5"/>
      <c r="AI167" s="5"/>
      <c r="AO167" s="5"/>
    </row>
    <row r="168" spans="10:41" x14ac:dyDescent="0.3">
      <c r="J168" s="9">
        <v>164</v>
      </c>
      <c r="K168" s="15" t="s">
        <v>19</v>
      </c>
      <c r="L168" s="15" t="s">
        <v>19</v>
      </c>
      <c r="M168" s="15" t="s">
        <v>81</v>
      </c>
      <c r="N168" s="15" t="s">
        <v>64</v>
      </c>
      <c r="O168" s="15" t="s">
        <v>36</v>
      </c>
      <c r="Q168" s="9">
        <v>5</v>
      </c>
      <c r="R168" s="9">
        <v>5</v>
      </c>
      <c r="S168" s="9">
        <v>17</v>
      </c>
      <c r="T168" s="9">
        <v>14</v>
      </c>
      <c r="U168" s="9">
        <v>10</v>
      </c>
      <c r="W168" s="24">
        <v>1</v>
      </c>
      <c r="X168" s="24">
        <v>1</v>
      </c>
      <c r="Y168" s="24">
        <v>1</v>
      </c>
      <c r="Z168" s="24">
        <v>1</v>
      </c>
      <c r="AA168" s="24">
        <v>1</v>
      </c>
      <c r="AH168" s="5"/>
      <c r="AI168" s="5"/>
      <c r="AO168" s="5"/>
    </row>
    <row r="169" spans="10:41" x14ac:dyDescent="0.3">
      <c r="J169" s="24">
        <v>165</v>
      </c>
      <c r="K169" s="15" t="s">
        <v>19</v>
      </c>
      <c r="L169" s="15" t="s">
        <v>37</v>
      </c>
      <c r="M169" s="15" t="s">
        <v>65</v>
      </c>
      <c r="N169" s="15" t="s">
        <v>36</v>
      </c>
      <c r="O169" s="15" t="s">
        <v>22</v>
      </c>
      <c r="Q169" s="9">
        <v>5</v>
      </c>
      <c r="R169" s="9">
        <v>7</v>
      </c>
      <c r="S169" s="9">
        <v>16</v>
      </c>
      <c r="T169" s="9">
        <v>10</v>
      </c>
      <c r="U169" s="9">
        <v>3</v>
      </c>
      <c r="W169" s="24">
        <v>1</v>
      </c>
      <c r="X169" s="24">
        <v>1</v>
      </c>
      <c r="Y169" s="24">
        <v>1</v>
      </c>
      <c r="Z169" s="24">
        <v>1</v>
      </c>
      <c r="AA169" s="24">
        <v>1</v>
      </c>
      <c r="AH169" s="5"/>
      <c r="AI169" s="5"/>
      <c r="AO169" s="5"/>
    </row>
    <row r="170" spans="10:41" x14ac:dyDescent="0.3">
      <c r="J170" s="9">
        <v>166</v>
      </c>
      <c r="K170" s="15" t="s">
        <v>95</v>
      </c>
      <c r="L170" s="15" t="s">
        <v>18</v>
      </c>
      <c r="M170" s="15" t="s">
        <v>64</v>
      </c>
      <c r="N170" s="15" t="s">
        <v>65</v>
      </c>
      <c r="O170" s="15" t="s">
        <v>95</v>
      </c>
      <c r="Q170" s="9">
        <v>6</v>
      </c>
      <c r="R170" s="9">
        <v>4</v>
      </c>
      <c r="S170" s="9">
        <v>14</v>
      </c>
      <c r="T170" s="9">
        <v>16</v>
      </c>
      <c r="U170" s="9">
        <v>6</v>
      </c>
      <c r="W170" s="24">
        <v>1</v>
      </c>
      <c r="X170" s="24">
        <v>1</v>
      </c>
      <c r="Y170" s="24">
        <v>1</v>
      </c>
      <c r="Z170" s="24">
        <v>1</v>
      </c>
      <c r="AA170" s="24">
        <v>1</v>
      </c>
      <c r="AH170" s="5"/>
      <c r="AI170" s="5"/>
      <c r="AO170" s="5"/>
    </row>
    <row r="171" spans="10:41" x14ac:dyDescent="0.3">
      <c r="J171" s="24">
        <v>167</v>
      </c>
      <c r="K171" s="15" t="s">
        <v>35</v>
      </c>
      <c r="L171" s="15" t="s">
        <v>35</v>
      </c>
      <c r="M171" s="15" t="s">
        <v>65</v>
      </c>
      <c r="N171" s="15" t="s">
        <v>34</v>
      </c>
      <c r="O171" s="15" t="s">
        <v>18</v>
      </c>
      <c r="Q171" s="9">
        <v>8</v>
      </c>
      <c r="R171" s="9">
        <v>8</v>
      </c>
      <c r="S171" s="9">
        <v>16</v>
      </c>
      <c r="T171" s="9">
        <v>9</v>
      </c>
      <c r="U171" s="9">
        <v>4</v>
      </c>
      <c r="W171" s="24">
        <v>1</v>
      </c>
      <c r="X171" s="24">
        <v>1</v>
      </c>
      <c r="Y171" s="24">
        <v>1</v>
      </c>
      <c r="Z171" s="24">
        <v>1</v>
      </c>
      <c r="AA171" s="24">
        <v>1</v>
      </c>
      <c r="AH171" s="5"/>
      <c r="AI171" s="5"/>
      <c r="AO171" s="5"/>
    </row>
    <row r="172" spans="10:41" x14ac:dyDescent="0.3">
      <c r="J172" s="9">
        <v>168</v>
      </c>
      <c r="K172" s="15" t="s">
        <v>95</v>
      </c>
      <c r="L172" s="15" t="s">
        <v>81</v>
      </c>
      <c r="M172" s="15" t="s">
        <v>81</v>
      </c>
      <c r="N172" s="15" t="s">
        <v>21</v>
      </c>
      <c r="O172" s="15" t="s">
        <v>34</v>
      </c>
      <c r="Q172" s="9">
        <v>6</v>
      </c>
      <c r="R172" s="9">
        <v>17</v>
      </c>
      <c r="S172" s="9">
        <v>17</v>
      </c>
      <c r="T172" s="9">
        <v>2</v>
      </c>
      <c r="U172" s="9">
        <v>9</v>
      </c>
      <c r="W172" s="24">
        <v>1</v>
      </c>
      <c r="X172" s="24">
        <v>1</v>
      </c>
      <c r="Y172" s="24">
        <v>1</v>
      </c>
      <c r="Z172" s="24">
        <v>1</v>
      </c>
      <c r="AA172" s="24">
        <v>1</v>
      </c>
      <c r="AH172" s="5"/>
      <c r="AI172" s="5"/>
      <c r="AO172" s="5"/>
    </row>
    <row r="173" spans="10:41" x14ac:dyDescent="0.3">
      <c r="J173" s="24">
        <v>169</v>
      </c>
      <c r="K173" s="15" t="s">
        <v>95</v>
      </c>
      <c r="L173" s="15" t="s">
        <v>95</v>
      </c>
      <c r="M173" s="15" t="s">
        <v>96</v>
      </c>
      <c r="N173" s="15" t="s">
        <v>34</v>
      </c>
      <c r="O173" s="15" t="s">
        <v>18</v>
      </c>
      <c r="Q173" s="9">
        <v>6</v>
      </c>
      <c r="R173" s="9">
        <v>6</v>
      </c>
      <c r="S173" s="9">
        <v>15</v>
      </c>
      <c r="T173" s="9">
        <v>9</v>
      </c>
      <c r="U173" s="9">
        <v>4</v>
      </c>
      <c r="W173" s="24">
        <v>1</v>
      </c>
      <c r="X173" s="24">
        <v>1</v>
      </c>
      <c r="Y173" s="24">
        <v>1</v>
      </c>
      <c r="Z173" s="24">
        <v>1</v>
      </c>
      <c r="AA173" s="24">
        <v>1</v>
      </c>
      <c r="AH173" s="5"/>
      <c r="AI173" s="5"/>
      <c r="AO173" s="5"/>
    </row>
    <row r="174" spans="10:41" x14ac:dyDescent="0.3">
      <c r="J174" s="9">
        <v>170</v>
      </c>
      <c r="K174" s="15" t="s">
        <v>35</v>
      </c>
      <c r="L174" s="15" t="s">
        <v>63</v>
      </c>
      <c r="M174" s="15" t="s">
        <v>81</v>
      </c>
      <c r="N174" s="15" t="s">
        <v>36</v>
      </c>
      <c r="O174" s="15" t="s">
        <v>37</v>
      </c>
      <c r="Q174" s="9">
        <v>8</v>
      </c>
      <c r="R174" s="9">
        <v>13</v>
      </c>
      <c r="S174" s="9">
        <v>17</v>
      </c>
      <c r="T174" s="9">
        <v>10</v>
      </c>
      <c r="U174" s="9">
        <v>7</v>
      </c>
      <c r="W174" s="24">
        <v>1</v>
      </c>
      <c r="X174" s="24">
        <v>1</v>
      </c>
      <c r="Y174" s="24">
        <v>1</v>
      </c>
      <c r="Z174" s="24">
        <v>1</v>
      </c>
      <c r="AA174" s="24">
        <v>1</v>
      </c>
      <c r="AH174" s="5"/>
      <c r="AI174" s="5"/>
      <c r="AO174" s="5"/>
    </row>
    <row r="175" spans="10:41" x14ac:dyDescent="0.3">
      <c r="J175" s="24">
        <v>171</v>
      </c>
      <c r="K175" s="15" t="s">
        <v>35</v>
      </c>
      <c r="L175" s="15" t="s">
        <v>81</v>
      </c>
      <c r="M175" s="15" t="s">
        <v>64</v>
      </c>
      <c r="N175" s="15" t="s">
        <v>18</v>
      </c>
      <c r="O175" s="15" t="s">
        <v>21</v>
      </c>
      <c r="Q175" s="9">
        <v>8</v>
      </c>
      <c r="R175" s="9">
        <v>17</v>
      </c>
      <c r="S175" s="9">
        <v>14</v>
      </c>
      <c r="T175" s="9">
        <v>4</v>
      </c>
      <c r="U175" s="9">
        <v>2</v>
      </c>
      <c r="W175" s="24">
        <v>1</v>
      </c>
      <c r="X175" s="24">
        <v>1</v>
      </c>
      <c r="Y175" s="24">
        <v>1</v>
      </c>
      <c r="Z175" s="24">
        <v>1</v>
      </c>
      <c r="AA175" s="24">
        <v>1</v>
      </c>
      <c r="AH175" s="5"/>
      <c r="AI175" s="5"/>
      <c r="AO175" s="5"/>
    </row>
    <row r="176" spans="10:41" x14ac:dyDescent="0.3">
      <c r="J176" s="9">
        <v>172</v>
      </c>
      <c r="K176" s="15" t="s">
        <v>35</v>
      </c>
      <c r="L176" s="15" t="s">
        <v>95</v>
      </c>
      <c r="M176" s="15" t="s">
        <v>81</v>
      </c>
      <c r="N176" s="15" t="s">
        <v>68</v>
      </c>
      <c r="O176" s="15" t="s">
        <v>34</v>
      </c>
      <c r="Q176" s="9">
        <v>8</v>
      </c>
      <c r="R176" s="9">
        <v>6</v>
      </c>
      <c r="S176" s="9">
        <v>17</v>
      </c>
      <c r="T176" s="9">
        <v>18</v>
      </c>
      <c r="U176" s="9">
        <v>9</v>
      </c>
      <c r="W176" s="24">
        <v>1</v>
      </c>
      <c r="X176" s="24">
        <v>1</v>
      </c>
      <c r="Y176" s="24">
        <v>1</v>
      </c>
      <c r="Z176" s="24">
        <v>1</v>
      </c>
      <c r="AA176" s="24">
        <v>1</v>
      </c>
      <c r="AH176" s="5"/>
      <c r="AI176" s="5"/>
      <c r="AO176" s="5"/>
    </row>
    <row r="177" spans="10:41" x14ac:dyDescent="0.3">
      <c r="J177" s="24">
        <v>173</v>
      </c>
      <c r="K177" s="15" t="s">
        <v>37</v>
      </c>
      <c r="L177" s="15" t="s">
        <v>21</v>
      </c>
      <c r="M177" s="15" t="s">
        <v>96</v>
      </c>
      <c r="N177" s="15" t="s">
        <v>22</v>
      </c>
      <c r="O177" s="15" t="s">
        <v>95</v>
      </c>
      <c r="Q177" s="9">
        <v>7</v>
      </c>
      <c r="R177" s="9">
        <v>2</v>
      </c>
      <c r="S177" s="9">
        <v>15</v>
      </c>
      <c r="T177" s="9">
        <v>3</v>
      </c>
      <c r="U177" s="9">
        <v>6</v>
      </c>
      <c r="W177" s="24">
        <v>1</v>
      </c>
      <c r="X177" s="24">
        <v>1</v>
      </c>
      <c r="Y177" s="24">
        <v>1</v>
      </c>
      <c r="Z177" s="24">
        <v>1</v>
      </c>
      <c r="AA177" s="24">
        <v>1</v>
      </c>
      <c r="AH177" s="5"/>
      <c r="AI177" s="5"/>
      <c r="AO177" s="5"/>
    </row>
    <row r="178" spans="10:41" x14ac:dyDescent="0.3">
      <c r="J178" s="9">
        <v>174</v>
      </c>
      <c r="K178" s="15" t="s">
        <v>37</v>
      </c>
      <c r="L178" s="15" t="s">
        <v>19</v>
      </c>
      <c r="M178" s="15" t="s">
        <v>65</v>
      </c>
      <c r="N178" s="15" t="s">
        <v>34</v>
      </c>
      <c r="O178" s="15" t="s">
        <v>95</v>
      </c>
      <c r="Q178" s="9">
        <v>7</v>
      </c>
      <c r="R178" s="9">
        <v>5</v>
      </c>
      <c r="S178" s="9">
        <v>16</v>
      </c>
      <c r="T178" s="9">
        <v>9</v>
      </c>
      <c r="U178" s="9">
        <v>6</v>
      </c>
      <c r="W178" s="24">
        <v>1</v>
      </c>
      <c r="X178" s="24">
        <v>1</v>
      </c>
      <c r="Y178" s="24">
        <v>1</v>
      </c>
      <c r="Z178" s="24">
        <v>1</v>
      </c>
      <c r="AA178" s="24">
        <v>1</v>
      </c>
      <c r="AH178" s="5"/>
      <c r="AI178" s="5"/>
      <c r="AO178" s="5"/>
    </row>
    <row r="179" spans="10:41" x14ac:dyDescent="0.3">
      <c r="J179" s="24">
        <v>175</v>
      </c>
      <c r="K179" s="15" t="s">
        <v>95</v>
      </c>
      <c r="L179" s="15" t="s">
        <v>37</v>
      </c>
      <c r="M179" s="15" t="s">
        <v>63</v>
      </c>
      <c r="N179" s="15" t="s">
        <v>21</v>
      </c>
      <c r="O179" s="15" t="s">
        <v>18</v>
      </c>
      <c r="Q179" s="9">
        <v>6</v>
      </c>
      <c r="R179" s="9">
        <v>7</v>
      </c>
      <c r="S179" s="9">
        <v>13</v>
      </c>
      <c r="T179" s="9">
        <v>2</v>
      </c>
      <c r="U179" s="9">
        <v>4</v>
      </c>
      <c r="W179" s="24">
        <v>1</v>
      </c>
      <c r="X179" s="24">
        <v>1</v>
      </c>
      <c r="Y179" s="24">
        <v>1</v>
      </c>
      <c r="Z179" s="24">
        <v>1</v>
      </c>
      <c r="AA179" s="24">
        <v>1</v>
      </c>
      <c r="AH179" s="5"/>
      <c r="AI179" s="5"/>
      <c r="AO179" s="5"/>
    </row>
    <row r="180" spans="10:41" x14ac:dyDescent="0.3">
      <c r="J180" s="9">
        <v>176</v>
      </c>
      <c r="K180" s="15" t="s">
        <v>95</v>
      </c>
      <c r="L180" s="15" t="s">
        <v>35</v>
      </c>
      <c r="M180" s="15" t="s">
        <v>81</v>
      </c>
      <c r="N180" s="15" t="s">
        <v>34</v>
      </c>
      <c r="O180" s="15" t="s">
        <v>18</v>
      </c>
      <c r="Q180" s="9">
        <v>6</v>
      </c>
      <c r="R180" s="9">
        <v>8</v>
      </c>
      <c r="S180" s="9">
        <v>17</v>
      </c>
      <c r="T180" s="9">
        <v>9</v>
      </c>
      <c r="U180" s="9">
        <v>4</v>
      </c>
      <c r="W180" s="24">
        <v>1</v>
      </c>
      <c r="X180" s="24">
        <v>1</v>
      </c>
      <c r="Y180" s="24">
        <v>1</v>
      </c>
      <c r="Z180" s="24">
        <v>1</v>
      </c>
      <c r="AA180" s="24">
        <v>1</v>
      </c>
      <c r="AH180" s="5"/>
      <c r="AI180" s="5"/>
      <c r="AO180" s="5"/>
    </row>
    <row r="181" spans="10:41" x14ac:dyDescent="0.3">
      <c r="J181" s="24">
        <v>177</v>
      </c>
      <c r="K181" s="15" t="s">
        <v>19</v>
      </c>
      <c r="L181" s="15" t="s">
        <v>68</v>
      </c>
      <c r="M181" s="15" t="s">
        <v>62</v>
      </c>
      <c r="N181" s="15" t="s">
        <v>35</v>
      </c>
      <c r="O181" s="15" t="s">
        <v>35</v>
      </c>
      <c r="Q181" s="9">
        <v>5</v>
      </c>
      <c r="R181" s="9">
        <v>18</v>
      </c>
      <c r="S181" s="9">
        <v>12</v>
      </c>
      <c r="T181" s="9">
        <v>8</v>
      </c>
      <c r="U181" s="9">
        <v>8</v>
      </c>
      <c r="W181" s="24">
        <v>1</v>
      </c>
      <c r="X181" s="24">
        <v>1</v>
      </c>
      <c r="Y181" s="24">
        <v>1</v>
      </c>
      <c r="Z181" s="24">
        <v>1</v>
      </c>
      <c r="AA181" s="24">
        <v>1</v>
      </c>
      <c r="AH181" s="5"/>
      <c r="AI181" s="5"/>
      <c r="AO181" s="5"/>
    </row>
    <row r="182" spans="10:41" x14ac:dyDescent="0.3">
      <c r="J182" s="9">
        <v>178</v>
      </c>
      <c r="K182" s="15" t="s">
        <v>37</v>
      </c>
      <c r="L182" s="15" t="s">
        <v>35</v>
      </c>
      <c r="M182" s="15" t="s">
        <v>64</v>
      </c>
      <c r="N182" s="15" t="s">
        <v>35</v>
      </c>
      <c r="O182" s="15" t="s">
        <v>36</v>
      </c>
      <c r="Q182" s="9">
        <v>7</v>
      </c>
      <c r="R182" s="9">
        <v>8</v>
      </c>
      <c r="S182" s="9">
        <v>14</v>
      </c>
      <c r="T182" s="9">
        <v>8</v>
      </c>
      <c r="U182" s="9">
        <v>10</v>
      </c>
      <c r="W182" s="24">
        <v>1</v>
      </c>
      <c r="X182" s="24">
        <v>1</v>
      </c>
      <c r="Y182" s="24">
        <v>1</v>
      </c>
      <c r="Z182" s="24">
        <v>1</v>
      </c>
      <c r="AA182" s="24">
        <v>1</v>
      </c>
      <c r="AH182" s="5"/>
      <c r="AI182" s="5"/>
      <c r="AO182" s="5"/>
    </row>
    <row r="183" spans="10:41" x14ac:dyDescent="0.3">
      <c r="J183" s="24">
        <v>179</v>
      </c>
      <c r="K183" s="15" t="s">
        <v>95</v>
      </c>
      <c r="L183" s="15" t="s">
        <v>19</v>
      </c>
      <c r="M183" s="15" t="s">
        <v>96</v>
      </c>
      <c r="N183" s="15" t="s">
        <v>19</v>
      </c>
      <c r="O183" s="15" t="s">
        <v>21</v>
      </c>
      <c r="Q183" s="9">
        <v>6</v>
      </c>
      <c r="R183" s="9">
        <v>5</v>
      </c>
      <c r="S183" s="9">
        <v>15</v>
      </c>
      <c r="T183" s="9">
        <v>5</v>
      </c>
      <c r="U183" s="9">
        <v>2</v>
      </c>
      <c r="W183" s="24">
        <v>1</v>
      </c>
      <c r="X183" s="24">
        <v>1</v>
      </c>
      <c r="Y183" s="24">
        <v>1</v>
      </c>
      <c r="Z183" s="24">
        <v>1</v>
      </c>
      <c r="AA183" s="24">
        <v>1</v>
      </c>
      <c r="AH183" s="5"/>
      <c r="AI183" s="5"/>
      <c r="AO183" s="5"/>
    </row>
    <row r="184" spans="10:41" x14ac:dyDescent="0.3">
      <c r="J184" s="9">
        <v>180</v>
      </c>
      <c r="K184" s="15" t="s">
        <v>37</v>
      </c>
      <c r="L184" s="15" t="s">
        <v>35</v>
      </c>
      <c r="M184" s="15" t="s">
        <v>81</v>
      </c>
      <c r="N184" s="15" t="s">
        <v>18</v>
      </c>
      <c r="O184" s="15" t="s">
        <v>18</v>
      </c>
      <c r="Q184" s="9">
        <v>7</v>
      </c>
      <c r="R184" s="9">
        <v>8</v>
      </c>
      <c r="S184" s="9">
        <v>17</v>
      </c>
      <c r="T184" s="9">
        <v>4</v>
      </c>
      <c r="U184" s="9">
        <v>4</v>
      </c>
      <c r="W184" s="24">
        <v>1</v>
      </c>
      <c r="X184" s="24">
        <v>1</v>
      </c>
      <c r="Y184" s="24">
        <v>1</v>
      </c>
      <c r="Z184" s="24">
        <v>1</v>
      </c>
      <c r="AA184" s="24">
        <v>1</v>
      </c>
      <c r="AH184" s="5"/>
      <c r="AI184" s="5"/>
      <c r="AO184" s="5"/>
    </row>
    <row r="185" spans="10:41" x14ac:dyDescent="0.3">
      <c r="J185" s="24">
        <v>181</v>
      </c>
      <c r="K185" s="15" t="s">
        <v>19</v>
      </c>
      <c r="L185" s="15" t="s">
        <v>63</v>
      </c>
      <c r="M185" s="15" t="s">
        <v>65</v>
      </c>
      <c r="N185" s="15" t="s">
        <v>21</v>
      </c>
      <c r="O185" s="15" t="s">
        <v>36</v>
      </c>
      <c r="Q185" s="9">
        <v>5</v>
      </c>
      <c r="R185" s="9">
        <v>13</v>
      </c>
      <c r="S185" s="9">
        <v>16</v>
      </c>
      <c r="T185" s="9">
        <v>2</v>
      </c>
      <c r="U185" s="9">
        <v>10</v>
      </c>
      <c r="W185" s="24">
        <v>1</v>
      </c>
      <c r="X185" s="24">
        <v>1</v>
      </c>
      <c r="Y185" s="24">
        <v>1</v>
      </c>
      <c r="Z185" s="24">
        <v>1</v>
      </c>
      <c r="AA185" s="24">
        <v>1</v>
      </c>
      <c r="AH185" s="5"/>
      <c r="AI185" s="5"/>
      <c r="AO185" s="5"/>
    </row>
    <row r="186" spans="10:41" x14ac:dyDescent="0.3">
      <c r="J186" s="9">
        <v>182</v>
      </c>
      <c r="K186" s="15" t="s">
        <v>37</v>
      </c>
      <c r="L186" s="15" t="s">
        <v>95</v>
      </c>
      <c r="M186" s="15" t="s">
        <v>64</v>
      </c>
      <c r="N186" s="15" t="s">
        <v>21</v>
      </c>
      <c r="O186" s="15" t="s">
        <v>36</v>
      </c>
      <c r="Q186" s="9">
        <v>7</v>
      </c>
      <c r="R186" s="9">
        <v>6</v>
      </c>
      <c r="S186" s="9">
        <v>14</v>
      </c>
      <c r="T186" s="9">
        <v>2</v>
      </c>
      <c r="U186" s="9">
        <v>10</v>
      </c>
      <c r="W186" s="24">
        <v>1</v>
      </c>
      <c r="X186" s="24">
        <v>1</v>
      </c>
      <c r="Y186" s="24">
        <v>1</v>
      </c>
      <c r="Z186" s="24">
        <v>1</v>
      </c>
      <c r="AA186" s="24">
        <v>1</v>
      </c>
      <c r="AH186" s="5"/>
      <c r="AI186" s="5"/>
      <c r="AO186" s="5"/>
    </row>
    <row r="187" spans="10:41" x14ac:dyDescent="0.3">
      <c r="J187" s="24">
        <v>183</v>
      </c>
      <c r="K187" s="15" t="s">
        <v>95</v>
      </c>
      <c r="L187" s="15" t="s">
        <v>21</v>
      </c>
      <c r="M187" s="15" t="s">
        <v>96</v>
      </c>
      <c r="N187" s="15" t="s">
        <v>18</v>
      </c>
      <c r="O187" s="15" t="s">
        <v>34</v>
      </c>
      <c r="Q187" s="9">
        <v>6</v>
      </c>
      <c r="R187" s="9">
        <v>2</v>
      </c>
      <c r="S187" s="9">
        <v>15</v>
      </c>
      <c r="T187" s="9">
        <v>4</v>
      </c>
      <c r="U187" s="9">
        <v>9</v>
      </c>
      <c r="W187" s="24">
        <v>1</v>
      </c>
      <c r="X187" s="24">
        <v>1</v>
      </c>
      <c r="Y187" s="24">
        <v>1</v>
      </c>
      <c r="Z187" s="24">
        <v>1</v>
      </c>
      <c r="AA187" s="24">
        <v>1</v>
      </c>
      <c r="AH187" s="5"/>
      <c r="AI187" s="5"/>
      <c r="AO187" s="5"/>
    </row>
    <row r="188" spans="10:41" x14ac:dyDescent="0.3">
      <c r="J188" s="9">
        <v>184</v>
      </c>
      <c r="K188" s="15" t="s">
        <v>19</v>
      </c>
      <c r="L188" s="15" t="s">
        <v>95</v>
      </c>
      <c r="M188" s="15" t="s">
        <v>65</v>
      </c>
      <c r="N188" s="15" t="s">
        <v>18</v>
      </c>
      <c r="O188" s="15" t="s">
        <v>36</v>
      </c>
      <c r="Q188" s="9">
        <v>5</v>
      </c>
      <c r="R188" s="9">
        <v>6</v>
      </c>
      <c r="S188" s="9">
        <v>16</v>
      </c>
      <c r="T188" s="9">
        <v>4</v>
      </c>
      <c r="U188" s="9">
        <v>10</v>
      </c>
      <c r="W188" s="24">
        <v>1</v>
      </c>
      <c r="X188" s="24">
        <v>1</v>
      </c>
      <c r="Y188" s="24">
        <v>1</v>
      </c>
      <c r="Z188" s="24">
        <v>1</v>
      </c>
      <c r="AA188" s="24">
        <v>1</v>
      </c>
      <c r="AH188" s="5"/>
      <c r="AI188" s="5"/>
      <c r="AO188" s="5"/>
    </row>
    <row r="189" spans="10:41" x14ac:dyDescent="0.3">
      <c r="J189" s="24">
        <v>185</v>
      </c>
      <c r="K189" s="15" t="s">
        <v>35</v>
      </c>
      <c r="L189" s="15" t="s">
        <v>95</v>
      </c>
      <c r="M189" s="15" t="s">
        <v>96</v>
      </c>
      <c r="N189" s="15" t="s">
        <v>18</v>
      </c>
      <c r="O189" s="15" t="s">
        <v>18</v>
      </c>
      <c r="Q189" s="9">
        <v>8</v>
      </c>
      <c r="R189" s="9">
        <v>6</v>
      </c>
      <c r="S189" s="9">
        <v>15</v>
      </c>
      <c r="T189" s="9">
        <v>4</v>
      </c>
      <c r="U189" s="9">
        <v>4</v>
      </c>
      <c r="W189" s="24">
        <v>1</v>
      </c>
      <c r="X189" s="24">
        <v>1</v>
      </c>
      <c r="Y189" s="24">
        <v>1</v>
      </c>
      <c r="Z189" s="24">
        <v>1</v>
      </c>
      <c r="AA189" s="24">
        <v>1</v>
      </c>
      <c r="AH189" s="5"/>
      <c r="AI189" s="5"/>
      <c r="AO189" s="5"/>
    </row>
    <row r="190" spans="10:41" x14ac:dyDescent="0.3">
      <c r="J190" s="9">
        <v>186</v>
      </c>
      <c r="K190" s="15" t="s">
        <v>37</v>
      </c>
      <c r="L190" s="15" t="s">
        <v>95</v>
      </c>
      <c r="M190" s="15" t="s">
        <v>64</v>
      </c>
      <c r="N190" s="15" t="s">
        <v>36</v>
      </c>
      <c r="O190" s="15" t="s">
        <v>18</v>
      </c>
      <c r="Q190" s="9">
        <v>7</v>
      </c>
      <c r="R190" s="9">
        <v>6</v>
      </c>
      <c r="S190" s="9">
        <v>14</v>
      </c>
      <c r="T190" s="9">
        <v>10</v>
      </c>
      <c r="U190" s="9">
        <v>4</v>
      </c>
      <c r="W190" s="24">
        <v>1</v>
      </c>
      <c r="X190" s="24">
        <v>1</v>
      </c>
      <c r="Y190" s="24">
        <v>1</v>
      </c>
      <c r="Z190" s="24">
        <v>1</v>
      </c>
      <c r="AA190" s="24">
        <v>1</v>
      </c>
      <c r="AH190" s="5"/>
      <c r="AI190" s="5"/>
      <c r="AO190" s="5"/>
    </row>
    <row r="191" spans="10:41" x14ac:dyDescent="0.3">
      <c r="J191" s="24">
        <v>187</v>
      </c>
      <c r="K191" s="15" t="s">
        <v>35</v>
      </c>
      <c r="L191" s="15" t="s">
        <v>37</v>
      </c>
      <c r="M191" s="15" t="s">
        <v>81</v>
      </c>
      <c r="N191" s="15" t="s">
        <v>37</v>
      </c>
      <c r="O191" s="15" t="s">
        <v>19</v>
      </c>
      <c r="Q191" s="9">
        <v>8</v>
      </c>
      <c r="R191" s="9">
        <v>7</v>
      </c>
      <c r="S191" s="9">
        <v>17</v>
      </c>
      <c r="T191" s="9">
        <v>7</v>
      </c>
      <c r="U191" s="9">
        <v>5</v>
      </c>
      <c r="W191" s="24">
        <v>1</v>
      </c>
      <c r="X191" s="24">
        <v>1</v>
      </c>
      <c r="Y191" s="24">
        <v>1</v>
      </c>
      <c r="Z191" s="24">
        <v>1</v>
      </c>
      <c r="AA191" s="24">
        <v>1</v>
      </c>
      <c r="AH191" s="5"/>
      <c r="AI191" s="5"/>
      <c r="AO191" s="5"/>
    </row>
    <row r="192" spans="10:41" x14ac:dyDescent="0.3">
      <c r="J192" s="9">
        <v>188</v>
      </c>
      <c r="K192" s="15" t="s">
        <v>19</v>
      </c>
      <c r="L192" s="15" t="s">
        <v>65</v>
      </c>
      <c r="M192" s="15" t="s">
        <v>64</v>
      </c>
      <c r="N192" s="15" t="s">
        <v>21</v>
      </c>
      <c r="O192" s="15" t="s">
        <v>37</v>
      </c>
      <c r="Q192" s="9">
        <v>5</v>
      </c>
      <c r="R192" s="9">
        <v>16</v>
      </c>
      <c r="S192" s="9">
        <v>14</v>
      </c>
      <c r="T192" s="9">
        <v>2</v>
      </c>
      <c r="U192" s="9">
        <v>7</v>
      </c>
      <c r="W192" s="24">
        <v>1</v>
      </c>
      <c r="X192" s="24">
        <v>1</v>
      </c>
      <c r="Y192" s="24">
        <v>1</v>
      </c>
      <c r="Z192" s="24">
        <v>1</v>
      </c>
      <c r="AA192" s="24">
        <v>1</v>
      </c>
      <c r="AH192" s="5"/>
      <c r="AI192" s="5"/>
      <c r="AO192" s="5"/>
    </row>
    <row r="193" spans="10:41" x14ac:dyDescent="0.3">
      <c r="J193" s="24">
        <v>189</v>
      </c>
      <c r="K193" s="15" t="s">
        <v>19</v>
      </c>
      <c r="L193" s="15" t="s">
        <v>81</v>
      </c>
      <c r="M193" s="15" t="s">
        <v>96</v>
      </c>
      <c r="N193" s="15" t="s">
        <v>34</v>
      </c>
      <c r="O193" s="15" t="s">
        <v>18</v>
      </c>
      <c r="Q193" s="9">
        <v>5</v>
      </c>
      <c r="R193" s="9">
        <v>17</v>
      </c>
      <c r="S193" s="9">
        <v>15</v>
      </c>
      <c r="T193" s="9">
        <v>9</v>
      </c>
      <c r="U193" s="9">
        <v>4</v>
      </c>
      <c r="W193" s="24">
        <v>1</v>
      </c>
      <c r="X193" s="24">
        <v>1</v>
      </c>
      <c r="Y193" s="24">
        <v>1</v>
      </c>
      <c r="Z193" s="24">
        <v>1</v>
      </c>
      <c r="AA193" s="24">
        <v>1</v>
      </c>
      <c r="AH193" s="5"/>
      <c r="AI193" s="5"/>
      <c r="AO193" s="5"/>
    </row>
    <row r="194" spans="10:41" x14ac:dyDescent="0.3">
      <c r="J194" s="9">
        <v>190</v>
      </c>
      <c r="K194" s="15" t="s">
        <v>35</v>
      </c>
      <c r="L194" s="15" t="s">
        <v>63</v>
      </c>
      <c r="M194" s="15" t="s">
        <v>65</v>
      </c>
      <c r="N194" s="15" t="s">
        <v>35</v>
      </c>
      <c r="O194" s="15" t="s">
        <v>36</v>
      </c>
      <c r="Q194" s="9">
        <v>8</v>
      </c>
      <c r="R194" s="9">
        <v>13</v>
      </c>
      <c r="S194" s="9">
        <v>16</v>
      </c>
      <c r="T194" s="9">
        <v>8</v>
      </c>
      <c r="U194" s="9">
        <v>10</v>
      </c>
      <c r="W194" s="24">
        <v>1</v>
      </c>
      <c r="X194" s="24">
        <v>1</v>
      </c>
      <c r="Y194" s="24">
        <v>1</v>
      </c>
      <c r="Z194" s="24">
        <v>1</v>
      </c>
      <c r="AA194" s="24">
        <v>1</v>
      </c>
      <c r="AH194" s="5"/>
      <c r="AI194" s="5"/>
      <c r="AO194" s="5"/>
    </row>
    <row r="195" spans="10:41" x14ac:dyDescent="0.3">
      <c r="J195" s="24">
        <v>191</v>
      </c>
      <c r="K195" s="15" t="s">
        <v>37</v>
      </c>
      <c r="L195" s="15" t="s">
        <v>81</v>
      </c>
      <c r="M195" s="15" t="s">
        <v>64</v>
      </c>
      <c r="N195" s="15" t="s">
        <v>22</v>
      </c>
      <c r="O195" s="15" t="s">
        <v>36</v>
      </c>
      <c r="Q195" s="9">
        <v>7</v>
      </c>
      <c r="R195" s="9">
        <v>17</v>
      </c>
      <c r="S195" s="9">
        <v>14</v>
      </c>
      <c r="T195" s="9">
        <v>3</v>
      </c>
      <c r="U195" s="9">
        <v>10</v>
      </c>
      <c r="W195" s="24">
        <v>1</v>
      </c>
      <c r="X195" s="24">
        <v>1</v>
      </c>
      <c r="Y195" s="24">
        <v>1</v>
      </c>
      <c r="Z195" s="24">
        <v>1</v>
      </c>
      <c r="AA195" s="24">
        <v>1</v>
      </c>
      <c r="AH195" s="5"/>
      <c r="AI195" s="5"/>
      <c r="AO195" s="5"/>
    </row>
    <row r="196" spans="10:41" x14ac:dyDescent="0.3">
      <c r="J196" s="9">
        <v>192</v>
      </c>
      <c r="K196" s="15" t="s">
        <v>95</v>
      </c>
      <c r="L196" s="15" t="s">
        <v>62</v>
      </c>
      <c r="M196" s="15" t="s">
        <v>81</v>
      </c>
      <c r="N196" s="15" t="s">
        <v>36</v>
      </c>
      <c r="O196" s="15" t="s">
        <v>34</v>
      </c>
      <c r="Q196" s="9">
        <v>6</v>
      </c>
      <c r="R196" s="9">
        <v>12</v>
      </c>
      <c r="S196" s="9">
        <v>17</v>
      </c>
      <c r="T196" s="9">
        <v>10</v>
      </c>
      <c r="U196" s="9">
        <v>9</v>
      </c>
      <c r="W196" s="24">
        <v>1</v>
      </c>
      <c r="X196" s="24">
        <v>1</v>
      </c>
      <c r="Y196" s="24">
        <v>1</v>
      </c>
      <c r="Z196" s="24">
        <v>1</v>
      </c>
      <c r="AA196" s="24">
        <v>1</v>
      </c>
      <c r="AH196" s="5"/>
      <c r="AI196" s="5"/>
      <c r="AO196" s="5"/>
    </row>
    <row r="197" spans="10:41" x14ac:dyDescent="0.3">
      <c r="J197" s="24">
        <v>193</v>
      </c>
      <c r="K197" s="15" t="s">
        <v>19</v>
      </c>
      <c r="L197" s="15" t="s">
        <v>20</v>
      </c>
      <c r="M197" s="15" t="s">
        <v>61</v>
      </c>
      <c r="N197" s="15" t="s">
        <v>34</v>
      </c>
      <c r="O197" s="15" t="s">
        <v>18</v>
      </c>
      <c r="Q197" s="9">
        <v>5</v>
      </c>
      <c r="R197" s="9">
        <v>1</v>
      </c>
      <c r="S197" s="9">
        <v>11</v>
      </c>
      <c r="T197" s="9">
        <v>9</v>
      </c>
      <c r="U197" s="9">
        <v>4</v>
      </c>
      <c r="W197" s="24">
        <v>1</v>
      </c>
      <c r="X197" s="24">
        <v>1</v>
      </c>
      <c r="Y197" s="24">
        <v>1</v>
      </c>
      <c r="Z197" s="24">
        <v>1</v>
      </c>
      <c r="AA197" s="24">
        <v>1</v>
      </c>
      <c r="AH197" s="5"/>
      <c r="AI197" s="5"/>
      <c r="AO197" s="5"/>
    </row>
    <row r="198" spans="10:41" x14ac:dyDescent="0.3">
      <c r="J198" s="9">
        <v>194</v>
      </c>
      <c r="K198" s="15" t="s">
        <v>19</v>
      </c>
      <c r="L198" s="15" t="s">
        <v>95</v>
      </c>
      <c r="M198" s="15" t="s">
        <v>96</v>
      </c>
      <c r="N198" s="15" t="s">
        <v>36</v>
      </c>
      <c r="O198" s="15" t="s">
        <v>34</v>
      </c>
      <c r="Q198" s="9">
        <v>5</v>
      </c>
      <c r="R198" s="9">
        <v>6</v>
      </c>
      <c r="S198" s="9">
        <v>15</v>
      </c>
      <c r="T198" s="9">
        <v>10</v>
      </c>
      <c r="U198" s="9">
        <v>9</v>
      </c>
      <c r="W198" s="24">
        <v>1</v>
      </c>
      <c r="X198" s="24">
        <v>1</v>
      </c>
      <c r="Y198" s="24">
        <v>1</v>
      </c>
      <c r="Z198" s="24">
        <v>1</v>
      </c>
      <c r="AA198" s="24">
        <v>1</v>
      </c>
      <c r="AH198" s="5"/>
      <c r="AI198" s="5"/>
      <c r="AO198" s="5"/>
    </row>
    <row r="199" spans="10:41" x14ac:dyDescent="0.3">
      <c r="J199" s="24">
        <v>195</v>
      </c>
      <c r="K199" s="15" t="s">
        <v>37</v>
      </c>
      <c r="L199" s="15" t="s">
        <v>19</v>
      </c>
      <c r="M199" s="15" t="s">
        <v>65</v>
      </c>
      <c r="N199" s="15" t="s">
        <v>20</v>
      </c>
      <c r="O199" s="15" t="s">
        <v>34</v>
      </c>
      <c r="Q199" s="9">
        <v>7</v>
      </c>
      <c r="R199" s="9">
        <v>5</v>
      </c>
      <c r="S199" s="9">
        <v>16</v>
      </c>
      <c r="T199" s="9">
        <v>1</v>
      </c>
      <c r="U199" s="9">
        <v>9</v>
      </c>
      <c r="W199" s="24">
        <v>1</v>
      </c>
      <c r="X199" s="24">
        <v>1</v>
      </c>
      <c r="Y199" s="24">
        <v>1</v>
      </c>
      <c r="Z199" s="24">
        <v>1</v>
      </c>
      <c r="AA199" s="24">
        <v>1</v>
      </c>
      <c r="AH199" s="5"/>
      <c r="AI199" s="5"/>
      <c r="AO199" s="5"/>
    </row>
    <row r="200" spans="10:41" x14ac:dyDescent="0.3">
      <c r="J200" s="9">
        <v>196</v>
      </c>
      <c r="K200" s="15" t="s">
        <v>19</v>
      </c>
      <c r="L200" s="15" t="s">
        <v>18</v>
      </c>
      <c r="M200" s="15" t="s">
        <v>96</v>
      </c>
      <c r="N200" s="15" t="s">
        <v>19</v>
      </c>
      <c r="O200" s="15" t="s">
        <v>37</v>
      </c>
      <c r="Q200" s="9">
        <v>5</v>
      </c>
      <c r="R200" s="9">
        <v>4</v>
      </c>
      <c r="S200" s="9">
        <v>15</v>
      </c>
      <c r="T200" s="9">
        <v>5</v>
      </c>
      <c r="U200" s="9">
        <v>7</v>
      </c>
      <c r="W200" s="24">
        <v>1</v>
      </c>
      <c r="X200" s="24">
        <v>1</v>
      </c>
      <c r="Y200" s="24">
        <v>1</v>
      </c>
      <c r="Z200" s="24">
        <v>1</v>
      </c>
      <c r="AA200" s="24">
        <v>1</v>
      </c>
      <c r="AH200" s="5"/>
      <c r="AI200" s="5"/>
      <c r="AO200" s="5"/>
    </row>
    <row r="201" spans="10:41" x14ac:dyDescent="0.3">
      <c r="J201" s="24">
        <v>197</v>
      </c>
      <c r="K201" s="15" t="s">
        <v>37</v>
      </c>
      <c r="L201" s="15" t="s">
        <v>18</v>
      </c>
      <c r="M201" s="15" t="s">
        <v>65</v>
      </c>
      <c r="N201" s="15" t="s">
        <v>35</v>
      </c>
      <c r="O201" s="15" t="s">
        <v>21</v>
      </c>
      <c r="Q201" s="9">
        <v>7</v>
      </c>
      <c r="R201" s="9">
        <v>4</v>
      </c>
      <c r="S201" s="9">
        <v>16</v>
      </c>
      <c r="T201" s="9">
        <v>8</v>
      </c>
      <c r="U201" s="9">
        <v>2</v>
      </c>
      <c r="W201" s="24">
        <v>1</v>
      </c>
      <c r="X201" s="24">
        <v>1</v>
      </c>
      <c r="Y201" s="24">
        <v>1</v>
      </c>
      <c r="Z201" s="24">
        <v>1</v>
      </c>
      <c r="AA201" s="24">
        <v>1</v>
      </c>
      <c r="AH201" s="5"/>
      <c r="AI201" s="5"/>
      <c r="AO201" s="5"/>
    </row>
    <row r="202" spans="10:41" x14ac:dyDescent="0.3">
      <c r="J202" s="9">
        <v>198</v>
      </c>
      <c r="K202" s="15" t="s">
        <v>19</v>
      </c>
      <c r="L202" s="15" t="s">
        <v>64</v>
      </c>
      <c r="M202" s="15" t="s">
        <v>96</v>
      </c>
      <c r="N202" s="15" t="s">
        <v>96</v>
      </c>
      <c r="O202" s="15" t="s">
        <v>19</v>
      </c>
      <c r="Q202" s="9">
        <v>5</v>
      </c>
      <c r="R202" s="9">
        <v>14</v>
      </c>
      <c r="S202" s="9">
        <v>15</v>
      </c>
      <c r="T202" s="9">
        <v>15</v>
      </c>
      <c r="U202" s="9">
        <v>5</v>
      </c>
      <c r="W202" s="24">
        <v>1</v>
      </c>
      <c r="X202" s="24">
        <v>1</v>
      </c>
      <c r="Y202" s="24">
        <v>1</v>
      </c>
      <c r="Z202" s="24">
        <v>1</v>
      </c>
      <c r="AA202" s="24">
        <v>1</v>
      </c>
      <c r="AH202" s="5"/>
      <c r="AI202" s="5"/>
      <c r="AO202" s="5"/>
    </row>
    <row r="203" spans="10:41" x14ac:dyDescent="0.3">
      <c r="J203" s="24">
        <v>199</v>
      </c>
      <c r="K203" s="15" t="s">
        <v>37</v>
      </c>
      <c r="L203" s="15" t="s">
        <v>95</v>
      </c>
      <c r="M203" s="15" t="s">
        <v>65</v>
      </c>
      <c r="N203" s="15" t="s">
        <v>35</v>
      </c>
      <c r="O203" s="15" t="s">
        <v>36</v>
      </c>
      <c r="Q203" s="9">
        <v>7</v>
      </c>
      <c r="R203" s="9">
        <v>6</v>
      </c>
      <c r="S203" s="9">
        <v>16</v>
      </c>
      <c r="T203" s="9">
        <v>8</v>
      </c>
      <c r="U203" s="9">
        <v>10</v>
      </c>
      <c r="W203" s="24">
        <v>1</v>
      </c>
      <c r="X203" s="24">
        <v>1</v>
      </c>
      <c r="Y203" s="24">
        <v>1</v>
      </c>
      <c r="Z203" s="24">
        <v>1</v>
      </c>
      <c r="AA203" s="24">
        <v>1</v>
      </c>
      <c r="AH203" s="5"/>
      <c r="AI203" s="5"/>
      <c r="AO203" s="5"/>
    </row>
    <row r="204" spans="10:41" x14ac:dyDescent="0.3">
      <c r="J204" s="9"/>
      <c r="K204" s="15"/>
      <c r="L204" s="15"/>
      <c r="M204" s="15"/>
      <c r="N204" s="15"/>
      <c r="O204" s="15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4"/>
      <c r="X204" s="24"/>
      <c r="Y204" s="24"/>
      <c r="Z204" s="24"/>
      <c r="AA204" s="24"/>
      <c r="AH204" s="5"/>
      <c r="AI204" s="5"/>
      <c r="AO204" s="5"/>
    </row>
    <row r="205" spans="10:41" x14ac:dyDescent="0.3">
      <c r="J205" s="24"/>
      <c r="K205" s="15"/>
      <c r="L205" s="15"/>
      <c r="M205" s="15"/>
      <c r="N205" s="15"/>
      <c r="O205" s="15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4"/>
      <c r="X205" s="24"/>
      <c r="Y205" s="24"/>
      <c r="Z205" s="24"/>
      <c r="AA205" s="24"/>
      <c r="AH205" s="5"/>
      <c r="AI205" s="5"/>
      <c r="AO205" s="5"/>
    </row>
    <row r="206" spans="10:41" x14ac:dyDescent="0.3">
      <c r="J206" s="24"/>
      <c r="K206" s="15"/>
      <c r="L206" s="15"/>
      <c r="M206" s="15"/>
      <c r="N206" s="15"/>
      <c r="O206" s="15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4"/>
      <c r="X206" s="24"/>
      <c r="Y206" s="24"/>
      <c r="Z206" s="24"/>
      <c r="AA206" s="24"/>
      <c r="AH206" s="5"/>
      <c r="AI206" s="5"/>
      <c r="AO206" s="5"/>
    </row>
    <row r="207" spans="10:41" x14ac:dyDescent="0.3">
      <c r="J207" s="9"/>
      <c r="K207" s="15"/>
      <c r="L207" s="15"/>
      <c r="M207" s="15"/>
      <c r="N207" s="15"/>
      <c r="O207" s="15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4"/>
      <c r="X207" s="24"/>
      <c r="Y207" s="24"/>
      <c r="Z207" s="24"/>
      <c r="AA207" s="24"/>
      <c r="AH207" s="5"/>
      <c r="AI207" s="5"/>
      <c r="AO207" s="5"/>
    </row>
    <row r="208" spans="10:41" x14ac:dyDescent="0.3">
      <c r="J208" s="24"/>
      <c r="K208" s="15"/>
      <c r="L208" s="15"/>
      <c r="M208" s="15"/>
      <c r="N208" s="15"/>
      <c r="O208" s="15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4"/>
      <c r="X208" s="24"/>
      <c r="Y208" s="24"/>
      <c r="Z208" s="24"/>
      <c r="AA208" s="24"/>
      <c r="AH208" s="5"/>
      <c r="AI208" s="5"/>
      <c r="AO208" s="5"/>
    </row>
    <row r="209" spans="10:41" x14ac:dyDescent="0.3">
      <c r="J209" s="9"/>
      <c r="K209" s="15"/>
      <c r="L209" s="15"/>
      <c r="M209" s="15"/>
      <c r="N209" s="15"/>
      <c r="O209" s="15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4"/>
      <c r="X209" s="24"/>
      <c r="Y209" s="24"/>
      <c r="Z209" s="24"/>
      <c r="AA209" s="24"/>
      <c r="AH209" s="5"/>
      <c r="AI209" s="5"/>
      <c r="AO209" s="5"/>
    </row>
    <row r="210" spans="10:41" x14ac:dyDescent="0.3">
      <c r="J210" s="24"/>
      <c r="K210" s="15"/>
      <c r="L210" s="15"/>
      <c r="M210" s="15"/>
      <c r="N210" s="15"/>
      <c r="O210" s="15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4"/>
      <c r="X210" s="24"/>
      <c r="Y210" s="24"/>
      <c r="Z210" s="24"/>
      <c r="AA210" s="24"/>
      <c r="AH210" s="5"/>
      <c r="AI210" s="5"/>
      <c r="AO210" s="5"/>
    </row>
    <row r="211" spans="10:41" x14ac:dyDescent="0.3">
      <c r="J211" s="9"/>
      <c r="K211" s="15"/>
      <c r="L211" s="15"/>
      <c r="M211" s="15"/>
      <c r="N211" s="15"/>
      <c r="O211" s="15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4"/>
      <c r="X211" s="24"/>
      <c r="Y211" s="24"/>
      <c r="Z211" s="24"/>
      <c r="AA211" s="24"/>
      <c r="AH211" s="5"/>
      <c r="AI211" s="5"/>
      <c r="AO211" s="5"/>
    </row>
    <row r="212" spans="10:41" x14ac:dyDescent="0.3">
      <c r="J212" s="24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4"/>
      <c r="X212" s="24"/>
      <c r="Y212" s="24"/>
      <c r="Z212" s="24"/>
      <c r="AA212" s="24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4"/>
      <c r="X213" s="24"/>
      <c r="Y213" s="24"/>
      <c r="Z213" s="24"/>
      <c r="AA213" s="24"/>
      <c r="AH213" s="5"/>
      <c r="AI213" s="5"/>
      <c r="AO213" s="5"/>
    </row>
    <row r="214" spans="10:41" x14ac:dyDescent="0.3">
      <c r="J214" s="24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4"/>
      <c r="X214" s="24"/>
      <c r="Y214" s="24"/>
      <c r="Z214" s="24"/>
      <c r="AA214" s="24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4"/>
      <c r="X215" s="24"/>
      <c r="Y215" s="24"/>
      <c r="Z215" s="24"/>
      <c r="AA215" s="24"/>
      <c r="AH215" s="5"/>
      <c r="AI215" s="5"/>
      <c r="AO215" s="5"/>
    </row>
    <row r="216" spans="10:41" x14ac:dyDescent="0.3">
      <c r="J216" s="24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4"/>
      <c r="X216" s="24"/>
      <c r="Y216" s="24"/>
      <c r="Z216" s="24"/>
      <c r="AA216" s="24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4"/>
      <c r="X217" s="24"/>
      <c r="Y217" s="24"/>
      <c r="Z217" s="24"/>
      <c r="AA217" s="24"/>
      <c r="AH217" s="5"/>
      <c r="AI217" s="5"/>
      <c r="AO217" s="5"/>
    </row>
    <row r="218" spans="10:41" x14ac:dyDescent="0.3">
      <c r="J218" s="24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4"/>
      <c r="X218" s="24"/>
      <c r="Y218" s="24"/>
      <c r="Z218" s="24"/>
      <c r="AA218" s="24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4"/>
      <c r="X219" s="24"/>
      <c r="Y219" s="24"/>
      <c r="Z219" s="24"/>
      <c r="AA219" s="24"/>
      <c r="AH219" s="5"/>
      <c r="AI219" s="5"/>
      <c r="AO219" s="5"/>
    </row>
    <row r="220" spans="10:41" x14ac:dyDescent="0.3">
      <c r="J220" s="24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4"/>
      <c r="X220" s="24"/>
      <c r="Y220" s="24"/>
      <c r="Z220" s="24"/>
      <c r="AA220" s="24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4"/>
      <c r="X221" s="24"/>
      <c r="Y221" s="24"/>
      <c r="Z221" s="24"/>
      <c r="AA221" s="24"/>
      <c r="AH221" s="5"/>
      <c r="AI221" s="5"/>
      <c r="AO221" s="5"/>
    </row>
    <row r="222" spans="10:41" x14ac:dyDescent="0.3">
      <c r="J222" s="24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4"/>
      <c r="X222" s="24"/>
      <c r="Y222" s="24"/>
      <c r="Z222" s="24"/>
      <c r="AA222" s="24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4"/>
      <c r="X223" s="24"/>
      <c r="Y223" s="24"/>
      <c r="Z223" s="24"/>
      <c r="AA223" s="24"/>
      <c r="AH223" s="5"/>
      <c r="AI223" s="5"/>
      <c r="AO223" s="5"/>
    </row>
    <row r="224" spans="10:41" x14ac:dyDescent="0.3">
      <c r="J224" s="24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4"/>
      <c r="X224" s="24"/>
      <c r="Y224" s="24"/>
      <c r="Z224" s="24"/>
      <c r="AA224" s="24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4"/>
      <c r="X225" s="24"/>
      <c r="Y225" s="24"/>
      <c r="Z225" s="24"/>
      <c r="AA225" s="24"/>
      <c r="AH225" s="5"/>
      <c r="AI225" s="5"/>
      <c r="AO225" s="5"/>
    </row>
    <row r="226" spans="10:41" x14ac:dyDescent="0.3">
      <c r="J226" s="24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4"/>
      <c r="X226" s="24"/>
      <c r="Y226" s="24"/>
      <c r="Z226" s="24"/>
      <c r="AA226" s="24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4"/>
      <c r="X227" s="24"/>
      <c r="Y227" s="24"/>
      <c r="Z227" s="24"/>
      <c r="AA227" s="24"/>
      <c r="AH227" s="5"/>
      <c r="AI227" s="5"/>
      <c r="AO227" s="5"/>
    </row>
    <row r="228" spans="10:41" x14ac:dyDescent="0.3">
      <c r="J228" s="24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4"/>
      <c r="X228" s="24"/>
      <c r="Y228" s="24"/>
      <c r="Z228" s="24"/>
      <c r="AA228" s="24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4"/>
      <c r="X229" s="24"/>
      <c r="Y229" s="24"/>
      <c r="Z229" s="24"/>
      <c r="AA229" s="24"/>
      <c r="AH229" s="5"/>
      <c r="AI229" s="5"/>
      <c r="AO229" s="5"/>
    </row>
    <row r="230" spans="10:41" x14ac:dyDescent="0.3">
      <c r="J230" s="24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4"/>
      <c r="X230" s="24"/>
      <c r="Y230" s="24"/>
      <c r="Z230" s="24"/>
      <c r="AA230" s="24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4"/>
      <c r="X231" s="24"/>
      <c r="Y231" s="24"/>
      <c r="Z231" s="24"/>
      <c r="AA231" s="24"/>
      <c r="AH231" s="5"/>
      <c r="AI231" s="5"/>
      <c r="AO231" s="5"/>
    </row>
    <row r="232" spans="10:41" x14ac:dyDescent="0.3">
      <c r="J232" s="24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4"/>
      <c r="X232" s="24"/>
      <c r="Y232" s="24"/>
      <c r="Z232" s="24"/>
      <c r="AA232" s="24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4"/>
      <c r="X233" s="24"/>
      <c r="Y233" s="24"/>
      <c r="Z233" s="24"/>
      <c r="AA233" s="24"/>
      <c r="AH233" s="5"/>
      <c r="AI233" s="5"/>
      <c r="AO233" s="5"/>
    </row>
    <row r="234" spans="10:41" x14ac:dyDescent="0.3">
      <c r="J234" s="24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4"/>
      <c r="X234" s="24"/>
      <c r="Y234" s="24"/>
      <c r="Z234" s="24"/>
      <c r="AA234" s="24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4"/>
      <c r="X235" s="24"/>
      <c r="Y235" s="24"/>
      <c r="Z235" s="24"/>
      <c r="AA235" s="24"/>
      <c r="AH235" s="5"/>
      <c r="AI235" s="5"/>
      <c r="AO235" s="5"/>
    </row>
    <row r="236" spans="10:41" x14ac:dyDescent="0.3">
      <c r="J236" s="24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4"/>
      <c r="X236" s="24"/>
      <c r="Y236" s="24"/>
      <c r="Z236" s="24"/>
      <c r="AA236" s="24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4"/>
      <c r="X237" s="24"/>
      <c r="Y237" s="24"/>
      <c r="Z237" s="24"/>
      <c r="AA237" s="24"/>
      <c r="AH237" s="5"/>
      <c r="AI237" s="5"/>
      <c r="AO237" s="5"/>
    </row>
    <row r="238" spans="10:41" x14ac:dyDescent="0.3">
      <c r="J238" s="24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4"/>
      <c r="X238" s="24"/>
      <c r="Y238" s="24"/>
      <c r="Z238" s="24"/>
      <c r="AA238" s="24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4"/>
      <c r="X239" s="24"/>
      <c r="Y239" s="24"/>
      <c r="Z239" s="24"/>
      <c r="AA239" s="24"/>
      <c r="AH239" s="5"/>
      <c r="AI239" s="5"/>
      <c r="AO239" s="5"/>
    </row>
    <row r="240" spans="10:41" x14ac:dyDescent="0.3">
      <c r="J240" s="24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4"/>
      <c r="X240" s="24"/>
      <c r="Y240" s="24"/>
      <c r="Z240" s="24"/>
      <c r="AA240" s="24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4"/>
      <c r="X241" s="24"/>
      <c r="Y241" s="24"/>
      <c r="Z241" s="24"/>
      <c r="AA241" s="24"/>
      <c r="AH241" s="5"/>
      <c r="AI241" s="5"/>
      <c r="AO241" s="5"/>
    </row>
    <row r="242" spans="10:41" x14ac:dyDescent="0.3">
      <c r="J242" s="24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4"/>
      <c r="X242" s="24"/>
      <c r="Y242" s="24"/>
      <c r="Z242" s="24"/>
      <c r="AA242" s="24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4"/>
      <c r="X243" s="24"/>
      <c r="Y243" s="24"/>
      <c r="Z243" s="24"/>
      <c r="AA243" s="24"/>
      <c r="AH243" s="5"/>
      <c r="AI243" s="5"/>
      <c r="AO243" s="5"/>
    </row>
    <row r="244" spans="10:41" x14ac:dyDescent="0.3">
      <c r="J244" s="24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4"/>
      <c r="X244" s="24"/>
      <c r="Y244" s="24"/>
      <c r="Z244" s="24"/>
      <c r="AA244" s="24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4"/>
      <c r="X245" s="24"/>
      <c r="Y245" s="24"/>
      <c r="Z245" s="24"/>
      <c r="AA245" s="24"/>
      <c r="AH245" s="5"/>
      <c r="AI245" s="5"/>
      <c r="AO245" s="5"/>
    </row>
    <row r="246" spans="10:41" x14ac:dyDescent="0.3">
      <c r="J246" s="24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4"/>
      <c r="X246" s="24"/>
      <c r="Y246" s="24"/>
      <c r="Z246" s="24"/>
      <c r="AA246" s="24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4"/>
      <c r="X247" s="24"/>
      <c r="Y247" s="24"/>
      <c r="Z247" s="24"/>
      <c r="AA247" s="24"/>
      <c r="AH247" s="5"/>
      <c r="AI247" s="5"/>
      <c r="AO247" s="5"/>
    </row>
    <row r="248" spans="10:41" x14ac:dyDescent="0.3">
      <c r="J248" s="24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4"/>
      <c r="X248" s="24"/>
      <c r="Y248" s="24"/>
      <c r="Z248" s="24"/>
      <c r="AA248" s="24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4"/>
      <c r="X249" s="24"/>
      <c r="Y249" s="24"/>
      <c r="Z249" s="24"/>
      <c r="AA249" s="24"/>
      <c r="AH249" s="5"/>
      <c r="AI249" s="5"/>
      <c r="AO249" s="5"/>
    </row>
    <row r="250" spans="10:41" x14ac:dyDescent="0.3">
      <c r="J250" s="24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4"/>
      <c r="X250" s="24"/>
      <c r="Y250" s="24"/>
      <c r="Z250" s="24"/>
      <c r="AA250" s="24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4"/>
      <c r="X251" s="24"/>
      <c r="Y251" s="24"/>
      <c r="Z251" s="24"/>
      <c r="AA251" s="24"/>
      <c r="AH251" s="5"/>
      <c r="AI251" s="5"/>
      <c r="AO251" s="5"/>
    </row>
    <row r="252" spans="10:41" x14ac:dyDescent="0.3">
      <c r="J252" s="24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4"/>
      <c r="X252" s="24"/>
      <c r="Y252" s="24"/>
      <c r="Z252" s="24"/>
      <c r="AA252" s="24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4"/>
      <c r="X253" s="24"/>
      <c r="Y253" s="24"/>
      <c r="Z253" s="24"/>
      <c r="AA253" s="24"/>
      <c r="AH253" s="5"/>
      <c r="AI253" s="5"/>
      <c r="AO253" s="5"/>
    </row>
    <row r="254" spans="10:41" x14ac:dyDescent="0.3">
      <c r="J254" s="24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4"/>
      <c r="X254" s="24"/>
      <c r="Y254" s="24"/>
      <c r="Z254" s="24"/>
      <c r="AA254" s="24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4"/>
      <c r="X255" s="24"/>
      <c r="Y255" s="24"/>
      <c r="Z255" s="24"/>
      <c r="AA255" s="24"/>
      <c r="AH255" s="5"/>
      <c r="AI255" s="5"/>
      <c r="AO255" s="5"/>
    </row>
    <row r="256" spans="10:41" x14ac:dyDescent="0.3">
      <c r="J256" s="24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4"/>
      <c r="X256" s="24"/>
      <c r="Y256" s="24"/>
      <c r="Z256" s="24"/>
      <c r="AA256" s="24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4"/>
      <c r="X257" s="24"/>
      <c r="Y257" s="24"/>
      <c r="Z257" s="24"/>
      <c r="AA257" s="24"/>
      <c r="AH257" s="5"/>
      <c r="AI257" s="5"/>
      <c r="AO257" s="5"/>
    </row>
    <row r="258" spans="10:41" x14ac:dyDescent="0.3">
      <c r="J258" s="24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4"/>
      <c r="X258" s="24"/>
      <c r="Y258" s="24"/>
      <c r="Z258" s="24"/>
      <c r="AA258" s="24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4"/>
      <c r="X259" s="24"/>
      <c r="Y259" s="24"/>
      <c r="Z259" s="24"/>
      <c r="AA259" s="24"/>
      <c r="AH259" s="5"/>
      <c r="AI259" s="5"/>
      <c r="AO259" s="5"/>
    </row>
    <row r="260" spans="10:41" x14ac:dyDescent="0.3">
      <c r="J260" s="24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4"/>
      <c r="X260" s="24"/>
      <c r="Y260" s="24"/>
      <c r="Z260" s="24"/>
      <c r="AA260" s="24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4"/>
      <c r="X261" s="24"/>
      <c r="Y261" s="24"/>
      <c r="Z261" s="24"/>
      <c r="AA261" s="24"/>
      <c r="AH261" s="5"/>
      <c r="AI261" s="5"/>
      <c r="AO261" s="5"/>
    </row>
    <row r="262" spans="10:41" x14ac:dyDescent="0.3">
      <c r="J262" s="24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4"/>
      <c r="X262" s="24"/>
      <c r="Y262" s="24"/>
      <c r="Z262" s="24"/>
      <c r="AA262" s="24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4"/>
      <c r="X263" s="24"/>
      <c r="Y263" s="24"/>
      <c r="Z263" s="24"/>
      <c r="AA263" s="24"/>
      <c r="AH263" s="5"/>
      <c r="AI263" s="5"/>
      <c r="AO263" s="5"/>
    </row>
    <row r="264" spans="10:41" x14ac:dyDescent="0.3">
      <c r="J264" s="24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4"/>
      <c r="X264" s="24"/>
      <c r="Y264" s="24"/>
      <c r="Z264" s="24"/>
      <c r="AA264" s="24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4"/>
      <c r="X265" s="24"/>
      <c r="Y265" s="24"/>
      <c r="Z265" s="24"/>
      <c r="AA265" s="24"/>
      <c r="AH265" s="5"/>
      <c r="AI265" s="5"/>
      <c r="AO265" s="5"/>
    </row>
    <row r="266" spans="10:41" x14ac:dyDescent="0.3">
      <c r="J266" s="24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4"/>
      <c r="X266" s="24"/>
      <c r="Y266" s="24"/>
      <c r="Z266" s="24"/>
      <c r="AA266" s="24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4"/>
      <c r="X267" s="24"/>
      <c r="Y267" s="24"/>
      <c r="Z267" s="24"/>
      <c r="AA267" s="24"/>
      <c r="AH267" s="5"/>
      <c r="AI267" s="5"/>
      <c r="AO267" s="5"/>
    </row>
    <row r="268" spans="10:41" x14ac:dyDescent="0.3">
      <c r="J268" s="24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4"/>
      <c r="X268" s="24"/>
      <c r="Y268" s="24"/>
      <c r="Z268" s="24"/>
      <c r="AA268" s="24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4"/>
      <c r="X269" s="24"/>
      <c r="Y269" s="24"/>
      <c r="Z269" s="24"/>
      <c r="AA269" s="24"/>
      <c r="AH269" s="5"/>
      <c r="AI269" s="5"/>
      <c r="AO269" s="5"/>
    </row>
    <row r="270" spans="10:41" x14ac:dyDescent="0.3">
      <c r="J270" s="24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4"/>
      <c r="X270" s="24"/>
      <c r="Y270" s="24"/>
      <c r="Z270" s="24"/>
      <c r="AA270" s="24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4"/>
      <c r="X271" s="24"/>
      <c r="Y271" s="24"/>
      <c r="Z271" s="24"/>
      <c r="AA271" s="24"/>
      <c r="AH271" s="5"/>
      <c r="AI271" s="5"/>
      <c r="AO271" s="5"/>
    </row>
    <row r="272" spans="10:41" x14ac:dyDescent="0.3">
      <c r="J272" s="24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4"/>
      <c r="X272" s="24"/>
      <c r="Y272" s="24"/>
      <c r="Z272" s="24"/>
      <c r="AA272" s="24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4"/>
      <c r="X273" s="24"/>
      <c r="Y273" s="24"/>
      <c r="Z273" s="24"/>
      <c r="AA273" s="24"/>
      <c r="AH273" s="5"/>
      <c r="AI273" s="5"/>
      <c r="AO273" s="5"/>
    </row>
    <row r="274" spans="10:41" x14ac:dyDescent="0.3">
      <c r="J274" s="24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4"/>
      <c r="X274" s="24"/>
      <c r="Y274" s="24"/>
      <c r="Z274" s="24"/>
      <c r="AA274" s="24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4"/>
      <c r="X275" s="24"/>
      <c r="Y275" s="24"/>
      <c r="Z275" s="24"/>
      <c r="AA275" s="24"/>
      <c r="AH275" s="5"/>
      <c r="AI275" s="5"/>
      <c r="AO275" s="5"/>
    </row>
    <row r="276" spans="10:41" x14ac:dyDescent="0.3">
      <c r="J276" s="24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4"/>
      <c r="X276" s="24"/>
      <c r="Y276" s="24"/>
      <c r="Z276" s="24"/>
      <c r="AA276" s="24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4"/>
      <c r="X277" s="24"/>
      <c r="Y277" s="24"/>
      <c r="Z277" s="24"/>
      <c r="AA277" s="24"/>
      <c r="AH277" s="5"/>
      <c r="AI277" s="5"/>
      <c r="AO277" s="5"/>
    </row>
    <row r="278" spans="10:41" x14ac:dyDescent="0.3">
      <c r="J278" s="24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4"/>
      <c r="X278" s="24"/>
      <c r="Y278" s="24"/>
      <c r="Z278" s="24"/>
      <c r="AA278" s="24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4"/>
      <c r="X279" s="24"/>
      <c r="Y279" s="24"/>
      <c r="Z279" s="24"/>
      <c r="AA279" s="24"/>
      <c r="AH279" s="5"/>
      <c r="AI279" s="5"/>
      <c r="AO279" s="5"/>
    </row>
    <row r="280" spans="10:41" x14ac:dyDescent="0.3">
      <c r="J280" s="24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4"/>
      <c r="X280" s="24"/>
      <c r="Y280" s="24"/>
      <c r="Z280" s="24"/>
      <c r="AA280" s="24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4"/>
      <c r="X281" s="24"/>
      <c r="Y281" s="24"/>
      <c r="Z281" s="24"/>
      <c r="AA281" s="24"/>
      <c r="AH281" s="5"/>
      <c r="AI281" s="5"/>
      <c r="AO281" s="5"/>
    </row>
    <row r="282" spans="10:41" x14ac:dyDescent="0.3">
      <c r="J282" s="24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4"/>
      <c r="X282" s="24"/>
      <c r="Y282" s="24"/>
      <c r="Z282" s="24"/>
      <c r="AA282" s="24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4"/>
      <c r="X283" s="24"/>
      <c r="Y283" s="24"/>
      <c r="Z283" s="24"/>
      <c r="AA283" s="24"/>
      <c r="AH283" s="5"/>
      <c r="AI283" s="5"/>
      <c r="AO283" s="5"/>
    </row>
    <row r="284" spans="10:41" x14ac:dyDescent="0.3">
      <c r="J284" s="24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4"/>
      <c r="X284" s="24"/>
      <c r="Y284" s="24"/>
      <c r="Z284" s="24"/>
      <c r="AA284" s="24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4"/>
      <c r="X285" s="24"/>
      <c r="Y285" s="24"/>
      <c r="Z285" s="24"/>
      <c r="AA285" s="24"/>
      <c r="AH285" s="5"/>
      <c r="AI285" s="5"/>
      <c r="AO285" s="5"/>
    </row>
    <row r="286" spans="10:41" x14ac:dyDescent="0.3">
      <c r="J286" s="24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4"/>
      <c r="X286" s="24"/>
      <c r="Y286" s="24"/>
      <c r="Z286" s="24"/>
      <c r="AA286" s="24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4"/>
      <c r="X287" s="24"/>
      <c r="Y287" s="24"/>
      <c r="Z287" s="24"/>
      <c r="AA287" s="24"/>
      <c r="AH287" s="5"/>
      <c r="AI287" s="5"/>
      <c r="AO287" s="5"/>
    </row>
    <row r="288" spans="10:41" x14ac:dyDescent="0.3">
      <c r="J288" s="24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4"/>
      <c r="X288" s="24"/>
      <c r="Y288" s="24"/>
      <c r="Z288" s="24"/>
      <c r="AA288" s="24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4"/>
      <c r="X289" s="24"/>
      <c r="Y289" s="24"/>
      <c r="Z289" s="24"/>
      <c r="AA289" s="24"/>
      <c r="AH289" s="5"/>
      <c r="AI289" s="5"/>
      <c r="AO289" s="5"/>
    </row>
    <row r="290" spans="10:41" x14ac:dyDescent="0.3">
      <c r="J290" s="24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4"/>
      <c r="X290" s="24"/>
      <c r="Y290" s="24"/>
      <c r="Z290" s="24"/>
      <c r="AA290" s="24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4"/>
      <c r="X291" s="24"/>
      <c r="Y291" s="24"/>
      <c r="Z291" s="24"/>
      <c r="AA291" s="24"/>
      <c r="AH291" s="5"/>
      <c r="AI291" s="5"/>
      <c r="AO291" s="5"/>
    </row>
    <row r="292" spans="10:41" x14ac:dyDescent="0.3">
      <c r="J292" s="24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4"/>
      <c r="X292" s="24"/>
      <c r="Y292" s="24"/>
      <c r="Z292" s="24"/>
      <c r="AA292" s="24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4"/>
      <c r="X293" s="24"/>
      <c r="Y293" s="24"/>
      <c r="Z293" s="24"/>
      <c r="AA293" s="24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4"/>
      <c r="X294" s="24"/>
      <c r="Y294" s="24"/>
      <c r="Z294" s="24"/>
      <c r="AA294" s="24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4"/>
      <c r="X295" s="24"/>
      <c r="Y295" s="24"/>
      <c r="Z295" s="24"/>
      <c r="AA295" s="24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4"/>
      <c r="X296" s="24"/>
      <c r="Y296" s="24"/>
      <c r="Z296" s="24"/>
      <c r="AA296" s="24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4"/>
      <c r="X297" s="24"/>
      <c r="Y297" s="24"/>
      <c r="Z297" s="24"/>
      <c r="AA297" s="24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4"/>
      <c r="X298" s="24"/>
      <c r="Y298" s="24"/>
      <c r="Z298" s="24"/>
      <c r="AA298" s="24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4"/>
      <c r="X299" s="24"/>
      <c r="Y299" s="24"/>
      <c r="Z299" s="24"/>
      <c r="AA299" s="24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4"/>
      <c r="X300" s="24"/>
      <c r="Y300" s="24"/>
      <c r="Z300" s="24"/>
      <c r="AA300" s="24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4"/>
      <c r="X301" s="24"/>
      <c r="Y301" s="24"/>
      <c r="Z301" s="24"/>
      <c r="AA301" s="24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4"/>
      <c r="X302" s="24"/>
      <c r="Y302" s="24"/>
      <c r="Z302" s="24"/>
      <c r="AA302" s="24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4"/>
      <c r="X303" s="24"/>
      <c r="Y303" s="24"/>
      <c r="Z303" s="24"/>
      <c r="AA303" s="24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4"/>
      <c r="X304" s="24"/>
      <c r="Y304" s="24"/>
      <c r="Z304" s="24"/>
      <c r="AA304" s="24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131" priority="31">
      <formula>_xlfn.LET(_xlpm.x, W4, AND(NOT(_xlfn.ISFORMULA(_xlpm.x)), _xlpm.x&lt;&gt;""))</formula>
    </cfRule>
  </conditionalFormatting>
  <conditionalFormatting sqref="W4:AA203">
    <cfRule type="expression" dxfId="130" priority="26">
      <formula>_xlfn.LET(_xlpm.x, W4, AND(NOT(_xlfn.ISFORMULA(_xlpm.x)), _xlpm.x&lt;&gt;""))</formula>
    </cfRule>
  </conditionalFormatting>
  <conditionalFormatting sqref="K1:O1048576">
    <cfRule type="cellIs" dxfId="129" priority="14" operator="equal">
      <formula>"C1"</formula>
    </cfRule>
    <cfRule type="cellIs" dxfId="128" priority="15" operator="between">
      <formula>"G1"</formula>
      <formula>"G5"</formula>
    </cfRule>
    <cfRule type="cellIs" dxfId="127" priority="16" operator="between">
      <formula>"GA"</formula>
      <formula>"GJ"</formula>
    </cfRule>
    <cfRule type="cellIs" dxfId="126" priority="17" operator="between">
      <formula>"M1"</formula>
      <formula>"M5"</formula>
    </cfRule>
  </conditionalFormatting>
  <conditionalFormatting sqref="C31:G46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{B97623C1-AAB1-422D-92A3-D3C12E552ECC}</x14:id>
        </ext>
      </extLst>
    </cfRule>
  </conditionalFormatting>
  <conditionalFormatting sqref="D52:D54">
    <cfRule type="cellIs" dxfId="125" priority="9" operator="equal">
      <formula>"C1"</formula>
    </cfRule>
    <cfRule type="cellIs" dxfId="124" priority="10" operator="between">
      <formula>"G1"</formula>
      <formula>"G4"</formula>
    </cfRule>
    <cfRule type="cellIs" dxfId="123" priority="11" operator="between">
      <formula>"GA"</formula>
      <formula>"GQ"</formula>
    </cfRule>
    <cfRule type="cellIs" dxfId="122" priority="12" operator="between">
      <formula>"M1"</formula>
      <formula>"M4"</formula>
    </cfRule>
  </conditionalFormatting>
  <conditionalFormatting sqref="E52:E54">
    <cfRule type="cellIs" dxfId="121" priority="5" operator="equal">
      <formula>"C1"</formula>
    </cfRule>
    <cfRule type="cellIs" dxfId="120" priority="6" operator="between">
      <formula>"G1"</formula>
      <formula>"G4"</formula>
    </cfRule>
    <cfRule type="cellIs" dxfId="119" priority="7" operator="between">
      <formula>"GA"</formula>
      <formula>"GQ"</formula>
    </cfRule>
    <cfRule type="cellIs" dxfId="118" priority="8" operator="between">
      <formula>"M1"</formula>
      <formula>"M4"</formula>
    </cfRule>
  </conditionalFormatting>
  <conditionalFormatting sqref="F52:F54">
    <cfRule type="cellIs" dxfId="117" priority="1" operator="equal">
      <formula>"C1"</formula>
    </cfRule>
    <cfRule type="cellIs" dxfId="116" priority="2" operator="between">
      <formula>"G1"</formula>
      <formula>"G4"</formula>
    </cfRule>
    <cfRule type="cellIs" dxfId="115" priority="3" operator="between">
      <formula>"GA"</formula>
      <formula>"GQ"</formula>
    </cfRule>
    <cfRule type="cellIs" dxfId="114" priority="4" operator="between">
      <formula>"M1"</formula>
      <formula>"M4"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7623C1-AAB1-422D-92A3-D3C12E552E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C31:G46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>
      <selection activeCell="E34" sqref="E34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3" width="11" style="5" bestFit="1" customWidth="1"/>
    <col min="4" max="6" width="9.5546875" style="5" bestFit="1" customWidth="1"/>
    <col min="7" max="7" width="11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6" t="s">
        <v>101</v>
      </c>
      <c r="Q2" s="26" t="s">
        <v>102</v>
      </c>
      <c r="W2" s="26" t="s">
        <v>103</v>
      </c>
      <c r="AC2" s="26" t="s">
        <v>104</v>
      </c>
      <c r="AH2" s="5"/>
      <c r="AI2" s="5"/>
      <c r="AJ2" s="26" t="s">
        <v>80</v>
      </c>
      <c r="AO2" s="5"/>
    </row>
    <row r="3" spans="1:41" ht="15.9" customHeight="1" x14ac:dyDescent="0.3">
      <c r="A3" s="19" t="s">
        <v>5</v>
      </c>
      <c r="B3" s="19" t="s">
        <v>12</v>
      </c>
      <c r="C3" s="19" t="s">
        <v>6</v>
      </c>
      <c r="D3" s="19" t="s">
        <v>7</v>
      </c>
      <c r="E3" s="19" t="s">
        <v>8</v>
      </c>
      <c r="F3" s="19" t="s">
        <v>9</v>
      </c>
      <c r="G3" s="19" t="s">
        <v>10</v>
      </c>
      <c r="H3" s="19" t="s">
        <v>11</v>
      </c>
      <c r="I3" s="14"/>
      <c r="J3" s="19"/>
      <c r="K3" s="19" t="s">
        <v>13</v>
      </c>
      <c r="L3" s="19" t="s">
        <v>14</v>
      </c>
      <c r="M3" s="19" t="s">
        <v>15</v>
      </c>
      <c r="N3" s="19" t="s">
        <v>16</v>
      </c>
      <c r="O3" s="19" t="s">
        <v>17</v>
      </c>
      <c r="Q3" s="19" t="s">
        <v>13</v>
      </c>
      <c r="R3" s="19" t="s">
        <v>14</v>
      </c>
      <c r="S3" s="19" t="s">
        <v>15</v>
      </c>
      <c r="T3" s="19" t="s">
        <v>16</v>
      </c>
      <c r="U3" s="19" t="s">
        <v>17</v>
      </c>
      <c r="W3" s="19" t="s">
        <v>6</v>
      </c>
      <c r="X3" s="19" t="s">
        <v>14</v>
      </c>
      <c r="Y3" s="19" t="s">
        <v>15</v>
      </c>
      <c r="Z3" s="19" t="s">
        <v>16</v>
      </c>
      <c r="AA3" s="19" t="s">
        <v>17</v>
      </c>
      <c r="AO3" s="5"/>
    </row>
    <row r="4" spans="1:41" ht="15.9" customHeight="1" x14ac:dyDescent="0.3">
      <c r="A4" s="28" t="str" cm="1">
        <f t="array" ref="A4:B23">Overview!A38:B57</f>
        <v>WW</v>
      </c>
      <c r="B4" s="8" t="str">
        <v>Wild</v>
      </c>
      <c r="C4" s="53">
        <f t="shared" ref="C4:G23" si="0">COUNTIF(K:K, $A4)</f>
        <v>0</v>
      </c>
      <c r="D4" s="53">
        <f t="shared" si="0"/>
        <v>0</v>
      </c>
      <c r="E4" s="53">
        <f t="shared" si="0"/>
        <v>0</v>
      </c>
      <c r="F4" s="53">
        <f t="shared" si="0"/>
        <v>0</v>
      </c>
      <c r="G4" s="53">
        <f t="shared" si="0"/>
        <v>0</v>
      </c>
      <c r="H4" s="8" cm="1">
        <f t="array" ref="H4:H23">Overview!F38:F57</f>
        <v>0</v>
      </c>
      <c r="I4" s="51"/>
      <c r="J4" s="24" cm="1">
        <f t="array" ref="J4:J203">_xlfn.SEQUENCE(MAX(COUNTA(K:K), COUNTA(L:L), COUNTA(M:M), COUNTA(N:N), COUNTA(O:O))-1,,0)</f>
        <v>0</v>
      </c>
      <c r="K4" s="25" t="s">
        <v>22</v>
      </c>
      <c r="L4" s="25" t="s">
        <v>18</v>
      </c>
      <c r="M4" s="25" t="s">
        <v>18</v>
      </c>
      <c r="N4" s="25" t="s">
        <v>95</v>
      </c>
      <c r="O4" s="25" t="s">
        <v>35</v>
      </c>
      <c r="Q4" s="24" cm="1">
        <f t="array" ref="Q4:U304">_xlfn.LET(_xlpm.x, K4:O304, IF(_xlpm.x="", "", _xlfn.XLOOKUP(_xlpm.x, $A$4:$A$23,_xlfn.ANCHORARRAY( H4))))</f>
        <v>3</v>
      </c>
      <c r="R4" s="24">
        <v>4</v>
      </c>
      <c r="S4" s="24">
        <v>4</v>
      </c>
      <c r="T4" s="24">
        <v>6</v>
      </c>
      <c r="U4" s="24">
        <v>8</v>
      </c>
      <c r="W4" s="24">
        <v>1</v>
      </c>
      <c r="X4" s="24">
        <v>1</v>
      </c>
      <c r="Y4" s="24">
        <v>1</v>
      </c>
      <c r="Z4" s="24">
        <v>1</v>
      </c>
      <c r="AA4" s="24">
        <v>1</v>
      </c>
      <c r="AB4" s="42"/>
      <c r="AC4" s="26" t="s">
        <v>99</v>
      </c>
      <c r="AH4" s="5"/>
      <c r="AI4" s="5"/>
      <c r="AJ4" s="26" t="s">
        <v>99</v>
      </c>
      <c r="AO4" s="5"/>
    </row>
    <row r="5" spans="1:41" ht="15.9" customHeight="1" x14ac:dyDescent="0.3">
      <c r="A5" s="28" t="str">
        <v>C1</v>
      </c>
      <c r="B5" s="8" t="str">
        <v>Scatter</v>
      </c>
      <c r="C5" s="53">
        <f t="shared" si="0"/>
        <v>6</v>
      </c>
      <c r="D5" s="53">
        <f t="shared" si="0"/>
        <v>6</v>
      </c>
      <c r="E5" s="53">
        <f t="shared" si="0"/>
        <v>6</v>
      </c>
      <c r="F5" s="53">
        <f t="shared" si="0"/>
        <v>9</v>
      </c>
      <c r="G5" s="53">
        <f t="shared" si="0"/>
        <v>9</v>
      </c>
      <c r="H5" s="8">
        <v>1</v>
      </c>
      <c r="I5" s="51"/>
      <c r="J5" s="9">
        <v>1</v>
      </c>
      <c r="K5" s="15" t="s">
        <v>35</v>
      </c>
      <c r="L5" s="15" t="s">
        <v>70</v>
      </c>
      <c r="M5" s="15" t="s">
        <v>22</v>
      </c>
      <c r="N5" s="15" t="s">
        <v>37</v>
      </c>
      <c r="O5" s="15" t="s">
        <v>36</v>
      </c>
      <c r="Q5" s="9">
        <v>8</v>
      </c>
      <c r="R5" s="9">
        <v>19</v>
      </c>
      <c r="S5" s="9">
        <v>3</v>
      </c>
      <c r="T5" s="9">
        <v>7</v>
      </c>
      <c r="U5" s="9">
        <v>10</v>
      </c>
      <c r="W5" s="24">
        <v>1</v>
      </c>
      <c r="X5" s="24">
        <v>1</v>
      </c>
      <c r="Y5" s="24">
        <v>1</v>
      </c>
      <c r="Z5" s="24">
        <v>1</v>
      </c>
      <c r="AA5" s="24">
        <v>1</v>
      </c>
      <c r="AC5" s="68" t="s">
        <v>42</v>
      </c>
      <c r="AD5" s="68" t="s">
        <v>13</v>
      </c>
      <c r="AE5" s="68" t="s">
        <v>14</v>
      </c>
      <c r="AF5" s="68" t="s">
        <v>15</v>
      </c>
      <c r="AG5" s="68" t="s">
        <v>16</v>
      </c>
      <c r="AH5" s="68" t="s">
        <v>17</v>
      </c>
      <c r="AI5" s="5"/>
      <c r="AJ5" s="68" t="s">
        <v>42</v>
      </c>
      <c r="AK5" s="68" t="s">
        <v>13</v>
      </c>
      <c r="AL5" s="68" t="s">
        <v>14</v>
      </c>
      <c r="AM5" s="68" t="s">
        <v>15</v>
      </c>
      <c r="AN5" s="68" t="s">
        <v>16</v>
      </c>
      <c r="AO5" s="68" t="s">
        <v>17</v>
      </c>
    </row>
    <row r="6" spans="1:41" ht="15.9" customHeight="1" x14ac:dyDescent="0.3">
      <c r="A6" s="66" t="str">
        <v>M1</v>
      </c>
      <c r="B6" s="58" t="str">
        <v>M1</v>
      </c>
      <c r="C6" s="66">
        <f t="shared" si="0"/>
        <v>4</v>
      </c>
      <c r="D6" s="66">
        <f t="shared" si="0"/>
        <v>17</v>
      </c>
      <c r="E6" s="66">
        <f t="shared" si="0"/>
        <v>4</v>
      </c>
      <c r="F6" s="66">
        <f t="shared" si="0"/>
        <v>21</v>
      </c>
      <c r="G6" s="66">
        <f t="shared" si="0"/>
        <v>22</v>
      </c>
      <c r="H6" s="58">
        <v>2</v>
      </c>
      <c r="I6" s="51"/>
      <c r="J6" s="24">
        <v>2</v>
      </c>
      <c r="K6" s="15" t="s">
        <v>35</v>
      </c>
      <c r="L6" s="15" t="s">
        <v>62</v>
      </c>
      <c r="M6" s="15" t="s">
        <v>20</v>
      </c>
      <c r="N6" s="15" t="s">
        <v>36</v>
      </c>
      <c r="O6" s="15" t="s">
        <v>20</v>
      </c>
      <c r="Q6" s="9">
        <v>8</v>
      </c>
      <c r="R6" s="9">
        <v>12</v>
      </c>
      <c r="S6" s="9">
        <v>1</v>
      </c>
      <c r="T6" s="9">
        <v>10</v>
      </c>
      <c r="U6" s="9">
        <v>1</v>
      </c>
      <c r="W6" s="24">
        <v>1</v>
      </c>
      <c r="X6" s="24">
        <v>1</v>
      </c>
      <c r="Y6" s="24">
        <v>1</v>
      </c>
      <c r="Z6" s="24">
        <v>1</v>
      </c>
      <c r="AA6" s="24">
        <v>1</v>
      </c>
      <c r="AC6" s="71" t="str" cm="1">
        <f t="array" ref="AC6:AC25">$A$4:$A$23</f>
        <v>WW</v>
      </c>
      <c r="AD6" s="72">
        <v>0</v>
      </c>
      <c r="AE6" s="72">
        <v>0</v>
      </c>
      <c r="AF6" s="72">
        <v>0</v>
      </c>
      <c r="AG6" s="72">
        <v>0</v>
      </c>
      <c r="AH6" s="72">
        <v>0</v>
      </c>
      <c r="AI6" s="5"/>
      <c r="AJ6" s="71" t="str" cm="1">
        <f t="array" ref="AJ6:AJ25">$A$4:$A$23</f>
        <v>WW</v>
      </c>
      <c r="AK6" s="72">
        <v>0</v>
      </c>
      <c r="AL6" s="72">
        <v>0</v>
      </c>
      <c r="AM6" s="72">
        <v>0</v>
      </c>
      <c r="AN6" s="72">
        <v>0</v>
      </c>
      <c r="AO6" s="72">
        <v>0</v>
      </c>
    </row>
    <row r="7" spans="1:41" ht="15.9" customHeight="1" x14ac:dyDescent="0.3">
      <c r="A7" s="66" t="str">
        <v>M2</v>
      </c>
      <c r="B7" s="58" t="str">
        <v>M2</v>
      </c>
      <c r="C7" s="66">
        <f t="shared" si="0"/>
        <v>4</v>
      </c>
      <c r="D7" s="66">
        <f t="shared" si="0"/>
        <v>18</v>
      </c>
      <c r="E7" s="66">
        <f t="shared" si="0"/>
        <v>4</v>
      </c>
      <c r="F7" s="66">
        <f t="shared" si="0"/>
        <v>20</v>
      </c>
      <c r="G7" s="66">
        <f t="shared" si="0"/>
        <v>22</v>
      </c>
      <c r="H7" s="58">
        <v>3</v>
      </c>
      <c r="I7" s="51"/>
      <c r="J7" s="9">
        <v>3</v>
      </c>
      <c r="K7" s="15" t="s">
        <v>95</v>
      </c>
      <c r="L7" s="25" t="s">
        <v>96</v>
      </c>
      <c r="M7" s="15" t="s">
        <v>35</v>
      </c>
      <c r="N7" s="15" t="s">
        <v>22</v>
      </c>
      <c r="O7" s="15" t="s">
        <v>22</v>
      </c>
      <c r="Q7" s="9">
        <v>6</v>
      </c>
      <c r="R7" s="9">
        <v>15</v>
      </c>
      <c r="S7" s="9">
        <v>8</v>
      </c>
      <c r="T7" s="9">
        <v>3</v>
      </c>
      <c r="U7" s="9">
        <v>3</v>
      </c>
      <c r="W7" s="24">
        <v>1</v>
      </c>
      <c r="X7" s="24">
        <v>1</v>
      </c>
      <c r="Y7" s="24">
        <v>1</v>
      </c>
      <c r="Z7" s="24">
        <v>1</v>
      </c>
      <c r="AA7" s="24">
        <v>1</v>
      </c>
      <c r="AC7" s="71" t="str">
        <v>C1</v>
      </c>
      <c r="AD7" s="71">
        <v>6</v>
      </c>
      <c r="AE7" s="71">
        <v>6</v>
      </c>
      <c r="AF7" s="71">
        <v>6</v>
      </c>
      <c r="AG7" s="71">
        <v>9</v>
      </c>
      <c r="AH7" s="71">
        <v>9</v>
      </c>
      <c r="AI7" s="5"/>
      <c r="AJ7" s="71" t="str">
        <v>C1</v>
      </c>
      <c r="AK7" s="71">
        <v>6</v>
      </c>
      <c r="AL7" s="71">
        <v>6</v>
      </c>
      <c r="AM7" s="71">
        <v>6</v>
      </c>
      <c r="AN7" s="71">
        <v>9</v>
      </c>
      <c r="AO7" s="71">
        <v>9</v>
      </c>
    </row>
    <row r="8" spans="1:41" ht="15.9" customHeight="1" x14ac:dyDescent="0.3">
      <c r="A8" s="66" t="str">
        <v>M3</v>
      </c>
      <c r="B8" s="58" t="str">
        <v>M3</v>
      </c>
      <c r="C8" s="66">
        <f t="shared" si="0"/>
        <v>4</v>
      </c>
      <c r="D8" s="66">
        <f t="shared" si="0"/>
        <v>18</v>
      </c>
      <c r="E8" s="66">
        <f t="shared" si="0"/>
        <v>4</v>
      </c>
      <c r="F8" s="66">
        <f t="shared" si="0"/>
        <v>20</v>
      </c>
      <c r="G8" s="66">
        <f t="shared" si="0"/>
        <v>21</v>
      </c>
      <c r="H8" s="58">
        <v>4</v>
      </c>
      <c r="I8" s="51"/>
      <c r="J8" s="24">
        <v>4</v>
      </c>
      <c r="K8" s="15" t="s">
        <v>35</v>
      </c>
      <c r="L8" s="15" t="s">
        <v>96</v>
      </c>
      <c r="M8" s="15" t="s">
        <v>19</v>
      </c>
      <c r="N8" s="15" t="s">
        <v>63</v>
      </c>
      <c r="O8" s="15" t="s">
        <v>22</v>
      </c>
      <c r="Q8" s="9">
        <v>8</v>
      </c>
      <c r="R8" s="9">
        <v>15</v>
      </c>
      <c r="S8" s="9">
        <v>5</v>
      </c>
      <c r="T8" s="9">
        <v>13</v>
      </c>
      <c r="U8" s="9">
        <v>3</v>
      </c>
      <c r="W8" s="24">
        <v>1</v>
      </c>
      <c r="X8" s="24">
        <v>1</v>
      </c>
      <c r="Y8" s="24">
        <v>1</v>
      </c>
      <c r="Z8" s="24">
        <v>1</v>
      </c>
      <c r="AA8" s="24">
        <v>1</v>
      </c>
      <c r="AC8" s="80" t="str">
        <v>M1</v>
      </c>
      <c r="AD8" s="66">
        <v>4</v>
      </c>
      <c r="AE8" s="66">
        <v>17</v>
      </c>
      <c r="AF8" s="66">
        <v>4</v>
      </c>
      <c r="AG8" s="66">
        <v>21</v>
      </c>
      <c r="AH8" s="66">
        <v>22</v>
      </c>
      <c r="AI8" s="5"/>
      <c r="AJ8" s="80" t="str">
        <v>M1</v>
      </c>
      <c r="AK8" s="66">
        <v>4</v>
      </c>
      <c r="AL8" s="66">
        <v>17</v>
      </c>
      <c r="AM8" s="66">
        <v>4</v>
      </c>
      <c r="AN8" s="66">
        <v>21</v>
      </c>
      <c r="AO8" s="66">
        <v>22</v>
      </c>
    </row>
    <row r="9" spans="1:41" ht="15.9" customHeight="1" x14ac:dyDescent="0.3">
      <c r="A9" s="66" t="str">
        <v>M4</v>
      </c>
      <c r="B9" s="58" t="str">
        <v>M4</v>
      </c>
      <c r="C9" s="66">
        <f t="shared" si="0"/>
        <v>40</v>
      </c>
      <c r="D9" s="66">
        <f t="shared" si="0"/>
        <v>14</v>
      </c>
      <c r="E9" s="66">
        <f t="shared" si="0"/>
        <v>41</v>
      </c>
      <c r="F9" s="66">
        <f t="shared" si="0"/>
        <v>14</v>
      </c>
      <c r="G9" s="66">
        <f t="shared" si="0"/>
        <v>21</v>
      </c>
      <c r="H9" s="58">
        <v>5</v>
      </c>
      <c r="I9" s="51"/>
      <c r="J9" s="9">
        <v>5</v>
      </c>
      <c r="K9" s="15" t="s">
        <v>37</v>
      </c>
      <c r="L9" s="15" t="s">
        <v>81</v>
      </c>
      <c r="M9" s="15" t="s">
        <v>37</v>
      </c>
      <c r="N9" s="15" t="s">
        <v>36</v>
      </c>
      <c r="O9" s="15" t="s">
        <v>36</v>
      </c>
      <c r="Q9" s="9">
        <v>7</v>
      </c>
      <c r="R9" s="9">
        <v>17</v>
      </c>
      <c r="S9" s="9">
        <v>7</v>
      </c>
      <c r="T9" s="9">
        <v>10</v>
      </c>
      <c r="U9" s="9">
        <v>10</v>
      </c>
      <c r="W9" s="24">
        <v>1</v>
      </c>
      <c r="X9" s="24">
        <v>1</v>
      </c>
      <c r="Y9" s="24">
        <v>1</v>
      </c>
      <c r="Z9" s="24">
        <v>1</v>
      </c>
      <c r="AA9" s="24">
        <v>1</v>
      </c>
      <c r="AC9" s="80" t="str">
        <v>M2</v>
      </c>
      <c r="AD9" s="66">
        <v>4</v>
      </c>
      <c r="AE9" s="66">
        <v>18</v>
      </c>
      <c r="AF9" s="66">
        <v>4</v>
      </c>
      <c r="AG9" s="66">
        <v>20</v>
      </c>
      <c r="AH9" s="66">
        <v>22</v>
      </c>
      <c r="AI9" s="5"/>
      <c r="AJ9" s="80" t="str">
        <v>M2</v>
      </c>
      <c r="AK9" s="66">
        <v>4</v>
      </c>
      <c r="AL9" s="66">
        <v>18</v>
      </c>
      <c r="AM9" s="66">
        <v>4</v>
      </c>
      <c r="AN9" s="66">
        <v>20</v>
      </c>
      <c r="AO9" s="66">
        <v>22</v>
      </c>
    </row>
    <row r="10" spans="1:41" ht="15.9" customHeight="1" x14ac:dyDescent="0.3">
      <c r="A10" s="66" t="str">
        <v>M5</v>
      </c>
      <c r="B10" s="58" t="str">
        <v>M5</v>
      </c>
      <c r="C10" s="66">
        <f t="shared" si="0"/>
        <v>40</v>
      </c>
      <c r="D10" s="66">
        <f t="shared" si="0"/>
        <v>14</v>
      </c>
      <c r="E10" s="66">
        <f t="shared" si="0"/>
        <v>41</v>
      </c>
      <c r="F10" s="66">
        <f t="shared" si="0"/>
        <v>14</v>
      </c>
      <c r="G10" s="66">
        <f t="shared" si="0"/>
        <v>21</v>
      </c>
      <c r="H10" s="58">
        <v>6</v>
      </c>
      <c r="I10" s="51"/>
      <c r="J10" s="24">
        <v>6</v>
      </c>
      <c r="K10" s="15" t="s">
        <v>95</v>
      </c>
      <c r="L10" s="15" t="s">
        <v>95</v>
      </c>
      <c r="M10" s="15" t="s">
        <v>19</v>
      </c>
      <c r="N10" s="15" t="s">
        <v>36</v>
      </c>
      <c r="O10" s="15" t="s">
        <v>19</v>
      </c>
      <c r="Q10" s="9">
        <v>6</v>
      </c>
      <c r="R10" s="9">
        <v>6</v>
      </c>
      <c r="S10" s="9">
        <v>5</v>
      </c>
      <c r="T10" s="9">
        <v>10</v>
      </c>
      <c r="U10" s="9">
        <v>5</v>
      </c>
      <c r="W10" s="24">
        <v>1</v>
      </c>
      <c r="X10" s="24">
        <v>1</v>
      </c>
      <c r="Y10" s="24">
        <v>1</v>
      </c>
      <c r="Z10" s="24">
        <v>1</v>
      </c>
      <c r="AA10" s="24">
        <v>1</v>
      </c>
      <c r="AC10" s="80" t="str">
        <v>M3</v>
      </c>
      <c r="AD10" s="66">
        <v>4</v>
      </c>
      <c r="AE10" s="66">
        <v>18</v>
      </c>
      <c r="AF10" s="66">
        <v>4</v>
      </c>
      <c r="AG10" s="66">
        <v>20</v>
      </c>
      <c r="AH10" s="66">
        <v>21</v>
      </c>
      <c r="AI10" s="5"/>
      <c r="AJ10" s="80" t="str">
        <v>M3</v>
      </c>
      <c r="AK10" s="66">
        <v>4</v>
      </c>
      <c r="AL10" s="66">
        <v>18</v>
      </c>
      <c r="AM10" s="66">
        <v>4</v>
      </c>
      <c r="AN10" s="66">
        <v>20</v>
      </c>
      <c r="AO10" s="66">
        <v>21</v>
      </c>
    </row>
    <row r="11" spans="1:41" ht="15.9" customHeight="1" x14ac:dyDescent="0.3">
      <c r="A11" s="66" t="str">
        <v>A</v>
      </c>
      <c r="B11" s="58" t="str">
        <v>A</v>
      </c>
      <c r="C11" s="66">
        <f t="shared" si="0"/>
        <v>47</v>
      </c>
      <c r="D11" s="66">
        <f t="shared" si="0"/>
        <v>13</v>
      </c>
      <c r="E11" s="66">
        <f t="shared" si="0"/>
        <v>41</v>
      </c>
      <c r="F11" s="66">
        <f t="shared" si="0"/>
        <v>14</v>
      </c>
      <c r="G11" s="66">
        <f t="shared" si="0"/>
        <v>21</v>
      </c>
      <c r="H11" s="58">
        <v>7</v>
      </c>
      <c r="I11" s="51"/>
      <c r="J11" s="9">
        <v>7</v>
      </c>
      <c r="K11" s="15" t="s">
        <v>95</v>
      </c>
      <c r="L11" s="15" t="s">
        <v>95</v>
      </c>
      <c r="M11" s="15" t="s">
        <v>37</v>
      </c>
      <c r="N11" s="15" t="s">
        <v>37</v>
      </c>
      <c r="O11" s="15" t="s">
        <v>95</v>
      </c>
      <c r="Q11" s="9">
        <v>6</v>
      </c>
      <c r="R11" s="9">
        <v>6</v>
      </c>
      <c r="S11" s="9">
        <v>7</v>
      </c>
      <c r="T11" s="9">
        <v>7</v>
      </c>
      <c r="U11" s="9">
        <v>6</v>
      </c>
      <c r="W11" s="24">
        <v>1</v>
      </c>
      <c r="X11" s="24">
        <v>1</v>
      </c>
      <c r="Y11" s="24">
        <v>1</v>
      </c>
      <c r="Z11" s="24">
        <v>1</v>
      </c>
      <c r="AA11" s="24">
        <v>1</v>
      </c>
      <c r="AC11" s="80" t="str">
        <v>M4</v>
      </c>
      <c r="AD11" s="66">
        <v>40</v>
      </c>
      <c r="AE11" s="66">
        <v>14</v>
      </c>
      <c r="AF11" s="66">
        <v>41</v>
      </c>
      <c r="AG11" s="66">
        <v>14</v>
      </c>
      <c r="AH11" s="66">
        <v>21</v>
      </c>
      <c r="AI11" s="5"/>
      <c r="AJ11" s="80" t="str">
        <v>M4</v>
      </c>
      <c r="AK11" s="66">
        <v>40</v>
      </c>
      <c r="AL11" s="66">
        <v>14</v>
      </c>
      <c r="AM11" s="66">
        <v>41</v>
      </c>
      <c r="AN11" s="66">
        <v>14</v>
      </c>
      <c r="AO11" s="66">
        <v>21</v>
      </c>
    </row>
    <row r="12" spans="1:41" ht="15.9" customHeight="1" x14ac:dyDescent="0.3">
      <c r="A12" s="66" t="str">
        <v>K</v>
      </c>
      <c r="B12" s="58" t="str">
        <v>K</v>
      </c>
      <c r="C12" s="66">
        <f t="shared" si="0"/>
        <v>47</v>
      </c>
      <c r="D12" s="66">
        <f t="shared" si="0"/>
        <v>13</v>
      </c>
      <c r="E12" s="66">
        <f t="shared" si="0"/>
        <v>41</v>
      </c>
      <c r="F12" s="66">
        <f t="shared" si="0"/>
        <v>14</v>
      </c>
      <c r="G12" s="66">
        <f t="shared" si="0"/>
        <v>21</v>
      </c>
      <c r="H12" s="58">
        <v>8</v>
      </c>
      <c r="I12" s="51"/>
      <c r="J12" s="24">
        <v>8</v>
      </c>
      <c r="K12" s="15" t="s">
        <v>37</v>
      </c>
      <c r="L12" s="15" t="s">
        <v>62</v>
      </c>
      <c r="M12" s="15" t="s">
        <v>96</v>
      </c>
      <c r="N12" s="15" t="s">
        <v>18</v>
      </c>
      <c r="O12" s="15" t="s">
        <v>34</v>
      </c>
      <c r="Q12" s="9">
        <v>7</v>
      </c>
      <c r="R12" s="9">
        <v>12</v>
      </c>
      <c r="S12" s="9">
        <v>15</v>
      </c>
      <c r="T12" s="9">
        <v>4</v>
      </c>
      <c r="U12" s="9">
        <v>9</v>
      </c>
      <c r="W12" s="24">
        <v>1</v>
      </c>
      <c r="X12" s="24">
        <v>1</v>
      </c>
      <c r="Y12" s="24">
        <v>1</v>
      </c>
      <c r="Z12" s="24">
        <v>1</v>
      </c>
      <c r="AA12" s="24">
        <v>1</v>
      </c>
      <c r="AC12" s="80" t="str">
        <v>M5</v>
      </c>
      <c r="AD12" s="66">
        <v>40</v>
      </c>
      <c r="AE12" s="66">
        <v>14</v>
      </c>
      <c r="AF12" s="66">
        <v>41</v>
      </c>
      <c r="AG12" s="66">
        <v>14</v>
      </c>
      <c r="AH12" s="66">
        <v>21</v>
      </c>
      <c r="AI12" s="5"/>
      <c r="AJ12" s="80" t="str">
        <v>M5</v>
      </c>
      <c r="AK12" s="66">
        <v>40</v>
      </c>
      <c r="AL12" s="66">
        <v>14</v>
      </c>
      <c r="AM12" s="66">
        <v>41</v>
      </c>
      <c r="AN12" s="66">
        <v>14</v>
      </c>
      <c r="AO12" s="66">
        <v>21</v>
      </c>
    </row>
    <row r="13" spans="1:41" ht="15.9" customHeight="1" x14ac:dyDescent="0.3">
      <c r="A13" s="66" t="str">
        <v>Q</v>
      </c>
      <c r="B13" s="58" t="str">
        <v>Q</v>
      </c>
      <c r="C13" s="66">
        <f t="shared" si="0"/>
        <v>4</v>
      </c>
      <c r="D13" s="66">
        <f t="shared" si="0"/>
        <v>17</v>
      </c>
      <c r="E13" s="66">
        <f t="shared" si="0"/>
        <v>3</v>
      </c>
      <c r="F13" s="66">
        <f t="shared" si="0"/>
        <v>21</v>
      </c>
      <c r="G13" s="66">
        <f t="shared" si="0"/>
        <v>21</v>
      </c>
      <c r="H13" s="58">
        <v>9</v>
      </c>
      <c r="I13" s="51"/>
      <c r="J13" s="9">
        <v>9</v>
      </c>
      <c r="K13" s="15" t="s">
        <v>95</v>
      </c>
      <c r="L13" s="15" t="s">
        <v>20</v>
      </c>
      <c r="M13" s="15" t="s">
        <v>37</v>
      </c>
      <c r="N13" s="15" t="s">
        <v>95</v>
      </c>
      <c r="O13" s="15" t="s">
        <v>34</v>
      </c>
      <c r="Q13" s="9">
        <v>6</v>
      </c>
      <c r="R13" s="9">
        <v>1</v>
      </c>
      <c r="S13" s="9">
        <v>7</v>
      </c>
      <c r="T13" s="9">
        <v>6</v>
      </c>
      <c r="U13" s="9">
        <v>9</v>
      </c>
      <c r="W13" s="24">
        <v>1</v>
      </c>
      <c r="X13" s="24">
        <v>1</v>
      </c>
      <c r="Y13" s="24">
        <v>1</v>
      </c>
      <c r="Z13" s="24">
        <v>1</v>
      </c>
      <c r="AA13" s="24">
        <v>1</v>
      </c>
      <c r="AC13" s="80" t="str">
        <v>A</v>
      </c>
      <c r="AD13" s="66">
        <v>47</v>
      </c>
      <c r="AE13" s="66">
        <v>13</v>
      </c>
      <c r="AF13" s="66">
        <v>41</v>
      </c>
      <c r="AG13" s="66">
        <v>14</v>
      </c>
      <c r="AH13" s="66">
        <v>21</v>
      </c>
      <c r="AI13" s="5"/>
      <c r="AJ13" s="80" t="str">
        <v>A</v>
      </c>
      <c r="AK13" s="66">
        <v>47</v>
      </c>
      <c r="AL13" s="66">
        <v>13</v>
      </c>
      <c r="AM13" s="66">
        <v>41</v>
      </c>
      <c r="AN13" s="66">
        <v>14</v>
      </c>
      <c r="AO13" s="66">
        <v>21</v>
      </c>
    </row>
    <row r="14" spans="1:41" ht="15.9" customHeight="1" x14ac:dyDescent="0.3">
      <c r="A14" s="66" t="str">
        <v>J</v>
      </c>
      <c r="B14" s="58" t="str">
        <v>J</v>
      </c>
      <c r="C14" s="66">
        <f t="shared" si="0"/>
        <v>4</v>
      </c>
      <c r="D14" s="66">
        <f t="shared" si="0"/>
        <v>17</v>
      </c>
      <c r="E14" s="66">
        <f t="shared" si="0"/>
        <v>3</v>
      </c>
      <c r="F14" s="66">
        <f t="shared" si="0"/>
        <v>21</v>
      </c>
      <c r="G14" s="66">
        <f t="shared" si="0"/>
        <v>21</v>
      </c>
      <c r="H14" s="58">
        <v>10</v>
      </c>
      <c r="I14" s="51"/>
      <c r="J14" s="24">
        <v>10</v>
      </c>
      <c r="K14" s="15" t="s">
        <v>35</v>
      </c>
      <c r="L14" s="15" t="s">
        <v>37</v>
      </c>
      <c r="M14" s="15" t="s">
        <v>35</v>
      </c>
      <c r="N14" s="15" t="s">
        <v>22</v>
      </c>
      <c r="O14" s="15" t="s">
        <v>21</v>
      </c>
      <c r="Q14" s="9">
        <v>8</v>
      </c>
      <c r="R14" s="9">
        <v>7</v>
      </c>
      <c r="S14" s="9">
        <v>8</v>
      </c>
      <c r="T14" s="9">
        <v>3</v>
      </c>
      <c r="U14" s="9">
        <v>2</v>
      </c>
      <c r="W14" s="24">
        <v>1</v>
      </c>
      <c r="X14" s="24">
        <v>1</v>
      </c>
      <c r="Y14" s="24">
        <v>1</v>
      </c>
      <c r="Z14" s="24">
        <v>1</v>
      </c>
      <c r="AA14" s="24">
        <v>1</v>
      </c>
      <c r="AC14" s="80" t="str">
        <v>K</v>
      </c>
      <c r="AD14" s="66">
        <v>47</v>
      </c>
      <c r="AE14" s="66">
        <v>13</v>
      </c>
      <c r="AF14" s="66">
        <v>41</v>
      </c>
      <c r="AG14" s="66">
        <v>14</v>
      </c>
      <c r="AH14" s="66">
        <v>21</v>
      </c>
      <c r="AI14" s="5"/>
      <c r="AJ14" s="80" t="str">
        <v>K</v>
      </c>
      <c r="AK14" s="66">
        <v>47</v>
      </c>
      <c r="AL14" s="66">
        <v>13</v>
      </c>
      <c r="AM14" s="66">
        <v>41</v>
      </c>
      <c r="AN14" s="66">
        <v>14</v>
      </c>
      <c r="AO14" s="66">
        <v>21</v>
      </c>
    </row>
    <row r="15" spans="1:41" ht="15.9" customHeight="1" x14ac:dyDescent="0.3">
      <c r="A15" s="28" t="str">
        <v>G1</v>
      </c>
      <c r="B15" s="8" t="str">
        <v>Gold M1</v>
      </c>
      <c r="C15" s="53">
        <f t="shared" si="0"/>
        <v>0</v>
      </c>
      <c r="D15" s="53">
        <f t="shared" si="0"/>
        <v>7</v>
      </c>
      <c r="E15" s="53">
        <f t="shared" si="0"/>
        <v>0</v>
      </c>
      <c r="F15" s="53">
        <f t="shared" si="0"/>
        <v>4</v>
      </c>
      <c r="G15" s="53">
        <f t="shared" si="0"/>
        <v>0</v>
      </c>
      <c r="H15" s="8">
        <v>11</v>
      </c>
      <c r="I15" s="51"/>
      <c r="J15" s="9">
        <v>11</v>
      </c>
      <c r="K15" s="15" t="s">
        <v>95</v>
      </c>
      <c r="L15" s="15" t="s">
        <v>70</v>
      </c>
      <c r="M15" s="15" t="s">
        <v>95</v>
      </c>
      <c r="N15" s="15" t="s">
        <v>18</v>
      </c>
      <c r="O15" s="15" t="s">
        <v>18</v>
      </c>
      <c r="Q15" s="9">
        <v>6</v>
      </c>
      <c r="R15" s="9">
        <v>19</v>
      </c>
      <c r="S15" s="9">
        <v>6</v>
      </c>
      <c r="T15" s="9">
        <v>4</v>
      </c>
      <c r="U15" s="9">
        <v>4</v>
      </c>
      <c r="W15" s="24">
        <v>1</v>
      </c>
      <c r="X15" s="24">
        <v>1</v>
      </c>
      <c r="Y15" s="24">
        <v>1</v>
      </c>
      <c r="Z15" s="24">
        <v>1</v>
      </c>
      <c r="AA15" s="24">
        <v>1</v>
      </c>
      <c r="AC15" s="80" t="str">
        <v>Q</v>
      </c>
      <c r="AD15" s="66">
        <v>4</v>
      </c>
      <c r="AE15" s="66">
        <v>17</v>
      </c>
      <c r="AF15" s="66">
        <v>3</v>
      </c>
      <c r="AG15" s="66">
        <v>21</v>
      </c>
      <c r="AH15" s="66">
        <v>21</v>
      </c>
      <c r="AI15" s="5"/>
      <c r="AJ15" s="80" t="str">
        <v>Q</v>
      </c>
      <c r="AK15" s="66">
        <v>4</v>
      </c>
      <c r="AL15" s="66">
        <v>17</v>
      </c>
      <c r="AM15" s="66">
        <v>3</v>
      </c>
      <c r="AN15" s="66">
        <v>21</v>
      </c>
      <c r="AO15" s="66">
        <v>21</v>
      </c>
    </row>
    <row r="16" spans="1:41" ht="15.9" customHeight="1" x14ac:dyDescent="0.3">
      <c r="A16" s="28" t="str">
        <v>G2</v>
      </c>
      <c r="B16" s="8" t="str">
        <v>Gold M2</v>
      </c>
      <c r="C16" s="53">
        <f t="shared" si="0"/>
        <v>0</v>
      </c>
      <c r="D16" s="53">
        <f t="shared" si="0"/>
        <v>7</v>
      </c>
      <c r="E16" s="53">
        <f t="shared" si="0"/>
        <v>0</v>
      </c>
      <c r="F16" s="53">
        <f t="shared" si="0"/>
        <v>4</v>
      </c>
      <c r="G16" s="53">
        <f t="shared" si="0"/>
        <v>0</v>
      </c>
      <c r="H16" s="8">
        <v>12</v>
      </c>
      <c r="I16" s="51"/>
      <c r="J16" s="24">
        <v>12</v>
      </c>
      <c r="K16" s="15" t="s">
        <v>19</v>
      </c>
      <c r="L16" s="15" t="s">
        <v>68</v>
      </c>
      <c r="M16" s="15" t="s">
        <v>95</v>
      </c>
      <c r="N16" s="15" t="s">
        <v>36</v>
      </c>
      <c r="O16" s="15" t="s">
        <v>18</v>
      </c>
      <c r="Q16" s="9">
        <v>5</v>
      </c>
      <c r="R16" s="9">
        <v>18</v>
      </c>
      <c r="S16" s="9">
        <v>6</v>
      </c>
      <c r="T16" s="9">
        <v>10</v>
      </c>
      <c r="U16" s="9">
        <v>4</v>
      </c>
      <c r="W16" s="24">
        <v>1</v>
      </c>
      <c r="X16" s="24">
        <v>1</v>
      </c>
      <c r="Y16" s="24">
        <v>1</v>
      </c>
      <c r="Z16" s="24">
        <v>1</v>
      </c>
      <c r="AA16" s="24">
        <v>1</v>
      </c>
      <c r="AC16" s="80" t="str">
        <v>J</v>
      </c>
      <c r="AD16" s="66">
        <v>4</v>
      </c>
      <c r="AE16" s="66">
        <v>17</v>
      </c>
      <c r="AF16" s="66">
        <v>3</v>
      </c>
      <c r="AG16" s="66">
        <v>21</v>
      </c>
      <c r="AH16" s="66">
        <v>21</v>
      </c>
      <c r="AI16" s="5"/>
      <c r="AJ16" s="80" t="str">
        <v>J</v>
      </c>
      <c r="AK16" s="66">
        <v>4</v>
      </c>
      <c r="AL16" s="66">
        <v>17</v>
      </c>
      <c r="AM16" s="66">
        <v>3</v>
      </c>
      <c r="AN16" s="66">
        <v>21</v>
      </c>
      <c r="AO16" s="66">
        <v>21</v>
      </c>
    </row>
    <row r="17" spans="1:41" ht="15.9" customHeight="1" x14ac:dyDescent="0.3">
      <c r="A17" s="28" t="str">
        <v>G3</v>
      </c>
      <c r="B17" s="8" t="str">
        <v>Gold M3</v>
      </c>
      <c r="C17" s="53">
        <f t="shared" si="0"/>
        <v>0</v>
      </c>
      <c r="D17" s="53">
        <f t="shared" si="0"/>
        <v>7</v>
      </c>
      <c r="E17" s="53">
        <f t="shared" si="0"/>
        <v>0</v>
      </c>
      <c r="F17" s="53">
        <f t="shared" si="0"/>
        <v>4</v>
      </c>
      <c r="G17" s="53">
        <f t="shared" si="0"/>
        <v>0</v>
      </c>
      <c r="H17" s="8">
        <v>13</v>
      </c>
      <c r="I17" s="51"/>
      <c r="J17" s="9">
        <v>13</v>
      </c>
      <c r="K17" s="15" t="s">
        <v>19</v>
      </c>
      <c r="L17" s="15" t="s">
        <v>95</v>
      </c>
      <c r="M17" s="15" t="s">
        <v>21</v>
      </c>
      <c r="N17" s="15" t="s">
        <v>36</v>
      </c>
      <c r="O17" s="15" t="s">
        <v>22</v>
      </c>
      <c r="Q17" s="9">
        <v>5</v>
      </c>
      <c r="R17" s="9">
        <v>6</v>
      </c>
      <c r="S17" s="9">
        <v>2</v>
      </c>
      <c r="T17" s="9">
        <v>10</v>
      </c>
      <c r="U17" s="9">
        <v>3</v>
      </c>
      <c r="W17" s="24">
        <v>1</v>
      </c>
      <c r="X17" s="24">
        <v>1</v>
      </c>
      <c r="Y17" s="24">
        <v>1</v>
      </c>
      <c r="Z17" s="24">
        <v>1</v>
      </c>
      <c r="AA17" s="24">
        <v>1</v>
      </c>
      <c r="AC17" s="71" t="str">
        <v>G1</v>
      </c>
      <c r="AD17" s="53">
        <v>0</v>
      </c>
      <c r="AE17" s="53">
        <v>7</v>
      </c>
      <c r="AF17" s="53">
        <v>0</v>
      </c>
      <c r="AG17" s="53">
        <v>4</v>
      </c>
      <c r="AH17" s="53">
        <v>0</v>
      </c>
      <c r="AI17" s="5"/>
      <c r="AJ17" s="71" t="str">
        <v>G1</v>
      </c>
      <c r="AK17" s="53">
        <v>0</v>
      </c>
      <c r="AL17" s="53">
        <v>7</v>
      </c>
      <c r="AM17" s="53">
        <v>0</v>
      </c>
      <c r="AN17" s="53">
        <v>4</v>
      </c>
      <c r="AO17" s="53">
        <v>0</v>
      </c>
    </row>
    <row r="18" spans="1:41" ht="15.9" customHeight="1" x14ac:dyDescent="0.3">
      <c r="A18" s="28" t="str">
        <v>G4</v>
      </c>
      <c r="B18" s="8" t="str">
        <v>Gold M4</v>
      </c>
      <c r="C18" s="53">
        <f t="shared" si="0"/>
        <v>0</v>
      </c>
      <c r="D18" s="53">
        <f t="shared" si="0"/>
        <v>4</v>
      </c>
      <c r="E18" s="53">
        <f t="shared" si="0"/>
        <v>3</v>
      </c>
      <c r="F18" s="53">
        <f t="shared" si="0"/>
        <v>3</v>
      </c>
      <c r="G18" s="53">
        <f t="shared" si="0"/>
        <v>0</v>
      </c>
      <c r="H18" s="8">
        <v>14</v>
      </c>
      <c r="I18" s="51"/>
      <c r="J18" s="24">
        <v>14</v>
      </c>
      <c r="K18" s="15" t="s">
        <v>95</v>
      </c>
      <c r="L18" s="15" t="s">
        <v>61</v>
      </c>
      <c r="M18" s="15" t="s">
        <v>35</v>
      </c>
      <c r="N18" s="15" t="s">
        <v>35</v>
      </c>
      <c r="O18" s="15" t="s">
        <v>22</v>
      </c>
      <c r="Q18" s="9">
        <v>6</v>
      </c>
      <c r="R18" s="9">
        <v>11</v>
      </c>
      <c r="S18" s="9">
        <v>8</v>
      </c>
      <c r="T18" s="9">
        <v>8</v>
      </c>
      <c r="U18" s="9">
        <v>3</v>
      </c>
      <c r="W18" s="24">
        <v>1</v>
      </c>
      <c r="X18" s="24">
        <v>1</v>
      </c>
      <c r="Y18" s="24">
        <v>1</v>
      </c>
      <c r="Z18" s="24">
        <v>1</v>
      </c>
      <c r="AA18" s="24">
        <v>1</v>
      </c>
      <c r="AC18" s="71" t="str">
        <v>G2</v>
      </c>
      <c r="AD18" s="53">
        <v>0</v>
      </c>
      <c r="AE18" s="53">
        <v>7</v>
      </c>
      <c r="AF18" s="53">
        <v>0</v>
      </c>
      <c r="AG18" s="53">
        <v>4</v>
      </c>
      <c r="AH18" s="53">
        <v>0</v>
      </c>
      <c r="AI18" s="5"/>
      <c r="AJ18" s="71" t="str">
        <v>G2</v>
      </c>
      <c r="AK18" s="53">
        <v>0</v>
      </c>
      <c r="AL18" s="53">
        <v>7</v>
      </c>
      <c r="AM18" s="53">
        <v>0</v>
      </c>
      <c r="AN18" s="53">
        <v>4</v>
      </c>
      <c r="AO18" s="53">
        <v>0</v>
      </c>
    </row>
    <row r="19" spans="1:41" ht="15.9" customHeight="1" x14ac:dyDescent="0.3">
      <c r="A19" s="28" t="str">
        <v>G5</v>
      </c>
      <c r="B19" s="8" t="str">
        <v>Gold M5</v>
      </c>
      <c r="C19" s="53">
        <f t="shared" si="0"/>
        <v>0</v>
      </c>
      <c r="D19" s="53">
        <f t="shared" si="0"/>
        <v>4</v>
      </c>
      <c r="E19" s="53">
        <f t="shared" si="0"/>
        <v>3</v>
      </c>
      <c r="F19" s="53">
        <f t="shared" si="0"/>
        <v>3</v>
      </c>
      <c r="G19" s="53">
        <f t="shared" si="0"/>
        <v>0</v>
      </c>
      <c r="H19" s="8">
        <v>15</v>
      </c>
      <c r="I19" s="51"/>
      <c r="J19" s="9">
        <v>15</v>
      </c>
      <c r="K19" s="15" t="s">
        <v>37</v>
      </c>
      <c r="L19" s="15" t="s">
        <v>22</v>
      </c>
      <c r="M19" s="15" t="s">
        <v>37</v>
      </c>
      <c r="N19" s="15" t="s">
        <v>21</v>
      </c>
      <c r="O19" s="15" t="s">
        <v>37</v>
      </c>
      <c r="Q19" s="9">
        <v>7</v>
      </c>
      <c r="R19" s="9">
        <v>3</v>
      </c>
      <c r="S19" s="9">
        <v>7</v>
      </c>
      <c r="T19" s="9">
        <v>2</v>
      </c>
      <c r="U19" s="9">
        <v>7</v>
      </c>
      <c r="W19" s="24">
        <v>1</v>
      </c>
      <c r="X19" s="24">
        <v>1</v>
      </c>
      <c r="Y19" s="24">
        <v>1</v>
      </c>
      <c r="Z19" s="24">
        <v>1</v>
      </c>
      <c r="AA19" s="24">
        <v>1</v>
      </c>
      <c r="AC19" s="71" t="str">
        <v>G3</v>
      </c>
      <c r="AD19" s="53">
        <v>0</v>
      </c>
      <c r="AE19" s="53">
        <v>7</v>
      </c>
      <c r="AF19" s="53">
        <v>0</v>
      </c>
      <c r="AG19" s="53">
        <v>4</v>
      </c>
      <c r="AH19" s="53">
        <v>0</v>
      </c>
      <c r="AI19" s="5"/>
      <c r="AJ19" s="71" t="str">
        <v>G3</v>
      </c>
      <c r="AK19" s="53">
        <v>0</v>
      </c>
      <c r="AL19" s="53">
        <v>7</v>
      </c>
      <c r="AM19" s="53">
        <v>0</v>
      </c>
      <c r="AN19" s="53">
        <v>4</v>
      </c>
      <c r="AO19" s="53">
        <v>0</v>
      </c>
    </row>
    <row r="20" spans="1:41" ht="15.9" customHeight="1" x14ac:dyDescent="0.3">
      <c r="A20" s="28" t="str">
        <v>GA</v>
      </c>
      <c r="B20" s="8" t="str">
        <v>Gold A</v>
      </c>
      <c r="C20" s="53">
        <f t="shared" si="0"/>
        <v>0</v>
      </c>
      <c r="D20" s="53">
        <f t="shared" si="0"/>
        <v>4</v>
      </c>
      <c r="E20" s="53">
        <f t="shared" si="0"/>
        <v>3</v>
      </c>
      <c r="F20" s="53">
        <f t="shared" si="0"/>
        <v>3</v>
      </c>
      <c r="G20" s="53">
        <f t="shared" si="0"/>
        <v>0</v>
      </c>
      <c r="H20" s="8">
        <v>16</v>
      </c>
      <c r="I20" s="51"/>
      <c r="J20" s="24">
        <v>16</v>
      </c>
      <c r="K20" s="15" t="s">
        <v>22</v>
      </c>
      <c r="L20" s="15" t="s">
        <v>61</v>
      </c>
      <c r="M20" s="15" t="s">
        <v>21</v>
      </c>
      <c r="N20" s="15" t="s">
        <v>68</v>
      </c>
      <c r="O20" s="15" t="s">
        <v>19</v>
      </c>
      <c r="Q20" s="9">
        <v>3</v>
      </c>
      <c r="R20" s="9">
        <v>11</v>
      </c>
      <c r="S20" s="9">
        <v>2</v>
      </c>
      <c r="T20" s="9">
        <v>18</v>
      </c>
      <c r="U20" s="9">
        <v>5</v>
      </c>
      <c r="W20" s="24">
        <v>1</v>
      </c>
      <c r="X20" s="24">
        <v>1</v>
      </c>
      <c r="Y20" s="24">
        <v>1</v>
      </c>
      <c r="Z20" s="24">
        <v>1</v>
      </c>
      <c r="AA20" s="24">
        <v>1</v>
      </c>
      <c r="AC20" s="71" t="str">
        <v>G4</v>
      </c>
      <c r="AD20" s="53">
        <v>0</v>
      </c>
      <c r="AE20" s="53">
        <v>4</v>
      </c>
      <c r="AF20" s="53">
        <v>3</v>
      </c>
      <c r="AG20" s="53">
        <v>3</v>
      </c>
      <c r="AH20" s="53">
        <v>0</v>
      </c>
      <c r="AI20" s="5"/>
      <c r="AJ20" s="71" t="str">
        <v>G4</v>
      </c>
      <c r="AK20" s="53">
        <v>0</v>
      </c>
      <c r="AL20" s="53">
        <v>4</v>
      </c>
      <c r="AM20" s="53">
        <v>3</v>
      </c>
      <c r="AN20" s="53">
        <v>3</v>
      </c>
      <c r="AO20" s="53">
        <v>0</v>
      </c>
    </row>
    <row r="21" spans="1:41" ht="15.9" customHeight="1" x14ac:dyDescent="0.3">
      <c r="A21" s="28" t="str">
        <v>GK</v>
      </c>
      <c r="B21" s="8" t="str">
        <v>Gold K</v>
      </c>
      <c r="C21" s="53">
        <f t="shared" si="0"/>
        <v>0</v>
      </c>
      <c r="D21" s="53">
        <f t="shared" si="0"/>
        <v>4</v>
      </c>
      <c r="E21" s="53">
        <f t="shared" si="0"/>
        <v>3</v>
      </c>
      <c r="F21" s="53">
        <f t="shared" si="0"/>
        <v>3</v>
      </c>
      <c r="G21" s="53">
        <f t="shared" si="0"/>
        <v>0</v>
      </c>
      <c r="H21" s="8">
        <v>17</v>
      </c>
      <c r="I21" s="51"/>
      <c r="J21" s="9">
        <v>17</v>
      </c>
      <c r="K21" s="15" t="s">
        <v>37</v>
      </c>
      <c r="L21" s="15" t="s">
        <v>95</v>
      </c>
      <c r="M21" s="15" t="s">
        <v>36</v>
      </c>
      <c r="N21" s="15" t="s">
        <v>34</v>
      </c>
      <c r="O21" s="15" t="s">
        <v>95</v>
      </c>
      <c r="Q21" s="9">
        <v>7</v>
      </c>
      <c r="R21" s="9">
        <v>6</v>
      </c>
      <c r="S21" s="9">
        <v>10</v>
      </c>
      <c r="T21" s="9">
        <v>9</v>
      </c>
      <c r="U21" s="9">
        <v>6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C21" s="71" t="str">
        <v>G5</v>
      </c>
      <c r="AD21" s="53">
        <v>0</v>
      </c>
      <c r="AE21" s="53">
        <v>4</v>
      </c>
      <c r="AF21" s="53">
        <v>3</v>
      </c>
      <c r="AG21" s="53">
        <v>3</v>
      </c>
      <c r="AH21" s="53">
        <v>0</v>
      </c>
      <c r="AI21" s="5"/>
      <c r="AJ21" s="71" t="str">
        <v>G5</v>
      </c>
      <c r="AK21" s="53">
        <v>0</v>
      </c>
      <c r="AL21" s="53">
        <v>4</v>
      </c>
      <c r="AM21" s="53">
        <v>3</v>
      </c>
      <c r="AN21" s="53">
        <v>3</v>
      </c>
      <c r="AO21" s="53">
        <v>0</v>
      </c>
    </row>
    <row r="22" spans="1:41" ht="15.9" customHeight="1" x14ac:dyDescent="0.3">
      <c r="A22" s="28" t="str">
        <v>GQ</v>
      </c>
      <c r="B22" s="8" t="str">
        <v>Gold Q</v>
      </c>
      <c r="C22" s="53">
        <f t="shared" si="0"/>
        <v>0</v>
      </c>
      <c r="D22" s="53">
        <f t="shared" si="0"/>
        <v>8</v>
      </c>
      <c r="E22" s="53">
        <f t="shared" si="0"/>
        <v>0</v>
      </c>
      <c r="F22" s="53">
        <f t="shared" si="0"/>
        <v>4</v>
      </c>
      <c r="G22" s="53">
        <f t="shared" si="0"/>
        <v>0</v>
      </c>
      <c r="H22" s="8">
        <v>18</v>
      </c>
      <c r="I22" s="51"/>
      <c r="J22" s="24">
        <v>18</v>
      </c>
      <c r="K22" s="15" t="s">
        <v>35</v>
      </c>
      <c r="L22" s="15" t="s">
        <v>95</v>
      </c>
      <c r="M22" s="15" t="s">
        <v>35</v>
      </c>
      <c r="N22" s="15" t="s">
        <v>18</v>
      </c>
      <c r="O22" s="15" t="s">
        <v>21</v>
      </c>
      <c r="Q22" s="9">
        <v>8</v>
      </c>
      <c r="R22" s="9">
        <v>6</v>
      </c>
      <c r="S22" s="9">
        <v>8</v>
      </c>
      <c r="T22" s="9">
        <v>4</v>
      </c>
      <c r="U22" s="9">
        <v>2</v>
      </c>
      <c r="W22" s="24">
        <v>1</v>
      </c>
      <c r="X22" s="24">
        <v>1</v>
      </c>
      <c r="Y22" s="24">
        <v>1</v>
      </c>
      <c r="Z22" s="24">
        <v>1</v>
      </c>
      <c r="AA22" s="24">
        <v>1</v>
      </c>
      <c r="AC22" s="71" t="str">
        <v>GA</v>
      </c>
      <c r="AD22" s="53">
        <v>0</v>
      </c>
      <c r="AE22" s="53">
        <v>4</v>
      </c>
      <c r="AF22" s="53">
        <v>3</v>
      </c>
      <c r="AG22" s="53">
        <v>3</v>
      </c>
      <c r="AH22" s="53">
        <v>0</v>
      </c>
      <c r="AI22" s="5"/>
      <c r="AJ22" s="71" t="str">
        <v>GA</v>
      </c>
      <c r="AK22" s="53">
        <v>0</v>
      </c>
      <c r="AL22" s="53">
        <v>4</v>
      </c>
      <c r="AM22" s="53">
        <v>3</v>
      </c>
      <c r="AN22" s="53">
        <v>3</v>
      </c>
      <c r="AO22" s="53">
        <v>0</v>
      </c>
    </row>
    <row r="23" spans="1:41" ht="15.9" customHeight="1" x14ac:dyDescent="0.3">
      <c r="A23" s="28" t="str">
        <v>GJ</v>
      </c>
      <c r="B23" s="8" t="str">
        <v>Gold J</v>
      </c>
      <c r="C23" s="53">
        <f t="shared" si="0"/>
        <v>0</v>
      </c>
      <c r="D23" s="53">
        <f t="shared" si="0"/>
        <v>8</v>
      </c>
      <c r="E23" s="53">
        <f t="shared" si="0"/>
        <v>0</v>
      </c>
      <c r="F23" s="53">
        <f t="shared" si="0"/>
        <v>4</v>
      </c>
      <c r="G23" s="53">
        <f t="shared" si="0"/>
        <v>0</v>
      </c>
      <c r="H23" s="8">
        <v>19</v>
      </c>
      <c r="I23" s="51"/>
      <c r="J23" s="9">
        <v>19</v>
      </c>
      <c r="K23" s="15" t="s">
        <v>95</v>
      </c>
      <c r="L23" s="15" t="s">
        <v>19</v>
      </c>
      <c r="M23" s="15" t="s">
        <v>95</v>
      </c>
      <c r="N23" s="15" t="s">
        <v>65</v>
      </c>
      <c r="O23" s="15" t="s">
        <v>21</v>
      </c>
      <c r="Q23" s="9">
        <v>6</v>
      </c>
      <c r="R23" s="9">
        <v>5</v>
      </c>
      <c r="S23" s="9">
        <v>6</v>
      </c>
      <c r="T23" s="9">
        <v>16</v>
      </c>
      <c r="U23" s="9">
        <v>2</v>
      </c>
      <c r="W23" s="24">
        <v>1</v>
      </c>
      <c r="X23" s="24">
        <v>1</v>
      </c>
      <c r="Y23" s="24">
        <v>1</v>
      </c>
      <c r="Z23" s="24">
        <v>1</v>
      </c>
      <c r="AA23" s="24">
        <v>1</v>
      </c>
      <c r="AC23" s="71" t="str">
        <v>GK</v>
      </c>
      <c r="AD23" s="53">
        <v>0</v>
      </c>
      <c r="AE23" s="53">
        <v>4</v>
      </c>
      <c r="AF23" s="53">
        <v>3</v>
      </c>
      <c r="AG23" s="53">
        <v>3</v>
      </c>
      <c r="AH23" s="53">
        <v>0</v>
      </c>
      <c r="AI23" s="5"/>
      <c r="AJ23" s="71" t="str">
        <v>GK</v>
      </c>
      <c r="AK23" s="53">
        <v>0</v>
      </c>
      <c r="AL23" s="53">
        <v>4</v>
      </c>
      <c r="AM23" s="53">
        <v>3</v>
      </c>
      <c r="AN23" s="53">
        <v>3</v>
      </c>
      <c r="AO23" s="53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51"/>
      <c r="J24" s="24">
        <v>20</v>
      </c>
      <c r="K24" s="15" t="s">
        <v>37</v>
      </c>
      <c r="L24" s="15" t="s">
        <v>81</v>
      </c>
      <c r="M24" s="15" t="s">
        <v>37</v>
      </c>
      <c r="N24" s="15" t="s">
        <v>34</v>
      </c>
      <c r="O24" s="15" t="s">
        <v>19</v>
      </c>
      <c r="Q24" s="9">
        <v>7</v>
      </c>
      <c r="R24" s="9">
        <v>17</v>
      </c>
      <c r="S24" s="9">
        <v>7</v>
      </c>
      <c r="T24" s="9">
        <v>9</v>
      </c>
      <c r="U24" s="9">
        <v>5</v>
      </c>
      <c r="W24" s="24">
        <v>1</v>
      </c>
      <c r="X24" s="24">
        <v>1</v>
      </c>
      <c r="Y24" s="24">
        <v>1</v>
      </c>
      <c r="Z24" s="24">
        <v>1</v>
      </c>
      <c r="AA24" s="24">
        <v>1</v>
      </c>
      <c r="AC24" s="71" t="str">
        <v>GQ</v>
      </c>
      <c r="AD24" s="53">
        <v>0</v>
      </c>
      <c r="AE24" s="53">
        <v>8</v>
      </c>
      <c r="AF24" s="53">
        <v>0</v>
      </c>
      <c r="AG24" s="53">
        <v>4</v>
      </c>
      <c r="AH24" s="53">
        <v>0</v>
      </c>
      <c r="AI24" s="5"/>
      <c r="AJ24" s="71" t="str">
        <v>GQ</v>
      </c>
      <c r="AK24" s="53">
        <v>0</v>
      </c>
      <c r="AL24" s="53">
        <v>8</v>
      </c>
      <c r="AM24" s="53">
        <v>0</v>
      </c>
      <c r="AN24" s="53">
        <v>4</v>
      </c>
      <c r="AO24" s="53">
        <v>0</v>
      </c>
    </row>
    <row r="25" spans="1:41" ht="16.5" customHeight="1" x14ac:dyDescent="0.3">
      <c r="I25" s="51"/>
      <c r="J25" s="9">
        <v>21</v>
      </c>
      <c r="K25" s="15" t="s">
        <v>35</v>
      </c>
      <c r="L25" s="15" t="s">
        <v>81</v>
      </c>
      <c r="M25" s="15" t="s">
        <v>18</v>
      </c>
      <c r="N25" s="15" t="s">
        <v>21</v>
      </c>
      <c r="O25" s="15" t="s">
        <v>21</v>
      </c>
      <c r="Q25" s="9">
        <v>8</v>
      </c>
      <c r="R25" s="9">
        <v>17</v>
      </c>
      <c r="S25" s="9">
        <v>4</v>
      </c>
      <c r="T25" s="9">
        <v>2</v>
      </c>
      <c r="U25" s="9">
        <v>2</v>
      </c>
      <c r="W25" s="24">
        <v>1</v>
      </c>
      <c r="X25" s="24">
        <v>1</v>
      </c>
      <c r="Y25" s="24">
        <v>1</v>
      </c>
      <c r="Z25" s="24">
        <v>1</v>
      </c>
      <c r="AA25" s="24">
        <v>1</v>
      </c>
      <c r="AC25" s="71" t="str">
        <v>GJ</v>
      </c>
      <c r="AD25" s="53">
        <v>0</v>
      </c>
      <c r="AE25" s="53">
        <v>8</v>
      </c>
      <c r="AF25" s="53">
        <v>0</v>
      </c>
      <c r="AG25" s="53">
        <v>4</v>
      </c>
      <c r="AH25" s="53">
        <v>0</v>
      </c>
      <c r="AI25" s="5"/>
      <c r="AJ25" s="71" t="str">
        <v>GJ</v>
      </c>
      <c r="AK25" s="53">
        <v>0</v>
      </c>
      <c r="AL25" s="53">
        <v>8</v>
      </c>
      <c r="AM25" s="53">
        <v>0</v>
      </c>
      <c r="AN25" s="53">
        <v>4</v>
      </c>
      <c r="AO25" s="53">
        <v>0</v>
      </c>
    </row>
    <row r="26" spans="1:41" ht="16.5" customHeight="1" x14ac:dyDescent="0.3">
      <c r="B26" s="5" t="s">
        <v>110</v>
      </c>
      <c r="C26" s="86">
        <f>SUM(C4:C14)/C24</f>
        <v>1</v>
      </c>
      <c r="D26" s="86">
        <f>SUM(D4:D14)/D24</f>
        <v>0.73499999999999999</v>
      </c>
      <c r="E26" s="86">
        <f>SUM(E4:E14)/E24</f>
        <v>0.94</v>
      </c>
      <c r="F26" s="86">
        <f>SUM(F4:F14)/F24</f>
        <v>0.84</v>
      </c>
      <c r="G26" s="86">
        <f>SUM(G4:G14)/G24</f>
        <v>1</v>
      </c>
      <c r="I26" s="51"/>
      <c r="J26" s="24">
        <v>22</v>
      </c>
      <c r="K26" s="15" t="s">
        <v>35</v>
      </c>
      <c r="L26" s="15" t="s">
        <v>22</v>
      </c>
      <c r="M26" s="15" t="s">
        <v>35</v>
      </c>
      <c r="N26" s="15" t="s">
        <v>37</v>
      </c>
      <c r="O26" s="15" t="s">
        <v>19</v>
      </c>
      <c r="Q26" s="9">
        <v>8</v>
      </c>
      <c r="R26" s="9">
        <v>3</v>
      </c>
      <c r="S26" s="9">
        <v>8</v>
      </c>
      <c r="T26" s="9">
        <v>7</v>
      </c>
      <c r="U26" s="9">
        <v>5</v>
      </c>
      <c r="W26" s="24">
        <v>1</v>
      </c>
      <c r="X26" s="24">
        <v>1</v>
      </c>
      <c r="Y26" s="24">
        <v>1</v>
      </c>
      <c r="Z26" s="24">
        <v>1</v>
      </c>
      <c r="AA26" s="24">
        <v>1</v>
      </c>
      <c r="AD26" s="59">
        <f>SUM(AD6:AD25)</f>
        <v>200</v>
      </c>
      <c r="AE26" s="59">
        <f>SUM(AE6:AE25)</f>
        <v>200</v>
      </c>
      <c r="AF26" s="59">
        <f>SUM(AF6:AF25)</f>
        <v>200</v>
      </c>
      <c r="AG26" s="59">
        <f>SUM(AG6:AG25)</f>
        <v>200</v>
      </c>
      <c r="AH26" s="59">
        <f>SUM(AH6:AH25)</f>
        <v>200</v>
      </c>
      <c r="AI26" s="5"/>
      <c r="AK26" s="59">
        <f>SUM(AK6:AK25)</f>
        <v>200</v>
      </c>
      <c r="AL26" s="59">
        <f>SUM(AL6:AL25)</f>
        <v>200</v>
      </c>
      <c r="AM26" s="59">
        <f>SUM(AM6:AM25)</f>
        <v>200</v>
      </c>
      <c r="AN26" s="59">
        <f>SUM(AN6:AN25)</f>
        <v>200</v>
      </c>
      <c r="AO26" s="59">
        <f>SUM(AO6:AO25)</f>
        <v>200</v>
      </c>
    </row>
    <row r="27" spans="1:41" ht="16.5" customHeight="1" x14ac:dyDescent="0.3">
      <c r="B27" s="5" t="s">
        <v>109</v>
      </c>
      <c r="C27" s="86">
        <f>SUM(C15:C23)/C24</f>
        <v>0</v>
      </c>
      <c r="D27" s="86">
        <f>SUM(D15:D23)/D24</f>
        <v>0.26500000000000001</v>
      </c>
      <c r="E27" s="86">
        <f>SUM(E15:E23)/E24</f>
        <v>0.06</v>
      </c>
      <c r="F27" s="86">
        <f>SUM(F15:F23)/F24</f>
        <v>0.16</v>
      </c>
      <c r="G27" s="86">
        <f>SUM(G15:G23)/G24</f>
        <v>0</v>
      </c>
      <c r="I27" s="51"/>
      <c r="J27" s="9">
        <v>23</v>
      </c>
      <c r="K27" s="15" t="s">
        <v>35</v>
      </c>
      <c r="L27" s="15" t="s">
        <v>18</v>
      </c>
      <c r="M27" s="15" t="s">
        <v>95</v>
      </c>
      <c r="N27" s="15" t="s">
        <v>20</v>
      </c>
      <c r="O27" s="15" t="s">
        <v>95</v>
      </c>
      <c r="Q27" s="9">
        <v>8</v>
      </c>
      <c r="R27" s="9">
        <v>4</v>
      </c>
      <c r="S27" s="9">
        <v>6</v>
      </c>
      <c r="T27" s="9">
        <v>1</v>
      </c>
      <c r="U27" s="9">
        <v>6</v>
      </c>
      <c r="W27" s="24">
        <v>1</v>
      </c>
      <c r="X27" s="24">
        <v>1</v>
      </c>
      <c r="Y27" s="24">
        <v>1</v>
      </c>
      <c r="Z27" s="24">
        <v>1</v>
      </c>
      <c r="AA27" s="24">
        <v>1</v>
      </c>
      <c r="AH27" s="5"/>
      <c r="AI27" s="5"/>
      <c r="AO27" s="5"/>
    </row>
    <row r="28" spans="1:41" ht="16.5" customHeight="1" x14ac:dyDescent="0.3">
      <c r="I28" s="51"/>
      <c r="J28" s="24">
        <v>24</v>
      </c>
      <c r="K28" s="15" t="s">
        <v>19</v>
      </c>
      <c r="L28" s="15" t="s">
        <v>18</v>
      </c>
      <c r="M28" s="15" t="s">
        <v>34</v>
      </c>
      <c r="N28" s="15" t="s">
        <v>70</v>
      </c>
      <c r="O28" s="15" t="s">
        <v>35</v>
      </c>
      <c r="Q28" s="9">
        <v>5</v>
      </c>
      <c r="R28" s="9">
        <v>4</v>
      </c>
      <c r="S28" s="9">
        <v>9</v>
      </c>
      <c r="T28" s="9">
        <v>19</v>
      </c>
      <c r="U28" s="9">
        <v>8</v>
      </c>
      <c r="W28" s="24">
        <v>1</v>
      </c>
      <c r="X28" s="24">
        <v>1</v>
      </c>
      <c r="Y28" s="24">
        <v>1</v>
      </c>
      <c r="Z28" s="24">
        <v>1</v>
      </c>
      <c r="AA28" s="24">
        <v>1</v>
      </c>
      <c r="AC28" s="26" t="s">
        <v>100</v>
      </c>
      <c r="AH28" s="5"/>
      <c r="AI28" s="5"/>
      <c r="AJ28" s="26" t="s">
        <v>100</v>
      </c>
      <c r="AO28" s="5"/>
    </row>
    <row r="29" spans="1:41" ht="16.5" customHeight="1" x14ac:dyDescent="0.3">
      <c r="I29" s="51"/>
      <c r="J29" s="9">
        <v>25</v>
      </c>
      <c r="K29" s="15" t="s">
        <v>35</v>
      </c>
      <c r="L29" s="15" t="s">
        <v>35</v>
      </c>
      <c r="M29" s="15" t="s">
        <v>35</v>
      </c>
      <c r="N29" s="15" t="s">
        <v>18</v>
      </c>
      <c r="O29" s="15" t="s">
        <v>18</v>
      </c>
      <c r="Q29" s="9">
        <v>8</v>
      </c>
      <c r="R29" s="9">
        <v>8</v>
      </c>
      <c r="S29" s="9">
        <v>8</v>
      </c>
      <c r="T29" s="9">
        <v>4</v>
      </c>
      <c r="U29" s="9">
        <v>4</v>
      </c>
      <c r="W29" s="24">
        <v>1</v>
      </c>
      <c r="X29" s="24">
        <v>1</v>
      </c>
      <c r="Y29" s="24">
        <v>1</v>
      </c>
      <c r="Z29" s="24">
        <v>1</v>
      </c>
      <c r="AA29" s="24">
        <v>1</v>
      </c>
      <c r="AC29" s="68" t="s">
        <v>42</v>
      </c>
      <c r="AD29" s="68" t="s">
        <v>13</v>
      </c>
      <c r="AE29" s="68" t="s">
        <v>14</v>
      </c>
      <c r="AF29" s="68" t="s">
        <v>15</v>
      </c>
      <c r="AG29" s="68" t="s">
        <v>16</v>
      </c>
      <c r="AH29" s="68" t="s">
        <v>17</v>
      </c>
      <c r="AI29" s="5"/>
      <c r="AJ29" s="68" t="s">
        <v>42</v>
      </c>
      <c r="AK29" s="68" t="s">
        <v>13</v>
      </c>
      <c r="AL29" s="68" t="s">
        <v>14</v>
      </c>
      <c r="AM29" s="68" t="s">
        <v>15</v>
      </c>
      <c r="AN29" s="68" t="s">
        <v>16</v>
      </c>
      <c r="AO29" s="68" t="s">
        <v>17</v>
      </c>
    </row>
    <row r="30" spans="1:41" ht="16.5" customHeight="1" x14ac:dyDescent="0.3">
      <c r="I30" s="51"/>
      <c r="J30" s="24">
        <v>26</v>
      </c>
      <c r="K30" s="15" t="s">
        <v>37</v>
      </c>
      <c r="L30" s="15" t="s">
        <v>35</v>
      </c>
      <c r="M30" s="15" t="s">
        <v>95</v>
      </c>
      <c r="N30" s="15" t="s">
        <v>36</v>
      </c>
      <c r="O30" s="15" t="s">
        <v>95</v>
      </c>
      <c r="Q30" s="9">
        <v>7</v>
      </c>
      <c r="R30" s="9">
        <v>8</v>
      </c>
      <c r="S30" s="9">
        <v>6</v>
      </c>
      <c r="T30" s="9">
        <v>10</v>
      </c>
      <c r="U30" s="9">
        <v>6</v>
      </c>
      <c r="W30" s="24">
        <v>1</v>
      </c>
      <c r="X30" s="24">
        <v>1</v>
      </c>
      <c r="Y30" s="24">
        <v>1</v>
      </c>
      <c r="Z30" s="24">
        <v>1</v>
      </c>
      <c r="AA30" s="24">
        <v>1</v>
      </c>
      <c r="AC30" s="71" t="str" cm="1">
        <f t="array" ref="AC30:AC49">$A$4:$A$23</f>
        <v>WW</v>
      </c>
      <c r="AD30" s="72">
        <v>0</v>
      </c>
      <c r="AE30" s="72">
        <v>0</v>
      </c>
      <c r="AF30" s="72">
        <v>0</v>
      </c>
      <c r="AG30" s="72">
        <v>0</v>
      </c>
      <c r="AH30" s="72">
        <v>0</v>
      </c>
      <c r="AI30" s="5"/>
      <c r="AJ30" s="71" t="str" cm="1">
        <f t="array" ref="AJ30:AJ49">$A$4:$A$23</f>
        <v>WW</v>
      </c>
      <c r="AK30" s="72">
        <v>0</v>
      </c>
      <c r="AL30" s="72">
        <v>0</v>
      </c>
      <c r="AM30" s="72">
        <v>0</v>
      </c>
      <c r="AN30" s="72">
        <v>0</v>
      </c>
      <c r="AO30" s="72">
        <v>0</v>
      </c>
    </row>
    <row r="31" spans="1:41" ht="16.5" customHeight="1" x14ac:dyDescent="0.3">
      <c r="I31" s="51"/>
      <c r="J31" s="9">
        <v>27</v>
      </c>
      <c r="K31" s="15" t="s">
        <v>19</v>
      </c>
      <c r="L31" s="15" t="s">
        <v>68</v>
      </c>
      <c r="M31" s="15" t="s">
        <v>37</v>
      </c>
      <c r="N31" s="15" t="s">
        <v>70</v>
      </c>
      <c r="O31" s="15" t="s">
        <v>34</v>
      </c>
      <c r="Q31" s="9">
        <v>5</v>
      </c>
      <c r="R31" s="9">
        <v>18</v>
      </c>
      <c r="S31" s="9">
        <v>7</v>
      </c>
      <c r="T31" s="9">
        <v>19</v>
      </c>
      <c r="U31" s="9">
        <v>9</v>
      </c>
      <c r="W31" s="24">
        <v>1</v>
      </c>
      <c r="X31" s="24">
        <v>1</v>
      </c>
      <c r="Y31" s="24">
        <v>1</v>
      </c>
      <c r="Z31" s="24">
        <v>1</v>
      </c>
      <c r="AA31" s="24">
        <v>1</v>
      </c>
      <c r="AC31" s="71" t="str">
        <v>C1</v>
      </c>
      <c r="AD31" s="71">
        <v>3</v>
      </c>
      <c r="AE31" s="71">
        <v>3</v>
      </c>
      <c r="AF31" s="71">
        <v>3</v>
      </c>
      <c r="AG31" s="71">
        <v>6</v>
      </c>
      <c r="AH31" s="71">
        <v>6</v>
      </c>
      <c r="AI31" s="5"/>
      <c r="AJ31" s="71" t="str">
        <v>C1</v>
      </c>
      <c r="AK31" s="71">
        <v>3</v>
      </c>
      <c r="AL31" s="71">
        <v>3</v>
      </c>
      <c r="AM31" s="71">
        <v>3</v>
      </c>
      <c r="AN31" s="71">
        <v>6</v>
      </c>
      <c r="AO31" s="71">
        <v>6</v>
      </c>
    </row>
    <row r="32" spans="1:41" ht="16.5" customHeight="1" x14ac:dyDescent="0.3">
      <c r="J32" s="24">
        <v>28</v>
      </c>
      <c r="K32" s="15" t="s">
        <v>35</v>
      </c>
      <c r="L32" s="15" t="s">
        <v>64</v>
      </c>
      <c r="M32" s="15" t="s">
        <v>95</v>
      </c>
      <c r="N32" s="15" t="s">
        <v>61</v>
      </c>
      <c r="O32" s="15" t="s">
        <v>34</v>
      </c>
      <c r="Q32" s="9">
        <v>8</v>
      </c>
      <c r="R32" s="9">
        <v>14</v>
      </c>
      <c r="S32" s="9">
        <v>6</v>
      </c>
      <c r="T32" s="9">
        <v>11</v>
      </c>
      <c r="U32" s="9">
        <v>9</v>
      </c>
      <c r="W32" s="24">
        <v>1</v>
      </c>
      <c r="X32" s="24">
        <v>1</v>
      </c>
      <c r="Y32" s="24">
        <v>1</v>
      </c>
      <c r="Z32" s="24">
        <v>1</v>
      </c>
      <c r="AA32" s="24">
        <v>1</v>
      </c>
      <c r="AC32" s="80" t="str">
        <v>M1</v>
      </c>
      <c r="AD32" s="66">
        <v>4</v>
      </c>
      <c r="AE32" s="66">
        <v>17</v>
      </c>
      <c r="AF32" s="66">
        <v>4</v>
      </c>
      <c r="AG32" s="66">
        <v>21</v>
      </c>
      <c r="AH32" s="66">
        <v>22</v>
      </c>
      <c r="AI32" s="5"/>
      <c r="AJ32" s="80" t="str">
        <v>M1</v>
      </c>
      <c r="AK32" s="66">
        <v>4</v>
      </c>
      <c r="AL32" s="66">
        <v>17</v>
      </c>
      <c r="AM32" s="66">
        <v>4</v>
      </c>
      <c r="AN32" s="66">
        <v>21</v>
      </c>
      <c r="AO32" s="66">
        <v>22</v>
      </c>
    </row>
    <row r="33" spans="10:41" ht="16.5" customHeight="1" x14ac:dyDescent="0.3">
      <c r="J33" s="9">
        <v>29</v>
      </c>
      <c r="K33" s="15" t="s">
        <v>21</v>
      </c>
      <c r="L33" s="15" t="s">
        <v>63</v>
      </c>
      <c r="M33" s="15" t="s">
        <v>19</v>
      </c>
      <c r="N33" s="15" t="s">
        <v>22</v>
      </c>
      <c r="O33" s="15" t="s">
        <v>21</v>
      </c>
      <c r="Q33" s="9">
        <v>2</v>
      </c>
      <c r="R33" s="9">
        <v>13</v>
      </c>
      <c r="S33" s="9">
        <v>5</v>
      </c>
      <c r="T33" s="9">
        <v>3</v>
      </c>
      <c r="U33" s="9">
        <v>2</v>
      </c>
      <c r="W33" s="24">
        <v>1</v>
      </c>
      <c r="X33" s="24">
        <v>1</v>
      </c>
      <c r="Y33" s="24">
        <v>1</v>
      </c>
      <c r="Z33" s="24">
        <v>1</v>
      </c>
      <c r="AA33" s="24">
        <v>1</v>
      </c>
      <c r="AC33" s="80" t="str">
        <v>M2</v>
      </c>
      <c r="AD33" s="66">
        <v>4</v>
      </c>
      <c r="AE33" s="66">
        <v>18</v>
      </c>
      <c r="AF33" s="66">
        <v>4</v>
      </c>
      <c r="AG33" s="66">
        <v>20</v>
      </c>
      <c r="AH33" s="66">
        <v>22</v>
      </c>
      <c r="AI33" s="5"/>
      <c r="AJ33" s="80" t="str">
        <v>M2</v>
      </c>
      <c r="AK33" s="66">
        <v>4</v>
      </c>
      <c r="AL33" s="66">
        <v>18</v>
      </c>
      <c r="AM33" s="66">
        <v>4</v>
      </c>
      <c r="AN33" s="66">
        <v>20</v>
      </c>
      <c r="AO33" s="66">
        <v>22</v>
      </c>
    </row>
    <row r="34" spans="10:41" ht="16.5" customHeight="1" x14ac:dyDescent="0.3">
      <c r="J34" s="24">
        <v>30</v>
      </c>
      <c r="K34" s="15" t="s">
        <v>35</v>
      </c>
      <c r="L34" s="15" t="s">
        <v>36</v>
      </c>
      <c r="M34" s="15" t="s">
        <v>35</v>
      </c>
      <c r="N34" s="15" t="s">
        <v>21</v>
      </c>
      <c r="O34" s="15" t="s">
        <v>21</v>
      </c>
      <c r="Q34" s="9">
        <v>8</v>
      </c>
      <c r="R34" s="9">
        <v>10</v>
      </c>
      <c r="S34" s="9">
        <v>8</v>
      </c>
      <c r="T34" s="9">
        <v>2</v>
      </c>
      <c r="U34" s="9">
        <v>2</v>
      </c>
      <c r="W34" s="24">
        <v>1</v>
      </c>
      <c r="X34" s="24">
        <v>1</v>
      </c>
      <c r="Y34" s="24">
        <v>1</v>
      </c>
      <c r="Z34" s="24">
        <v>1</v>
      </c>
      <c r="AA34" s="24">
        <v>1</v>
      </c>
      <c r="AC34" s="80" t="str">
        <v>M3</v>
      </c>
      <c r="AD34" s="66">
        <v>4</v>
      </c>
      <c r="AE34" s="66">
        <v>18</v>
      </c>
      <c r="AF34" s="66">
        <v>4</v>
      </c>
      <c r="AG34" s="66">
        <v>20</v>
      </c>
      <c r="AH34" s="66">
        <v>21</v>
      </c>
      <c r="AI34" s="5"/>
      <c r="AJ34" s="80" t="str">
        <v>M3</v>
      </c>
      <c r="AK34" s="66">
        <v>4</v>
      </c>
      <c r="AL34" s="66">
        <v>18</v>
      </c>
      <c r="AM34" s="66">
        <v>4</v>
      </c>
      <c r="AN34" s="66">
        <v>20</v>
      </c>
      <c r="AO34" s="66">
        <v>21</v>
      </c>
    </row>
    <row r="35" spans="10:41" ht="16.5" customHeight="1" x14ac:dyDescent="0.3">
      <c r="J35" s="9">
        <v>31</v>
      </c>
      <c r="K35" s="15" t="s">
        <v>19</v>
      </c>
      <c r="L35" s="15" t="s">
        <v>36</v>
      </c>
      <c r="M35" s="15" t="s">
        <v>37</v>
      </c>
      <c r="N35" s="15" t="s">
        <v>95</v>
      </c>
      <c r="O35" s="15" t="s">
        <v>20</v>
      </c>
      <c r="Q35" s="9">
        <v>5</v>
      </c>
      <c r="R35" s="9">
        <v>10</v>
      </c>
      <c r="S35" s="9">
        <v>7</v>
      </c>
      <c r="T35" s="9">
        <v>6</v>
      </c>
      <c r="U35" s="9">
        <v>1</v>
      </c>
      <c r="W35" s="24">
        <v>1</v>
      </c>
      <c r="X35" s="24">
        <v>1</v>
      </c>
      <c r="Y35" s="24">
        <v>1</v>
      </c>
      <c r="Z35" s="24">
        <v>1</v>
      </c>
      <c r="AA35" s="24">
        <v>1</v>
      </c>
      <c r="AC35" s="80" t="str">
        <v>M4</v>
      </c>
      <c r="AD35" s="66">
        <v>40</v>
      </c>
      <c r="AE35" s="66">
        <v>14</v>
      </c>
      <c r="AF35" s="66">
        <v>41</v>
      </c>
      <c r="AG35" s="66">
        <v>14</v>
      </c>
      <c r="AH35" s="66">
        <v>21</v>
      </c>
      <c r="AI35" s="5"/>
      <c r="AJ35" s="80" t="str">
        <v>M4</v>
      </c>
      <c r="AK35" s="66">
        <v>40</v>
      </c>
      <c r="AL35" s="66">
        <v>14</v>
      </c>
      <c r="AM35" s="66">
        <v>41</v>
      </c>
      <c r="AN35" s="66">
        <v>14</v>
      </c>
      <c r="AO35" s="66">
        <v>21</v>
      </c>
    </row>
    <row r="36" spans="10:41" ht="16.5" customHeight="1" x14ac:dyDescent="0.3">
      <c r="J36" s="24">
        <v>32</v>
      </c>
      <c r="K36" s="15" t="s">
        <v>37</v>
      </c>
      <c r="L36" s="15" t="s">
        <v>19</v>
      </c>
      <c r="M36" s="15" t="s">
        <v>18</v>
      </c>
      <c r="N36" s="15" t="s">
        <v>95</v>
      </c>
      <c r="O36" s="15" t="s">
        <v>34</v>
      </c>
      <c r="Q36" s="9">
        <v>7</v>
      </c>
      <c r="R36" s="9">
        <v>5</v>
      </c>
      <c r="S36" s="9">
        <v>4</v>
      </c>
      <c r="T36" s="9">
        <v>6</v>
      </c>
      <c r="U36" s="9">
        <v>9</v>
      </c>
      <c r="W36" s="24">
        <v>1</v>
      </c>
      <c r="X36" s="24">
        <v>1</v>
      </c>
      <c r="Y36" s="24">
        <v>1</v>
      </c>
      <c r="Z36" s="24">
        <v>1</v>
      </c>
      <c r="AA36" s="24">
        <v>1</v>
      </c>
      <c r="AC36" s="80" t="str">
        <v>M5</v>
      </c>
      <c r="AD36" s="66">
        <v>40</v>
      </c>
      <c r="AE36" s="66">
        <v>14</v>
      </c>
      <c r="AF36" s="66">
        <v>41</v>
      </c>
      <c r="AG36" s="66">
        <v>14</v>
      </c>
      <c r="AH36" s="66">
        <v>21</v>
      </c>
      <c r="AI36" s="5"/>
      <c r="AJ36" s="80" t="str">
        <v>M5</v>
      </c>
      <c r="AK36" s="66">
        <v>40</v>
      </c>
      <c r="AL36" s="66">
        <v>14</v>
      </c>
      <c r="AM36" s="66">
        <v>41</v>
      </c>
      <c r="AN36" s="66">
        <v>14</v>
      </c>
      <c r="AO36" s="66">
        <v>21</v>
      </c>
    </row>
    <row r="37" spans="10:41" ht="16.5" customHeight="1" x14ac:dyDescent="0.3">
      <c r="J37" s="9">
        <v>33</v>
      </c>
      <c r="K37" s="15" t="s">
        <v>19</v>
      </c>
      <c r="L37" s="15" t="s">
        <v>35</v>
      </c>
      <c r="M37" s="15" t="s">
        <v>35</v>
      </c>
      <c r="N37" s="15" t="s">
        <v>65</v>
      </c>
      <c r="O37" s="15" t="s">
        <v>35</v>
      </c>
      <c r="Q37" s="9">
        <v>5</v>
      </c>
      <c r="R37" s="9">
        <v>8</v>
      </c>
      <c r="S37" s="9">
        <v>8</v>
      </c>
      <c r="T37" s="9">
        <v>16</v>
      </c>
      <c r="U37" s="9">
        <v>8</v>
      </c>
      <c r="W37" s="24">
        <v>1</v>
      </c>
      <c r="X37" s="24">
        <v>1</v>
      </c>
      <c r="Y37" s="24">
        <v>1</v>
      </c>
      <c r="Z37" s="24">
        <v>1</v>
      </c>
      <c r="AA37" s="24">
        <v>1</v>
      </c>
      <c r="AC37" s="80" t="str">
        <v>A</v>
      </c>
      <c r="AD37" s="66">
        <v>47</v>
      </c>
      <c r="AE37" s="66">
        <v>13</v>
      </c>
      <c r="AF37" s="66">
        <v>41</v>
      </c>
      <c r="AG37" s="66">
        <v>14</v>
      </c>
      <c r="AH37" s="66">
        <v>21</v>
      </c>
      <c r="AI37" s="5"/>
      <c r="AJ37" s="80" t="str">
        <v>A</v>
      </c>
      <c r="AK37" s="66">
        <v>47</v>
      </c>
      <c r="AL37" s="66">
        <v>13</v>
      </c>
      <c r="AM37" s="66">
        <v>41</v>
      </c>
      <c r="AN37" s="66">
        <v>14</v>
      </c>
      <c r="AO37" s="66">
        <v>21</v>
      </c>
    </row>
    <row r="38" spans="10:41" ht="16.5" customHeight="1" x14ac:dyDescent="0.3">
      <c r="J38" s="24">
        <v>34</v>
      </c>
      <c r="K38" s="15" t="s">
        <v>95</v>
      </c>
      <c r="L38" s="15" t="s">
        <v>62</v>
      </c>
      <c r="M38" s="15" t="s">
        <v>19</v>
      </c>
      <c r="N38" s="15" t="s">
        <v>35</v>
      </c>
      <c r="O38" s="15" t="s">
        <v>22</v>
      </c>
      <c r="Q38" s="9">
        <v>6</v>
      </c>
      <c r="R38" s="9">
        <v>12</v>
      </c>
      <c r="S38" s="9">
        <v>5</v>
      </c>
      <c r="T38" s="9">
        <v>8</v>
      </c>
      <c r="U38" s="9">
        <v>3</v>
      </c>
      <c r="W38" s="24">
        <v>1</v>
      </c>
      <c r="X38" s="24">
        <v>1</v>
      </c>
      <c r="Y38" s="24">
        <v>1</v>
      </c>
      <c r="Z38" s="24">
        <v>1</v>
      </c>
      <c r="AA38" s="24">
        <v>1</v>
      </c>
      <c r="AC38" s="80" t="str">
        <v>K</v>
      </c>
      <c r="AD38" s="66">
        <v>47</v>
      </c>
      <c r="AE38" s="66">
        <v>13</v>
      </c>
      <c r="AF38" s="66">
        <v>41</v>
      </c>
      <c r="AG38" s="66">
        <v>14</v>
      </c>
      <c r="AH38" s="66">
        <v>21</v>
      </c>
      <c r="AI38" s="5"/>
      <c r="AJ38" s="80" t="str">
        <v>K</v>
      </c>
      <c r="AK38" s="66">
        <v>47</v>
      </c>
      <c r="AL38" s="66">
        <v>13</v>
      </c>
      <c r="AM38" s="66">
        <v>41</v>
      </c>
      <c r="AN38" s="66">
        <v>14</v>
      </c>
      <c r="AO38" s="66">
        <v>21</v>
      </c>
    </row>
    <row r="39" spans="10:41" ht="16.5" customHeight="1" x14ac:dyDescent="0.3">
      <c r="J39" s="9">
        <v>35</v>
      </c>
      <c r="K39" s="15" t="s">
        <v>95</v>
      </c>
      <c r="L39" s="15" t="s">
        <v>37</v>
      </c>
      <c r="M39" s="15" t="s">
        <v>95</v>
      </c>
      <c r="N39" s="15" t="s">
        <v>21</v>
      </c>
      <c r="O39" s="15" t="s">
        <v>36</v>
      </c>
      <c r="Q39" s="9">
        <v>6</v>
      </c>
      <c r="R39" s="9">
        <v>7</v>
      </c>
      <c r="S39" s="9">
        <v>6</v>
      </c>
      <c r="T39" s="9">
        <v>2</v>
      </c>
      <c r="U39" s="9">
        <v>10</v>
      </c>
      <c r="W39" s="24">
        <v>1</v>
      </c>
      <c r="X39" s="24">
        <v>1</v>
      </c>
      <c r="Y39" s="24">
        <v>1</v>
      </c>
      <c r="Z39" s="24">
        <v>1</v>
      </c>
      <c r="AA39" s="24">
        <v>1</v>
      </c>
      <c r="AC39" s="80" t="str">
        <v>Q</v>
      </c>
      <c r="AD39" s="66">
        <v>4</v>
      </c>
      <c r="AE39" s="66">
        <v>17</v>
      </c>
      <c r="AF39" s="66">
        <v>3</v>
      </c>
      <c r="AG39" s="66">
        <v>21</v>
      </c>
      <c r="AH39" s="66">
        <v>21</v>
      </c>
      <c r="AI39" s="5"/>
      <c r="AJ39" s="80" t="str">
        <v>Q</v>
      </c>
      <c r="AK39" s="66">
        <v>4</v>
      </c>
      <c r="AL39" s="66">
        <v>17</v>
      </c>
      <c r="AM39" s="66">
        <v>3</v>
      </c>
      <c r="AN39" s="66">
        <v>21</v>
      </c>
      <c r="AO39" s="66">
        <v>21</v>
      </c>
    </row>
    <row r="40" spans="10:41" ht="16.5" customHeight="1" x14ac:dyDescent="0.3">
      <c r="J40" s="24">
        <v>36</v>
      </c>
      <c r="K40" s="15" t="s">
        <v>37</v>
      </c>
      <c r="L40" s="15" t="s">
        <v>65</v>
      </c>
      <c r="M40" s="15" t="s">
        <v>35</v>
      </c>
      <c r="N40" s="15" t="s">
        <v>64</v>
      </c>
      <c r="O40" s="15" t="s">
        <v>21</v>
      </c>
      <c r="Q40" s="9">
        <v>7</v>
      </c>
      <c r="R40" s="9">
        <v>16</v>
      </c>
      <c r="S40" s="9">
        <v>8</v>
      </c>
      <c r="T40" s="9">
        <v>14</v>
      </c>
      <c r="U40" s="9">
        <v>2</v>
      </c>
      <c r="W40" s="24">
        <v>1</v>
      </c>
      <c r="X40" s="24">
        <v>1</v>
      </c>
      <c r="Y40" s="24">
        <v>1</v>
      </c>
      <c r="Z40" s="24">
        <v>1</v>
      </c>
      <c r="AA40" s="24">
        <v>1</v>
      </c>
      <c r="AC40" s="80" t="str">
        <v>J</v>
      </c>
      <c r="AD40" s="66">
        <v>4</v>
      </c>
      <c r="AE40" s="66">
        <v>17</v>
      </c>
      <c r="AF40" s="66">
        <v>3</v>
      </c>
      <c r="AG40" s="66">
        <v>21</v>
      </c>
      <c r="AH40" s="66">
        <v>21</v>
      </c>
      <c r="AI40" s="5"/>
      <c r="AJ40" s="80" t="str">
        <v>J</v>
      </c>
      <c r="AK40" s="66">
        <v>4</v>
      </c>
      <c r="AL40" s="66">
        <v>17</v>
      </c>
      <c r="AM40" s="66">
        <v>3</v>
      </c>
      <c r="AN40" s="66">
        <v>21</v>
      </c>
      <c r="AO40" s="66">
        <v>21</v>
      </c>
    </row>
    <row r="41" spans="10:41" ht="16.5" customHeight="1" x14ac:dyDescent="0.3">
      <c r="J41" s="9">
        <v>37</v>
      </c>
      <c r="K41" s="15" t="s">
        <v>19</v>
      </c>
      <c r="L41" s="15" t="s">
        <v>65</v>
      </c>
      <c r="M41" s="15" t="s">
        <v>37</v>
      </c>
      <c r="N41" s="15" t="s">
        <v>20</v>
      </c>
      <c r="O41" s="15" t="s">
        <v>34</v>
      </c>
      <c r="Q41" s="9">
        <v>5</v>
      </c>
      <c r="R41" s="9">
        <v>16</v>
      </c>
      <c r="S41" s="9">
        <v>7</v>
      </c>
      <c r="T41" s="9">
        <v>1</v>
      </c>
      <c r="U41" s="9">
        <v>9</v>
      </c>
      <c r="W41" s="24">
        <v>1</v>
      </c>
      <c r="X41" s="24">
        <v>1</v>
      </c>
      <c r="Y41" s="24">
        <v>1</v>
      </c>
      <c r="Z41" s="24">
        <v>1</v>
      </c>
      <c r="AA41" s="24">
        <v>1</v>
      </c>
      <c r="AC41" s="71" t="str">
        <v>G1</v>
      </c>
      <c r="AD41" s="53">
        <v>0</v>
      </c>
      <c r="AE41" s="53">
        <v>7</v>
      </c>
      <c r="AF41" s="53">
        <v>0</v>
      </c>
      <c r="AG41" s="53">
        <v>4</v>
      </c>
      <c r="AH41" s="53">
        <v>0</v>
      </c>
      <c r="AI41" s="5"/>
      <c r="AJ41" s="71" t="str">
        <v>G1</v>
      </c>
      <c r="AK41" s="53">
        <v>0</v>
      </c>
      <c r="AL41" s="53">
        <v>7</v>
      </c>
      <c r="AM41" s="53">
        <v>0</v>
      </c>
      <c r="AN41" s="53">
        <v>4</v>
      </c>
      <c r="AO41" s="53">
        <v>0</v>
      </c>
    </row>
    <row r="42" spans="10:41" ht="16.5" customHeight="1" x14ac:dyDescent="0.3">
      <c r="J42" s="24">
        <v>38</v>
      </c>
      <c r="K42" s="15" t="s">
        <v>19</v>
      </c>
      <c r="L42" s="15" t="s">
        <v>36</v>
      </c>
      <c r="M42" s="15" t="s">
        <v>36</v>
      </c>
      <c r="N42" s="15" t="s">
        <v>95</v>
      </c>
      <c r="O42" s="15" t="s">
        <v>19</v>
      </c>
      <c r="Q42" s="9">
        <v>5</v>
      </c>
      <c r="R42" s="9">
        <v>10</v>
      </c>
      <c r="S42" s="9">
        <v>10</v>
      </c>
      <c r="T42" s="9">
        <v>6</v>
      </c>
      <c r="U42" s="9">
        <v>5</v>
      </c>
      <c r="W42" s="24">
        <v>1</v>
      </c>
      <c r="X42" s="24">
        <v>1</v>
      </c>
      <c r="Y42" s="24">
        <v>1</v>
      </c>
      <c r="Z42" s="24">
        <v>1</v>
      </c>
      <c r="AA42" s="24">
        <v>1</v>
      </c>
      <c r="AC42" s="71" t="str">
        <v>G2</v>
      </c>
      <c r="AD42" s="53">
        <v>0</v>
      </c>
      <c r="AE42" s="53">
        <v>7</v>
      </c>
      <c r="AF42" s="53">
        <v>0</v>
      </c>
      <c r="AG42" s="53">
        <v>4</v>
      </c>
      <c r="AH42" s="53">
        <v>0</v>
      </c>
      <c r="AI42" s="5"/>
      <c r="AJ42" s="71" t="str">
        <v>G2</v>
      </c>
      <c r="AK42" s="53">
        <v>0</v>
      </c>
      <c r="AL42" s="53">
        <v>7</v>
      </c>
      <c r="AM42" s="53">
        <v>0</v>
      </c>
      <c r="AN42" s="53">
        <v>4</v>
      </c>
      <c r="AO42" s="53">
        <v>0</v>
      </c>
    </row>
    <row r="43" spans="10:41" ht="16.5" customHeight="1" x14ac:dyDescent="0.3">
      <c r="J43" s="9">
        <v>39</v>
      </c>
      <c r="K43" s="15" t="s">
        <v>19</v>
      </c>
      <c r="L43" s="15" t="s">
        <v>19</v>
      </c>
      <c r="M43" s="15" t="s">
        <v>37</v>
      </c>
      <c r="N43" s="15" t="s">
        <v>95</v>
      </c>
      <c r="O43" s="15" t="s">
        <v>19</v>
      </c>
      <c r="Q43" s="9">
        <v>5</v>
      </c>
      <c r="R43" s="9">
        <v>5</v>
      </c>
      <c r="S43" s="9">
        <v>7</v>
      </c>
      <c r="T43" s="9">
        <v>6</v>
      </c>
      <c r="U43" s="9">
        <v>5</v>
      </c>
      <c r="W43" s="24">
        <v>1</v>
      </c>
      <c r="X43" s="24">
        <v>1</v>
      </c>
      <c r="Y43" s="24">
        <v>1</v>
      </c>
      <c r="Z43" s="24">
        <v>1</v>
      </c>
      <c r="AA43" s="24">
        <v>1</v>
      </c>
      <c r="AC43" s="71" t="str">
        <v>G3</v>
      </c>
      <c r="AD43" s="53">
        <v>0</v>
      </c>
      <c r="AE43" s="53">
        <v>7</v>
      </c>
      <c r="AF43" s="53">
        <v>0</v>
      </c>
      <c r="AG43" s="53">
        <v>4</v>
      </c>
      <c r="AH43" s="53">
        <v>0</v>
      </c>
      <c r="AI43" s="5"/>
      <c r="AJ43" s="71" t="str">
        <v>G3</v>
      </c>
      <c r="AK43" s="53">
        <v>0</v>
      </c>
      <c r="AL43" s="53">
        <v>7</v>
      </c>
      <c r="AM43" s="53">
        <v>0</v>
      </c>
      <c r="AN43" s="53">
        <v>4</v>
      </c>
      <c r="AO43" s="53">
        <v>0</v>
      </c>
    </row>
    <row r="44" spans="10:41" ht="16.5" customHeight="1" x14ac:dyDescent="0.3">
      <c r="J44" s="24">
        <v>40</v>
      </c>
      <c r="K44" s="15" t="s">
        <v>35</v>
      </c>
      <c r="L44" s="15" t="s">
        <v>22</v>
      </c>
      <c r="M44" s="15" t="s">
        <v>19</v>
      </c>
      <c r="N44" s="15" t="s">
        <v>81</v>
      </c>
      <c r="O44" s="15" t="s">
        <v>37</v>
      </c>
      <c r="Q44" s="9">
        <v>8</v>
      </c>
      <c r="R44" s="9">
        <v>3</v>
      </c>
      <c r="S44" s="9">
        <v>5</v>
      </c>
      <c r="T44" s="9">
        <v>17</v>
      </c>
      <c r="U44" s="9">
        <v>7</v>
      </c>
      <c r="W44" s="24">
        <v>1</v>
      </c>
      <c r="X44" s="24">
        <v>1</v>
      </c>
      <c r="Y44" s="24">
        <v>1</v>
      </c>
      <c r="Z44" s="24">
        <v>1</v>
      </c>
      <c r="AA44" s="24">
        <v>1</v>
      </c>
      <c r="AC44" s="71" t="str">
        <v>G4</v>
      </c>
      <c r="AD44" s="53">
        <v>0</v>
      </c>
      <c r="AE44" s="53">
        <v>4</v>
      </c>
      <c r="AF44" s="53">
        <v>3</v>
      </c>
      <c r="AG44" s="53">
        <v>3</v>
      </c>
      <c r="AH44" s="53">
        <v>0</v>
      </c>
      <c r="AI44" s="5"/>
      <c r="AJ44" s="71" t="str">
        <v>G4</v>
      </c>
      <c r="AK44" s="53">
        <v>0</v>
      </c>
      <c r="AL44" s="53">
        <v>4</v>
      </c>
      <c r="AM44" s="53">
        <v>3</v>
      </c>
      <c r="AN44" s="53">
        <v>3</v>
      </c>
      <c r="AO44" s="53">
        <v>0</v>
      </c>
    </row>
    <row r="45" spans="10:41" ht="16.5" customHeight="1" x14ac:dyDescent="0.3">
      <c r="J45" s="9">
        <v>41</v>
      </c>
      <c r="K45" s="15" t="s">
        <v>95</v>
      </c>
      <c r="L45" s="15" t="s">
        <v>36</v>
      </c>
      <c r="M45" s="15" t="s">
        <v>95</v>
      </c>
      <c r="N45" s="15" t="s">
        <v>21</v>
      </c>
      <c r="O45" s="15" t="s">
        <v>19</v>
      </c>
      <c r="Q45" s="9">
        <v>6</v>
      </c>
      <c r="R45" s="9">
        <v>10</v>
      </c>
      <c r="S45" s="9">
        <v>6</v>
      </c>
      <c r="T45" s="9">
        <v>2</v>
      </c>
      <c r="U45" s="9">
        <v>5</v>
      </c>
      <c r="W45" s="24">
        <v>1</v>
      </c>
      <c r="X45" s="24">
        <v>1</v>
      </c>
      <c r="Y45" s="24">
        <v>1</v>
      </c>
      <c r="Z45" s="24">
        <v>1</v>
      </c>
      <c r="AA45" s="24">
        <v>1</v>
      </c>
      <c r="AC45" s="71" t="str">
        <v>G5</v>
      </c>
      <c r="AD45" s="53">
        <v>0</v>
      </c>
      <c r="AE45" s="53">
        <v>4</v>
      </c>
      <c r="AF45" s="53">
        <v>3</v>
      </c>
      <c r="AG45" s="53">
        <v>3</v>
      </c>
      <c r="AH45" s="53">
        <v>0</v>
      </c>
      <c r="AI45" s="5"/>
      <c r="AJ45" s="71" t="str">
        <v>G5</v>
      </c>
      <c r="AK45" s="53">
        <v>0</v>
      </c>
      <c r="AL45" s="53">
        <v>4</v>
      </c>
      <c r="AM45" s="53">
        <v>3</v>
      </c>
      <c r="AN45" s="53">
        <v>3</v>
      </c>
      <c r="AO45" s="53">
        <v>0</v>
      </c>
    </row>
    <row r="46" spans="10:41" ht="16.5" customHeight="1" x14ac:dyDescent="0.3">
      <c r="J46" s="24">
        <v>42</v>
      </c>
      <c r="K46" s="15" t="s">
        <v>95</v>
      </c>
      <c r="L46" s="15" t="s">
        <v>95</v>
      </c>
      <c r="M46" s="15" t="s">
        <v>37</v>
      </c>
      <c r="N46" s="15" t="s">
        <v>22</v>
      </c>
      <c r="O46" s="15" t="s">
        <v>36</v>
      </c>
      <c r="Q46" s="9">
        <v>6</v>
      </c>
      <c r="R46" s="9">
        <v>6</v>
      </c>
      <c r="S46" s="9">
        <v>7</v>
      </c>
      <c r="T46" s="9">
        <v>3</v>
      </c>
      <c r="U46" s="9">
        <v>10</v>
      </c>
      <c r="W46" s="24">
        <v>1</v>
      </c>
      <c r="X46" s="24">
        <v>1</v>
      </c>
      <c r="Y46" s="24">
        <v>1</v>
      </c>
      <c r="Z46" s="24">
        <v>1</v>
      </c>
      <c r="AA46" s="24">
        <v>1</v>
      </c>
      <c r="AC46" s="71" t="str">
        <v>GA</v>
      </c>
      <c r="AD46" s="53">
        <v>0</v>
      </c>
      <c r="AE46" s="53">
        <v>4</v>
      </c>
      <c r="AF46" s="53">
        <v>3</v>
      </c>
      <c r="AG46" s="53">
        <v>3</v>
      </c>
      <c r="AH46" s="53">
        <v>0</v>
      </c>
      <c r="AI46" s="5"/>
      <c r="AJ46" s="71" t="str">
        <v>GA</v>
      </c>
      <c r="AK46" s="53">
        <v>0</v>
      </c>
      <c r="AL46" s="53">
        <v>4</v>
      </c>
      <c r="AM46" s="53">
        <v>3</v>
      </c>
      <c r="AN46" s="53">
        <v>3</v>
      </c>
      <c r="AO46" s="53">
        <v>0</v>
      </c>
    </row>
    <row r="47" spans="10:41" ht="16.5" customHeight="1" x14ac:dyDescent="0.3">
      <c r="J47" s="9">
        <v>43</v>
      </c>
      <c r="K47" s="15" t="s">
        <v>95</v>
      </c>
      <c r="L47" s="15" t="s">
        <v>68</v>
      </c>
      <c r="M47" s="15" t="s">
        <v>35</v>
      </c>
      <c r="N47" s="15" t="s">
        <v>22</v>
      </c>
      <c r="O47" s="15" t="s">
        <v>20</v>
      </c>
      <c r="Q47" s="9">
        <v>6</v>
      </c>
      <c r="R47" s="9">
        <v>18</v>
      </c>
      <c r="S47" s="9">
        <v>8</v>
      </c>
      <c r="T47" s="9">
        <v>3</v>
      </c>
      <c r="U47" s="9">
        <v>1</v>
      </c>
      <c r="W47" s="24">
        <v>1</v>
      </c>
      <c r="X47" s="24">
        <v>1</v>
      </c>
      <c r="Y47" s="24">
        <v>1</v>
      </c>
      <c r="Z47" s="24">
        <v>1</v>
      </c>
      <c r="AA47" s="24">
        <v>1</v>
      </c>
      <c r="AC47" s="71" t="str">
        <v>GK</v>
      </c>
      <c r="AD47" s="53">
        <v>0</v>
      </c>
      <c r="AE47" s="53">
        <v>4</v>
      </c>
      <c r="AF47" s="53">
        <v>3</v>
      </c>
      <c r="AG47" s="53">
        <v>3</v>
      </c>
      <c r="AH47" s="53">
        <v>0</v>
      </c>
      <c r="AI47" s="5"/>
      <c r="AJ47" s="71" t="str">
        <v>GK</v>
      </c>
      <c r="AK47" s="53">
        <v>0</v>
      </c>
      <c r="AL47" s="53">
        <v>4</v>
      </c>
      <c r="AM47" s="53">
        <v>3</v>
      </c>
      <c r="AN47" s="53">
        <v>3</v>
      </c>
      <c r="AO47" s="53">
        <v>0</v>
      </c>
    </row>
    <row r="48" spans="10:41" ht="16.5" customHeight="1" x14ac:dyDescent="0.3">
      <c r="J48" s="24">
        <v>44</v>
      </c>
      <c r="K48" s="15" t="s">
        <v>19</v>
      </c>
      <c r="L48" s="15" t="s">
        <v>20</v>
      </c>
      <c r="M48" s="15" t="s">
        <v>37</v>
      </c>
      <c r="N48" s="15" t="s">
        <v>21</v>
      </c>
      <c r="O48" s="15" t="s">
        <v>19</v>
      </c>
      <c r="Q48" s="9">
        <v>5</v>
      </c>
      <c r="R48" s="9">
        <v>1</v>
      </c>
      <c r="S48" s="9">
        <v>7</v>
      </c>
      <c r="T48" s="9">
        <v>2</v>
      </c>
      <c r="U48" s="9">
        <v>5</v>
      </c>
      <c r="W48" s="24">
        <v>1</v>
      </c>
      <c r="X48" s="24">
        <v>1</v>
      </c>
      <c r="Y48" s="24">
        <v>1</v>
      </c>
      <c r="Z48" s="24">
        <v>1</v>
      </c>
      <c r="AA48" s="24">
        <v>1</v>
      </c>
      <c r="AC48" s="71" t="str">
        <v>GQ</v>
      </c>
      <c r="AD48" s="53">
        <v>0</v>
      </c>
      <c r="AE48" s="53">
        <v>8</v>
      </c>
      <c r="AF48" s="53">
        <v>0</v>
      </c>
      <c r="AG48" s="53">
        <v>4</v>
      </c>
      <c r="AH48" s="53">
        <v>0</v>
      </c>
      <c r="AI48" s="5"/>
      <c r="AJ48" s="71" t="str">
        <v>GQ</v>
      </c>
      <c r="AK48" s="53">
        <v>0</v>
      </c>
      <c r="AL48" s="53">
        <v>8</v>
      </c>
      <c r="AM48" s="53">
        <v>0</v>
      </c>
      <c r="AN48" s="53">
        <v>4</v>
      </c>
      <c r="AO48" s="53">
        <v>0</v>
      </c>
    </row>
    <row r="49" spans="10:41" ht="16.5" customHeight="1" x14ac:dyDescent="0.3">
      <c r="J49" s="9">
        <v>45</v>
      </c>
      <c r="K49" s="15" t="s">
        <v>35</v>
      </c>
      <c r="L49" s="15" t="s">
        <v>18</v>
      </c>
      <c r="M49" s="15" t="s">
        <v>95</v>
      </c>
      <c r="N49" s="15" t="s">
        <v>36</v>
      </c>
      <c r="O49" s="15" t="s">
        <v>18</v>
      </c>
      <c r="Q49" s="9">
        <v>8</v>
      </c>
      <c r="R49" s="9">
        <v>4</v>
      </c>
      <c r="S49" s="9">
        <v>6</v>
      </c>
      <c r="T49" s="9">
        <v>10</v>
      </c>
      <c r="U49" s="9">
        <v>4</v>
      </c>
      <c r="W49" s="24">
        <v>1</v>
      </c>
      <c r="X49" s="24">
        <v>1</v>
      </c>
      <c r="Y49" s="24">
        <v>1</v>
      </c>
      <c r="Z49" s="24">
        <v>1</v>
      </c>
      <c r="AA49" s="24">
        <v>1</v>
      </c>
      <c r="AC49" s="71" t="str">
        <v>GJ</v>
      </c>
      <c r="AD49" s="53">
        <v>0</v>
      </c>
      <c r="AE49" s="53">
        <v>8</v>
      </c>
      <c r="AF49" s="53">
        <v>0</v>
      </c>
      <c r="AG49" s="53">
        <v>4</v>
      </c>
      <c r="AH49" s="53">
        <v>0</v>
      </c>
      <c r="AI49" s="5"/>
      <c r="AJ49" s="71" t="str">
        <v>GJ</v>
      </c>
      <c r="AK49" s="53">
        <v>0</v>
      </c>
      <c r="AL49" s="53">
        <v>8</v>
      </c>
      <c r="AM49" s="53">
        <v>0</v>
      </c>
      <c r="AN49" s="53">
        <v>4</v>
      </c>
      <c r="AO49" s="53">
        <v>0</v>
      </c>
    </row>
    <row r="50" spans="10:41" ht="16.5" customHeight="1" x14ac:dyDescent="0.3">
      <c r="J50" s="24">
        <v>46</v>
      </c>
      <c r="K50" s="15" t="s">
        <v>37</v>
      </c>
      <c r="L50" s="15" t="s">
        <v>21</v>
      </c>
      <c r="M50" s="15" t="s">
        <v>37</v>
      </c>
      <c r="N50" s="15" t="s">
        <v>22</v>
      </c>
      <c r="O50" s="15" t="s">
        <v>36</v>
      </c>
      <c r="Q50" s="9">
        <v>7</v>
      </c>
      <c r="R50" s="9">
        <v>2</v>
      </c>
      <c r="S50" s="9">
        <v>7</v>
      </c>
      <c r="T50" s="9">
        <v>3</v>
      </c>
      <c r="U50" s="9">
        <v>10</v>
      </c>
      <c r="W50" s="24">
        <v>1</v>
      </c>
      <c r="X50" s="24">
        <v>1</v>
      </c>
      <c r="Y50" s="24">
        <v>1</v>
      </c>
      <c r="Z50" s="24">
        <v>1</v>
      </c>
      <c r="AA50" s="24">
        <v>1</v>
      </c>
      <c r="AD50" s="59">
        <f>SUM(AD30:AD49)</f>
        <v>197</v>
      </c>
      <c r="AE50" s="59">
        <f>SUM(AE30:AE49)</f>
        <v>197</v>
      </c>
      <c r="AF50" s="59">
        <f>SUM(AF30:AF49)</f>
        <v>197</v>
      </c>
      <c r="AG50" s="59">
        <f>SUM(AG30:AG49)</f>
        <v>197</v>
      </c>
      <c r="AH50" s="59">
        <f>SUM(AH30:AH49)</f>
        <v>197</v>
      </c>
      <c r="AI50" s="5"/>
      <c r="AK50" s="59">
        <f>SUM(AK30:AK49)</f>
        <v>197</v>
      </c>
      <c r="AL50" s="59">
        <f>SUM(AL30:AL49)</f>
        <v>197</v>
      </c>
      <c r="AM50" s="59">
        <f>SUM(AM30:AM49)</f>
        <v>197</v>
      </c>
      <c r="AN50" s="59">
        <f>SUM(AN30:AN49)</f>
        <v>197</v>
      </c>
      <c r="AO50" s="59">
        <f>SUM(AO30:AO49)</f>
        <v>197</v>
      </c>
    </row>
    <row r="51" spans="10:41" ht="16.5" customHeight="1" x14ac:dyDescent="0.3">
      <c r="J51" s="9">
        <v>47</v>
      </c>
      <c r="K51" s="15" t="s">
        <v>20</v>
      </c>
      <c r="L51" s="15" t="s">
        <v>21</v>
      </c>
      <c r="M51" s="15" t="s">
        <v>22</v>
      </c>
      <c r="N51" s="15" t="s">
        <v>21</v>
      </c>
      <c r="O51" s="15" t="s">
        <v>34</v>
      </c>
      <c r="Q51" s="9">
        <v>1</v>
      </c>
      <c r="R51" s="9">
        <v>2</v>
      </c>
      <c r="S51" s="9">
        <v>3</v>
      </c>
      <c r="T51" s="9">
        <v>2</v>
      </c>
      <c r="U51" s="9">
        <v>9</v>
      </c>
      <c r="W51" s="24">
        <v>1</v>
      </c>
      <c r="X51" s="24">
        <v>1</v>
      </c>
      <c r="Y51" s="24">
        <v>1</v>
      </c>
      <c r="Z51" s="24">
        <v>1</v>
      </c>
      <c r="AA51" s="24">
        <v>1</v>
      </c>
      <c r="AH51" s="5"/>
      <c r="AI51" s="5"/>
      <c r="AO51" s="5"/>
    </row>
    <row r="52" spans="10:41" ht="16.5" customHeight="1" x14ac:dyDescent="0.3">
      <c r="J52" s="24">
        <v>48</v>
      </c>
      <c r="K52" s="15" t="s">
        <v>35</v>
      </c>
      <c r="L52" s="15" t="s">
        <v>19</v>
      </c>
      <c r="M52" s="15" t="s">
        <v>37</v>
      </c>
      <c r="N52" s="15" t="s">
        <v>37</v>
      </c>
      <c r="O52" s="15" t="s">
        <v>21</v>
      </c>
      <c r="Q52" s="9">
        <v>8</v>
      </c>
      <c r="R52" s="9">
        <v>5</v>
      </c>
      <c r="S52" s="9">
        <v>7</v>
      </c>
      <c r="T52" s="9">
        <v>7</v>
      </c>
      <c r="U52" s="9">
        <v>2</v>
      </c>
      <c r="W52" s="24">
        <v>1</v>
      </c>
      <c r="X52" s="24">
        <v>1</v>
      </c>
      <c r="Y52" s="24">
        <v>1</v>
      </c>
      <c r="Z52" s="24">
        <v>1</v>
      </c>
      <c r="AA52" s="24">
        <v>1</v>
      </c>
      <c r="AC52" s="26" t="s">
        <v>98</v>
      </c>
      <c r="AH52" s="5"/>
      <c r="AI52" s="5"/>
      <c r="AJ52" s="26" t="s">
        <v>98</v>
      </c>
      <c r="AO52" s="5"/>
    </row>
    <row r="53" spans="10:41" ht="16.5" customHeight="1" x14ac:dyDescent="0.3">
      <c r="J53" s="9">
        <v>49</v>
      </c>
      <c r="K53" s="15" t="s">
        <v>37</v>
      </c>
      <c r="L53" s="15" t="s">
        <v>35</v>
      </c>
      <c r="M53" s="15" t="s">
        <v>37</v>
      </c>
      <c r="N53" s="15" t="s">
        <v>34</v>
      </c>
      <c r="O53" s="15" t="s">
        <v>37</v>
      </c>
      <c r="Q53" s="9">
        <v>7</v>
      </c>
      <c r="R53" s="9">
        <v>8</v>
      </c>
      <c r="S53" s="9">
        <v>7</v>
      </c>
      <c r="T53" s="9">
        <v>9</v>
      </c>
      <c r="U53" s="9">
        <v>7</v>
      </c>
      <c r="W53" s="24">
        <v>1</v>
      </c>
      <c r="X53" s="24">
        <v>1</v>
      </c>
      <c r="Y53" s="24">
        <v>1</v>
      </c>
      <c r="Z53" s="24">
        <v>1</v>
      </c>
      <c r="AA53" s="24">
        <v>1</v>
      </c>
      <c r="AC53" s="68" t="s">
        <v>42</v>
      </c>
      <c r="AD53" s="68" t="s">
        <v>13</v>
      </c>
      <c r="AE53" s="68" t="s">
        <v>14</v>
      </c>
      <c r="AF53" s="68" t="s">
        <v>15</v>
      </c>
      <c r="AG53" s="68" t="s">
        <v>16</v>
      </c>
      <c r="AH53" s="68" t="s">
        <v>17</v>
      </c>
      <c r="AI53" s="5"/>
      <c r="AJ53" s="68" t="s">
        <v>42</v>
      </c>
      <c r="AK53" s="68" t="s">
        <v>13</v>
      </c>
      <c r="AL53" s="68" t="s">
        <v>14</v>
      </c>
      <c r="AM53" s="68" t="s">
        <v>15</v>
      </c>
      <c r="AN53" s="68" t="s">
        <v>16</v>
      </c>
      <c r="AO53" s="68" t="s">
        <v>17</v>
      </c>
    </row>
    <row r="54" spans="10:41" ht="16.5" customHeight="1" x14ac:dyDescent="0.3">
      <c r="J54" s="24">
        <v>50</v>
      </c>
      <c r="K54" s="15" t="s">
        <v>37</v>
      </c>
      <c r="L54" s="15" t="s">
        <v>35</v>
      </c>
      <c r="M54" s="15" t="s">
        <v>37</v>
      </c>
      <c r="N54" s="15" t="s">
        <v>34</v>
      </c>
      <c r="O54" s="15" t="s">
        <v>18</v>
      </c>
      <c r="Q54" s="9">
        <v>7</v>
      </c>
      <c r="R54" s="9">
        <v>8</v>
      </c>
      <c r="S54" s="9">
        <v>7</v>
      </c>
      <c r="T54" s="9">
        <v>9</v>
      </c>
      <c r="U54" s="9">
        <v>4</v>
      </c>
      <c r="W54" s="24">
        <v>1</v>
      </c>
      <c r="X54" s="24">
        <v>1</v>
      </c>
      <c r="Y54" s="24">
        <v>1</v>
      </c>
      <c r="Z54" s="24">
        <v>1</v>
      </c>
      <c r="AA54" s="24">
        <v>1</v>
      </c>
      <c r="AC54" s="71" t="str" cm="1">
        <f t="array" ref="AC54:AC73">$A$4:$A$23</f>
        <v>WW</v>
      </c>
      <c r="AD54" s="72">
        <v>0</v>
      </c>
      <c r="AE54" s="72">
        <v>0</v>
      </c>
      <c r="AF54" s="72">
        <v>0</v>
      </c>
      <c r="AG54" s="72">
        <v>0</v>
      </c>
      <c r="AH54" s="72">
        <v>0</v>
      </c>
      <c r="AI54" s="5"/>
      <c r="AJ54" s="71" t="str" cm="1">
        <f t="array" ref="AJ54:AJ73">$A$4:$A$23</f>
        <v>WW</v>
      </c>
      <c r="AK54" s="72">
        <v>0</v>
      </c>
      <c r="AL54" s="72">
        <v>0</v>
      </c>
      <c r="AM54" s="72">
        <v>0</v>
      </c>
      <c r="AN54" s="72">
        <v>0</v>
      </c>
      <c r="AO54" s="72">
        <v>0</v>
      </c>
    </row>
    <row r="55" spans="10:41" ht="16.5" customHeight="1" x14ac:dyDescent="0.3">
      <c r="J55" s="9">
        <v>51</v>
      </c>
      <c r="K55" s="15" t="s">
        <v>95</v>
      </c>
      <c r="L55" s="15" t="s">
        <v>35</v>
      </c>
      <c r="M55" s="15" t="s">
        <v>35</v>
      </c>
      <c r="N55" s="15" t="s">
        <v>64</v>
      </c>
      <c r="O55" s="15" t="s">
        <v>21</v>
      </c>
      <c r="Q55" s="9">
        <v>6</v>
      </c>
      <c r="R55" s="9">
        <v>8</v>
      </c>
      <c r="S55" s="9">
        <v>8</v>
      </c>
      <c r="T55" s="9">
        <v>14</v>
      </c>
      <c r="U55" s="9">
        <v>2</v>
      </c>
      <c r="W55" s="24">
        <v>1</v>
      </c>
      <c r="X55" s="24">
        <v>1</v>
      </c>
      <c r="Y55" s="24">
        <v>1</v>
      </c>
      <c r="Z55" s="24">
        <v>1</v>
      </c>
      <c r="AA55" s="24">
        <v>1</v>
      </c>
      <c r="AC55" s="71" t="str">
        <v>C1</v>
      </c>
      <c r="AD55" s="71">
        <v>1</v>
      </c>
      <c r="AE55" s="71">
        <v>1</v>
      </c>
      <c r="AF55" s="71">
        <v>1</v>
      </c>
      <c r="AG55" s="71">
        <v>3</v>
      </c>
      <c r="AH55" s="71">
        <v>3</v>
      </c>
      <c r="AI55" s="5"/>
      <c r="AJ55" s="71" t="str">
        <v>C1</v>
      </c>
      <c r="AK55" s="71">
        <v>1</v>
      </c>
      <c r="AL55" s="71">
        <v>1</v>
      </c>
      <c r="AM55" s="71">
        <v>1</v>
      </c>
      <c r="AN55" s="71">
        <v>3</v>
      </c>
      <c r="AO55" s="71">
        <v>3</v>
      </c>
    </row>
    <row r="56" spans="10:41" ht="16.5" customHeight="1" x14ac:dyDescent="0.3">
      <c r="J56" s="24">
        <v>52</v>
      </c>
      <c r="K56" s="15" t="s">
        <v>35</v>
      </c>
      <c r="L56" s="15" t="s">
        <v>34</v>
      </c>
      <c r="M56" s="15" t="s">
        <v>37</v>
      </c>
      <c r="N56" s="15" t="s">
        <v>18</v>
      </c>
      <c r="O56" s="15" t="s">
        <v>19</v>
      </c>
      <c r="Q56" s="9">
        <v>8</v>
      </c>
      <c r="R56" s="9">
        <v>9</v>
      </c>
      <c r="S56" s="9">
        <v>7</v>
      </c>
      <c r="T56" s="9">
        <v>4</v>
      </c>
      <c r="U56" s="9">
        <v>5</v>
      </c>
      <c r="W56" s="24">
        <v>1</v>
      </c>
      <c r="X56" s="24">
        <v>1</v>
      </c>
      <c r="Y56" s="24">
        <v>1</v>
      </c>
      <c r="Z56" s="24">
        <v>1</v>
      </c>
      <c r="AA56" s="24">
        <v>1</v>
      </c>
      <c r="AC56" s="80" t="str">
        <v>M1</v>
      </c>
      <c r="AD56" s="66">
        <v>4</v>
      </c>
      <c r="AE56" s="66">
        <v>17</v>
      </c>
      <c r="AF56" s="66">
        <v>4</v>
      </c>
      <c r="AG56" s="66">
        <v>21</v>
      </c>
      <c r="AH56" s="66">
        <v>22</v>
      </c>
      <c r="AI56" s="5"/>
      <c r="AJ56" s="80" t="str">
        <v>M1</v>
      </c>
      <c r="AK56" s="66">
        <v>4</v>
      </c>
      <c r="AL56" s="66">
        <v>17</v>
      </c>
      <c r="AM56" s="66">
        <v>4</v>
      </c>
      <c r="AN56" s="66">
        <v>21</v>
      </c>
      <c r="AO56" s="66">
        <v>22</v>
      </c>
    </row>
    <row r="57" spans="10:41" ht="16.5" customHeight="1" x14ac:dyDescent="0.3">
      <c r="J57" s="9">
        <v>53</v>
      </c>
      <c r="K57" s="15" t="s">
        <v>37</v>
      </c>
      <c r="L57" s="15" t="s">
        <v>34</v>
      </c>
      <c r="M57" s="15" t="s">
        <v>95</v>
      </c>
      <c r="N57" s="15" t="s">
        <v>18</v>
      </c>
      <c r="O57" s="15" t="s">
        <v>22</v>
      </c>
      <c r="Q57" s="9">
        <v>7</v>
      </c>
      <c r="R57" s="9">
        <v>9</v>
      </c>
      <c r="S57" s="9">
        <v>6</v>
      </c>
      <c r="T57" s="9">
        <v>4</v>
      </c>
      <c r="U57" s="9">
        <v>3</v>
      </c>
      <c r="W57" s="24">
        <v>1</v>
      </c>
      <c r="X57" s="24">
        <v>1</v>
      </c>
      <c r="Y57" s="24">
        <v>1</v>
      </c>
      <c r="Z57" s="24">
        <v>1</v>
      </c>
      <c r="AA57" s="24">
        <v>1</v>
      </c>
      <c r="AC57" s="80" t="str">
        <v>M2</v>
      </c>
      <c r="AD57" s="66">
        <v>4</v>
      </c>
      <c r="AE57" s="66">
        <v>18</v>
      </c>
      <c r="AF57" s="66">
        <v>4</v>
      </c>
      <c r="AG57" s="66">
        <v>20</v>
      </c>
      <c r="AH57" s="66">
        <v>22</v>
      </c>
      <c r="AI57" s="5"/>
      <c r="AJ57" s="80" t="str">
        <v>M2</v>
      </c>
      <c r="AK57" s="66">
        <v>4</v>
      </c>
      <c r="AL57" s="66">
        <v>18</v>
      </c>
      <c r="AM57" s="66">
        <v>4</v>
      </c>
      <c r="AN57" s="66">
        <v>20</v>
      </c>
      <c r="AO57" s="66">
        <v>22</v>
      </c>
    </row>
    <row r="58" spans="10:41" ht="16.5" customHeight="1" x14ac:dyDescent="0.3">
      <c r="J58" s="24">
        <v>54</v>
      </c>
      <c r="K58" s="15" t="s">
        <v>37</v>
      </c>
      <c r="L58" s="15" t="s">
        <v>18</v>
      </c>
      <c r="M58" s="15" t="s">
        <v>35</v>
      </c>
      <c r="N58" s="15" t="s">
        <v>61</v>
      </c>
      <c r="O58" s="15" t="s">
        <v>21</v>
      </c>
      <c r="Q58" s="9">
        <v>7</v>
      </c>
      <c r="R58" s="9">
        <v>4</v>
      </c>
      <c r="S58" s="9">
        <v>8</v>
      </c>
      <c r="T58" s="9">
        <v>11</v>
      </c>
      <c r="U58" s="9">
        <v>2</v>
      </c>
      <c r="W58" s="24">
        <v>1</v>
      </c>
      <c r="X58" s="24">
        <v>1</v>
      </c>
      <c r="Y58" s="24">
        <v>1</v>
      </c>
      <c r="Z58" s="24">
        <v>1</v>
      </c>
      <c r="AA58" s="24">
        <v>1</v>
      </c>
      <c r="AC58" s="80" t="str">
        <v>M3</v>
      </c>
      <c r="AD58" s="66">
        <v>4</v>
      </c>
      <c r="AE58" s="66">
        <v>18</v>
      </c>
      <c r="AF58" s="66">
        <v>4</v>
      </c>
      <c r="AG58" s="66">
        <v>20</v>
      </c>
      <c r="AH58" s="66">
        <v>21</v>
      </c>
      <c r="AI58" s="5"/>
      <c r="AJ58" s="80" t="str">
        <v>M3</v>
      </c>
      <c r="AK58" s="66">
        <v>4</v>
      </c>
      <c r="AL58" s="66">
        <v>18</v>
      </c>
      <c r="AM58" s="66">
        <v>4</v>
      </c>
      <c r="AN58" s="66">
        <v>20</v>
      </c>
      <c r="AO58" s="66">
        <v>21</v>
      </c>
    </row>
    <row r="59" spans="10:41" ht="16.5" customHeight="1" x14ac:dyDescent="0.3">
      <c r="J59" s="9">
        <v>55</v>
      </c>
      <c r="K59" s="15" t="s">
        <v>37</v>
      </c>
      <c r="L59" s="15" t="s">
        <v>18</v>
      </c>
      <c r="M59" s="15" t="s">
        <v>35</v>
      </c>
      <c r="N59" s="15" t="s">
        <v>18</v>
      </c>
      <c r="O59" s="15" t="s">
        <v>35</v>
      </c>
      <c r="Q59" s="9">
        <v>7</v>
      </c>
      <c r="R59" s="9">
        <v>4</v>
      </c>
      <c r="S59" s="9">
        <v>8</v>
      </c>
      <c r="T59" s="9">
        <v>4</v>
      </c>
      <c r="U59" s="9">
        <v>8</v>
      </c>
      <c r="W59" s="24">
        <v>1</v>
      </c>
      <c r="X59" s="24">
        <v>1</v>
      </c>
      <c r="Y59" s="24">
        <v>1</v>
      </c>
      <c r="Z59" s="24">
        <v>1</v>
      </c>
      <c r="AA59" s="24">
        <v>1</v>
      </c>
      <c r="AC59" s="80" t="str">
        <v>M4</v>
      </c>
      <c r="AD59" s="66">
        <v>40</v>
      </c>
      <c r="AE59" s="66">
        <v>14</v>
      </c>
      <c r="AF59" s="66">
        <v>41</v>
      </c>
      <c r="AG59" s="66">
        <v>14</v>
      </c>
      <c r="AH59" s="66">
        <v>21</v>
      </c>
      <c r="AI59" s="5"/>
      <c r="AJ59" s="80" t="str">
        <v>M4</v>
      </c>
      <c r="AK59" s="66">
        <v>40</v>
      </c>
      <c r="AL59" s="66">
        <v>14</v>
      </c>
      <c r="AM59" s="66">
        <v>41</v>
      </c>
      <c r="AN59" s="66">
        <v>14</v>
      </c>
      <c r="AO59" s="66">
        <v>21</v>
      </c>
    </row>
    <row r="60" spans="10:41" ht="16.5" customHeight="1" x14ac:dyDescent="0.3">
      <c r="J60" s="24">
        <v>56</v>
      </c>
      <c r="K60" s="15" t="s">
        <v>19</v>
      </c>
      <c r="L60" s="15" t="s">
        <v>64</v>
      </c>
      <c r="M60" s="15" t="s">
        <v>35</v>
      </c>
      <c r="N60" s="15" t="s">
        <v>35</v>
      </c>
      <c r="O60" s="15" t="s">
        <v>36</v>
      </c>
      <c r="Q60" s="9">
        <v>5</v>
      </c>
      <c r="R60" s="9">
        <v>14</v>
      </c>
      <c r="S60" s="9">
        <v>8</v>
      </c>
      <c r="T60" s="9">
        <v>8</v>
      </c>
      <c r="U60" s="9">
        <v>10</v>
      </c>
      <c r="W60" s="24">
        <v>1</v>
      </c>
      <c r="X60" s="24">
        <v>1</v>
      </c>
      <c r="Y60" s="24">
        <v>1</v>
      </c>
      <c r="Z60" s="24">
        <v>1</v>
      </c>
      <c r="AA60" s="24">
        <v>1</v>
      </c>
      <c r="AC60" s="80" t="str">
        <v>M5</v>
      </c>
      <c r="AD60" s="66">
        <v>40</v>
      </c>
      <c r="AE60" s="66">
        <v>14</v>
      </c>
      <c r="AF60" s="66">
        <v>41</v>
      </c>
      <c r="AG60" s="66">
        <v>14</v>
      </c>
      <c r="AH60" s="66">
        <v>21</v>
      </c>
      <c r="AI60" s="5"/>
      <c r="AJ60" s="80" t="str">
        <v>M5</v>
      </c>
      <c r="AK60" s="66">
        <v>40</v>
      </c>
      <c r="AL60" s="66">
        <v>14</v>
      </c>
      <c r="AM60" s="66">
        <v>41</v>
      </c>
      <c r="AN60" s="66">
        <v>14</v>
      </c>
      <c r="AO60" s="66">
        <v>21</v>
      </c>
    </row>
    <row r="61" spans="10:41" x14ac:dyDescent="0.3">
      <c r="J61" s="9">
        <v>57</v>
      </c>
      <c r="K61" s="15" t="s">
        <v>95</v>
      </c>
      <c r="L61" s="15" t="s">
        <v>64</v>
      </c>
      <c r="M61" s="15" t="s">
        <v>95</v>
      </c>
      <c r="N61" s="15" t="s">
        <v>18</v>
      </c>
      <c r="O61" s="15" t="s">
        <v>36</v>
      </c>
      <c r="Q61" s="9">
        <v>6</v>
      </c>
      <c r="R61" s="9">
        <v>14</v>
      </c>
      <c r="S61" s="9">
        <v>6</v>
      </c>
      <c r="T61" s="9">
        <v>4</v>
      </c>
      <c r="U61" s="9">
        <v>10</v>
      </c>
      <c r="W61" s="24">
        <v>1</v>
      </c>
      <c r="X61" s="24">
        <v>1</v>
      </c>
      <c r="Y61" s="24">
        <v>1</v>
      </c>
      <c r="Z61" s="24">
        <v>1</v>
      </c>
      <c r="AA61" s="24">
        <v>1</v>
      </c>
      <c r="AC61" s="80" t="str">
        <v>A</v>
      </c>
      <c r="AD61" s="66">
        <v>47</v>
      </c>
      <c r="AE61" s="66">
        <v>13</v>
      </c>
      <c r="AF61" s="66">
        <v>41</v>
      </c>
      <c r="AG61" s="66">
        <v>14</v>
      </c>
      <c r="AH61" s="66">
        <v>21</v>
      </c>
      <c r="AI61" s="5"/>
      <c r="AJ61" s="80" t="str">
        <v>A</v>
      </c>
      <c r="AK61" s="66">
        <v>47</v>
      </c>
      <c r="AL61" s="66">
        <v>13</v>
      </c>
      <c r="AM61" s="66">
        <v>41</v>
      </c>
      <c r="AN61" s="66">
        <v>14</v>
      </c>
      <c r="AO61" s="66">
        <v>21</v>
      </c>
    </row>
    <row r="62" spans="10:41" x14ac:dyDescent="0.3">
      <c r="J62" s="24">
        <v>58</v>
      </c>
      <c r="K62" s="15" t="s">
        <v>36</v>
      </c>
      <c r="L62" s="15" t="s">
        <v>34</v>
      </c>
      <c r="M62" s="15" t="s">
        <v>95</v>
      </c>
      <c r="N62" s="15" t="s">
        <v>81</v>
      </c>
      <c r="O62" s="15" t="s">
        <v>22</v>
      </c>
      <c r="Q62" s="9">
        <v>10</v>
      </c>
      <c r="R62" s="9">
        <v>9</v>
      </c>
      <c r="S62" s="9">
        <v>6</v>
      </c>
      <c r="T62" s="9">
        <v>17</v>
      </c>
      <c r="U62" s="9">
        <v>3</v>
      </c>
      <c r="W62" s="24">
        <v>1</v>
      </c>
      <c r="X62" s="24">
        <v>1</v>
      </c>
      <c r="Y62" s="24">
        <v>1</v>
      </c>
      <c r="Z62" s="24">
        <v>1</v>
      </c>
      <c r="AA62" s="24">
        <v>1</v>
      </c>
      <c r="AC62" s="80" t="str">
        <v>K</v>
      </c>
      <c r="AD62" s="66">
        <v>47</v>
      </c>
      <c r="AE62" s="66">
        <v>13</v>
      </c>
      <c r="AF62" s="66">
        <v>41</v>
      </c>
      <c r="AG62" s="66">
        <v>14</v>
      </c>
      <c r="AH62" s="66">
        <v>21</v>
      </c>
      <c r="AI62" s="5"/>
      <c r="AJ62" s="80" t="str">
        <v>K</v>
      </c>
      <c r="AK62" s="66">
        <v>47</v>
      </c>
      <c r="AL62" s="66">
        <v>13</v>
      </c>
      <c r="AM62" s="66">
        <v>41</v>
      </c>
      <c r="AN62" s="66">
        <v>14</v>
      </c>
      <c r="AO62" s="66">
        <v>21</v>
      </c>
    </row>
    <row r="63" spans="10:41" ht="16.5" customHeight="1" x14ac:dyDescent="0.3">
      <c r="J63" s="9">
        <v>59</v>
      </c>
      <c r="K63" s="15" t="s">
        <v>35</v>
      </c>
      <c r="L63" s="15" t="s">
        <v>63</v>
      </c>
      <c r="M63" s="15" t="s">
        <v>20</v>
      </c>
      <c r="N63" s="15" t="s">
        <v>68</v>
      </c>
      <c r="O63" s="15" t="s">
        <v>19</v>
      </c>
      <c r="Q63" s="9">
        <v>8</v>
      </c>
      <c r="R63" s="9">
        <v>13</v>
      </c>
      <c r="S63" s="9">
        <v>1</v>
      </c>
      <c r="T63" s="9">
        <v>18</v>
      </c>
      <c r="U63" s="9">
        <v>5</v>
      </c>
      <c r="W63" s="24">
        <v>1</v>
      </c>
      <c r="X63" s="24">
        <v>1</v>
      </c>
      <c r="Y63" s="24">
        <v>1</v>
      </c>
      <c r="Z63" s="24">
        <v>1</v>
      </c>
      <c r="AA63" s="24">
        <v>1</v>
      </c>
      <c r="AC63" s="80" t="str">
        <v>Q</v>
      </c>
      <c r="AD63" s="66">
        <v>4</v>
      </c>
      <c r="AE63" s="66">
        <v>17</v>
      </c>
      <c r="AF63" s="66">
        <v>3</v>
      </c>
      <c r="AG63" s="66">
        <v>21</v>
      </c>
      <c r="AH63" s="66">
        <v>21</v>
      </c>
      <c r="AI63" s="5"/>
      <c r="AJ63" s="80" t="str">
        <v>Q</v>
      </c>
      <c r="AK63" s="66">
        <v>4</v>
      </c>
      <c r="AL63" s="66">
        <v>17</v>
      </c>
      <c r="AM63" s="66">
        <v>3</v>
      </c>
      <c r="AN63" s="66">
        <v>21</v>
      </c>
      <c r="AO63" s="66">
        <v>21</v>
      </c>
    </row>
    <row r="64" spans="10:41" ht="16.5" customHeight="1" x14ac:dyDescent="0.3">
      <c r="J64" s="24">
        <v>60</v>
      </c>
      <c r="K64" s="15" t="s">
        <v>95</v>
      </c>
      <c r="L64" s="15" t="s">
        <v>34</v>
      </c>
      <c r="M64" s="15" t="s">
        <v>19</v>
      </c>
      <c r="N64" s="15" t="s">
        <v>18</v>
      </c>
      <c r="O64" s="15" t="s">
        <v>34</v>
      </c>
      <c r="Q64" s="9">
        <v>6</v>
      </c>
      <c r="R64" s="9">
        <v>9</v>
      </c>
      <c r="S64" s="9">
        <v>5</v>
      </c>
      <c r="T64" s="9">
        <v>4</v>
      </c>
      <c r="U64" s="9">
        <v>9</v>
      </c>
      <c r="W64" s="24">
        <v>1</v>
      </c>
      <c r="X64" s="24">
        <v>1</v>
      </c>
      <c r="Y64" s="24">
        <v>1</v>
      </c>
      <c r="Z64" s="24">
        <v>1</v>
      </c>
      <c r="AA64" s="24">
        <v>1</v>
      </c>
      <c r="AC64" s="80" t="str">
        <v>J</v>
      </c>
      <c r="AD64" s="66">
        <v>4</v>
      </c>
      <c r="AE64" s="66">
        <v>17</v>
      </c>
      <c r="AF64" s="66">
        <v>3</v>
      </c>
      <c r="AG64" s="66">
        <v>21</v>
      </c>
      <c r="AH64" s="66">
        <v>21</v>
      </c>
      <c r="AI64" s="5"/>
      <c r="AJ64" s="80" t="str">
        <v>J</v>
      </c>
      <c r="AK64" s="66">
        <v>4</v>
      </c>
      <c r="AL64" s="66">
        <v>17</v>
      </c>
      <c r="AM64" s="66">
        <v>3</v>
      </c>
      <c r="AN64" s="66">
        <v>21</v>
      </c>
      <c r="AO64" s="66">
        <v>21</v>
      </c>
    </row>
    <row r="65" spans="10:41" ht="16.5" customHeight="1" x14ac:dyDescent="0.3">
      <c r="J65" s="9">
        <v>61</v>
      </c>
      <c r="K65" s="15" t="s">
        <v>37</v>
      </c>
      <c r="L65" s="15" t="s">
        <v>36</v>
      </c>
      <c r="M65" s="15" t="s">
        <v>64</v>
      </c>
      <c r="N65" s="15" t="s">
        <v>22</v>
      </c>
      <c r="O65" s="15" t="s">
        <v>35</v>
      </c>
      <c r="Q65" s="9">
        <v>7</v>
      </c>
      <c r="R65" s="9">
        <v>10</v>
      </c>
      <c r="S65" s="9">
        <v>14</v>
      </c>
      <c r="T65" s="9">
        <v>3</v>
      </c>
      <c r="U65" s="9">
        <v>8</v>
      </c>
      <c r="W65" s="24">
        <v>1</v>
      </c>
      <c r="X65" s="24">
        <v>1</v>
      </c>
      <c r="Y65" s="24">
        <v>1</v>
      </c>
      <c r="Z65" s="24">
        <v>1</v>
      </c>
      <c r="AA65" s="24">
        <v>1</v>
      </c>
      <c r="AC65" s="71" t="str">
        <v>G1</v>
      </c>
      <c r="AD65" s="53">
        <v>0</v>
      </c>
      <c r="AE65" s="53">
        <v>7</v>
      </c>
      <c r="AF65" s="53">
        <v>0</v>
      </c>
      <c r="AG65" s="53">
        <v>4</v>
      </c>
      <c r="AH65" s="53">
        <v>0</v>
      </c>
      <c r="AI65" s="5"/>
      <c r="AJ65" s="71" t="str">
        <v>G1</v>
      </c>
      <c r="AK65" s="53">
        <v>0</v>
      </c>
      <c r="AL65" s="53">
        <v>7</v>
      </c>
      <c r="AM65" s="53">
        <v>0</v>
      </c>
      <c r="AN65" s="53">
        <v>4</v>
      </c>
      <c r="AO65" s="53">
        <v>0</v>
      </c>
    </row>
    <row r="66" spans="10:41" ht="16.5" customHeight="1" x14ac:dyDescent="0.3">
      <c r="J66" s="24">
        <v>62</v>
      </c>
      <c r="K66" s="15" t="s">
        <v>21</v>
      </c>
      <c r="L66" s="15" t="s">
        <v>22</v>
      </c>
      <c r="M66" s="15" t="s">
        <v>19</v>
      </c>
      <c r="N66" s="15" t="s">
        <v>34</v>
      </c>
      <c r="O66" s="15" t="s">
        <v>34</v>
      </c>
      <c r="Q66" s="9">
        <v>2</v>
      </c>
      <c r="R66" s="9">
        <v>3</v>
      </c>
      <c r="S66" s="9">
        <v>5</v>
      </c>
      <c r="T66" s="9">
        <v>9</v>
      </c>
      <c r="U66" s="9">
        <v>9</v>
      </c>
      <c r="W66" s="24">
        <v>1</v>
      </c>
      <c r="X66" s="24">
        <v>1</v>
      </c>
      <c r="Y66" s="24">
        <v>1</v>
      </c>
      <c r="Z66" s="24">
        <v>1</v>
      </c>
      <c r="AA66" s="24">
        <v>1</v>
      </c>
      <c r="AC66" s="71" t="str">
        <v>G2</v>
      </c>
      <c r="AD66" s="53">
        <v>0</v>
      </c>
      <c r="AE66" s="53">
        <v>7</v>
      </c>
      <c r="AF66" s="53">
        <v>0</v>
      </c>
      <c r="AG66" s="53">
        <v>4</v>
      </c>
      <c r="AH66" s="53">
        <v>0</v>
      </c>
      <c r="AI66" s="5"/>
      <c r="AJ66" s="71" t="str">
        <v>G2</v>
      </c>
      <c r="AK66" s="53">
        <v>0</v>
      </c>
      <c r="AL66" s="53">
        <v>7</v>
      </c>
      <c r="AM66" s="53">
        <v>0</v>
      </c>
      <c r="AN66" s="53">
        <v>4</v>
      </c>
      <c r="AO66" s="53">
        <v>0</v>
      </c>
    </row>
    <row r="67" spans="10:41" ht="16.5" customHeight="1" x14ac:dyDescent="0.3">
      <c r="J67" s="9">
        <v>63</v>
      </c>
      <c r="K67" s="15" t="s">
        <v>37</v>
      </c>
      <c r="L67" s="15" t="s">
        <v>68</v>
      </c>
      <c r="M67" s="15" t="s">
        <v>95</v>
      </c>
      <c r="N67" s="15" t="s">
        <v>96</v>
      </c>
      <c r="O67" s="15" t="s">
        <v>22</v>
      </c>
      <c r="Q67" s="9">
        <v>7</v>
      </c>
      <c r="R67" s="9">
        <v>18</v>
      </c>
      <c r="S67" s="9">
        <v>6</v>
      </c>
      <c r="T67" s="9">
        <v>15</v>
      </c>
      <c r="U67" s="9">
        <v>3</v>
      </c>
      <c r="W67" s="24">
        <v>1</v>
      </c>
      <c r="X67" s="24">
        <v>1</v>
      </c>
      <c r="Y67" s="24">
        <v>1</v>
      </c>
      <c r="Z67" s="24">
        <v>1</v>
      </c>
      <c r="AA67" s="24">
        <v>1</v>
      </c>
      <c r="AC67" s="71" t="str">
        <v>G3</v>
      </c>
      <c r="AD67" s="53">
        <v>0</v>
      </c>
      <c r="AE67" s="53">
        <v>7</v>
      </c>
      <c r="AF67" s="53">
        <v>0</v>
      </c>
      <c r="AG67" s="53">
        <v>4</v>
      </c>
      <c r="AH67" s="53">
        <v>0</v>
      </c>
      <c r="AI67" s="5"/>
      <c r="AJ67" s="71" t="str">
        <v>G3</v>
      </c>
      <c r="AK67" s="53">
        <v>0</v>
      </c>
      <c r="AL67" s="53">
        <v>7</v>
      </c>
      <c r="AM67" s="53">
        <v>0</v>
      </c>
      <c r="AN67" s="53">
        <v>4</v>
      </c>
      <c r="AO67" s="53">
        <v>0</v>
      </c>
    </row>
    <row r="68" spans="10:41" ht="16.5" customHeight="1" x14ac:dyDescent="0.3">
      <c r="J68" s="24">
        <v>64</v>
      </c>
      <c r="K68" s="15" t="s">
        <v>95</v>
      </c>
      <c r="L68" s="15" t="s">
        <v>22</v>
      </c>
      <c r="M68" s="15" t="s">
        <v>19</v>
      </c>
      <c r="N68" s="15" t="s">
        <v>35</v>
      </c>
      <c r="O68" s="15" t="s">
        <v>36</v>
      </c>
      <c r="Q68" s="9">
        <v>6</v>
      </c>
      <c r="R68" s="9">
        <v>3</v>
      </c>
      <c r="S68" s="9">
        <v>5</v>
      </c>
      <c r="T68" s="9">
        <v>8</v>
      </c>
      <c r="U68" s="9">
        <v>10</v>
      </c>
      <c r="W68" s="24">
        <v>1</v>
      </c>
      <c r="X68" s="24">
        <v>1</v>
      </c>
      <c r="Y68" s="24">
        <v>1</v>
      </c>
      <c r="Z68" s="24">
        <v>1</v>
      </c>
      <c r="AA68" s="24">
        <v>1</v>
      </c>
      <c r="AC68" s="71" t="str">
        <v>G4</v>
      </c>
      <c r="AD68" s="53">
        <v>0</v>
      </c>
      <c r="AE68" s="53">
        <v>4</v>
      </c>
      <c r="AF68" s="53">
        <v>3</v>
      </c>
      <c r="AG68" s="53">
        <v>3</v>
      </c>
      <c r="AH68" s="53">
        <v>0</v>
      </c>
      <c r="AI68" s="5"/>
      <c r="AJ68" s="71" t="str">
        <v>G4</v>
      </c>
      <c r="AK68" s="53">
        <v>0</v>
      </c>
      <c r="AL68" s="53">
        <v>4</v>
      </c>
      <c r="AM68" s="53">
        <v>3</v>
      </c>
      <c r="AN68" s="53">
        <v>3</v>
      </c>
      <c r="AO68" s="53">
        <v>0</v>
      </c>
    </row>
    <row r="69" spans="10:41" ht="16.5" customHeight="1" x14ac:dyDescent="0.3">
      <c r="J69" s="9">
        <v>65</v>
      </c>
      <c r="K69" s="15" t="s">
        <v>20</v>
      </c>
      <c r="L69" s="15" t="s">
        <v>22</v>
      </c>
      <c r="M69" s="15" t="s">
        <v>95</v>
      </c>
      <c r="N69" s="15" t="s">
        <v>22</v>
      </c>
      <c r="O69" s="15" t="s">
        <v>34</v>
      </c>
      <c r="Q69" s="9">
        <v>1</v>
      </c>
      <c r="R69" s="9">
        <v>3</v>
      </c>
      <c r="S69" s="9">
        <v>6</v>
      </c>
      <c r="T69" s="9">
        <v>3</v>
      </c>
      <c r="U69" s="9">
        <v>9</v>
      </c>
      <c r="W69" s="24">
        <v>1</v>
      </c>
      <c r="X69" s="24">
        <v>1</v>
      </c>
      <c r="Y69" s="24">
        <v>1</v>
      </c>
      <c r="Z69" s="24">
        <v>1</v>
      </c>
      <c r="AA69" s="24">
        <v>1</v>
      </c>
      <c r="AC69" s="71" t="str">
        <v>G5</v>
      </c>
      <c r="AD69" s="53">
        <v>0</v>
      </c>
      <c r="AE69" s="53">
        <v>4</v>
      </c>
      <c r="AF69" s="53">
        <v>3</v>
      </c>
      <c r="AG69" s="53">
        <v>3</v>
      </c>
      <c r="AH69" s="53">
        <v>0</v>
      </c>
      <c r="AI69" s="5"/>
      <c r="AJ69" s="71" t="str">
        <v>G5</v>
      </c>
      <c r="AK69" s="53">
        <v>0</v>
      </c>
      <c r="AL69" s="53">
        <v>4</v>
      </c>
      <c r="AM69" s="53">
        <v>3</v>
      </c>
      <c r="AN69" s="53">
        <v>3</v>
      </c>
      <c r="AO69" s="53">
        <v>0</v>
      </c>
    </row>
    <row r="70" spans="10:41" ht="16.5" customHeight="1" x14ac:dyDescent="0.3">
      <c r="J70" s="24">
        <v>66</v>
      </c>
      <c r="K70" s="15" t="s">
        <v>37</v>
      </c>
      <c r="L70" s="15" t="s">
        <v>35</v>
      </c>
      <c r="M70" s="15" t="s">
        <v>96</v>
      </c>
      <c r="N70" s="15" t="s">
        <v>36</v>
      </c>
      <c r="O70" s="15" t="s">
        <v>95</v>
      </c>
      <c r="Q70" s="9">
        <v>7</v>
      </c>
      <c r="R70" s="9">
        <v>8</v>
      </c>
      <c r="S70" s="9">
        <v>15</v>
      </c>
      <c r="T70" s="9">
        <v>10</v>
      </c>
      <c r="U70" s="9">
        <v>6</v>
      </c>
      <c r="W70" s="24">
        <v>1</v>
      </c>
      <c r="X70" s="24">
        <v>1</v>
      </c>
      <c r="Y70" s="24">
        <v>1</v>
      </c>
      <c r="Z70" s="24">
        <v>1</v>
      </c>
      <c r="AA70" s="24">
        <v>1</v>
      </c>
      <c r="AC70" s="71" t="str">
        <v>GA</v>
      </c>
      <c r="AD70" s="53">
        <v>0</v>
      </c>
      <c r="AE70" s="53">
        <v>4</v>
      </c>
      <c r="AF70" s="53">
        <v>3</v>
      </c>
      <c r="AG70" s="53">
        <v>3</v>
      </c>
      <c r="AH70" s="53">
        <v>0</v>
      </c>
      <c r="AI70" s="5"/>
      <c r="AJ70" s="71" t="str">
        <v>GA</v>
      </c>
      <c r="AK70" s="53">
        <v>0</v>
      </c>
      <c r="AL70" s="53">
        <v>4</v>
      </c>
      <c r="AM70" s="53">
        <v>3</v>
      </c>
      <c r="AN70" s="53">
        <v>3</v>
      </c>
      <c r="AO70" s="53">
        <v>0</v>
      </c>
    </row>
    <row r="71" spans="10:41" ht="16.5" customHeight="1" x14ac:dyDescent="0.3">
      <c r="J71" s="9">
        <v>67</v>
      </c>
      <c r="K71" s="15" t="s">
        <v>36</v>
      </c>
      <c r="L71" s="15" t="s">
        <v>61</v>
      </c>
      <c r="M71" s="15" t="s">
        <v>95</v>
      </c>
      <c r="N71" s="15" t="s">
        <v>61</v>
      </c>
      <c r="O71" s="15" t="s">
        <v>21</v>
      </c>
      <c r="Q71" s="9">
        <v>10</v>
      </c>
      <c r="R71" s="9">
        <v>11</v>
      </c>
      <c r="S71" s="9">
        <v>6</v>
      </c>
      <c r="T71" s="9">
        <v>11</v>
      </c>
      <c r="U71" s="9">
        <v>2</v>
      </c>
      <c r="W71" s="24">
        <v>1</v>
      </c>
      <c r="X71" s="24">
        <v>1</v>
      </c>
      <c r="Y71" s="24">
        <v>1</v>
      </c>
      <c r="Z71" s="24">
        <v>1</v>
      </c>
      <c r="AA71" s="24">
        <v>1</v>
      </c>
      <c r="AC71" s="71" t="str">
        <v>GK</v>
      </c>
      <c r="AD71" s="53">
        <v>0</v>
      </c>
      <c r="AE71" s="53">
        <v>4</v>
      </c>
      <c r="AF71" s="53">
        <v>3</v>
      </c>
      <c r="AG71" s="53">
        <v>3</v>
      </c>
      <c r="AH71" s="53">
        <v>0</v>
      </c>
      <c r="AI71" s="5"/>
      <c r="AJ71" s="71" t="str">
        <v>GK</v>
      </c>
      <c r="AK71" s="53">
        <v>0</v>
      </c>
      <c r="AL71" s="53">
        <v>4</v>
      </c>
      <c r="AM71" s="53">
        <v>3</v>
      </c>
      <c r="AN71" s="53">
        <v>3</v>
      </c>
      <c r="AO71" s="53">
        <v>0</v>
      </c>
    </row>
    <row r="72" spans="10:41" ht="16.5" customHeight="1" x14ac:dyDescent="0.3">
      <c r="J72" s="24">
        <v>68</v>
      </c>
      <c r="K72" s="15" t="s">
        <v>95</v>
      </c>
      <c r="L72" s="15" t="s">
        <v>20</v>
      </c>
      <c r="M72" s="15" t="s">
        <v>35</v>
      </c>
      <c r="N72" s="15" t="s">
        <v>36</v>
      </c>
      <c r="O72" s="15" t="s">
        <v>95</v>
      </c>
      <c r="Q72" s="9">
        <v>6</v>
      </c>
      <c r="R72" s="9">
        <v>1</v>
      </c>
      <c r="S72" s="9">
        <v>8</v>
      </c>
      <c r="T72" s="9">
        <v>10</v>
      </c>
      <c r="U72" s="9">
        <v>6</v>
      </c>
      <c r="W72" s="24">
        <v>1</v>
      </c>
      <c r="X72" s="24">
        <v>1</v>
      </c>
      <c r="Y72" s="24">
        <v>1</v>
      </c>
      <c r="Z72" s="24">
        <v>1</v>
      </c>
      <c r="AA72" s="24">
        <v>1</v>
      </c>
      <c r="AC72" s="71" t="str">
        <v>GQ</v>
      </c>
      <c r="AD72" s="53">
        <v>0</v>
      </c>
      <c r="AE72" s="53">
        <v>8</v>
      </c>
      <c r="AF72" s="53">
        <v>0</v>
      </c>
      <c r="AG72" s="53">
        <v>4</v>
      </c>
      <c r="AH72" s="53">
        <v>0</v>
      </c>
      <c r="AI72" s="5"/>
      <c r="AJ72" s="71" t="str">
        <v>GQ</v>
      </c>
      <c r="AK72" s="53">
        <v>0</v>
      </c>
      <c r="AL72" s="53">
        <v>8</v>
      </c>
      <c r="AM72" s="53">
        <v>0</v>
      </c>
      <c r="AN72" s="53">
        <v>4</v>
      </c>
      <c r="AO72" s="53">
        <v>0</v>
      </c>
    </row>
    <row r="73" spans="10:41" ht="16.5" customHeight="1" x14ac:dyDescent="0.3">
      <c r="J73" s="9">
        <v>69</v>
      </c>
      <c r="K73" s="15" t="s">
        <v>36</v>
      </c>
      <c r="L73" s="15" t="s">
        <v>70</v>
      </c>
      <c r="M73" s="15" t="s">
        <v>95</v>
      </c>
      <c r="N73" s="15" t="s">
        <v>95</v>
      </c>
      <c r="O73" s="15" t="s">
        <v>37</v>
      </c>
      <c r="Q73" s="9">
        <v>10</v>
      </c>
      <c r="R73" s="9">
        <v>19</v>
      </c>
      <c r="S73" s="9">
        <v>6</v>
      </c>
      <c r="T73" s="9">
        <v>6</v>
      </c>
      <c r="U73" s="9">
        <v>7</v>
      </c>
      <c r="W73" s="24">
        <v>1</v>
      </c>
      <c r="X73" s="24">
        <v>1</v>
      </c>
      <c r="Y73" s="24">
        <v>1</v>
      </c>
      <c r="Z73" s="24">
        <v>1</v>
      </c>
      <c r="AA73" s="24">
        <v>1</v>
      </c>
      <c r="AC73" s="71" t="str">
        <v>GJ</v>
      </c>
      <c r="AD73" s="53">
        <v>0</v>
      </c>
      <c r="AE73" s="53">
        <v>8</v>
      </c>
      <c r="AF73" s="53">
        <v>0</v>
      </c>
      <c r="AG73" s="53">
        <v>4</v>
      </c>
      <c r="AH73" s="53">
        <v>0</v>
      </c>
      <c r="AI73" s="5"/>
      <c r="AJ73" s="71" t="str">
        <v>GJ</v>
      </c>
      <c r="AK73" s="53">
        <v>0</v>
      </c>
      <c r="AL73" s="53">
        <v>8</v>
      </c>
      <c r="AM73" s="53">
        <v>0</v>
      </c>
      <c r="AN73" s="53">
        <v>4</v>
      </c>
      <c r="AO73" s="53">
        <v>0</v>
      </c>
    </row>
    <row r="74" spans="10:41" ht="16.5" customHeight="1" x14ac:dyDescent="0.3">
      <c r="J74" s="24">
        <v>70</v>
      </c>
      <c r="K74" s="15" t="s">
        <v>35</v>
      </c>
      <c r="L74" s="15" t="s">
        <v>34</v>
      </c>
      <c r="M74" s="15" t="s">
        <v>37</v>
      </c>
      <c r="N74" s="15" t="s">
        <v>22</v>
      </c>
      <c r="O74" s="15" t="s">
        <v>18</v>
      </c>
      <c r="Q74" s="9">
        <v>8</v>
      </c>
      <c r="R74" s="9">
        <v>9</v>
      </c>
      <c r="S74" s="9">
        <v>7</v>
      </c>
      <c r="T74" s="9">
        <v>3</v>
      </c>
      <c r="U74" s="9">
        <v>4</v>
      </c>
      <c r="W74" s="24">
        <v>1</v>
      </c>
      <c r="X74" s="24">
        <v>1</v>
      </c>
      <c r="Y74" s="24">
        <v>1</v>
      </c>
      <c r="Z74" s="24">
        <v>1</v>
      </c>
      <c r="AA74" s="24">
        <v>1</v>
      </c>
      <c r="AD74" s="59">
        <f>SUM(AD54:AD73)</f>
        <v>195</v>
      </c>
      <c r="AE74" s="59">
        <f>SUM(AE54:AE73)</f>
        <v>195</v>
      </c>
      <c r="AF74" s="59">
        <f>SUM(AF54:AF73)</f>
        <v>195</v>
      </c>
      <c r="AG74" s="59">
        <f>SUM(AG54:AG73)</f>
        <v>194</v>
      </c>
      <c r="AH74" s="59">
        <f>SUM(AH54:AH73)</f>
        <v>194</v>
      </c>
      <c r="AI74" s="5"/>
      <c r="AK74" s="59">
        <f>SUM(AK54:AK73)</f>
        <v>195</v>
      </c>
      <c r="AL74" s="59">
        <f>SUM(AL54:AL73)</f>
        <v>195</v>
      </c>
      <c r="AM74" s="59">
        <f>SUM(AM54:AM73)</f>
        <v>195</v>
      </c>
      <c r="AN74" s="59">
        <f>SUM(AN54:AN73)</f>
        <v>194</v>
      </c>
      <c r="AO74" s="59">
        <f>SUM(AO54:AO73)</f>
        <v>194</v>
      </c>
    </row>
    <row r="75" spans="10:41" ht="16.5" customHeight="1" x14ac:dyDescent="0.3">
      <c r="J75" s="9">
        <v>71</v>
      </c>
      <c r="K75" s="15" t="s">
        <v>19</v>
      </c>
      <c r="L75" s="15" t="s">
        <v>22</v>
      </c>
      <c r="M75" s="15" t="s">
        <v>95</v>
      </c>
      <c r="N75" s="15" t="s">
        <v>20</v>
      </c>
      <c r="O75" s="15" t="s">
        <v>36</v>
      </c>
      <c r="Q75" s="9">
        <v>5</v>
      </c>
      <c r="R75" s="9">
        <v>3</v>
      </c>
      <c r="S75" s="9">
        <v>6</v>
      </c>
      <c r="T75" s="9">
        <v>1</v>
      </c>
      <c r="U75" s="9">
        <v>10</v>
      </c>
      <c r="W75" s="24">
        <v>1</v>
      </c>
      <c r="X75" s="24">
        <v>1</v>
      </c>
      <c r="Y75" s="24">
        <v>1</v>
      </c>
      <c r="Z75" s="24">
        <v>1</v>
      </c>
      <c r="AA75" s="24">
        <v>1</v>
      </c>
      <c r="AH75" s="5"/>
      <c r="AI75" s="5"/>
      <c r="AO75" s="5"/>
    </row>
    <row r="76" spans="10:41" ht="16.5" customHeight="1" x14ac:dyDescent="0.3">
      <c r="J76" s="24">
        <v>72</v>
      </c>
      <c r="K76" s="15" t="s">
        <v>34</v>
      </c>
      <c r="L76" s="15" t="s">
        <v>22</v>
      </c>
      <c r="M76" s="15" t="s">
        <v>64</v>
      </c>
      <c r="N76" s="15" t="s">
        <v>61</v>
      </c>
      <c r="O76" s="15" t="s">
        <v>37</v>
      </c>
      <c r="Q76" s="9">
        <v>9</v>
      </c>
      <c r="R76" s="9">
        <v>3</v>
      </c>
      <c r="S76" s="9">
        <v>14</v>
      </c>
      <c r="T76" s="9">
        <v>11</v>
      </c>
      <c r="U76" s="9">
        <v>7</v>
      </c>
      <c r="W76" s="24">
        <v>1</v>
      </c>
      <c r="X76" s="24">
        <v>1</v>
      </c>
      <c r="Y76" s="24">
        <v>1</v>
      </c>
      <c r="Z76" s="24">
        <v>1</v>
      </c>
      <c r="AA76" s="24">
        <v>1</v>
      </c>
      <c r="AH76" s="5"/>
      <c r="AI76" s="5"/>
      <c r="AO76" s="5"/>
    </row>
    <row r="77" spans="10:41" ht="16.5" customHeight="1" x14ac:dyDescent="0.3">
      <c r="J77" s="9">
        <v>73</v>
      </c>
      <c r="K77" s="15" t="s">
        <v>19</v>
      </c>
      <c r="L77" s="15" t="s">
        <v>64</v>
      </c>
      <c r="M77" s="15" t="s">
        <v>19</v>
      </c>
      <c r="N77" s="15" t="s">
        <v>21</v>
      </c>
      <c r="O77" s="15" t="s">
        <v>18</v>
      </c>
      <c r="Q77" s="9">
        <v>5</v>
      </c>
      <c r="R77" s="9">
        <v>14</v>
      </c>
      <c r="S77" s="9">
        <v>5</v>
      </c>
      <c r="T77" s="9">
        <v>2</v>
      </c>
      <c r="U77" s="9">
        <v>4</v>
      </c>
      <c r="W77" s="24">
        <v>1</v>
      </c>
      <c r="X77" s="24">
        <v>1</v>
      </c>
      <c r="Y77" s="24">
        <v>1</v>
      </c>
      <c r="Z77" s="24">
        <v>1</v>
      </c>
      <c r="AA77" s="24">
        <v>1</v>
      </c>
      <c r="AH77" s="5"/>
      <c r="AI77" s="5"/>
      <c r="AO77" s="5"/>
    </row>
    <row r="78" spans="10:41" ht="16.5" customHeight="1" x14ac:dyDescent="0.3">
      <c r="J78" s="24">
        <v>74</v>
      </c>
      <c r="K78" s="15" t="s">
        <v>37</v>
      </c>
      <c r="L78" s="15" t="s">
        <v>21</v>
      </c>
      <c r="M78" s="15" t="s">
        <v>95</v>
      </c>
      <c r="N78" s="15" t="s">
        <v>34</v>
      </c>
      <c r="O78" s="15" t="s">
        <v>36</v>
      </c>
      <c r="Q78" s="9">
        <v>7</v>
      </c>
      <c r="R78" s="9">
        <v>2</v>
      </c>
      <c r="S78" s="9">
        <v>6</v>
      </c>
      <c r="T78" s="9">
        <v>9</v>
      </c>
      <c r="U78" s="9">
        <v>10</v>
      </c>
      <c r="W78" s="24">
        <v>1</v>
      </c>
      <c r="X78" s="24">
        <v>1</v>
      </c>
      <c r="Y78" s="24">
        <v>1</v>
      </c>
      <c r="Z78" s="24">
        <v>1</v>
      </c>
      <c r="AA78" s="24">
        <v>1</v>
      </c>
      <c r="AH78" s="5"/>
      <c r="AI78" s="5"/>
      <c r="AO78" s="5"/>
    </row>
    <row r="79" spans="10:41" ht="16.5" customHeight="1" x14ac:dyDescent="0.3">
      <c r="J79" s="9">
        <v>75</v>
      </c>
      <c r="K79" s="15" t="s">
        <v>37</v>
      </c>
      <c r="L79" s="15" t="s">
        <v>36</v>
      </c>
      <c r="M79" s="15" t="s">
        <v>37</v>
      </c>
      <c r="N79" s="15" t="s">
        <v>63</v>
      </c>
      <c r="O79" s="15" t="s">
        <v>37</v>
      </c>
      <c r="Q79" s="9">
        <v>7</v>
      </c>
      <c r="R79" s="9">
        <v>10</v>
      </c>
      <c r="S79" s="9">
        <v>7</v>
      </c>
      <c r="T79" s="9">
        <v>13</v>
      </c>
      <c r="U79" s="9">
        <v>7</v>
      </c>
      <c r="W79" s="24">
        <v>1</v>
      </c>
      <c r="X79" s="24">
        <v>1</v>
      </c>
      <c r="Y79" s="24">
        <v>1</v>
      </c>
      <c r="Z79" s="24">
        <v>1</v>
      </c>
      <c r="AA79" s="24">
        <v>1</v>
      </c>
      <c r="AH79" s="5"/>
      <c r="AI79" s="5"/>
      <c r="AO79" s="5"/>
    </row>
    <row r="80" spans="10:41" x14ac:dyDescent="0.3">
      <c r="J80" s="24">
        <v>76</v>
      </c>
      <c r="K80" s="15" t="s">
        <v>35</v>
      </c>
      <c r="L80" s="15" t="s">
        <v>21</v>
      </c>
      <c r="M80" s="15" t="s">
        <v>36</v>
      </c>
      <c r="N80" s="15" t="s">
        <v>37</v>
      </c>
      <c r="O80" s="15" t="s">
        <v>19</v>
      </c>
      <c r="Q80" s="9">
        <v>8</v>
      </c>
      <c r="R80" s="9">
        <v>2</v>
      </c>
      <c r="S80" s="9">
        <v>10</v>
      </c>
      <c r="T80" s="9">
        <v>7</v>
      </c>
      <c r="U80" s="9">
        <v>5</v>
      </c>
      <c r="W80" s="24">
        <v>1</v>
      </c>
      <c r="X80" s="24">
        <v>1</v>
      </c>
      <c r="Y80" s="24">
        <v>1</v>
      </c>
      <c r="Z80" s="24">
        <v>1</v>
      </c>
      <c r="AA80" s="24">
        <v>1</v>
      </c>
      <c r="AH80" s="5"/>
      <c r="AI80" s="5"/>
      <c r="AO80" s="5"/>
    </row>
    <row r="81" spans="10:41" x14ac:dyDescent="0.3">
      <c r="J81" s="9">
        <v>77</v>
      </c>
      <c r="K81" s="15" t="s">
        <v>37</v>
      </c>
      <c r="L81" s="15" t="s">
        <v>95</v>
      </c>
      <c r="M81" s="15" t="s">
        <v>19</v>
      </c>
      <c r="N81" s="15" t="s">
        <v>35</v>
      </c>
      <c r="O81" s="15" t="s">
        <v>37</v>
      </c>
      <c r="Q81" s="9">
        <v>7</v>
      </c>
      <c r="R81" s="9">
        <v>6</v>
      </c>
      <c r="S81" s="9">
        <v>5</v>
      </c>
      <c r="T81" s="9">
        <v>8</v>
      </c>
      <c r="U81" s="9">
        <v>7</v>
      </c>
      <c r="W81" s="24">
        <v>1</v>
      </c>
      <c r="X81" s="24">
        <v>1</v>
      </c>
      <c r="Y81" s="24">
        <v>1</v>
      </c>
      <c r="Z81" s="24">
        <v>1</v>
      </c>
      <c r="AA81" s="24">
        <v>1</v>
      </c>
      <c r="AH81" s="5"/>
      <c r="AI81" s="5"/>
      <c r="AO81" s="5"/>
    </row>
    <row r="82" spans="10:41" x14ac:dyDescent="0.3">
      <c r="J82" s="24">
        <v>78</v>
      </c>
      <c r="K82" s="15" t="s">
        <v>19</v>
      </c>
      <c r="L82" s="15" t="s">
        <v>62</v>
      </c>
      <c r="M82" s="15" t="s">
        <v>35</v>
      </c>
      <c r="N82" s="15" t="s">
        <v>18</v>
      </c>
      <c r="O82" s="15" t="s">
        <v>19</v>
      </c>
      <c r="Q82" s="9">
        <v>5</v>
      </c>
      <c r="R82" s="9">
        <v>12</v>
      </c>
      <c r="S82" s="9">
        <v>8</v>
      </c>
      <c r="T82" s="9">
        <v>4</v>
      </c>
      <c r="U82" s="9">
        <v>5</v>
      </c>
      <c r="W82" s="24">
        <v>1</v>
      </c>
      <c r="X82" s="24">
        <v>1</v>
      </c>
      <c r="Y82" s="24">
        <v>1</v>
      </c>
      <c r="Z82" s="24">
        <v>1</v>
      </c>
      <c r="AA82" s="24">
        <v>1</v>
      </c>
      <c r="AH82" s="5"/>
      <c r="AI82" s="5"/>
      <c r="AO82" s="5"/>
    </row>
    <row r="83" spans="10:41" x14ac:dyDescent="0.3">
      <c r="J83" s="9">
        <v>79</v>
      </c>
      <c r="K83" s="15" t="s">
        <v>95</v>
      </c>
      <c r="L83" s="15" t="s">
        <v>36</v>
      </c>
      <c r="M83" s="15" t="s">
        <v>95</v>
      </c>
      <c r="N83" s="15" t="s">
        <v>22</v>
      </c>
      <c r="O83" s="15" t="s">
        <v>21</v>
      </c>
      <c r="Q83" s="9">
        <v>6</v>
      </c>
      <c r="R83" s="9">
        <v>10</v>
      </c>
      <c r="S83" s="9">
        <v>6</v>
      </c>
      <c r="T83" s="9">
        <v>3</v>
      </c>
      <c r="U83" s="9">
        <v>2</v>
      </c>
      <c r="W83" s="24">
        <v>1</v>
      </c>
      <c r="X83" s="24">
        <v>1</v>
      </c>
      <c r="Y83" s="24">
        <v>1</v>
      </c>
      <c r="Z83" s="24">
        <v>1</v>
      </c>
      <c r="AA83" s="24">
        <v>1</v>
      </c>
      <c r="AH83" s="5"/>
      <c r="AI83" s="5"/>
      <c r="AO83" s="5"/>
    </row>
    <row r="84" spans="10:41" x14ac:dyDescent="0.3">
      <c r="J84" s="24">
        <v>80</v>
      </c>
      <c r="K84" s="15" t="s">
        <v>35</v>
      </c>
      <c r="L84" s="15" t="s">
        <v>36</v>
      </c>
      <c r="M84" s="15" t="s">
        <v>81</v>
      </c>
      <c r="N84" s="15" t="s">
        <v>20</v>
      </c>
      <c r="O84" s="15" t="s">
        <v>36</v>
      </c>
      <c r="Q84" s="9">
        <v>8</v>
      </c>
      <c r="R84" s="9">
        <v>10</v>
      </c>
      <c r="S84" s="9">
        <v>17</v>
      </c>
      <c r="T84" s="9">
        <v>1</v>
      </c>
      <c r="U84" s="9">
        <v>10</v>
      </c>
      <c r="W84" s="24">
        <v>1</v>
      </c>
      <c r="X84" s="24">
        <v>1</v>
      </c>
      <c r="Y84" s="24">
        <v>1</v>
      </c>
      <c r="Z84" s="24">
        <v>1</v>
      </c>
      <c r="AA84" s="24">
        <v>1</v>
      </c>
      <c r="AH84" s="5"/>
      <c r="AI84" s="5"/>
      <c r="AO84" s="5"/>
    </row>
    <row r="85" spans="10:41" x14ac:dyDescent="0.3">
      <c r="J85" s="9">
        <v>81</v>
      </c>
      <c r="K85" s="15" t="s">
        <v>37</v>
      </c>
      <c r="L85" s="15" t="s">
        <v>37</v>
      </c>
      <c r="M85" s="15" t="s">
        <v>37</v>
      </c>
      <c r="N85" s="15" t="s">
        <v>37</v>
      </c>
      <c r="O85" s="15" t="s">
        <v>35</v>
      </c>
      <c r="Q85" s="9">
        <v>7</v>
      </c>
      <c r="R85" s="9">
        <v>7</v>
      </c>
      <c r="S85" s="9">
        <v>7</v>
      </c>
      <c r="T85" s="9">
        <v>7</v>
      </c>
      <c r="U85" s="9">
        <v>8</v>
      </c>
      <c r="W85" s="24">
        <v>1</v>
      </c>
      <c r="X85" s="24">
        <v>1</v>
      </c>
      <c r="Y85" s="24">
        <v>1</v>
      </c>
      <c r="Z85" s="24">
        <v>1</v>
      </c>
      <c r="AA85" s="24">
        <v>1</v>
      </c>
      <c r="AH85" s="5"/>
      <c r="AI85" s="5"/>
      <c r="AO85" s="5"/>
    </row>
    <row r="86" spans="10:41" x14ac:dyDescent="0.3">
      <c r="J86" s="24">
        <v>82</v>
      </c>
      <c r="K86" s="15" t="s">
        <v>18</v>
      </c>
      <c r="L86" s="15" t="s">
        <v>19</v>
      </c>
      <c r="M86" s="15" t="s">
        <v>18</v>
      </c>
      <c r="N86" s="15" t="s">
        <v>37</v>
      </c>
      <c r="O86" s="15" t="s">
        <v>21</v>
      </c>
      <c r="Q86" s="9">
        <v>4</v>
      </c>
      <c r="R86" s="9">
        <v>5</v>
      </c>
      <c r="S86" s="9">
        <v>4</v>
      </c>
      <c r="T86" s="9">
        <v>7</v>
      </c>
      <c r="U86" s="9">
        <v>2</v>
      </c>
      <c r="W86" s="24">
        <v>1</v>
      </c>
      <c r="X86" s="24">
        <v>1</v>
      </c>
      <c r="Y86" s="24">
        <v>1</v>
      </c>
      <c r="Z86" s="24">
        <v>1</v>
      </c>
      <c r="AA86" s="24">
        <v>1</v>
      </c>
      <c r="AH86" s="5"/>
      <c r="AI86" s="5"/>
      <c r="AO86" s="5"/>
    </row>
    <row r="87" spans="10:41" x14ac:dyDescent="0.3">
      <c r="J87" s="9">
        <v>83</v>
      </c>
      <c r="K87" s="15" t="s">
        <v>95</v>
      </c>
      <c r="L87" s="15" t="s">
        <v>22</v>
      </c>
      <c r="M87" s="15" t="s">
        <v>19</v>
      </c>
      <c r="N87" s="15" t="s">
        <v>19</v>
      </c>
      <c r="O87" s="15" t="s">
        <v>22</v>
      </c>
      <c r="Q87" s="9">
        <v>6</v>
      </c>
      <c r="R87" s="9">
        <v>3</v>
      </c>
      <c r="S87" s="9">
        <v>5</v>
      </c>
      <c r="T87" s="9">
        <v>5</v>
      </c>
      <c r="U87" s="9">
        <v>3</v>
      </c>
      <c r="W87" s="24">
        <v>1</v>
      </c>
      <c r="X87" s="24">
        <v>1</v>
      </c>
      <c r="Y87" s="24">
        <v>1</v>
      </c>
      <c r="Z87" s="24">
        <v>1</v>
      </c>
      <c r="AA87" s="24">
        <v>1</v>
      </c>
      <c r="AH87" s="5"/>
      <c r="AI87" s="5"/>
      <c r="AO87" s="5"/>
    </row>
    <row r="88" spans="10:41" x14ac:dyDescent="0.3">
      <c r="J88" s="24">
        <v>84</v>
      </c>
      <c r="K88" s="15" t="s">
        <v>95</v>
      </c>
      <c r="L88" s="15" t="s">
        <v>34</v>
      </c>
      <c r="M88" s="15" t="s">
        <v>35</v>
      </c>
      <c r="N88" s="15" t="s">
        <v>22</v>
      </c>
      <c r="O88" s="15" t="s">
        <v>18</v>
      </c>
      <c r="Q88" s="9">
        <v>6</v>
      </c>
      <c r="R88" s="9">
        <v>9</v>
      </c>
      <c r="S88" s="9">
        <v>8</v>
      </c>
      <c r="T88" s="9">
        <v>3</v>
      </c>
      <c r="U88" s="9">
        <v>4</v>
      </c>
      <c r="W88" s="24">
        <v>1</v>
      </c>
      <c r="X88" s="24">
        <v>1</v>
      </c>
      <c r="Y88" s="24">
        <v>1</v>
      </c>
      <c r="Z88" s="24">
        <v>1</v>
      </c>
      <c r="AA88" s="24">
        <v>1</v>
      </c>
      <c r="AH88" s="5"/>
      <c r="AI88" s="5"/>
      <c r="AO88" s="5"/>
    </row>
    <row r="89" spans="10:41" x14ac:dyDescent="0.3">
      <c r="J89" s="9">
        <v>85</v>
      </c>
      <c r="K89" s="15" t="s">
        <v>20</v>
      </c>
      <c r="L89" s="15" t="s">
        <v>61</v>
      </c>
      <c r="M89" s="15" t="s">
        <v>35</v>
      </c>
      <c r="N89" s="15" t="s">
        <v>22</v>
      </c>
      <c r="O89" s="15" t="s">
        <v>35</v>
      </c>
      <c r="Q89" s="9">
        <v>1</v>
      </c>
      <c r="R89" s="9">
        <v>11</v>
      </c>
      <c r="S89" s="9">
        <v>8</v>
      </c>
      <c r="T89" s="9">
        <v>3</v>
      </c>
      <c r="U89" s="9">
        <v>8</v>
      </c>
      <c r="W89" s="24">
        <v>1</v>
      </c>
      <c r="X89" s="24">
        <v>1</v>
      </c>
      <c r="Y89" s="24">
        <v>1</v>
      </c>
      <c r="Z89" s="24">
        <v>1</v>
      </c>
      <c r="AA89" s="24">
        <v>1</v>
      </c>
      <c r="AH89" s="5"/>
      <c r="AI89" s="5"/>
      <c r="AO89" s="5"/>
    </row>
    <row r="90" spans="10:41" x14ac:dyDescent="0.3">
      <c r="J90" s="24">
        <v>86</v>
      </c>
      <c r="K90" s="15" t="s">
        <v>35</v>
      </c>
      <c r="L90" s="15" t="s">
        <v>22</v>
      </c>
      <c r="M90" s="15" t="s">
        <v>35</v>
      </c>
      <c r="N90" s="15" t="s">
        <v>22</v>
      </c>
      <c r="O90" s="15" t="s">
        <v>18</v>
      </c>
      <c r="Q90" s="9">
        <v>8</v>
      </c>
      <c r="R90" s="9">
        <v>3</v>
      </c>
      <c r="S90" s="9">
        <v>8</v>
      </c>
      <c r="T90" s="9">
        <v>3</v>
      </c>
      <c r="U90" s="9">
        <v>4</v>
      </c>
      <c r="W90" s="24">
        <v>1</v>
      </c>
      <c r="X90" s="24">
        <v>1</v>
      </c>
      <c r="Y90" s="24">
        <v>1</v>
      </c>
      <c r="Z90" s="24">
        <v>1</v>
      </c>
      <c r="AA90" s="24">
        <v>1</v>
      </c>
      <c r="AH90" s="5"/>
      <c r="AI90" s="5"/>
      <c r="AO90" s="5"/>
    </row>
    <row r="91" spans="10:41" x14ac:dyDescent="0.3">
      <c r="J91" s="9">
        <v>87</v>
      </c>
      <c r="K91" s="15" t="s">
        <v>37</v>
      </c>
      <c r="L91" s="15" t="s">
        <v>20</v>
      </c>
      <c r="M91" s="15" t="s">
        <v>37</v>
      </c>
      <c r="N91" s="15" t="s">
        <v>62</v>
      </c>
      <c r="O91" s="15" t="s">
        <v>18</v>
      </c>
      <c r="Q91" s="9">
        <v>7</v>
      </c>
      <c r="R91" s="9">
        <v>1</v>
      </c>
      <c r="S91" s="9">
        <v>7</v>
      </c>
      <c r="T91" s="9">
        <v>12</v>
      </c>
      <c r="U91" s="9">
        <v>4</v>
      </c>
      <c r="W91" s="24">
        <v>1</v>
      </c>
      <c r="X91" s="24">
        <v>1</v>
      </c>
      <c r="Y91" s="24">
        <v>1</v>
      </c>
      <c r="Z91" s="24">
        <v>1</v>
      </c>
      <c r="AA91" s="24">
        <v>1</v>
      </c>
      <c r="AH91" s="5"/>
      <c r="AI91" s="5"/>
      <c r="AO91" s="5"/>
    </row>
    <row r="92" spans="10:41" x14ac:dyDescent="0.3">
      <c r="J92" s="24">
        <v>88</v>
      </c>
      <c r="K92" s="15" t="s">
        <v>19</v>
      </c>
      <c r="L92" s="15" t="s">
        <v>19</v>
      </c>
      <c r="M92" s="15" t="s">
        <v>95</v>
      </c>
      <c r="N92" s="15" t="s">
        <v>34</v>
      </c>
      <c r="O92" s="15" t="s">
        <v>19</v>
      </c>
      <c r="Q92" s="9">
        <v>5</v>
      </c>
      <c r="R92" s="9">
        <v>5</v>
      </c>
      <c r="S92" s="9">
        <v>6</v>
      </c>
      <c r="T92" s="9">
        <v>9</v>
      </c>
      <c r="U92" s="9">
        <v>5</v>
      </c>
      <c r="W92" s="24">
        <v>1</v>
      </c>
      <c r="X92" s="24">
        <v>1</v>
      </c>
      <c r="Y92" s="24">
        <v>1</v>
      </c>
      <c r="Z92" s="24">
        <v>1</v>
      </c>
      <c r="AA92" s="24">
        <v>1</v>
      </c>
      <c r="AH92" s="5"/>
      <c r="AI92" s="5"/>
      <c r="AO92" s="5"/>
    </row>
    <row r="93" spans="10:41" x14ac:dyDescent="0.3">
      <c r="J93" s="9">
        <v>89</v>
      </c>
      <c r="K93" s="15" t="s">
        <v>19</v>
      </c>
      <c r="L93" s="15" t="s">
        <v>19</v>
      </c>
      <c r="M93" s="15" t="s">
        <v>20</v>
      </c>
      <c r="N93" s="15" t="s">
        <v>36</v>
      </c>
      <c r="O93" s="15" t="s">
        <v>19</v>
      </c>
      <c r="Q93" s="9">
        <v>5</v>
      </c>
      <c r="R93" s="9">
        <v>5</v>
      </c>
      <c r="S93" s="9">
        <v>1</v>
      </c>
      <c r="T93" s="9">
        <v>10</v>
      </c>
      <c r="U93" s="9">
        <v>5</v>
      </c>
      <c r="W93" s="24">
        <v>1</v>
      </c>
      <c r="X93" s="24">
        <v>1</v>
      </c>
      <c r="Y93" s="24">
        <v>1</v>
      </c>
      <c r="Z93" s="24">
        <v>1</v>
      </c>
      <c r="AA93" s="24">
        <v>1</v>
      </c>
      <c r="AH93" s="5"/>
      <c r="AI93" s="5"/>
      <c r="AO93" s="5"/>
    </row>
    <row r="94" spans="10:41" x14ac:dyDescent="0.3">
      <c r="J94" s="24">
        <v>90</v>
      </c>
      <c r="K94" s="15" t="s">
        <v>95</v>
      </c>
      <c r="L94" s="15" t="s">
        <v>36</v>
      </c>
      <c r="M94" s="15" t="s">
        <v>65</v>
      </c>
      <c r="N94" s="15" t="s">
        <v>18</v>
      </c>
      <c r="O94" s="15" t="s">
        <v>20</v>
      </c>
      <c r="Q94" s="9">
        <v>6</v>
      </c>
      <c r="R94" s="9">
        <v>10</v>
      </c>
      <c r="S94" s="9">
        <v>16</v>
      </c>
      <c r="T94" s="9">
        <v>4</v>
      </c>
      <c r="U94" s="9">
        <v>1</v>
      </c>
      <c r="W94" s="24">
        <v>1</v>
      </c>
      <c r="X94" s="24">
        <v>1</v>
      </c>
      <c r="Y94" s="24">
        <v>1</v>
      </c>
      <c r="Z94" s="24">
        <v>1</v>
      </c>
      <c r="AA94" s="24">
        <v>1</v>
      </c>
      <c r="AH94" s="5"/>
      <c r="AI94" s="5"/>
      <c r="AO94" s="5"/>
    </row>
    <row r="95" spans="10:41" x14ac:dyDescent="0.3">
      <c r="J95" s="9">
        <v>91</v>
      </c>
      <c r="K95" s="15" t="s">
        <v>19</v>
      </c>
      <c r="L95" s="15" t="s">
        <v>22</v>
      </c>
      <c r="M95" s="15" t="s">
        <v>35</v>
      </c>
      <c r="N95" s="15" t="s">
        <v>18</v>
      </c>
      <c r="O95" s="15" t="s">
        <v>22</v>
      </c>
      <c r="Q95" s="9">
        <v>5</v>
      </c>
      <c r="R95" s="9">
        <v>3</v>
      </c>
      <c r="S95" s="9">
        <v>8</v>
      </c>
      <c r="T95" s="9">
        <v>4</v>
      </c>
      <c r="U95" s="9">
        <v>3</v>
      </c>
      <c r="W95" s="24">
        <v>1</v>
      </c>
      <c r="X95" s="24">
        <v>1</v>
      </c>
      <c r="Y95" s="24">
        <v>1</v>
      </c>
      <c r="Z95" s="24">
        <v>1</v>
      </c>
      <c r="AA95" s="24">
        <v>1</v>
      </c>
      <c r="AH95" s="5"/>
      <c r="AI95" s="5"/>
      <c r="AO95" s="5"/>
    </row>
    <row r="96" spans="10:41" x14ac:dyDescent="0.3">
      <c r="J96" s="24">
        <v>92</v>
      </c>
      <c r="K96" s="15" t="s">
        <v>35</v>
      </c>
      <c r="L96" s="15" t="s">
        <v>61</v>
      </c>
      <c r="M96" s="15" t="s">
        <v>95</v>
      </c>
      <c r="N96" s="15" t="s">
        <v>34</v>
      </c>
      <c r="O96" s="15" t="s">
        <v>22</v>
      </c>
      <c r="Q96" s="9">
        <v>8</v>
      </c>
      <c r="R96" s="9">
        <v>11</v>
      </c>
      <c r="S96" s="9">
        <v>6</v>
      </c>
      <c r="T96" s="9">
        <v>9</v>
      </c>
      <c r="U96" s="9">
        <v>3</v>
      </c>
      <c r="W96" s="24">
        <v>1</v>
      </c>
      <c r="X96" s="24">
        <v>1</v>
      </c>
      <c r="Y96" s="24">
        <v>1</v>
      </c>
      <c r="Z96" s="24">
        <v>1</v>
      </c>
      <c r="AA96" s="24">
        <v>1</v>
      </c>
      <c r="AH96" s="5"/>
      <c r="AI96" s="5"/>
      <c r="AO96" s="5"/>
    </row>
    <row r="97" spans="10:41" x14ac:dyDescent="0.3">
      <c r="J97" s="9">
        <v>93</v>
      </c>
      <c r="K97" s="15" t="s">
        <v>21</v>
      </c>
      <c r="L97" s="15" t="s">
        <v>36</v>
      </c>
      <c r="M97" s="15" t="s">
        <v>37</v>
      </c>
      <c r="N97" s="15" t="s">
        <v>81</v>
      </c>
      <c r="O97" s="15" t="s">
        <v>37</v>
      </c>
      <c r="Q97" s="9">
        <v>2</v>
      </c>
      <c r="R97" s="9">
        <v>10</v>
      </c>
      <c r="S97" s="9">
        <v>7</v>
      </c>
      <c r="T97" s="9">
        <v>17</v>
      </c>
      <c r="U97" s="9">
        <v>7</v>
      </c>
      <c r="W97" s="24">
        <v>1</v>
      </c>
      <c r="X97" s="24">
        <v>1</v>
      </c>
      <c r="Y97" s="24">
        <v>1</v>
      </c>
      <c r="Z97" s="24">
        <v>1</v>
      </c>
      <c r="AA97" s="24">
        <v>1</v>
      </c>
      <c r="AH97" s="5"/>
      <c r="AI97" s="5"/>
      <c r="AO97" s="5"/>
    </row>
    <row r="98" spans="10:41" x14ac:dyDescent="0.3">
      <c r="J98" s="24">
        <v>94</v>
      </c>
      <c r="K98" s="15" t="s">
        <v>19</v>
      </c>
      <c r="L98" s="15" t="s">
        <v>62</v>
      </c>
      <c r="M98" s="15" t="s">
        <v>19</v>
      </c>
      <c r="N98" s="15" t="s">
        <v>21</v>
      </c>
      <c r="O98" s="15" t="s">
        <v>36</v>
      </c>
      <c r="Q98" s="9">
        <v>5</v>
      </c>
      <c r="R98" s="9">
        <v>12</v>
      </c>
      <c r="S98" s="9">
        <v>5</v>
      </c>
      <c r="T98" s="9">
        <v>2</v>
      </c>
      <c r="U98" s="9">
        <v>10</v>
      </c>
      <c r="W98" s="24">
        <v>1</v>
      </c>
      <c r="X98" s="24">
        <v>1</v>
      </c>
      <c r="Y98" s="24">
        <v>1</v>
      </c>
      <c r="Z98" s="24">
        <v>1</v>
      </c>
      <c r="AA98" s="24">
        <v>1</v>
      </c>
      <c r="AH98" s="5"/>
      <c r="AI98" s="5"/>
      <c r="AO98" s="5"/>
    </row>
    <row r="99" spans="10:41" x14ac:dyDescent="0.3">
      <c r="J99" s="9">
        <v>95</v>
      </c>
      <c r="K99" s="15" t="s">
        <v>19</v>
      </c>
      <c r="L99" s="15" t="s">
        <v>21</v>
      </c>
      <c r="M99" s="15" t="s">
        <v>34</v>
      </c>
      <c r="N99" s="15" t="s">
        <v>36</v>
      </c>
      <c r="O99" s="15" t="s">
        <v>19</v>
      </c>
      <c r="Q99" s="9">
        <v>5</v>
      </c>
      <c r="R99" s="9">
        <v>2</v>
      </c>
      <c r="S99" s="9">
        <v>9</v>
      </c>
      <c r="T99" s="9">
        <v>10</v>
      </c>
      <c r="U99" s="9">
        <v>5</v>
      </c>
      <c r="W99" s="24">
        <v>1</v>
      </c>
      <c r="X99" s="24">
        <v>1</v>
      </c>
      <c r="Y99" s="24">
        <v>1</v>
      </c>
      <c r="Z99" s="24">
        <v>1</v>
      </c>
      <c r="AA99" s="24">
        <v>1</v>
      </c>
      <c r="AH99" s="5"/>
      <c r="AI99" s="5"/>
      <c r="AO99" s="5"/>
    </row>
    <row r="100" spans="10:41" x14ac:dyDescent="0.3">
      <c r="J100" s="24">
        <v>96</v>
      </c>
      <c r="K100" s="15" t="s">
        <v>37</v>
      </c>
      <c r="L100" s="15" t="s">
        <v>19</v>
      </c>
      <c r="M100" s="15" t="s">
        <v>35</v>
      </c>
      <c r="N100" s="15" t="s">
        <v>21</v>
      </c>
      <c r="O100" s="15" t="s">
        <v>21</v>
      </c>
      <c r="Q100" s="9">
        <v>7</v>
      </c>
      <c r="R100" s="9">
        <v>5</v>
      </c>
      <c r="S100" s="9">
        <v>8</v>
      </c>
      <c r="T100" s="9">
        <v>2</v>
      </c>
      <c r="U100" s="9">
        <v>2</v>
      </c>
      <c r="W100" s="24">
        <v>1</v>
      </c>
      <c r="X100" s="24">
        <v>1</v>
      </c>
      <c r="Y100" s="24">
        <v>1</v>
      </c>
      <c r="Z100" s="24">
        <v>1</v>
      </c>
      <c r="AA100" s="24">
        <v>1</v>
      </c>
      <c r="AH100" s="5"/>
      <c r="AI100" s="5"/>
      <c r="AO100" s="5"/>
    </row>
    <row r="101" spans="10:41" x14ac:dyDescent="0.3">
      <c r="J101" s="9">
        <v>97</v>
      </c>
      <c r="K101" s="15" t="s">
        <v>35</v>
      </c>
      <c r="L101" s="15" t="s">
        <v>19</v>
      </c>
      <c r="M101" s="15" t="s">
        <v>19</v>
      </c>
      <c r="N101" s="15" t="s">
        <v>21</v>
      </c>
      <c r="O101" s="15" t="s">
        <v>21</v>
      </c>
      <c r="Q101" s="9">
        <v>8</v>
      </c>
      <c r="R101" s="9">
        <v>5</v>
      </c>
      <c r="S101" s="9">
        <v>5</v>
      </c>
      <c r="T101" s="9">
        <v>2</v>
      </c>
      <c r="U101" s="9">
        <v>2</v>
      </c>
      <c r="W101" s="24">
        <v>1</v>
      </c>
      <c r="X101" s="24">
        <v>1</v>
      </c>
      <c r="Y101" s="24">
        <v>1</v>
      </c>
      <c r="Z101" s="24">
        <v>1</v>
      </c>
      <c r="AA101" s="24">
        <v>1</v>
      </c>
      <c r="AH101" s="5"/>
      <c r="AI101" s="5"/>
      <c r="AO101" s="5"/>
    </row>
    <row r="102" spans="10:41" x14ac:dyDescent="0.3">
      <c r="J102" s="24">
        <v>98</v>
      </c>
      <c r="K102" s="15" t="s">
        <v>20</v>
      </c>
      <c r="L102" s="15" t="s">
        <v>61</v>
      </c>
      <c r="M102" s="15" t="s">
        <v>19</v>
      </c>
      <c r="N102" s="15" t="s">
        <v>19</v>
      </c>
      <c r="O102" s="15" t="s">
        <v>95</v>
      </c>
      <c r="Q102" s="9">
        <v>1</v>
      </c>
      <c r="R102" s="9">
        <v>11</v>
      </c>
      <c r="S102" s="9">
        <v>5</v>
      </c>
      <c r="T102" s="9">
        <v>5</v>
      </c>
      <c r="U102" s="9">
        <v>6</v>
      </c>
      <c r="W102" s="24">
        <v>1</v>
      </c>
      <c r="X102" s="24">
        <v>1</v>
      </c>
      <c r="Y102" s="24">
        <v>1</v>
      </c>
      <c r="Z102" s="24">
        <v>1</v>
      </c>
      <c r="AA102" s="24">
        <v>1</v>
      </c>
      <c r="AH102" s="5"/>
      <c r="AI102" s="5"/>
      <c r="AO102" s="5"/>
    </row>
    <row r="103" spans="10:41" x14ac:dyDescent="0.3">
      <c r="J103" s="9">
        <v>99</v>
      </c>
      <c r="K103" s="15" t="s">
        <v>21</v>
      </c>
      <c r="L103" s="15" t="s">
        <v>96</v>
      </c>
      <c r="M103" s="15" t="s">
        <v>35</v>
      </c>
      <c r="N103" s="15" t="s">
        <v>34</v>
      </c>
      <c r="O103" s="15" t="s">
        <v>34</v>
      </c>
      <c r="Q103" s="9">
        <v>2</v>
      </c>
      <c r="R103" s="9">
        <v>15</v>
      </c>
      <c r="S103" s="9">
        <v>8</v>
      </c>
      <c r="T103" s="9">
        <v>9</v>
      </c>
      <c r="U103" s="9">
        <v>9</v>
      </c>
      <c r="W103" s="24">
        <v>1</v>
      </c>
      <c r="X103" s="24">
        <v>1</v>
      </c>
      <c r="Y103" s="24">
        <v>1</v>
      </c>
      <c r="Z103" s="24">
        <v>1</v>
      </c>
      <c r="AA103" s="24">
        <v>1</v>
      </c>
      <c r="AH103" s="5"/>
      <c r="AI103" s="5"/>
      <c r="AO103" s="5"/>
    </row>
    <row r="104" spans="10:41" x14ac:dyDescent="0.3">
      <c r="J104" s="24">
        <v>100</v>
      </c>
      <c r="K104" s="15" t="s">
        <v>22</v>
      </c>
      <c r="L104" s="15" t="s">
        <v>18</v>
      </c>
      <c r="M104" s="15" t="s">
        <v>37</v>
      </c>
      <c r="N104" s="15" t="s">
        <v>37</v>
      </c>
      <c r="O104" s="15" t="s">
        <v>18</v>
      </c>
      <c r="Q104" s="9">
        <v>3</v>
      </c>
      <c r="R104" s="9">
        <v>4</v>
      </c>
      <c r="S104" s="9">
        <v>7</v>
      </c>
      <c r="T104" s="9">
        <v>7</v>
      </c>
      <c r="U104" s="9">
        <v>4</v>
      </c>
      <c r="W104" s="24">
        <v>1</v>
      </c>
      <c r="X104" s="24">
        <v>1</v>
      </c>
      <c r="Y104" s="24">
        <v>1</v>
      </c>
      <c r="Z104" s="24">
        <v>1</v>
      </c>
      <c r="AA104" s="24">
        <v>1</v>
      </c>
      <c r="AH104" s="5"/>
      <c r="AI104" s="5"/>
      <c r="AO104" s="5"/>
    </row>
    <row r="105" spans="10:41" x14ac:dyDescent="0.3">
      <c r="J105" s="24">
        <v>101</v>
      </c>
      <c r="K105" s="15" t="s">
        <v>34</v>
      </c>
      <c r="L105" s="15" t="s">
        <v>95</v>
      </c>
      <c r="M105" s="15" t="s">
        <v>37</v>
      </c>
      <c r="N105" s="15" t="s">
        <v>35</v>
      </c>
      <c r="O105" s="15" t="s">
        <v>19</v>
      </c>
      <c r="Q105" s="9">
        <v>9</v>
      </c>
      <c r="R105" s="9">
        <v>6</v>
      </c>
      <c r="S105" s="9">
        <v>7</v>
      </c>
      <c r="T105" s="9">
        <v>8</v>
      </c>
      <c r="U105" s="9">
        <v>5</v>
      </c>
      <c r="W105" s="24">
        <v>1</v>
      </c>
      <c r="X105" s="24">
        <v>1</v>
      </c>
      <c r="Y105" s="24">
        <v>1</v>
      </c>
      <c r="Z105" s="24">
        <v>1</v>
      </c>
      <c r="AA105" s="24">
        <v>1</v>
      </c>
      <c r="AH105" s="5"/>
      <c r="AI105" s="5"/>
      <c r="AO105" s="5"/>
    </row>
    <row r="106" spans="10:41" x14ac:dyDescent="0.3">
      <c r="J106" s="9">
        <v>102</v>
      </c>
      <c r="K106" s="15" t="s">
        <v>18</v>
      </c>
      <c r="L106" s="15" t="s">
        <v>95</v>
      </c>
      <c r="M106" s="15" t="s">
        <v>95</v>
      </c>
      <c r="N106" s="15" t="s">
        <v>35</v>
      </c>
      <c r="O106" s="15" t="s">
        <v>34</v>
      </c>
      <c r="Q106" s="9">
        <v>4</v>
      </c>
      <c r="R106" s="9">
        <v>6</v>
      </c>
      <c r="S106" s="9">
        <v>6</v>
      </c>
      <c r="T106" s="9">
        <v>8</v>
      </c>
      <c r="U106" s="9">
        <v>9</v>
      </c>
      <c r="W106" s="24">
        <v>1</v>
      </c>
      <c r="X106" s="24">
        <v>1</v>
      </c>
      <c r="Y106" s="24">
        <v>1</v>
      </c>
      <c r="Z106" s="24">
        <v>1</v>
      </c>
      <c r="AA106" s="24">
        <v>1</v>
      </c>
      <c r="AH106" s="5"/>
      <c r="AI106" s="5"/>
      <c r="AO106" s="5"/>
    </row>
    <row r="107" spans="10:41" x14ac:dyDescent="0.3">
      <c r="J107" s="24">
        <v>103</v>
      </c>
      <c r="K107" s="15" t="s">
        <v>35</v>
      </c>
      <c r="L107" s="15" t="s">
        <v>95</v>
      </c>
      <c r="M107" s="15" t="s">
        <v>22</v>
      </c>
      <c r="N107" s="15" t="s">
        <v>19</v>
      </c>
      <c r="O107" s="15" t="s">
        <v>36</v>
      </c>
      <c r="Q107" s="9">
        <v>8</v>
      </c>
      <c r="R107" s="9">
        <v>6</v>
      </c>
      <c r="S107" s="9">
        <v>3</v>
      </c>
      <c r="T107" s="9">
        <v>5</v>
      </c>
      <c r="U107" s="9">
        <v>10</v>
      </c>
      <c r="W107" s="24">
        <v>1</v>
      </c>
      <c r="X107" s="24">
        <v>1</v>
      </c>
      <c r="Y107" s="24">
        <v>1</v>
      </c>
      <c r="Z107" s="24">
        <v>1</v>
      </c>
      <c r="AA107" s="24">
        <v>1</v>
      </c>
      <c r="AH107" s="5"/>
      <c r="AI107" s="5"/>
      <c r="AO107" s="5"/>
    </row>
    <row r="108" spans="10:41" x14ac:dyDescent="0.3">
      <c r="J108" s="9">
        <v>104</v>
      </c>
      <c r="K108" s="15" t="s">
        <v>19</v>
      </c>
      <c r="L108" s="15" t="s">
        <v>36</v>
      </c>
      <c r="M108" s="15" t="s">
        <v>35</v>
      </c>
      <c r="N108" s="15" t="s">
        <v>36</v>
      </c>
      <c r="O108" s="15" t="s">
        <v>36</v>
      </c>
      <c r="Q108" s="9">
        <v>5</v>
      </c>
      <c r="R108" s="9">
        <v>10</v>
      </c>
      <c r="S108" s="9">
        <v>8</v>
      </c>
      <c r="T108" s="9">
        <v>10</v>
      </c>
      <c r="U108" s="9">
        <v>10</v>
      </c>
      <c r="W108" s="24">
        <v>1</v>
      </c>
      <c r="X108" s="24">
        <v>1</v>
      </c>
      <c r="Y108" s="24">
        <v>1</v>
      </c>
      <c r="Z108" s="24">
        <v>1</v>
      </c>
      <c r="AA108" s="24">
        <v>1</v>
      </c>
      <c r="AH108" s="5"/>
      <c r="AI108" s="5"/>
      <c r="AO108" s="5"/>
    </row>
    <row r="109" spans="10:41" x14ac:dyDescent="0.3">
      <c r="J109" s="24">
        <v>105</v>
      </c>
      <c r="K109" s="15" t="s">
        <v>36</v>
      </c>
      <c r="L109" s="15" t="s">
        <v>22</v>
      </c>
      <c r="M109" s="15" t="s">
        <v>37</v>
      </c>
      <c r="N109" s="15" t="s">
        <v>34</v>
      </c>
      <c r="O109" s="15" t="s">
        <v>22</v>
      </c>
      <c r="Q109" s="9">
        <v>10</v>
      </c>
      <c r="R109" s="9">
        <v>3</v>
      </c>
      <c r="S109" s="9">
        <v>7</v>
      </c>
      <c r="T109" s="9">
        <v>9</v>
      </c>
      <c r="U109" s="9">
        <v>3</v>
      </c>
      <c r="W109" s="24">
        <v>1</v>
      </c>
      <c r="X109" s="24">
        <v>1</v>
      </c>
      <c r="Y109" s="24">
        <v>1</v>
      </c>
      <c r="Z109" s="24">
        <v>1</v>
      </c>
      <c r="AA109" s="24">
        <v>1</v>
      </c>
      <c r="AH109" s="5"/>
      <c r="AI109" s="5"/>
      <c r="AO109" s="5"/>
    </row>
    <row r="110" spans="10:41" x14ac:dyDescent="0.3">
      <c r="J110" s="9">
        <v>106</v>
      </c>
      <c r="K110" s="15" t="s">
        <v>35</v>
      </c>
      <c r="L110" s="15" t="s">
        <v>18</v>
      </c>
      <c r="M110" s="15" t="s">
        <v>19</v>
      </c>
      <c r="N110" s="15" t="s">
        <v>20</v>
      </c>
      <c r="O110" s="15" t="s">
        <v>34</v>
      </c>
      <c r="Q110" s="9">
        <v>8</v>
      </c>
      <c r="R110" s="9">
        <v>4</v>
      </c>
      <c r="S110" s="9">
        <v>5</v>
      </c>
      <c r="T110" s="9">
        <v>1</v>
      </c>
      <c r="U110" s="9">
        <v>9</v>
      </c>
      <c r="W110" s="24">
        <v>1</v>
      </c>
      <c r="X110" s="24">
        <v>1</v>
      </c>
      <c r="Y110" s="24">
        <v>1</v>
      </c>
      <c r="Z110" s="24">
        <v>1</v>
      </c>
      <c r="AA110" s="24">
        <v>1</v>
      </c>
      <c r="AH110" s="5"/>
      <c r="AI110" s="5"/>
      <c r="AO110" s="5"/>
    </row>
    <row r="111" spans="10:41" x14ac:dyDescent="0.3">
      <c r="J111" s="24">
        <v>107</v>
      </c>
      <c r="K111" s="15" t="s">
        <v>35</v>
      </c>
      <c r="L111" s="15" t="s">
        <v>70</v>
      </c>
      <c r="M111" s="15" t="s">
        <v>20</v>
      </c>
      <c r="N111" s="15" t="s">
        <v>95</v>
      </c>
      <c r="O111" s="15" t="s">
        <v>18</v>
      </c>
      <c r="Q111" s="9">
        <v>8</v>
      </c>
      <c r="R111" s="9">
        <v>19</v>
      </c>
      <c r="S111" s="9">
        <v>1</v>
      </c>
      <c r="T111" s="9">
        <v>6</v>
      </c>
      <c r="U111" s="9">
        <v>4</v>
      </c>
      <c r="W111" s="24">
        <v>1</v>
      </c>
      <c r="X111" s="24">
        <v>1</v>
      </c>
      <c r="Y111" s="24">
        <v>1</v>
      </c>
      <c r="Z111" s="24">
        <v>1</v>
      </c>
      <c r="AA111" s="24">
        <v>1</v>
      </c>
      <c r="AH111" s="5"/>
      <c r="AI111" s="5"/>
      <c r="AO111" s="5"/>
    </row>
    <row r="112" spans="10:41" x14ac:dyDescent="0.3">
      <c r="J112" s="9">
        <v>108</v>
      </c>
      <c r="K112" s="15" t="s">
        <v>35</v>
      </c>
      <c r="L112" s="15" t="s">
        <v>68</v>
      </c>
      <c r="M112" s="15" t="s">
        <v>96</v>
      </c>
      <c r="N112" s="15" t="s">
        <v>21</v>
      </c>
      <c r="O112" s="15" t="s">
        <v>22</v>
      </c>
      <c r="Q112" s="9">
        <v>8</v>
      </c>
      <c r="R112" s="9">
        <v>18</v>
      </c>
      <c r="S112" s="9">
        <v>15</v>
      </c>
      <c r="T112" s="9">
        <v>2</v>
      </c>
      <c r="U112" s="9">
        <v>3</v>
      </c>
      <c r="W112" s="24">
        <v>1</v>
      </c>
      <c r="X112" s="24">
        <v>1</v>
      </c>
      <c r="Y112" s="24">
        <v>1</v>
      </c>
      <c r="Z112" s="24">
        <v>1</v>
      </c>
      <c r="AA112" s="24">
        <v>1</v>
      </c>
      <c r="AH112" s="5"/>
      <c r="AI112" s="5"/>
      <c r="AO112" s="5"/>
    </row>
    <row r="113" spans="10:41" x14ac:dyDescent="0.3">
      <c r="J113" s="24">
        <v>109</v>
      </c>
      <c r="K113" s="15" t="s">
        <v>37</v>
      </c>
      <c r="L113" s="15" t="s">
        <v>95</v>
      </c>
      <c r="M113" s="15" t="s">
        <v>65</v>
      </c>
      <c r="N113" s="15" t="s">
        <v>21</v>
      </c>
      <c r="O113" s="15" t="s">
        <v>21</v>
      </c>
      <c r="Q113" s="9">
        <v>7</v>
      </c>
      <c r="R113" s="9">
        <v>6</v>
      </c>
      <c r="S113" s="9">
        <v>16</v>
      </c>
      <c r="T113" s="9">
        <v>2</v>
      </c>
      <c r="U113" s="9">
        <v>2</v>
      </c>
      <c r="W113" s="24">
        <v>1</v>
      </c>
      <c r="X113" s="24">
        <v>1</v>
      </c>
      <c r="Y113" s="24">
        <v>1</v>
      </c>
      <c r="Z113" s="24">
        <v>1</v>
      </c>
      <c r="AA113" s="24">
        <v>1</v>
      </c>
      <c r="AH113" s="5"/>
      <c r="AI113" s="5"/>
      <c r="AO113" s="5"/>
    </row>
    <row r="114" spans="10:41" x14ac:dyDescent="0.3">
      <c r="J114" s="9">
        <v>110</v>
      </c>
      <c r="K114" s="15" t="s">
        <v>95</v>
      </c>
      <c r="L114" s="15" t="s">
        <v>81</v>
      </c>
      <c r="M114" s="15" t="s">
        <v>35</v>
      </c>
      <c r="N114" s="15" t="s">
        <v>21</v>
      </c>
      <c r="O114" s="15" t="s">
        <v>19</v>
      </c>
      <c r="Q114" s="9">
        <v>6</v>
      </c>
      <c r="R114" s="9">
        <v>17</v>
      </c>
      <c r="S114" s="9">
        <v>8</v>
      </c>
      <c r="T114" s="9">
        <v>2</v>
      </c>
      <c r="U114" s="9">
        <v>5</v>
      </c>
      <c r="W114" s="24">
        <v>1</v>
      </c>
      <c r="X114" s="24">
        <v>1</v>
      </c>
      <c r="Y114" s="24">
        <v>1</v>
      </c>
      <c r="Z114" s="24">
        <v>1</v>
      </c>
      <c r="AA114" s="24">
        <v>1</v>
      </c>
      <c r="AH114" s="5"/>
      <c r="AI114" s="5"/>
      <c r="AO114" s="5"/>
    </row>
    <row r="115" spans="10:41" x14ac:dyDescent="0.3">
      <c r="J115" s="24">
        <v>111</v>
      </c>
      <c r="K115" s="15" t="s">
        <v>19</v>
      </c>
      <c r="L115" s="15" t="s">
        <v>35</v>
      </c>
      <c r="M115" s="15" t="s">
        <v>19</v>
      </c>
      <c r="N115" s="15" t="s">
        <v>36</v>
      </c>
      <c r="O115" s="15" t="s">
        <v>19</v>
      </c>
      <c r="Q115" s="9">
        <v>5</v>
      </c>
      <c r="R115" s="9">
        <v>8</v>
      </c>
      <c r="S115" s="9">
        <v>5</v>
      </c>
      <c r="T115" s="9">
        <v>10</v>
      </c>
      <c r="U115" s="9">
        <v>5</v>
      </c>
      <c r="W115" s="24">
        <v>1</v>
      </c>
      <c r="X115" s="24">
        <v>1</v>
      </c>
      <c r="Y115" s="24">
        <v>1</v>
      </c>
      <c r="Z115" s="24">
        <v>1</v>
      </c>
      <c r="AA115" s="24">
        <v>1</v>
      </c>
      <c r="AH115" s="5"/>
      <c r="AI115" s="5"/>
      <c r="AO115" s="5"/>
    </row>
    <row r="116" spans="10:41" x14ac:dyDescent="0.3">
      <c r="J116" s="9">
        <v>112</v>
      </c>
      <c r="K116" s="15" t="s">
        <v>37</v>
      </c>
      <c r="L116" s="15" t="s">
        <v>34</v>
      </c>
      <c r="M116" s="15" t="s">
        <v>95</v>
      </c>
      <c r="N116" s="15" t="s">
        <v>35</v>
      </c>
      <c r="O116" s="15" t="s">
        <v>37</v>
      </c>
      <c r="Q116" s="9">
        <v>7</v>
      </c>
      <c r="R116" s="9">
        <v>9</v>
      </c>
      <c r="S116" s="9">
        <v>6</v>
      </c>
      <c r="T116" s="9">
        <v>8</v>
      </c>
      <c r="U116" s="9">
        <v>7</v>
      </c>
      <c r="W116" s="24">
        <v>1</v>
      </c>
      <c r="X116" s="24">
        <v>1</v>
      </c>
      <c r="Y116" s="24">
        <v>1</v>
      </c>
      <c r="Z116" s="24">
        <v>1</v>
      </c>
      <c r="AA116" s="24">
        <v>1</v>
      </c>
      <c r="AH116" s="5"/>
      <c r="AI116" s="5"/>
      <c r="AO116" s="5"/>
    </row>
    <row r="117" spans="10:41" x14ac:dyDescent="0.3">
      <c r="J117" s="24">
        <v>113</v>
      </c>
      <c r="K117" s="15" t="s">
        <v>95</v>
      </c>
      <c r="L117" s="15" t="s">
        <v>34</v>
      </c>
      <c r="M117" s="15" t="s">
        <v>81</v>
      </c>
      <c r="N117" s="15" t="s">
        <v>36</v>
      </c>
      <c r="O117" s="15" t="s">
        <v>22</v>
      </c>
      <c r="Q117" s="9">
        <v>6</v>
      </c>
      <c r="R117" s="9">
        <v>9</v>
      </c>
      <c r="S117" s="9">
        <v>17</v>
      </c>
      <c r="T117" s="9">
        <v>10</v>
      </c>
      <c r="U117" s="9">
        <v>3</v>
      </c>
      <c r="W117" s="24">
        <v>1</v>
      </c>
      <c r="X117" s="24">
        <v>1</v>
      </c>
      <c r="Y117" s="24">
        <v>1</v>
      </c>
      <c r="Z117" s="24">
        <v>1</v>
      </c>
      <c r="AA117" s="24">
        <v>1</v>
      </c>
      <c r="AH117" s="5"/>
      <c r="AI117" s="5"/>
      <c r="AO117" s="5"/>
    </row>
    <row r="118" spans="10:41" x14ac:dyDescent="0.3">
      <c r="J118" s="9">
        <v>114</v>
      </c>
      <c r="K118" s="15" t="s">
        <v>35</v>
      </c>
      <c r="L118" s="15" t="s">
        <v>63</v>
      </c>
      <c r="M118" s="15" t="s">
        <v>37</v>
      </c>
      <c r="N118" s="15" t="s">
        <v>22</v>
      </c>
      <c r="O118" s="15" t="s">
        <v>95</v>
      </c>
      <c r="Q118" s="9">
        <v>8</v>
      </c>
      <c r="R118" s="9">
        <v>13</v>
      </c>
      <c r="S118" s="9">
        <v>7</v>
      </c>
      <c r="T118" s="9">
        <v>3</v>
      </c>
      <c r="U118" s="9">
        <v>6</v>
      </c>
      <c r="W118" s="24">
        <v>1</v>
      </c>
      <c r="X118" s="24">
        <v>1</v>
      </c>
      <c r="Y118" s="24">
        <v>1</v>
      </c>
      <c r="Z118" s="24">
        <v>1</v>
      </c>
      <c r="AA118" s="24">
        <v>1</v>
      </c>
      <c r="AH118" s="5"/>
      <c r="AI118" s="5"/>
      <c r="AO118" s="5"/>
    </row>
    <row r="119" spans="10:41" x14ac:dyDescent="0.3">
      <c r="J119" s="24">
        <v>115</v>
      </c>
      <c r="K119" s="15" t="s">
        <v>37</v>
      </c>
      <c r="L119" s="15" t="s">
        <v>35</v>
      </c>
      <c r="M119" s="15" t="s">
        <v>95</v>
      </c>
      <c r="N119" s="15" t="s">
        <v>19</v>
      </c>
      <c r="O119" s="15" t="s">
        <v>20</v>
      </c>
      <c r="Q119" s="9">
        <v>7</v>
      </c>
      <c r="R119" s="9">
        <v>8</v>
      </c>
      <c r="S119" s="9">
        <v>6</v>
      </c>
      <c r="T119" s="9">
        <v>5</v>
      </c>
      <c r="U119" s="9">
        <v>1</v>
      </c>
      <c r="W119" s="24">
        <v>1</v>
      </c>
      <c r="X119" s="24">
        <v>1</v>
      </c>
      <c r="Y119" s="24">
        <v>1</v>
      </c>
      <c r="Z119" s="24">
        <v>1</v>
      </c>
      <c r="AA119" s="24">
        <v>1</v>
      </c>
      <c r="AH119" s="5"/>
      <c r="AI119" s="5"/>
      <c r="AO119" s="5"/>
    </row>
    <row r="120" spans="10:41" x14ac:dyDescent="0.3">
      <c r="J120" s="9">
        <v>116</v>
      </c>
      <c r="K120" s="15" t="s">
        <v>19</v>
      </c>
      <c r="L120" s="15" t="s">
        <v>35</v>
      </c>
      <c r="M120" s="15" t="s">
        <v>64</v>
      </c>
      <c r="N120" s="15" t="s">
        <v>20</v>
      </c>
      <c r="O120" s="15" t="s">
        <v>37</v>
      </c>
      <c r="Q120" s="9">
        <v>5</v>
      </c>
      <c r="R120" s="9">
        <v>8</v>
      </c>
      <c r="S120" s="9">
        <v>14</v>
      </c>
      <c r="T120" s="9">
        <v>1</v>
      </c>
      <c r="U120" s="9">
        <v>7</v>
      </c>
      <c r="W120" s="24">
        <v>1</v>
      </c>
      <c r="X120" s="24">
        <v>1</v>
      </c>
      <c r="Y120" s="24">
        <v>1</v>
      </c>
      <c r="Z120" s="24">
        <v>1</v>
      </c>
      <c r="AA120" s="24">
        <v>1</v>
      </c>
      <c r="AH120" s="5"/>
      <c r="AI120" s="5"/>
      <c r="AO120" s="5"/>
    </row>
    <row r="121" spans="10:41" x14ac:dyDescent="0.3">
      <c r="J121" s="24">
        <v>117</v>
      </c>
      <c r="K121" s="15" t="s">
        <v>37</v>
      </c>
      <c r="L121" s="15" t="s">
        <v>19</v>
      </c>
      <c r="M121" s="15" t="s">
        <v>95</v>
      </c>
      <c r="N121" s="15" t="s">
        <v>18</v>
      </c>
      <c r="O121" s="15" t="s">
        <v>22</v>
      </c>
      <c r="Q121" s="9">
        <v>7</v>
      </c>
      <c r="R121" s="9">
        <v>5</v>
      </c>
      <c r="S121" s="9">
        <v>6</v>
      </c>
      <c r="T121" s="9">
        <v>4</v>
      </c>
      <c r="U121" s="9">
        <v>3</v>
      </c>
      <c r="W121" s="24">
        <v>1</v>
      </c>
      <c r="X121" s="24">
        <v>1</v>
      </c>
      <c r="Y121" s="24">
        <v>1</v>
      </c>
      <c r="Z121" s="24">
        <v>1</v>
      </c>
      <c r="AA121" s="24">
        <v>1</v>
      </c>
      <c r="AH121" s="5"/>
      <c r="AI121" s="5"/>
      <c r="AO121" s="5"/>
    </row>
    <row r="122" spans="10:41" x14ac:dyDescent="0.3">
      <c r="J122" s="9">
        <v>118</v>
      </c>
      <c r="K122" s="15" t="s">
        <v>37</v>
      </c>
      <c r="L122" s="15" t="s">
        <v>19</v>
      </c>
      <c r="M122" s="15" t="s">
        <v>37</v>
      </c>
      <c r="N122" s="15" t="s">
        <v>37</v>
      </c>
      <c r="O122" s="15" t="s">
        <v>21</v>
      </c>
      <c r="Q122" s="9">
        <v>7</v>
      </c>
      <c r="R122" s="9">
        <v>5</v>
      </c>
      <c r="S122" s="9">
        <v>7</v>
      </c>
      <c r="T122" s="9">
        <v>7</v>
      </c>
      <c r="U122" s="9">
        <v>2</v>
      </c>
      <c r="W122" s="24">
        <v>1</v>
      </c>
      <c r="X122" s="24">
        <v>1</v>
      </c>
      <c r="Y122" s="24">
        <v>1</v>
      </c>
      <c r="Z122" s="24">
        <v>1</v>
      </c>
      <c r="AA122" s="24">
        <v>1</v>
      </c>
      <c r="AH122" s="5"/>
      <c r="AI122" s="5"/>
      <c r="AO122" s="5"/>
    </row>
    <row r="123" spans="10:41" x14ac:dyDescent="0.3">
      <c r="J123" s="24">
        <v>119</v>
      </c>
      <c r="K123" s="15" t="s">
        <v>19</v>
      </c>
      <c r="L123" s="15" t="s">
        <v>19</v>
      </c>
      <c r="M123" s="15" t="s">
        <v>37</v>
      </c>
      <c r="N123" s="15" t="s">
        <v>37</v>
      </c>
      <c r="O123" s="15" t="s">
        <v>22</v>
      </c>
      <c r="Q123" s="9">
        <v>5</v>
      </c>
      <c r="R123" s="9">
        <v>5</v>
      </c>
      <c r="S123" s="9">
        <v>7</v>
      </c>
      <c r="T123" s="9">
        <v>7</v>
      </c>
      <c r="U123" s="9">
        <v>3</v>
      </c>
      <c r="W123" s="24">
        <v>1</v>
      </c>
      <c r="X123" s="24">
        <v>1</v>
      </c>
      <c r="Y123" s="24">
        <v>1</v>
      </c>
      <c r="Z123" s="24">
        <v>1</v>
      </c>
      <c r="AA123" s="24">
        <v>1</v>
      </c>
      <c r="AH123" s="5"/>
      <c r="AI123" s="5"/>
      <c r="AO123" s="5"/>
    </row>
    <row r="124" spans="10:41" x14ac:dyDescent="0.3">
      <c r="J124" s="9">
        <v>120</v>
      </c>
      <c r="K124" s="15" t="s">
        <v>19</v>
      </c>
      <c r="L124" s="15" t="s">
        <v>36</v>
      </c>
      <c r="M124" s="15" t="s">
        <v>95</v>
      </c>
      <c r="N124" s="15" t="s">
        <v>34</v>
      </c>
      <c r="O124" s="15" t="s">
        <v>18</v>
      </c>
      <c r="Q124" s="9">
        <v>5</v>
      </c>
      <c r="R124" s="9">
        <v>10</v>
      </c>
      <c r="S124" s="9">
        <v>6</v>
      </c>
      <c r="T124" s="9">
        <v>9</v>
      </c>
      <c r="U124" s="9">
        <v>4</v>
      </c>
      <c r="W124" s="24">
        <v>1</v>
      </c>
      <c r="X124" s="24">
        <v>1</v>
      </c>
      <c r="Y124" s="24">
        <v>1</v>
      </c>
      <c r="Z124" s="24">
        <v>1</v>
      </c>
      <c r="AA124" s="24">
        <v>1</v>
      </c>
      <c r="AH124" s="5"/>
      <c r="AI124" s="5"/>
      <c r="AO124" s="5"/>
    </row>
    <row r="125" spans="10:41" x14ac:dyDescent="0.3">
      <c r="J125" s="24">
        <v>121</v>
      </c>
      <c r="K125" s="15" t="s">
        <v>37</v>
      </c>
      <c r="L125" s="15" t="s">
        <v>22</v>
      </c>
      <c r="M125" s="15" t="s">
        <v>95</v>
      </c>
      <c r="N125" s="15" t="s">
        <v>22</v>
      </c>
      <c r="O125" s="15" t="s">
        <v>19</v>
      </c>
      <c r="Q125" s="9">
        <v>7</v>
      </c>
      <c r="R125" s="9">
        <v>3</v>
      </c>
      <c r="S125" s="9">
        <v>6</v>
      </c>
      <c r="T125" s="9">
        <v>3</v>
      </c>
      <c r="U125" s="9">
        <v>5</v>
      </c>
      <c r="W125" s="24">
        <v>1</v>
      </c>
      <c r="X125" s="24">
        <v>1</v>
      </c>
      <c r="Y125" s="24">
        <v>1</v>
      </c>
      <c r="Z125" s="24">
        <v>1</v>
      </c>
      <c r="AA125" s="24">
        <v>1</v>
      </c>
      <c r="AH125" s="5"/>
      <c r="AI125" s="5"/>
      <c r="AO125" s="5"/>
    </row>
    <row r="126" spans="10:41" x14ac:dyDescent="0.3">
      <c r="J126" s="9">
        <v>122</v>
      </c>
      <c r="K126" s="15" t="s">
        <v>95</v>
      </c>
      <c r="L126" s="15" t="s">
        <v>34</v>
      </c>
      <c r="M126" s="15" t="s">
        <v>20</v>
      </c>
      <c r="N126" s="15" t="s">
        <v>63</v>
      </c>
      <c r="O126" s="15" t="s">
        <v>34</v>
      </c>
      <c r="Q126" s="9">
        <v>6</v>
      </c>
      <c r="R126" s="9">
        <v>9</v>
      </c>
      <c r="S126" s="9">
        <v>1</v>
      </c>
      <c r="T126" s="9">
        <v>13</v>
      </c>
      <c r="U126" s="9">
        <v>9</v>
      </c>
      <c r="W126" s="24">
        <v>1</v>
      </c>
      <c r="X126" s="24">
        <v>1</v>
      </c>
      <c r="Y126" s="24">
        <v>1</v>
      </c>
      <c r="Z126" s="24">
        <v>1</v>
      </c>
      <c r="AA126" s="24">
        <v>1</v>
      </c>
      <c r="AH126" s="5"/>
      <c r="AI126" s="5"/>
      <c r="AO126" s="5"/>
    </row>
    <row r="127" spans="10:41" x14ac:dyDescent="0.3">
      <c r="J127" s="24">
        <v>123</v>
      </c>
      <c r="K127" s="15" t="s">
        <v>35</v>
      </c>
      <c r="L127" s="15" t="s">
        <v>36</v>
      </c>
      <c r="M127" s="15" t="s">
        <v>35</v>
      </c>
      <c r="N127" s="15" t="s">
        <v>62</v>
      </c>
      <c r="O127" s="15" t="s">
        <v>22</v>
      </c>
      <c r="Q127" s="9">
        <v>8</v>
      </c>
      <c r="R127" s="9">
        <v>10</v>
      </c>
      <c r="S127" s="9">
        <v>8</v>
      </c>
      <c r="T127" s="9">
        <v>12</v>
      </c>
      <c r="U127" s="9">
        <v>3</v>
      </c>
      <c r="W127" s="24">
        <v>1</v>
      </c>
      <c r="X127" s="24">
        <v>1</v>
      </c>
      <c r="Y127" s="24">
        <v>1</v>
      </c>
      <c r="Z127" s="24">
        <v>1</v>
      </c>
      <c r="AA127" s="24">
        <v>1</v>
      </c>
      <c r="AH127" s="5"/>
      <c r="AI127" s="5"/>
      <c r="AO127" s="5"/>
    </row>
    <row r="128" spans="10:41" x14ac:dyDescent="0.3">
      <c r="J128" s="9">
        <v>124</v>
      </c>
      <c r="K128" s="15" t="s">
        <v>19</v>
      </c>
      <c r="L128" s="15" t="s">
        <v>70</v>
      </c>
      <c r="M128" s="15" t="s">
        <v>21</v>
      </c>
      <c r="N128" s="15" t="s">
        <v>36</v>
      </c>
      <c r="O128" s="15" t="s">
        <v>36</v>
      </c>
      <c r="Q128" s="9">
        <v>5</v>
      </c>
      <c r="R128" s="9">
        <v>19</v>
      </c>
      <c r="S128" s="9">
        <v>2</v>
      </c>
      <c r="T128" s="9">
        <v>10</v>
      </c>
      <c r="U128" s="9">
        <v>10</v>
      </c>
      <c r="W128" s="24">
        <v>1</v>
      </c>
      <c r="X128" s="24">
        <v>1</v>
      </c>
      <c r="Y128" s="24">
        <v>1</v>
      </c>
      <c r="Z128" s="24">
        <v>1</v>
      </c>
      <c r="AA128" s="24">
        <v>1</v>
      </c>
      <c r="AH128" s="5"/>
      <c r="AI128" s="5"/>
      <c r="AO128" s="5"/>
    </row>
    <row r="129" spans="10:41" x14ac:dyDescent="0.3">
      <c r="J129" s="24">
        <v>125</v>
      </c>
      <c r="K129" s="15" t="s">
        <v>37</v>
      </c>
      <c r="L129" s="15" t="s">
        <v>21</v>
      </c>
      <c r="M129" s="15" t="s">
        <v>19</v>
      </c>
      <c r="N129" s="15" t="s">
        <v>36</v>
      </c>
      <c r="O129" s="15" t="s">
        <v>22</v>
      </c>
      <c r="Q129" s="9">
        <v>7</v>
      </c>
      <c r="R129" s="9">
        <v>2</v>
      </c>
      <c r="S129" s="9">
        <v>5</v>
      </c>
      <c r="T129" s="9">
        <v>10</v>
      </c>
      <c r="U129" s="9">
        <v>3</v>
      </c>
      <c r="W129" s="24">
        <v>1</v>
      </c>
      <c r="X129" s="24">
        <v>1</v>
      </c>
      <c r="Y129" s="24">
        <v>1</v>
      </c>
      <c r="Z129" s="24">
        <v>1</v>
      </c>
      <c r="AA129" s="24">
        <v>1</v>
      </c>
      <c r="AH129" s="5"/>
      <c r="AI129" s="5"/>
      <c r="AO129" s="5"/>
    </row>
    <row r="130" spans="10:41" x14ac:dyDescent="0.3">
      <c r="J130" s="9">
        <v>126</v>
      </c>
      <c r="K130" s="15" t="s">
        <v>35</v>
      </c>
      <c r="L130" s="15" t="s">
        <v>68</v>
      </c>
      <c r="M130" s="15" t="s">
        <v>35</v>
      </c>
      <c r="N130" s="15" t="s">
        <v>36</v>
      </c>
      <c r="O130" s="15" t="s">
        <v>21</v>
      </c>
      <c r="Q130" s="9">
        <v>8</v>
      </c>
      <c r="R130" s="9">
        <v>18</v>
      </c>
      <c r="S130" s="9">
        <v>8</v>
      </c>
      <c r="T130" s="9">
        <v>10</v>
      </c>
      <c r="U130" s="9">
        <v>2</v>
      </c>
      <c r="W130" s="24">
        <v>1</v>
      </c>
      <c r="X130" s="24">
        <v>1</v>
      </c>
      <c r="Y130" s="24">
        <v>1</v>
      </c>
      <c r="Z130" s="24">
        <v>1</v>
      </c>
      <c r="AA130" s="24">
        <v>1</v>
      </c>
      <c r="AH130" s="5"/>
      <c r="AI130" s="5"/>
      <c r="AO130" s="5"/>
    </row>
    <row r="131" spans="10:41" x14ac:dyDescent="0.3">
      <c r="J131" s="24">
        <v>127</v>
      </c>
      <c r="K131" s="15" t="s">
        <v>95</v>
      </c>
      <c r="L131" s="15" t="s">
        <v>18</v>
      </c>
      <c r="M131" s="15" t="s">
        <v>37</v>
      </c>
      <c r="N131" s="15" t="s">
        <v>18</v>
      </c>
      <c r="O131" s="15" t="s">
        <v>18</v>
      </c>
      <c r="Q131" s="9">
        <v>6</v>
      </c>
      <c r="R131" s="9">
        <v>4</v>
      </c>
      <c r="S131" s="9">
        <v>7</v>
      </c>
      <c r="T131" s="9">
        <v>4</v>
      </c>
      <c r="U131" s="9">
        <v>4</v>
      </c>
      <c r="W131" s="24">
        <v>1</v>
      </c>
      <c r="X131" s="24">
        <v>1</v>
      </c>
      <c r="Y131" s="24">
        <v>1</v>
      </c>
      <c r="Z131" s="24">
        <v>1</v>
      </c>
      <c r="AA131" s="24">
        <v>1</v>
      </c>
      <c r="AH131" s="5"/>
      <c r="AI131" s="5"/>
      <c r="AO131" s="5"/>
    </row>
    <row r="132" spans="10:41" x14ac:dyDescent="0.3">
      <c r="J132" s="9">
        <v>128</v>
      </c>
      <c r="K132" s="15" t="s">
        <v>95</v>
      </c>
      <c r="L132" s="15" t="s">
        <v>70</v>
      </c>
      <c r="M132" s="15" t="s">
        <v>37</v>
      </c>
      <c r="N132" s="15" t="s">
        <v>95</v>
      </c>
      <c r="O132" s="15" t="s">
        <v>18</v>
      </c>
      <c r="Q132" s="9">
        <v>6</v>
      </c>
      <c r="R132" s="9">
        <v>19</v>
      </c>
      <c r="S132" s="9">
        <v>7</v>
      </c>
      <c r="T132" s="9">
        <v>6</v>
      </c>
      <c r="U132" s="9">
        <v>4</v>
      </c>
      <c r="W132" s="24">
        <v>1</v>
      </c>
      <c r="X132" s="24">
        <v>1</v>
      </c>
      <c r="Y132" s="24">
        <v>1</v>
      </c>
      <c r="Z132" s="24">
        <v>1</v>
      </c>
      <c r="AA132" s="24">
        <v>1</v>
      </c>
      <c r="AH132" s="5"/>
      <c r="AI132" s="5"/>
      <c r="AO132" s="5"/>
    </row>
    <row r="133" spans="10:41" x14ac:dyDescent="0.3">
      <c r="J133" s="24">
        <v>129</v>
      </c>
      <c r="K133" s="15" t="s">
        <v>19</v>
      </c>
      <c r="L133" s="15" t="s">
        <v>70</v>
      </c>
      <c r="M133" s="15" t="s">
        <v>19</v>
      </c>
      <c r="N133" s="15" t="s">
        <v>36</v>
      </c>
      <c r="O133" s="15" t="s">
        <v>36</v>
      </c>
      <c r="Q133" s="9">
        <v>5</v>
      </c>
      <c r="R133" s="9">
        <v>19</v>
      </c>
      <c r="S133" s="9">
        <v>5</v>
      </c>
      <c r="T133" s="9">
        <v>10</v>
      </c>
      <c r="U133" s="9">
        <v>10</v>
      </c>
      <c r="W133" s="24">
        <v>1</v>
      </c>
      <c r="X133" s="24">
        <v>1</v>
      </c>
      <c r="Y133" s="24">
        <v>1</v>
      </c>
      <c r="Z133" s="24">
        <v>1</v>
      </c>
      <c r="AA133" s="24">
        <v>1</v>
      </c>
      <c r="AH133" s="5"/>
      <c r="AI133" s="5"/>
      <c r="AO133" s="5"/>
    </row>
    <row r="134" spans="10:41" x14ac:dyDescent="0.3">
      <c r="J134" s="9">
        <v>130</v>
      </c>
      <c r="K134" s="15" t="s">
        <v>35</v>
      </c>
      <c r="L134" s="15" t="s">
        <v>21</v>
      </c>
      <c r="M134" s="15" t="s">
        <v>19</v>
      </c>
      <c r="N134" s="15" t="s">
        <v>18</v>
      </c>
      <c r="O134" s="15" t="s">
        <v>34</v>
      </c>
      <c r="Q134" s="9">
        <v>8</v>
      </c>
      <c r="R134" s="9">
        <v>2</v>
      </c>
      <c r="S134" s="9">
        <v>5</v>
      </c>
      <c r="T134" s="9">
        <v>4</v>
      </c>
      <c r="U134" s="9">
        <v>9</v>
      </c>
      <c r="W134" s="24">
        <v>1</v>
      </c>
      <c r="X134" s="24">
        <v>1</v>
      </c>
      <c r="Y134" s="24">
        <v>1</v>
      </c>
      <c r="Z134" s="24">
        <v>1</v>
      </c>
      <c r="AA134" s="24">
        <v>1</v>
      </c>
      <c r="AH134" s="5"/>
      <c r="AI134" s="5"/>
      <c r="AO134" s="5"/>
    </row>
    <row r="135" spans="10:41" x14ac:dyDescent="0.3">
      <c r="J135" s="24">
        <v>131</v>
      </c>
      <c r="K135" s="15" t="s">
        <v>35</v>
      </c>
      <c r="L135" s="15" t="s">
        <v>63</v>
      </c>
      <c r="M135" s="15" t="s">
        <v>37</v>
      </c>
      <c r="N135" s="15" t="s">
        <v>19</v>
      </c>
      <c r="O135" s="15" t="s">
        <v>95</v>
      </c>
      <c r="Q135" s="9">
        <v>8</v>
      </c>
      <c r="R135" s="9">
        <v>13</v>
      </c>
      <c r="S135" s="9">
        <v>7</v>
      </c>
      <c r="T135" s="9">
        <v>5</v>
      </c>
      <c r="U135" s="9">
        <v>6</v>
      </c>
      <c r="W135" s="24">
        <v>1</v>
      </c>
      <c r="X135" s="24">
        <v>1</v>
      </c>
      <c r="Y135" s="24">
        <v>1</v>
      </c>
      <c r="Z135" s="24">
        <v>1</v>
      </c>
      <c r="AA135" s="24">
        <v>1</v>
      </c>
      <c r="AH135" s="5"/>
      <c r="AI135" s="5"/>
      <c r="AO135" s="5"/>
    </row>
    <row r="136" spans="10:41" x14ac:dyDescent="0.3">
      <c r="J136" s="9">
        <v>132</v>
      </c>
      <c r="K136" s="15" t="s">
        <v>37</v>
      </c>
      <c r="L136" s="15" t="s">
        <v>35</v>
      </c>
      <c r="M136" s="15" t="s">
        <v>65</v>
      </c>
      <c r="N136" s="15" t="s">
        <v>62</v>
      </c>
      <c r="O136" s="15" t="s">
        <v>21</v>
      </c>
      <c r="Q136" s="9">
        <v>7</v>
      </c>
      <c r="R136" s="9">
        <v>8</v>
      </c>
      <c r="S136" s="9">
        <v>16</v>
      </c>
      <c r="T136" s="9">
        <v>12</v>
      </c>
      <c r="U136" s="9">
        <v>2</v>
      </c>
      <c r="W136" s="24">
        <v>1</v>
      </c>
      <c r="X136" s="24">
        <v>1</v>
      </c>
      <c r="Y136" s="24">
        <v>1</v>
      </c>
      <c r="Z136" s="24">
        <v>1</v>
      </c>
      <c r="AA136" s="24">
        <v>1</v>
      </c>
      <c r="AH136" s="5"/>
      <c r="AI136" s="5"/>
      <c r="AO136" s="5"/>
    </row>
    <row r="137" spans="10:41" x14ac:dyDescent="0.3">
      <c r="J137" s="24">
        <v>133</v>
      </c>
      <c r="K137" s="15" t="s">
        <v>95</v>
      </c>
      <c r="L137" s="15" t="s">
        <v>18</v>
      </c>
      <c r="M137" s="15" t="s">
        <v>37</v>
      </c>
      <c r="N137" s="15" t="s">
        <v>21</v>
      </c>
      <c r="O137" s="15" t="s">
        <v>19</v>
      </c>
      <c r="Q137" s="9">
        <v>6</v>
      </c>
      <c r="R137" s="9">
        <v>4</v>
      </c>
      <c r="S137" s="9">
        <v>7</v>
      </c>
      <c r="T137" s="9">
        <v>2</v>
      </c>
      <c r="U137" s="9">
        <v>5</v>
      </c>
      <c r="W137" s="24">
        <v>1</v>
      </c>
      <c r="X137" s="24">
        <v>1</v>
      </c>
      <c r="Y137" s="24">
        <v>1</v>
      </c>
      <c r="Z137" s="24">
        <v>1</v>
      </c>
      <c r="AA137" s="24">
        <v>1</v>
      </c>
      <c r="AH137" s="5"/>
      <c r="AI137" s="5"/>
      <c r="AO137" s="5"/>
    </row>
    <row r="138" spans="10:41" x14ac:dyDescent="0.3">
      <c r="J138" s="9">
        <v>134</v>
      </c>
      <c r="K138" s="15" t="s">
        <v>35</v>
      </c>
      <c r="L138" s="15" t="s">
        <v>19</v>
      </c>
      <c r="M138" s="15" t="s">
        <v>19</v>
      </c>
      <c r="N138" s="15" t="s">
        <v>34</v>
      </c>
      <c r="O138" s="15" t="s">
        <v>22</v>
      </c>
      <c r="Q138" s="9">
        <v>8</v>
      </c>
      <c r="R138" s="9">
        <v>5</v>
      </c>
      <c r="S138" s="9">
        <v>5</v>
      </c>
      <c r="T138" s="9">
        <v>9</v>
      </c>
      <c r="U138" s="9">
        <v>3</v>
      </c>
      <c r="W138" s="24">
        <v>1</v>
      </c>
      <c r="X138" s="24">
        <v>1</v>
      </c>
      <c r="Y138" s="24">
        <v>1</v>
      </c>
      <c r="Z138" s="24">
        <v>1</v>
      </c>
      <c r="AA138" s="24">
        <v>1</v>
      </c>
      <c r="AH138" s="5"/>
      <c r="AI138" s="5"/>
      <c r="AO138" s="5"/>
    </row>
    <row r="139" spans="10:41" x14ac:dyDescent="0.3">
      <c r="J139" s="24">
        <v>135</v>
      </c>
      <c r="K139" s="15" t="s">
        <v>37</v>
      </c>
      <c r="L139" s="15" t="s">
        <v>21</v>
      </c>
      <c r="M139" s="15" t="s">
        <v>35</v>
      </c>
      <c r="N139" s="15" t="s">
        <v>68</v>
      </c>
      <c r="O139" s="15" t="s">
        <v>36</v>
      </c>
      <c r="Q139" s="9">
        <v>7</v>
      </c>
      <c r="R139" s="9">
        <v>2</v>
      </c>
      <c r="S139" s="9">
        <v>8</v>
      </c>
      <c r="T139" s="9">
        <v>18</v>
      </c>
      <c r="U139" s="9">
        <v>10</v>
      </c>
      <c r="W139" s="24">
        <v>1</v>
      </c>
      <c r="X139" s="24">
        <v>1</v>
      </c>
      <c r="Y139" s="24">
        <v>1</v>
      </c>
      <c r="Z139" s="24">
        <v>1</v>
      </c>
      <c r="AA139" s="24">
        <v>1</v>
      </c>
      <c r="AH139" s="5"/>
      <c r="AI139" s="5"/>
      <c r="AO139" s="5"/>
    </row>
    <row r="140" spans="10:41" x14ac:dyDescent="0.3">
      <c r="J140" s="9">
        <v>136</v>
      </c>
      <c r="K140" s="15" t="s">
        <v>19</v>
      </c>
      <c r="L140" s="15" t="s">
        <v>37</v>
      </c>
      <c r="M140" s="15" t="s">
        <v>19</v>
      </c>
      <c r="N140" s="15" t="s">
        <v>34</v>
      </c>
      <c r="O140" s="15" t="s">
        <v>37</v>
      </c>
      <c r="Q140" s="9">
        <v>5</v>
      </c>
      <c r="R140" s="9">
        <v>7</v>
      </c>
      <c r="S140" s="9">
        <v>5</v>
      </c>
      <c r="T140" s="9">
        <v>9</v>
      </c>
      <c r="U140" s="9">
        <v>7</v>
      </c>
      <c r="W140" s="24">
        <v>1</v>
      </c>
      <c r="X140" s="24">
        <v>1</v>
      </c>
      <c r="Y140" s="24">
        <v>1</v>
      </c>
      <c r="Z140" s="24">
        <v>1</v>
      </c>
      <c r="AA140" s="24">
        <v>1</v>
      </c>
      <c r="AH140" s="5"/>
      <c r="AI140" s="5"/>
      <c r="AO140" s="5"/>
    </row>
    <row r="141" spans="10:41" x14ac:dyDescent="0.3">
      <c r="J141" s="24">
        <v>137</v>
      </c>
      <c r="K141" s="15" t="s">
        <v>35</v>
      </c>
      <c r="L141" s="15" t="s">
        <v>37</v>
      </c>
      <c r="M141" s="15" t="s">
        <v>95</v>
      </c>
      <c r="N141" s="15" t="s">
        <v>21</v>
      </c>
      <c r="O141" s="15" t="s">
        <v>34</v>
      </c>
      <c r="Q141" s="9">
        <v>8</v>
      </c>
      <c r="R141" s="9">
        <v>7</v>
      </c>
      <c r="S141" s="9">
        <v>6</v>
      </c>
      <c r="T141" s="9">
        <v>2</v>
      </c>
      <c r="U141" s="9">
        <v>9</v>
      </c>
      <c r="W141" s="24">
        <v>1</v>
      </c>
      <c r="X141" s="24">
        <v>1</v>
      </c>
      <c r="Y141" s="24">
        <v>1</v>
      </c>
      <c r="Z141" s="24">
        <v>1</v>
      </c>
      <c r="AA141" s="24">
        <v>1</v>
      </c>
      <c r="AH141" s="5"/>
      <c r="AI141" s="5"/>
      <c r="AO141" s="5"/>
    </row>
    <row r="142" spans="10:41" x14ac:dyDescent="0.3">
      <c r="J142" s="9">
        <v>138</v>
      </c>
      <c r="K142" s="15" t="s">
        <v>37</v>
      </c>
      <c r="L142" s="15" t="s">
        <v>37</v>
      </c>
      <c r="M142" s="15" t="s">
        <v>81</v>
      </c>
      <c r="N142" s="15" t="s">
        <v>95</v>
      </c>
      <c r="O142" s="15" t="s">
        <v>18</v>
      </c>
      <c r="Q142" s="9">
        <v>7</v>
      </c>
      <c r="R142" s="9">
        <v>7</v>
      </c>
      <c r="S142" s="9">
        <v>17</v>
      </c>
      <c r="T142" s="9">
        <v>6</v>
      </c>
      <c r="U142" s="9">
        <v>4</v>
      </c>
      <c r="W142" s="24">
        <v>1</v>
      </c>
      <c r="X142" s="24">
        <v>1</v>
      </c>
      <c r="Y142" s="24">
        <v>1</v>
      </c>
      <c r="Z142" s="24">
        <v>1</v>
      </c>
      <c r="AA142" s="24">
        <v>1</v>
      </c>
      <c r="AH142" s="5"/>
      <c r="AI142" s="5"/>
      <c r="AO142" s="5"/>
    </row>
    <row r="143" spans="10:41" x14ac:dyDescent="0.3">
      <c r="J143" s="24">
        <v>139</v>
      </c>
      <c r="K143" s="15" t="s">
        <v>19</v>
      </c>
      <c r="L143" s="15" t="s">
        <v>22</v>
      </c>
      <c r="M143" s="15" t="s">
        <v>35</v>
      </c>
      <c r="N143" s="15" t="s">
        <v>18</v>
      </c>
      <c r="O143" s="15" t="s">
        <v>37</v>
      </c>
      <c r="Q143" s="9">
        <v>5</v>
      </c>
      <c r="R143" s="9">
        <v>3</v>
      </c>
      <c r="S143" s="9">
        <v>8</v>
      </c>
      <c r="T143" s="9">
        <v>4</v>
      </c>
      <c r="U143" s="9">
        <v>7</v>
      </c>
      <c r="W143" s="24">
        <v>1</v>
      </c>
      <c r="X143" s="24">
        <v>1</v>
      </c>
      <c r="Y143" s="24">
        <v>1</v>
      </c>
      <c r="Z143" s="24">
        <v>1</v>
      </c>
      <c r="AA143" s="24">
        <v>1</v>
      </c>
      <c r="AH143" s="5"/>
      <c r="AI143" s="5"/>
      <c r="AO143" s="5"/>
    </row>
    <row r="144" spans="10:41" x14ac:dyDescent="0.3">
      <c r="J144" s="9">
        <v>140</v>
      </c>
      <c r="K144" s="15" t="s">
        <v>95</v>
      </c>
      <c r="L144" s="15" t="s">
        <v>37</v>
      </c>
      <c r="M144" s="15" t="s">
        <v>19</v>
      </c>
      <c r="N144" s="15" t="s">
        <v>35</v>
      </c>
      <c r="O144" s="15" t="s">
        <v>37</v>
      </c>
      <c r="Q144" s="9">
        <v>6</v>
      </c>
      <c r="R144" s="9">
        <v>7</v>
      </c>
      <c r="S144" s="9">
        <v>5</v>
      </c>
      <c r="T144" s="9">
        <v>8</v>
      </c>
      <c r="U144" s="9">
        <v>7</v>
      </c>
      <c r="W144" s="24">
        <v>1</v>
      </c>
      <c r="X144" s="24">
        <v>1</v>
      </c>
      <c r="Y144" s="24">
        <v>1</v>
      </c>
      <c r="Z144" s="24">
        <v>1</v>
      </c>
      <c r="AA144" s="24">
        <v>1</v>
      </c>
      <c r="AH144" s="5"/>
      <c r="AI144" s="5"/>
      <c r="AO144" s="5"/>
    </row>
    <row r="145" spans="10:41" x14ac:dyDescent="0.3">
      <c r="J145" s="24">
        <v>141</v>
      </c>
      <c r="K145" s="15" t="s">
        <v>37</v>
      </c>
      <c r="L145" s="15" t="s">
        <v>37</v>
      </c>
      <c r="M145" s="15" t="s">
        <v>19</v>
      </c>
      <c r="N145" s="15" t="s">
        <v>37</v>
      </c>
      <c r="O145" s="15" t="s">
        <v>20</v>
      </c>
      <c r="Q145" s="9">
        <v>7</v>
      </c>
      <c r="R145" s="9">
        <v>7</v>
      </c>
      <c r="S145" s="9">
        <v>5</v>
      </c>
      <c r="T145" s="9">
        <v>7</v>
      </c>
      <c r="U145" s="9">
        <v>1</v>
      </c>
      <c r="W145" s="24">
        <v>1</v>
      </c>
      <c r="X145" s="24">
        <v>1</v>
      </c>
      <c r="Y145" s="24">
        <v>1</v>
      </c>
      <c r="Z145" s="24">
        <v>1</v>
      </c>
      <c r="AA145" s="24">
        <v>1</v>
      </c>
      <c r="AH145" s="5"/>
      <c r="AI145" s="5"/>
      <c r="AO145" s="5"/>
    </row>
    <row r="146" spans="10:41" x14ac:dyDescent="0.3">
      <c r="J146" s="9">
        <v>142</v>
      </c>
      <c r="K146" s="15" t="s">
        <v>95</v>
      </c>
      <c r="L146" s="15" t="s">
        <v>95</v>
      </c>
      <c r="M146" s="15" t="s">
        <v>19</v>
      </c>
      <c r="N146" s="15" t="s">
        <v>19</v>
      </c>
      <c r="O146" s="15" t="s">
        <v>95</v>
      </c>
      <c r="Q146" s="9">
        <v>6</v>
      </c>
      <c r="R146" s="9">
        <v>6</v>
      </c>
      <c r="S146" s="9">
        <v>5</v>
      </c>
      <c r="T146" s="9">
        <v>5</v>
      </c>
      <c r="U146" s="9">
        <v>6</v>
      </c>
      <c r="W146" s="24">
        <v>1</v>
      </c>
      <c r="X146" s="24">
        <v>1</v>
      </c>
      <c r="Y146" s="24">
        <v>1</v>
      </c>
      <c r="Z146" s="24">
        <v>1</v>
      </c>
      <c r="AA146" s="24">
        <v>1</v>
      </c>
      <c r="AH146" s="5"/>
      <c r="AI146" s="5"/>
      <c r="AO146" s="5"/>
    </row>
    <row r="147" spans="10:41" x14ac:dyDescent="0.3">
      <c r="J147" s="24">
        <v>143</v>
      </c>
      <c r="K147" s="15" t="s">
        <v>19</v>
      </c>
      <c r="L147" s="15" t="s">
        <v>62</v>
      </c>
      <c r="M147" s="15" t="s">
        <v>95</v>
      </c>
      <c r="N147" s="15" t="s">
        <v>19</v>
      </c>
      <c r="O147" s="15" t="s">
        <v>37</v>
      </c>
      <c r="Q147" s="9">
        <v>5</v>
      </c>
      <c r="R147" s="9">
        <v>12</v>
      </c>
      <c r="S147" s="9">
        <v>6</v>
      </c>
      <c r="T147" s="9">
        <v>5</v>
      </c>
      <c r="U147" s="9">
        <v>7</v>
      </c>
      <c r="W147" s="24">
        <v>1</v>
      </c>
      <c r="X147" s="24">
        <v>1</v>
      </c>
      <c r="Y147" s="24">
        <v>1</v>
      </c>
      <c r="Z147" s="24">
        <v>1</v>
      </c>
      <c r="AA147" s="24">
        <v>1</v>
      </c>
      <c r="AH147" s="5"/>
      <c r="AI147" s="5"/>
      <c r="AO147" s="5"/>
    </row>
    <row r="148" spans="10:41" x14ac:dyDescent="0.3">
      <c r="J148" s="9">
        <v>144</v>
      </c>
      <c r="K148" s="15" t="s">
        <v>37</v>
      </c>
      <c r="L148" s="15" t="s">
        <v>34</v>
      </c>
      <c r="M148" s="15" t="s">
        <v>37</v>
      </c>
      <c r="N148" s="15" t="s">
        <v>37</v>
      </c>
      <c r="O148" s="15" t="s">
        <v>95</v>
      </c>
      <c r="Q148" s="9">
        <v>7</v>
      </c>
      <c r="R148" s="9">
        <v>9</v>
      </c>
      <c r="S148" s="9">
        <v>7</v>
      </c>
      <c r="T148" s="9">
        <v>7</v>
      </c>
      <c r="U148" s="9">
        <v>6</v>
      </c>
      <c r="W148" s="24">
        <v>1</v>
      </c>
      <c r="X148" s="24">
        <v>1</v>
      </c>
      <c r="Y148" s="24">
        <v>1</v>
      </c>
      <c r="Z148" s="24">
        <v>1</v>
      </c>
      <c r="AA148" s="24">
        <v>1</v>
      </c>
      <c r="AH148" s="5"/>
      <c r="AI148" s="5"/>
      <c r="AO148" s="5"/>
    </row>
    <row r="149" spans="10:41" x14ac:dyDescent="0.3">
      <c r="J149" s="24">
        <v>145</v>
      </c>
      <c r="K149" s="15" t="s">
        <v>35</v>
      </c>
      <c r="L149" s="15" t="s">
        <v>20</v>
      </c>
      <c r="M149" s="15" t="s">
        <v>37</v>
      </c>
      <c r="N149" s="15" t="s">
        <v>18</v>
      </c>
      <c r="O149" s="15" t="s">
        <v>22</v>
      </c>
      <c r="Q149" s="9">
        <v>8</v>
      </c>
      <c r="R149" s="9">
        <v>1</v>
      </c>
      <c r="S149" s="9">
        <v>7</v>
      </c>
      <c r="T149" s="9">
        <v>4</v>
      </c>
      <c r="U149" s="9">
        <v>3</v>
      </c>
      <c r="W149" s="24">
        <v>1</v>
      </c>
      <c r="X149" s="24">
        <v>1</v>
      </c>
      <c r="Y149" s="24">
        <v>1</v>
      </c>
      <c r="Z149" s="24">
        <v>1</v>
      </c>
      <c r="AA149" s="24">
        <v>1</v>
      </c>
      <c r="AH149" s="5"/>
      <c r="AI149" s="5"/>
      <c r="AO149" s="5"/>
    </row>
    <row r="150" spans="10:41" x14ac:dyDescent="0.3">
      <c r="J150" s="9">
        <v>146</v>
      </c>
      <c r="K150" s="15" t="s">
        <v>37</v>
      </c>
      <c r="L150" s="15" t="s">
        <v>36</v>
      </c>
      <c r="M150" s="15" t="s">
        <v>37</v>
      </c>
      <c r="N150" s="15" t="s">
        <v>18</v>
      </c>
      <c r="O150" s="15" t="s">
        <v>95</v>
      </c>
      <c r="Q150" s="9">
        <v>7</v>
      </c>
      <c r="R150" s="9">
        <v>10</v>
      </c>
      <c r="S150" s="9">
        <v>7</v>
      </c>
      <c r="T150" s="9">
        <v>4</v>
      </c>
      <c r="U150" s="9">
        <v>6</v>
      </c>
      <c r="W150" s="24">
        <v>1</v>
      </c>
      <c r="X150" s="24">
        <v>1</v>
      </c>
      <c r="Y150" s="24">
        <v>1</v>
      </c>
      <c r="Z150" s="24">
        <v>1</v>
      </c>
      <c r="AA150" s="24">
        <v>1</v>
      </c>
      <c r="AH150" s="5"/>
      <c r="AI150" s="5"/>
      <c r="AO150" s="5"/>
    </row>
    <row r="151" spans="10:41" x14ac:dyDescent="0.3">
      <c r="J151" s="24">
        <v>147</v>
      </c>
      <c r="K151" s="15" t="s">
        <v>95</v>
      </c>
      <c r="L151" s="15" t="s">
        <v>70</v>
      </c>
      <c r="M151" s="15" t="s">
        <v>95</v>
      </c>
      <c r="N151" s="15" t="s">
        <v>18</v>
      </c>
      <c r="O151" s="15" t="s">
        <v>21</v>
      </c>
      <c r="Q151" s="9">
        <v>6</v>
      </c>
      <c r="R151" s="9">
        <v>19</v>
      </c>
      <c r="S151" s="9">
        <v>6</v>
      </c>
      <c r="T151" s="9">
        <v>4</v>
      </c>
      <c r="U151" s="9">
        <v>2</v>
      </c>
      <c r="W151" s="24">
        <v>1</v>
      </c>
      <c r="X151" s="24">
        <v>1</v>
      </c>
      <c r="Y151" s="24">
        <v>1</v>
      </c>
      <c r="Z151" s="24">
        <v>1</v>
      </c>
      <c r="AA151" s="24">
        <v>1</v>
      </c>
      <c r="AH151" s="5"/>
      <c r="AI151" s="5"/>
      <c r="AO151" s="5"/>
    </row>
    <row r="152" spans="10:41" x14ac:dyDescent="0.3">
      <c r="J152" s="9">
        <v>148</v>
      </c>
      <c r="K152" s="15" t="s">
        <v>18</v>
      </c>
      <c r="L152" s="15" t="s">
        <v>22</v>
      </c>
      <c r="M152" s="15" t="s">
        <v>19</v>
      </c>
      <c r="N152" s="15" t="s">
        <v>36</v>
      </c>
      <c r="O152" s="15" t="s">
        <v>20</v>
      </c>
      <c r="Q152" s="9">
        <v>4</v>
      </c>
      <c r="R152" s="9">
        <v>3</v>
      </c>
      <c r="S152" s="9">
        <v>5</v>
      </c>
      <c r="T152" s="9">
        <v>10</v>
      </c>
      <c r="U152" s="9">
        <v>1</v>
      </c>
      <c r="W152" s="24">
        <v>1</v>
      </c>
      <c r="X152" s="24">
        <v>1</v>
      </c>
      <c r="Y152" s="24">
        <v>1</v>
      </c>
      <c r="Z152" s="24">
        <v>1</v>
      </c>
      <c r="AA152" s="24">
        <v>1</v>
      </c>
      <c r="AH152" s="5"/>
      <c r="AI152" s="5"/>
      <c r="AO152" s="5"/>
    </row>
    <row r="153" spans="10:41" x14ac:dyDescent="0.3">
      <c r="J153" s="24">
        <v>149</v>
      </c>
      <c r="K153" s="15" t="s">
        <v>37</v>
      </c>
      <c r="L153" s="15" t="s">
        <v>18</v>
      </c>
      <c r="M153" s="15" t="s">
        <v>22</v>
      </c>
      <c r="N153" s="15" t="s">
        <v>63</v>
      </c>
      <c r="O153" s="15" t="s">
        <v>95</v>
      </c>
      <c r="Q153" s="9">
        <v>7</v>
      </c>
      <c r="R153" s="9">
        <v>4</v>
      </c>
      <c r="S153" s="9">
        <v>3</v>
      </c>
      <c r="T153" s="9">
        <v>13</v>
      </c>
      <c r="U153" s="9">
        <v>6</v>
      </c>
      <c r="W153" s="24">
        <v>1</v>
      </c>
      <c r="X153" s="24">
        <v>1</v>
      </c>
      <c r="Y153" s="24">
        <v>1</v>
      </c>
      <c r="Z153" s="24">
        <v>1</v>
      </c>
      <c r="AA153" s="24">
        <v>1</v>
      </c>
      <c r="AH153" s="5"/>
      <c r="AI153" s="5"/>
      <c r="AO153" s="5"/>
    </row>
    <row r="154" spans="10:41" x14ac:dyDescent="0.3">
      <c r="J154" s="9">
        <v>150</v>
      </c>
      <c r="K154" s="15" t="s">
        <v>37</v>
      </c>
      <c r="L154" s="15" t="s">
        <v>65</v>
      </c>
      <c r="M154" s="15" t="s">
        <v>35</v>
      </c>
      <c r="N154" s="15" t="s">
        <v>34</v>
      </c>
      <c r="O154" s="15" t="s">
        <v>34</v>
      </c>
      <c r="Q154" s="9">
        <v>7</v>
      </c>
      <c r="R154" s="9">
        <v>16</v>
      </c>
      <c r="S154" s="9">
        <v>8</v>
      </c>
      <c r="T154" s="9">
        <v>9</v>
      </c>
      <c r="U154" s="9">
        <v>9</v>
      </c>
      <c r="W154" s="24">
        <v>1</v>
      </c>
      <c r="X154" s="24">
        <v>1</v>
      </c>
      <c r="Y154" s="24">
        <v>1</v>
      </c>
      <c r="Z154" s="24">
        <v>1</v>
      </c>
      <c r="AA154" s="24">
        <v>1</v>
      </c>
      <c r="AH154" s="5"/>
      <c r="AI154" s="5"/>
      <c r="AO154" s="5"/>
    </row>
    <row r="155" spans="10:41" x14ac:dyDescent="0.3">
      <c r="J155" s="24">
        <v>151</v>
      </c>
      <c r="K155" s="15" t="s">
        <v>95</v>
      </c>
      <c r="L155" s="15" t="s">
        <v>18</v>
      </c>
      <c r="M155" s="15" t="s">
        <v>19</v>
      </c>
      <c r="N155" s="15" t="s">
        <v>19</v>
      </c>
      <c r="O155" s="15" t="s">
        <v>34</v>
      </c>
      <c r="Q155" s="9">
        <v>6</v>
      </c>
      <c r="R155" s="9">
        <v>4</v>
      </c>
      <c r="S155" s="9">
        <v>5</v>
      </c>
      <c r="T155" s="9">
        <v>5</v>
      </c>
      <c r="U155" s="9">
        <v>9</v>
      </c>
      <c r="W155" s="24">
        <v>1</v>
      </c>
      <c r="X155" s="24">
        <v>1</v>
      </c>
      <c r="Y155" s="24">
        <v>1</v>
      </c>
      <c r="Z155" s="24">
        <v>1</v>
      </c>
      <c r="AA155" s="24">
        <v>1</v>
      </c>
      <c r="AH155" s="5"/>
      <c r="AI155" s="5"/>
      <c r="AO155" s="5"/>
    </row>
    <row r="156" spans="10:41" x14ac:dyDescent="0.3">
      <c r="J156" s="9">
        <v>152</v>
      </c>
      <c r="K156" s="15" t="s">
        <v>37</v>
      </c>
      <c r="L156" s="15" t="s">
        <v>36</v>
      </c>
      <c r="M156" s="15" t="s">
        <v>19</v>
      </c>
      <c r="N156" s="15" t="s">
        <v>35</v>
      </c>
      <c r="O156" s="15" t="s">
        <v>95</v>
      </c>
      <c r="Q156" s="9">
        <v>7</v>
      </c>
      <c r="R156" s="9">
        <v>10</v>
      </c>
      <c r="S156" s="9">
        <v>5</v>
      </c>
      <c r="T156" s="9">
        <v>8</v>
      </c>
      <c r="U156" s="9">
        <v>6</v>
      </c>
      <c r="W156" s="24">
        <v>1</v>
      </c>
      <c r="X156" s="24">
        <v>1</v>
      </c>
      <c r="Y156" s="24">
        <v>1</v>
      </c>
      <c r="Z156" s="24">
        <v>1</v>
      </c>
      <c r="AA156" s="24">
        <v>1</v>
      </c>
      <c r="AH156" s="5"/>
      <c r="AI156" s="5"/>
      <c r="AO156" s="5"/>
    </row>
    <row r="157" spans="10:41" x14ac:dyDescent="0.3">
      <c r="J157" s="24">
        <v>153</v>
      </c>
      <c r="K157" s="15" t="s">
        <v>95</v>
      </c>
      <c r="L157" s="15" t="s">
        <v>21</v>
      </c>
      <c r="M157" s="15" t="s">
        <v>19</v>
      </c>
      <c r="N157" s="15" t="s">
        <v>65</v>
      </c>
      <c r="O157" s="15" t="s">
        <v>95</v>
      </c>
      <c r="Q157" s="9">
        <v>6</v>
      </c>
      <c r="R157" s="9">
        <v>2</v>
      </c>
      <c r="S157" s="9">
        <v>5</v>
      </c>
      <c r="T157" s="9">
        <v>16</v>
      </c>
      <c r="U157" s="9">
        <v>6</v>
      </c>
      <c r="W157" s="24">
        <v>1</v>
      </c>
      <c r="X157" s="24">
        <v>1</v>
      </c>
      <c r="Y157" s="24">
        <v>1</v>
      </c>
      <c r="Z157" s="24">
        <v>1</v>
      </c>
      <c r="AA157" s="24">
        <v>1</v>
      </c>
      <c r="AH157" s="5"/>
      <c r="AI157" s="5"/>
      <c r="AO157" s="5"/>
    </row>
    <row r="158" spans="10:41" x14ac:dyDescent="0.3">
      <c r="J158" s="9">
        <v>154</v>
      </c>
      <c r="K158" s="15" t="s">
        <v>35</v>
      </c>
      <c r="L158" s="15" t="s">
        <v>18</v>
      </c>
      <c r="M158" s="15" t="s">
        <v>35</v>
      </c>
      <c r="N158" s="15" t="s">
        <v>21</v>
      </c>
      <c r="O158" s="15" t="s">
        <v>35</v>
      </c>
      <c r="Q158" s="9">
        <v>8</v>
      </c>
      <c r="R158" s="9">
        <v>4</v>
      </c>
      <c r="S158" s="9">
        <v>8</v>
      </c>
      <c r="T158" s="9">
        <v>2</v>
      </c>
      <c r="U158" s="9">
        <v>8</v>
      </c>
      <c r="W158" s="24">
        <v>1</v>
      </c>
      <c r="X158" s="24">
        <v>1</v>
      </c>
      <c r="Y158" s="24">
        <v>1</v>
      </c>
      <c r="Z158" s="24">
        <v>1</v>
      </c>
      <c r="AA158" s="24">
        <v>1</v>
      </c>
      <c r="AH158" s="5"/>
      <c r="AI158" s="5"/>
      <c r="AO158" s="5"/>
    </row>
    <row r="159" spans="10:41" x14ac:dyDescent="0.3">
      <c r="J159" s="24">
        <v>155</v>
      </c>
      <c r="K159" s="15" t="s">
        <v>35</v>
      </c>
      <c r="L159" s="15" t="s">
        <v>37</v>
      </c>
      <c r="M159" s="15" t="s">
        <v>35</v>
      </c>
      <c r="N159" s="15" t="s">
        <v>20</v>
      </c>
      <c r="O159" s="15" t="s">
        <v>20</v>
      </c>
      <c r="Q159" s="9">
        <v>8</v>
      </c>
      <c r="R159" s="9">
        <v>7</v>
      </c>
      <c r="S159" s="9">
        <v>8</v>
      </c>
      <c r="T159" s="9">
        <v>1</v>
      </c>
      <c r="U159" s="9">
        <v>1</v>
      </c>
      <c r="W159" s="24">
        <v>1</v>
      </c>
      <c r="X159" s="24">
        <v>1</v>
      </c>
      <c r="Y159" s="24">
        <v>1</v>
      </c>
      <c r="Z159" s="24">
        <v>1</v>
      </c>
      <c r="AA159" s="24">
        <v>1</v>
      </c>
      <c r="AH159" s="5"/>
      <c r="AI159" s="5"/>
      <c r="AO159" s="5"/>
    </row>
    <row r="160" spans="10:41" x14ac:dyDescent="0.3">
      <c r="J160" s="9">
        <v>156</v>
      </c>
      <c r="K160" s="15" t="s">
        <v>20</v>
      </c>
      <c r="L160" s="15" t="s">
        <v>95</v>
      </c>
      <c r="M160" s="15" t="s">
        <v>37</v>
      </c>
      <c r="N160" s="15" t="s">
        <v>37</v>
      </c>
      <c r="O160" s="15" t="s">
        <v>19</v>
      </c>
      <c r="Q160" s="9">
        <v>1</v>
      </c>
      <c r="R160" s="9">
        <v>6</v>
      </c>
      <c r="S160" s="9">
        <v>7</v>
      </c>
      <c r="T160" s="9">
        <v>7</v>
      </c>
      <c r="U160" s="9">
        <v>5</v>
      </c>
      <c r="W160" s="24">
        <v>1</v>
      </c>
      <c r="X160" s="24">
        <v>1</v>
      </c>
      <c r="Y160" s="24">
        <v>1</v>
      </c>
      <c r="Z160" s="24">
        <v>1</v>
      </c>
      <c r="AA160" s="24">
        <v>1</v>
      </c>
      <c r="AH160" s="5"/>
      <c r="AI160" s="5"/>
      <c r="AO160" s="5"/>
    </row>
    <row r="161" spans="10:41" x14ac:dyDescent="0.3">
      <c r="J161" s="24">
        <v>157</v>
      </c>
      <c r="K161" s="15" t="s">
        <v>35</v>
      </c>
      <c r="L161" s="15" t="s">
        <v>21</v>
      </c>
      <c r="M161" s="15" t="s">
        <v>95</v>
      </c>
      <c r="N161" s="15" t="s">
        <v>34</v>
      </c>
      <c r="O161" s="15" t="s">
        <v>37</v>
      </c>
      <c r="Q161" s="9">
        <v>8</v>
      </c>
      <c r="R161" s="9">
        <v>2</v>
      </c>
      <c r="S161" s="9">
        <v>6</v>
      </c>
      <c r="T161" s="9">
        <v>9</v>
      </c>
      <c r="U161" s="9">
        <v>7</v>
      </c>
      <c r="W161" s="24">
        <v>1</v>
      </c>
      <c r="X161" s="24">
        <v>1</v>
      </c>
      <c r="Y161" s="24">
        <v>1</v>
      </c>
      <c r="Z161" s="24">
        <v>1</v>
      </c>
      <c r="AA161" s="24">
        <v>1</v>
      </c>
      <c r="AH161" s="5"/>
      <c r="AI161" s="5"/>
      <c r="AO161" s="5"/>
    </row>
    <row r="162" spans="10:41" x14ac:dyDescent="0.3">
      <c r="J162" s="9">
        <v>158</v>
      </c>
      <c r="K162" s="15" t="s">
        <v>34</v>
      </c>
      <c r="L162" s="15" t="s">
        <v>36</v>
      </c>
      <c r="M162" s="15" t="s">
        <v>95</v>
      </c>
      <c r="N162" s="15" t="s">
        <v>34</v>
      </c>
      <c r="O162" s="15" t="s">
        <v>95</v>
      </c>
      <c r="Q162" s="9">
        <v>9</v>
      </c>
      <c r="R162" s="9">
        <v>10</v>
      </c>
      <c r="S162" s="9">
        <v>6</v>
      </c>
      <c r="T162" s="9">
        <v>9</v>
      </c>
      <c r="U162" s="9">
        <v>6</v>
      </c>
      <c r="W162" s="24">
        <v>1</v>
      </c>
      <c r="X162" s="24">
        <v>1</v>
      </c>
      <c r="Y162" s="24">
        <v>1</v>
      </c>
      <c r="Z162" s="24">
        <v>1</v>
      </c>
      <c r="AA162" s="24">
        <v>1</v>
      </c>
      <c r="AH162" s="5"/>
      <c r="AI162" s="5"/>
      <c r="AO162" s="5"/>
    </row>
    <row r="163" spans="10:41" x14ac:dyDescent="0.3">
      <c r="J163" s="24">
        <v>159</v>
      </c>
      <c r="K163" s="15" t="s">
        <v>35</v>
      </c>
      <c r="L163" s="15" t="s">
        <v>18</v>
      </c>
      <c r="M163" s="15" t="s">
        <v>95</v>
      </c>
      <c r="N163" s="15" t="s">
        <v>34</v>
      </c>
      <c r="O163" s="15" t="s">
        <v>95</v>
      </c>
      <c r="Q163" s="9">
        <v>8</v>
      </c>
      <c r="R163" s="9">
        <v>4</v>
      </c>
      <c r="S163" s="9">
        <v>6</v>
      </c>
      <c r="T163" s="9">
        <v>9</v>
      </c>
      <c r="U163" s="9">
        <v>6</v>
      </c>
      <c r="W163" s="24">
        <v>1</v>
      </c>
      <c r="X163" s="24">
        <v>1</v>
      </c>
      <c r="Y163" s="24">
        <v>1</v>
      </c>
      <c r="Z163" s="24">
        <v>1</v>
      </c>
      <c r="AA163" s="24">
        <v>1</v>
      </c>
      <c r="AH163" s="5"/>
      <c r="AI163" s="5"/>
      <c r="AO163" s="5"/>
    </row>
    <row r="164" spans="10:41" x14ac:dyDescent="0.3">
      <c r="J164" s="9">
        <v>160</v>
      </c>
      <c r="K164" s="15" t="s">
        <v>35</v>
      </c>
      <c r="L164" s="15" t="s">
        <v>22</v>
      </c>
      <c r="M164" s="15" t="s">
        <v>19</v>
      </c>
      <c r="N164" s="15" t="s">
        <v>36</v>
      </c>
      <c r="O164" s="15" t="s">
        <v>35</v>
      </c>
      <c r="Q164" s="9">
        <v>8</v>
      </c>
      <c r="R164" s="9">
        <v>3</v>
      </c>
      <c r="S164" s="9">
        <v>5</v>
      </c>
      <c r="T164" s="9">
        <v>10</v>
      </c>
      <c r="U164" s="9">
        <v>8</v>
      </c>
      <c r="W164" s="24">
        <v>1</v>
      </c>
      <c r="X164" s="24">
        <v>1</v>
      </c>
      <c r="Y164" s="24">
        <v>1</v>
      </c>
      <c r="Z164" s="24">
        <v>1</v>
      </c>
      <c r="AA164" s="24">
        <v>1</v>
      </c>
      <c r="AH164" s="5"/>
      <c r="AI164" s="5"/>
      <c r="AO164" s="5"/>
    </row>
    <row r="165" spans="10:41" x14ac:dyDescent="0.3">
      <c r="J165" s="24">
        <v>161</v>
      </c>
      <c r="K165" s="15" t="s">
        <v>19</v>
      </c>
      <c r="L165" s="15" t="s">
        <v>61</v>
      </c>
      <c r="M165" s="15" t="s">
        <v>21</v>
      </c>
      <c r="N165" s="15" t="s">
        <v>35</v>
      </c>
      <c r="O165" s="15" t="s">
        <v>36</v>
      </c>
      <c r="Q165" s="9">
        <v>5</v>
      </c>
      <c r="R165" s="9">
        <v>11</v>
      </c>
      <c r="S165" s="9">
        <v>2</v>
      </c>
      <c r="T165" s="9">
        <v>8</v>
      </c>
      <c r="U165" s="9">
        <v>10</v>
      </c>
      <c r="W165" s="24">
        <v>1</v>
      </c>
      <c r="X165" s="24">
        <v>1</v>
      </c>
      <c r="Y165" s="24">
        <v>1</v>
      </c>
      <c r="Z165" s="24">
        <v>1</v>
      </c>
      <c r="AA165" s="24">
        <v>1</v>
      </c>
      <c r="AH165" s="5"/>
      <c r="AI165" s="5"/>
      <c r="AO165" s="5"/>
    </row>
    <row r="166" spans="10:41" x14ac:dyDescent="0.3">
      <c r="J166" s="9">
        <v>162</v>
      </c>
      <c r="K166" s="15" t="s">
        <v>95</v>
      </c>
      <c r="L166" s="15" t="s">
        <v>18</v>
      </c>
      <c r="M166" s="15" t="s">
        <v>37</v>
      </c>
      <c r="N166" s="15" t="s">
        <v>35</v>
      </c>
      <c r="O166" s="15" t="s">
        <v>35</v>
      </c>
      <c r="Q166" s="9">
        <v>6</v>
      </c>
      <c r="R166" s="9">
        <v>4</v>
      </c>
      <c r="S166" s="9">
        <v>7</v>
      </c>
      <c r="T166" s="9">
        <v>8</v>
      </c>
      <c r="U166" s="9">
        <v>8</v>
      </c>
      <c r="W166" s="24">
        <v>1</v>
      </c>
      <c r="X166" s="24">
        <v>1</v>
      </c>
      <c r="Y166" s="24">
        <v>1</v>
      </c>
      <c r="Z166" s="24">
        <v>1</v>
      </c>
      <c r="AA166" s="24">
        <v>1</v>
      </c>
      <c r="AH166" s="5"/>
      <c r="AI166" s="5"/>
      <c r="AO166" s="5"/>
    </row>
    <row r="167" spans="10:41" x14ac:dyDescent="0.3">
      <c r="J167" s="24">
        <v>163</v>
      </c>
      <c r="K167" s="15" t="s">
        <v>35</v>
      </c>
      <c r="L167" s="15" t="s">
        <v>22</v>
      </c>
      <c r="M167" s="15" t="s">
        <v>19</v>
      </c>
      <c r="N167" s="15" t="s">
        <v>19</v>
      </c>
      <c r="O167" s="15" t="s">
        <v>21</v>
      </c>
      <c r="Q167" s="9">
        <v>8</v>
      </c>
      <c r="R167" s="9">
        <v>3</v>
      </c>
      <c r="S167" s="9">
        <v>5</v>
      </c>
      <c r="T167" s="9">
        <v>5</v>
      </c>
      <c r="U167" s="9">
        <v>2</v>
      </c>
      <c r="W167" s="24">
        <v>1</v>
      </c>
      <c r="X167" s="24">
        <v>1</v>
      </c>
      <c r="Y167" s="24">
        <v>1</v>
      </c>
      <c r="Z167" s="24">
        <v>1</v>
      </c>
      <c r="AA167" s="24">
        <v>1</v>
      </c>
      <c r="AH167" s="5"/>
      <c r="AI167" s="5"/>
      <c r="AO167" s="5"/>
    </row>
    <row r="168" spans="10:41" x14ac:dyDescent="0.3">
      <c r="J168" s="9">
        <v>164</v>
      </c>
      <c r="K168" s="15" t="s">
        <v>37</v>
      </c>
      <c r="L168" s="15" t="s">
        <v>63</v>
      </c>
      <c r="M168" s="15" t="s">
        <v>95</v>
      </c>
      <c r="N168" s="15" t="s">
        <v>21</v>
      </c>
      <c r="O168" s="15" t="s">
        <v>34</v>
      </c>
      <c r="Q168" s="9">
        <v>7</v>
      </c>
      <c r="R168" s="9">
        <v>13</v>
      </c>
      <c r="S168" s="9">
        <v>6</v>
      </c>
      <c r="T168" s="9">
        <v>2</v>
      </c>
      <c r="U168" s="9">
        <v>9</v>
      </c>
      <c r="W168" s="24">
        <v>1</v>
      </c>
      <c r="X168" s="24">
        <v>1</v>
      </c>
      <c r="Y168" s="24">
        <v>1</v>
      </c>
      <c r="Z168" s="24">
        <v>1</v>
      </c>
      <c r="AA168" s="24">
        <v>1</v>
      </c>
      <c r="AH168" s="5"/>
      <c r="AI168" s="5"/>
      <c r="AO168" s="5"/>
    </row>
    <row r="169" spans="10:41" x14ac:dyDescent="0.3">
      <c r="J169" s="24">
        <v>165</v>
      </c>
      <c r="K169" s="15" t="s">
        <v>37</v>
      </c>
      <c r="L169" s="15" t="s">
        <v>34</v>
      </c>
      <c r="M169" s="15" t="s">
        <v>95</v>
      </c>
      <c r="N169" s="15" t="s">
        <v>21</v>
      </c>
      <c r="O169" s="15" t="s">
        <v>18</v>
      </c>
      <c r="Q169" s="9">
        <v>7</v>
      </c>
      <c r="R169" s="9">
        <v>9</v>
      </c>
      <c r="S169" s="9">
        <v>6</v>
      </c>
      <c r="T169" s="9">
        <v>2</v>
      </c>
      <c r="U169" s="9">
        <v>4</v>
      </c>
      <c r="W169" s="24">
        <v>1</v>
      </c>
      <c r="X169" s="24">
        <v>1</v>
      </c>
      <c r="Y169" s="24">
        <v>1</v>
      </c>
      <c r="Z169" s="24">
        <v>1</v>
      </c>
      <c r="AA169" s="24">
        <v>1</v>
      </c>
      <c r="AH169" s="5"/>
      <c r="AI169" s="5"/>
      <c r="AO169" s="5"/>
    </row>
    <row r="170" spans="10:41" x14ac:dyDescent="0.3">
      <c r="J170" s="9">
        <v>166</v>
      </c>
      <c r="K170" s="15" t="s">
        <v>37</v>
      </c>
      <c r="L170" s="15" t="s">
        <v>21</v>
      </c>
      <c r="M170" s="15" t="s">
        <v>95</v>
      </c>
      <c r="N170" s="15" t="s">
        <v>19</v>
      </c>
      <c r="O170" s="15" t="s">
        <v>22</v>
      </c>
      <c r="Q170" s="9">
        <v>7</v>
      </c>
      <c r="R170" s="9">
        <v>2</v>
      </c>
      <c r="S170" s="9">
        <v>6</v>
      </c>
      <c r="T170" s="9">
        <v>5</v>
      </c>
      <c r="U170" s="9">
        <v>3</v>
      </c>
      <c r="W170" s="24">
        <v>1</v>
      </c>
      <c r="X170" s="24">
        <v>1</v>
      </c>
      <c r="Y170" s="24">
        <v>1</v>
      </c>
      <c r="Z170" s="24">
        <v>1</v>
      </c>
      <c r="AA170" s="24">
        <v>1</v>
      </c>
      <c r="AH170" s="5"/>
      <c r="AI170" s="5"/>
      <c r="AO170" s="5"/>
    </row>
    <row r="171" spans="10:41" x14ac:dyDescent="0.3">
      <c r="J171" s="24">
        <v>167</v>
      </c>
      <c r="K171" s="15" t="s">
        <v>35</v>
      </c>
      <c r="L171" s="15" t="s">
        <v>35</v>
      </c>
      <c r="M171" s="15" t="s">
        <v>19</v>
      </c>
      <c r="N171" s="15" t="s">
        <v>21</v>
      </c>
      <c r="O171" s="15" t="s">
        <v>35</v>
      </c>
      <c r="Q171" s="9">
        <v>8</v>
      </c>
      <c r="R171" s="9">
        <v>8</v>
      </c>
      <c r="S171" s="9">
        <v>5</v>
      </c>
      <c r="T171" s="9">
        <v>2</v>
      </c>
      <c r="U171" s="9">
        <v>8</v>
      </c>
      <c r="W171" s="24">
        <v>1</v>
      </c>
      <c r="X171" s="24">
        <v>1</v>
      </c>
      <c r="Y171" s="24">
        <v>1</v>
      </c>
      <c r="Z171" s="24">
        <v>1</v>
      </c>
      <c r="AA171" s="24">
        <v>1</v>
      </c>
      <c r="AH171" s="5"/>
      <c r="AI171" s="5"/>
      <c r="AO171" s="5"/>
    </row>
    <row r="172" spans="10:41" x14ac:dyDescent="0.3">
      <c r="J172" s="9">
        <v>168</v>
      </c>
      <c r="K172" s="15" t="s">
        <v>37</v>
      </c>
      <c r="L172" s="15" t="s">
        <v>22</v>
      </c>
      <c r="M172" s="15" t="s">
        <v>95</v>
      </c>
      <c r="N172" s="15" t="s">
        <v>95</v>
      </c>
      <c r="O172" s="15" t="s">
        <v>21</v>
      </c>
      <c r="Q172" s="9">
        <v>7</v>
      </c>
      <c r="R172" s="9">
        <v>3</v>
      </c>
      <c r="S172" s="9">
        <v>6</v>
      </c>
      <c r="T172" s="9">
        <v>6</v>
      </c>
      <c r="U172" s="9">
        <v>2</v>
      </c>
      <c r="W172" s="24">
        <v>1</v>
      </c>
      <c r="X172" s="24">
        <v>1</v>
      </c>
      <c r="Y172" s="24">
        <v>1</v>
      </c>
      <c r="Z172" s="24">
        <v>1</v>
      </c>
      <c r="AA172" s="24">
        <v>1</v>
      </c>
      <c r="AH172" s="5"/>
      <c r="AI172" s="5"/>
      <c r="AO172" s="5"/>
    </row>
    <row r="173" spans="10:41" x14ac:dyDescent="0.3">
      <c r="J173" s="24">
        <v>169</v>
      </c>
      <c r="K173" s="15" t="s">
        <v>19</v>
      </c>
      <c r="L173" s="15" t="s">
        <v>34</v>
      </c>
      <c r="M173" s="15" t="s">
        <v>19</v>
      </c>
      <c r="N173" s="15" t="s">
        <v>22</v>
      </c>
      <c r="O173" s="15" t="s">
        <v>18</v>
      </c>
      <c r="Q173" s="9">
        <v>5</v>
      </c>
      <c r="R173" s="9">
        <v>9</v>
      </c>
      <c r="S173" s="9">
        <v>5</v>
      </c>
      <c r="T173" s="9">
        <v>3</v>
      </c>
      <c r="U173" s="9">
        <v>4</v>
      </c>
      <c r="W173" s="24">
        <v>1</v>
      </c>
      <c r="X173" s="24">
        <v>1</v>
      </c>
      <c r="Y173" s="24">
        <v>1</v>
      </c>
      <c r="Z173" s="24">
        <v>1</v>
      </c>
      <c r="AA173" s="24">
        <v>1</v>
      </c>
      <c r="AH173" s="5"/>
      <c r="AI173" s="5"/>
      <c r="AO173" s="5"/>
    </row>
    <row r="174" spans="10:41" x14ac:dyDescent="0.3">
      <c r="J174" s="9">
        <v>170</v>
      </c>
      <c r="K174" s="15" t="s">
        <v>95</v>
      </c>
      <c r="L174" s="15" t="s">
        <v>37</v>
      </c>
      <c r="M174" s="15" t="s">
        <v>20</v>
      </c>
      <c r="N174" s="15" t="s">
        <v>95</v>
      </c>
      <c r="O174" s="15" t="s">
        <v>37</v>
      </c>
      <c r="Q174" s="9">
        <v>6</v>
      </c>
      <c r="R174" s="9">
        <v>7</v>
      </c>
      <c r="S174" s="9">
        <v>1</v>
      </c>
      <c r="T174" s="9">
        <v>6</v>
      </c>
      <c r="U174" s="9">
        <v>7</v>
      </c>
      <c r="W174" s="24">
        <v>1</v>
      </c>
      <c r="X174" s="24">
        <v>1</v>
      </c>
      <c r="Y174" s="24">
        <v>1</v>
      </c>
      <c r="Z174" s="24">
        <v>1</v>
      </c>
      <c r="AA174" s="24">
        <v>1</v>
      </c>
      <c r="AH174" s="5"/>
      <c r="AI174" s="5"/>
      <c r="AO174" s="5"/>
    </row>
    <row r="175" spans="10:41" x14ac:dyDescent="0.3">
      <c r="J175" s="24">
        <v>171</v>
      </c>
      <c r="K175" s="15" t="s">
        <v>37</v>
      </c>
      <c r="L175" s="15" t="s">
        <v>37</v>
      </c>
      <c r="M175" s="15" t="s">
        <v>35</v>
      </c>
      <c r="N175" s="15" t="s">
        <v>37</v>
      </c>
      <c r="O175" s="15" t="s">
        <v>35</v>
      </c>
      <c r="Q175" s="9">
        <v>7</v>
      </c>
      <c r="R175" s="9">
        <v>7</v>
      </c>
      <c r="S175" s="9">
        <v>8</v>
      </c>
      <c r="T175" s="9">
        <v>7</v>
      </c>
      <c r="U175" s="9">
        <v>8</v>
      </c>
      <c r="W175" s="24">
        <v>1</v>
      </c>
      <c r="X175" s="24">
        <v>1</v>
      </c>
      <c r="Y175" s="24">
        <v>1</v>
      </c>
      <c r="Z175" s="24">
        <v>1</v>
      </c>
      <c r="AA175" s="24">
        <v>1</v>
      </c>
      <c r="AH175" s="5"/>
      <c r="AI175" s="5"/>
      <c r="AO175" s="5"/>
    </row>
    <row r="176" spans="10:41" x14ac:dyDescent="0.3">
      <c r="J176" s="9">
        <v>172</v>
      </c>
      <c r="K176" s="15" t="s">
        <v>95</v>
      </c>
      <c r="L176" s="15" t="s">
        <v>18</v>
      </c>
      <c r="M176" s="15" t="s">
        <v>35</v>
      </c>
      <c r="N176" s="15" t="s">
        <v>64</v>
      </c>
      <c r="O176" s="15" t="s">
        <v>20</v>
      </c>
      <c r="Q176" s="9">
        <v>6</v>
      </c>
      <c r="R176" s="9">
        <v>4</v>
      </c>
      <c r="S176" s="9">
        <v>8</v>
      </c>
      <c r="T176" s="9">
        <v>14</v>
      </c>
      <c r="U176" s="9">
        <v>1</v>
      </c>
      <c r="W176" s="24">
        <v>1</v>
      </c>
      <c r="X176" s="24">
        <v>1</v>
      </c>
      <c r="Y176" s="24">
        <v>1</v>
      </c>
      <c r="Z176" s="24">
        <v>1</v>
      </c>
      <c r="AA176" s="24">
        <v>1</v>
      </c>
      <c r="AH176" s="5"/>
      <c r="AI176" s="5"/>
      <c r="AO176" s="5"/>
    </row>
    <row r="177" spans="10:41" x14ac:dyDescent="0.3">
      <c r="J177" s="24">
        <v>173</v>
      </c>
      <c r="K177" s="15" t="s">
        <v>95</v>
      </c>
      <c r="L177" s="15" t="s">
        <v>63</v>
      </c>
      <c r="M177" s="15" t="s">
        <v>19</v>
      </c>
      <c r="N177" s="15" t="s">
        <v>68</v>
      </c>
      <c r="O177" s="15" t="s">
        <v>35</v>
      </c>
      <c r="Q177" s="9">
        <v>6</v>
      </c>
      <c r="R177" s="9">
        <v>13</v>
      </c>
      <c r="S177" s="9">
        <v>5</v>
      </c>
      <c r="T177" s="9">
        <v>18</v>
      </c>
      <c r="U177" s="9">
        <v>8</v>
      </c>
      <c r="W177" s="24">
        <v>1</v>
      </c>
      <c r="X177" s="24">
        <v>1</v>
      </c>
      <c r="Y177" s="24">
        <v>1</v>
      </c>
      <c r="Z177" s="24">
        <v>1</v>
      </c>
      <c r="AA177" s="24">
        <v>1</v>
      </c>
      <c r="AH177" s="5"/>
      <c r="AI177" s="5"/>
      <c r="AO177" s="5"/>
    </row>
    <row r="178" spans="10:41" x14ac:dyDescent="0.3">
      <c r="J178" s="9">
        <v>174</v>
      </c>
      <c r="K178" s="15" t="s">
        <v>95</v>
      </c>
      <c r="L178" s="15" t="s">
        <v>21</v>
      </c>
      <c r="M178" s="15" t="s">
        <v>35</v>
      </c>
      <c r="N178" s="15" t="s">
        <v>70</v>
      </c>
      <c r="O178" s="15" t="s">
        <v>35</v>
      </c>
      <c r="Q178" s="9">
        <v>6</v>
      </c>
      <c r="R178" s="9">
        <v>2</v>
      </c>
      <c r="S178" s="9">
        <v>8</v>
      </c>
      <c r="T178" s="9">
        <v>19</v>
      </c>
      <c r="U178" s="9">
        <v>8</v>
      </c>
      <c r="W178" s="24">
        <v>1</v>
      </c>
      <c r="X178" s="24">
        <v>1</v>
      </c>
      <c r="Y178" s="24">
        <v>1</v>
      </c>
      <c r="Z178" s="24">
        <v>1</v>
      </c>
      <c r="AA178" s="24">
        <v>1</v>
      </c>
      <c r="AH178" s="5"/>
      <c r="AI178" s="5"/>
      <c r="AO178" s="5"/>
    </row>
    <row r="179" spans="10:41" x14ac:dyDescent="0.3">
      <c r="J179" s="24">
        <v>175</v>
      </c>
      <c r="K179" s="15" t="s">
        <v>20</v>
      </c>
      <c r="L179" s="15" t="s">
        <v>21</v>
      </c>
      <c r="M179" s="15" t="s">
        <v>19</v>
      </c>
      <c r="N179" s="15" t="s">
        <v>34</v>
      </c>
      <c r="O179" s="15" t="s">
        <v>37</v>
      </c>
      <c r="Q179" s="9">
        <v>1</v>
      </c>
      <c r="R179" s="9">
        <v>2</v>
      </c>
      <c r="S179" s="9">
        <v>5</v>
      </c>
      <c r="T179" s="9">
        <v>9</v>
      </c>
      <c r="U179" s="9">
        <v>7</v>
      </c>
      <c r="W179" s="24">
        <v>1</v>
      </c>
      <c r="X179" s="24">
        <v>1</v>
      </c>
      <c r="Y179" s="24">
        <v>1</v>
      </c>
      <c r="Z179" s="24">
        <v>1</v>
      </c>
      <c r="AA179" s="24">
        <v>1</v>
      </c>
      <c r="AH179" s="5"/>
      <c r="AI179" s="5"/>
      <c r="AO179" s="5"/>
    </row>
    <row r="180" spans="10:41" x14ac:dyDescent="0.3">
      <c r="J180" s="9">
        <v>176</v>
      </c>
      <c r="K180" s="15" t="s">
        <v>37</v>
      </c>
      <c r="L180" s="15" t="s">
        <v>21</v>
      </c>
      <c r="M180" s="15" t="s">
        <v>19</v>
      </c>
      <c r="N180" s="15" t="s">
        <v>19</v>
      </c>
      <c r="O180" s="15" t="s">
        <v>36</v>
      </c>
      <c r="Q180" s="9">
        <v>7</v>
      </c>
      <c r="R180" s="9">
        <v>2</v>
      </c>
      <c r="S180" s="9">
        <v>5</v>
      </c>
      <c r="T180" s="9">
        <v>5</v>
      </c>
      <c r="U180" s="9">
        <v>10</v>
      </c>
      <c r="W180" s="24">
        <v>1</v>
      </c>
      <c r="X180" s="24">
        <v>1</v>
      </c>
      <c r="Y180" s="24">
        <v>1</v>
      </c>
      <c r="Z180" s="24">
        <v>1</v>
      </c>
      <c r="AA180" s="24">
        <v>1</v>
      </c>
      <c r="AH180" s="5"/>
      <c r="AI180" s="5"/>
      <c r="AO180" s="5"/>
    </row>
    <row r="181" spans="10:41" x14ac:dyDescent="0.3">
      <c r="J181" s="24">
        <v>177</v>
      </c>
      <c r="K181" s="15" t="s">
        <v>22</v>
      </c>
      <c r="L181" s="15" t="s">
        <v>21</v>
      </c>
      <c r="M181" s="15" t="s">
        <v>37</v>
      </c>
      <c r="N181" s="15" t="s">
        <v>21</v>
      </c>
      <c r="O181" s="15" t="s">
        <v>36</v>
      </c>
      <c r="Q181" s="9">
        <v>3</v>
      </c>
      <c r="R181" s="9">
        <v>2</v>
      </c>
      <c r="S181" s="9">
        <v>7</v>
      </c>
      <c r="T181" s="9">
        <v>2</v>
      </c>
      <c r="U181" s="9">
        <v>10</v>
      </c>
      <c r="W181" s="24">
        <v>1</v>
      </c>
      <c r="X181" s="24">
        <v>1</v>
      </c>
      <c r="Y181" s="24">
        <v>1</v>
      </c>
      <c r="Z181" s="24">
        <v>1</v>
      </c>
      <c r="AA181" s="24">
        <v>1</v>
      </c>
      <c r="AH181" s="5"/>
      <c r="AI181" s="5"/>
      <c r="AO181" s="5"/>
    </row>
    <row r="182" spans="10:41" x14ac:dyDescent="0.3">
      <c r="J182" s="9">
        <v>178</v>
      </c>
      <c r="K182" s="15" t="s">
        <v>19</v>
      </c>
      <c r="L182" s="15" t="s">
        <v>36</v>
      </c>
      <c r="M182" s="15" t="s">
        <v>35</v>
      </c>
      <c r="N182" s="15" t="s">
        <v>20</v>
      </c>
      <c r="O182" s="15" t="s">
        <v>35</v>
      </c>
      <c r="Q182" s="9">
        <v>5</v>
      </c>
      <c r="R182" s="9">
        <v>10</v>
      </c>
      <c r="S182" s="9">
        <v>8</v>
      </c>
      <c r="T182" s="9">
        <v>1</v>
      </c>
      <c r="U182" s="9">
        <v>8</v>
      </c>
      <c r="W182" s="24">
        <v>1</v>
      </c>
      <c r="X182" s="24">
        <v>1</v>
      </c>
      <c r="Y182" s="24">
        <v>1</v>
      </c>
      <c r="Z182" s="24">
        <v>1</v>
      </c>
      <c r="AA182" s="24">
        <v>1</v>
      </c>
      <c r="AH182" s="5"/>
      <c r="AI182" s="5"/>
      <c r="AO182" s="5"/>
    </row>
    <row r="183" spans="10:41" x14ac:dyDescent="0.3">
      <c r="J183" s="24">
        <v>179</v>
      </c>
      <c r="K183" s="15" t="s">
        <v>19</v>
      </c>
      <c r="L183" s="15" t="s">
        <v>34</v>
      </c>
      <c r="M183" s="15" t="s">
        <v>95</v>
      </c>
      <c r="N183" s="15" t="s">
        <v>35</v>
      </c>
      <c r="O183" s="15" t="s">
        <v>95</v>
      </c>
      <c r="Q183" s="9">
        <v>5</v>
      </c>
      <c r="R183" s="9">
        <v>9</v>
      </c>
      <c r="S183" s="9">
        <v>6</v>
      </c>
      <c r="T183" s="9">
        <v>8</v>
      </c>
      <c r="U183" s="9">
        <v>6</v>
      </c>
      <c r="W183" s="24">
        <v>1</v>
      </c>
      <c r="X183" s="24">
        <v>1</v>
      </c>
      <c r="Y183" s="24">
        <v>1</v>
      </c>
      <c r="Z183" s="24">
        <v>1</v>
      </c>
      <c r="AA183" s="24">
        <v>1</v>
      </c>
      <c r="AH183" s="5"/>
      <c r="AI183" s="5"/>
      <c r="AO183" s="5"/>
    </row>
    <row r="184" spans="10:41" x14ac:dyDescent="0.3">
      <c r="J184" s="9">
        <v>180</v>
      </c>
      <c r="K184" s="15" t="s">
        <v>19</v>
      </c>
      <c r="L184" s="15" t="s">
        <v>96</v>
      </c>
      <c r="M184" s="15" t="s">
        <v>95</v>
      </c>
      <c r="N184" s="15" t="s">
        <v>22</v>
      </c>
      <c r="O184" s="15" t="s">
        <v>18</v>
      </c>
      <c r="Q184" s="9">
        <v>5</v>
      </c>
      <c r="R184" s="9">
        <v>15</v>
      </c>
      <c r="S184" s="9">
        <v>6</v>
      </c>
      <c r="T184" s="9">
        <v>3</v>
      </c>
      <c r="U184" s="9">
        <v>4</v>
      </c>
      <c r="W184" s="24">
        <v>1</v>
      </c>
      <c r="X184" s="24">
        <v>1</v>
      </c>
      <c r="Y184" s="24">
        <v>1</v>
      </c>
      <c r="Z184" s="24">
        <v>1</v>
      </c>
      <c r="AA184" s="24">
        <v>1</v>
      </c>
      <c r="AH184" s="5"/>
      <c r="AI184" s="5"/>
      <c r="AO184" s="5"/>
    </row>
    <row r="185" spans="10:41" x14ac:dyDescent="0.3">
      <c r="J185" s="24">
        <v>181</v>
      </c>
      <c r="K185" s="15" t="s">
        <v>35</v>
      </c>
      <c r="L185" s="15" t="s">
        <v>35</v>
      </c>
      <c r="M185" s="15" t="s">
        <v>19</v>
      </c>
      <c r="N185" s="15" t="s">
        <v>22</v>
      </c>
      <c r="O185" s="15" t="s">
        <v>35</v>
      </c>
      <c r="Q185" s="9">
        <v>8</v>
      </c>
      <c r="R185" s="9">
        <v>8</v>
      </c>
      <c r="S185" s="9">
        <v>5</v>
      </c>
      <c r="T185" s="9">
        <v>3</v>
      </c>
      <c r="U185" s="9">
        <v>8</v>
      </c>
      <c r="W185" s="24">
        <v>1</v>
      </c>
      <c r="X185" s="24">
        <v>1</v>
      </c>
      <c r="Y185" s="24">
        <v>1</v>
      </c>
      <c r="Z185" s="24">
        <v>1</v>
      </c>
      <c r="AA185" s="24">
        <v>1</v>
      </c>
      <c r="AH185" s="5"/>
      <c r="AI185" s="5"/>
      <c r="AO185" s="5"/>
    </row>
    <row r="186" spans="10:41" x14ac:dyDescent="0.3">
      <c r="J186" s="9">
        <v>182</v>
      </c>
      <c r="K186" s="15" t="s">
        <v>19</v>
      </c>
      <c r="L186" s="15" t="s">
        <v>37</v>
      </c>
      <c r="M186" s="15" t="s">
        <v>37</v>
      </c>
      <c r="N186" s="15" t="s">
        <v>95</v>
      </c>
      <c r="O186" s="15" t="s">
        <v>35</v>
      </c>
      <c r="Q186" s="9">
        <v>5</v>
      </c>
      <c r="R186" s="9">
        <v>7</v>
      </c>
      <c r="S186" s="9">
        <v>7</v>
      </c>
      <c r="T186" s="9">
        <v>6</v>
      </c>
      <c r="U186" s="9">
        <v>8</v>
      </c>
      <c r="W186" s="24">
        <v>1</v>
      </c>
      <c r="X186" s="24">
        <v>1</v>
      </c>
      <c r="Y186" s="24">
        <v>1</v>
      </c>
      <c r="Z186" s="24">
        <v>1</v>
      </c>
      <c r="AA186" s="24">
        <v>1</v>
      </c>
      <c r="AH186" s="5"/>
      <c r="AI186" s="5"/>
      <c r="AO186" s="5"/>
    </row>
    <row r="187" spans="10:41" x14ac:dyDescent="0.3">
      <c r="J187" s="24">
        <v>183</v>
      </c>
      <c r="K187" s="15" t="s">
        <v>35</v>
      </c>
      <c r="L187" s="15" t="s">
        <v>34</v>
      </c>
      <c r="M187" s="15" t="s">
        <v>19</v>
      </c>
      <c r="N187" s="15" t="s">
        <v>96</v>
      </c>
      <c r="O187" s="15" t="s">
        <v>34</v>
      </c>
      <c r="Q187" s="9">
        <v>8</v>
      </c>
      <c r="R187" s="9">
        <v>9</v>
      </c>
      <c r="S187" s="9">
        <v>5</v>
      </c>
      <c r="T187" s="9">
        <v>15</v>
      </c>
      <c r="U187" s="9">
        <v>9</v>
      </c>
      <c r="W187" s="24">
        <v>1</v>
      </c>
      <c r="X187" s="24">
        <v>1</v>
      </c>
      <c r="Y187" s="24">
        <v>1</v>
      </c>
      <c r="Z187" s="24">
        <v>1</v>
      </c>
      <c r="AA187" s="24">
        <v>1</v>
      </c>
      <c r="AH187" s="5"/>
      <c r="AI187" s="5"/>
      <c r="AO187" s="5"/>
    </row>
    <row r="188" spans="10:41" x14ac:dyDescent="0.3">
      <c r="J188" s="9">
        <v>184</v>
      </c>
      <c r="K188" s="15" t="s">
        <v>18</v>
      </c>
      <c r="L188" s="15" t="s">
        <v>63</v>
      </c>
      <c r="M188" s="15" t="s">
        <v>35</v>
      </c>
      <c r="N188" s="15" t="s">
        <v>34</v>
      </c>
      <c r="O188" s="15" t="s">
        <v>36</v>
      </c>
      <c r="Q188" s="9">
        <v>4</v>
      </c>
      <c r="R188" s="9">
        <v>13</v>
      </c>
      <c r="S188" s="9">
        <v>8</v>
      </c>
      <c r="T188" s="9">
        <v>9</v>
      </c>
      <c r="U188" s="9">
        <v>10</v>
      </c>
      <c r="W188" s="24">
        <v>1</v>
      </c>
      <c r="X188" s="24">
        <v>1</v>
      </c>
      <c r="Y188" s="24">
        <v>1</v>
      </c>
      <c r="Z188" s="24">
        <v>1</v>
      </c>
      <c r="AA188" s="24">
        <v>1</v>
      </c>
      <c r="AH188" s="5"/>
      <c r="AI188" s="5"/>
      <c r="AO188" s="5"/>
    </row>
    <row r="189" spans="10:41" x14ac:dyDescent="0.3">
      <c r="J189" s="24">
        <v>185</v>
      </c>
      <c r="K189" s="15" t="s">
        <v>35</v>
      </c>
      <c r="L189" s="15" t="s">
        <v>20</v>
      </c>
      <c r="M189" s="15" t="s">
        <v>19</v>
      </c>
      <c r="N189" s="15" t="s">
        <v>18</v>
      </c>
      <c r="O189" s="15" t="s">
        <v>35</v>
      </c>
      <c r="Q189" s="9">
        <v>8</v>
      </c>
      <c r="R189" s="9">
        <v>1</v>
      </c>
      <c r="S189" s="9">
        <v>5</v>
      </c>
      <c r="T189" s="9">
        <v>4</v>
      </c>
      <c r="U189" s="9">
        <v>8</v>
      </c>
      <c r="W189" s="24">
        <v>1</v>
      </c>
      <c r="X189" s="24">
        <v>1</v>
      </c>
      <c r="Y189" s="24">
        <v>1</v>
      </c>
      <c r="Z189" s="24">
        <v>1</v>
      </c>
      <c r="AA189" s="24">
        <v>1</v>
      </c>
      <c r="AH189" s="5"/>
      <c r="AI189" s="5"/>
      <c r="AO189" s="5"/>
    </row>
    <row r="190" spans="10:41" x14ac:dyDescent="0.3">
      <c r="J190" s="9">
        <v>186</v>
      </c>
      <c r="K190" s="15" t="s">
        <v>19</v>
      </c>
      <c r="L190" s="15" t="s">
        <v>68</v>
      </c>
      <c r="M190" s="15" t="s">
        <v>19</v>
      </c>
      <c r="N190" s="15" t="s">
        <v>20</v>
      </c>
      <c r="O190" s="15" t="s">
        <v>35</v>
      </c>
      <c r="Q190" s="9">
        <v>5</v>
      </c>
      <c r="R190" s="9">
        <v>18</v>
      </c>
      <c r="S190" s="9">
        <v>5</v>
      </c>
      <c r="T190" s="9">
        <v>1</v>
      </c>
      <c r="U190" s="9">
        <v>8</v>
      </c>
      <c r="W190" s="24">
        <v>1</v>
      </c>
      <c r="X190" s="24">
        <v>1</v>
      </c>
      <c r="Y190" s="24">
        <v>1</v>
      </c>
      <c r="Z190" s="24">
        <v>1</v>
      </c>
      <c r="AA190" s="24">
        <v>1</v>
      </c>
      <c r="AH190" s="5"/>
      <c r="AI190" s="5"/>
      <c r="AO190" s="5"/>
    </row>
    <row r="191" spans="10:41" x14ac:dyDescent="0.3">
      <c r="J191" s="24">
        <v>187</v>
      </c>
      <c r="K191" s="15" t="s">
        <v>35</v>
      </c>
      <c r="L191" s="15" t="s">
        <v>21</v>
      </c>
      <c r="M191" s="15" t="s">
        <v>35</v>
      </c>
      <c r="N191" s="15" t="s">
        <v>95</v>
      </c>
      <c r="O191" s="15" t="s">
        <v>37</v>
      </c>
      <c r="Q191" s="9">
        <v>8</v>
      </c>
      <c r="R191" s="9">
        <v>2</v>
      </c>
      <c r="S191" s="9">
        <v>8</v>
      </c>
      <c r="T191" s="9">
        <v>6</v>
      </c>
      <c r="U191" s="9">
        <v>7</v>
      </c>
      <c r="W191" s="24">
        <v>1</v>
      </c>
      <c r="X191" s="24">
        <v>1</v>
      </c>
      <c r="Y191" s="24">
        <v>1</v>
      </c>
      <c r="Z191" s="24">
        <v>1</v>
      </c>
      <c r="AA191" s="24">
        <v>1</v>
      </c>
      <c r="AH191" s="5"/>
      <c r="AI191" s="5"/>
      <c r="AO191" s="5"/>
    </row>
    <row r="192" spans="10:41" x14ac:dyDescent="0.3">
      <c r="J192" s="9">
        <v>188</v>
      </c>
      <c r="K192" s="15" t="s">
        <v>95</v>
      </c>
      <c r="L192" s="15" t="s">
        <v>37</v>
      </c>
      <c r="M192" s="15" t="s">
        <v>35</v>
      </c>
      <c r="N192" s="15" t="s">
        <v>22</v>
      </c>
      <c r="O192" s="15" t="s">
        <v>37</v>
      </c>
      <c r="Q192" s="9">
        <v>6</v>
      </c>
      <c r="R192" s="9">
        <v>7</v>
      </c>
      <c r="S192" s="9">
        <v>8</v>
      </c>
      <c r="T192" s="9">
        <v>3</v>
      </c>
      <c r="U192" s="9">
        <v>7</v>
      </c>
      <c r="W192" s="24">
        <v>1</v>
      </c>
      <c r="X192" s="24">
        <v>1</v>
      </c>
      <c r="Y192" s="24">
        <v>1</v>
      </c>
      <c r="Z192" s="24">
        <v>1</v>
      </c>
      <c r="AA192" s="24">
        <v>1</v>
      </c>
      <c r="AH192" s="5"/>
      <c r="AI192" s="5"/>
      <c r="AO192" s="5"/>
    </row>
    <row r="193" spans="10:41" x14ac:dyDescent="0.3">
      <c r="J193" s="24">
        <v>189</v>
      </c>
      <c r="K193" s="15" t="s">
        <v>19</v>
      </c>
      <c r="L193" s="15" t="s">
        <v>34</v>
      </c>
      <c r="M193" s="15" t="s">
        <v>37</v>
      </c>
      <c r="N193" s="15" t="s">
        <v>19</v>
      </c>
      <c r="O193" s="15" t="s">
        <v>34</v>
      </c>
      <c r="Q193" s="9">
        <v>5</v>
      </c>
      <c r="R193" s="9">
        <v>9</v>
      </c>
      <c r="S193" s="9">
        <v>7</v>
      </c>
      <c r="T193" s="9">
        <v>5</v>
      </c>
      <c r="U193" s="9">
        <v>9</v>
      </c>
      <c r="W193" s="24">
        <v>1</v>
      </c>
      <c r="X193" s="24">
        <v>1</v>
      </c>
      <c r="Y193" s="24">
        <v>1</v>
      </c>
      <c r="Z193" s="24">
        <v>1</v>
      </c>
      <c r="AA193" s="24">
        <v>1</v>
      </c>
      <c r="AH193" s="5"/>
      <c r="AI193" s="5"/>
      <c r="AO193" s="5"/>
    </row>
    <row r="194" spans="10:41" x14ac:dyDescent="0.3">
      <c r="J194" s="9">
        <v>190</v>
      </c>
      <c r="K194" s="15" t="s">
        <v>35</v>
      </c>
      <c r="L194" s="15" t="s">
        <v>18</v>
      </c>
      <c r="M194" s="15" t="s">
        <v>95</v>
      </c>
      <c r="N194" s="15" t="s">
        <v>19</v>
      </c>
      <c r="O194" s="15" t="s">
        <v>18</v>
      </c>
      <c r="Q194" s="9">
        <v>8</v>
      </c>
      <c r="R194" s="9">
        <v>4</v>
      </c>
      <c r="S194" s="9">
        <v>6</v>
      </c>
      <c r="T194" s="9">
        <v>5</v>
      </c>
      <c r="U194" s="9">
        <v>4</v>
      </c>
      <c r="W194" s="24">
        <v>1</v>
      </c>
      <c r="X194" s="24">
        <v>1</v>
      </c>
      <c r="Y194" s="24">
        <v>1</v>
      </c>
      <c r="Z194" s="24">
        <v>1</v>
      </c>
      <c r="AA194" s="24">
        <v>1</v>
      </c>
      <c r="AH194" s="5"/>
      <c r="AI194" s="5"/>
      <c r="AO194" s="5"/>
    </row>
    <row r="195" spans="10:41" x14ac:dyDescent="0.3">
      <c r="J195" s="24">
        <v>191</v>
      </c>
      <c r="K195" s="15" t="s">
        <v>34</v>
      </c>
      <c r="L195" s="15" t="s">
        <v>95</v>
      </c>
      <c r="M195" s="15" t="s">
        <v>34</v>
      </c>
      <c r="N195" s="15" t="s">
        <v>70</v>
      </c>
      <c r="O195" s="15" t="s">
        <v>35</v>
      </c>
      <c r="Q195" s="9">
        <v>9</v>
      </c>
      <c r="R195" s="9">
        <v>6</v>
      </c>
      <c r="S195" s="9">
        <v>9</v>
      </c>
      <c r="T195" s="9">
        <v>19</v>
      </c>
      <c r="U195" s="9">
        <v>8</v>
      </c>
      <c r="W195" s="24">
        <v>1</v>
      </c>
      <c r="X195" s="24">
        <v>1</v>
      </c>
      <c r="Y195" s="24">
        <v>1</v>
      </c>
      <c r="Z195" s="24">
        <v>1</v>
      </c>
      <c r="AA195" s="24">
        <v>1</v>
      </c>
      <c r="AH195" s="5"/>
      <c r="AI195" s="5"/>
      <c r="AO195" s="5"/>
    </row>
    <row r="196" spans="10:41" x14ac:dyDescent="0.3">
      <c r="J196" s="9">
        <v>192</v>
      </c>
      <c r="K196" s="15" t="s">
        <v>19</v>
      </c>
      <c r="L196" s="15" t="s">
        <v>21</v>
      </c>
      <c r="M196" s="15" t="s">
        <v>19</v>
      </c>
      <c r="N196" s="15" t="s">
        <v>35</v>
      </c>
      <c r="O196" s="15" t="s">
        <v>95</v>
      </c>
      <c r="Q196" s="9">
        <v>5</v>
      </c>
      <c r="R196" s="9">
        <v>2</v>
      </c>
      <c r="S196" s="9">
        <v>5</v>
      </c>
      <c r="T196" s="9">
        <v>8</v>
      </c>
      <c r="U196" s="9">
        <v>6</v>
      </c>
      <c r="W196" s="24">
        <v>1</v>
      </c>
      <c r="X196" s="24">
        <v>1</v>
      </c>
      <c r="Y196" s="24">
        <v>1</v>
      </c>
      <c r="Z196" s="24">
        <v>1</v>
      </c>
      <c r="AA196" s="24">
        <v>1</v>
      </c>
      <c r="AH196" s="5"/>
      <c r="AI196" s="5"/>
      <c r="AO196" s="5"/>
    </row>
    <row r="197" spans="10:41" x14ac:dyDescent="0.3">
      <c r="J197" s="24">
        <v>193</v>
      </c>
      <c r="K197" s="15" t="s">
        <v>35</v>
      </c>
      <c r="L197" s="15" t="s">
        <v>65</v>
      </c>
      <c r="M197" s="15" t="s">
        <v>37</v>
      </c>
      <c r="N197" s="15" t="s">
        <v>22</v>
      </c>
      <c r="O197" s="15" t="s">
        <v>35</v>
      </c>
      <c r="Q197" s="9">
        <v>8</v>
      </c>
      <c r="R197" s="9">
        <v>16</v>
      </c>
      <c r="S197" s="9">
        <v>7</v>
      </c>
      <c r="T197" s="9">
        <v>3</v>
      </c>
      <c r="U197" s="9">
        <v>8</v>
      </c>
      <c r="W197" s="24">
        <v>1</v>
      </c>
      <c r="X197" s="24">
        <v>1</v>
      </c>
      <c r="Y197" s="24">
        <v>1</v>
      </c>
      <c r="Z197" s="24">
        <v>1</v>
      </c>
      <c r="AA197" s="24">
        <v>1</v>
      </c>
      <c r="AH197" s="5"/>
      <c r="AI197" s="5"/>
      <c r="AO197" s="5"/>
    </row>
    <row r="198" spans="10:41" x14ac:dyDescent="0.3">
      <c r="J198" s="9">
        <v>194</v>
      </c>
      <c r="K198" s="15" t="s">
        <v>37</v>
      </c>
      <c r="L198" s="15" t="s">
        <v>18</v>
      </c>
      <c r="M198" s="15" t="s">
        <v>37</v>
      </c>
      <c r="N198" s="15" t="s">
        <v>36</v>
      </c>
      <c r="O198" s="15" t="s">
        <v>22</v>
      </c>
      <c r="Q198" s="9">
        <v>7</v>
      </c>
      <c r="R198" s="9">
        <v>4</v>
      </c>
      <c r="S198" s="9">
        <v>7</v>
      </c>
      <c r="T198" s="9">
        <v>10</v>
      </c>
      <c r="U198" s="9">
        <v>3</v>
      </c>
      <c r="W198" s="24">
        <v>1</v>
      </c>
      <c r="X198" s="24">
        <v>1</v>
      </c>
      <c r="Y198" s="24">
        <v>1</v>
      </c>
      <c r="Z198" s="24">
        <v>1</v>
      </c>
      <c r="AA198" s="24">
        <v>1</v>
      </c>
      <c r="AH198" s="5"/>
      <c r="AI198" s="5"/>
      <c r="AO198" s="5"/>
    </row>
    <row r="199" spans="10:41" x14ac:dyDescent="0.3">
      <c r="J199" s="24">
        <v>195</v>
      </c>
      <c r="K199" s="15" t="s">
        <v>19</v>
      </c>
      <c r="L199" s="15" t="s">
        <v>34</v>
      </c>
      <c r="M199" s="15" t="s">
        <v>19</v>
      </c>
      <c r="N199" s="15" t="s">
        <v>19</v>
      </c>
      <c r="O199" s="15" t="s">
        <v>37</v>
      </c>
      <c r="Q199" s="9">
        <v>5</v>
      </c>
      <c r="R199" s="9">
        <v>9</v>
      </c>
      <c r="S199" s="9">
        <v>5</v>
      </c>
      <c r="T199" s="9">
        <v>5</v>
      </c>
      <c r="U199" s="9">
        <v>7</v>
      </c>
      <c r="W199" s="24">
        <v>1</v>
      </c>
      <c r="X199" s="24">
        <v>1</v>
      </c>
      <c r="Y199" s="24">
        <v>1</v>
      </c>
      <c r="Z199" s="24">
        <v>1</v>
      </c>
      <c r="AA199" s="24">
        <v>1</v>
      </c>
      <c r="AH199" s="5"/>
      <c r="AI199" s="5"/>
      <c r="AO199" s="5"/>
    </row>
    <row r="200" spans="10:41" x14ac:dyDescent="0.3">
      <c r="J200" s="9">
        <v>196</v>
      </c>
      <c r="K200" s="15" t="s">
        <v>95</v>
      </c>
      <c r="L200" s="15" t="s">
        <v>68</v>
      </c>
      <c r="M200" s="15" t="s">
        <v>35</v>
      </c>
      <c r="N200" s="15" t="s">
        <v>34</v>
      </c>
      <c r="O200" s="15" t="s">
        <v>37</v>
      </c>
      <c r="Q200" s="9">
        <v>6</v>
      </c>
      <c r="R200" s="9">
        <v>18</v>
      </c>
      <c r="S200" s="9">
        <v>8</v>
      </c>
      <c r="T200" s="9">
        <v>9</v>
      </c>
      <c r="U200" s="9">
        <v>7</v>
      </c>
      <c r="W200" s="24">
        <v>1</v>
      </c>
      <c r="X200" s="24">
        <v>1</v>
      </c>
      <c r="Y200" s="24">
        <v>1</v>
      </c>
      <c r="Z200" s="24">
        <v>1</v>
      </c>
      <c r="AA200" s="24">
        <v>1</v>
      </c>
      <c r="AH200" s="5"/>
      <c r="AI200" s="5"/>
      <c r="AO200" s="5"/>
    </row>
    <row r="201" spans="10:41" x14ac:dyDescent="0.3">
      <c r="J201" s="24">
        <v>197</v>
      </c>
      <c r="K201" s="15" t="s">
        <v>19</v>
      </c>
      <c r="L201" s="15" t="s">
        <v>34</v>
      </c>
      <c r="M201" s="15" t="s">
        <v>95</v>
      </c>
      <c r="N201" s="15" t="s">
        <v>34</v>
      </c>
      <c r="O201" s="15" t="s">
        <v>95</v>
      </c>
      <c r="Q201" s="9">
        <v>5</v>
      </c>
      <c r="R201" s="9">
        <v>9</v>
      </c>
      <c r="S201" s="9">
        <v>6</v>
      </c>
      <c r="T201" s="9">
        <v>9</v>
      </c>
      <c r="U201" s="9">
        <v>6</v>
      </c>
      <c r="W201" s="24">
        <v>1</v>
      </c>
      <c r="X201" s="24">
        <v>1</v>
      </c>
      <c r="Y201" s="24">
        <v>1</v>
      </c>
      <c r="Z201" s="24">
        <v>1</v>
      </c>
      <c r="AA201" s="24">
        <v>1</v>
      </c>
      <c r="AH201" s="5"/>
      <c r="AI201" s="5"/>
      <c r="AO201" s="5"/>
    </row>
    <row r="202" spans="10:41" x14ac:dyDescent="0.3">
      <c r="J202" s="9">
        <v>198</v>
      </c>
      <c r="K202" s="15" t="s">
        <v>95</v>
      </c>
      <c r="L202" s="15" t="s">
        <v>19</v>
      </c>
      <c r="M202" s="15" t="s">
        <v>35</v>
      </c>
      <c r="N202" s="15" t="s">
        <v>96</v>
      </c>
      <c r="O202" s="15" t="s">
        <v>95</v>
      </c>
      <c r="Q202" s="9">
        <v>6</v>
      </c>
      <c r="R202" s="9">
        <v>5</v>
      </c>
      <c r="S202" s="9">
        <v>8</v>
      </c>
      <c r="T202" s="9">
        <v>15</v>
      </c>
      <c r="U202" s="9">
        <v>6</v>
      </c>
      <c r="W202" s="24">
        <v>1</v>
      </c>
      <c r="X202" s="24">
        <v>1</v>
      </c>
      <c r="Y202" s="24">
        <v>1</v>
      </c>
      <c r="Z202" s="24">
        <v>1</v>
      </c>
      <c r="AA202" s="24">
        <v>1</v>
      </c>
      <c r="AH202" s="5"/>
      <c r="AI202" s="5"/>
      <c r="AO202" s="5"/>
    </row>
    <row r="203" spans="10:41" x14ac:dyDescent="0.3">
      <c r="J203" s="24">
        <v>199</v>
      </c>
      <c r="K203" s="15" t="s">
        <v>37</v>
      </c>
      <c r="L203" s="15" t="s">
        <v>62</v>
      </c>
      <c r="M203" s="15" t="s">
        <v>35</v>
      </c>
      <c r="N203" s="15" t="s">
        <v>62</v>
      </c>
      <c r="O203" s="15" t="s">
        <v>18</v>
      </c>
      <c r="Q203" s="9">
        <v>7</v>
      </c>
      <c r="R203" s="9">
        <v>12</v>
      </c>
      <c r="S203" s="9">
        <v>8</v>
      </c>
      <c r="T203" s="9">
        <v>12</v>
      </c>
      <c r="U203" s="9">
        <v>4</v>
      </c>
      <c r="W203" s="24">
        <v>1</v>
      </c>
      <c r="X203" s="24">
        <v>1</v>
      </c>
      <c r="Y203" s="24">
        <v>1</v>
      </c>
      <c r="Z203" s="24">
        <v>1</v>
      </c>
      <c r="AA203" s="24">
        <v>1</v>
      </c>
      <c r="AH203" s="5"/>
      <c r="AI203" s="5"/>
      <c r="AO203" s="5"/>
    </row>
    <row r="204" spans="10:41" x14ac:dyDescent="0.3">
      <c r="J204" s="9"/>
      <c r="K204" s="15"/>
      <c r="L204" s="15"/>
      <c r="M204" s="15"/>
      <c r="N204" s="15"/>
      <c r="O204" s="15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4"/>
      <c r="X204" s="24"/>
      <c r="Y204" s="24"/>
      <c r="Z204" s="24"/>
      <c r="AA204" s="24"/>
      <c r="AH204" s="5"/>
      <c r="AI204" s="5"/>
      <c r="AO204" s="5"/>
    </row>
    <row r="205" spans="10:41" x14ac:dyDescent="0.3">
      <c r="J205" s="24"/>
      <c r="K205" s="15"/>
      <c r="L205" s="15"/>
      <c r="M205" s="15"/>
      <c r="N205" s="15"/>
      <c r="O205" s="15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4"/>
      <c r="X205" s="24"/>
      <c r="Y205" s="24"/>
      <c r="Z205" s="24"/>
      <c r="AA205" s="24"/>
      <c r="AH205" s="5"/>
      <c r="AI205" s="5"/>
      <c r="AO205" s="5"/>
    </row>
    <row r="206" spans="10:41" x14ac:dyDescent="0.3">
      <c r="J206" s="24"/>
      <c r="K206" s="15"/>
      <c r="L206" s="15"/>
      <c r="M206" s="15"/>
      <c r="N206" s="15"/>
      <c r="O206" s="15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4"/>
      <c r="X206" s="24"/>
      <c r="Y206" s="24"/>
      <c r="Z206" s="24"/>
      <c r="AA206" s="24"/>
      <c r="AH206" s="5"/>
      <c r="AI206" s="5"/>
      <c r="AO206" s="5"/>
    </row>
    <row r="207" spans="10:41" x14ac:dyDescent="0.3">
      <c r="J207" s="9"/>
      <c r="K207" s="15"/>
      <c r="L207" s="15"/>
      <c r="M207" s="15"/>
      <c r="N207" s="15"/>
      <c r="O207" s="15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4"/>
      <c r="X207" s="24"/>
      <c r="Y207" s="24"/>
      <c r="Z207" s="24"/>
      <c r="AA207" s="24"/>
      <c r="AH207" s="5"/>
      <c r="AI207" s="5"/>
      <c r="AO207" s="5"/>
    </row>
    <row r="208" spans="10:41" x14ac:dyDescent="0.3">
      <c r="J208" s="24"/>
      <c r="K208" s="15"/>
      <c r="L208" s="15"/>
      <c r="M208" s="15"/>
      <c r="N208" s="15"/>
      <c r="O208" s="15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4"/>
      <c r="X208" s="24"/>
      <c r="Y208" s="24"/>
      <c r="Z208" s="24"/>
      <c r="AA208" s="24"/>
      <c r="AH208" s="5"/>
      <c r="AI208" s="5"/>
      <c r="AO208" s="5"/>
    </row>
    <row r="209" spans="10:41" x14ac:dyDescent="0.3">
      <c r="J209" s="9"/>
      <c r="K209" s="15"/>
      <c r="L209" s="15"/>
      <c r="M209" s="15"/>
      <c r="N209" s="15"/>
      <c r="O209" s="15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4"/>
      <c r="X209" s="24"/>
      <c r="Y209" s="24"/>
      <c r="Z209" s="24"/>
      <c r="AA209" s="24"/>
      <c r="AH209" s="5"/>
      <c r="AI209" s="5"/>
      <c r="AO209" s="5"/>
    </row>
    <row r="210" spans="10:41" x14ac:dyDescent="0.3">
      <c r="J210" s="24"/>
      <c r="K210" s="15"/>
      <c r="L210" s="15"/>
      <c r="M210" s="15"/>
      <c r="N210" s="15"/>
      <c r="O210" s="15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4"/>
      <c r="X210" s="24"/>
      <c r="Y210" s="24"/>
      <c r="Z210" s="24"/>
      <c r="AA210" s="24"/>
      <c r="AH210" s="5"/>
      <c r="AI210" s="5"/>
      <c r="AO210" s="5"/>
    </row>
    <row r="211" spans="10:41" x14ac:dyDescent="0.3">
      <c r="J211" s="9"/>
      <c r="K211" s="15"/>
      <c r="L211" s="15"/>
      <c r="M211" s="15"/>
      <c r="N211" s="15"/>
      <c r="O211" s="15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4"/>
      <c r="X211" s="24"/>
      <c r="Y211" s="24"/>
      <c r="Z211" s="24"/>
      <c r="AA211" s="24"/>
      <c r="AH211" s="5"/>
      <c r="AI211" s="5"/>
      <c r="AO211" s="5"/>
    </row>
    <row r="212" spans="10:41" x14ac:dyDescent="0.3">
      <c r="J212" s="24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4"/>
      <c r="X212" s="24"/>
      <c r="Y212" s="24"/>
      <c r="Z212" s="24"/>
      <c r="AA212" s="24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4"/>
      <c r="X213" s="24"/>
      <c r="Y213" s="24"/>
      <c r="Z213" s="24"/>
      <c r="AA213" s="24"/>
      <c r="AH213" s="5"/>
      <c r="AI213" s="5"/>
      <c r="AO213" s="5"/>
    </row>
    <row r="214" spans="10:41" x14ac:dyDescent="0.3">
      <c r="J214" s="24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4"/>
      <c r="X214" s="24"/>
      <c r="Y214" s="24"/>
      <c r="Z214" s="24"/>
      <c r="AA214" s="24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4"/>
      <c r="X215" s="24"/>
      <c r="Y215" s="24"/>
      <c r="Z215" s="24"/>
      <c r="AA215" s="24"/>
      <c r="AH215" s="5"/>
      <c r="AI215" s="5"/>
      <c r="AO215" s="5"/>
    </row>
    <row r="216" spans="10:41" x14ac:dyDescent="0.3">
      <c r="J216" s="24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4"/>
      <c r="X216" s="24"/>
      <c r="Y216" s="24"/>
      <c r="Z216" s="24"/>
      <c r="AA216" s="24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4"/>
      <c r="X217" s="24"/>
      <c r="Y217" s="24"/>
      <c r="Z217" s="24"/>
      <c r="AA217" s="24"/>
      <c r="AH217" s="5"/>
      <c r="AI217" s="5"/>
      <c r="AO217" s="5"/>
    </row>
    <row r="218" spans="10:41" x14ac:dyDescent="0.3">
      <c r="J218" s="24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4"/>
      <c r="X218" s="24"/>
      <c r="Y218" s="24"/>
      <c r="Z218" s="24"/>
      <c r="AA218" s="24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4"/>
      <c r="X219" s="24"/>
      <c r="Y219" s="24"/>
      <c r="Z219" s="24"/>
      <c r="AA219" s="24"/>
      <c r="AH219" s="5"/>
      <c r="AI219" s="5"/>
      <c r="AO219" s="5"/>
    </row>
    <row r="220" spans="10:41" x14ac:dyDescent="0.3">
      <c r="J220" s="24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4"/>
      <c r="X220" s="24"/>
      <c r="Y220" s="24"/>
      <c r="Z220" s="24"/>
      <c r="AA220" s="24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4"/>
      <c r="X221" s="24"/>
      <c r="Y221" s="24"/>
      <c r="Z221" s="24"/>
      <c r="AA221" s="24"/>
      <c r="AH221" s="5"/>
      <c r="AI221" s="5"/>
      <c r="AO221" s="5"/>
    </row>
    <row r="222" spans="10:41" x14ac:dyDescent="0.3">
      <c r="J222" s="24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4"/>
      <c r="X222" s="24"/>
      <c r="Y222" s="24"/>
      <c r="Z222" s="24"/>
      <c r="AA222" s="24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4"/>
      <c r="X223" s="24"/>
      <c r="Y223" s="24"/>
      <c r="Z223" s="24"/>
      <c r="AA223" s="24"/>
      <c r="AH223" s="5"/>
      <c r="AI223" s="5"/>
      <c r="AO223" s="5"/>
    </row>
    <row r="224" spans="10:41" x14ac:dyDescent="0.3">
      <c r="J224" s="24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4"/>
      <c r="X224" s="24"/>
      <c r="Y224" s="24"/>
      <c r="Z224" s="24"/>
      <c r="AA224" s="24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4"/>
      <c r="X225" s="24"/>
      <c r="Y225" s="24"/>
      <c r="Z225" s="24"/>
      <c r="AA225" s="24"/>
      <c r="AH225" s="5"/>
      <c r="AI225" s="5"/>
      <c r="AO225" s="5"/>
    </row>
    <row r="226" spans="10:41" x14ac:dyDescent="0.3">
      <c r="J226" s="24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4"/>
      <c r="X226" s="24"/>
      <c r="Y226" s="24"/>
      <c r="Z226" s="24"/>
      <c r="AA226" s="24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4"/>
      <c r="X227" s="24"/>
      <c r="Y227" s="24"/>
      <c r="Z227" s="24"/>
      <c r="AA227" s="24"/>
      <c r="AH227" s="5"/>
      <c r="AI227" s="5"/>
      <c r="AO227" s="5"/>
    </row>
    <row r="228" spans="10:41" x14ac:dyDescent="0.3">
      <c r="J228" s="24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4"/>
      <c r="X228" s="24"/>
      <c r="Y228" s="24"/>
      <c r="Z228" s="24"/>
      <c r="AA228" s="24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4"/>
      <c r="X229" s="24"/>
      <c r="Y229" s="24"/>
      <c r="Z229" s="24"/>
      <c r="AA229" s="24"/>
      <c r="AH229" s="5"/>
      <c r="AI229" s="5"/>
      <c r="AO229" s="5"/>
    </row>
    <row r="230" spans="10:41" x14ac:dyDescent="0.3">
      <c r="J230" s="24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4"/>
      <c r="X230" s="24"/>
      <c r="Y230" s="24"/>
      <c r="Z230" s="24"/>
      <c r="AA230" s="24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4"/>
      <c r="X231" s="24"/>
      <c r="Y231" s="24"/>
      <c r="Z231" s="24"/>
      <c r="AA231" s="24"/>
      <c r="AH231" s="5"/>
      <c r="AI231" s="5"/>
      <c r="AO231" s="5"/>
    </row>
    <row r="232" spans="10:41" x14ac:dyDescent="0.3">
      <c r="J232" s="24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4"/>
      <c r="X232" s="24"/>
      <c r="Y232" s="24"/>
      <c r="Z232" s="24"/>
      <c r="AA232" s="24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4"/>
      <c r="X233" s="24"/>
      <c r="Y233" s="24"/>
      <c r="Z233" s="24"/>
      <c r="AA233" s="24"/>
      <c r="AH233" s="5"/>
      <c r="AI233" s="5"/>
      <c r="AO233" s="5"/>
    </row>
    <row r="234" spans="10:41" x14ac:dyDescent="0.3">
      <c r="J234" s="24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4"/>
      <c r="X234" s="24"/>
      <c r="Y234" s="24"/>
      <c r="Z234" s="24"/>
      <c r="AA234" s="24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4"/>
      <c r="X235" s="24"/>
      <c r="Y235" s="24"/>
      <c r="Z235" s="24"/>
      <c r="AA235" s="24"/>
      <c r="AH235" s="5"/>
      <c r="AI235" s="5"/>
      <c r="AO235" s="5"/>
    </row>
    <row r="236" spans="10:41" x14ac:dyDescent="0.3">
      <c r="J236" s="24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4"/>
      <c r="X236" s="24"/>
      <c r="Y236" s="24"/>
      <c r="Z236" s="24"/>
      <c r="AA236" s="24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4"/>
      <c r="X237" s="24"/>
      <c r="Y237" s="24"/>
      <c r="Z237" s="24"/>
      <c r="AA237" s="24"/>
      <c r="AH237" s="5"/>
      <c r="AI237" s="5"/>
      <c r="AO237" s="5"/>
    </row>
    <row r="238" spans="10:41" x14ac:dyDescent="0.3">
      <c r="J238" s="24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4"/>
      <c r="X238" s="24"/>
      <c r="Y238" s="24"/>
      <c r="Z238" s="24"/>
      <c r="AA238" s="24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4"/>
      <c r="X239" s="24"/>
      <c r="Y239" s="24"/>
      <c r="Z239" s="24"/>
      <c r="AA239" s="24"/>
      <c r="AH239" s="5"/>
      <c r="AI239" s="5"/>
      <c r="AO239" s="5"/>
    </row>
    <row r="240" spans="10:41" x14ac:dyDescent="0.3">
      <c r="J240" s="24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4"/>
      <c r="X240" s="24"/>
      <c r="Y240" s="24"/>
      <c r="Z240" s="24"/>
      <c r="AA240" s="24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4"/>
      <c r="X241" s="24"/>
      <c r="Y241" s="24"/>
      <c r="Z241" s="24"/>
      <c r="AA241" s="24"/>
      <c r="AH241" s="5"/>
      <c r="AI241" s="5"/>
      <c r="AO241" s="5"/>
    </row>
    <row r="242" spans="10:41" x14ac:dyDescent="0.3">
      <c r="J242" s="24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4"/>
      <c r="X242" s="24"/>
      <c r="Y242" s="24"/>
      <c r="Z242" s="24"/>
      <c r="AA242" s="24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4"/>
      <c r="X243" s="24"/>
      <c r="Y243" s="24"/>
      <c r="Z243" s="24"/>
      <c r="AA243" s="24"/>
      <c r="AH243" s="5"/>
      <c r="AI243" s="5"/>
      <c r="AO243" s="5"/>
    </row>
    <row r="244" spans="10:41" x14ac:dyDescent="0.3">
      <c r="J244" s="24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4"/>
      <c r="X244" s="24"/>
      <c r="Y244" s="24"/>
      <c r="Z244" s="24"/>
      <c r="AA244" s="24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4"/>
      <c r="X245" s="24"/>
      <c r="Y245" s="24"/>
      <c r="Z245" s="24"/>
      <c r="AA245" s="24"/>
      <c r="AH245" s="5"/>
      <c r="AI245" s="5"/>
      <c r="AO245" s="5"/>
    </row>
    <row r="246" spans="10:41" x14ac:dyDescent="0.3">
      <c r="J246" s="24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4"/>
      <c r="X246" s="24"/>
      <c r="Y246" s="24"/>
      <c r="Z246" s="24"/>
      <c r="AA246" s="24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4"/>
      <c r="X247" s="24"/>
      <c r="Y247" s="24"/>
      <c r="Z247" s="24"/>
      <c r="AA247" s="24"/>
      <c r="AH247" s="5"/>
      <c r="AI247" s="5"/>
      <c r="AO247" s="5"/>
    </row>
    <row r="248" spans="10:41" x14ac:dyDescent="0.3">
      <c r="J248" s="24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4"/>
      <c r="X248" s="24"/>
      <c r="Y248" s="24"/>
      <c r="Z248" s="24"/>
      <c r="AA248" s="24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4"/>
      <c r="X249" s="24"/>
      <c r="Y249" s="24"/>
      <c r="Z249" s="24"/>
      <c r="AA249" s="24"/>
      <c r="AH249" s="5"/>
      <c r="AI249" s="5"/>
      <c r="AO249" s="5"/>
    </row>
    <row r="250" spans="10:41" x14ac:dyDescent="0.3">
      <c r="J250" s="24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4"/>
      <c r="X250" s="24"/>
      <c r="Y250" s="24"/>
      <c r="Z250" s="24"/>
      <c r="AA250" s="24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4"/>
      <c r="X251" s="24"/>
      <c r="Y251" s="24"/>
      <c r="Z251" s="24"/>
      <c r="AA251" s="24"/>
      <c r="AH251" s="5"/>
      <c r="AI251" s="5"/>
      <c r="AO251" s="5"/>
    </row>
    <row r="252" spans="10:41" x14ac:dyDescent="0.3">
      <c r="J252" s="24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4"/>
      <c r="X252" s="24"/>
      <c r="Y252" s="24"/>
      <c r="Z252" s="24"/>
      <c r="AA252" s="24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4"/>
      <c r="X253" s="24"/>
      <c r="Y253" s="24"/>
      <c r="Z253" s="24"/>
      <c r="AA253" s="24"/>
      <c r="AH253" s="5"/>
      <c r="AI253" s="5"/>
      <c r="AO253" s="5"/>
    </row>
    <row r="254" spans="10:41" x14ac:dyDescent="0.3">
      <c r="J254" s="24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4"/>
      <c r="X254" s="24"/>
      <c r="Y254" s="24"/>
      <c r="Z254" s="24"/>
      <c r="AA254" s="24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4"/>
      <c r="X255" s="24"/>
      <c r="Y255" s="24"/>
      <c r="Z255" s="24"/>
      <c r="AA255" s="24"/>
      <c r="AH255" s="5"/>
      <c r="AI255" s="5"/>
      <c r="AO255" s="5"/>
    </row>
    <row r="256" spans="10:41" x14ac:dyDescent="0.3">
      <c r="J256" s="24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4"/>
      <c r="X256" s="24"/>
      <c r="Y256" s="24"/>
      <c r="Z256" s="24"/>
      <c r="AA256" s="24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4"/>
      <c r="X257" s="24"/>
      <c r="Y257" s="24"/>
      <c r="Z257" s="24"/>
      <c r="AA257" s="24"/>
      <c r="AH257" s="5"/>
      <c r="AI257" s="5"/>
      <c r="AO257" s="5"/>
    </row>
    <row r="258" spans="10:41" x14ac:dyDescent="0.3">
      <c r="J258" s="24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4"/>
      <c r="X258" s="24"/>
      <c r="Y258" s="24"/>
      <c r="Z258" s="24"/>
      <c r="AA258" s="24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4"/>
      <c r="X259" s="24"/>
      <c r="Y259" s="24"/>
      <c r="Z259" s="24"/>
      <c r="AA259" s="24"/>
      <c r="AH259" s="5"/>
      <c r="AI259" s="5"/>
      <c r="AO259" s="5"/>
    </row>
    <row r="260" spans="10:41" x14ac:dyDescent="0.3">
      <c r="J260" s="24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4"/>
      <c r="X260" s="24"/>
      <c r="Y260" s="24"/>
      <c r="Z260" s="24"/>
      <c r="AA260" s="24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4"/>
      <c r="X261" s="24"/>
      <c r="Y261" s="24"/>
      <c r="Z261" s="24"/>
      <c r="AA261" s="24"/>
      <c r="AH261" s="5"/>
      <c r="AI261" s="5"/>
      <c r="AO261" s="5"/>
    </row>
    <row r="262" spans="10:41" x14ac:dyDescent="0.3">
      <c r="J262" s="24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4"/>
      <c r="X262" s="24"/>
      <c r="Y262" s="24"/>
      <c r="Z262" s="24"/>
      <c r="AA262" s="24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4"/>
      <c r="X263" s="24"/>
      <c r="Y263" s="24"/>
      <c r="Z263" s="24"/>
      <c r="AA263" s="24"/>
      <c r="AH263" s="5"/>
      <c r="AI263" s="5"/>
      <c r="AO263" s="5"/>
    </row>
    <row r="264" spans="10:41" x14ac:dyDescent="0.3">
      <c r="J264" s="24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4"/>
      <c r="X264" s="24"/>
      <c r="Y264" s="24"/>
      <c r="Z264" s="24"/>
      <c r="AA264" s="24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4"/>
      <c r="X265" s="24"/>
      <c r="Y265" s="24"/>
      <c r="Z265" s="24"/>
      <c r="AA265" s="24"/>
      <c r="AH265" s="5"/>
      <c r="AI265" s="5"/>
      <c r="AO265" s="5"/>
    </row>
    <row r="266" spans="10:41" x14ac:dyDescent="0.3">
      <c r="J266" s="24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4"/>
      <c r="X266" s="24"/>
      <c r="Y266" s="24"/>
      <c r="Z266" s="24"/>
      <c r="AA266" s="24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4"/>
      <c r="X267" s="24"/>
      <c r="Y267" s="24"/>
      <c r="Z267" s="24"/>
      <c r="AA267" s="24"/>
      <c r="AH267" s="5"/>
      <c r="AI267" s="5"/>
      <c r="AO267" s="5"/>
    </row>
    <row r="268" spans="10:41" x14ac:dyDescent="0.3">
      <c r="J268" s="24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4"/>
      <c r="X268" s="24"/>
      <c r="Y268" s="24"/>
      <c r="Z268" s="24"/>
      <c r="AA268" s="24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4"/>
      <c r="X269" s="24"/>
      <c r="Y269" s="24"/>
      <c r="Z269" s="24"/>
      <c r="AA269" s="24"/>
      <c r="AH269" s="5"/>
      <c r="AI269" s="5"/>
      <c r="AO269" s="5"/>
    </row>
    <row r="270" spans="10:41" x14ac:dyDescent="0.3">
      <c r="J270" s="24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4"/>
      <c r="X270" s="24"/>
      <c r="Y270" s="24"/>
      <c r="Z270" s="24"/>
      <c r="AA270" s="24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4"/>
      <c r="X271" s="24"/>
      <c r="Y271" s="24"/>
      <c r="Z271" s="24"/>
      <c r="AA271" s="24"/>
      <c r="AH271" s="5"/>
      <c r="AI271" s="5"/>
      <c r="AO271" s="5"/>
    </row>
    <row r="272" spans="10:41" x14ac:dyDescent="0.3">
      <c r="J272" s="24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4"/>
      <c r="X272" s="24"/>
      <c r="Y272" s="24"/>
      <c r="Z272" s="24"/>
      <c r="AA272" s="24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4"/>
      <c r="X273" s="24"/>
      <c r="Y273" s="24"/>
      <c r="Z273" s="24"/>
      <c r="AA273" s="24"/>
      <c r="AH273" s="5"/>
      <c r="AI273" s="5"/>
      <c r="AO273" s="5"/>
    </row>
    <row r="274" spans="10:41" x14ac:dyDescent="0.3">
      <c r="J274" s="24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4"/>
      <c r="X274" s="24"/>
      <c r="Y274" s="24"/>
      <c r="Z274" s="24"/>
      <c r="AA274" s="24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4"/>
      <c r="X275" s="24"/>
      <c r="Y275" s="24"/>
      <c r="Z275" s="24"/>
      <c r="AA275" s="24"/>
      <c r="AH275" s="5"/>
      <c r="AI275" s="5"/>
      <c r="AO275" s="5"/>
    </row>
    <row r="276" spans="10:41" x14ac:dyDescent="0.3">
      <c r="J276" s="24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4"/>
      <c r="X276" s="24"/>
      <c r="Y276" s="24"/>
      <c r="Z276" s="24"/>
      <c r="AA276" s="24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4"/>
      <c r="X277" s="24"/>
      <c r="Y277" s="24"/>
      <c r="Z277" s="24"/>
      <c r="AA277" s="24"/>
      <c r="AH277" s="5"/>
      <c r="AI277" s="5"/>
      <c r="AO277" s="5"/>
    </row>
    <row r="278" spans="10:41" x14ac:dyDescent="0.3">
      <c r="J278" s="24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4"/>
      <c r="X278" s="24"/>
      <c r="Y278" s="24"/>
      <c r="Z278" s="24"/>
      <c r="AA278" s="24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4"/>
      <c r="X279" s="24"/>
      <c r="Y279" s="24"/>
      <c r="Z279" s="24"/>
      <c r="AA279" s="24"/>
      <c r="AH279" s="5"/>
      <c r="AI279" s="5"/>
      <c r="AO279" s="5"/>
    </row>
    <row r="280" spans="10:41" x14ac:dyDescent="0.3">
      <c r="J280" s="24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4"/>
      <c r="X280" s="24"/>
      <c r="Y280" s="24"/>
      <c r="Z280" s="24"/>
      <c r="AA280" s="24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4"/>
      <c r="X281" s="24"/>
      <c r="Y281" s="24"/>
      <c r="Z281" s="24"/>
      <c r="AA281" s="24"/>
      <c r="AH281" s="5"/>
      <c r="AI281" s="5"/>
      <c r="AO281" s="5"/>
    </row>
    <row r="282" spans="10:41" x14ac:dyDescent="0.3">
      <c r="J282" s="24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4"/>
      <c r="X282" s="24"/>
      <c r="Y282" s="24"/>
      <c r="Z282" s="24"/>
      <c r="AA282" s="24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4"/>
      <c r="X283" s="24"/>
      <c r="Y283" s="24"/>
      <c r="Z283" s="24"/>
      <c r="AA283" s="24"/>
      <c r="AH283" s="5"/>
      <c r="AI283" s="5"/>
      <c r="AO283" s="5"/>
    </row>
    <row r="284" spans="10:41" x14ac:dyDescent="0.3">
      <c r="J284" s="24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4"/>
      <c r="X284" s="24"/>
      <c r="Y284" s="24"/>
      <c r="Z284" s="24"/>
      <c r="AA284" s="24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4"/>
      <c r="X285" s="24"/>
      <c r="Y285" s="24"/>
      <c r="Z285" s="24"/>
      <c r="AA285" s="24"/>
      <c r="AH285" s="5"/>
      <c r="AI285" s="5"/>
      <c r="AO285" s="5"/>
    </row>
    <row r="286" spans="10:41" x14ac:dyDescent="0.3">
      <c r="J286" s="24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4"/>
      <c r="X286" s="24"/>
      <c r="Y286" s="24"/>
      <c r="Z286" s="24"/>
      <c r="AA286" s="24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4"/>
      <c r="X287" s="24"/>
      <c r="Y287" s="24"/>
      <c r="Z287" s="24"/>
      <c r="AA287" s="24"/>
      <c r="AH287" s="5"/>
      <c r="AI287" s="5"/>
      <c r="AO287" s="5"/>
    </row>
    <row r="288" spans="10:41" x14ac:dyDescent="0.3">
      <c r="J288" s="24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4"/>
      <c r="X288" s="24"/>
      <c r="Y288" s="24"/>
      <c r="Z288" s="24"/>
      <c r="AA288" s="24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4"/>
      <c r="X289" s="24"/>
      <c r="Y289" s="24"/>
      <c r="Z289" s="24"/>
      <c r="AA289" s="24"/>
      <c r="AH289" s="5"/>
      <c r="AI289" s="5"/>
      <c r="AO289" s="5"/>
    </row>
    <row r="290" spans="10:41" x14ac:dyDescent="0.3">
      <c r="J290" s="24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4"/>
      <c r="X290" s="24"/>
      <c r="Y290" s="24"/>
      <c r="Z290" s="24"/>
      <c r="AA290" s="24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4"/>
      <c r="X291" s="24"/>
      <c r="Y291" s="24"/>
      <c r="Z291" s="24"/>
      <c r="AA291" s="24"/>
      <c r="AH291" s="5"/>
      <c r="AI291" s="5"/>
      <c r="AO291" s="5"/>
    </row>
    <row r="292" spans="10:41" x14ac:dyDescent="0.3">
      <c r="J292" s="24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4"/>
      <c r="X292" s="24"/>
      <c r="Y292" s="24"/>
      <c r="Z292" s="24"/>
      <c r="AA292" s="24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4"/>
      <c r="X293" s="24"/>
      <c r="Y293" s="24"/>
      <c r="Z293" s="24"/>
      <c r="AA293" s="24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4"/>
      <c r="X294" s="24"/>
      <c r="Y294" s="24"/>
      <c r="Z294" s="24"/>
      <c r="AA294" s="24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4"/>
      <c r="X295" s="24"/>
      <c r="Y295" s="24"/>
      <c r="Z295" s="24"/>
      <c r="AA295" s="24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4"/>
      <c r="X296" s="24"/>
      <c r="Y296" s="24"/>
      <c r="Z296" s="24"/>
      <c r="AA296" s="24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4"/>
      <c r="X297" s="24"/>
      <c r="Y297" s="24"/>
      <c r="Z297" s="24"/>
      <c r="AA297" s="24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4"/>
      <c r="X298" s="24"/>
      <c r="Y298" s="24"/>
      <c r="Z298" s="24"/>
      <c r="AA298" s="24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4"/>
      <c r="X299" s="24"/>
      <c r="Y299" s="24"/>
      <c r="Z299" s="24"/>
      <c r="AA299" s="24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4"/>
      <c r="X300" s="24"/>
      <c r="Y300" s="24"/>
      <c r="Z300" s="24"/>
      <c r="AA300" s="24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4"/>
      <c r="X301" s="24"/>
      <c r="Y301" s="24"/>
      <c r="Z301" s="24"/>
      <c r="AA301" s="24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4"/>
      <c r="X302" s="24"/>
      <c r="Y302" s="24"/>
      <c r="Z302" s="24"/>
      <c r="AA302" s="24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4"/>
      <c r="X303" s="24"/>
      <c r="Y303" s="24"/>
      <c r="Z303" s="24"/>
      <c r="AA303" s="24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4"/>
      <c r="X304" s="24"/>
      <c r="Y304" s="24"/>
      <c r="Z304" s="24"/>
      <c r="AA304" s="24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113" priority="27">
      <formula>_xlfn.LET(_xlpm.x, W4, AND(NOT(_xlfn.ISFORMULA(_xlpm.x)), _xlpm.x&lt;&gt;""))</formula>
    </cfRule>
  </conditionalFormatting>
  <conditionalFormatting sqref="W4:AA203">
    <cfRule type="expression" dxfId="112" priority="22">
      <formula>_xlfn.LET(_xlpm.x, W4, AND(NOT(_xlfn.ISFORMULA(_xlpm.x)), _xlpm.x&lt;&gt;""))</formula>
    </cfRule>
  </conditionalFormatting>
  <conditionalFormatting sqref="K1:O1048576">
    <cfRule type="cellIs" dxfId="111" priority="14" operator="equal">
      <formula>"C1"</formula>
    </cfRule>
    <cfRule type="cellIs" dxfId="110" priority="15" operator="between">
      <formula>"G1"</formula>
      <formula>"G5"</formula>
    </cfRule>
    <cfRule type="cellIs" dxfId="109" priority="16" operator="between">
      <formula>"GA"</formula>
      <formula>"GJ"</formula>
    </cfRule>
    <cfRule type="cellIs" dxfId="108" priority="17" operator="between">
      <formula>"M1"</formula>
      <formula>"M5"</formula>
    </cfRule>
  </conditionalFormatting>
  <conditionalFormatting sqref="C31:G46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{A83016BC-089E-46C3-9B8D-B6B273DA674B}</x14:id>
        </ext>
      </extLst>
    </cfRule>
  </conditionalFormatting>
  <conditionalFormatting sqref="D52:D54">
    <cfRule type="cellIs" dxfId="107" priority="9" operator="equal">
      <formula>"C1"</formula>
    </cfRule>
    <cfRule type="cellIs" dxfId="106" priority="10" operator="between">
      <formula>"G1"</formula>
      <formula>"G4"</formula>
    </cfRule>
    <cfRule type="cellIs" dxfId="105" priority="11" operator="between">
      <formula>"GA"</formula>
      <formula>"GQ"</formula>
    </cfRule>
    <cfRule type="cellIs" dxfId="104" priority="12" operator="between">
      <formula>"M1"</formula>
      <formula>"M4"</formula>
    </cfRule>
  </conditionalFormatting>
  <conditionalFormatting sqref="E52:E54">
    <cfRule type="cellIs" dxfId="103" priority="5" operator="equal">
      <formula>"C1"</formula>
    </cfRule>
    <cfRule type="cellIs" dxfId="102" priority="6" operator="between">
      <formula>"G1"</formula>
      <formula>"G4"</formula>
    </cfRule>
    <cfRule type="cellIs" dxfId="101" priority="7" operator="between">
      <formula>"GA"</formula>
      <formula>"GQ"</formula>
    </cfRule>
    <cfRule type="cellIs" dxfId="100" priority="8" operator="between">
      <formula>"M1"</formula>
      <formula>"M4"</formula>
    </cfRule>
  </conditionalFormatting>
  <conditionalFormatting sqref="F52:F54">
    <cfRule type="cellIs" dxfId="99" priority="1" operator="equal">
      <formula>"C1"</formula>
    </cfRule>
    <cfRule type="cellIs" dxfId="98" priority="2" operator="between">
      <formula>"G1"</formula>
      <formula>"G4"</formula>
    </cfRule>
    <cfRule type="cellIs" dxfId="97" priority="3" operator="between">
      <formula>"GA"</formula>
      <formula>"GQ"</formula>
    </cfRule>
    <cfRule type="cellIs" dxfId="96" priority="4" operator="between">
      <formula>"M1"</formula>
      <formula>"M4"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3016BC-089E-46C3-9B8D-B6B273DA67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C31:G46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topLeftCell="S1" workbookViewId="0">
      <selection activeCell="AM7" activeCellId="1" sqref="AF7 AM7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3" width="11" style="5" bestFit="1" customWidth="1"/>
    <col min="4" max="6" width="9.5546875" style="5" bestFit="1" customWidth="1"/>
    <col min="7" max="7" width="11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6" t="s">
        <v>101</v>
      </c>
      <c r="Q2" s="26" t="s">
        <v>102</v>
      </c>
      <c r="W2" s="26" t="s">
        <v>103</v>
      </c>
      <c r="AC2" s="26" t="s">
        <v>104</v>
      </c>
      <c r="AH2" s="5"/>
      <c r="AI2" s="5"/>
      <c r="AJ2" s="26" t="s">
        <v>80</v>
      </c>
      <c r="AO2" s="5"/>
    </row>
    <row r="3" spans="1:41" ht="15.9" customHeight="1" x14ac:dyDescent="0.3">
      <c r="A3" s="19" t="s">
        <v>5</v>
      </c>
      <c r="B3" s="19" t="s">
        <v>12</v>
      </c>
      <c r="C3" s="19" t="s">
        <v>6</v>
      </c>
      <c r="D3" s="19" t="s">
        <v>7</v>
      </c>
      <c r="E3" s="19" t="s">
        <v>8</v>
      </c>
      <c r="F3" s="19" t="s">
        <v>9</v>
      </c>
      <c r="G3" s="19" t="s">
        <v>10</v>
      </c>
      <c r="H3" s="19" t="s">
        <v>11</v>
      </c>
      <c r="I3" s="14"/>
      <c r="J3" s="19"/>
      <c r="K3" s="19" t="s">
        <v>13</v>
      </c>
      <c r="L3" s="19" t="s">
        <v>14</v>
      </c>
      <c r="M3" s="19" t="s">
        <v>15</v>
      </c>
      <c r="N3" s="19" t="s">
        <v>16</v>
      </c>
      <c r="O3" s="19" t="s">
        <v>17</v>
      </c>
      <c r="Q3" s="19" t="s">
        <v>13</v>
      </c>
      <c r="R3" s="19" t="s">
        <v>14</v>
      </c>
      <c r="S3" s="19" t="s">
        <v>15</v>
      </c>
      <c r="T3" s="19" t="s">
        <v>16</v>
      </c>
      <c r="U3" s="19" t="s">
        <v>17</v>
      </c>
      <c r="W3" s="19" t="s">
        <v>6</v>
      </c>
      <c r="X3" s="19" t="s">
        <v>14</v>
      </c>
      <c r="Y3" s="19" t="s">
        <v>15</v>
      </c>
      <c r="Z3" s="19" t="s">
        <v>16</v>
      </c>
      <c r="AA3" s="19" t="s">
        <v>17</v>
      </c>
      <c r="AO3" s="5"/>
    </row>
    <row r="4" spans="1:41" ht="15.9" customHeight="1" x14ac:dyDescent="0.3">
      <c r="A4" s="28" t="str" cm="1">
        <f t="array" ref="A4:B23">Overview!A38:B57</f>
        <v>WW</v>
      </c>
      <c r="B4" s="8" t="str">
        <v>Wild</v>
      </c>
      <c r="C4" s="53">
        <f t="shared" ref="C4:G23" si="0">COUNTIF(K:K, $A4)</f>
        <v>0</v>
      </c>
      <c r="D4" s="53">
        <f t="shared" si="0"/>
        <v>0</v>
      </c>
      <c r="E4" s="53">
        <f t="shared" si="0"/>
        <v>0</v>
      </c>
      <c r="F4" s="53">
        <f t="shared" si="0"/>
        <v>0</v>
      </c>
      <c r="G4" s="53">
        <f t="shared" si="0"/>
        <v>0</v>
      </c>
      <c r="H4" s="8" cm="1">
        <f t="array" ref="H4:H23">Overview!F38:F57</f>
        <v>0</v>
      </c>
      <c r="I4" s="51"/>
      <c r="J4" s="24" cm="1">
        <f t="array" ref="J4:J203">_xlfn.SEQUENCE(MAX(COUNTA(K:K), COUNTA(L:L), COUNTA(M:M), COUNTA(N:N), COUNTA(O:O))-1,,0)</f>
        <v>0</v>
      </c>
      <c r="K4" s="25" t="s">
        <v>37</v>
      </c>
      <c r="L4" s="25" t="s">
        <v>95</v>
      </c>
      <c r="M4" s="25" t="s">
        <v>64</v>
      </c>
      <c r="N4" s="25" t="s">
        <v>81</v>
      </c>
      <c r="O4" s="25" t="s">
        <v>35</v>
      </c>
      <c r="Q4" s="24" cm="1">
        <f t="array" ref="Q4:U304">_xlfn.LET(_xlpm.x, K4:O304, IF(_xlpm.x="", "", _xlfn.XLOOKUP(_xlpm.x, $A$4:$A$23,_xlfn.ANCHORARRAY( H4))))</f>
        <v>7</v>
      </c>
      <c r="R4" s="24">
        <v>6</v>
      </c>
      <c r="S4" s="24">
        <v>14</v>
      </c>
      <c r="T4" s="24">
        <v>17</v>
      </c>
      <c r="U4" s="24">
        <v>8</v>
      </c>
      <c r="W4" s="24">
        <v>1</v>
      </c>
      <c r="X4" s="24">
        <v>1</v>
      </c>
      <c r="Y4" s="24">
        <v>1</v>
      </c>
      <c r="Z4" s="24">
        <v>1</v>
      </c>
      <c r="AA4" s="24">
        <v>1</v>
      </c>
      <c r="AB4" s="42"/>
      <c r="AC4" s="26" t="s">
        <v>99</v>
      </c>
      <c r="AH4" s="5"/>
      <c r="AI4" s="5"/>
      <c r="AJ4" s="26" t="s">
        <v>99</v>
      </c>
      <c r="AO4" s="5"/>
    </row>
    <row r="5" spans="1:41" ht="15.9" customHeight="1" x14ac:dyDescent="0.3">
      <c r="A5" s="28" t="str">
        <v>C1</v>
      </c>
      <c r="B5" s="8" t="str">
        <v>Scatter</v>
      </c>
      <c r="C5" s="53">
        <f t="shared" si="0"/>
        <v>2</v>
      </c>
      <c r="D5" s="53">
        <f t="shared" si="0"/>
        <v>2</v>
      </c>
      <c r="E5" s="53">
        <f t="shared" si="0"/>
        <v>0</v>
      </c>
      <c r="F5" s="53">
        <f t="shared" si="0"/>
        <v>3</v>
      </c>
      <c r="G5" s="53">
        <f t="shared" si="0"/>
        <v>3</v>
      </c>
      <c r="H5" s="8">
        <v>1</v>
      </c>
      <c r="I5" s="51"/>
      <c r="J5" s="9">
        <v>1</v>
      </c>
      <c r="K5" s="15" t="s">
        <v>18</v>
      </c>
      <c r="L5" s="15" t="s">
        <v>96</v>
      </c>
      <c r="M5" s="15" t="s">
        <v>96</v>
      </c>
      <c r="N5" s="15" t="s">
        <v>35</v>
      </c>
      <c r="O5" s="15" t="s">
        <v>37</v>
      </c>
      <c r="Q5" s="9">
        <v>4</v>
      </c>
      <c r="R5" s="9">
        <v>15</v>
      </c>
      <c r="S5" s="9">
        <v>15</v>
      </c>
      <c r="T5" s="9">
        <v>8</v>
      </c>
      <c r="U5" s="9">
        <v>7</v>
      </c>
      <c r="W5" s="24">
        <v>1</v>
      </c>
      <c r="X5" s="24">
        <v>1</v>
      </c>
      <c r="Y5" s="24">
        <v>1</v>
      </c>
      <c r="Z5" s="24">
        <v>1</v>
      </c>
      <c r="AA5" s="24">
        <v>1</v>
      </c>
      <c r="AC5" s="68" t="s">
        <v>42</v>
      </c>
      <c r="AD5" s="68" t="s">
        <v>13</v>
      </c>
      <c r="AE5" s="68" t="s">
        <v>14</v>
      </c>
      <c r="AF5" s="68" t="s">
        <v>15</v>
      </c>
      <c r="AG5" s="68" t="s">
        <v>16</v>
      </c>
      <c r="AH5" s="68" t="s">
        <v>17</v>
      </c>
      <c r="AI5" s="5"/>
      <c r="AJ5" s="68" t="s">
        <v>42</v>
      </c>
      <c r="AK5" s="68" t="s">
        <v>13</v>
      </c>
      <c r="AL5" s="68" t="s">
        <v>14</v>
      </c>
      <c r="AM5" s="68" t="s">
        <v>15</v>
      </c>
      <c r="AN5" s="68" t="s">
        <v>16</v>
      </c>
      <c r="AO5" s="68" t="s">
        <v>17</v>
      </c>
    </row>
    <row r="6" spans="1:41" ht="15.9" customHeight="1" x14ac:dyDescent="0.3">
      <c r="A6" s="66" t="str">
        <v>M1</v>
      </c>
      <c r="B6" s="58" t="str">
        <v>M1</v>
      </c>
      <c r="C6" s="66">
        <f t="shared" si="0"/>
        <v>3</v>
      </c>
      <c r="D6" s="66">
        <f t="shared" si="0"/>
        <v>10</v>
      </c>
      <c r="E6" s="66">
        <f t="shared" si="0"/>
        <v>0</v>
      </c>
      <c r="F6" s="66">
        <f t="shared" si="0"/>
        <v>3</v>
      </c>
      <c r="G6" s="66">
        <f t="shared" si="0"/>
        <v>9</v>
      </c>
      <c r="H6" s="58">
        <v>2</v>
      </c>
      <c r="I6" s="51"/>
      <c r="J6" s="24">
        <v>2</v>
      </c>
      <c r="K6" s="15" t="s">
        <v>95</v>
      </c>
      <c r="L6" s="15" t="s">
        <v>19</v>
      </c>
      <c r="M6" s="15" t="s">
        <v>81</v>
      </c>
      <c r="N6" s="15" t="s">
        <v>36</v>
      </c>
      <c r="O6" s="15" t="s">
        <v>35</v>
      </c>
      <c r="Q6" s="9">
        <v>6</v>
      </c>
      <c r="R6" s="9">
        <v>5</v>
      </c>
      <c r="S6" s="9">
        <v>17</v>
      </c>
      <c r="T6" s="9">
        <v>10</v>
      </c>
      <c r="U6" s="9">
        <v>8</v>
      </c>
      <c r="W6" s="24">
        <v>1</v>
      </c>
      <c r="X6" s="24">
        <v>1</v>
      </c>
      <c r="Y6" s="24">
        <v>1</v>
      </c>
      <c r="Z6" s="24">
        <v>1</v>
      </c>
      <c r="AA6" s="24">
        <v>1</v>
      </c>
      <c r="AC6" s="71" t="str" cm="1">
        <f t="array" ref="AC6:AC25">$A$4:$A$23</f>
        <v>WW</v>
      </c>
      <c r="AD6" s="72">
        <v>0</v>
      </c>
      <c r="AE6" s="72">
        <v>0</v>
      </c>
      <c r="AF6" s="72">
        <v>0</v>
      </c>
      <c r="AG6" s="72">
        <v>0</v>
      </c>
      <c r="AH6" s="72">
        <v>0</v>
      </c>
      <c r="AI6" s="5"/>
      <c r="AJ6" s="71" t="str" cm="1">
        <f t="array" ref="AJ6:AJ25">$A$4:$A$23</f>
        <v>WW</v>
      </c>
      <c r="AK6" s="72">
        <v>0</v>
      </c>
      <c r="AL6" s="72">
        <v>0</v>
      </c>
      <c r="AM6" s="72">
        <v>0</v>
      </c>
      <c r="AN6" s="72">
        <v>0</v>
      </c>
      <c r="AO6" s="72">
        <v>0</v>
      </c>
    </row>
    <row r="7" spans="1:41" ht="15.9" customHeight="1" x14ac:dyDescent="0.3">
      <c r="A7" s="66" t="str">
        <v>M2</v>
      </c>
      <c r="B7" s="58" t="str">
        <v>M2</v>
      </c>
      <c r="C7" s="66">
        <f t="shared" si="0"/>
        <v>3</v>
      </c>
      <c r="D7" s="66">
        <f t="shared" si="0"/>
        <v>12</v>
      </c>
      <c r="E7" s="66">
        <f t="shared" si="0"/>
        <v>0</v>
      </c>
      <c r="F7" s="66">
        <f t="shared" si="0"/>
        <v>3</v>
      </c>
      <c r="G7" s="66">
        <f t="shared" si="0"/>
        <v>8</v>
      </c>
      <c r="H7" s="58">
        <v>3</v>
      </c>
      <c r="I7" s="51"/>
      <c r="J7" s="9">
        <v>3</v>
      </c>
      <c r="K7" s="15" t="s">
        <v>37</v>
      </c>
      <c r="L7" s="25" t="s">
        <v>37</v>
      </c>
      <c r="M7" s="15" t="s">
        <v>64</v>
      </c>
      <c r="N7" s="15" t="s">
        <v>19</v>
      </c>
      <c r="O7" s="15" t="s">
        <v>95</v>
      </c>
      <c r="Q7" s="9">
        <v>7</v>
      </c>
      <c r="R7" s="9">
        <v>7</v>
      </c>
      <c r="S7" s="9">
        <v>14</v>
      </c>
      <c r="T7" s="9">
        <v>5</v>
      </c>
      <c r="U7" s="9">
        <v>6</v>
      </c>
      <c r="W7" s="24">
        <v>1</v>
      </c>
      <c r="X7" s="24">
        <v>1</v>
      </c>
      <c r="Y7" s="24">
        <v>1</v>
      </c>
      <c r="Z7" s="24">
        <v>1</v>
      </c>
      <c r="AA7" s="24">
        <v>1</v>
      </c>
      <c r="AC7" s="71" t="str">
        <v>C1</v>
      </c>
      <c r="AD7" s="71">
        <v>1</v>
      </c>
      <c r="AE7" s="71">
        <v>1</v>
      </c>
      <c r="AF7" s="71">
        <v>0</v>
      </c>
      <c r="AG7" s="71">
        <v>1</v>
      </c>
      <c r="AH7" s="71">
        <v>1</v>
      </c>
      <c r="AI7" s="5"/>
      <c r="AJ7" s="71" t="str">
        <v>C1</v>
      </c>
      <c r="AK7" s="71">
        <v>1</v>
      </c>
      <c r="AL7" s="71">
        <v>1</v>
      </c>
      <c r="AM7" s="71">
        <v>0</v>
      </c>
      <c r="AN7" s="71">
        <v>1</v>
      </c>
      <c r="AO7" s="71">
        <v>1</v>
      </c>
    </row>
    <row r="8" spans="1:41" ht="15.9" customHeight="1" x14ac:dyDescent="0.3">
      <c r="A8" s="66" t="str">
        <v>M3</v>
      </c>
      <c r="B8" s="58" t="str">
        <v>M3</v>
      </c>
      <c r="C8" s="66">
        <f t="shared" si="0"/>
        <v>7</v>
      </c>
      <c r="D8" s="66">
        <f t="shared" si="0"/>
        <v>13</v>
      </c>
      <c r="E8" s="66">
        <f t="shared" si="0"/>
        <v>0</v>
      </c>
      <c r="F8" s="66">
        <f t="shared" si="0"/>
        <v>7</v>
      </c>
      <c r="G8" s="66">
        <f t="shared" si="0"/>
        <v>14</v>
      </c>
      <c r="H8" s="58">
        <v>4</v>
      </c>
      <c r="I8" s="51"/>
      <c r="J8" s="24">
        <v>4</v>
      </c>
      <c r="K8" s="15" t="s">
        <v>34</v>
      </c>
      <c r="L8" s="15" t="s">
        <v>19</v>
      </c>
      <c r="M8" s="15" t="s">
        <v>65</v>
      </c>
      <c r="N8" s="15" t="s">
        <v>36</v>
      </c>
      <c r="O8" s="15" t="s">
        <v>19</v>
      </c>
      <c r="Q8" s="9">
        <v>9</v>
      </c>
      <c r="R8" s="9">
        <v>5</v>
      </c>
      <c r="S8" s="9">
        <v>16</v>
      </c>
      <c r="T8" s="9">
        <v>10</v>
      </c>
      <c r="U8" s="9">
        <v>5</v>
      </c>
      <c r="W8" s="24">
        <v>1</v>
      </c>
      <c r="X8" s="24">
        <v>1</v>
      </c>
      <c r="Y8" s="24">
        <v>1</v>
      </c>
      <c r="Z8" s="24">
        <v>1</v>
      </c>
      <c r="AA8" s="24">
        <v>1</v>
      </c>
      <c r="AC8" s="80" t="str">
        <v>M1</v>
      </c>
      <c r="AD8" s="66">
        <v>3</v>
      </c>
      <c r="AE8" s="66">
        <v>10</v>
      </c>
      <c r="AF8" s="66">
        <v>0</v>
      </c>
      <c r="AG8" s="66">
        <v>3</v>
      </c>
      <c r="AH8" s="66">
        <v>9</v>
      </c>
      <c r="AI8" s="5"/>
      <c r="AJ8" s="80" t="str">
        <v>M1</v>
      </c>
      <c r="AK8" s="66">
        <v>3</v>
      </c>
      <c r="AL8" s="66">
        <v>10</v>
      </c>
      <c r="AM8" s="66">
        <v>0</v>
      </c>
      <c r="AN8" s="66">
        <v>3</v>
      </c>
      <c r="AO8" s="66">
        <v>9</v>
      </c>
    </row>
    <row r="9" spans="1:41" ht="15.9" customHeight="1" x14ac:dyDescent="0.3">
      <c r="A9" s="66" t="str">
        <v>M4</v>
      </c>
      <c r="B9" s="58" t="str">
        <v>M4</v>
      </c>
      <c r="C9" s="66">
        <f t="shared" si="0"/>
        <v>43</v>
      </c>
      <c r="D9" s="66">
        <f t="shared" si="0"/>
        <v>22</v>
      </c>
      <c r="E9" s="66">
        <f t="shared" si="0"/>
        <v>0</v>
      </c>
      <c r="F9" s="66">
        <f t="shared" si="0"/>
        <v>31</v>
      </c>
      <c r="G9" s="66">
        <f t="shared" si="0"/>
        <v>36</v>
      </c>
      <c r="H9" s="58">
        <v>5</v>
      </c>
      <c r="I9" s="51"/>
      <c r="J9" s="9">
        <v>5</v>
      </c>
      <c r="K9" s="15" t="s">
        <v>35</v>
      </c>
      <c r="L9" s="15" t="s">
        <v>37</v>
      </c>
      <c r="M9" s="15" t="s">
        <v>81</v>
      </c>
      <c r="N9" s="15" t="s">
        <v>35</v>
      </c>
      <c r="O9" s="15" t="s">
        <v>95</v>
      </c>
      <c r="Q9" s="9">
        <v>8</v>
      </c>
      <c r="R9" s="9">
        <v>7</v>
      </c>
      <c r="S9" s="9">
        <v>17</v>
      </c>
      <c r="T9" s="9">
        <v>8</v>
      </c>
      <c r="U9" s="9">
        <v>6</v>
      </c>
      <c r="W9" s="24">
        <v>1</v>
      </c>
      <c r="X9" s="24">
        <v>1</v>
      </c>
      <c r="Y9" s="24">
        <v>1</v>
      </c>
      <c r="Z9" s="24">
        <v>1</v>
      </c>
      <c r="AA9" s="24">
        <v>1</v>
      </c>
      <c r="AC9" s="80" t="str">
        <v>M2</v>
      </c>
      <c r="AD9" s="66">
        <v>3</v>
      </c>
      <c r="AE9" s="66">
        <v>12</v>
      </c>
      <c r="AF9" s="66">
        <v>0</v>
      </c>
      <c r="AG9" s="66">
        <v>3</v>
      </c>
      <c r="AH9" s="66">
        <v>8</v>
      </c>
      <c r="AI9" s="5"/>
      <c r="AJ9" s="80" t="str">
        <v>M2</v>
      </c>
      <c r="AK9" s="66">
        <v>3</v>
      </c>
      <c r="AL9" s="66">
        <v>12</v>
      </c>
      <c r="AM9" s="66">
        <v>0</v>
      </c>
      <c r="AN9" s="66">
        <v>3</v>
      </c>
      <c r="AO9" s="66">
        <v>8</v>
      </c>
    </row>
    <row r="10" spans="1:41" ht="15.9" customHeight="1" x14ac:dyDescent="0.3">
      <c r="A10" s="66" t="str">
        <v>M5</v>
      </c>
      <c r="B10" s="58" t="str">
        <v>M5</v>
      </c>
      <c r="C10" s="66">
        <f t="shared" si="0"/>
        <v>42</v>
      </c>
      <c r="D10" s="66">
        <f t="shared" si="0"/>
        <v>22</v>
      </c>
      <c r="E10" s="66">
        <f t="shared" si="0"/>
        <v>0</v>
      </c>
      <c r="F10" s="66">
        <f t="shared" si="0"/>
        <v>27</v>
      </c>
      <c r="G10" s="66">
        <f t="shared" si="0"/>
        <v>34</v>
      </c>
      <c r="H10" s="58">
        <v>6</v>
      </c>
      <c r="I10" s="51"/>
      <c r="J10" s="24">
        <v>6</v>
      </c>
      <c r="K10" s="15" t="s">
        <v>18</v>
      </c>
      <c r="L10" s="15" t="s">
        <v>34</v>
      </c>
      <c r="M10" s="15" t="s">
        <v>65</v>
      </c>
      <c r="N10" s="15" t="s">
        <v>64</v>
      </c>
      <c r="O10" s="15" t="s">
        <v>19</v>
      </c>
      <c r="Q10" s="9">
        <v>4</v>
      </c>
      <c r="R10" s="9">
        <v>9</v>
      </c>
      <c r="S10" s="9">
        <v>16</v>
      </c>
      <c r="T10" s="9">
        <v>14</v>
      </c>
      <c r="U10" s="9">
        <v>5</v>
      </c>
      <c r="W10" s="24">
        <v>1</v>
      </c>
      <c r="X10" s="24">
        <v>1</v>
      </c>
      <c r="Y10" s="24">
        <v>1</v>
      </c>
      <c r="Z10" s="24">
        <v>1</v>
      </c>
      <c r="AA10" s="24">
        <v>1</v>
      </c>
      <c r="AC10" s="80" t="str">
        <v>M3</v>
      </c>
      <c r="AD10" s="66">
        <v>7</v>
      </c>
      <c r="AE10" s="66">
        <v>13</v>
      </c>
      <c r="AF10" s="66">
        <v>0</v>
      </c>
      <c r="AG10" s="66">
        <v>7</v>
      </c>
      <c r="AH10" s="66">
        <v>14</v>
      </c>
      <c r="AI10" s="5"/>
      <c r="AJ10" s="80" t="str">
        <v>M3</v>
      </c>
      <c r="AK10" s="66">
        <v>7</v>
      </c>
      <c r="AL10" s="66">
        <v>13</v>
      </c>
      <c r="AM10" s="66">
        <v>0</v>
      </c>
      <c r="AN10" s="66">
        <v>7</v>
      </c>
      <c r="AO10" s="66">
        <v>14</v>
      </c>
    </row>
    <row r="11" spans="1:41" ht="15.9" customHeight="1" x14ac:dyDescent="0.3">
      <c r="A11" s="66" t="str">
        <v>A</v>
      </c>
      <c r="B11" s="58" t="str">
        <v>A</v>
      </c>
      <c r="C11" s="66">
        <f t="shared" si="0"/>
        <v>43</v>
      </c>
      <c r="D11" s="66">
        <f t="shared" si="0"/>
        <v>27</v>
      </c>
      <c r="E11" s="66">
        <f t="shared" si="0"/>
        <v>0</v>
      </c>
      <c r="F11" s="66">
        <f t="shared" si="0"/>
        <v>31</v>
      </c>
      <c r="G11" s="66">
        <f t="shared" si="0"/>
        <v>35</v>
      </c>
      <c r="H11" s="58">
        <v>7</v>
      </c>
      <c r="I11" s="51"/>
      <c r="J11" s="9">
        <v>7</v>
      </c>
      <c r="K11" s="15" t="s">
        <v>95</v>
      </c>
      <c r="L11" s="15" t="s">
        <v>68</v>
      </c>
      <c r="M11" s="15" t="s">
        <v>81</v>
      </c>
      <c r="N11" s="15" t="s">
        <v>81</v>
      </c>
      <c r="O11" s="15" t="s">
        <v>95</v>
      </c>
      <c r="Q11" s="9">
        <v>6</v>
      </c>
      <c r="R11" s="9">
        <v>18</v>
      </c>
      <c r="S11" s="9">
        <v>17</v>
      </c>
      <c r="T11" s="9">
        <v>17</v>
      </c>
      <c r="U11" s="9">
        <v>6</v>
      </c>
      <c r="W11" s="24">
        <v>1</v>
      </c>
      <c r="X11" s="24">
        <v>1</v>
      </c>
      <c r="Y11" s="24">
        <v>1</v>
      </c>
      <c r="Z11" s="24">
        <v>1</v>
      </c>
      <c r="AA11" s="24">
        <v>1</v>
      </c>
      <c r="AC11" s="80" t="str">
        <v>M4</v>
      </c>
      <c r="AD11" s="66">
        <v>43</v>
      </c>
      <c r="AE11" s="66">
        <v>22</v>
      </c>
      <c r="AF11" s="66">
        <v>0</v>
      </c>
      <c r="AG11" s="66">
        <v>31</v>
      </c>
      <c r="AH11" s="66">
        <v>36</v>
      </c>
      <c r="AI11" s="5"/>
      <c r="AJ11" s="80" t="str">
        <v>M4</v>
      </c>
      <c r="AK11" s="66">
        <v>43</v>
      </c>
      <c r="AL11" s="66">
        <v>22</v>
      </c>
      <c r="AM11" s="66">
        <v>0</v>
      </c>
      <c r="AN11" s="66">
        <v>31</v>
      </c>
      <c r="AO11" s="66">
        <v>36</v>
      </c>
    </row>
    <row r="12" spans="1:41" ht="15.9" customHeight="1" x14ac:dyDescent="0.3">
      <c r="A12" s="66" t="str">
        <v>K</v>
      </c>
      <c r="B12" s="58" t="str">
        <v>K</v>
      </c>
      <c r="C12" s="66">
        <f t="shared" si="0"/>
        <v>43</v>
      </c>
      <c r="D12" s="66">
        <f t="shared" si="0"/>
        <v>24</v>
      </c>
      <c r="E12" s="66">
        <f t="shared" si="0"/>
        <v>0</v>
      </c>
      <c r="F12" s="66">
        <f t="shared" si="0"/>
        <v>32</v>
      </c>
      <c r="G12" s="66">
        <f t="shared" si="0"/>
        <v>34</v>
      </c>
      <c r="H12" s="58">
        <v>8</v>
      </c>
      <c r="I12" s="51"/>
      <c r="J12" s="24">
        <v>8</v>
      </c>
      <c r="K12" s="15" t="s">
        <v>36</v>
      </c>
      <c r="L12" s="15" t="s">
        <v>22</v>
      </c>
      <c r="M12" s="15" t="s">
        <v>65</v>
      </c>
      <c r="N12" s="15" t="s">
        <v>37</v>
      </c>
      <c r="O12" s="15" t="s">
        <v>37</v>
      </c>
      <c r="Q12" s="9">
        <v>10</v>
      </c>
      <c r="R12" s="9">
        <v>3</v>
      </c>
      <c r="S12" s="9">
        <v>16</v>
      </c>
      <c r="T12" s="9">
        <v>7</v>
      </c>
      <c r="U12" s="9">
        <v>7</v>
      </c>
      <c r="W12" s="24">
        <v>1</v>
      </c>
      <c r="X12" s="24">
        <v>1</v>
      </c>
      <c r="Y12" s="24">
        <v>1</v>
      </c>
      <c r="Z12" s="24">
        <v>1</v>
      </c>
      <c r="AA12" s="24">
        <v>1</v>
      </c>
      <c r="AC12" s="80" t="str">
        <v>M5</v>
      </c>
      <c r="AD12" s="66">
        <v>42</v>
      </c>
      <c r="AE12" s="66">
        <v>22</v>
      </c>
      <c r="AF12" s="66">
        <v>0</v>
      </c>
      <c r="AG12" s="66">
        <v>27</v>
      </c>
      <c r="AH12" s="66">
        <v>34</v>
      </c>
      <c r="AI12" s="5"/>
      <c r="AJ12" s="80" t="str">
        <v>M5</v>
      </c>
      <c r="AK12" s="66">
        <v>42</v>
      </c>
      <c r="AL12" s="66">
        <v>22</v>
      </c>
      <c r="AM12" s="66">
        <v>0</v>
      </c>
      <c r="AN12" s="66">
        <v>27</v>
      </c>
      <c r="AO12" s="66">
        <v>34</v>
      </c>
    </row>
    <row r="13" spans="1:41" ht="15.9" customHeight="1" x14ac:dyDescent="0.3">
      <c r="A13" s="66" t="str">
        <v>Q</v>
      </c>
      <c r="B13" s="58" t="str">
        <v>Q</v>
      </c>
      <c r="C13" s="66">
        <f t="shared" si="0"/>
        <v>7</v>
      </c>
      <c r="D13" s="66">
        <f t="shared" si="0"/>
        <v>12</v>
      </c>
      <c r="E13" s="66">
        <f t="shared" si="0"/>
        <v>0</v>
      </c>
      <c r="F13" s="66">
        <f t="shared" si="0"/>
        <v>6</v>
      </c>
      <c r="G13" s="66">
        <f t="shared" si="0"/>
        <v>13</v>
      </c>
      <c r="H13" s="58">
        <v>9</v>
      </c>
      <c r="I13" s="51"/>
      <c r="J13" s="9">
        <v>9</v>
      </c>
      <c r="K13" s="15" t="s">
        <v>21</v>
      </c>
      <c r="L13" s="15" t="s">
        <v>65</v>
      </c>
      <c r="M13" s="15" t="s">
        <v>96</v>
      </c>
      <c r="N13" s="15" t="s">
        <v>64</v>
      </c>
      <c r="O13" s="15" t="s">
        <v>34</v>
      </c>
      <c r="Q13" s="9">
        <v>2</v>
      </c>
      <c r="R13" s="9">
        <v>16</v>
      </c>
      <c r="S13" s="9">
        <v>15</v>
      </c>
      <c r="T13" s="9">
        <v>14</v>
      </c>
      <c r="U13" s="9">
        <v>9</v>
      </c>
      <c r="W13" s="24">
        <v>1</v>
      </c>
      <c r="X13" s="24">
        <v>1</v>
      </c>
      <c r="Y13" s="24">
        <v>1</v>
      </c>
      <c r="Z13" s="24">
        <v>1</v>
      </c>
      <c r="AA13" s="24">
        <v>1</v>
      </c>
      <c r="AC13" s="80" t="str">
        <v>A</v>
      </c>
      <c r="AD13" s="66">
        <v>43</v>
      </c>
      <c r="AE13" s="66">
        <v>27</v>
      </c>
      <c r="AF13" s="66">
        <v>0</v>
      </c>
      <c r="AG13" s="66">
        <v>31</v>
      </c>
      <c r="AH13" s="66">
        <v>35</v>
      </c>
      <c r="AI13" s="5"/>
      <c r="AJ13" s="80" t="str">
        <v>A</v>
      </c>
      <c r="AK13" s="66">
        <v>43</v>
      </c>
      <c r="AL13" s="66">
        <v>27</v>
      </c>
      <c r="AM13" s="66">
        <v>0</v>
      </c>
      <c r="AN13" s="66">
        <v>31</v>
      </c>
      <c r="AO13" s="66">
        <v>35</v>
      </c>
    </row>
    <row r="14" spans="1:41" ht="15.9" customHeight="1" x14ac:dyDescent="0.3">
      <c r="A14" s="66" t="str">
        <v>J</v>
      </c>
      <c r="B14" s="58" t="str">
        <v>J</v>
      </c>
      <c r="C14" s="66">
        <f t="shared" si="0"/>
        <v>7</v>
      </c>
      <c r="D14" s="66">
        <f t="shared" si="0"/>
        <v>8</v>
      </c>
      <c r="E14" s="66">
        <f t="shared" si="0"/>
        <v>0</v>
      </c>
      <c r="F14" s="66">
        <f t="shared" si="0"/>
        <v>7</v>
      </c>
      <c r="G14" s="66">
        <f t="shared" si="0"/>
        <v>14</v>
      </c>
      <c r="H14" s="58">
        <v>10</v>
      </c>
      <c r="I14" s="51"/>
      <c r="J14" s="24">
        <v>10</v>
      </c>
      <c r="K14" s="15" t="s">
        <v>37</v>
      </c>
      <c r="L14" s="15" t="s">
        <v>35</v>
      </c>
      <c r="M14" s="15" t="s">
        <v>65</v>
      </c>
      <c r="N14" s="15" t="s">
        <v>19</v>
      </c>
      <c r="O14" s="15" t="s">
        <v>21</v>
      </c>
      <c r="Q14" s="9">
        <v>7</v>
      </c>
      <c r="R14" s="9">
        <v>8</v>
      </c>
      <c r="S14" s="9">
        <v>16</v>
      </c>
      <c r="T14" s="9">
        <v>5</v>
      </c>
      <c r="U14" s="9">
        <v>2</v>
      </c>
      <c r="W14" s="24">
        <v>1</v>
      </c>
      <c r="X14" s="24">
        <v>1</v>
      </c>
      <c r="Y14" s="24">
        <v>1</v>
      </c>
      <c r="Z14" s="24">
        <v>1</v>
      </c>
      <c r="AA14" s="24">
        <v>1</v>
      </c>
      <c r="AC14" s="80" t="str">
        <v>K</v>
      </c>
      <c r="AD14" s="66">
        <v>43</v>
      </c>
      <c r="AE14" s="66">
        <v>24</v>
      </c>
      <c r="AF14" s="66">
        <v>0</v>
      </c>
      <c r="AG14" s="66">
        <v>32</v>
      </c>
      <c r="AH14" s="66">
        <v>34</v>
      </c>
      <c r="AI14" s="5"/>
      <c r="AJ14" s="80" t="str">
        <v>K</v>
      </c>
      <c r="AK14" s="66">
        <v>43</v>
      </c>
      <c r="AL14" s="66">
        <v>24</v>
      </c>
      <c r="AM14" s="66">
        <v>0</v>
      </c>
      <c r="AN14" s="66">
        <v>32</v>
      </c>
      <c r="AO14" s="66">
        <v>34</v>
      </c>
    </row>
    <row r="15" spans="1:41" ht="15.9" customHeight="1" x14ac:dyDescent="0.3">
      <c r="A15" s="28" t="str">
        <v>G1</v>
      </c>
      <c r="B15" s="8" t="str">
        <v>Gold M1</v>
      </c>
      <c r="C15" s="53">
        <f t="shared" si="0"/>
        <v>0</v>
      </c>
      <c r="D15" s="53">
        <f t="shared" si="0"/>
        <v>2</v>
      </c>
      <c r="E15" s="53">
        <f t="shared" si="0"/>
        <v>3</v>
      </c>
      <c r="F15" s="53">
        <f t="shared" si="0"/>
        <v>1</v>
      </c>
      <c r="G15" s="53">
        <f t="shared" si="0"/>
        <v>0</v>
      </c>
      <c r="H15" s="8">
        <v>11</v>
      </c>
      <c r="I15" s="51"/>
      <c r="J15" s="9">
        <v>11</v>
      </c>
      <c r="K15" s="15" t="s">
        <v>95</v>
      </c>
      <c r="L15" s="15" t="s">
        <v>81</v>
      </c>
      <c r="M15" s="15" t="s">
        <v>70</v>
      </c>
      <c r="N15" s="15" t="s">
        <v>36</v>
      </c>
      <c r="O15" s="15" t="s">
        <v>34</v>
      </c>
      <c r="Q15" s="9">
        <v>6</v>
      </c>
      <c r="R15" s="9">
        <v>17</v>
      </c>
      <c r="S15" s="9">
        <v>19</v>
      </c>
      <c r="T15" s="9">
        <v>10</v>
      </c>
      <c r="U15" s="9">
        <v>9</v>
      </c>
      <c r="W15" s="24">
        <v>1</v>
      </c>
      <c r="X15" s="24">
        <v>1</v>
      </c>
      <c r="Y15" s="24">
        <v>1</v>
      </c>
      <c r="Z15" s="24">
        <v>1</v>
      </c>
      <c r="AA15" s="24">
        <v>1</v>
      </c>
      <c r="AC15" s="80" t="str">
        <v>Q</v>
      </c>
      <c r="AD15" s="66">
        <v>7</v>
      </c>
      <c r="AE15" s="66">
        <v>12</v>
      </c>
      <c r="AF15" s="66">
        <v>0</v>
      </c>
      <c r="AG15" s="66">
        <v>6</v>
      </c>
      <c r="AH15" s="66">
        <v>13</v>
      </c>
      <c r="AI15" s="5"/>
      <c r="AJ15" s="80" t="str">
        <v>Q</v>
      </c>
      <c r="AK15" s="66">
        <v>7</v>
      </c>
      <c r="AL15" s="66">
        <v>12</v>
      </c>
      <c r="AM15" s="66">
        <v>0</v>
      </c>
      <c r="AN15" s="66">
        <v>6</v>
      </c>
      <c r="AO15" s="66">
        <v>13</v>
      </c>
    </row>
    <row r="16" spans="1:41" ht="15.9" customHeight="1" x14ac:dyDescent="0.3">
      <c r="A16" s="28" t="str">
        <v>G2</v>
      </c>
      <c r="B16" s="8" t="str">
        <v>Gold M2</v>
      </c>
      <c r="C16" s="53">
        <f t="shared" si="0"/>
        <v>0</v>
      </c>
      <c r="D16" s="53">
        <f t="shared" si="0"/>
        <v>3</v>
      </c>
      <c r="E16" s="53">
        <f t="shared" si="0"/>
        <v>3</v>
      </c>
      <c r="F16" s="53">
        <f t="shared" si="0"/>
        <v>1</v>
      </c>
      <c r="G16" s="53">
        <f t="shared" si="0"/>
        <v>0</v>
      </c>
      <c r="H16" s="8">
        <v>12</v>
      </c>
      <c r="I16" s="51"/>
      <c r="J16" s="24">
        <v>12</v>
      </c>
      <c r="K16" s="15" t="s">
        <v>36</v>
      </c>
      <c r="L16" s="15" t="s">
        <v>95</v>
      </c>
      <c r="M16" s="15" t="s">
        <v>63</v>
      </c>
      <c r="N16" s="15" t="s">
        <v>22</v>
      </c>
      <c r="O16" s="15" t="s">
        <v>18</v>
      </c>
      <c r="Q16" s="9">
        <v>10</v>
      </c>
      <c r="R16" s="9">
        <v>6</v>
      </c>
      <c r="S16" s="9">
        <v>13</v>
      </c>
      <c r="T16" s="9">
        <v>3</v>
      </c>
      <c r="U16" s="9">
        <v>4</v>
      </c>
      <c r="W16" s="24">
        <v>1</v>
      </c>
      <c r="X16" s="24">
        <v>1</v>
      </c>
      <c r="Y16" s="24">
        <v>1</v>
      </c>
      <c r="Z16" s="24">
        <v>1</v>
      </c>
      <c r="AA16" s="24">
        <v>1</v>
      </c>
      <c r="AC16" s="80" t="str">
        <v>J</v>
      </c>
      <c r="AD16" s="66">
        <v>7</v>
      </c>
      <c r="AE16" s="66">
        <v>8</v>
      </c>
      <c r="AF16" s="66">
        <v>0</v>
      </c>
      <c r="AG16" s="66">
        <v>7</v>
      </c>
      <c r="AH16" s="66">
        <v>14</v>
      </c>
      <c r="AI16" s="5"/>
      <c r="AJ16" s="80" t="str">
        <v>J</v>
      </c>
      <c r="AK16" s="66">
        <v>7</v>
      </c>
      <c r="AL16" s="66">
        <v>8</v>
      </c>
      <c r="AM16" s="66">
        <v>0</v>
      </c>
      <c r="AN16" s="66">
        <v>7</v>
      </c>
      <c r="AO16" s="66">
        <v>14</v>
      </c>
    </row>
    <row r="17" spans="1:41" ht="15.9" customHeight="1" x14ac:dyDescent="0.3">
      <c r="A17" s="28" t="str">
        <v>G3</v>
      </c>
      <c r="B17" s="8" t="str">
        <v>Gold M3</v>
      </c>
      <c r="C17" s="53">
        <f t="shared" si="0"/>
        <v>0</v>
      </c>
      <c r="D17" s="53">
        <f t="shared" si="0"/>
        <v>3</v>
      </c>
      <c r="E17" s="53">
        <f t="shared" si="0"/>
        <v>8</v>
      </c>
      <c r="F17" s="53">
        <f t="shared" si="0"/>
        <v>2</v>
      </c>
      <c r="G17" s="53">
        <f t="shared" si="0"/>
        <v>0</v>
      </c>
      <c r="H17" s="8">
        <v>13</v>
      </c>
      <c r="I17" s="51"/>
      <c r="J17" s="9">
        <v>13</v>
      </c>
      <c r="K17" s="15" t="s">
        <v>19</v>
      </c>
      <c r="L17" s="15" t="s">
        <v>64</v>
      </c>
      <c r="M17" s="15" t="s">
        <v>65</v>
      </c>
      <c r="N17" s="15" t="s">
        <v>35</v>
      </c>
      <c r="O17" s="15" t="s">
        <v>35</v>
      </c>
      <c r="Q17" s="9">
        <v>5</v>
      </c>
      <c r="R17" s="9">
        <v>14</v>
      </c>
      <c r="S17" s="9">
        <v>16</v>
      </c>
      <c r="T17" s="9">
        <v>8</v>
      </c>
      <c r="U17" s="9">
        <v>8</v>
      </c>
      <c r="W17" s="24">
        <v>1</v>
      </c>
      <c r="X17" s="24">
        <v>1</v>
      </c>
      <c r="Y17" s="24">
        <v>1</v>
      </c>
      <c r="Z17" s="24">
        <v>1</v>
      </c>
      <c r="AA17" s="24">
        <v>1</v>
      </c>
      <c r="AC17" s="71" t="str">
        <v>G1</v>
      </c>
      <c r="AD17" s="53">
        <v>0</v>
      </c>
      <c r="AE17" s="53">
        <v>2</v>
      </c>
      <c r="AF17" s="53">
        <v>3</v>
      </c>
      <c r="AG17" s="53">
        <v>1</v>
      </c>
      <c r="AH17" s="53">
        <v>0</v>
      </c>
      <c r="AI17" s="5"/>
      <c r="AJ17" s="71" t="str">
        <v>G1</v>
      </c>
      <c r="AK17" s="53">
        <v>0</v>
      </c>
      <c r="AL17" s="53">
        <v>2</v>
      </c>
      <c r="AM17" s="53">
        <v>3</v>
      </c>
      <c r="AN17" s="53">
        <v>1</v>
      </c>
      <c r="AO17" s="53">
        <v>0</v>
      </c>
    </row>
    <row r="18" spans="1:41" ht="15.9" customHeight="1" x14ac:dyDescent="0.3">
      <c r="A18" s="28" t="str">
        <v>G4</v>
      </c>
      <c r="B18" s="8" t="str">
        <v>Gold M4</v>
      </c>
      <c r="C18" s="53">
        <f t="shared" si="0"/>
        <v>0</v>
      </c>
      <c r="D18" s="53">
        <f t="shared" si="0"/>
        <v>8</v>
      </c>
      <c r="E18" s="53">
        <f t="shared" si="0"/>
        <v>43</v>
      </c>
      <c r="F18" s="53">
        <f t="shared" si="0"/>
        <v>11</v>
      </c>
      <c r="G18" s="53">
        <f t="shared" si="0"/>
        <v>0</v>
      </c>
      <c r="H18" s="8">
        <v>14</v>
      </c>
      <c r="I18" s="51"/>
      <c r="J18" s="24">
        <v>14</v>
      </c>
      <c r="K18" s="15" t="s">
        <v>95</v>
      </c>
      <c r="L18" s="15" t="s">
        <v>18</v>
      </c>
      <c r="M18" s="15" t="s">
        <v>64</v>
      </c>
      <c r="N18" s="15" t="s">
        <v>19</v>
      </c>
      <c r="O18" s="15" t="s">
        <v>36</v>
      </c>
      <c r="Q18" s="9">
        <v>6</v>
      </c>
      <c r="R18" s="9">
        <v>4</v>
      </c>
      <c r="S18" s="9">
        <v>14</v>
      </c>
      <c r="T18" s="9">
        <v>5</v>
      </c>
      <c r="U18" s="9">
        <v>10</v>
      </c>
      <c r="W18" s="24">
        <v>1</v>
      </c>
      <c r="X18" s="24">
        <v>1</v>
      </c>
      <c r="Y18" s="24">
        <v>1</v>
      </c>
      <c r="Z18" s="24">
        <v>1</v>
      </c>
      <c r="AA18" s="24">
        <v>1</v>
      </c>
      <c r="AC18" s="71" t="str">
        <v>G2</v>
      </c>
      <c r="AD18" s="53">
        <v>0</v>
      </c>
      <c r="AE18" s="53">
        <v>3</v>
      </c>
      <c r="AF18" s="53">
        <v>1</v>
      </c>
      <c r="AG18" s="53">
        <v>1</v>
      </c>
      <c r="AH18" s="53">
        <v>0</v>
      </c>
      <c r="AI18" s="5"/>
      <c r="AJ18" s="71" t="str">
        <v>G2</v>
      </c>
      <c r="AK18" s="53">
        <v>0</v>
      </c>
      <c r="AL18" s="53">
        <v>3</v>
      </c>
      <c r="AM18" s="53">
        <v>1</v>
      </c>
      <c r="AN18" s="53">
        <v>1</v>
      </c>
      <c r="AO18" s="53">
        <v>0</v>
      </c>
    </row>
    <row r="19" spans="1:41" ht="15.9" customHeight="1" x14ac:dyDescent="0.3">
      <c r="A19" s="28" t="str">
        <v>G5</v>
      </c>
      <c r="B19" s="8" t="str">
        <v>Gold M5</v>
      </c>
      <c r="C19" s="53">
        <f t="shared" si="0"/>
        <v>0</v>
      </c>
      <c r="D19" s="53">
        <f t="shared" si="0"/>
        <v>8</v>
      </c>
      <c r="E19" s="53">
        <f t="shared" si="0"/>
        <v>42</v>
      </c>
      <c r="F19" s="53">
        <f t="shared" si="0"/>
        <v>12</v>
      </c>
      <c r="G19" s="53">
        <f t="shared" si="0"/>
        <v>0</v>
      </c>
      <c r="H19" s="8">
        <v>15</v>
      </c>
      <c r="I19" s="51"/>
      <c r="J19" s="9">
        <v>15</v>
      </c>
      <c r="K19" s="15" t="s">
        <v>19</v>
      </c>
      <c r="L19" s="15" t="s">
        <v>35</v>
      </c>
      <c r="M19" s="15" t="s">
        <v>65</v>
      </c>
      <c r="N19" s="15" t="s">
        <v>95</v>
      </c>
      <c r="O19" s="15" t="s">
        <v>18</v>
      </c>
      <c r="Q19" s="9">
        <v>5</v>
      </c>
      <c r="R19" s="9">
        <v>8</v>
      </c>
      <c r="S19" s="9">
        <v>16</v>
      </c>
      <c r="T19" s="9">
        <v>6</v>
      </c>
      <c r="U19" s="9">
        <v>4</v>
      </c>
      <c r="W19" s="24">
        <v>1</v>
      </c>
      <c r="X19" s="24">
        <v>1</v>
      </c>
      <c r="Y19" s="24">
        <v>1</v>
      </c>
      <c r="Z19" s="24">
        <v>1</v>
      </c>
      <c r="AA19" s="24">
        <v>1</v>
      </c>
      <c r="AC19" s="71" t="str">
        <v>G3</v>
      </c>
      <c r="AD19" s="53">
        <v>0</v>
      </c>
      <c r="AE19" s="53">
        <v>3</v>
      </c>
      <c r="AF19" s="53">
        <v>8</v>
      </c>
      <c r="AG19" s="53">
        <v>2</v>
      </c>
      <c r="AH19" s="53">
        <v>0</v>
      </c>
      <c r="AI19" s="5"/>
      <c r="AJ19" s="71" t="str">
        <v>G3</v>
      </c>
      <c r="AK19" s="53">
        <v>0</v>
      </c>
      <c r="AL19" s="53">
        <v>3</v>
      </c>
      <c r="AM19" s="53">
        <v>8</v>
      </c>
      <c r="AN19" s="53">
        <v>2</v>
      </c>
      <c r="AO19" s="53">
        <v>0</v>
      </c>
    </row>
    <row r="20" spans="1:41" ht="15.9" customHeight="1" x14ac:dyDescent="0.3">
      <c r="A20" s="28" t="str">
        <v>GA</v>
      </c>
      <c r="B20" s="8" t="str">
        <v>Gold A</v>
      </c>
      <c r="C20" s="53">
        <f t="shared" si="0"/>
        <v>0</v>
      </c>
      <c r="D20" s="53">
        <f t="shared" si="0"/>
        <v>10</v>
      </c>
      <c r="E20" s="53">
        <f t="shared" si="0"/>
        <v>42</v>
      </c>
      <c r="F20" s="53">
        <f t="shared" si="0"/>
        <v>10</v>
      </c>
      <c r="G20" s="53">
        <f t="shared" si="0"/>
        <v>0</v>
      </c>
      <c r="H20" s="8">
        <v>16</v>
      </c>
      <c r="I20" s="51"/>
      <c r="J20" s="24">
        <v>16</v>
      </c>
      <c r="K20" s="15" t="s">
        <v>35</v>
      </c>
      <c r="L20" s="15" t="s">
        <v>36</v>
      </c>
      <c r="M20" s="15" t="s">
        <v>64</v>
      </c>
      <c r="N20" s="15" t="s">
        <v>35</v>
      </c>
      <c r="O20" s="15" t="s">
        <v>95</v>
      </c>
      <c r="Q20" s="9">
        <v>8</v>
      </c>
      <c r="R20" s="9">
        <v>10</v>
      </c>
      <c r="S20" s="9">
        <v>14</v>
      </c>
      <c r="T20" s="9">
        <v>8</v>
      </c>
      <c r="U20" s="9">
        <v>6</v>
      </c>
      <c r="W20" s="24">
        <v>1</v>
      </c>
      <c r="X20" s="24">
        <v>1</v>
      </c>
      <c r="Y20" s="24">
        <v>1</v>
      </c>
      <c r="Z20" s="24">
        <v>1</v>
      </c>
      <c r="AA20" s="24">
        <v>1</v>
      </c>
      <c r="AC20" s="71" t="str">
        <v>G4</v>
      </c>
      <c r="AD20" s="53">
        <v>0</v>
      </c>
      <c r="AE20" s="53">
        <v>8</v>
      </c>
      <c r="AF20" s="53">
        <v>43</v>
      </c>
      <c r="AG20" s="53">
        <v>11</v>
      </c>
      <c r="AH20" s="53">
        <v>0</v>
      </c>
      <c r="AI20" s="5"/>
      <c r="AJ20" s="71" t="str">
        <v>G4</v>
      </c>
      <c r="AK20" s="53">
        <v>0</v>
      </c>
      <c r="AL20" s="53">
        <v>8</v>
      </c>
      <c r="AM20" s="53">
        <v>43</v>
      </c>
      <c r="AN20" s="53">
        <v>11</v>
      </c>
      <c r="AO20" s="53">
        <v>0</v>
      </c>
    </row>
    <row r="21" spans="1:41" ht="15.9" customHeight="1" x14ac:dyDescent="0.3">
      <c r="A21" s="28" t="str">
        <v>GK</v>
      </c>
      <c r="B21" s="8" t="str">
        <v>Gold K</v>
      </c>
      <c r="C21" s="53">
        <f t="shared" si="0"/>
        <v>0</v>
      </c>
      <c r="D21" s="53">
        <f t="shared" si="0"/>
        <v>9</v>
      </c>
      <c r="E21" s="53">
        <f t="shared" si="0"/>
        <v>44</v>
      </c>
      <c r="F21" s="53">
        <f t="shared" si="0"/>
        <v>10</v>
      </c>
      <c r="G21" s="53">
        <f t="shared" si="0"/>
        <v>0</v>
      </c>
      <c r="H21" s="8">
        <v>17</v>
      </c>
      <c r="I21" s="51"/>
      <c r="J21" s="9">
        <v>17</v>
      </c>
      <c r="K21" s="15" t="s">
        <v>37</v>
      </c>
      <c r="L21" s="15" t="s">
        <v>95</v>
      </c>
      <c r="M21" s="15" t="s">
        <v>65</v>
      </c>
      <c r="N21" s="15" t="s">
        <v>96</v>
      </c>
      <c r="O21" s="15" t="s">
        <v>37</v>
      </c>
      <c r="Q21" s="9">
        <v>7</v>
      </c>
      <c r="R21" s="9">
        <v>6</v>
      </c>
      <c r="S21" s="9">
        <v>16</v>
      </c>
      <c r="T21" s="9">
        <v>15</v>
      </c>
      <c r="U21" s="9">
        <v>7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C21" s="71" t="str">
        <v>G5</v>
      </c>
      <c r="AD21" s="53">
        <v>0</v>
      </c>
      <c r="AE21" s="53">
        <v>8</v>
      </c>
      <c r="AF21" s="53">
        <v>42</v>
      </c>
      <c r="AG21" s="53">
        <v>12</v>
      </c>
      <c r="AH21" s="53">
        <v>0</v>
      </c>
      <c r="AI21" s="5"/>
      <c r="AJ21" s="71" t="str">
        <v>G5</v>
      </c>
      <c r="AK21" s="53">
        <v>0</v>
      </c>
      <c r="AL21" s="53">
        <v>8</v>
      </c>
      <c r="AM21" s="53">
        <v>42</v>
      </c>
      <c r="AN21" s="53">
        <v>12</v>
      </c>
      <c r="AO21" s="53">
        <v>0</v>
      </c>
    </row>
    <row r="22" spans="1:41" ht="15.9" customHeight="1" x14ac:dyDescent="0.3">
      <c r="A22" s="28" t="str">
        <v>GQ</v>
      </c>
      <c r="B22" s="8" t="str">
        <v>Gold Q</v>
      </c>
      <c r="C22" s="53">
        <f t="shared" si="0"/>
        <v>0</v>
      </c>
      <c r="D22" s="53">
        <f t="shared" si="0"/>
        <v>3</v>
      </c>
      <c r="E22" s="53">
        <f t="shared" si="0"/>
        <v>6</v>
      </c>
      <c r="F22" s="53">
        <f t="shared" si="0"/>
        <v>1</v>
      </c>
      <c r="G22" s="53">
        <f t="shared" si="0"/>
        <v>0</v>
      </c>
      <c r="H22" s="8">
        <v>18</v>
      </c>
      <c r="I22" s="51"/>
      <c r="J22" s="24">
        <v>18</v>
      </c>
      <c r="K22" s="15" t="s">
        <v>34</v>
      </c>
      <c r="L22" s="15" t="s">
        <v>64</v>
      </c>
      <c r="M22" s="15" t="s">
        <v>81</v>
      </c>
      <c r="N22" s="15" t="s">
        <v>37</v>
      </c>
      <c r="O22" s="15" t="s">
        <v>19</v>
      </c>
      <c r="Q22" s="9">
        <v>9</v>
      </c>
      <c r="R22" s="9">
        <v>14</v>
      </c>
      <c r="S22" s="9">
        <v>17</v>
      </c>
      <c r="T22" s="9">
        <v>7</v>
      </c>
      <c r="U22" s="9">
        <v>5</v>
      </c>
      <c r="W22" s="24">
        <v>1</v>
      </c>
      <c r="X22" s="24">
        <v>1</v>
      </c>
      <c r="Y22" s="24">
        <v>1</v>
      </c>
      <c r="Z22" s="24">
        <v>1</v>
      </c>
      <c r="AA22" s="24">
        <v>1</v>
      </c>
      <c r="AC22" s="71" t="str">
        <v>GA</v>
      </c>
      <c r="AD22" s="53">
        <v>0</v>
      </c>
      <c r="AE22" s="53">
        <v>10</v>
      </c>
      <c r="AF22" s="53">
        <v>42</v>
      </c>
      <c r="AG22" s="53">
        <v>10</v>
      </c>
      <c r="AH22" s="53">
        <v>0</v>
      </c>
      <c r="AI22" s="5"/>
      <c r="AJ22" s="71" t="str">
        <v>GA</v>
      </c>
      <c r="AK22" s="53">
        <v>0</v>
      </c>
      <c r="AL22" s="53">
        <v>10</v>
      </c>
      <c r="AM22" s="53">
        <v>42</v>
      </c>
      <c r="AN22" s="53">
        <v>10</v>
      </c>
      <c r="AO22" s="53">
        <v>0</v>
      </c>
    </row>
    <row r="23" spans="1:41" ht="15.9" customHeight="1" x14ac:dyDescent="0.3">
      <c r="A23" s="28" t="str">
        <v>GJ</v>
      </c>
      <c r="B23" s="8" t="str">
        <v>Gold J</v>
      </c>
      <c r="C23" s="53">
        <f t="shared" si="0"/>
        <v>0</v>
      </c>
      <c r="D23" s="53">
        <f t="shared" si="0"/>
        <v>2</v>
      </c>
      <c r="E23" s="53">
        <f t="shared" si="0"/>
        <v>9</v>
      </c>
      <c r="F23" s="53">
        <f t="shared" si="0"/>
        <v>2</v>
      </c>
      <c r="G23" s="53">
        <f t="shared" si="0"/>
        <v>0</v>
      </c>
      <c r="H23" s="8">
        <v>19</v>
      </c>
      <c r="I23" s="51"/>
      <c r="J23" s="9">
        <v>19</v>
      </c>
      <c r="K23" s="15" t="s">
        <v>22</v>
      </c>
      <c r="L23" s="15" t="s">
        <v>36</v>
      </c>
      <c r="M23" s="15" t="s">
        <v>64</v>
      </c>
      <c r="N23" s="15" t="s">
        <v>35</v>
      </c>
      <c r="O23" s="15" t="s">
        <v>34</v>
      </c>
      <c r="Q23" s="9">
        <v>3</v>
      </c>
      <c r="R23" s="9">
        <v>10</v>
      </c>
      <c r="S23" s="9">
        <v>14</v>
      </c>
      <c r="T23" s="9">
        <v>8</v>
      </c>
      <c r="U23" s="9">
        <v>9</v>
      </c>
      <c r="W23" s="24">
        <v>1</v>
      </c>
      <c r="X23" s="24">
        <v>1</v>
      </c>
      <c r="Y23" s="24">
        <v>1</v>
      </c>
      <c r="Z23" s="24">
        <v>1</v>
      </c>
      <c r="AA23" s="24">
        <v>1</v>
      </c>
      <c r="AC23" s="71" t="str">
        <v>GK</v>
      </c>
      <c r="AD23" s="53">
        <v>0</v>
      </c>
      <c r="AE23" s="53">
        <v>9</v>
      </c>
      <c r="AF23" s="53">
        <v>44</v>
      </c>
      <c r="AG23" s="53">
        <v>10</v>
      </c>
      <c r="AH23" s="53">
        <v>0</v>
      </c>
      <c r="AI23" s="5"/>
      <c r="AJ23" s="71" t="str">
        <v>GK</v>
      </c>
      <c r="AK23" s="53">
        <v>0</v>
      </c>
      <c r="AL23" s="53">
        <v>9</v>
      </c>
      <c r="AM23" s="53">
        <v>44</v>
      </c>
      <c r="AN23" s="53">
        <v>10</v>
      </c>
      <c r="AO23" s="53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51"/>
      <c r="J24" s="24">
        <v>20</v>
      </c>
      <c r="K24" s="15" t="s">
        <v>20</v>
      </c>
      <c r="L24" s="15" t="s">
        <v>22</v>
      </c>
      <c r="M24" s="15" t="s">
        <v>65</v>
      </c>
      <c r="N24" s="15" t="s">
        <v>95</v>
      </c>
      <c r="O24" s="15" t="s">
        <v>37</v>
      </c>
      <c r="Q24" s="9">
        <v>1</v>
      </c>
      <c r="R24" s="9">
        <v>3</v>
      </c>
      <c r="S24" s="9">
        <v>16</v>
      </c>
      <c r="T24" s="9">
        <v>6</v>
      </c>
      <c r="U24" s="9">
        <v>7</v>
      </c>
      <c r="W24" s="24">
        <v>1</v>
      </c>
      <c r="X24" s="24">
        <v>1</v>
      </c>
      <c r="Y24" s="24">
        <v>1</v>
      </c>
      <c r="Z24" s="24">
        <v>1</v>
      </c>
      <c r="AA24" s="24">
        <v>1</v>
      </c>
      <c r="AC24" s="71" t="str">
        <v>GQ</v>
      </c>
      <c r="AD24" s="53">
        <v>0</v>
      </c>
      <c r="AE24" s="53">
        <v>3</v>
      </c>
      <c r="AF24" s="53">
        <v>6</v>
      </c>
      <c r="AG24" s="53">
        <v>1</v>
      </c>
      <c r="AH24" s="53">
        <v>0</v>
      </c>
      <c r="AI24" s="5"/>
      <c r="AJ24" s="71" t="str">
        <v>GQ</v>
      </c>
      <c r="AK24" s="53">
        <v>0</v>
      </c>
      <c r="AL24" s="53">
        <v>3</v>
      </c>
      <c r="AM24" s="53">
        <v>6</v>
      </c>
      <c r="AN24" s="53">
        <v>1</v>
      </c>
      <c r="AO24" s="53">
        <v>0</v>
      </c>
    </row>
    <row r="25" spans="1:41" ht="16.5" customHeight="1" x14ac:dyDescent="0.3">
      <c r="I25" s="51"/>
      <c r="J25" s="9">
        <v>21</v>
      </c>
      <c r="K25" s="15" t="s">
        <v>35</v>
      </c>
      <c r="L25" s="15" t="s">
        <v>37</v>
      </c>
      <c r="M25" s="15" t="s">
        <v>81</v>
      </c>
      <c r="N25" s="15" t="s">
        <v>37</v>
      </c>
      <c r="O25" s="15" t="s">
        <v>34</v>
      </c>
      <c r="Q25" s="9">
        <v>8</v>
      </c>
      <c r="R25" s="9">
        <v>7</v>
      </c>
      <c r="S25" s="9">
        <v>17</v>
      </c>
      <c r="T25" s="9">
        <v>7</v>
      </c>
      <c r="U25" s="9">
        <v>9</v>
      </c>
      <c r="W25" s="24">
        <v>1</v>
      </c>
      <c r="X25" s="24">
        <v>1</v>
      </c>
      <c r="Y25" s="24">
        <v>1</v>
      </c>
      <c r="Z25" s="24">
        <v>1</v>
      </c>
      <c r="AA25" s="24">
        <v>1</v>
      </c>
      <c r="AC25" s="71" t="str">
        <v>GJ</v>
      </c>
      <c r="AD25" s="53">
        <v>0</v>
      </c>
      <c r="AE25" s="53">
        <v>2</v>
      </c>
      <c r="AF25" s="53">
        <v>9</v>
      </c>
      <c r="AG25" s="53">
        <v>2</v>
      </c>
      <c r="AH25" s="53">
        <v>0</v>
      </c>
      <c r="AI25" s="5"/>
      <c r="AJ25" s="71" t="str">
        <v>GJ</v>
      </c>
      <c r="AK25" s="53">
        <v>0</v>
      </c>
      <c r="AL25" s="53">
        <v>2</v>
      </c>
      <c r="AM25" s="53">
        <v>9</v>
      </c>
      <c r="AN25" s="53">
        <v>2</v>
      </c>
      <c r="AO25" s="53">
        <v>0</v>
      </c>
    </row>
    <row r="26" spans="1:41" ht="16.5" customHeight="1" x14ac:dyDescent="0.3">
      <c r="B26" s="5" t="s">
        <v>110</v>
      </c>
      <c r="C26" s="86">
        <f>SUM(C4:C14)/C24</f>
        <v>1</v>
      </c>
      <c r="D26" s="86">
        <f>SUM(D4:D14)/D24</f>
        <v>0.76</v>
      </c>
      <c r="E26" s="86">
        <f>SUM(E4:E14)/E24</f>
        <v>0</v>
      </c>
      <c r="F26" s="86">
        <f>SUM(F4:F14)/F24</f>
        <v>0.75</v>
      </c>
      <c r="G26" s="86">
        <f>SUM(G4:G14)/G24</f>
        <v>1</v>
      </c>
      <c r="I26" s="51"/>
      <c r="J26" s="24">
        <v>22</v>
      </c>
      <c r="K26" s="15" t="s">
        <v>95</v>
      </c>
      <c r="L26" s="15" t="s">
        <v>95</v>
      </c>
      <c r="M26" s="15" t="s">
        <v>70</v>
      </c>
      <c r="N26" s="15" t="s">
        <v>22</v>
      </c>
      <c r="O26" s="15" t="s">
        <v>35</v>
      </c>
      <c r="Q26" s="9">
        <v>6</v>
      </c>
      <c r="R26" s="9">
        <v>6</v>
      </c>
      <c r="S26" s="9">
        <v>19</v>
      </c>
      <c r="T26" s="9">
        <v>3</v>
      </c>
      <c r="U26" s="9">
        <v>8</v>
      </c>
      <c r="W26" s="24">
        <v>1</v>
      </c>
      <c r="X26" s="24">
        <v>1</v>
      </c>
      <c r="Y26" s="24">
        <v>1</v>
      </c>
      <c r="Z26" s="24">
        <v>1</v>
      </c>
      <c r="AA26" s="24">
        <v>1</v>
      </c>
      <c r="AD26" s="59">
        <f>SUM(AD6:AD25)</f>
        <v>199</v>
      </c>
      <c r="AE26" s="59">
        <f>SUM(AE6:AE25)</f>
        <v>199</v>
      </c>
      <c r="AF26" s="59">
        <f>SUM(AF6:AF25)</f>
        <v>198</v>
      </c>
      <c r="AG26" s="59">
        <f>SUM(AG6:AG25)</f>
        <v>198</v>
      </c>
      <c r="AH26" s="59">
        <f>SUM(AH6:AH25)</f>
        <v>198</v>
      </c>
      <c r="AI26" s="5"/>
      <c r="AK26" s="59">
        <f>SUM(AK6:AK25)</f>
        <v>199</v>
      </c>
      <c r="AL26" s="59">
        <f>SUM(AL6:AL25)</f>
        <v>199</v>
      </c>
      <c r="AM26" s="59">
        <f>SUM(AM6:AM25)</f>
        <v>198</v>
      </c>
      <c r="AN26" s="59">
        <f>SUM(AN6:AN25)</f>
        <v>198</v>
      </c>
      <c r="AO26" s="59">
        <f>SUM(AO6:AO25)</f>
        <v>198</v>
      </c>
    </row>
    <row r="27" spans="1:41" ht="16.5" customHeight="1" x14ac:dyDescent="0.3">
      <c r="B27" s="5" t="s">
        <v>109</v>
      </c>
      <c r="C27" s="86">
        <f>SUM(C15:C23)/C24</f>
        <v>0</v>
      </c>
      <c r="D27" s="86">
        <f>SUM(D15:D23)/D24</f>
        <v>0.24</v>
      </c>
      <c r="E27" s="86">
        <f>SUM(E15:E23)/E24</f>
        <v>1</v>
      </c>
      <c r="F27" s="86">
        <f>SUM(F15:F23)/F24</f>
        <v>0.25</v>
      </c>
      <c r="G27" s="86">
        <f>SUM(G15:G23)/G24</f>
        <v>0</v>
      </c>
      <c r="I27" s="51"/>
      <c r="J27" s="9">
        <v>23</v>
      </c>
      <c r="K27" s="15" t="s">
        <v>37</v>
      </c>
      <c r="L27" s="15" t="s">
        <v>34</v>
      </c>
      <c r="M27" s="15" t="s">
        <v>81</v>
      </c>
      <c r="N27" s="15" t="s">
        <v>64</v>
      </c>
      <c r="O27" s="15" t="s">
        <v>22</v>
      </c>
      <c r="Q27" s="9">
        <v>7</v>
      </c>
      <c r="R27" s="9">
        <v>9</v>
      </c>
      <c r="S27" s="9">
        <v>17</v>
      </c>
      <c r="T27" s="9">
        <v>14</v>
      </c>
      <c r="U27" s="9">
        <v>3</v>
      </c>
      <c r="W27" s="24">
        <v>1</v>
      </c>
      <c r="X27" s="24">
        <v>1</v>
      </c>
      <c r="Y27" s="24">
        <v>1</v>
      </c>
      <c r="Z27" s="24">
        <v>1</v>
      </c>
      <c r="AA27" s="24">
        <v>1</v>
      </c>
      <c r="AH27" s="5"/>
      <c r="AI27" s="5"/>
      <c r="AO27" s="5"/>
    </row>
    <row r="28" spans="1:41" ht="16.5" customHeight="1" x14ac:dyDescent="0.3">
      <c r="I28" s="51"/>
      <c r="J28" s="24">
        <v>24</v>
      </c>
      <c r="K28" s="15" t="s">
        <v>95</v>
      </c>
      <c r="L28" s="15" t="s">
        <v>37</v>
      </c>
      <c r="M28" s="15" t="s">
        <v>65</v>
      </c>
      <c r="N28" s="15" t="s">
        <v>35</v>
      </c>
      <c r="O28" s="15" t="s">
        <v>37</v>
      </c>
      <c r="Q28" s="9">
        <v>6</v>
      </c>
      <c r="R28" s="9">
        <v>7</v>
      </c>
      <c r="S28" s="9">
        <v>16</v>
      </c>
      <c r="T28" s="9">
        <v>8</v>
      </c>
      <c r="U28" s="9">
        <v>7</v>
      </c>
      <c r="W28" s="24">
        <v>1</v>
      </c>
      <c r="X28" s="24">
        <v>1</v>
      </c>
      <c r="Y28" s="24">
        <v>1</v>
      </c>
      <c r="Z28" s="24">
        <v>1</v>
      </c>
      <c r="AA28" s="24">
        <v>1</v>
      </c>
      <c r="AC28" s="26" t="s">
        <v>100</v>
      </c>
      <c r="AH28" s="5"/>
      <c r="AI28" s="5"/>
      <c r="AJ28" s="26" t="s">
        <v>100</v>
      </c>
      <c r="AO28" s="5"/>
    </row>
    <row r="29" spans="1:41" ht="16.5" customHeight="1" x14ac:dyDescent="0.3">
      <c r="I29" s="51"/>
      <c r="J29" s="9">
        <v>25</v>
      </c>
      <c r="K29" s="15" t="s">
        <v>34</v>
      </c>
      <c r="L29" s="15" t="s">
        <v>19</v>
      </c>
      <c r="M29" s="15" t="s">
        <v>64</v>
      </c>
      <c r="N29" s="15" t="s">
        <v>37</v>
      </c>
      <c r="O29" s="15" t="s">
        <v>18</v>
      </c>
      <c r="Q29" s="9">
        <v>9</v>
      </c>
      <c r="R29" s="9">
        <v>5</v>
      </c>
      <c r="S29" s="9">
        <v>14</v>
      </c>
      <c r="T29" s="9">
        <v>7</v>
      </c>
      <c r="U29" s="9">
        <v>4</v>
      </c>
      <c r="W29" s="24">
        <v>1</v>
      </c>
      <c r="X29" s="24">
        <v>1</v>
      </c>
      <c r="Y29" s="24">
        <v>1</v>
      </c>
      <c r="Z29" s="24">
        <v>1</v>
      </c>
      <c r="AA29" s="24">
        <v>1</v>
      </c>
      <c r="AC29" s="68" t="s">
        <v>42</v>
      </c>
      <c r="AD29" s="68" t="s">
        <v>13</v>
      </c>
      <c r="AE29" s="68" t="s">
        <v>14</v>
      </c>
      <c r="AF29" s="68" t="s">
        <v>15</v>
      </c>
      <c r="AG29" s="68" t="s">
        <v>16</v>
      </c>
      <c r="AH29" s="68" t="s">
        <v>17</v>
      </c>
      <c r="AI29" s="5"/>
      <c r="AJ29" s="68" t="s">
        <v>42</v>
      </c>
      <c r="AK29" s="68" t="s">
        <v>13</v>
      </c>
      <c r="AL29" s="68" t="s">
        <v>14</v>
      </c>
      <c r="AM29" s="68" t="s">
        <v>15</v>
      </c>
      <c r="AN29" s="68" t="s">
        <v>16</v>
      </c>
      <c r="AO29" s="68" t="s">
        <v>17</v>
      </c>
    </row>
    <row r="30" spans="1:41" ht="16.5" customHeight="1" x14ac:dyDescent="0.3">
      <c r="I30" s="51"/>
      <c r="J30" s="24">
        <v>26</v>
      </c>
      <c r="K30" s="15" t="s">
        <v>37</v>
      </c>
      <c r="L30" s="15" t="s">
        <v>37</v>
      </c>
      <c r="M30" s="15" t="s">
        <v>70</v>
      </c>
      <c r="N30" s="15" t="s">
        <v>64</v>
      </c>
      <c r="O30" s="15" t="s">
        <v>21</v>
      </c>
      <c r="Q30" s="9">
        <v>7</v>
      </c>
      <c r="R30" s="9">
        <v>7</v>
      </c>
      <c r="S30" s="9">
        <v>19</v>
      </c>
      <c r="T30" s="9">
        <v>14</v>
      </c>
      <c r="U30" s="9">
        <v>2</v>
      </c>
      <c r="W30" s="24">
        <v>1</v>
      </c>
      <c r="X30" s="24">
        <v>1</v>
      </c>
      <c r="Y30" s="24">
        <v>1</v>
      </c>
      <c r="Z30" s="24">
        <v>1</v>
      </c>
      <c r="AA30" s="24">
        <v>1</v>
      </c>
      <c r="AC30" s="71" t="str" cm="1">
        <f t="array" ref="AC30:AC49">$A$4:$A$23</f>
        <v>WW</v>
      </c>
      <c r="AD30" s="72">
        <v>0</v>
      </c>
      <c r="AE30" s="72">
        <v>0</v>
      </c>
      <c r="AF30" s="72">
        <v>0</v>
      </c>
      <c r="AG30" s="72">
        <v>0</v>
      </c>
      <c r="AH30" s="72">
        <v>0</v>
      </c>
      <c r="AI30" s="5"/>
      <c r="AJ30" s="71" t="str" cm="1">
        <f t="array" ref="AJ30:AJ49">$A$4:$A$23</f>
        <v>WW</v>
      </c>
      <c r="AK30" s="72">
        <v>0</v>
      </c>
      <c r="AL30" s="72">
        <v>0</v>
      </c>
      <c r="AM30" s="72">
        <v>0</v>
      </c>
      <c r="AN30" s="72">
        <v>0</v>
      </c>
      <c r="AO30" s="72">
        <v>0</v>
      </c>
    </row>
    <row r="31" spans="1:41" ht="16.5" customHeight="1" x14ac:dyDescent="0.3">
      <c r="I31" s="51"/>
      <c r="J31" s="9">
        <v>27</v>
      </c>
      <c r="K31" s="15" t="s">
        <v>95</v>
      </c>
      <c r="L31" s="15" t="s">
        <v>22</v>
      </c>
      <c r="M31" s="15" t="s">
        <v>81</v>
      </c>
      <c r="N31" s="15" t="s">
        <v>65</v>
      </c>
      <c r="O31" s="15" t="s">
        <v>36</v>
      </c>
      <c r="Q31" s="9">
        <v>6</v>
      </c>
      <c r="R31" s="9">
        <v>3</v>
      </c>
      <c r="S31" s="9">
        <v>17</v>
      </c>
      <c r="T31" s="9">
        <v>16</v>
      </c>
      <c r="U31" s="9">
        <v>10</v>
      </c>
      <c r="W31" s="24">
        <v>1</v>
      </c>
      <c r="X31" s="24">
        <v>1</v>
      </c>
      <c r="Y31" s="24">
        <v>1</v>
      </c>
      <c r="Z31" s="24">
        <v>1</v>
      </c>
      <c r="AA31" s="24">
        <v>1</v>
      </c>
      <c r="AC31" s="71" t="str">
        <v>C1</v>
      </c>
      <c r="AD31" s="71">
        <v>1</v>
      </c>
      <c r="AE31" s="71">
        <v>1</v>
      </c>
      <c r="AF31" s="71">
        <v>1</v>
      </c>
      <c r="AG31" s="71">
        <v>1</v>
      </c>
      <c r="AH31" s="71">
        <v>1</v>
      </c>
      <c r="AI31" s="5"/>
      <c r="AJ31" s="71" t="str">
        <v>C1</v>
      </c>
      <c r="AK31" s="71">
        <v>1</v>
      </c>
      <c r="AL31" s="71">
        <v>1</v>
      </c>
      <c r="AM31" s="71">
        <v>1</v>
      </c>
      <c r="AN31" s="71">
        <v>1</v>
      </c>
      <c r="AO31" s="71">
        <v>1</v>
      </c>
    </row>
    <row r="32" spans="1:41" ht="16.5" customHeight="1" x14ac:dyDescent="0.3">
      <c r="J32" s="24">
        <v>28</v>
      </c>
      <c r="K32" s="15" t="s">
        <v>35</v>
      </c>
      <c r="L32" s="15" t="s">
        <v>37</v>
      </c>
      <c r="M32" s="15" t="s">
        <v>65</v>
      </c>
      <c r="N32" s="15" t="s">
        <v>95</v>
      </c>
      <c r="O32" s="15" t="s">
        <v>37</v>
      </c>
      <c r="Q32" s="9">
        <v>8</v>
      </c>
      <c r="R32" s="9">
        <v>7</v>
      </c>
      <c r="S32" s="9">
        <v>16</v>
      </c>
      <c r="T32" s="9">
        <v>6</v>
      </c>
      <c r="U32" s="9">
        <v>7</v>
      </c>
      <c r="W32" s="24">
        <v>1</v>
      </c>
      <c r="X32" s="24">
        <v>1</v>
      </c>
      <c r="Y32" s="24">
        <v>1</v>
      </c>
      <c r="Z32" s="24">
        <v>1</v>
      </c>
      <c r="AA32" s="24">
        <v>1</v>
      </c>
      <c r="AC32" s="80" t="str">
        <v>M1</v>
      </c>
      <c r="AD32" s="66">
        <v>3</v>
      </c>
      <c r="AE32" s="66">
        <v>10</v>
      </c>
      <c r="AF32" s="66">
        <v>0</v>
      </c>
      <c r="AG32" s="66">
        <v>3</v>
      </c>
      <c r="AH32" s="66">
        <v>9</v>
      </c>
      <c r="AI32" s="5"/>
      <c r="AJ32" s="80" t="str">
        <v>M1</v>
      </c>
      <c r="AK32" s="66">
        <v>3</v>
      </c>
      <c r="AL32" s="66">
        <v>10</v>
      </c>
      <c r="AM32" s="66">
        <v>0</v>
      </c>
      <c r="AN32" s="66">
        <v>3</v>
      </c>
      <c r="AO32" s="66">
        <v>9</v>
      </c>
    </row>
    <row r="33" spans="10:41" ht="16.5" customHeight="1" x14ac:dyDescent="0.3">
      <c r="J33" s="9">
        <v>29</v>
      </c>
      <c r="K33" s="15" t="s">
        <v>19</v>
      </c>
      <c r="L33" s="15" t="s">
        <v>35</v>
      </c>
      <c r="M33" s="15" t="s">
        <v>81</v>
      </c>
      <c r="N33" s="15" t="s">
        <v>96</v>
      </c>
      <c r="O33" s="15" t="s">
        <v>21</v>
      </c>
      <c r="Q33" s="9">
        <v>5</v>
      </c>
      <c r="R33" s="9">
        <v>8</v>
      </c>
      <c r="S33" s="9">
        <v>17</v>
      </c>
      <c r="T33" s="9">
        <v>15</v>
      </c>
      <c r="U33" s="9">
        <v>2</v>
      </c>
      <c r="W33" s="24">
        <v>1</v>
      </c>
      <c r="X33" s="24">
        <v>1</v>
      </c>
      <c r="Y33" s="24">
        <v>1</v>
      </c>
      <c r="Z33" s="24">
        <v>1</v>
      </c>
      <c r="AA33" s="24">
        <v>1</v>
      </c>
      <c r="AC33" s="80" t="str">
        <v>M2</v>
      </c>
      <c r="AD33" s="66">
        <v>3</v>
      </c>
      <c r="AE33" s="66">
        <v>12</v>
      </c>
      <c r="AF33" s="66">
        <v>0</v>
      </c>
      <c r="AG33" s="66">
        <v>3</v>
      </c>
      <c r="AH33" s="66">
        <v>8</v>
      </c>
      <c r="AI33" s="5"/>
      <c r="AJ33" s="80" t="str">
        <v>M2</v>
      </c>
      <c r="AK33" s="66">
        <v>3</v>
      </c>
      <c r="AL33" s="66">
        <v>12</v>
      </c>
      <c r="AM33" s="66">
        <v>0</v>
      </c>
      <c r="AN33" s="66">
        <v>3</v>
      </c>
      <c r="AO33" s="66">
        <v>8</v>
      </c>
    </row>
    <row r="34" spans="10:41" ht="16.5" customHeight="1" x14ac:dyDescent="0.3">
      <c r="J34" s="24">
        <v>30</v>
      </c>
      <c r="K34" s="15" t="s">
        <v>36</v>
      </c>
      <c r="L34" s="15" t="s">
        <v>65</v>
      </c>
      <c r="M34" s="15" t="s">
        <v>65</v>
      </c>
      <c r="N34" s="15" t="s">
        <v>35</v>
      </c>
      <c r="O34" s="15" t="s">
        <v>19</v>
      </c>
      <c r="Q34" s="9">
        <v>10</v>
      </c>
      <c r="R34" s="9">
        <v>16</v>
      </c>
      <c r="S34" s="9">
        <v>16</v>
      </c>
      <c r="T34" s="9">
        <v>8</v>
      </c>
      <c r="U34" s="9">
        <v>5</v>
      </c>
      <c r="W34" s="24">
        <v>1</v>
      </c>
      <c r="X34" s="24">
        <v>1</v>
      </c>
      <c r="Y34" s="24">
        <v>1</v>
      </c>
      <c r="Z34" s="24">
        <v>1</v>
      </c>
      <c r="AA34" s="24">
        <v>1</v>
      </c>
      <c r="AC34" s="80" t="str">
        <v>M3</v>
      </c>
      <c r="AD34" s="66">
        <v>7</v>
      </c>
      <c r="AE34" s="66">
        <v>13</v>
      </c>
      <c r="AF34" s="66">
        <v>0</v>
      </c>
      <c r="AG34" s="66">
        <v>7</v>
      </c>
      <c r="AH34" s="66">
        <v>14</v>
      </c>
      <c r="AI34" s="5"/>
      <c r="AJ34" s="80" t="str">
        <v>M3</v>
      </c>
      <c r="AK34" s="66">
        <v>7</v>
      </c>
      <c r="AL34" s="66">
        <v>13</v>
      </c>
      <c r="AM34" s="66">
        <v>0</v>
      </c>
      <c r="AN34" s="66">
        <v>7</v>
      </c>
      <c r="AO34" s="66">
        <v>14</v>
      </c>
    </row>
    <row r="35" spans="10:41" ht="16.5" customHeight="1" x14ac:dyDescent="0.3">
      <c r="J35" s="9">
        <v>31</v>
      </c>
      <c r="K35" s="15" t="s">
        <v>19</v>
      </c>
      <c r="L35" s="15" t="s">
        <v>95</v>
      </c>
      <c r="M35" s="15" t="s">
        <v>81</v>
      </c>
      <c r="N35" s="15" t="s">
        <v>95</v>
      </c>
      <c r="O35" s="15" t="s">
        <v>35</v>
      </c>
      <c r="Q35" s="9">
        <v>5</v>
      </c>
      <c r="R35" s="9">
        <v>6</v>
      </c>
      <c r="S35" s="9">
        <v>17</v>
      </c>
      <c r="T35" s="9">
        <v>6</v>
      </c>
      <c r="U35" s="9">
        <v>8</v>
      </c>
      <c r="W35" s="24">
        <v>1</v>
      </c>
      <c r="X35" s="24">
        <v>1</v>
      </c>
      <c r="Y35" s="24">
        <v>1</v>
      </c>
      <c r="Z35" s="24">
        <v>1</v>
      </c>
      <c r="AA35" s="24">
        <v>1</v>
      </c>
      <c r="AC35" s="80" t="str">
        <v>M4</v>
      </c>
      <c r="AD35" s="66">
        <v>43</v>
      </c>
      <c r="AE35" s="66">
        <v>22</v>
      </c>
      <c r="AF35" s="66">
        <v>0</v>
      </c>
      <c r="AG35" s="66">
        <v>31</v>
      </c>
      <c r="AH35" s="66">
        <v>36</v>
      </c>
      <c r="AI35" s="5"/>
      <c r="AJ35" s="80" t="str">
        <v>M4</v>
      </c>
      <c r="AK35" s="66">
        <v>43</v>
      </c>
      <c r="AL35" s="66">
        <v>22</v>
      </c>
      <c r="AM35" s="66">
        <v>0</v>
      </c>
      <c r="AN35" s="66">
        <v>31</v>
      </c>
      <c r="AO35" s="66">
        <v>36</v>
      </c>
    </row>
    <row r="36" spans="10:41" ht="16.5" customHeight="1" x14ac:dyDescent="0.3">
      <c r="J36" s="24">
        <v>32</v>
      </c>
      <c r="K36" s="15" t="s">
        <v>95</v>
      </c>
      <c r="L36" s="15" t="s">
        <v>18</v>
      </c>
      <c r="M36" s="15" t="s">
        <v>63</v>
      </c>
      <c r="N36" s="15" t="s">
        <v>96</v>
      </c>
      <c r="O36" s="15" t="s">
        <v>18</v>
      </c>
      <c r="Q36" s="9">
        <v>6</v>
      </c>
      <c r="R36" s="9">
        <v>4</v>
      </c>
      <c r="S36" s="9">
        <v>13</v>
      </c>
      <c r="T36" s="9">
        <v>15</v>
      </c>
      <c r="U36" s="9">
        <v>4</v>
      </c>
      <c r="W36" s="24">
        <v>1</v>
      </c>
      <c r="X36" s="24">
        <v>1</v>
      </c>
      <c r="Y36" s="24">
        <v>1</v>
      </c>
      <c r="Z36" s="24">
        <v>1</v>
      </c>
      <c r="AA36" s="24">
        <v>1</v>
      </c>
      <c r="AC36" s="80" t="str">
        <v>M5</v>
      </c>
      <c r="AD36" s="66">
        <v>42</v>
      </c>
      <c r="AE36" s="66">
        <v>22</v>
      </c>
      <c r="AF36" s="66">
        <v>0</v>
      </c>
      <c r="AG36" s="66">
        <v>27</v>
      </c>
      <c r="AH36" s="66">
        <v>34</v>
      </c>
      <c r="AI36" s="5"/>
      <c r="AJ36" s="80" t="str">
        <v>M5</v>
      </c>
      <c r="AK36" s="66">
        <v>42</v>
      </c>
      <c r="AL36" s="66">
        <v>22</v>
      </c>
      <c r="AM36" s="66">
        <v>0</v>
      </c>
      <c r="AN36" s="66">
        <v>27</v>
      </c>
      <c r="AO36" s="66">
        <v>34</v>
      </c>
    </row>
    <row r="37" spans="10:41" ht="16.5" customHeight="1" x14ac:dyDescent="0.3">
      <c r="J37" s="9">
        <v>33</v>
      </c>
      <c r="K37" s="15" t="s">
        <v>35</v>
      </c>
      <c r="L37" s="15" t="s">
        <v>68</v>
      </c>
      <c r="M37" s="15" t="s">
        <v>65</v>
      </c>
      <c r="N37" s="15" t="s">
        <v>37</v>
      </c>
      <c r="O37" s="15" t="s">
        <v>21</v>
      </c>
      <c r="Q37" s="9">
        <v>8</v>
      </c>
      <c r="R37" s="9">
        <v>18</v>
      </c>
      <c r="S37" s="9">
        <v>16</v>
      </c>
      <c r="T37" s="9">
        <v>7</v>
      </c>
      <c r="U37" s="9">
        <v>2</v>
      </c>
      <c r="W37" s="24">
        <v>1</v>
      </c>
      <c r="X37" s="24">
        <v>1</v>
      </c>
      <c r="Y37" s="24">
        <v>1</v>
      </c>
      <c r="Z37" s="24">
        <v>1</v>
      </c>
      <c r="AA37" s="24">
        <v>1</v>
      </c>
      <c r="AC37" s="80" t="str">
        <v>A</v>
      </c>
      <c r="AD37" s="66">
        <v>43</v>
      </c>
      <c r="AE37" s="66">
        <v>27</v>
      </c>
      <c r="AF37" s="66">
        <v>0</v>
      </c>
      <c r="AG37" s="66">
        <v>31</v>
      </c>
      <c r="AH37" s="66">
        <v>35</v>
      </c>
      <c r="AI37" s="5"/>
      <c r="AJ37" s="80" t="str">
        <v>A</v>
      </c>
      <c r="AK37" s="66">
        <v>43</v>
      </c>
      <c r="AL37" s="66">
        <v>27</v>
      </c>
      <c r="AM37" s="66">
        <v>0</v>
      </c>
      <c r="AN37" s="66">
        <v>31</v>
      </c>
      <c r="AO37" s="66">
        <v>35</v>
      </c>
    </row>
    <row r="38" spans="10:41" ht="16.5" customHeight="1" x14ac:dyDescent="0.3">
      <c r="J38" s="24">
        <v>34</v>
      </c>
      <c r="K38" s="15" t="s">
        <v>37</v>
      </c>
      <c r="L38" s="15" t="s">
        <v>19</v>
      </c>
      <c r="M38" s="15" t="s">
        <v>68</v>
      </c>
      <c r="N38" s="15" t="s">
        <v>81</v>
      </c>
      <c r="O38" s="15" t="s">
        <v>95</v>
      </c>
      <c r="Q38" s="9">
        <v>7</v>
      </c>
      <c r="R38" s="9">
        <v>5</v>
      </c>
      <c r="S38" s="9">
        <v>18</v>
      </c>
      <c r="T38" s="9">
        <v>17</v>
      </c>
      <c r="U38" s="9">
        <v>6</v>
      </c>
      <c r="W38" s="24">
        <v>1</v>
      </c>
      <c r="X38" s="24">
        <v>1</v>
      </c>
      <c r="Y38" s="24">
        <v>1</v>
      </c>
      <c r="Z38" s="24">
        <v>1</v>
      </c>
      <c r="AA38" s="24">
        <v>1</v>
      </c>
      <c r="AC38" s="80" t="str">
        <v>K</v>
      </c>
      <c r="AD38" s="66">
        <v>43</v>
      </c>
      <c r="AE38" s="66">
        <v>24</v>
      </c>
      <c r="AF38" s="66">
        <v>0</v>
      </c>
      <c r="AG38" s="66">
        <v>32</v>
      </c>
      <c r="AH38" s="66">
        <v>34</v>
      </c>
      <c r="AI38" s="5"/>
      <c r="AJ38" s="80" t="str">
        <v>K</v>
      </c>
      <c r="AK38" s="66">
        <v>43</v>
      </c>
      <c r="AL38" s="66">
        <v>24</v>
      </c>
      <c r="AM38" s="66">
        <v>0</v>
      </c>
      <c r="AN38" s="66">
        <v>32</v>
      </c>
      <c r="AO38" s="66">
        <v>34</v>
      </c>
    </row>
    <row r="39" spans="10:41" ht="16.5" customHeight="1" x14ac:dyDescent="0.3">
      <c r="J39" s="9">
        <v>35</v>
      </c>
      <c r="K39" s="15" t="s">
        <v>95</v>
      </c>
      <c r="L39" s="15" t="s">
        <v>18</v>
      </c>
      <c r="M39" s="15" t="s">
        <v>96</v>
      </c>
      <c r="N39" s="15" t="s">
        <v>18</v>
      </c>
      <c r="O39" s="15" t="s">
        <v>19</v>
      </c>
      <c r="Q39" s="9">
        <v>6</v>
      </c>
      <c r="R39" s="9">
        <v>4</v>
      </c>
      <c r="S39" s="9">
        <v>15</v>
      </c>
      <c r="T39" s="9">
        <v>4</v>
      </c>
      <c r="U39" s="9">
        <v>5</v>
      </c>
      <c r="W39" s="24">
        <v>1</v>
      </c>
      <c r="X39" s="24">
        <v>1</v>
      </c>
      <c r="Y39" s="24">
        <v>1</v>
      </c>
      <c r="Z39" s="24">
        <v>1</v>
      </c>
      <c r="AA39" s="24">
        <v>1</v>
      </c>
      <c r="AC39" s="80" t="str">
        <v>Q</v>
      </c>
      <c r="AD39" s="66">
        <v>7</v>
      </c>
      <c r="AE39" s="66">
        <v>12</v>
      </c>
      <c r="AF39" s="66">
        <v>0</v>
      </c>
      <c r="AG39" s="66">
        <v>6</v>
      </c>
      <c r="AH39" s="66">
        <v>13</v>
      </c>
      <c r="AI39" s="5"/>
      <c r="AJ39" s="80" t="str">
        <v>Q</v>
      </c>
      <c r="AK39" s="66">
        <v>7</v>
      </c>
      <c r="AL39" s="66">
        <v>12</v>
      </c>
      <c r="AM39" s="66">
        <v>0</v>
      </c>
      <c r="AN39" s="66">
        <v>6</v>
      </c>
      <c r="AO39" s="66">
        <v>13</v>
      </c>
    </row>
    <row r="40" spans="10:41" ht="16.5" customHeight="1" x14ac:dyDescent="0.3">
      <c r="J40" s="24">
        <v>36</v>
      </c>
      <c r="K40" s="15" t="s">
        <v>19</v>
      </c>
      <c r="L40" s="15" t="s">
        <v>19</v>
      </c>
      <c r="M40" s="15" t="s">
        <v>65</v>
      </c>
      <c r="N40" s="15" t="s">
        <v>35</v>
      </c>
      <c r="O40" s="15" t="s">
        <v>37</v>
      </c>
      <c r="Q40" s="9">
        <v>5</v>
      </c>
      <c r="R40" s="9">
        <v>5</v>
      </c>
      <c r="S40" s="9">
        <v>16</v>
      </c>
      <c r="T40" s="9">
        <v>8</v>
      </c>
      <c r="U40" s="9">
        <v>7</v>
      </c>
      <c r="W40" s="24">
        <v>1</v>
      </c>
      <c r="X40" s="24">
        <v>1</v>
      </c>
      <c r="Y40" s="24">
        <v>1</v>
      </c>
      <c r="Z40" s="24">
        <v>1</v>
      </c>
      <c r="AA40" s="24">
        <v>1</v>
      </c>
      <c r="AC40" s="80" t="str">
        <v>J</v>
      </c>
      <c r="AD40" s="66">
        <v>7</v>
      </c>
      <c r="AE40" s="66">
        <v>8</v>
      </c>
      <c r="AF40" s="66">
        <v>0</v>
      </c>
      <c r="AG40" s="66">
        <v>7</v>
      </c>
      <c r="AH40" s="66">
        <v>14</v>
      </c>
      <c r="AI40" s="5"/>
      <c r="AJ40" s="80" t="str">
        <v>J</v>
      </c>
      <c r="AK40" s="66">
        <v>7</v>
      </c>
      <c r="AL40" s="66">
        <v>8</v>
      </c>
      <c r="AM40" s="66">
        <v>0</v>
      </c>
      <c r="AN40" s="66">
        <v>7</v>
      </c>
      <c r="AO40" s="66">
        <v>14</v>
      </c>
    </row>
    <row r="41" spans="10:41" ht="16.5" customHeight="1" x14ac:dyDescent="0.3">
      <c r="J41" s="9">
        <v>37</v>
      </c>
      <c r="K41" s="15" t="s">
        <v>95</v>
      </c>
      <c r="L41" s="15" t="s">
        <v>95</v>
      </c>
      <c r="M41" s="15" t="s">
        <v>70</v>
      </c>
      <c r="N41" s="15" t="s">
        <v>61</v>
      </c>
      <c r="O41" s="15" t="s">
        <v>95</v>
      </c>
      <c r="Q41" s="9">
        <v>6</v>
      </c>
      <c r="R41" s="9">
        <v>6</v>
      </c>
      <c r="S41" s="9">
        <v>19</v>
      </c>
      <c r="T41" s="9">
        <v>11</v>
      </c>
      <c r="U41" s="9">
        <v>6</v>
      </c>
      <c r="W41" s="24">
        <v>1</v>
      </c>
      <c r="X41" s="24">
        <v>1</v>
      </c>
      <c r="Y41" s="24">
        <v>1</v>
      </c>
      <c r="Z41" s="24">
        <v>1</v>
      </c>
      <c r="AA41" s="24">
        <v>1</v>
      </c>
      <c r="AC41" s="71" t="str">
        <v>G1</v>
      </c>
      <c r="AD41" s="53">
        <v>0</v>
      </c>
      <c r="AE41" s="53">
        <v>2</v>
      </c>
      <c r="AF41" s="53">
        <v>3</v>
      </c>
      <c r="AG41" s="53">
        <v>1</v>
      </c>
      <c r="AH41" s="53">
        <v>0</v>
      </c>
      <c r="AI41" s="5"/>
      <c r="AJ41" s="71" t="str">
        <v>G1</v>
      </c>
      <c r="AK41" s="53">
        <v>0</v>
      </c>
      <c r="AL41" s="53">
        <v>2</v>
      </c>
      <c r="AM41" s="53">
        <v>3</v>
      </c>
      <c r="AN41" s="53">
        <v>1</v>
      </c>
      <c r="AO41" s="53">
        <v>0</v>
      </c>
    </row>
    <row r="42" spans="10:41" ht="16.5" customHeight="1" x14ac:dyDescent="0.3">
      <c r="J42" s="24">
        <v>38</v>
      </c>
      <c r="K42" s="15" t="s">
        <v>35</v>
      </c>
      <c r="L42" s="15" t="s">
        <v>37</v>
      </c>
      <c r="M42" s="15" t="s">
        <v>64</v>
      </c>
      <c r="N42" s="15" t="s">
        <v>35</v>
      </c>
      <c r="O42" s="15" t="s">
        <v>35</v>
      </c>
      <c r="Q42" s="9">
        <v>8</v>
      </c>
      <c r="R42" s="9">
        <v>7</v>
      </c>
      <c r="S42" s="9">
        <v>14</v>
      </c>
      <c r="T42" s="9">
        <v>8</v>
      </c>
      <c r="U42" s="9">
        <v>8</v>
      </c>
      <c r="W42" s="24">
        <v>1</v>
      </c>
      <c r="X42" s="24">
        <v>1</v>
      </c>
      <c r="Y42" s="24">
        <v>1</v>
      </c>
      <c r="Z42" s="24">
        <v>1</v>
      </c>
      <c r="AA42" s="24">
        <v>1</v>
      </c>
      <c r="AC42" s="71" t="str">
        <v>G2</v>
      </c>
      <c r="AD42" s="53">
        <v>0</v>
      </c>
      <c r="AE42" s="53">
        <v>3</v>
      </c>
      <c r="AF42" s="53">
        <v>1</v>
      </c>
      <c r="AG42" s="53">
        <v>1</v>
      </c>
      <c r="AH42" s="53">
        <v>0</v>
      </c>
      <c r="AI42" s="5"/>
      <c r="AJ42" s="71" t="str">
        <v>G2</v>
      </c>
      <c r="AK42" s="53">
        <v>0</v>
      </c>
      <c r="AL42" s="53">
        <v>3</v>
      </c>
      <c r="AM42" s="53">
        <v>1</v>
      </c>
      <c r="AN42" s="53">
        <v>1</v>
      </c>
      <c r="AO42" s="53">
        <v>0</v>
      </c>
    </row>
    <row r="43" spans="10:41" ht="16.5" customHeight="1" x14ac:dyDescent="0.3">
      <c r="J43" s="9">
        <v>39</v>
      </c>
      <c r="K43" s="15" t="s">
        <v>37</v>
      </c>
      <c r="L43" s="15" t="s">
        <v>95</v>
      </c>
      <c r="M43" s="15" t="s">
        <v>65</v>
      </c>
      <c r="N43" s="15" t="s">
        <v>19</v>
      </c>
      <c r="O43" s="15" t="s">
        <v>37</v>
      </c>
      <c r="Q43" s="9">
        <v>7</v>
      </c>
      <c r="R43" s="9">
        <v>6</v>
      </c>
      <c r="S43" s="9">
        <v>16</v>
      </c>
      <c r="T43" s="9">
        <v>5</v>
      </c>
      <c r="U43" s="9">
        <v>7</v>
      </c>
      <c r="W43" s="24">
        <v>1</v>
      </c>
      <c r="X43" s="24">
        <v>1</v>
      </c>
      <c r="Y43" s="24">
        <v>1</v>
      </c>
      <c r="Z43" s="24">
        <v>1</v>
      </c>
      <c r="AA43" s="24">
        <v>1</v>
      </c>
      <c r="AC43" s="71" t="str">
        <v>G3</v>
      </c>
      <c r="AD43" s="53">
        <v>0</v>
      </c>
      <c r="AE43" s="53">
        <v>3</v>
      </c>
      <c r="AF43" s="53">
        <v>8</v>
      </c>
      <c r="AG43" s="53">
        <v>2</v>
      </c>
      <c r="AH43" s="53">
        <v>0</v>
      </c>
      <c r="AI43" s="5"/>
      <c r="AJ43" s="71" t="str">
        <v>G3</v>
      </c>
      <c r="AK43" s="53">
        <v>0</v>
      </c>
      <c r="AL43" s="53">
        <v>3</v>
      </c>
      <c r="AM43" s="53">
        <v>8</v>
      </c>
      <c r="AN43" s="53">
        <v>2</v>
      </c>
      <c r="AO43" s="53">
        <v>0</v>
      </c>
    </row>
    <row r="44" spans="10:41" ht="16.5" customHeight="1" x14ac:dyDescent="0.3">
      <c r="J44" s="24">
        <v>40</v>
      </c>
      <c r="K44" s="15" t="s">
        <v>36</v>
      </c>
      <c r="L44" s="15" t="s">
        <v>34</v>
      </c>
      <c r="M44" s="15" t="s">
        <v>64</v>
      </c>
      <c r="N44" s="15" t="s">
        <v>35</v>
      </c>
      <c r="O44" s="15" t="s">
        <v>35</v>
      </c>
      <c r="Q44" s="9">
        <v>10</v>
      </c>
      <c r="R44" s="9">
        <v>9</v>
      </c>
      <c r="S44" s="9">
        <v>14</v>
      </c>
      <c r="T44" s="9">
        <v>8</v>
      </c>
      <c r="U44" s="9">
        <v>8</v>
      </c>
      <c r="W44" s="24">
        <v>1</v>
      </c>
      <c r="X44" s="24">
        <v>1</v>
      </c>
      <c r="Y44" s="24">
        <v>1</v>
      </c>
      <c r="Z44" s="24">
        <v>1</v>
      </c>
      <c r="AA44" s="24">
        <v>1</v>
      </c>
      <c r="AC44" s="71" t="str">
        <v>G4</v>
      </c>
      <c r="AD44" s="53">
        <v>0</v>
      </c>
      <c r="AE44" s="53">
        <v>8</v>
      </c>
      <c r="AF44" s="53">
        <v>43</v>
      </c>
      <c r="AG44" s="53">
        <v>11</v>
      </c>
      <c r="AH44" s="53">
        <v>0</v>
      </c>
      <c r="AI44" s="5"/>
      <c r="AJ44" s="71" t="str">
        <v>G4</v>
      </c>
      <c r="AK44" s="53">
        <v>0</v>
      </c>
      <c r="AL44" s="53">
        <v>8</v>
      </c>
      <c r="AM44" s="53">
        <v>43</v>
      </c>
      <c r="AN44" s="53">
        <v>11</v>
      </c>
      <c r="AO44" s="53">
        <v>0</v>
      </c>
    </row>
    <row r="45" spans="10:41" ht="16.5" customHeight="1" x14ac:dyDescent="0.3">
      <c r="J45" s="9">
        <v>41</v>
      </c>
      <c r="K45" s="15" t="s">
        <v>37</v>
      </c>
      <c r="L45" s="15" t="s">
        <v>95</v>
      </c>
      <c r="M45" s="15" t="s">
        <v>96</v>
      </c>
      <c r="N45" s="15" t="s">
        <v>95</v>
      </c>
      <c r="O45" s="15" t="s">
        <v>21</v>
      </c>
      <c r="Q45" s="9">
        <v>7</v>
      </c>
      <c r="R45" s="9">
        <v>6</v>
      </c>
      <c r="S45" s="9">
        <v>15</v>
      </c>
      <c r="T45" s="9">
        <v>6</v>
      </c>
      <c r="U45" s="9">
        <v>2</v>
      </c>
      <c r="W45" s="24">
        <v>1</v>
      </c>
      <c r="X45" s="24">
        <v>1</v>
      </c>
      <c r="Y45" s="24">
        <v>1</v>
      </c>
      <c r="Z45" s="24">
        <v>1</v>
      </c>
      <c r="AA45" s="24">
        <v>1</v>
      </c>
      <c r="AC45" s="71" t="str">
        <v>G5</v>
      </c>
      <c r="AD45" s="53">
        <v>0</v>
      </c>
      <c r="AE45" s="53">
        <v>8</v>
      </c>
      <c r="AF45" s="53">
        <v>42</v>
      </c>
      <c r="AG45" s="53">
        <v>12</v>
      </c>
      <c r="AH45" s="53">
        <v>0</v>
      </c>
      <c r="AI45" s="5"/>
      <c r="AJ45" s="71" t="str">
        <v>G5</v>
      </c>
      <c r="AK45" s="53">
        <v>0</v>
      </c>
      <c r="AL45" s="53">
        <v>8</v>
      </c>
      <c r="AM45" s="53">
        <v>42</v>
      </c>
      <c r="AN45" s="53">
        <v>12</v>
      </c>
      <c r="AO45" s="53">
        <v>0</v>
      </c>
    </row>
    <row r="46" spans="10:41" ht="16.5" customHeight="1" x14ac:dyDescent="0.3">
      <c r="J46" s="24">
        <v>42</v>
      </c>
      <c r="K46" s="15" t="s">
        <v>35</v>
      </c>
      <c r="L46" s="15" t="s">
        <v>22</v>
      </c>
      <c r="M46" s="15" t="s">
        <v>65</v>
      </c>
      <c r="N46" s="15" t="s">
        <v>35</v>
      </c>
      <c r="O46" s="15" t="s">
        <v>19</v>
      </c>
      <c r="Q46" s="9">
        <v>8</v>
      </c>
      <c r="R46" s="9">
        <v>3</v>
      </c>
      <c r="S46" s="9">
        <v>16</v>
      </c>
      <c r="T46" s="9">
        <v>8</v>
      </c>
      <c r="U46" s="9">
        <v>5</v>
      </c>
      <c r="W46" s="24">
        <v>1</v>
      </c>
      <c r="X46" s="24">
        <v>1</v>
      </c>
      <c r="Y46" s="24">
        <v>1</v>
      </c>
      <c r="Z46" s="24">
        <v>1</v>
      </c>
      <c r="AA46" s="24">
        <v>1</v>
      </c>
      <c r="AC46" s="71" t="str">
        <v>GA</v>
      </c>
      <c r="AD46" s="53">
        <v>0</v>
      </c>
      <c r="AE46" s="53">
        <v>10</v>
      </c>
      <c r="AF46" s="53">
        <v>42</v>
      </c>
      <c r="AG46" s="53">
        <v>10</v>
      </c>
      <c r="AH46" s="53">
        <v>0</v>
      </c>
      <c r="AI46" s="5"/>
      <c r="AJ46" s="71" t="str">
        <v>GA</v>
      </c>
      <c r="AK46" s="53">
        <v>0</v>
      </c>
      <c r="AL46" s="53">
        <v>10</v>
      </c>
      <c r="AM46" s="53">
        <v>42</v>
      </c>
      <c r="AN46" s="53">
        <v>10</v>
      </c>
      <c r="AO46" s="53">
        <v>0</v>
      </c>
    </row>
    <row r="47" spans="10:41" ht="16.5" customHeight="1" x14ac:dyDescent="0.3">
      <c r="J47" s="9">
        <v>43</v>
      </c>
      <c r="K47" s="15" t="s">
        <v>95</v>
      </c>
      <c r="L47" s="15" t="s">
        <v>18</v>
      </c>
      <c r="M47" s="15" t="s">
        <v>96</v>
      </c>
      <c r="N47" s="15" t="s">
        <v>19</v>
      </c>
      <c r="O47" s="15" t="s">
        <v>35</v>
      </c>
      <c r="Q47" s="9">
        <v>6</v>
      </c>
      <c r="R47" s="9">
        <v>4</v>
      </c>
      <c r="S47" s="9">
        <v>15</v>
      </c>
      <c r="T47" s="9">
        <v>5</v>
      </c>
      <c r="U47" s="9">
        <v>8</v>
      </c>
      <c r="W47" s="24">
        <v>1</v>
      </c>
      <c r="X47" s="24">
        <v>1</v>
      </c>
      <c r="Y47" s="24">
        <v>1</v>
      </c>
      <c r="Z47" s="24">
        <v>1</v>
      </c>
      <c r="AA47" s="24">
        <v>1</v>
      </c>
      <c r="AC47" s="71" t="str">
        <v>GK</v>
      </c>
      <c r="AD47" s="53">
        <v>0</v>
      </c>
      <c r="AE47" s="53">
        <v>9</v>
      </c>
      <c r="AF47" s="53">
        <v>44</v>
      </c>
      <c r="AG47" s="53">
        <v>10</v>
      </c>
      <c r="AH47" s="53">
        <v>0</v>
      </c>
      <c r="AI47" s="5"/>
      <c r="AJ47" s="71" t="str">
        <v>GK</v>
      </c>
      <c r="AK47" s="53">
        <v>0</v>
      </c>
      <c r="AL47" s="53">
        <v>9</v>
      </c>
      <c r="AM47" s="53">
        <v>44</v>
      </c>
      <c r="AN47" s="53">
        <v>10</v>
      </c>
      <c r="AO47" s="53">
        <v>0</v>
      </c>
    </row>
    <row r="48" spans="10:41" ht="16.5" customHeight="1" x14ac:dyDescent="0.3">
      <c r="J48" s="24">
        <v>44</v>
      </c>
      <c r="K48" s="15" t="s">
        <v>22</v>
      </c>
      <c r="L48" s="15" t="s">
        <v>37</v>
      </c>
      <c r="M48" s="15" t="s">
        <v>81</v>
      </c>
      <c r="N48" s="15" t="s">
        <v>37</v>
      </c>
      <c r="O48" s="15" t="s">
        <v>95</v>
      </c>
      <c r="Q48" s="9">
        <v>3</v>
      </c>
      <c r="R48" s="9">
        <v>7</v>
      </c>
      <c r="S48" s="9">
        <v>17</v>
      </c>
      <c r="T48" s="9">
        <v>7</v>
      </c>
      <c r="U48" s="9">
        <v>6</v>
      </c>
      <c r="W48" s="24">
        <v>1</v>
      </c>
      <c r="X48" s="24">
        <v>1</v>
      </c>
      <c r="Y48" s="24">
        <v>1</v>
      </c>
      <c r="Z48" s="24">
        <v>1</v>
      </c>
      <c r="AA48" s="24">
        <v>1</v>
      </c>
      <c r="AC48" s="71" t="str">
        <v>GQ</v>
      </c>
      <c r="AD48" s="53">
        <v>0</v>
      </c>
      <c r="AE48" s="53">
        <v>3</v>
      </c>
      <c r="AF48" s="53">
        <v>6</v>
      </c>
      <c r="AG48" s="53">
        <v>1</v>
      </c>
      <c r="AH48" s="53">
        <v>0</v>
      </c>
      <c r="AI48" s="5"/>
      <c r="AJ48" s="71" t="str">
        <v>GQ</v>
      </c>
      <c r="AK48" s="53">
        <v>0</v>
      </c>
      <c r="AL48" s="53">
        <v>3</v>
      </c>
      <c r="AM48" s="53">
        <v>6</v>
      </c>
      <c r="AN48" s="53">
        <v>1</v>
      </c>
      <c r="AO48" s="53">
        <v>0</v>
      </c>
    </row>
    <row r="49" spans="10:41" ht="16.5" customHeight="1" x14ac:dyDescent="0.3">
      <c r="J49" s="9">
        <v>45</v>
      </c>
      <c r="K49" s="15" t="s">
        <v>37</v>
      </c>
      <c r="L49" s="15" t="s">
        <v>95</v>
      </c>
      <c r="M49" s="15" t="s">
        <v>65</v>
      </c>
      <c r="N49" s="15" t="s">
        <v>96</v>
      </c>
      <c r="O49" s="15" t="s">
        <v>18</v>
      </c>
      <c r="Q49" s="9">
        <v>7</v>
      </c>
      <c r="R49" s="9">
        <v>6</v>
      </c>
      <c r="S49" s="9">
        <v>16</v>
      </c>
      <c r="T49" s="9">
        <v>15</v>
      </c>
      <c r="U49" s="9">
        <v>4</v>
      </c>
      <c r="W49" s="24">
        <v>1</v>
      </c>
      <c r="X49" s="24">
        <v>1</v>
      </c>
      <c r="Y49" s="24">
        <v>1</v>
      </c>
      <c r="Z49" s="24">
        <v>1</v>
      </c>
      <c r="AA49" s="24">
        <v>1</v>
      </c>
      <c r="AC49" s="71" t="str">
        <v>GJ</v>
      </c>
      <c r="AD49" s="53">
        <v>0</v>
      </c>
      <c r="AE49" s="53">
        <v>2</v>
      </c>
      <c r="AF49" s="53">
        <v>9</v>
      </c>
      <c r="AG49" s="53">
        <v>2</v>
      </c>
      <c r="AH49" s="53">
        <v>0</v>
      </c>
      <c r="AI49" s="5"/>
      <c r="AJ49" s="71" t="str">
        <v>GJ</v>
      </c>
      <c r="AK49" s="53">
        <v>0</v>
      </c>
      <c r="AL49" s="53">
        <v>2</v>
      </c>
      <c r="AM49" s="53">
        <v>9</v>
      </c>
      <c r="AN49" s="53">
        <v>2</v>
      </c>
      <c r="AO49" s="53">
        <v>0</v>
      </c>
    </row>
    <row r="50" spans="10:41" ht="16.5" customHeight="1" x14ac:dyDescent="0.3">
      <c r="J50" s="24">
        <v>46</v>
      </c>
      <c r="K50" s="15" t="s">
        <v>95</v>
      </c>
      <c r="L50" s="15" t="s">
        <v>96</v>
      </c>
      <c r="M50" s="15" t="s">
        <v>96</v>
      </c>
      <c r="N50" s="15" t="s">
        <v>37</v>
      </c>
      <c r="O50" s="15" t="s">
        <v>37</v>
      </c>
      <c r="Q50" s="9">
        <v>6</v>
      </c>
      <c r="R50" s="9">
        <v>15</v>
      </c>
      <c r="S50" s="9">
        <v>15</v>
      </c>
      <c r="T50" s="9">
        <v>7</v>
      </c>
      <c r="U50" s="9">
        <v>7</v>
      </c>
      <c r="W50" s="24">
        <v>1</v>
      </c>
      <c r="X50" s="24">
        <v>1</v>
      </c>
      <c r="Y50" s="24">
        <v>1</v>
      </c>
      <c r="Z50" s="24">
        <v>1</v>
      </c>
      <c r="AA50" s="24">
        <v>1</v>
      </c>
      <c r="AD50" s="59">
        <f>SUM(AD30:AD49)</f>
        <v>199</v>
      </c>
      <c r="AE50" s="59">
        <f>SUM(AE30:AE49)</f>
        <v>199</v>
      </c>
      <c r="AF50" s="59">
        <f>SUM(AF30:AF49)</f>
        <v>199</v>
      </c>
      <c r="AG50" s="59">
        <f>SUM(AG30:AG49)</f>
        <v>198</v>
      </c>
      <c r="AH50" s="59">
        <f>SUM(AH30:AH49)</f>
        <v>198</v>
      </c>
      <c r="AI50" s="5"/>
      <c r="AK50" s="59">
        <f>SUM(AK30:AK49)</f>
        <v>199</v>
      </c>
      <c r="AL50" s="59">
        <f>SUM(AL30:AL49)</f>
        <v>199</v>
      </c>
      <c r="AM50" s="59">
        <f>SUM(AM30:AM49)</f>
        <v>199</v>
      </c>
      <c r="AN50" s="59">
        <f>SUM(AN30:AN49)</f>
        <v>198</v>
      </c>
      <c r="AO50" s="59">
        <f>SUM(AO30:AO49)</f>
        <v>198</v>
      </c>
    </row>
    <row r="51" spans="10:41" ht="16.5" customHeight="1" x14ac:dyDescent="0.3">
      <c r="J51" s="9">
        <v>47</v>
      </c>
      <c r="K51" s="15" t="s">
        <v>35</v>
      </c>
      <c r="L51" s="15" t="s">
        <v>35</v>
      </c>
      <c r="M51" s="15" t="s">
        <v>65</v>
      </c>
      <c r="N51" s="15" t="s">
        <v>18</v>
      </c>
      <c r="O51" s="15" t="s">
        <v>36</v>
      </c>
      <c r="Q51" s="9">
        <v>8</v>
      </c>
      <c r="R51" s="9">
        <v>8</v>
      </c>
      <c r="S51" s="9">
        <v>16</v>
      </c>
      <c r="T51" s="9">
        <v>4</v>
      </c>
      <c r="U51" s="9">
        <v>10</v>
      </c>
      <c r="W51" s="24">
        <v>1</v>
      </c>
      <c r="X51" s="24">
        <v>1</v>
      </c>
      <c r="Y51" s="24">
        <v>1</v>
      </c>
      <c r="Z51" s="24">
        <v>1</v>
      </c>
      <c r="AA51" s="24">
        <v>1</v>
      </c>
      <c r="AH51" s="5"/>
      <c r="AI51" s="5"/>
      <c r="AO51" s="5"/>
    </row>
    <row r="52" spans="10:41" ht="16.5" customHeight="1" x14ac:dyDescent="0.3">
      <c r="J52" s="24">
        <v>48</v>
      </c>
      <c r="K52" s="15" t="s">
        <v>19</v>
      </c>
      <c r="L52" s="15" t="s">
        <v>95</v>
      </c>
      <c r="M52" s="15" t="s">
        <v>81</v>
      </c>
      <c r="N52" s="15" t="s">
        <v>81</v>
      </c>
      <c r="O52" s="15" t="s">
        <v>21</v>
      </c>
      <c r="Q52" s="9">
        <v>5</v>
      </c>
      <c r="R52" s="9">
        <v>6</v>
      </c>
      <c r="S52" s="9">
        <v>17</v>
      </c>
      <c r="T52" s="9">
        <v>17</v>
      </c>
      <c r="U52" s="9">
        <v>2</v>
      </c>
      <c r="W52" s="24">
        <v>1</v>
      </c>
      <c r="X52" s="24">
        <v>1</v>
      </c>
      <c r="Y52" s="24">
        <v>1</v>
      </c>
      <c r="Z52" s="24">
        <v>1</v>
      </c>
      <c r="AA52" s="24">
        <v>1</v>
      </c>
      <c r="AC52" s="26" t="s">
        <v>98</v>
      </c>
      <c r="AH52" s="5"/>
      <c r="AI52" s="5"/>
      <c r="AJ52" s="26" t="s">
        <v>98</v>
      </c>
      <c r="AO52" s="5"/>
    </row>
    <row r="53" spans="10:41" ht="16.5" customHeight="1" x14ac:dyDescent="0.3">
      <c r="J53" s="9">
        <v>49</v>
      </c>
      <c r="K53" s="15" t="s">
        <v>95</v>
      </c>
      <c r="L53" s="15" t="s">
        <v>35</v>
      </c>
      <c r="M53" s="15" t="s">
        <v>64</v>
      </c>
      <c r="N53" s="15" t="s">
        <v>35</v>
      </c>
      <c r="O53" s="15" t="s">
        <v>37</v>
      </c>
      <c r="Q53" s="9">
        <v>6</v>
      </c>
      <c r="R53" s="9">
        <v>8</v>
      </c>
      <c r="S53" s="9">
        <v>14</v>
      </c>
      <c r="T53" s="9">
        <v>8</v>
      </c>
      <c r="U53" s="9">
        <v>7</v>
      </c>
      <c r="W53" s="24">
        <v>1</v>
      </c>
      <c r="X53" s="24">
        <v>1</v>
      </c>
      <c r="Y53" s="24">
        <v>1</v>
      </c>
      <c r="Z53" s="24">
        <v>1</v>
      </c>
      <c r="AA53" s="24">
        <v>1</v>
      </c>
      <c r="AC53" s="68" t="s">
        <v>42</v>
      </c>
      <c r="AD53" s="68" t="s">
        <v>13</v>
      </c>
      <c r="AE53" s="68" t="s">
        <v>14</v>
      </c>
      <c r="AF53" s="68" t="s">
        <v>15</v>
      </c>
      <c r="AG53" s="68" t="s">
        <v>16</v>
      </c>
      <c r="AH53" s="68" t="s">
        <v>17</v>
      </c>
      <c r="AI53" s="5"/>
      <c r="AJ53" s="68" t="s">
        <v>42</v>
      </c>
      <c r="AK53" s="68" t="s">
        <v>13</v>
      </c>
      <c r="AL53" s="68" t="s">
        <v>14</v>
      </c>
      <c r="AM53" s="68" t="s">
        <v>15</v>
      </c>
      <c r="AN53" s="68" t="s">
        <v>16</v>
      </c>
      <c r="AO53" s="68" t="s">
        <v>17</v>
      </c>
    </row>
    <row r="54" spans="10:41" ht="16.5" customHeight="1" x14ac:dyDescent="0.3">
      <c r="J54" s="24">
        <v>50</v>
      </c>
      <c r="K54" s="15" t="s">
        <v>37</v>
      </c>
      <c r="L54" s="15" t="s">
        <v>37</v>
      </c>
      <c r="M54" s="15" t="s">
        <v>65</v>
      </c>
      <c r="N54" s="15" t="s">
        <v>19</v>
      </c>
      <c r="O54" s="15" t="s">
        <v>35</v>
      </c>
      <c r="Q54" s="9">
        <v>7</v>
      </c>
      <c r="R54" s="9">
        <v>7</v>
      </c>
      <c r="S54" s="9">
        <v>16</v>
      </c>
      <c r="T54" s="9">
        <v>5</v>
      </c>
      <c r="U54" s="9">
        <v>8</v>
      </c>
      <c r="W54" s="24">
        <v>1</v>
      </c>
      <c r="X54" s="24">
        <v>1</v>
      </c>
      <c r="Y54" s="24">
        <v>1</v>
      </c>
      <c r="Z54" s="24">
        <v>1</v>
      </c>
      <c r="AA54" s="24">
        <v>1</v>
      </c>
      <c r="AC54" s="71" t="str" cm="1">
        <f t="array" ref="AC54:AC73">$A$4:$A$23</f>
        <v>WW</v>
      </c>
      <c r="AD54" s="72">
        <v>0</v>
      </c>
      <c r="AE54" s="72">
        <v>0</v>
      </c>
      <c r="AF54" s="72">
        <v>0</v>
      </c>
      <c r="AG54" s="72">
        <v>0</v>
      </c>
      <c r="AH54" s="72">
        <v>0</v>
      </c>
      <c r="AI54" s="5"/>
      <c r="AJ54" s="71" t="str" cm="1">
        <f t="array" ref="AJ54:AJ73">$A$4:$A$23</f>
        <v>WW</v>
      </c>
      <c r="AK54" s="72">
        <v>0</v>
      </c>
      <c r="AL54" s="72">
        <v>0</v>
      </c>
      <c r="AM54" s="72">
        <v>0</v>
      </c>
      <c r="AN54" s="72">
        <v>0</v>
      </c>
      <c r="AO54" s="72">
        <v>0</v>
      </c>
    </row>
    <row r="55" spans="10:41" ht="16.5" customHeight="1" x14ac:dyDescent="0.3">
      <c r="J55" s="9">
        <v>51</v>
      </c>
      <c r="K55" s="15" t="s">
        <v>19</v>
      </c>
      <c r="L55" s="15" t="s">
        <v>22</v>
      </c>
      <c r="M55" s="15" t="s">
        <v>81</v>
      </c>
      <c r="N55" s="15" t="s">
        <v>64</v>
      </c>
      <c r="O55" s="15" t="s">
        <v>37</v>
      </c>
      <c r="Q55" s="9">
        <v>5</v>
      </c>
      <c r="R55" s="9">
        <v>3</v>
      </c>
      <c r="S55" s="9">
        <v>17</v>
      </c>
      <c r="T55" s="9">
        <v>14</v>
      </c>
      <c r="U55" s="9">
        <v>7</v>
      </c>
      <c r="W55" s="24">
        <v>1</v>
      </c>
      <c r="X55" s="24">
        <v>1</v>
      </c>
      <c r="Y55" s="24">
        <v>1</v>
      </c>
      <c r="Z55" s="24">
        <v>1</v>
      </c>
      <c r="AA55" s="24">
        <v>1</v>
      </c>
      <c r="AC55" s="71" t="str">
        <v>C1</v>
      </c>
      <c r="AD55" s="71">
        <v>1</v>
      </c>
      <c r="AE55" s="71">
        <v>1</v>
      </c>
      <c r="AF55" s="71">
        <v>1</v>
      </c>
      <c r="AG55" s="71">
        <v>1</v>
      </c>
      <c r="AH55" s="71">
        <v>1</v>
      </c>
      <c r="AI55" s="5"/>
      <c r="AJ55" s="71" t="str">
        <v>C1</v>
      </c>
      <c r="AK55" s="71">
        <v>1</v>
      </c>
      <c r="AL55" s="71">
        <v>1</v>
      </c>
      <c r="AM55" s="71">
        <v>1</v>
      </c>
      <c r="AN55" s="71">
        <v>1</v>
      </c>
      <c r="AO55" s="71">
        <v>1</v>
      </c>
    </row>
    <row r="56" spans="10:41" ht="16.5" customHeight="1" x14ac:dyDescent="0.3">
      <c r="J56" s="24">
        <v>52</v>
      </c>
      <c r="K56" s="15" t="s">
        <v>35</v>
      </c>
      <c r="L56" s="15" t="s">
        <v>37</v>
      </c>
      <c r="M56" s="15" t="s">
        <v>64</v>
      </c>
      <c r="N56" s="15" t="s">
        <v>95</v>
      </c>
      <c r="O56" s="15" t="s">
        <v>35</v>
      </c>
      <c r="Q56" s="9">
        <v>8</v>
      </c>
      <c r="R56" s="9">
        <v>7</v>
      </c>
      <c r="S56" s="9">
        <v>14</v>
      </c>
      <c r="T56" s="9">
        <v>6</v>
      </c>
      <c r="U56" s="9">
        <v>8</v>
      </c>
      <c r="W56" s="24">
        <v>1</v>
      </c>
      <c r="X56" s="24">
        <v>1</v>
      </c>
      <c r="Y56" s="24">
        <v>1</v>
      </c>
      <c r="Z56" s="24">
        <v>1</v>
      </c>
      <c r="AA56" s="24">
        <v>1</v>
      </c>
      <c r="AC56" s="80" t="str">
        <v>M1</v>
      </c>
      <c r="AD56" s="66">
        <v>3</v>
      </c>
      <c r="AE56" s="66">
        <v>10</v>
      </c>
      <c r="AF56" s="66">
        <v>0</v>
      </c>
      <c r="AG56" s="66">
        <v>3</v>
      </c>
      <c r="AH56" s="66">
        <v>9</v>
      </c>
      <c r="AI56" s="5"/>
      <c r="AJ56" s="80" t="str">
        <v>M1</v>
      </c>
      <c r="AK56" s="66">
        <v>3</v>
      </c>
      <c r="AL56" s="66">
        <v>10</v>
      </c>
      <c r="AM56" s="66">
        <v>0</v>
      </c>
      <c r="AN56" s="66">
        <v>3</v>
      </c>
      <c r="AO56" s="66">
        <v>9</v>
      </c>
    </row>
    <row r="57" spans="10:41" ht="16.5" customHeight="1" x14ac:dyDescent="0.3">
      <c r="J57" s="9">
        <v>53</v>
      </c>
      <c r="K57" s="15" t="s">
        <v>37</v>
      </c>
      <c r="L57" s="15" t="s">
        <v>64</v>
      </c>
      <c r="M57" s="15" t="s">
        <v>111</v>
      </c>
      <c r="N57" s="15" t="s">
        <v>18</v>
      </c>
      <c r="O57" s="15" t="s">
        <v>19</v>
      </c>
      <c r="Q57" s="9">
        <v>7</v>
      </c>
      <c r="R57" s="9">
        <v>14</v>
      </c>
      <c r="S57" s="9">
        <v>12</v>
      </c>
      <c r="T57" s="9">
        <v>4</v>
      </c>
      <c r="U57" s="9">
        <v>5</v>
      </c>
      <c r="W57" s="24">
        <v>1</v>
      </c>
      <c r="X57" s="24">
        <v>1</v>
      </c>
      <c r="Y57" s="24">
        <v>1</v>
      </c>
      <c r="Z57" s="24">
        <v>1</v>
      </c>
      <c r="AA57" s="24">
        <v>1</v>
      </c>
      <c r="AC57" s="80" t="str">
        <v>M2</v>
      </c>
      <c r="AD57" s="66">
        <v>3</v>
      </c>
      <c r="AE57" s="66">
        <v>12</v>
      </c>
      <c r="AF57" s="66">
        <v>0</v>
      </c>
      <c r="AG57" s="66">
        <v>3</v>
      </c>
      <c r="AH57" s="66">
        <v>8</v>
      </c>
      <c r="AI57" s="5"/>
      <c r="AJ57" s="80" t="str">
        <v>M2</v>
      </c>
      <c r="AK57" s="66">
        <v>3</v>
      </c>
      <c r="AL57" s="66">
        <v>12</v>
      </c>
      <c r="AM57" s="66">
        <v>0</v>
      </c>
      <c r="AN57" s="66">
        <v>3</v>
      </c>
      <c r="AO57" s="66">
        <v>8</v>
      </c>
    </row>
    <row r="58" spans="10:41" ht="16.5" customHeight="1" x14ac:dyDescent="0.3">
      <c r="J58" s="24">
        <v>54</v>
      </c>
      <c r="K58" s="15" t="s">
        <v>19</v>
      </c>
      <c r="L58" s="15" t="s">
        <v>34</v>
      </c>
      <c r="M58" s="15" t="s">
        <v>81</v>
      </c>
      <c r="N58" s="15" t="s">
        <v>35</v>
      </c>
      <c r="O58" s="15" t="s">
        <v>37</v>
      </c>
      <c r="Q58" s="9">
        <v>5</v>
      </c>
      <c r="R58" s="9">
        <v>9</v>
      </c>
      <c r="S58" s="9">
        <v>17</v>
      </c>
      <c r="T58" s="9">
        <v>8</v>
      </c>
      <c r="U58" s="9">
        <v>7</v>
      </c>
      <c r="W58" s="24">
        <v>1</v>
      </c>
      <c r="X58" s="24">
        <v>1</v>
      </c>
      <c r="Y58" s="24">
        <v>1</v>
      </c>
      <c r="Z58" s="24">
        <v>1</v>
      </c>
      <c r="AA58" s="24">
        <v>1</v>
      </c>
      <c r="AC58" s="80" t="str">
        <v>M3</v>
      </c>
      <c r="AD58" s="66">
        <v>7</v>
      </c>
      <c r="AE58" s="66">
        <v>13</v>
      </c>
      <c r="AF58" s="66">
        <v>0</v>
      </c>
      <c r="AG58" s="66">
        <v>7</v>
      </c>
      <c r="AH58" s="66">
        <v>14</v>
      </c>
      <c r="AI58" s="5"/>
      <c r="AJ58" s="80" t="str">
        <v>M3</v>
      </c>
      <c r="AK58" s="66">
        <v>7</v>
      </c>
      <c r="AL58" s="66">
        <v>13</v>
      </c>
      <c r="AM58" s="66">
        <v>0</v>
      </c>
      <c r="AN58" s="66">
        <v>7</v>
      </c>
      <c r="AO58" s="66">
        <v>14</v>
      </c>
    </row>
    <row r="59" spans="10:41" ht="16.5" customHeight="1" x14ac:dyDescent="0.3">
      <c r="J59" s="9">
        <v>55</v>
      </c>
      <c r="K59" s="15" t="s">
        <v>37</v>
      </c>
      <c r="L59" s="15" t="s">
        <v>18</v>
      </c>
      <c r="M59" s="15" t="s">
        <v>64</v>
      </c>
      <c r="N59" s="15" t="s">
        <v>34</v>
      </c>
      <c r="O59" s="15" t="s">
        <v>35</v>
      </c>
      <c r="Q59" s="9">
        <v>7</v>
      </c>
      <c r="R59" s="9">
        <v>4</v>
      </c>
      <c r="S59" s="9">
        <v>14</v>
      </c>
      <c r="T59" s="9">
        <v>9</v>
      </c>
      <c r="U59" s="9">
        <v>8</v>
      </c>
      <c r="W59" s="24">
        <v>1</v>
      </c>
      <c r="X59" s="24">
        <v>1</v>
      </c>
      <c r="Y59" s="24">
        <v>1</v>
      </c>
      <c r="Z59" s="24">
        <v>1</v>
      </c>
      <c r="AA59" s="24">
        <v>1</v>
      </c>
      <c r="AC59" s="80" t="str">
        <v>M4</v>
      </c>
      <c r="AD59" s="66">
        <v>43</v>
      </c>
      <c r="AE59" s="66">
        <v>22</v>
      </c>
      <c r="AF59" s="66">
        <v>0</v>
      </c>
      <c r="AG59" s="66">
        <v>31</v>
      </c>
      <c r="AH59" s="66">
        <v>36</v>
      </c>
      <c r="AI59" s="5"/>
      <c r="AJ59" s="80" t="str">
        <v>M4</v>
      </c>
      <c r="AK59" s="66">
        <v>43</v>
      </c>
      <c r="AL59" s="66">
        <v>22</v>
      </c>
      <c r="AM59" s="66">
        <v>0</v>
      </c>
      <c r="AN59" s="66">
        <v>31</v>
      </c>
      <c r="AO59" s="66">
        <v>36</v>
      </c>
    </row>
    <row r="60" spans="10:41" ht="16.5" customHeight="1" x14ac:dyDescent="0.3">
      <c r="J60" s="24">
        <v>56</v>
      </c>
      <c r="K60" s="15" t="s">
        <v>18</v>
      </c>
      <c r="L60" s="15" t="s">
        <v>22</v>
      </c>
      <c r="M60" s="15" t="s">
        <v>68</v>
      </c>
      <c r="N60" s="15" t="s">
        <v>95</v>
      </c>
      <c r="O60" s="15" t="s">
        <v>95</v>
      </c>
      <c r="Q60" s="9">
        <v>4</v>
      </c>
      <c r="R60" s="9">
        <v>3</v>
      </c>
      <c r="S60" s="9">
        <v>18</v>
      </c>
      <c r="T60" s="9">
        <v>6</v>
      </c>
      <c r="U60" s="9">
        <v>6</v>
      </c>
      <c r="W60" s="24">
        <v>1</v>
      </c>
      <c r="X60" s="24">
        <v>1</v>
      </c>
      <c r="Y60" s="24">
        <v>1</v>
      </c>
      <c r="Z60" s="24">
        <v>1</v>
      </c>
      <c r="AA60" s="24">
        <v>1</v>
      </c>
      <c r="AC60" s="80" t="str">
        <v>M5</v>
      </c>
      <c r="AD60" s="66">
        <v>42</v>
      </c>
      <c r="AE60" s="66">
        <v>22</v>
      </c>
      <c r="AF60" s="66">
        <v>0</v>
      </c>
      <c r="AG60" s="66">
        <v>27</v>
      </c>
      <c r="AH60" s="66">
        <v>34</v>
      </c>
      <c r="AI60" s="5"/>
      <c r="AJ60" s="80" t="str">
        <v>M5</v>
      </c>
      <c r="AK60" s="66">
        <v>42</v>
      </c>
      <c r="AL60" s="66">
        <v>22</v>
      </c>
      <c r="AM60" s="66">
        <v>0</v>
      </c>
      <c r="AN60" s="66">
        <v>27</v>
      </c>
      <c r="AO60" s="66">
        <v>34</v>
      </c>
    </row>
    <row r="61" spans="10:41" x14ac:dyDescent="0.3">
      <c r="J61" s="9">
        <v>57</v>
      </c>
      <c r="K61" s="15" t="s">
        <v>19</v>
      </c>
      <c r="L61" s="15" t="s">
        <v>35</v>
      </c>
      <c r="M61" s="15" t="s">
        <v>64</v>
      </c>
      <c r="N61" s="15" t="s">
        <v>64</v>
      </c>
      <c r="O61" s="15" t="s">
        <v>35</v>
      </c>
      <c r="Q61" s="9">
        <v>5</v>
      </c>
      <c r="R61" s="9">
        <v>8</v>
      </c>
      <c r="S61" s="9">
        <v>14</v>
      </c>
      <c r="T61" s="9">
        <v>14</v>
      </c>
      <c r="U61" s="9">
        <v>8</v>
      </c>
      <c r="W61" s="24">
        <v>1</v>
      </c>
      <c r="X61" s="24">
        <v>1</v>
      </c>
      <c r="Y61" s="24">
        <v>1</v>
      </c>
      <c r="Z61" s="24">
        <v>1</v>
      </c>
      <c r="AA61" s="24">
        <v>1</v>
      </c>
      <c r="AC61" s="80" t="str">
        <v>A</v>
      </c>
      <c r="AD61" s="66">
        <v>43</v>
      </c>
      <c r="AE61" s="66">
        <v>27</v>
      </c>
      <c r="AF61" s="66">
        <v>0</v>
      </c>
      <c r="AG61" s="66">
        <v>31</v>
      </c>
      <c r="AH61" s="66">
        <v>35</v>
      </c>
      <c r="AI61" s="5"/>
      <c r="AJ61" s="80" t="str">
        <v>A</v>
      </c>
      <c r="AK61" s="66">
        <v>43</v>
      </c>
      <c r="AL61" s="66">
        <v>27</v>
      </c>
      <c r="AM61" s="66">
        <v>0</v>
      </c>
      <c r="AN61" s="66">
        <v>31</v>
      </c>
      <c r="AO61" s="66">
        <v>35</v>
      </c>
    </row>
    <row r="62" spans="10:41" x14ac:dyDescent="0.3">
      <c r="J62" s="24">
        <v>58</v>
      </c>
      <c r="K62" s="15" t="s">
        <v>95</v>
      </c>
      <c r="L62" s="15" t="s">
        <v>20</v>
      </c>
      <c r="M62" s="15" t="s">
        <v>96</v>
      </c>
      <c r="N62" s="15" t="s">
        <v>34</v>
      </c>
      <c r="O62" s="15" t="s">
        <v>19</v>
      </c>
      <c r="Q62" s="9">
        <v>6</v>
      </c>
      <c r="R62" s="9">
        <v>1</v>
      </c>
      <c r="S62" s="9">
        <v>15</v>
      </c>
      <c r="T62" s="9">
        <v>9</v>
      </c>
      <c r="U62" s="9">
        <v>5</v>
      </c>
      <c r="W62" s="24">
        <v>1</v>
      </c>
      <c r="X62" s="24">
        <v>1</v>
      </c>
      <c r="Y62" s="24">
        <v>1</v>
      </c>
      <c r="Z62" s="24">
        <v>1</v>
      </c>
      <c r="AA62" s="24">
        <v>1</v>
      </c>
      <c r="AC62" s="80" t="str">
        <v>K</v>
      </c>
      <c r="AD62" s="66">
        <v>43</v>
      </c>
      <c r="AE62" s="66">
        <v>24</v>
      </c>
      <c r="AF62" s="66">
        <v>0</v>
      </c>
      <c r="AG62" s="66">
        <v>32</v>
      </c>
      <c r="AH62" s="66">
        <v>34</v>
      </c>
      <c r="AI62" s="5"/>
      <c r="AJ62" s="80" t="str">
        <v>K</v>
      </c>
      <c r="AK62" s="66">
        <v>43</v>
      </c>
      <c r="AL62" s="66">
        <v>24</v>
      </c>
      <c r="AM62" s="66">
        <v>0</v>
      </c>
      <c r="AN62" s="66">
        <v>32</v>
      </c>
      <c r="AO62" s="66">
        <v>34</v>
      </c>
    </row>
    <row r="63" spans="10:41" ht="16.5" customHeight="1" x14ac:dyDescent="0.3">
      <c r="J63" s="9">
        <v>59</v>
      </c>
      <c r="K63" s="15" t="s">
        <v>20</v>
      </c>
      <c r="L63" s="15" t="s">
        <v>22</v>
      </c>
      <c r="M63" s="15" t="s">
        <v>64</v>
      </c>
      <c r="N63" s="15" t="s">
        <v>21</v>
      </c>
      <c r="O63" s="15" t="s">
        <v>37</v>
      </c>
      <c r="Q63" s="9">
        <v>1</v>
      </c>
      <c r="R63" s="9">
        <v>3</v>
      </c>
      <c r="S63" s="9">
        <v>14</v>
      </c>
      <c r="T63" s="9">
        <v>2</v>
      </c>
      <c r="U63" s="9">
        <v>7</v>
      </c>
      <c r="W63" s="24">
        <v>1</v>
      </c>
      <c r="X63" s="24">
        <v>1</v>
      </c>
      <c r="Y63" s="24">
        <v>1</v>
      </c>
      <c r="Z63" s="24">
        <v>1</v>
      </c>
      <c r="AA63" s="24">
        <v>1</v>
      </c>
      <c r="AC63" s="80" t="str">
        <v>Q</v>
      </c>
      <c r="AD63" s="66">
        <v>7</v>
      </c>
      <c r="AE63" s="66">
        <v>12</v>
      </c>
      <c r="AF63" s="66">
        <v>0</v>
      </c>
      <c r="AG63" s="66">
        <v>6</v>
      </c>
      <c r="AH63" s="66">
        <v>13</v>
      </c>
      <c r="AI63" s="5"/>
      <c r="AJ63" s="80" t="str">
        <v>Q</v>
      </c>
      <c r="AK63" s="66">
        <v>7</v>
      </c>
      <c r="AL63" s="66">
        <v>12</v>
      </c>
      <c r="AM63" s="66">
        <v>0</v>
      </c>
      <c r="AN63" s="66">
        <v>6</v>
      </c>
      <c r="AO63" s="66">
        <v>13</v>
      </c>
    </row>
    <row r="64" spans="10:41" ht="16.5" customHeight="1" x14ac:dyDescent="0.3">
      <c r="J64" s="24">
        <v>60</v>
      </c>
      <c r="K64" s="15" t="s">
        <v>35</v>
      </c>
      <c r="L64" s="15" t="s">
        <v>36</v>
      </c>
      <c r="M64" s="15" t="s">
        <v>81</v>
      </c>
      <c r="N64" s="15" t="s">
        <v>34</v>
      </c>
      <c r="O64" s="15" t="s">
        <v>19</v>
      </c>
      <c r="Q64" s="9">
        <v>8</v>
      </c>
      <c r="R64" s="9">
        <v>10</v>
      </c>
      <c r="S64" s="9">
        <v>17</v>
      </c>
      <c r="T64" s="9">
        <v>9</v>
      </c>
      <c r="U64" s="9">
        <v>5</v>
      </c>
      <c r="W64" s="24">
        <v>1</v>
      </c>
      <c r="X64" s="24">
        <v>1</v>
      </c>
      <c r="Y64" s="24">
        <v>1</v>
      </c>
      <c r="Z64" s="24">
        <v>1</v>
      </c>
      <c r="AA64" s="24">
        <v>1</v>
      </c>
      <c r="AC64" s="80" t="str">
        <v>J</v>
      </c>
      <c r="AD64" s="66">
        <v>7</v>
      </c>
      <c r="AE64" s="66">
        <v>8</v>
      </c>
      <c r="AF64" s="66">
        <v>0</v>
      </c>
      <c r="AG64" s="66">
        <v>7</v>
      </c>
      <c r="AH64" s="66">
        <v>14</v>
      </c>
      <c r="AI64" s="5"/>
      <c r="AJ64" s="80" t="str">
        <v>J</v>
      </c>
      <c r="AK64" s="66">
        <v>7</v>
      </c>
      <c r="AL64" s="66">
        <v>8</v>
      </c>
      <c r="AM64" s="66">
        <v>0</v>
      </c>
      <c r="AN64" s="66">
        <v>7</v>
      </c>
      <c r="AO64" s="66">
        <v>14</v>
      </c>
    </row>
    <row r="65" spans="10:41" ht="16.5" customHeight="1" x14ac:dyDescent="0.3">
      <c r="J65" s="9">
        <v>61</v>
      </c>
      <c r="K65" s="15" t="s">
        <v>95</v>
      </c>
      <c r="L65" s="15" t="s">
        <v>37</v>
      </c>
      <c r="M65" s="15" t="s">
        <v>65</v>
      </c>
      <c r="N65" s="15" t="s">
        <v>65</v>
      </c>
      <c r="O65" s="15" t="s">
        <v>18</v>
      </c>
      <c r="Q65" s="9">
        <v>6</v>
      </c>
      <c r="R65" s="9">
        <v>7</v>
      </c>
      <c r="S65" s="9">
        <v>16</v>
      </c>
      <c r="T65" s="9">
        <v>16</v>
      </c>
      <c r="U65" s="9">
        <v>4</v>
      </c>
      <c r="W65" s="24">
        <v>1</v>
      </c>
      <c r="X65" s="24">
        <v>1</v>
      </c>
      <c r="Y65" s="24">
        <v>1</v>
      </c>
      <c r="Z65" s="24">
        <v>1</v>
      </c>
      <c r="AA65" s="24">
        <v>1</v>
      </c>
      <c r="AC65" s="71" t="str">
        <v>G1</v>
      </c>
      <c r="AD65" s="53">
        <v>0</v>
      </c>
      <c r="AE65" s="53">
        <v>2</v>
      </c>
      <c r="AF65" s="53">
        <v>3</v>
      </c>
      <c r="AG65" s="53">
        <v>1</v>
      </c>
      <c r="AH65" s="53">
        <v>0</v>
      </c>
      <c r="AI65" s="5"/>
      <c r="AJ65" s="71" t="str">
        <v>G1</v>
      </c>
      <c r="AK65" s="53">
        <v>0</v>
      </c>
      <c r="AL65" s="53">
        <v>2</v>
      </c>
      <c r="AM65" s="53">
        <v>3</v>
      </c>
      <c r="AN65" s="53">
        <v>1</v>
      </c>
      <c r="AO65" s="53">
        <v>0</v>
      </c>
    </row>
    <row r="66" spans="10:41" ht="16.5" customHeight="1" x14ac:dyDescent="0.3">
      <c r="J66" s="24">
        <v>62</v>
      </c>
      <c r="K66" s="15" t="s">
        <v>35</v>
      </c>
      <c r="L66" s="15" t="s">
        <v>64</v>
      </c>
      <c r="M66" s="15" t="s">
        <v>64</v>
      </c>
      <c r="N66" s="15" t="s">
        <v>95</v>
      </c>
      <c r="O66" s="15" t="s">
        <v>36</v>
      </c>
      <c r="Q66" s="9">
        <v>8</v>
      </c>
      <c r="R66" s="9">
        <v>14</v>
      </c>
      <c r="S66" s="9">
        <v>14</v>
      </c>
      <c r="T66" s="9">
        <v>6</v>
      </c>
      <c r="U66" s="9">
        <v>10</v>
      </c>
      <c r="W66" s="24">
        <v>1</v>
      </c>
      <c r="X66" s="24">
        <v>1</v>
      </c>
      <c r="Y66" s="24">
        <v>1</v>
      </c>
      <c r="Z66" s="24">
        <v>1</v>
      </c>
      <c r="AA66" s="24">
        <v>1</v>
      </c>
      <c r="AC66" s="71" t="str">
        <v>G2</v>
      </c>
      <c r="AD66" s="53">
        <v>0</v>
      </c>
      <c r="AE66" s="53">
        <v>3</v>
      </c>
      <c r="AF66" s="53">
        <v>1</v>
      </c>
      <c r="AG66" s="53">
        <v>1</v>
      </c>
      <c r="AH66" s="53">
        <v>0</v>
      </c>
      <c r="AI66" s="5"/>
      <c r="AJ66" s="71" t="str">
        <v>G2</v>
      </c>
      <c r="AK66" s="53">
        <v>0</v>
      </c>
      <c r="AL66" s="53">
        <v>3</v>
      </c>
      <c r="AM66" s="53">
        <v>1</v>
      </c>
      <c r="AN66" s="53">
        <v>1</v>
      </c>
      <c r="AO66" s="53">
        <v>0</v>
      </c>
    </row>
    <row r="67" spans="10:41" ht="16.5" customHeight="1" x14ac:dyDescent="0.3">
      <c r="J67" s="9">
        <v>63</v>
      </c>
      <c r="K67" s="15" t="s">
        <v>37</v>
      </c>
      <c r="L67" s="15" t="s">
        <v>19</v>
      </c>
      <c r="M67" s="15" t="s">
        <v>81</v>
      </c>
      <c r="N67" s="15" t="s">
        <v>19</v>
      </c>
      <c r="O67" s="15" t="s">
        <v>37</v>
      </c>
      <c r="Q67" s="9">
        <v>7</v>
      </c>
      <c r="R67" s="9">
        <v>5</v>
      </c>
      <c r="S67" s="9">
        <v>17</v>
      </c>
      <c r="T67" s="9">
        <v>5</v>
      </c>
      <c r="U67" s="9">
        <v>7</v>
      </c>
      <c r="W67" s="24">
        <v>1</v>
      </c>
      <c r="X67" s="24">
        <v>1</v>
      </c>
      <c r="Y67" s="24">
        <v>1</v>
      </c>
      <c r="Z67" s="24">
        <v>1</v>
      </c>
      <c r="AA67" s="24">
        <v>1</v>
      </c>
      <c r="AC67" s="71" t="str">
        <v>G3</v>
      </c>
      <c r="AD67" s="53">
        <v>0</v>
      </c>
      <c r="AE67" s="53">
        <v>3</v>
      </c>
      <c r="AF67" s="53">
        <v>8</v>
      </c>
      <c r="AG67" s="53">
        <v>2</v>
      </c>
      <c r="AH67" s="53">
        <v>0</v>
      </c>
      <c r="AI67" s="5"/>
      <c r="AJ67" s="71" t="str">
        <v>G3</v>
      </c>
      <c r="AK67" s="53">
        <v>0</v>
      </c>
      <c r="AL67" s="53">
        <v>3</v>
      </c>
      <c r="AM67" s="53">
        <v>8</v>
      </c>
      <c r="AN67" s="53">
        <v>2</v>
      </c>
      <c r="AO67" s="53">
        <v>0</v>
      </c>
    </row>
    <row r="68" spans="10:41" ht="16.5" customHeight="1" x14ac:dyDescent="0.3">
      <c r="J68" s="24">
        <v>64</v>
      </c>
      <c r="K68" s="15" t="s">
        <v>35</v>
      </c>
      <c r="L68" s="15" t="s">
        <v>37</v>
      </c>
      <c r="M68" s="15" t="s">
        <v>111</v>
      </c>
      <c r="N68" s="15" t="s">
        <v>21</v>
      </c>
      <c r="O68" s="15" t="s">
        <v>18</v>
      </c>
      <c r="Q68" s="9">
        <v>8</v>
      </c>
      <c r="R68" s="9">
        <v>7</v>
      </c>
      <c r="S68" s="9">
        <v>12</v>
      </c>
      <c r="T68" s="9">
        <v>2</v>
      </c>
      <c r="U68" s="9">
        <v>4</v>
      </c>
      <c r="W68" s="24">
        <v>1</v>
      </c>
      <c r="X68" s="24">
        <v>1</v>
      </c>
      <c r="Y68" s="24">
        <v>1</v>
      </c>
      <c r="Z68" s="24">
        <v>1</v>
      </c>
      <c r="AA68" s="24">
        <v>1</v>
      </c>
      <c r="AC68" s="71" t="str">
        <v>G4</v>
      </c>
      <c r="AD68" s="53">
        <v>0</v>
      </c>
      <c r="AE68" s="53">
        <v>8</v>
      </c>
      <c r="AF68" s="53">
        <v>43</v>
      </c>
      <c r="AG68" s="53">
        <v>11</v>
      </c>
      <c r="AH68" s="53">
        <v>0</v>
      </c>
      <c r="AI68" s="5"/>
      <c r="AJ68" s="71" t="str">
        <v>G4</v>
      </c>
      <c r="AK68" s="53">
        <v>0</v>
      </c>
      <c r="AL68" s="53">
        <v>8</v>
      </c>
      <c r="AM68" s="53">
        <v>43</v>
      </c>
      <c r="AN68" s="53">
        <v>11</v>
      </c>
      <c r="AO68" s="53">
        <v>0</v>
      </c>
    </row>
    <row r="69" spans="10:41" ht="16.5" customHeight="1" x14ac:dyDescent="0.3">
      <c r="J69" s="9">
        <v>65</v>
      </c>
      <c r="K69" s="15" t="s">
        <v>95</v>
      </c>
      <c r="L69" s="15" t="s">
        <v>34</v>
      </c>
      <c r="M69" s="15" t="s">
        <v>64</v>
      </c>
      <c r="N69" s="15" t="s">
        <v>35</v>
      </c>
      <c r="O69" s="15" t="s">
        <v>22</v>
      </c>
      <c r="Q69" s="9">
        <v>6</v>
      </c>
      <c r="R69" s="9">
        <v>9</v>
      </c>
      <c r="S69" s="9">
        <v>14</v>
      </c>
      <c r="T69" s="9">
        <v>8</v>
      </c>
      <c r="U69" s="9">
        <v>3</v>
      </c>
      <c r="W69" s="24">
        <v>1</v>
      </c>
      <c r="X69" s="24">
        <v>1</v>
      </c>
      <c r="Y69" s="24">
        <v>1</v>
      </c>
      <c r="Z69" s="24">
        <v>1</v>
      </c>
      <c r="AA69" s="24">
        <v>1</v>
      </c>
      <c r="AC69" s="71" t="str">
        <v>G5</v>
      </c>
      <c r="AD69" s="53">
        <v>0</v>
      </c>
      <c r="AE69" s="53">
        <v>8</v>
      </c>
      <c r="AF69" s="53">
        <v>42</v>
      </c>
      <c r="AG69" s="53">
        <v>12</v>
      </c>
      <c r="AH69" s="53">
        <v>0</v>
      </c>
      <c r="AI69" s="5"/>
      <c r="AJ69" s="71" t="str">
        <v>G5</v>
      </c>
      <c r="AK69" s="53">
        <v>0</v>
      </c>
      <c r="AL69" s="53">
        <v>8</v>
      </c>
      <c r="AM69" s="53">
        <v>42</v>
      </c>
      <c r="AN69" s="53">
        <v>12</v>
      </c>
      <c r="AO69" s="53">
        <v>0</v>
      </c>
    </row>
    <row r="70" spans="10:41" ht="16.5" customHeight="1" x14ac:dyDescent="0.3">
      <c r="J70" s="24">
        <v>66</v>
      </c>
      <c r="K70" s="15" t="s">
        <v>35</v>
      </c>
      <c r="L70" s="15" t="s">
        <v>35</v>
      </c>
      <c r="M70" s="15" t="s">
        <v>96</v>
      </c>
      <c r="N70" s="15" t="s">
        <v>95</v>
      </c>
      <c r="O70" s="15" t="s">
        <v>19</v>
      </c>
      <c r="Q70" s="9">
        <v>8</v>
      </c>
      <c r="R70" s="9">
        <v>8</v>
      </c>
      <c r="S70" s="9">
        <v>15</v>
      </c>
      <c r="T70" s="9">
        <v>6</v>
      </c>
      <c r="U70" s="9">
        <v>5</v>
      </c>
      <c r="W70" s="24">
        <v>1</v>
      </c>
      <c r="X70" s="24">
        <v>1</v>
      </c>
      <c r="Y70" s="24">
        <v>1</v>
      </c>
      <c r="Z70" s="24">
        <v>1</v>
      </c>
      <c r="AA70" s="24">
        <v>1</v>
      </c>
      <c r="AC70" s="71" t="str">
        <v>GA</v>
      </c>
      <c r="AD70" s="53">
        <v>0</v>
      </c>
      <c r="AE70" s="53">
        <v>10</v>
      </c>
      <c r="AF70" s="53">
        <v>42</v>
      </c>
      <c r="AG70" s="53">
        <v>10</v>
      </c>
      <c r="AH70" s="53">
        <v>0</v>
      </c>
      <c r="AI70" s="5"/>
      <c r="AJ70" s="71" t="str">
        <v>GA</v>
      </c>
      <c r="AK70" s="53">
        <v>0</v>
      </c>
      <c r="AL70" s="53">
        <v>10</v>
      </c>
      <c r="AM70" s="53">
        <v>42</v>
      </c>
      <c r="AN70" s="53">
        <v>10</v>
      </c>
      <c r="AO70" s="53">
        <v>0</v>
      </c>
    </row>
    <row r="71" spans="10:41" ht="16.5" customHeight="1" x14ac:dyDescent="0.3">
      <c r="J71" s="9">
        <v>67</v>
      </c>
      <c r="K71" s="15" t="s">
        <v>19</v>
      </c>
      <c r="L71" s="15" t="s">
        <v>19</v>
      </c>
      <c r="M71" s="15" t="s">
        <v>68</v>
      </c>
      <c r="N71" s="15" t="s">
        <v>19</v>
      </c>
      <c r="O71" s="15" t="s">
        <v>18</v>
      </c>
      <c r="Q71" s="9">
        <v>5</v>
      </c>
      <c r="R71" s="9">
        <v>5</v>
      </c>
      <c r="S71" s="9">
        <v>18</v>
      </c>
      <c r="T71" s="9">
        <v>5</v>
      </c>
      <c r="U71" s="9">
        <v>4</v>
      </c>
      <c r="W71" s="24">
        <v>1</v>
      </c>
      <c r="X71" s="24">
        <v>1</v>
      </c>
      <c r="Y71" s="24">
        <v>1</v>
      </c>
      <c r="Z71" s="24">
        <v>1</v>
      </c>
      <c r="AA71" s="24">
        <v>1</v>
      </c>
      <c r="AC71" s="71" t="str">
        <v>GK</v>
      </c>
      <c r="AD71" s="53">
        <v>0</v>
      </c>
      <c r="AE71" s="53">
        <v>9</v>
      </c>
      <c r="AF71" s="53">
        <v>44</v>
      </c>
      <c r="AG71" s="53">
        <v>10</v>
      </c>
      <c r="AH71" s="53">
        <v>0</v>
      </c>
      <c r="AI71" s="5"/>
      <c r="AJ71" s="71" t="str">
        <v>GK</v>
      </c>
      <c r="AK71" s="53">
        <v>0</v>
      </c>
      <c r="AL71" s="53">
        <v>9</v>
      </c>
      <c r="AM71" s="53">
        <v>44</v>
      </c>
      <c r="AN71" s="53">
        <v>10</v>
      </c>
      <c r="AO71" s="53">
        <v>0</v>
      </c>
    </row>
    <row r="72" spans="10:41" ht="16.5" customHeight="1" x14ac:dyDescent="0.3">
      <c r="J72" s="24">
        <v>68</v>
      </c>
      <c r="K72" s="15" t="s">
        <v>35</v>
      </c>
      <c r="L72" s="15" t="s">
        <v>21</v>
      </c>
      <c r="M72" s="15" t="s">
        <v>65</v>
      </c>
      <c r="N72" s="15" t="s">
        <v>65</v>
      </c>
      <c r="O72" s="15" t="s">
        <v>22</v>
      </c>
      <c r="Q72" s="9">
        <v>8</v>
      </c>
      <c r="R72" s="9">
        <v>2</v>
      </c>
      <c r="S72" s="9">
        <v>16</v>
      </c>
      <c r="T72" s="9">
        <v>16</v>
      </c>
      <c r="U72" s="9">
        <v>3</v>
      </c>
      <c r="W72" s="24">
        <v>1</v>
      </c>
      <c r="X72" s="24">
        <v>1</v>
      </c>
      <c r="Y72" s="24">
        <v>1</v>
      </c>
      <c r="Z72" s="24">
        <v>1</v>
      </c>
      <c r="AA72" s="24">
        <v>1</v>
      </c>
      <c r="AC72" s="71" t="str">
        <v>GQ</v>
      </c>
      <c r="AD72" s="53">
        <v>0</v>
      </c>
      <c r="AE72" s="53">
        <v>3</v>
      </c>
      <c r="AF72" s="53">
        <v>6</v>
      </c>
      <c r="AG72" s="53">
        <v>1</v>
      </c>
      <c r="AH72" s="53">
        <v>0</v>
      </c>
      <c r="AI72" s="5"/>
      <c r="AJ72" s="71" t="str">
        <v>GQ</v>
      </c>
      <c r="AK72" s="53">
        <v>0</v>
      </c>
      <c r="AL72" s="53">
        <v>3</v>
      </c>
      <c r="AM72" s="53">
        <v>6</v>
      </c>
      <c r="AN72" s="53">
        <v>1</v>
      </c>
      <c r="AO72" s="53">
        <v>0</v>
      </c>
    </row>
    <row r="73" spans="10:41" ht="16.5" customHeight="1" x14ac:dyDescent="0.3">
      <c r="J73" s="9">
        <v>69</v>
      </c>
      <c r="K73" s="15" t="s">
        <v>95</v>
      </c>
      <c r="L73" s="15" t="s">
        <v>34</v>
      </c>
      <c r="M73" s="15" t="s">
        <v>81</v>
      </c>
      <c r="N73" s="15" t="s">
        <v>36</v>
      </c>
      <c r="O73" s="15" t="s">
        <v>95</v>
      </c>
      <c r="Q73" s="9">
        <v>6</v>
      </c>
      <c r="R73" s="9">
        <v>9</v>
      </c>
      <c r="S73" s="9">
        <v>17</v>
      </c>
      <c r="T73" s="9">
        <v>10</v>
      </c>
      <c r="U73" s="9">
        <v>6</v>
      </c>
      <c r="W73" s="24">
        <v>1</v>
      </c>
      <c r="X73" s="24">
        <v>1</v>
      </c>
      <c r="Y73" s="24">
        <v>1</v>
      </c>
      <c r="Z73" s="24">
        <v>1</v>
      </c>
      <c r="AA73" s="24">
        <v>1</v>
      </c>
      <c r="AC73" s="71" t="str">
        <v>GJ</v>
      </c>
      <c r="AD73" s="53">
        <v>0</v>
      </c>
      <c r="AE73" s="53">
        <v>2</v>
      </c>
      <c r="AF73" s="53">
        <v>9</v>
      </c>
      <c r="AG73" s="53">
        <v>2</v>
      </c>
      <c r="AH73" s="53">
        <v>0</v>
      </c>
      <c r="AI73" s="5"/>
      <c r="AJ73" s="71" t="str">
        <v>GJ</v>
      </c>
      <c r="AK73" s="53">
        <v>0</v>
      </c>
      <c r="AL73" s="53">
        <v>2</v>
      </c>
      <c r="AM73" s="53">
        <v>9</v>
      </c>
      <c r="AN73" s="53">
        <v>2</v>
      </c>
      <c r="AO73" s="53">
        <v>0</v>
      </c>
    </row>
    <row r="74" spans="10:41" ht="16.5" customHeight="1" x14ac:dyDescent="0.3">
      <c r="J74" s="24">
        <v>70</v>
      </c>
      <c r="K74" s="15" t="s">
        <v>35</v>
      </c>
      <c r="L74" s="15" t="s">
        <v>19</v>
      </c>
      <c r="M74" s="15" t="s">
        <v>96</v>
      </c>
      <c r="N74" s="15" t="s">
        <v>37</v>
      </c>
      <c r="O74" s="15" t="s">
        <v>19</v>
      </c>
      <c r="Q74" s="9">
        <v>8</v>
      </c>
      <c r="R74" s="9">
        <v>5</v>
      </c>
      <c r="S74" s="9">
        <v>15</v>
      </c>
      <c r="T74" s="9">
        <v>7</v>
      </c>
      <c r="U74" s="9">
        <v>5</v>
      </c>
      <c r="W74" s="24">
        <v>1</v>
      </c>
      <c r="X74" s="24">
        <v>1</v>
      </c>
      <c r="Y74" s="24">
        <v>1</v>
      </c>
      <c r="Z74" s="24">
        <v>1</v>
      </c>
      <c r="AA74" s="24">
        <v>1</v>
      </c>
      <c r="AD74" s="59">
        <f>SUM(AD54:AD73)</f>
        <v>199</v>
      </c>
      <c r="AE74" s="59">
        <f>SUM(AE54:AE73)</f>
        <v>199</v>
      </c>
      <c r="AF74" s="59">
        <f>SUM(AF54:AF73)</f>
        <v>199</v>
      </c>
      <c r="AG74" s="59">
        <f>SUM(AG54:AG73)</f>
        <v>198</v>
      </c>
      <c r="AH74" s="59">
        <f>SUM(AH54:AH73)</f>
        <v>198</v>
      </c>
      <c r="AI74" s="5"/>
      <c r="AK74" s="59">
        <f>SUM(AK54:AK73)</f>
        <v>199</v>
      </c>
      <c r="AL74" s="59">
        <f>SUM(AL54:AL73)</f>
        <v>199</v>
      </c>
      <c r="AM74" s="59">
        <f>SUM(AM54:AM73)</f>
        <v>199</v>
      </c>
      <c r="AN74" s="59">
        <f>SUM(AN54:AN73)</f>
        <v>198</v>
      </c>
      <c r="AO74" s="59">
        <f>SUM(AO54:AO73)</f>
        <v>198</v>
      </c>
    </row>
    <row r="75" spans="10:41" ht="16.5" customHeight="1" x14ac:dyDescent="0.3">
      <c r="J75" s="9">
        <v>71</v>
      </c>
      <c r="K75" s="15" t="s">
        <v>36</v>
      </c>
      <c r="L75" s="15" t="s">
        <v>65</v>
      </c>
      <c r="M75" s="15" t="s">
        <v>65</v>
      </c>
      <c r="N75" s="15" t="s">
        <v>95</v>
      </c>
      <c r="O75" s="15" t="s">
        <v>34</v>
      </c>
      <c r="Q75" s="9">
        <v>10</v>
      </c>
      <c r="R75" s="9">
        <v>16</v>
      </c>
      <c r="S75" s="9">
        <v>16</v>
      </c>
      <c r="T75" s="9">
        <v>6</v>
      </c>
      <c r="U75" s="9">
        <v>9</v>
      </c>
      <c r="W75" s="24">
        <v>1</v>
      </c>
      <c r="X75" s="24">
        <v>1</v>
      </c>
      <c r="Y75" s="24">
        <v>1</v>
      </c>
      <c r="Z75" s="24">
        <v>1</v>
      </c>
      <c r="AA75" s="24">
        <v>1</v>
      </c>
      <c r="AH75" s="5"/>
      <c r="AI75" s="5"/>
      <c r="AO75" s="5"/>
    </row>
    <row r="76" spans="10:41" ht="16.5" customHeight="1" x14ac:dyDescent="0.3">
      <c r="J76" s="24">
        <v>72</v>
      </c>
      <c r="K76" s="15" t="s">
        <v>37</v>
      </c>
      <c r="L76" s="15" t="s">
        <v>37</v>
      </c>
      <c r="M76" s="15" t="s">
        <v>96</v>
      </c>
      <c r="N76" s="15" t="s">
        <v>35</v>
      </c>
      <c r="O76" s="15" t="s">
        <v>95</v>
      </c>
      <c r="Q76" s="9">
        <v>7</v>
      </c>
      <c r="R76" s="9">
        <v>7</v>
      </c>
      <c r="S76" s="9">
        <v>15</v>
      </c>
      <c r="T76" s="9">
        <v>8</v>
      </c>
      <c r="U76" s="9">
        <v>6</v>
      </c>
      <c r="W76" s="24">
        <v>1</v>
      </c>
      <c r="X76" s="24">
        <v>1</v>
      </c>
      <c r="Y76" s="24">
        <v>1</v>
      </c>
      <c r="Z76" s="24">
        <v>1</v>
      </c>
      <c r="AA76" s="24">
        <v>1</v>
      </c>
      <c r="AH76" s="5"/>
      <c r="AI76" s="5"/>
      <c r="AO76" s="5"/>
    </row>
    <row r="77" spans="10:41" ht="16.5" customHeight="1" x14ac:dyDescent="0.3">
      <c r="J77" s="9">
        <v>73</v>
      </c>
      <c r="K77" s="15" t="s">
        <v>95</v>
      </c>
      <c r="L77" s="15" t="s">
        <v>36</v>
      </c>
      <c r="M77" s="15" t="s">
        <v>61</v>
      </c>
      <c r="N77" s="15" t="s">
        <v>63</v>
      </c>
      <c r="O77" s="15" t="s">
        <v>19</v>
      </c>
      <c r="Q77" s="9">
        <v>6</v>
      </c>
      <c r="R77" s="9">
        <v>10</v>
      </c>
      <c r="S77" s="9">
        <v>11</v>
      </c>
      <c r="T77" s="9">
        <v>13</v>
      </c>
      <c r="U77" s="9">
        <v>5</v>
      </c>
      <c r="W77" s="24">
        <v>1</v>
      </c>
      <c r="X77" s="24">
        <v>1</v>
      </c>
      <c r="Y77" s="24">
        <v>1</v>
      </c>
      <c r="Z77" s="24">
        <v>1</v>
      </c>
      <c r="AA77" s="24">
        <v>1</v>
      </c>
      <c r="AH77" s="5"/>
      <c r="AI77" s="5"/>
      <c r="AO77" s="5"/>
    </row>
    <row r="78" spans="10:41" ht="16.5" customHeight="1" x14ac:dyDescent="0.3">
      <c r="J78" s="24">
        <v>74</v>
      </c>
      <c r="K78" s="15" t="s">
        <v>37</v>
      </c>
      <c r="L78" s="15" t="s">
        <v>19</v>
      </c>
      <c r="M78" s="15" t="s">
        <v>96</v>
      </c>
      <c r="N78" s="15" t="s">
        <v>35</v>
      </c>
      <c r="O78" s="15" t="s">
        <v>37</v>
      </c>
      <c r="Q78" s="9">
        <v>7</v>
      </c>
      <c r="R78" s="9">
        <v>5</v>
      </c>
      <c r="S78" s="9">
        <v>15</v>
      </c>
      <c r="T78" s="9">
        <v>8</v>
      </c>
      <c r="U78" s="9">
        <v>7</v>
      </c>
      <c r="W78" s="24">
        <v>1</v>
      </c>
      <c r="X78" s="24">
        <v>1</v>
      </c>
      <c r="Y78" s="24">
        <v>1</v>
      </c>
      <c r="Z78" s="24">
        <v>1</v>
      </c>
      <c r="AA78" s="24">
        <v>1</v>
      </c>
      <c r="AH78" s="5"/>
      <c r="AI78" s="5"/>
      <c r="AO78" s="5"/>
    </row>
    <row r="79" spans="10:41" ht="16.5" customHeight="1" x14ac:dyDescent="0.3">
      <c r="J79" s="9">
        <v>75</v>
      </c>
      <c r="K79" s="15" t="s">
        <v>35</v>
      </c>
      <c r="L79" s="15" t="s">
        <v>22</v>
      </c>
      <c r="M79" s="15" t="s">
        <v>64</v>
      </c>
      <c r="N79" s="15" t="s">
        <v>19</v>
      </c>
      <c r="O79" s="15" t="s">
        <v>19</v>
      </c>
      <c r="Q79" s="9">
        <v>8</v>
      </c>
      <c r="R79" s="9">
        <v>3</v>
      </c>
      <c r="S79" s="9">
        <v>14</v>
      </c>
      <c r="T79" s="9">
        <v>5</v>
      </c>
      <c r="U79" s="9">
        <v>5</v>
      </c>
      <c r="W79" s="24">
        <v>1</v>
      </c>
      <c r="X79" s="24">
        <v>1</v>
      </c>
      <c r="Y79" s="24">
        <v>1</v>
      </c>
      <c r="Z79" s="24">
        <v>1</v>
      </c>
      <c r="AA79" s="24">
        <v>1</v>
      </c>
      <c r="AH79" s="5"/>
      <c r="AI79" s="5"/>
      <c r="AO79" s="5"/>
    </row>
    <row r="80" spans="10:41" x14ac:dyDescent="0.3">
      <c r="J80" s="24">
        <v>76</v>
      </c>
      <c r="K80" s="15" t="s">
        <v>37</v>
      </c>
      <c r="L80" s="15" t="s">
        <v>37</v>
      </c>
      <c r="M80" s="15" t="s">
        <v>65</v>
      </c>
      <c r="N80" s="15" t="s">
        <v>37</v>
      </c>
      <c r="O80" s="15" t="s">
        <v>95</v>
      </c>
      <c r="Q80" s="9">
        <v>7</v>
      </c>
      <c r="R80" s="9">
        <v>7</v>
      </c>
      <c r="S80" s="9">
        <v>16</v>
      </c>
      <c r="T80" s="9">
        <v>7</v>
      </c>
      <c r="U80" s="9">
        <v>6</v>
      </c>
      <c r="W80" s="24">
        <v>1</v>
      </c>
      <c r="X80" s="24">
        <v>1</v>
      </c>
      <c r="Y80" s="24">
        <v>1</v>
      </c>
      <c r="Z80" s="24">
        <v>1</v>
      </c>
      <c r="AA80" s="24">
        <v>1</v>
      </c>
      <c r="AH80" s="5"/>
      <c r="AI80" s="5"/>
      <c r="AO80" s="5"/>
    </row>
    <row r="81" spans="10:41" x14ac:dyDescent="0.3">
      <c r="J81" s="9">
        <v>77</v>
      </c>
      <c r="K81" s="15" t="s">
        <v>35</v>
      </c>
      <c r="L81" s="15" t="s">
        <v>19</v>
      </c>
      <c r="M81" s="15" t="s">
        <v>64</v>
      </c>
      <c r="N81" s="15" t="s">
        <v>19</v>
      </c>
      <c r="O81" s="15" t="s">
        <v>37</v>
      </c>
      <c r="Q81" s="9">
        <v>8</v>
      </c>
      <c r="R81" s="9">
        <v>5</v>
      </c>
      <c r="S81" s="9">
        <v>14</v>
      </c>
      <c r="T81" s="9">
        <v>5</v>
      </c>
      <c r="U81" s="9">
        <v>7</v>
      </c>
      <c r="W81" s="24">
        <v>1</v>
      </c>
      <c r="X81" s="24">
        <v>1</v>
      </c>
      <c r="Y81" s="24">
        <v>1</v>
      </c>
      <c r="Z81" s="24">
        <v>1</v>
      </c>
      <c r="AA81" s="24">
        <v>1</v>
      </c>
      <c r="AH81" s="5"/>
      <c r="AI81" s="5"/>
      <c r="AO81" s="5"/>
    </row>
    <row r="82" spans="10:41" x14ac:dyDescent="0.3">
      <c r="J82" s="24">
        <v>78</v>
      </c>
      <c r="K82" s="15" t="s">
        <v>37</v>
      </c>
      <c r="L82" s="15" t="s">
        <v>63</v>
      </c>
      <c r="M82" s="15" t="s">
        <v>65</v>
      </c>
      <c r="N82" s="15" t="s">
        <v>65</v>
      </c>
      <c r="O82" s="15" t="s">
        <v>36</v>
      </c>
      <c r="Q82" s="9">
        <v>7</v>
      </c>
      <c r="R82" s="9">
        <v>13</v>
      </c>
      <c r="S82" s="9">
        <v>16</v>
      </c>
      <c r="T82" s="9">
        <v>16</v>
      </c>
      <c r="U82" s="9">
        <v>10</v>
      </c>
      <c r="W82" s="24">
        <v>1</v>
      </c>
      <c r="X82" s="24">
        <v>1</v>
      </c>
      <c r="Y82" s="24">
        <v>1</v>
      </c>
      <c r="Z82" s="24">
        <v>1</v>
      </c>
      <c r="AA82" s="24">
        <v>1</v>
      </c>
      <c r="AH82" s="5"/>
      <c r="AI82" s="5"/>
      <c r="AO82" s="5"/>
    </row>
    <row r="83" spans="10:41" x14ac:dyDescent="0.3">
      <c r="J83" s="9">
        <v>79</v>
      </c>
      <c r="K83" s="15" t="s">
        <v>19</v>
      </c>
      <c r="L83" s="15" t="s">
        <v>95</v>
      </c>
      <c r="M83" s="15" t="s">
        <v>70</v>
      </c>
      <c r="N83" s="15" t="s">
        <v>19</v>
      </c>
      <c r="O83" s="15" t="s">
        <v>21</v>
      </c>
      <c r="Q83" s="9">
        <v>5</v>
      </c>
      <c r="R83" s="9">
        <v>6</v>
      </c>
      <c r="S83" s="9">
        <v>19</v>
      </c>
      <c r="T83" s="9">
        <v>5</v>
      </c>
      <c r="U83" s="9">
        <v>2</v>
      </c>
      <c r="W83" s="24">
        <v>1</v>
      </c>
      <c r="X83" s="24">
        <v>1</v>
      </c>
      <c r="Y83" s="24">
        <v>1</v>
      </c>
      <c r="Z83" s="24">
        <v>1</v>
      </c>
      <c r="AA83" s="24">
        <v>1</v>
      </c>
      <c r="AH83" s="5"/>
      <c r="AI83" s="5"/>
      <c r="AO83" s="5"/>
    </row>
    <row r="84" spans="10:41" x14ac:dyDescent="0.3">
      <c r="J84" s="24">
        <v>80</v>
      </c>
      <c r="K84" s="15" t="s">
        <v>18</v>
      </c>
      <c r="L84" s="15" t="s">
        <v>70</v>
      </c>
      <c r="M84" s="15" t="s">
        <v>96</v>
      </c>
      <c r="N84" s="15" t="s">
        <v>35</v>
      </c>
      <c r="O84" s="15" t="s">
        <v>18</v>
      </c>
      <c r="Q84" s="9">
        <v>4</v>
      </c>
      <c r="R84" s="9">
        <v>19</v>
      </c>
      <c r="S84" s="9">
        <v>15</v>
      </c>
      <c r="T84" s="9">
        <v>8</v>
      </c>
      <c r="U84" s="9">
        <v>4</v>
      </c>
      <c r="W84" s="24">
        <v>1</v>
      </c>
      <c r="X84" s="24">
        <v>1</v>
      </c>
      <c r="Y84" s="24">
        <v>1</v>
      </c>
      <c r="Z84" s="24">
        <v>1</v>
      </c>
      <c r="AA84" s="24">
        <v>1</v>
      </c>
      <c r="AH84" s="5"/>
      <c r="AI84" s="5"/>
      <c r="AO84" s="5"/>
    </row>
    <row r="85" spans="10:41" x14ac:dyDescent="0.3">
      <c r="J85" s="9">
        <v>81</v>
      </c>
      <c r="K85" s="15" t="s">
        <v>36</v>
      </c>
      <c r="L85" s="15" t="s">
        <v>64</v>
      </c>
      <c r="M85" s="15" t="s">
        <v>81</v>
      </c>
      <c r="N85" s="15" t="s">
        <v>65</v>
      </c>
      <c r="O85" s="15" t="s">
        <v>37</v>
      </c>
      <c r="Q85" s="9">
        <v>10</v>
      </c>
      <c r="R85" s="9">
        <v>14</v>
      </c>
      <c r="S85" s="9">
        <v>17</v>
      </c>
      <c r="T85" s="9">
        <v>16</v>
      </c>
      <c r="U85" s="9">
        <v>7</v>
      </c>
      <c r="W85" s="24">
        <v>1</v>
      </c>
      <c r="X85" s="24">
        <v>1</v>
      </c>
      <c r="Y85" s="24">
        <v>1</v>
      </c>
      <c r="Z85" s="24">
        <v>1</v>
      </c>
      <c r="AA85" s="24">
        <v>1</v>
      </c>
      <c r="AH85" s="5"/>
      <c r="AI85" s="5"/>
      <c r="AO85" s="5"/>
    </row>
    <row r="86" spans="10:41" x14ac:dyDescent="0.3">
      <c r="J86" s="24">
        <v>82</v>
      </c>
      <c r="K86" s="15" t="s">
        <v>19</v>
      </c>
      <c r="L86" s="15" t="s">
        <v>35</v>
      </c>
      <c r="M86" s="15" t="s">
        <v>70</v>
      </c>
      <c r="N86" s="15" t="s">
        <v>36</v>
      </c>
      <c r="O86" s="15" t="s">
        <v>35</v>
      </c>
      <c r="Q86" s="9">
        <v>5</v>
      </c>
      <c r="R86" s="9">
        <v>8</v>
      </c>
      <c r="S86" s="9">
        <v>19</v>
      </c>
      <c r="T86" s="9">
        <v>10</v>
      </c>
      <c r="U86" s="9">
        <v>8</v>
      </c>
      <c r="W86" s="24">
        <v>1</v>
      </c>
      <c r="X86" s="24">
        <v>1</v>
      </c>
      <c r="Y86" s="24">
        <v>1</v>
      </c>
      <c r="Z86" s="24">
        <v>1</v>
      </c>
      <c r="AA86" s="24">
        <v>1</v>
      </c>
      <c r="AH86" s="5"/>
      <c r="AI86" s="5"/>
      <c r="AO86" s="5"/>
    </row>
    <row r="87" spans="10:41" x14ac:dyDescent="0.3">
      <c r="J87" s="9">
        <v>83</v>
      </c>
      <c r="K87" s="15" t="s">
        <v>37</v>
      </c>
      <c r="L87" s="15" t="s">
        <v>19</v>
      </c>
      <c r="M87" s="15" t="s">
        <v>63</v>
      </c>
      <c r="N87" s="15" t="s">
        <v>95</v>
      </c>
      <c r="O87" s="15" t="s">
        <v>95</v>
      </c>
      <c r="Q87" s="9">
        <v>7</v>
      </c>
      <c r="R87" s="9">
        <v>5</v>
      </c>
      <c r="S87" s="9">
        <v>13</v>
      </c>
      <c r="T87" s="9">
        <v>6</v>
      </c>
      <c r="U87" s="9">
        <v>6</v>
      </c>
      <c r="W87" s="24">
        <v>1</v>
      </c>
      <c r="X87" s="24">
        <v>1</v>
      </c>
      <c r="Y87" s="24">
        <v>1</v>
      </c>
      <c r="Z87" s="24">
        <v>1</v>
      </c>
      <c r="AA87" s="24">
        <v>1</v>
      </c>
      <c r="AH87" s="5"/>
      <c r="AI87" s="5"/>
      <c r="AO87" s="5"/>
    </row>
    <row r="88" spans="10:41" x14ac:dyDescent="0.3">
      <c r="J88" s="24">
        <v>84</v>
      </c>
      <c r="K88" s="15" t="s">
        <v>35</v>
      </c>
      <c r="L88" s="15" t="s">
        <v>37</v>
      </c>
      <c r="M88" s="15" t="s">
        <v>96</v>
      </c>
      <c r="N88" s="15" t="s">
        <v>19</v>
      </c>
      <c r="O88" s="15" t="s">
        <v>19</v>
      </c>
      <c r="Q88" s="9">
        <v>8</v>
      </c>
      <c r="R88" s="9">
        <v>7</v>
      </c>
      <c r="S88" s="9">
        <v>15</v>
      </c>
      <c r="T88" s="9">
        <v>5</v>
      </c>
      <c r="U88" s="9">
        <v>5</v>
      </c>
      <c r="W88" s="24">
        <v>1</v>
      </c>
      <c r="X88" s="24">
        <v>1</v>
      </c>
      <c r="Y88" s="24">
        <v>1</v>
      </c>
      <c r="Z88" s="24">
        <v>1</v>
      </c>
      <c r="AA88" s="24">
        <v>1</v>
      </c>
      <c r="AH88" s="5"/>
      <c r="AI88" s="5"/>
      <c r="AO88" s="5"/>
    </row>
    <row r="89" spans="10:41" x14ac:dyDescent="0.3">
      <c r="J89" s="9">
        <v>85</v>
      </c>
      <c r="K89" s="15" t="s">
        <v>19</v>
      </c>
      <c r="L89" s="15" t="s">
        <v>35</v>
      </c>
      <c r="M89" s="15" t="s">
        <v>81</v>
      </c>
      <c r="N89" s="15" t="s">
        <v>20</v>
      </c>
      <c r="O89" s="15" t="s">
        <v>36</v>
      </c>
      <c r="Q89" s="9">
        <v>5</v>
      </c>
      <c r="R89" s="9">
        <v>8</v>
      </c>
      <c r="S89" s="9">
        <v>17</v>
      </c>
      <c r="T89" s="9">
        <v>1</v>
      </c>
      <c r="U89" s="9">
        <v>10</v>
      </c>
      <c r="W89" s="24">
        <v>1</v>
      </c>
      <c r="X89" s="24">
        <v>1</v>
      </c>
      <c r="Y89" s="24">
        <v>1</v>
      </c>
      <c r="Z89" s="24">
        <v>1</v>
      </c>
      <c r="AA89" s="24">
        <v>1</v>
      </c>
      <c r="AH89" s="5"/>
      <c r="AI89" s="5"/>
      <c r="AO89" s="5"/>
    </row>
    <row r="90" spans="10:41" x14ac:dyDescent="0.3">
      <c r="J90" s="24">
        <v>86</v>
      </c>
      <c r="K90" s="15" t="s">
        <v>37</v>
      </c>
      <c r="L90" s="15" t="s">
        <v>34</v>
      </c>
      <c r="M90" s="15" t="s">
        <v>96</v>
      </c>
      <c r="N90" s="15" t="s">
        <v>19</v>
      </c>
      <c r="O90" s="15" t="s">
        <v>37</v>
      </c>
      <c r="Q90" s="9">
        <v>7</v>
      </c>
      <c r="R90" s="9">
        <v>9</v>
      </c>
      <c r="S90" s="9">
        <v>15</v>
      </c>
      <c r="T90" s="9">
        <v>5</v>
      </c>
      <c r="U90" s="9">
        <v>7</v>
      </c>
      <c r="W90" s="24">
        <v>1</v>
      </c>
      <c r="X90" s="24">
        <v>1</v>
      </c>
      <c r="Y90" s="24">
        <v>1</v>
      </c>
      <c r="Z90" s="24">
        <v>1</v>
      </c>
      <c r="AA90" s="24">
        <v>1</v>
      </c>
      <c r="AH90" s="5"/>
      <c r="AI90" s="5"/>
      <c r="AO90" s="5"/>
    </row>
    <row r="91" spans="10:41" x14ac:dyDescent="0.3">
      <c r="J91" s="9">
        <v>87</v>
      </c>
      <c r="K91" s="15" t="s">
        <v>95</v>
      </c>
      <c r="L91" s="15" t="s">
        <v>21</v>
      </c>
      <c r="M91" s="15" t="s">
        <v>61</v>
      </c>
      <c r="N91" s="15" t="s">
        <v>35</v>
      </c>
      <c r="O91" s="15" t="s">
        <v>35</v>
      </c>
      <c r="Q91" s="9">
        <v>6</v>
      </c>
      <c r="R91" s="9">
        <v>2</v>
      </c>
      <c r="S91" s="9">
        <v>11</v>
      </c>
      <c r="T91" s="9">
        <v>8</v>
      </c>
      <c r="U91" s="9">
        <v>8</v>
      </c>
      <c r="W91" s="24">
        <v>1</v>
      </c>
      <c r="X91" s="24">
        <v>1</v>
      </c>
      <c r="Y91" s="24">
        <v>1</v>
      </c>
      <c r="Z91" s="24">
        <v>1</v>
      </c>
      <c r="AA91" s="24">
        <v>1</v>
      </c>
      <c r="AH91" s="5"/>
      <c r="AI91" s="5"/>
      <c r="AO91" s="5"/>
    </row>
    <row r="92" spans="10:41" x14ac:dyDescent="0.3">
      <c r="J92" s="24">
        <v>88</v>
      </c>
      <c r="K92" s="15" t="s">
        <v>19</v>
      </c>
      <c r="L92" s="15" t="s">
        <v>19</v>
      </c>
      <c r="M92" s="15" t="s">
        <v>81</v>
      </c>
      <c r="N92" s="15" t="s">
        <v>37</v>
      </c>
      <c r="O92" s="15" t="s">
        <v>34</v>
      </c>
      <c r="Q92" s="9">
        <v>5</v>
      </c>
      <c r="R92" s="9">
        <v>5</v>
      </c>
      <c r="S92" s="9">
        <v>17</v>
      </c>
      <c r="T92" s="9">
        <v>7</v>
      </c>
      <c r="U92" s="9">
        <v>9</v>
      </c>
      <c r="W92" s="24">
        <v>1</v>
      </c>
      <c r="X92" s="24">
        <v>1</v>
      </c>
      <c r="Y92" s="24">
        <v>1</v>
      </c>
      <c r="Z92" s="24">
        <v>1</v>
      </c>
      <c r="AA92" s="24">
        <v>1</v>
      </c>
      <c r="AH92" s="5"/>
      <c r="AI92" s="5"/>
      <c r="AO92" s="5"/>
    </row>
    <row r="93" spans="10:41" x14ac:dyDescent="0.3">
      <c r="J93" s="9">
        <v>89</v>
      </c>
      <c r="K93" s="15" t="s">
        <v>36</v>
      </c>
      <c r="L93" s="15" t="s">
        <v>95</v>
      </c>
      <c r="M93" s="15" t="s">
        <v>64</v>
      </c>
      <c r="N93" s="15" t="s">
        <v>95</v>
      </c>
      <c r="O93" s="15" t="s">
        <v>35</v>
      </c>
      <c r="Q93" s="9">
        <v>10</v>
      </c>
      <c r="R93" s="9">
        <v>6</v>
      </c>
      <c r="S93" s="9">
        <v>14</v>
      </c>
      <c r="T93" s="9">
        <v>6</v>
      </c>
      <c r="U93" s="9">
        <v>8</v>
      </c>
      <c r="W93" s="24">
        <v>1</v>
      </c>
      <c r="X93" s="24">
        <v>1</v>
      </c>
      <c r="Y93" s="24">
        <v>1</v>
      </c>
      <c r="Z93" s="24">
        <v>1</v>
      </c>
      <c r="AA93" s="24">
        <v>1</v>
      </c>
      <c r="AH93" s="5"/>
      <c r="AI93" s="5"/>
      <c r="AO93" s="5"/>
    </row>
    <row r="94" spans="10:41" x14ac:dyDescent="0.3">
      <c r="J94" s="24">
        <v>90</v>
      </c>
      <c r="K94" s="15" t="s">
        <v>35</v>
      </c>
      <c r="L94" s="15" t="s">
        <v>62</v>
      </c>
      <c r="M94" s="15" t="s">
        <v>81</v>
      </c>
      <c r="N94" s="15" t="s">
        <v>65</v>
      </c>
      <c r="O94" s="15" t="s">
        <v>20</v>
      </c>
      <c r="Q94" s="9">
        <v>8</v>
      </c>
      <c r="R94" s="9">
        <v>12</v>
      </c>
      <c r="S94" s="9">
        <v>17</v>
      </c>
      <c r="T94" s="9">
        <v>16</v>
      </c>
      <c r="U94" s="9">
        <v>1</v>
      </c>
      <c r="W94" s="24">
        <v>1</v>
      </c>
      <c r="X94" s="24">
        <v>1</v>
      </c>
      <c r="Y94" s="24">
        <v>1</v>
      </c>
      <c r="Z94" s="24">
        <v>1</v>
      </c>
      <c r="AA94" s="24">
        <v>1</v>
      </c>
      <c r="AH94" s="5"/>
      <c r="AI94" s="5"/>
      <c r="AO94" s="5"/>
    </row>
    <row r="95" spans="10:41" x14ac:dyDescent="0.3">
      <c r="J95" s="9">
        <v>91</v>
      </c>
      <c r="K95" s="15" t="s">
        <v>95</v>
      </c>
      <c r="L95" s="15" t="s">
        <v>81</v>
      </c>
      <c r="M95" s="15" t="s">
        <v>61</v>
      </c>
      <c r="N95" s="15" t="s">
        <v>96</v>
      </c>
      <c r="O95" s="15" t="s">
        <v>35</v>
      </c>
      <c r="Q95" s="9">
        <v>6</v>
      </c>
      <c r="R95" s="9">
        <v>17</v>
      </c>
      <c r="S95" s="9">
        <v>11</v>
      </c>
      <c r="T95" s="9">
        <v>15</v>
      </c>
      <c r="U95" s="9">
        <v>8</v>
      </c>
      <c r="W95" s="24">
        <v>1</v>
      </c>
      <c r="X95" s="24">
        <v>1</v>
      </c>
      <c r="Y95" s="24">
        <v>1</v>
      </c>
      <c r="Z95" s="24">
        <v>1</v>
      </c>
      <c r="AA95" s="24">
        <v>1</v>
      </c>
      <c r="AH95" s="5"/>
      <c r="AI95" s="5"/>
      <c r="AO95" s="5"/>
    </row>
    <row r="96" spans="10:41" x14ac:dyDescent="0.3">
      <c r="J96" s="24">
        <v>92</v>
      </c>
      <c r="K96" s="15" t="s">
        <v>19</v>
      </c>
      <c r="L96" s="15" t="s">
        <v>95</v>
      </c>
      <c r="M96" s="15" t="s">
        <v>68</v>
      </c>
      <c r="N96" s="15" t="s">
        <v>20</v>
      </c>
      <c r="O96" s="15" t="s">
        <v>19</v>
      </c>
      <c r="Q96" s="9">
        <v>5</v>
      </c>
      <c r="R96" s="9">
        <v>6</v>
      </c>
      <c r="S96" s="9">
        <v>18</v>
      </c>
      <c r="T96" s="9">
        <v>1</v>
      </c>
      <c r="U96" s="9">
        <v>5</v>
      </c>
      <c r="W96" s="24">
        <v>1</v>
      </c>
      <c r="X96" s="24">
        <v>1</v>
      </c>
      <c r="Y96" s="24">
        <v>1</v>
      </c>
      <c r="Z96" s="24">
        <v>1</v>
      </c>
      <c r="AA96" s="24">
        <v>1</v>
      </c>
      <c r="AH96" s="5"/>
      <c r="AI96" s="5"/>
      <c r="AO96" s="5"/>
    </row>
    <row r="97" spans="10:41" x14ac:dyDescent="0.3">
      <c r="J97" s="9">
        <v>93</v>
      </c>
      <c r="K97" s="15" t="s">
        <v>37</v>
      </c>
      <c r="L97" s="15" t="s">
        <v>81</v>
      </c>
      <c r="M97" s="15" t="s">
        <v>96</v>
      </c>
      <c r="N97" s="15" t="s">
        <v>35</v>
      </c>
      <c r="O97" s="15" t="s">
        <v>36</v>
      </c>
      <c r="Q97" s="9">
        <v>7</v>
      </c>
      <c r="R97" s="9">
        <v>17</v>
      </c>
      <c r="S97" s="9">
        <v>15</v>
      </c>
      <c r="T97" s="9">
        <v>8</v>
      </c>
      <c r="U97" s="9">
        <v>10</v>
      </c>
      <c r="W97" s="24">
        <v>1</v>
      </c>
      <c r="X97" s="24">
        <v>1</v>
      </c>
      <c r="Y97" s="24">
        <v>1</v>
      </c>
      <c r="Z97" s="24">
        <v>1</v>
      </c>
      <c r="AA97" s="24">
        <v>1</v>
      </c>
      <c r="AH97" s="5"/>
      <c r="AI97" s="5"/>
      <c r="AO97" s="5"/>
    </row>
    <row r="98" spans="10:41" x14ac:dyDescent="0.3">
      <c r="J98" s="24">
        <v>94</v>
      </c>
      <c r="K98" s="15" t="s">
        <v>35</v>
      </c>
      <c r="L98" s="15" t="s">
        <v>21</v>
      </c>
      <c r="M98" s="15" t="s">
        <v>64</v>
      </c>
      <c r="N98" s="15" t="s">
        <v>37</v>
      </c>
      <c r="O98" s="15" t="s">
        <v>19</v>
      </c>
      <c r="Q98" s="9">
        <v>8</v>
      </c>
      <c r="R98" s="9">
        <v>2</v>
      </c>
      <c r="S98" s="9">
        <v>14</v>
      </c>
      <c r="T98" s="9">
        <v>7</v>
      </c>
      <c r="U98" s="9">
        <v>5</v>
      </c>
      <c r="W98" s="24">
        <v>1</v>
      </c>
      <c r="X98" s="24">
        <v>1</v>
      </c>
      <c r="Y98" s="24">
        <v>1</v>
      </c>
      <c r="Z98" s="24">
        <v>1</v>
      </c>
      <c r="AA98" s="24">
        <v>1</v>
      </c>
      <c r="AH98" s="5"/>
      <c r="AI98" s="5"/>
      <c r="AO98" s="5"/>
    </row>
    <row r="99" spans="10:41" x14ac:dyDescent="0.3">
      <c r="J99" s="9">
        <v>95</v>
      </c>
      <c r="K99" s="15" t="s">
        <v>95</v>
      </c>
      <c r="L99" s="15" t="s">
        <v>19</v>
      </c>
      <c r="M99" s="15" t="s">
        <v>96</v>
      </c>
      <c r="N99" s="15" t="s">
        <v>96</v>
      </c>
      <c r="O99" s="15" t="s">
        <v>95</v>
      </c>
      <c r="Q99" s="9">
        <v>6</v>
      </c>
      <c r="R99" s="9">
        <v>5</v>
      </c>
      <c r="S99" s="9">
        <v>15</v>
      </c>
      <c r="T99" s="9">
        <v>15</v>
      </c>
      <c r="U99" s="9">
        <v>6</v>
      </c>
      <c r="W99" s="24">
        <v>1</v>
      </c>
      <c r="X99" s="24">
        <v>1</v>
      </c>
      <c r="Y99" s="24">
        <v>1</v>
      </c>
      <c r="Z99" s="24">
        <v>1</v>
      </c>
      <c r="AA99" s="24">
        <v>1</v>
      </c>
      <c r="AH99" s="5"/>
      <c r="AI99" s="5"/>
      <c r="AO99" s="5"/>
    </row>
    <row r="100" spans="10:41" x14ac:dyDescent="0.3">
      <c r="J100" s="24">
        <v>96</v>
      </c>
      <c r="K100" s="15" t="s">
        <v>19</v>
      </c>
      <c r="L100" s="15" t="s">
        <v>35</v>
      </c>
      <c r="M100" s="15" t="s">
        <v>81</v>
      </c>
      <c r="N100" s="15" t="s">
        <v>35</v>
      </c>
      <c r="O100" s="15" t="s">
        <v>35</v>
      </c>
      <c r="Q100" s="9">
        <v>5</v>
      </c>
      <c r="R100" s="9">
        <v>8</v>
      </c>
      <c r="S100" s="9">
        <v>17</v>
      </c>
      <c r="T100" s="9">
        <v>8</v>
      </c>
      <c r="U100" s="9">
        <v>8</v>
      </c>
      <c r="W100" s="24">
        <v>1</v>
      </c>
      <c r="X100" s="24">
        <v>1</v>
      </c>
      <c r="Y100" s="24">
        <v>1</v>
      </c>
      <c r="Z100" s="24">
        <v>1</v>
      </c>
      <c r="AA100" s="24">
        <v>1</v>
      </c>
      <c r="AH100" s="5"/>
      <c r="AI100" s="5"/>
      <c r="AO100" s="5"/>
    </row>
    <row r="101" spans="10:41" x14ac:dyDescent="0.3">
      <c r="J101" s="9">
        <v>97</v>
      </c>
      <c r="K101" s="15" t="s">
        <v>37</v>
      </c>
      <c r="L101" s="15" t="s">
        <v>81</v>
      </c>
      <c r="M101" s="15" t="s">
        <v>64</v>
      </c>
      <c r="N101" s="15" t="s">
        <v>81</v>
      </c>
      <c r="O101" s="15" t="s">
        <v>34</v>
      </c>
      <c r="Q101" s="9">
        <v>7</v>
      </c>
      <c r="R101" s="9">
        <v>17</v>
      </c>
      <c r="S101" s="9">
        <v>14</v>
      </c>
      <c r="T101" s="9">
        <v>17</v>
      </c>
      <c r="U101" s="9">
        <v>9</v>
      </c>
      <c r="W101" s="24">
        <v>1</v>
      </c>
      <c r="X101" s="24">
        <v>1</v>
      </c>
      <c r="Y101" s="24">
        <v>1</v>
      </c>
      <c r="Z101" s="24">
        <v>1</v>
      </c>
      <c r="AA101" s="24">
        <v>1</v>
      </c>
      <c r="AH101" s="5"/>
      <c r="AI101" s="5"/>
      <c r="AO101" s="5"/>
    </row>
    <row r="102" spans="10:41" x14ac:dyDescent="0.3">
      <c r="J102" s="24">
        <v>98</v>
      </c>
      <c r="K102" s="15" t="s">
        <v>21</v>
      </c>
      <c r="L102" s="15" t="s">
        <v>35</v>
      </c>
      <c r="M102" s="15" t="s">
        <v>65</v>
      </c>
      <c r="N102" s="15" t="s">
        <v>34</v>
      </c>
      <c r="O102" s="15" t="s">
        <v>21</v>
      </c>
      <c r="Q102" s="9">
        <v>2</v>
      </c>
      <c r="R102" s="9">
        <v>8</v>
      </c>
      <c r="S102" s="9">
        <v>16</v>
      </c>
      <c r="T102" s="9">
        <v>9</v>
      </c>
      <c r="U102" s="9">
        <v>2</v>
      </c>
      <c r="W102" s="24">
        <v>1</v>
      </c>
      <c r="X102" s="24">
        <v>1</v>
      </c>
      <c r="Y102" s="24">
        <v>1</v>
      </c>
      <c r="Z102" s="24">
        <v>1</v>
      </c>
      <c r="AA102" s="24">
        <v>1</v>
      </c>
      <c r="AH102" s="5"/>
      <c r="AI102" s="5"/>
      <c r="AO102" s="5"/>
    </row>
    <row r="103" spans="10:41" x14ac:dyDescent="0.3">
      <c r="J103" s="9">
        <v>99</v>
      </c>
      <c r="K103" s="15" t="s">
        <v>37</v>
      </c>
      <c r="L103" s="15" t="s">
        <v>21</v>
      </c>
      <c r="M103" s="15" t="s">
        <v>64</v>
      </c>
      <c r="N103" s="15" t="s">
        <v>37</v>
      </c>
      <c r="O103" s="15" t="s">
        <v>35</v>
      </c>
      <c r="Q103" s="9">
        <v>7</v>
      </c>
      <c r="R103" s="9">
        <v>2</v>
      </c>
      <c r="S103" s="9">
        <v>14</v>
      </c>
      <c r="T103" s="9">
        <v>7</v>
      </c>
      <c r="U103" s="9">
        <v>8</v>
      </c>
      <c r="W103" s="24">
        <v>1</v>
      </c>
      <c r="X103" s="24">
        <v>1</v>
      </c>
      <c r="Y103" s="24">
        <v>1</v>
      </c>
      <c r="Z103" s="24">
        <v>1</v>
      </c>
      <c r="AA103" s="24">
        <v>1</v>
      </c>
      <c r="AH103" s="5"/>
      <c r="AI103" s="5"/>
      <c r="AO103" s="5"/>
    </row>
    <row r="104" spans="10:41" x14ac:dyDescent="0.3">
      <c r="J104" s="24">
        <v>100</v>
      </c>
      <c r="K104" s="15" t="s">
        <v>19</v>
      </c>
      <c r="L104" s="15" t="s">
        <v>35</v>
      </c>
      <c r="M104" s="15" t="s">
        <v>81</v>
      </c>
      <c r="N104" s="15" t="s">
        <v>65</v>
      </c>
      <c r="O104" s="15" t="s">
        <v>95</v>
      </c>
      <c r="Q104" s="9">
        <v>5</v>
      </c>
      <c r="R104" s="9">
        <v>8</v>
      </c>
      <c r="S104" s="9">
        <v>17</v>
      </c>
      <c r="T104" s="9">
        <v>16</v>
      </c>
      <c r="U104" s="9">
        <v>6</v>
      </c>
      <c r="W104" s="24">
        <v>1</v>
      </c>
      <c r="X104" s="24">
        <v>1</v>
      </c>
      <c r="Y104" s="24">
        <v>1</v>
      </c>
      <c r="Z104" s="24">
        <v>1</v>
      </c>
      <c r="AA104" s="24">
        <v>1</v>
      </c>
      <c r="AH104" s="5"/>
      <c r="AI104" s="5"/>
      <c r="AO104" s="5"/>
    </row>
    <row r="105" spans="10:41" x14ac:dyDescent="0.3">
      <c r="J105" s="24">
        <v>101</v>
      </c>
      <c r="K105" s="15" t="s">
        <v>95</v>
      </c>
      <c r="L105" s="15" t="s">
        <v>20</v>
      </c>
      <c r="M105" s="15" t="s">
        <v>64</v>
      </c>
      <c r="N105" s="15" t="s">
        <v>96</v>
      </c>
      <c r="O105" s="15" t="s">
        <v>35</v>
      </c>
      <c r="Q105" s="9">
        <v>6</v>
      </c>
      <c r="R105" s="9">
        <v>1</v>
      </c>
      <c r="S105" s="9">
        <v>14</v>
      </c>
      <c r="T105" s="9">
        <v>15</v>
      </c>
      <c r="U105" s="9">
        <v>8</v>
      </c>
      <c r="W105" s="24">
        <v>1</v>
      </c>
      <c r="X105" s="24">
        <v>1</v>
      </c>
      <c r="Y105" s="24">
        <v>1</v>
      </c>
      <c r="Z105" s="24">
        <v>1</v>
      </c>
      <c r="AA105" s="24">
        <v>1</v>
      </c>
      <c r="AH105" s="5"/>
      <c r="AI105" s="5"/>
      <c r="AO105" s="5"/>
    </row>
    <row r="106" spans="10:41" x14ac:dyDescent="0.3">
      <c r="J106" s="9">
        <v>102</v>
      </c>
      <c r="K106" s="15" t="s">
        <v>19</v>
      </c>
      <c r="L106" s="15" t="s">
        <v>37</v>
      </c>
      <c r="M106" s="15" t="s">
        <v>96</v>
      </c>
      <c r="N106" s="15" t="s">
        <v>18</v>
      </c>
      <c r="O106" s="15" t="s">
        <v>19</v>
      </c>
      <c r="Q106" s="9">
        <v>5</v>
      </c>
      <c r="R106" s="9">
        <v>7</v>
      </c>
      <c r="S106" s="9">
        <v>15</v>
      </c>
      <c r="T106" s="9">
        <v>4</v>
      </c>
      <c r="U106" s="9">
        <v>5</v>
      </c>
      <c r="W106" s="24">
        <v>1</v>
      </c>
      <c r="X106" s="24">
        <v>1</v>
      </c>
      <c r="Y106" s="24">
        <v>1</v>
      </c>
      <c r="Z106" s="24">
        <v>1</v>
      </c>
      <c r="AA106" s="24">
        <v>1</v>
      </c>
      <c r="AH106" s="5"/>
      <c r="AI106" s="5"/>
      <c r="AO106" s="5"/>
    </row>
    <row r="107" spans="10:41" x14ac:dyDescent="0.3">
      <c r="J107" s="24">
        <v>103</v>
      </c>
      <c r="K107" s="15" t="s">
        <v>37</v>
      </c>
      <c r="L107" s="15" t="s">
        <v>81</v>
      </c>
      <c r="M107" s="15" t="s">
        <v>64</v>
      </c>
      <c r="N107" s="15" t="s">
        <v>65</v>
      </c>
      <c r="O107" s="15" t="s">
        <v>34</v>
      </c>
      <c r="Q107" s="9">
        <v>7</v>
      </c>
      <c r="R107" s="9">
        <v>17</v>
      </c>
      <c r="S107" s="9">
        <v>14</v>
      </c>
      <c r="T107" s="9">
        <v>16</v>
      </c>
      <c r="U107" s="9">
        <v>9</v>
      </c>
      <c r="W107" s="24">
        <v>1</v>
      </c>
      <c r="X107" s="24">
        <v>1</v>
      </c>
      <c r="Y107" s="24">
        <v>1</v>
      </c>
      <c r="Z107" s="24">
        <v>1</v>
      </c>
      <c r="AA107" s="24">
        <v>1</v>
      </c>
      <c r="AH107" s="5"/>
      <c r="AI107" s="5"/>
      <c r="AO107" s="5"/>
    </row>
    <row r="108" spans="10:41" x14ac:dyDescent="0.3">
      <c r="J108" s="9">
        <v>104</v>
      </c>
      <c r="K108" s="15" t="s">
        <v>95</v>
      </c>
      <c r="L108" s="15" t="s">
        <v>37</v>
      </c>
      <c r="M108" s="15" t="s">
        <v>96</v>
      </c>
      <c r="N108" s="15" t="s">
        <v>19</v>
      </c>
      <c r="O108" s="15" t="s">
        <v>35</v>
      </c>
      <c r="Q108" s="9">
        <v>6</v>
      </c>
      <c r="R108" s="9">
        <v>7</v>
      </c>
      <c r="S108" s="9">
        <v>15</v>
      </c>
      <c r="T108" s="9">
        <v>5</v>
      </c>
      <c r="U108" s="9">
        <v>8</v>
      </c>
      <c r="W108" s="24">
        <v>1</v>
      </c>
      <c r="X108" s="24">
        <v>1</v>
      </c>
      <c r="Y108" s="24">
        <v>1</v>
      </c>
      <c r="Z108" s="24">
        <v>1</v>
      </c>
      <c r="AA108" s="24">
        <v>1</v>
      </c>
      <c r="AH108" s="5"/>
      <c r="AI108" s="5"/>
      <c r="AO108" s="5"/>
    </row>
    <row r="109" spans="10:41" x14ac:dyDescent="0.3">
      <c r="J109" s="24">
        <v>105</v>
      </c>
      <c r="K109" s="15" t="s">
        <v>37</v>
      </c>
      <c r="L109" s="15" t="s">
        <v>35</v>
      </c>
      <c r="M109" s="15" t="s">
        <v>63</v>
      </c>
      <c r="N109" s="15" t="s">
        <v>35</v>
      </c>
      <c r="O109" s="15" t="s">
        <v>37</v>
      </c>
      <c r="Q109" s="9">
        <v>7</v>
      </c>
      <c r="R109" s="9">
        <v>8</v>
      </c>
      <c r="S109" s="9">
        <v>13</v>
      </c>
      <c r="T109" s="9">
        <v>8</v>
      </c>
      <c r="U109" s="9">
        <v>7</v>
      </c>
      <c r="W109" s="24">
        <v>1</v>
      </c>
      <c r="X109" s="24">
        <v>1</v>
      </c>
      <c r="Y109" s="24">
        <v>1</v>
      </c>
      <c r="Z109" s="24">
        <v>1</v>
      </c>
      <c r="AA109" s="24">
        <v>1</v>
      </c>
      <c r="AH109" s="5"/>
      <c r="AI109" s="5"/>
      <c r="AO109" s="5"/>
    </row>
    <row r="110" spans="10:41" x14ac:dyDescent="0.3">
      <c r="J110" s="9">
        <v>106</v>
      </c>
      <c r="K110" s="15" t="s">
        <v>19</v>
      </c>
      <c r="L110" s="15" t="s">
        <v>36</v>
      </c>
      <c r="M110" s="15" t="s">
        <v>64</v>
      </c>
      <c r="N110" s="15" t="s">
        <v>19</v>
      </c>
      <c r="O110" s="15" t="s">
        <v>35</v>
      </c>
      <c r="Q110" s="9">
        <v>5</v>
      </c>
      <c r="R110" s="9">
        <v>10</v>
      </c>
      <c r="S110" s="9">
        <v>14</v>
      </c>
      <c r="T110" s="9">
        <v>5</v>
      </c>
      <c r="U110" s="9">
        <v>8</v>
      </c>
      <c r="W110" s="24">
        <v>1</v>
      </c>
      <c r="X110" s="24">
        <v>1</v>
      </c>
      <c r="Y110" s="24">
        <v>1</v>
      </c>
      <c r="Z110" s="24">
        <v>1</v>
      </c>
      <c r="AA110" s="24">
        <v>1</v>
      </c>
      <c r="AH110" s="5"/>
      <c r="AI110" s="5"/>
      <c r="AO110" s="5"/>
    </row>
    <row r="111" spans="10:41" x14ac:dyDescent="0.3">
      <c r="J111" s="24">
        <v>107</v>
      </c>
      <c r="K111" s="15" t="s">
        <v>37</v>
      </c>
      <c r="L111" s="15" t="s">
        <v>37</v>
      </c>
      <c r="M111" s="15" t="s">
        <v>81</v>
      </c>
      <c r="N111" s="15" t="s">
        <v>96</v>
      </c>
      <c r="O111" s="15" t="s">
        <v>95</v>
      </c>
      <c r="Q111" s="9">
        <v>7</v>
      </c>
      <c r="R111" s="9">
        <v>7</v>
      </c>
      <c r="S111" s="9">
        <v>17</v>
      </c>
      <c r="T111" s="9">
        <v>15</v>
      </c>
      <c r="U111" s="9">
        <v>6</v>
      </c>
      <c r="W111" s="24">
        <v>1</v>
      </c>
      <c r="X111" s="24">
        <v>1</v>
      </c>
      <c r="Y111" s="24">
        <v>1</v>
      </c>
      <c r="Z111" s="24">
        <v>1</v>
      </c>
      <c r="AA111" s="24">
        <v>1</v>
      </c>
      <c r="AH111" s="5"/>
      <c r="AI111" s="5"/>
      <c r="AO111" s="5"/>
    </row>
    <row r="112" spans="10:41" x14ac:dyDescent="0.3">
      <c r="J112" s="9">
        <v>108</v>
      </c>
      <c r="K112" s="15" t="s">
        <v>19</v>
      </c>
      <c r="L112" s="15" t="s">
        <v>21</v>
      </c>
      <c r="M112" s="15" t="s">
        <v>65</v>
      </c>
      <c r="N112" s="15" t="s">
        <v>22</v>
      </c>
      <c r="O112" s="15" t="s">
        <v>37</v>
      </c>
      <c r="Q112" s="9">
        <v>5</v>
      </c>
      <c r="R112" s="9">
        <v>2</v>
      </c>
      <c r="S112" s="9">
        <v>16</v>
      </c>
      <c r="T112" s="9">
        <v>3</v>
      </c>
      <c r="U112" s="9">
        <v>7</v>
      </c>
      <c r="W112" s="24">
        <v>1</v>
      </c>
      <c r="X112" s="24">
        <v>1</v>
      </c>
      <c r="Y112" s="24">
        <v>1</v>
      </c>
      <c r="Z112" s="24">
        <v>1</v>
      </c>
      <c r="AA112" s="24">
        <v>1</v>
      </c>
      <c r="AH112" s="5"/>
      <c r="AI112" s="5"/>
      <c r="AO112" s="5"/>
    </row>
    <row r="113" spans="10:41" x14ac:dyDescent="0.3">
      <c r="J113" s="24">
        <v>109</v>
      </c>
      <c r="K113" s="15" t="s">
        <v>34</v>
      </c>
      <c r="L113" s="15" t="s">
        <v>35</v>
      </c>
      <c r="M113" s="15" t="s">
        <v>96</v>
      </c>
      <c r="N113" s="15" t="s">
        <v>37</v>
      </c>
      <c r="O113" s="15" t="s">
        <v>22</v>
      </c>
      <c r="Q113" s="9">
        <v>9</v>
      </c>
      <c r="R113" s="9">
        <v>8</v>
      </c>
      <c r="S113" s="9">
        <v>15</v>
      </c>
      <c r="T113" s="9">
        <v>7</v>
      </c>
      <c r="U113" s="9">
        <v>3</v>
      </c>
      <c r="W113" s="24">
        <v>1</v>
      </c>
      <c r="X113" s="24">
        <v>1</v>
      </c>
      <c r="Y113" s="24">
        <v>1</v>
      </c>
      <c r="Z113" s="24">
        <v>1</v>
      </c>
      <c r="AA113" s="24">
        <v>1</v>
      </c>
      <c r="AH113" s="5"/>
      <c r="AI113" s="5"/>
      <c r="AO113" s="5"/>
    </row>
    <row r="114" spans="10:41" x14ac:dyDescent="0.3">
      <c r="J114" s="9">
        <v>110</v>
      </c>
      <c r="K114" s="15" t="s">
        <v>37</v>
      </c>
      <c r="L114" s="15" t="s">
        <v>81</v>
      </c>
      <c r="M114" s="15" t="s">
        <v>64</v>
      </c>
      <c r="N114" s="15" t="s">
        <v>19</v>
      </c>
      <c r="O114" s="15" t="s">
        <v>35</v>
      </c>
      <c r="Q114" s="9">
        <v>7</v>
      </c>
      <c r="R114" s="9">
        <v>17</v>
      </c>
      <c r="S114" s="9">
        <v>14</v>
      </c>
      <c r="T114" s="9">
        <v>5</v>
      </c>
      <c r="U114" s="9">
        <v>8</v>
      </c>
      <c r="W114" s="24">
        <v>1</v>
      </c>
      <c r="X114" s="24">
        <v>1</v>
      </c>
      <c r="Y114" s="24">
        <v>1</v>
      </c>
      <c r="Z114" s="24">
        <v>1</v>
      </c>
      <c r="AA114" s="24">
        <v>1</v>
      </c>
      <c r="AH114" s="5"/>
      <c r="AI114" s="5"/>
      <c r="AO114" s="5"/>
    </row>
    <row r="115" spans="10:41" x14ac:dyDescent="0.3">
      <c r="J115" s="24">
        <v>111</v>
      </c>
      <c r="K115" s="15" t="s">
        <v>19</v>
      </c>
      <c r="L115" s="15" t="s">
        <v>21</v>
      </c>
      <c r="M115" s="15" t="s">
        <v>65</v>
      </c>
      <c r="N115" s="15" t="s">
        <v>21</v>
      </c>
      <c r="O115" s="15" t="s">
        <v>19</v>
      </c>
      <c r="Q115" s="9">
        <v>5</v>
      </c>
      <c r="R115" s="9">
        <v>2</v>
      </c>
      <c r="S115" s="9">
        <v>16</v>
      </c>
      <c r="T115" s="9">
        <v>2</v>
      </c>
      <c r="U115" s="9">
        <v>5</v>
      </c>
      <c r="W115" s="24">
        <v>1</v>
      </c>
      <c r="X115" s="24">
        <v>1</v>
      </c>
      <c r="Y115" s="24">
        <v>1</v>
      </c>
      <c r="Z115" s="24">
        <v>1</v>
      </c>
      <c r="AA115" s="24">
        <v>1</v>
      </c>
      <c r="AH115" s="5"/>
      <c r="AI115" s="5"/>
      <c r="AO115" s="5"/>
    </row>
    <row r="116" spans="10:41" x14ac:dyDescent="0.3">
      <c r="J116" s="9">
        <v>112</v>
      </c>
      <c r="K116" s="15" t="s">
        <v>37</v>
      </c>
      <c r="L116" s="15" t="s">
        <v>37</v>
      </c>
      <c r="M116" s="15" t="s">
        <v>64</v>
      </c>
      <c r="N116" s="15" t="s">
        <v>35</v>
      </c>
      <c r="O116" s="15" t="s">
        <v>34</v>
      </c>
      <c r="Q116" s="9">
        <v>7</v>
      </c>
      <c r="R116" s="9">
        <v>7</v>
      </c>
      <c r="S116" s="9">
        <v>14</v>
      </c>
      <c r="T116" s="9">
        <v>8</v>
      </c>
      <c r="U116" s="9">
        <v>9</v>
      </c>
      <c r="W116" s="24">
        <v>1</v>
      </c>
      <c r="X116" s="24">
        <v>1</v>
      </c>
      <c r="Y116" s="24">
        <v>1</v>
      </c>
      <c r="Z116" s="24">
        <v>1</v>
      </c>
      <c r="AA116" s="24">
        <v>1</v>
      </c>
      <c r="AH116" s="5"/>
      <c r="AI116" s="5"/>
      <c r="AO116" s="5"/>
    </row>
    <row r="117" spans="10:41" x14ac:dyDescent="0.3">
      <c r="J117" s="24">
        <v>113</v>
      </c>
      <c r="K117" s="15" t="s">
        <v>19</v>
      </c>
      <c r="L117" s="15" t="s">
        <v>64</v>
      </c>
      <c r="M117" s="15" t="s">
        <v>81</v>
      </c>
      <c r="N117" s="15" t="s">
        <v>95</v>
      </c>
      <c r="O117" s="15" t="s">
        <v>20</v>
      </c>
      <c r="Q117" s="9">
        <v>5</v>
      </c>
      <c r="R117" s="9">
        <v>14</v>
      </c>
      <c r="S117" s="9">
        <v>17</v>
      </c>
      <c r="T117" s="9">
        <v>6</v>
      </c>
      <c r="U117" s="9">
        <v>1</v>
      </c>
      <c r="W117" s="24">
        <v>1</v>
      </c>
      <c r="X117" s="24">
        <v>1</v>
      </c>
      <c r="Y117" s="24">
        <v>1</v>
      </c>
      <c r="Z117" s="24">
        <v>1</v>
      </c>
      <c r="AA117" s="24">
        <v>1</v>
      </c>
      <c r="AH117" s="5"/>
      <c r="AI117" s="5"/>
      <c r="AO117" s="5"/>
    </row>
    <row r="118" spans="10:41" x14ac:dyDescent="0.3">
      <c r="J118" s="9">
        <v>114</v>
      </c>
      <c r="K118" s="15" t="s">
        <v>37</v>
      </c>
      <c r="L118" s="15" t="s">
        <v>96</v>
      </c>
      <c r="M118" s="15" t="s">
        <v>65</v>
      </c>
      <c r="N118" s="15" t="s">
        <v>19</v>
      </c>
      <c r="O118" s="15" t="s">
        <v>22</v>
      </c>
      <c r="Q118" s="9">
        <v>7</v>
      </c>
      <c r="R118" s="9">
        <v>15</v>
      </c>
      <c r="S118" s="9">
        <v>16</v>
      </c>
      <c r="T118" s="9">
        <v>5</v>
      </c>
      <c r="U118" s="9">
        <v>3</v>
      </c>
      <c r="W118" s="24">
        <v>1</v>
      </c>
      <c r="X118" s="24">
        <v>1</v>
      </c>
      <c r="Y118" s="24">
        <v>1</v>
      </c>
      <c r="Z118" s="24">
        <v>1</v>
      </c>
      <c r="AA118" s="24">
        <v>1</v>
      </c>
      <c r="AH118" s="5"/>
      <c r="AI118" s="5"/>
      <c r="AO118" s="5"/>
    </row>
    <row r="119" spans="10:41" x14ac:dyDescent="0.3">
      <c r="J119" s="24">
        <v>115</v>
      </c>
      <c r="K119" s="15" t="s">
        <v>19</v>
      </c>
      <c r="L119" s="15" t="s">
        <v>65</v>
      </c>
      <c r="M119" s="15" t="s">
        <v>64</v>
      </c>
      <c r="N119" s="15" t="s">
        <v>34</v>
      </c>
      <c r="O119" s="15" t="s">
        <v>19</v>
      </c>
      <c r="Q119" s="9">
        <v>5</v>
      </c>
      <c r="R119" s="9">
        <v>16</v>
      </c>
      <c r="S119" s="9">
        <v>14</v>
      </c>
      <c r="T119" s="9">
        <v>9</v>
      </c>
      <c r="U119" s="9">
        <v>5</v>
      </c>
      <c r="W119" s="24">
        <v>1</v>
      </c>
      <c r="X119" s="24">
        <v>1</v>
      </c>
      <c r="Y119" s="24">
        <v>1</v>
      </c>
      <c r="Z119" s="24">
        <v>1</v>
      </c>
      <c r="AA119" s="24">
        <v>1</v>
      </c>
      <c r="AH119" s="5"/>
      <c r="AI119" s="5"/>
      <c r="AO119" s="5"/>
    </row>
    <row r="120" spans="10:41" x14ac:dyDescent="0.3">
      <c r="J120" s="9">
        <v>116</v>
      </c>
      <c r="K120" s="15" t="s">
        <v>37</v>
      </c>
      <c r="L120" s="15" t="s">
        <v>18</v>
      </c>
      <c r="M120" s="15" t="s">
        <v>96</v>
      </c>
      <c r="N120" s="15" t="s">
        <v>35</v>
      </c>
      <c r="O120" s="15" t="s">
        <v>95</v>
      </c>
      <c r="Q120" s="9">
        <v>7</v>
      </c>
      <c r="R120" s="9">
        <v>4</v>
      </c>
      <c r="S120" s="9">
        <v>15</v>
      </c>
      <c r="T120" s="9">
        <v>8</v>
      </c>
      <c r="U120" s="9">
        <v>6</v>
      </c>
      <c r="W120" s="24">
        <v>1</v>
      </c>
      <c r="X120" s="24">
        <v>1</v>
      </c>
      <c r="Y120" s="24">
        <v>1</v>
      </c>
      <c r="Z120" s="24">
        <v>1</v>
      </c>
      <c r="AA120" s="24">
        <v>1</v>
      </c>
      <c r="AH120" s="5"/>
      <c r="AI120" s="5"/>
      <c r="AO120" s="5"/>
    </row>
    <row r="121" spans="10:41" x14ac:dyDescent="0.3">
      <c r="J121" s="24">
        <v>117</v>
      </c>
      <c r="K121" s="15" t="s">
        <v>35</v>
      </c>
      <c r="L121" s="15" t="s">
        <v>95</v>
      </c>
      <c r="M121" s="15" t="s">
        <v>81</v>
      </c>
      <c r="N121" s="15" t="s">
        <v>37</v>
      </c>
      <c r="O121" s="15" t="s">
        <v>18</v>
      </c>
      <c r="Q121" s="9">
        <v>8</v>
      </c>
      <c r="R121" s="9">
        <v>6</v>
      </c>
      <c r="S121" s="9">
        <v>17</v>
      </c>
      <c r="T121" s="9">
        <v>7</v>
      </c>
      <c r="U121" s="9">
        <v>4</v>
      </c>
      <c r="W121" s="24">
        <v>1</v>
      </c>
      <c r="X121" s="24">
        <v>1</v>
      </c>
      <c r="Y121" s="24">
        <v>1</v>
      </c>
      <c r="Z121" s="24">
        <v>1</v>
      </c>
      <c r="AA121" s="24">
        <v>1</v>
      </c>
      <c r="AH121" s="5"/>
      <c r="AI121" s="5"/>
      <c r="AO121" s="5"/>
    </row>
    <row r="122" spans="10:41" x14ac:dyDescent="0.3">
      <c r="J122" s="9">
        <v>118</v>
      </c>
      <c r="K122" s="15" t="s">
        <v>95</v>
      </c>
      <c r="L122" s="15" t="s">
        <v>18</v>
      </c>
      <c r="M122" s="15" t="s">
        <v>64</v>
      </c>
      <c r="N122" s="15" t="s">
        <v>19</v>
      </c>
      <c r="O122" s="15" t="s">
        <v>37</v>
      </c>
      <c r="Q122" s="9">
        <v>6</v>
      </c>
      <c r="R122" s="9">
        <v>4</v>
      </c>
      <c r="S122" s="9">
        <v>14</v>
      </c>
      <c r="T122" s="9">
        <v>5</v>
      </c>
      <c r="U122" s="9">
        <v>7</v>
      </c>
      <c r="W122" s="24">
        <v>1</v>
      </c>
      <c r="X122" s="24">
        <v>1</v>
      </c>
      <c r="Y122" s="24">
        <v>1</v>
      </c>
      <c r="Z122" s="24">
        <v>1</v>
      </c>
      <c r="AA122" s="24">
        <v>1</v>
      </c>
      <c r="AH122" s="5"/>
      <c r="AI122" s="5"/>
      <c r="AO122" s="5"/>
    </row>
    <row r="123" spans="10:41" x14ac:dyDescent="0.3">
      <c r="J123" s="24">
        <v>119</v>
      </c>
      <c r="K123" s="15" t="s">
        <v>37</v>
      </c>
      <c r="L123" s="15" t="s">
        <v>61</v>
      </c>
      <c r="M123" s="15" t="s">
        <v>81</v>
      </c>
      <c r="N123" s="15" t="s">
        <v>37</v>
      </c>
      <c r="O123" s="15" t="s">
        <v>35</v>
      </c>
      <c r="Q123" s="9">
        <v>7</v>
      </c>
      <c r="R123" s="9">
        <v>11</v>
      </c>
      <c r="S123" s="9">
        <v>17</v>
      </c>
      <c r="T123" s="9">
        <v>7</v>
      </c>
      <c r="U123" s="9">
        <v>8</v>
      </c>
      <c r="W123" s="24">
        <v>1</v>
      </c>
      <c r="X123" s="24">
        <v>1</v>
      </c>
      <c r="Y123" s="24">
        <v>1</v>
      </c>
      <c r="Z123" s="24">
        <v>1</v>
      </c>
      <c r="AA123" s="24">
        <v>1</v>
      </c>
      <c r="AH123" s="5"/>
      <c r="AI123" s="5"/>
      <c r="AO123" s="5"/>
    </row>
    <row r="124" spans="10:41" x14ac:dyDescent="0.3">
      <c r="J124" s="9">
        <v>120</v>
      </c>
      <c r="K124" s="15" t="s">
        <v>35</v>
      </c>
      <c r="L124" s="15" t="s">
        <v>19</v>
      </c>
      <c r="M124" s="15" t="s">
        <v>96</v>
      </c>
      <c r="N124" s="15" t="s">
        <v>65</v>
      </c>
      <c r="O124" s="15" t="s">
        <v>95</v>
      </c>
      <c r="Q124" s="9">
        <v>8</v>
      </c>
      <c r="R124" s="9">
        <v>5</v>
      </c>
      <c r="S124" s="9">
        <v>15</v>
      </c>
      <c r="T124" s="9">
        <v>16</v>
      </c>
      <c r="U124" s="9">
        <v>6</v>
      </c>
      <c r="W124" s="24">
        <v>1</v>
      </c>
      <c r="X124" s="24">
        <v>1</v>
      </c>
      <c r="Y124" s="24">
        <v>1</v>
      </c>
      <c r="Z124" s="24">
        <v>1</v>
      </c>
      <c r="AA124" s="24">
        <v>1</v>
      </c>
      <c r="AH124" s="5"/>
      <c r="AI124" s="5"/>
      <c r="AO124" s="5"/>
    </row>
    <row r="125" spans="10:41" x14ac:dyDescent="0.3">
      <c r="J125" s="24">
        <v>121</v>
      </c>
      <c r="K125" s="15" t="s">
        <v>19</v>
      </c>
      <c r="L125" s="15" t="s">
        <v>95</v>
      </c>
      <c r="M125" s="15" t="s">
        <v>62</v>
      </c>
      <c r="N125" s="15" t="s">
        <v>95</v>
      </c>
      <c r="O125" s="15" t="s">
        <v>20</v>
      </c>
      <c r="Q125" s="9">
        <v>5</v>
      </c>
      <c r="R125" s="9">
        <v>6</v>
      </c>
      <c r="S125" s="9">
        <v>12</v>
      </c>
      <c r="T125" s="9">
        <v>6</v>
      </c>
      <c r="U125" s="9">
        <v>1</v>
      </c>
      <c r="W125" s="24">
        <v>1</v>
      </c>
      <c r="X125" s="24">
        <v>1</v>
      </c>
      <c r="Y125" s="24">
        <v>1</v>
      </c>
      <c r="Z125" s="24">
        <v>1</v>
      </c>
      <c r="AA125" s="24">
        <v>1</v>
      </c>
      <c r="AH125" s="5"/>
      <c r="AI125" s="5"/>
      <c r="AO125" s="5"/>
    </row>
    <row r="126" spans="10:41" x14ac:dyDescent="0.3">
      <c r="J126" s="9">
        <v>122</v>
      </c>
      <c r="K126" s="15" t="s">
        <v>37</v>
      </c>
      <c r="L126" s="15" t="s">
        <v>37</v>
      </c>
      <c r="M126" s="15" t="s">
        <v>96</v>
      </c>
      <c r="N126" s="15" t="s">
        <v>35</v>
      </c>
      <c r="O126" s="15" t="s">
        <v>35</v>
      </c>
      <c r="Q126" s="9">
        <v>7</v>
      </c>
      <c r="R126" s="9">
        <v>7</v>
      </c>
      <c r="S126" s="9">
        <v>15</v>
      </c>
      <c r="T126" s="9">
        <v>8</v>
      </c>
      <c r="U126" s="9">
        <v>8</v>
      </c>
      <c r="W126" s="24">
        <v>1</v>
      </c>
      <c r="X126" s="24">
        <v>1</v>
      </c>
      <c r="Y126" s="24">
        <v>1</v>
      </c>
      <c r="Z126" s="24">
        <v>1</v>
      </c>
      <c r="AA126" s="24">
        <v>1</v>
      </c>
      <c r="AH126" s="5"/>
      <c r="AI126" s="5"/>
      <c r="AO126" s="5"/>
    </row>
    <row r="127" spans="10:41" x14ac:dyDescent="0.3">
      <c r="J127" s="24">
        <v>123</v>
      </c>
      <c r="K127" s="15" t="s">
        <v>95</v>
      </c>
      <c r="L127" s="15" t="s">
        <v>63</v>
      </c>
      <c r="M127" s="15" t="s">
        <v>65</v>
      </c>
      <c r="N127" s="15" t="s">
        <v>95</v>
      </c>
      <c r="O127" s="15" t="s">
        <v>37</v>
      </c>
      <c r="Q127" s="9">
        <v>6</v>
      </c>
      <c r="R127" s="9">
        <v>13</v>
      </c>
      <c r="S127" s="9">
        <v>16</v>
      </c>
      <c r="T127" s="9">
        <v>6</v>
      </c>
      <c r="U127" s="9">
        <v>7</v>
      </c>
      <c r="W127" s="24">
        <v>1</v>
      </c>
      <c r="X127" s="24">
        <v>1</v>
      </c>
      <c r="Y127" s="24">
        <v>1</v>
      </c>
      <c r="Z127" s="24">
        <v>1</v>
      </c>
      <c r="AA127" s="24">
        <v>1</v>
      </c>
      <c r="AH127" s="5"/>
      <c r="AI127" s="5"/>
      <c r="AO127" s="5"/>
    </row>
    <row r="128" spans="10:41" x14ac:dyDescent="0.3">
      <c r="J128" s="9">
        <v>124</v>
      </c>
      <c r="K128" s="15" t="s">
        <v>18</v>
      </c>
      <c r="L128" s="15" t="s">
        <v>35</v>
      </c>
      <c r="M128" s="15" t="s">
        <v>96</v>
      </c>
      <c r="N128" s="15" t="s">
        <v>37</v>
      </c>
      <c r="O128" s="15" t="s">
        <v>36</v>
      </c>
      <c r="Q128" s="9">
        <v>4</v>
      </c>
      <c r="R128" s="9">
        <v>8</v>
      </c>
      <c r="S128" s="9">
        <v>15</v>
      </c>
      <c r="T128" s="9">
        <v>7</v>
      </c>
      <c r="U128" s="9">
        <v>10</v>
      </c>
      <c r="W128" s="24">
        <v>1</v>
      </c>
      <c r="X128" s="24">
        <v>1</v>
      </c>
      <c r="Y128" s="24">
        <v>1</v>
      </c>
      <c r="Z128" s="24">
        <v>1</v>
      </c>
      <c r="AA128" s="24">
        <v>1</v>
      </c>
      <c r="AH128" s="5"/>
      <c r="AI128" s="5"/>
      <c r="AO128" s="5"/>
    </row>
    <row r="129" spans="10:41" x14ac:dyDescent="0.3">
      <c r="J129" s="24">
        <v>125</v>
      </c>
      <c r="K129" s="15" t="s">
        <v>19</v>
      </c>
      <c r="L129" s="15" t="s">
        <v>19</v>
      </c>
      <c r="M129" s="15" t="s">
        <v>64</v>
      </c>
      <c r="N129" s="15" t="s">
        <v>35</v>
      </c>
      <c r="O129" s="15" t="s">
        <v>95</v>
      </c>
      <c r="Q129" s="9">
        <v>5</v>
      </c>
      <c r="R129" s="9">
        <v>5</v>
      </c>
      <c r="S129" s="9">
        <v>14</v>
      </c>
      <c r="T129" s="9">
        <v>8</v>
      </c>
      <c r="U129" s="9">
        <v>6</v>
      </c>
      <c r="W129" s="24">
        <v>1</v>
      </c>
      <c r="X129" s="24">
        <v>1</v>
      </c>
      <c r="Y129" s="24">
        <v>1</v>
      </c>
      <c r="Z129" s="24">
        <v>1</v>
      </c>
      <c r="AA129" s="24">
        <v>1</v>
      </c>
      <c r="AH129" s="5"/>
      <c r="AI129" s="5"/>
      <c r="AO129" s="5"/>
    </row>
    <row r="130" spans="10:41" x14ac:dyDescent="0.3">
      <c r="J130" s="9">
        <v>126</v>
      </c>
      <c r="K130" s="15" t="s">
        <v>35</v>
      </c>
      <c r="L130" s="15" t="s">
        <v>96</v>
      </c>
      <c r="M130" s="15" t="s">
        <v>63</v>
      </c>
      <c r="N130" s="15" t="s">
        <v>37</v>
      </c>
      <c r="O130" s="15" t="s">
        <v>19</v>
      </c>
      <c r="Q130" s="9">
        <v>8</v>
      </c>
      <c r="R130" s="9">
        <v>15</v>
      </c>
      <c r="S130" s="9">
        <v>13</v>
      </c>
      <c r="T130" s="9">
        <v>7</v>
      </c>
      <c r="U130" s="9">
        <v>5</v>
      </c>
      <c r="W130" s="24">
        <v>1</v>
      </c>
      <c r="X130" s="24">
        <v>1</v>
      </c>
      <c r="Y130" s="24">
        <v>1</v>
      </c>
      <c r="Z130" s="24">
        <v>1</v>
      </c>
      <c r="AA130" s="24">
        <v>1</v>
      </c>
      <c r="AH130" s="5"/>
      <c r="AI130" s="5"/>
      <c r="AO130" s="5"/>
    </row>
    <row r="131" spans="10:41" x14ac:dyDescent="0.3">
      <c r="J131" s="24">
        <v>127</v>
      </c>
      <c r="K131" s="15" t="s">
        <v>95</v>
      </c>
      <c r="L131" s="15" t="s">
        <v>18</v>
      </c>
      <c r="M131" s="15" t="s">
        <v>65</v>
      </c>
      <c r="N131" s="15" t="s">
        <v>19</v>
      </c>
      <c r="O131" s="15" t="s">
        <v>22</v>
      </c>
      <c r="Q131" s="9">
        <v>6</v>
      </c>
      <c r="R131" s="9">
        <v>4</v>
      </c>
      <c r="S131" s="9">
        <v>16</v>
      </c>
      <c r="T131" s="9">
        <v>5</v>
      </c>
      <c r="U131" s="9">
        <v>3</v>
      </c>
      <c r="W131" s="24">
        <v>1</v>
      </c>
      <c r="X131" s="24">
        <v>1</v>
      </c>
      <c r="Y131" s="24">
        <v>1</v>
      </c>
      <c r="Z131" s="24">
        <v>1</v>
      </c>
      <c r="AA131" s="24">
        <v>1</v>
      </c>
      <c r="AH131" s="5"/>
      <c r="AI131" s="5"/>
      <c r="AO131" s="5"/>
    </row>
    <row r="132" spans="10:41" x14ac:dyDescent="0.3">
      <c r="J132" s="9">
        <v>128</v>
      </c>
      <c r="K132" s="15" t="s">
        <v>35</v>
      </c>
      <c r="L132" s="15" t="s">
        <v>62</v>
      </c>
      <c r="M132" s="15" t="s">
        <v>70</v>
      </c>
      <c r="N132" s="15" t="s">
        <v>37</v>
      </c>
      <c r="O132" s="15" t="s">
        <v>95</v>
      </c>
      <c r="Q132" s="9">
        <v>8</v>
      </c>
      <c r="R132" s="9">
        <v>12</v>
      </c>
      <c r="S132" s="9">
        <v>19</v>
      </c>
      <c r="T132" s="9">
        <v>7</v>
      </c>
      <c r="U132" s="9">
        <v>6</v>
      </c>
      <c r="W132" s="24">
        <v>1</v>
      </c>
      <c r="X132" s="24">
        <v>1</v>
      </c>
      <c r="Y132" s="24">
        <v>1</v>
      </c>
      <c r="Z132" s="24">
        <v>1</v>
      </c>
      <c r="AA132" s="24">
        <v>1</v>
      </c>
      <c r="AH132" s="5"/>
      <c r="AI132" s="5"/>
      <c r="AO132" s="5"/>
    </row>
    <row r="133" spans="10:41" x14ac:dyDescent="0.3">
      <c r="J133" s="24">
        <v>129</v>
      </c>
      <c r="K133" s="15" t="s">
        <v>37</v>
      </c>
      <c r="L133" s="15" t="s">
        <v>35</v>
      </c>
      <c r="M133" s="15" t="s">
        <v>81</v>
      </c>
      <c r="N133" s="15" t="s">
        <v>35</v>
      </c>
      <c r="O133" s="15" t="s">
        <v>19</v>
      </c>
      <c r="Q133" s="9">
        <v>7</v>
      </c>
      <c r="R133" s="9">
        <v>8</v>
      </c>
      <c r="S133" s="9">
        <v>17</v>
      </c>
      <c r="T133" s="9">
        <v>8</v>
      </c>
      <c r="U133" s="9">
        <v>5</v>
      </c>
      <c r="W133" s="24">
        <v>1</v>
      </c>
      <c r="X133" s="24">
        <v>1</v>
      </c>
      <c r="Y133" s="24">
        <v>1</v>
      </c>
      <c r="Z133" s="24">
        <v>1</v>
      </c>
      <c r="AA133" s="24">
        <v>1</v>
      </c>
      <c r="AH133" s="5"/>
      <c r="AI133" s="5"/>
      <c r="AO133" s="5"/>
    </row>
    <row r="134" spans="10:41" x14ac:dyDescent="0.3">
      <c r="J134" s="9">
        <v>130</v>
      </c>
      <c r="K134" s="15" t="s">
        <v>22</v>
      </c>
      <c r="L134" s="15" t="s">
        <v>37</v>
      </c>
      <c r="M134" s="15" t="s">
        <v>64</v>
      </c>
      <c r="N134" s="15" t="s">
        <v>37</v>
      </c>
      <c r="O134" s="15" t="s">
        <v>22</v>
      </c>
      <c r="Q134" s="9">
        <v>3</v>
      </c>
      <c r="R134" s="9">
        <v>7</v>
      </c>
      <c r="S134" s="9">
        <v>14</v>
      </c>
      <c r="T134" s="9">
        <v>7</v>
      </c>
      <c r="U134" s="9">
        <v>3</v>
      </c>
      <c r="W134" s="24">
        <v>1</v>
      </c>
      <c r="X134" s="24">
        <v>1</v>
      </c>
      <c r="Y134" s="24">
        <v>1</v>
      </c>
      <c r="Z134" s="24">
        <v>1</v>
      </c>
      <c r="AA134" s="24">
        <v>1</v>
      </c>
      <c r="AH134" s="5"/>
      <c r="AI134" s="5"/>
      <c r="AO134" s="5"/>
    </row>
    <row r="135" spans="10:41" x14ac:dyDescent="0.3">
      <c r="J135" s="24">
        <v>131</v>
      </c>
      <c r="K135" s="15" t="s">
        <v>35</v>
      </c>
      <c r="L135" s="15" t="s">
        <v>18</v>
      </c>
      <c r="M135" s="15" t="s">
        <v>68</v>
      </c>
      <c r="N135" s="15" t="s">
        <v>35</v>
      </c>
      <c r="O135" s="15" t="s">
        <v>95</v>
      </c>
      <c r="Q135" s="9">
        <v>8</v>
      </c>
      <c r="R135" s="9">
        <v>4</v>
      </c>
      <c r="S135" s="9">
        <v>18</v>
      </c>
      <c r="T135" s="9">
        <v>8</v>
      </c>
      <c r="U135" s="9">
        <v>6</v>
      </c>
      <c r="W135" s="24">
        <v>1</v>
      </c>
      <c r="X135" s="24">
        <v>1</v>
      </c>
      <c r="Y135" s="24">
        <v>1</v>
      </c>
      <c r="Z135" s="24">
        <v>1</v>
      </c>
      <c r="AA135" s="24">
        <v>1</v>
      </c>
      <c r="AH135" s="5"/>
      <c r="AI135" s="5"/>
      <c r="AO135" s="5"/>
    </row>
    <row r="136" spans="10:41" x14ac:dyDescent="0.3">
      <c r="J136" s="9">
        <v>132</v>
      </c>
      <c r="K136" s="15" t="s">
        <v>95</v>
      </c>
      <c r="L136" s="15" t="s">
        <v>96</v>
      </c>
      <c r="M136" s="15" t="s">
        <v>96</v>
      </c>
      <c r="N136" s="15" t="s">
        <v>19</v>
      </c>
      <c r="O136" s="15" t="s">
        <v>19</v>
      </c>
      <c r="Q136" s="9">
        <v>6</v>
      </c>
      <c r="R136" s="9">
        <v>15</v>
      </c>
      <c r="S136" s="9">
        <v>15</v>
      </c>
      <c r="T136" s="9">
        <v>5</v>
      </c>
      <c r="U136" s="9">
        <v>5</v>
      </c>
      <c r="W136" s="24">
        <v>1</v>
      </c>
      <c r="X136" s="24">
        <v>1</v>
      </c>
      <c r="Y136" s="24">
        <v>1</v>
      </c>
      <c r="Z136" s="24">
        <v>1</v>
      </c>
      <c r="AA136" s="24">
        <v>1</v>
      </c>
      <c r="AH136" s="5"/>
      <c r="AI136" s="5"/>
      <c r="AO136" s="5"/>
    </row>
    <row r="137" spans="10:41" x14ac:dyDescent="0.3">
      <c r="J137" s="24">
        <v>133</v>
      </c>
      <c r="K137" s="15" t="s">
        <v>19</v>
      </c>
      <c r="L137" s="15" t="s">
        <v>21</v>
      </c>
      <c r="M137" s="15" t="s">
        <v>65</v>
      </c>
      <c r="N137" s="15" t="s">
        <v>35</v>
      </c>
      <c r="O137" s="15" t="s">
        <v>37</v>
      </c>
      <c r="Q137" s="9">
        <v>5</v>
      </c>
      <c r="R137" s="9">
        <v>2</v>
      </c>
      <c r="S137" s="9">
        <v>16</v>
      </c>
      <c r="T137" s="9">
        <v>8</v>
      </c>
      <c r="U137" s="9">
        <v>7</v>
      </c>
      <c r="W137" s="24">
        <v>1</v>
      </c>
      <c r="X137" s="24">
        <v>1</v>
      </c>
      <c r="Y137" s="24">
        <v>1</v>
      </c>
      <c r="Z137" s="24">
        <v>1</v>
      </c>
      <c r="AA137" s="24">
        <v>1</v>
      </c>
      <c r="AH137" s="5"/>
      <c r="AI137" s="5"/>
      <c r="AO137" s="5"/>
    </row>
    <row r="138" spans="10:41" x14ac:dyDescent="0.3">
      <c r="J138" s="9">
        <v>134</v>
      </c>
      <c r="K138" s="15" t="s">
        <v>35</v>
      </c>
      <c r="L138" s="15" t="s">
        <v>95</v>
      </c>
      <c r="M138" s="15" t="s">
        <v>81</v>
      </c>
      <c r="N138" s="15" t="s">
        <v>37</v>
      </c>
      <c r="O138" s="15" t="s">
        <v>18</v>
      </c>
      <c r="Q138" s="9">
        <v>8</v>
      </c>
      <c r="R138" s="9">
        <v>6</v>
      </c>
      <c r="S138" s="9">
        <v>17</v>
      </c>
      <c r="T138" s="9">
        <v>7</v>
      </c>
      <c r="U138" s="9">
        <v>4</v>
      </c>
      <c r="W138" s="24">
        <v>1</v>
      </c>
      <c r="X138" s="24">
        <v>1</v>
      </c>
      <c r="Y138" s="24">
        <v>1</v>
      </c>
      <c r="Z138" s="24">
        <v>1</v>
      </c>
      <c r="AA138" s="24">
        <v>1</v>
      </c>
      <c r="AH138" s="5"/>
      <c r="AI138" s="5"/>
      <c r="AO138" s="5"/>
    </row>
    <row r="139" spans="10:41" x14ac:dyDescent="0.3">
      <c r="J139" s="24">
        <v>135</v>
      </c>
      <c r="K139" s="15" t="s">
        <v>95</v>
      </c>
      <c r="L139" s="15" t="s">
        <v>61</v>
      </c>
      <c r="M139" s="15" t="s">
        <v>65</v>
      </c>
      <c r="N139" s="15" t="s">
        <v>95</v>
      </c>
      <c r="O139" s="15" t="s">
        <v>19</v>
      </c>
      <c r="Q139" s="9">
        <v>6</v>
      </c>
      <c r="R139" s="9">
        <v>11</v>
      </c>
      <c r="S139" s="9">
        <v>16</v>
      </c>
      <c r="T139" s="9">
        <v>6</v>
      </c>
      <c r="U139" s="9">
        <v>5</v>
      </c>
      <c r="W139" s="24">
        <v>1</v>
      </c>
      <c r="X139" s="24">
        <v>1</v>
      </c>
      <c r="Y139" s="24">
        <v>1</v>
      </c>
      <c r="Z139" s="24">
        <v>1</v>
      </c>
      <c r="AA139" s="24">
        <v>1</v>
      </c>
      <c r="AH139" s="5"/>
      <c r="AI139" s="5"/>
      <c r="AO139" s="5"/>
    </row>
    <row r="140" spans="10:41" x14ac:dyDescent="0.3">
      <c r="J140" s="9">
        <v>136</v>
      </c>
      <c r="K140" s="15" t="s">
        <v>35</v>
      </c>
      <c r="L140" s="15" t="s">
        <v>68</v>
      </c>
      <c r="M140" s="15" t="s">
        <v>64</v>
      </c>
      <c r="N140" s="15" t="s">
        <v>19</v>
      </c>
      <c r="O140" s="15" t="s">
        <v>36</v>
      </c>
      <c r="Q140" s="9">
        <v>8</v>
      </c>
      <c r="R140" s="9">
        <v>18</v>
      </c>
      <c r="S140" s="9">
        <v>14</v>
      </c>
      <c r="T140" s="9">
        <v>5</v>
      </c>
      <c r="U140" s="9">
        <v>10</v>
      </c>
      <c r="W140" s="24">
        <v>1</v>
      </c>
      <c r="X140" s="24">
        <v>1</v>
      </c>
      <c r="Y140" s="24">
        <v>1</v>
      </c>
      <c r="Z140" s="24">
        <v>1</v>
      </c>
      <c r="AA140" s="24">
        <v>1</v>
      </c>
      <c r="AH140" s="5"/>
      <c r="AI140" s="5"/>
      <c r="AO140" s="5"/>
    </row>
    <row r="141" spans="10:41" x14ac:dyDescent="0.3">
      <c r="J141" s="24">
        <v>137</v>
      </c>
      <c r="K141" s="15" t="s">
        <v>95</v>
      </c>
      <c r="L141" s="15" t="s">
        <v>19</v>
      </c>
      <c r="M141" s="15" t="s">
        <v>96</v>
      </c>
      <c r="N141" s="15" t="s">
        <v>81</v>
      </c>
      <c r="O141" s="15" t="s">
        <v>37</v>
      </c>
      <c r="Q141" s="9">
        <v>6</v>
      </c>
      <c r="R141" s="9">
        <v>5</v>
      </c>
      <c r="S141" s="9">
        <v>15</v>
      </c>
      <c r="T141" s="9">
        <v>17</v>
      </c>
      <c r="U141" s="9">
        <v>7</v>
      </c>
      <c r="W141" s="24">
        <v>1</v>
      </c>
      <c r="X141" s="24">
        <v>1</v>
      </c>
      <c r="Y141" s="24">
        <v>1</v>
      </c>
      <c r="Z141" s="24">
        <v>1</v>
      </c>
      <c r="AA141" s="24">
        <v>1</v>
      </c>
      <c r="AH141" s="5"/>
      <c r="AI141" s="5"/>
      <c r="AO141" s="5"/>
    </row>
    <row r="142" spans="10:41" x14ac:dyDescent="0.3">
      <c r="J142" s="9">
        <v>138</v>
      </c>
      <c r="K142" s="15" t="s">
        <v>35</v>
      </c>
      <c r="L142" s="15" t="s">
        <v>21</v>
      </c>
      <c r="M142" s="15" t="s">
        <v>81</v>
      </c>
      <c r="N142" s="15" t="s">
        <v>37</v>
      </c>
      <c r="O142" s="15" t="s">
        <v>95</v>
      </c>
      <c r="Q142" s="9">
        <v>8</v>
      </c>
      <c r="R142" s="9">
        <v>2</v>
      </c>
      <c r="S142" s="9">
        <v>17</v>
      </c>
      <c r="T142" s="9">
        <v>7</v>
      </c>
      <c r="U142" s="9">
        <v>6</v>
      </c>
      <c r="W142" s="24">
        <v>1</v>
      </c>
      <c r="X142" s="24">
        <v>1</v>
      </c>
      <c r="Y142" s="24">
        <v>1</v>
      </c>
      <c r="Z142" s="24">
        <v>1</v>
      </c>
      <c r="AA142" s="24">
        <v>1</v>
      </c>
      <c r="AH142" s="5"/>
      <c r="AI142" s="5"/>
      <c r="AO142" s="5"/>
    </row>
    <row r="143" spans="10:41" x14ac:dyDescent="0.3">
      <c r="J143" s="24">
        <v>139</v>
      </c>
      <c r="K143" s="15" t="s">
        <v>19</v>
      </c>
      <c r="L143" s="15" t="s">
        <v>37</v>
      </c>
      <c r="M143" s="15" t="s">
        <v>96</v>
      </c>
      <c r="N143" s="15" t="s">
        <v>95</v>
      </c>
      <c r="O143" s="15" t="s">
        <v>37</v>
      </c>
      <c r="Q143" s="9">
        <v>5</v>
      </c>
      <c r="R143" s="9">
        <v>7</v>
      </c>
      <c r="S143" s="9">
        <v>15</v>
      </c>
      <c r="T143" s="9">
        <v>6</v>
      </c>
      <c r="U143" s="9">
        <v>7</v>
      </c>
      <c r="W143" s="24">
        <v>1</v>
      </c>
      <c r="X143" s="24">
        <v>1</v>
      </c>
      <c r="Y143" s="24">
        <v>1</v>
      </c>
      <c r="Z143" s="24">
        <v>1</v>
      </c>
      <c r="AA143" s="24">
        <v>1</v>
      </c>
      <c r="AH143" s="5"/>
      <c r="AI143" s="5"/>
      <c r="AO143" s="5"/>
    </row>
    <row r="144" spans="10:41" x14ac:dyDescent="0.3">
      <c r="J144" s="9">
        <v>140</v>
      </c>
      <c r="K144" s="15" t="s">
        <v>95</v>
      </c>
      <c r="L144" s="15" t="s">
        <v>35</v>
      </c>
      <c r="M144" s="15" t="s">
        <v>68</v>
      </c>
      <c r="N144" s="15" t="s">
        <v>96</v>
      </c>
      <c r="O144" s="15" t="s">
        <v>95</v>
      </c>
      <c r="Q144" s="9">
        <v>6</v>
      </c>
      <c r="R144" s="9">
        <v>8</v>
      </c>
      <c r="S144" s="9">
        <v>18</v>
      </c>
      <c r="T144" s="9">
        <v>15</v>
      </c>
      <c r="U144" s="9">
        <v>6</v>
      </c>
      <c r="W144" s="24">
        <v>1</v>
      </c>
      <c r="X144" s="24">
        <v>1</v>
      </c>
      <c r="Y144" s="24">
        <v>1</v>
      </c>
      <c r="Z144" s="24">
        <v>1</v>
      </c>
      <c r="AA144" s="24">
        <v>1</v>
      </c>
      <c r="AH144" s="5"/>
      <c r="AI144" s="5"/>
      <c r="AO144" s="5"/>
    </row>
    <row r="145" spans="10:41" x14ac:dyDescent="0.3">
      <c r="J145" s="24">
        <v>141</v>
      </c>
      <c r="K145" s="15" t="s">
        <v>37</v>
      </c>
      <c r="L145" s="15" t="s">
        <v>19</v>
      </c>
      <c r="M145" s="15" t="s">
        <v>81</v>
      </c>
      <c r="N145" s="15" t="s">
        <v>37</v>
      </c>
      <c r="O145" s="15" t="s">
        <v>18</v>
      </c>
      <c r="Q145" s="9">
        <v>7</v>
      </c>
      <c r="R145" s="9">
        <v>5</v>
      </c>
      <c r="S145" s="9">
        <v>17</v>
      </c>
      <c r="T145" s="9">
        <v>7</v>
      </c>
      <c r="U145" s="9">
        <v>4</v>
      </c>
      <c r="W145" s="24">
        <v>1</v>
      </c>
      <c r="X145" s="24">
        <v>1</v>
      </c>
      <c r="Y145" s="24">
        <v>1</v>
      </c>
      <c r="Z145" s="24">
        <v>1</v>
      </c>
      <c r="AA145" s="24">
        <v>1</v>
      </c>
      <c r="AH145" s="5"/>
      <c r="AI145" s="5"/>
      <c r="AO145" s="5"/>
    </row>
    <row r="146" spans="10:41" x14ac:dyDescent="0.3">
      <c r="J146" s="9">
        <v>142</v>
      </c>
      <c r="K146" s="15" t="s">
        <v>95</v>
      </c>
      <c r="L146" s="15" t="s">
        <v>70</v>
      </c>
      <c r="M146" s="15" t="s">
        <v>64</v>
      </c>
      <c r="N146" s="15" t="s">
        <v>34</v>
      </c>
      <c r="O146" s="15" t="s">
        <v>95</v>
      </c>
      <c r="Q146" s="9">
        <v>6</v>
      </c>
      <c r="R146" s="9">
        <v>19</v>
      </c>
      <c r="S146" s="9">
        <v>14</v>
      </c>
      <c r="T146" s="9">
        <v>9</v>
      </c>
      <c r="U146" s="9">
        <v>6</v>
      </c>
      <c r="W146" s="24">
        <v>1</v>
      </c>
      <c r="X146" s="24">
        <v>1</v>
      </c>
      <c r="Y146" s="24">
        <v>1</v>
      </c>
      <c r="Z146" s="24">
        <v>1</v>
      </c>
      <c r="AA146" s="24">
        <v>1</v>
      </c>
      <c r="AH146" s="5"/>
      <c r="AI146" s="5"/>
      <c r="AO146" s="5"/>
    </row>
    <row r="147" spans="10:41" x14ac:dyDescent="0.3">
      <c r="J147" s="24">
        <v>143</v>
      </c>
      <c r="K147" s="15" t="s">
        <v>19</v>
      </c>
      <c r="L147" s="15" t="s">
        <v>95</v>
      </c>
      <c r="M147" s="15" t="s">
        <v>96</v>
      </c>
      <c r="N147" s="15" t="s">
        <v>37</v>
      </c>
      <c r="O147" s="15" t="s">
        <v>19</v>
      </c>
      <c r="Q147" s="9">
        <v>5</v>
      </c>
      <c r="R147" s="9">
        <v>6</v>
      </c>
      <c r="S147" s="9">
        <v>15</v>
      </c>
      <c r="T147" s="9">
        <v>7</v>
      </c>
      <c r="U147" s="9">
        <v>5</v>
      </c>
      <c r="W147" s="24">
        <v>1</v>
      </c>
      <c r="X147" s="24">
        <v>1</v>
      </c>
      <c r="Y147" s="24">
        <v>1</v>
      </c>
      <c r="Z147" s="24">
        <v>1</v>
      </c>
      <c r="AA147" s="24">
        <v>1</v>
      </c>
      <c r="AH147" s="5"/>
      <c r="AI147" s="5"/>
      <c r="AO147" s="5"/>
    </row>
    <row r="148" spans="10:41" x14ac:dyDescent="0.3">
      <c r="J148" s="9">
        <v>144</v>
      </c>
      <c r="K148" s="15" t="s">
        <v>95</v>
      </c>
      <c r="L148" s="15" t="s">
        <v>22</v>
      </c>
      <c r="M148" s="15" t="s">
        <v>65</v>
      </c>
      <c r="N148" s="15" t="s">
        <v>19</v>
      </c>
      <c r="O148" s="15" t="s">
        <v>95</v>
      </c>
      <c r="Q148" s="9">
        <v>6</v>
      </c>
      <c r="R148" s="9">
        <v>3</v>
      </c>
      <c r="S148" s="9">
        <v>16</v>
      </c>
      <c r="T148" s="9">
        <v>5</v>
      </c>
      <c r="U148" s="9">
        <v>6</v>
      </c>
      <c r="W148" s="24">
        <v>1</v>
      </c>
      <c r="X148" s="24">
        <v>1</v>
      </c>
      <c r="Y148" s="24">
        <v>1</v>
      </c>
      <c r="Z148" s="24">
        <v>1</v>
      </c>
      <c r="AA148" s="24">
        <v>1</v>
      </c>
      <c r="AH148" s="5"/>
      <c r="AI148" s="5"/>
      <c r="AO148" s="5"/>
    </row>
    <row r="149" spans="10:41" x14ac:dyDescent="0.3">
      <c r="J149" s="24">
        <v>145</v>
      </c>
      <c r="K149" s="15" t="s">
        <v>35</v>
      </c>
      <c r="L149" s="15" t="s">
        <v>81</v>
      </c>
      <c r="M149" s="15" t="s">
        <v>81</v>
      </c>
      <c r="N149" s="15" t="s">
        <v>37</v>
      </c>
      <c r="O149" s="15" t="s">
        <v>19</v>
      </c>
      <c r="Q149" s="9">
        <v>8</v>
      </c>
      <c r="R149" s="9">
        <v>17</v>
      </c>
      <c r="S149" s="9">
        <v>17</v>
      </c>
      <c r="T149" s="9">
        <v>7</v>
      </c>
      <c r="U149" s="9">
        <v>5</v>
      </c>
      <c r="W149" s="24">
        <v>1</v>
      </c>
      <c r="X149" s="24">
        <v>1</v>
      </c>
      <c r="Y149" s="24">
        <v>1</v>
      </c>
      <c r="Z149" s="24">
        <v>1</v>
      </c>
      <c r="AA149" s="24">
        <v>1</v>
      </c>
      <c r="AH149" s="5"/>
      <c r="AI149" s="5"/>
      <c r="AO149" s="5"/>
    </row>
    <row r="150" spans="10:41" x14ac:dyDescent="0.3">
      <c r="J150" s="9">
        <v>146</v>
      </c>
      <c r="K150" s="15" t="s">
        <v>95</v>
      </c>
      <c r="L150" s="15" t="s">
        <v>35</v>
      </c>
      <c r="M150" s="15" t="s">
        <v>64</v>
      </c>
      <c r="N150" s="15" t="s">
        <v>95</v>
      </c>
      <c r="O150" s="15" t="s">
        <v>34</v>
      </c>
      <c r="Q150" s="9">
        <v>6</v>
      </c>
      <c r="R150" s="9">
        <v>8</v>
      </c>
      <c r="S150" s="9">
        <v>14</v>
      </c>
      <c r="T150" s="9">
        <v>6</v>
      </c>
      <c r="U150" s="9">
        <v>9</v>
      </c>
      <c r="W150" s="24">
        <v>1</v>
      </c>
      <c r="X150" s="24">
        <v>1</v>
      </c>
      <c r="Y150" s="24">
        <v>1</v>
      </c>
      <c r="Z150" s="24">
        <v>1</v>
      </c>
      <c r="AA150" s="24">
        <v>1</v>
      </c>
      <c r="AH150" s="5"/>
      <c r="AI150" s="5"/>
      <c r="AO150" s="5"/>
    </row>
    <row r="151" spans="10:41" x14ac:dyDescent="0.3">
      <c r="J151" s="24">
        <v>147</v>
      </c>
      <c r="K151" s="15" t="s">
        <v>37</v>
      </c>
      <c r="L151" s="15" t="s">
        <v>95</v>
      </c>
      <c r="M151" s="15" t="s">
        <v>96</v>
      </c>
      <c r="N151" s="15" t="s">
        <v>37</v>
      </c>
      <c r="O151" s="15" t="s">
        <v>37</v>
      </c>
      <c r="Q151" s="9">
        <v>7</v>
      </c>
      <c r="R151" s="9">
        <v>6</v>
      </c>
      <c r="S151" s="9">
        <v>15</v>
      </c>
      <c r="T151" s="9">
        <v>7</v>
      </c>
      <c r="U151" s="9">
        <v>7</v>
      </c>
      <c r="W151" s="24">
        <v>1</v>
      </c>
      <c r="X151" s="24">
        <v>1</v>
      </c>
      <c r="Y151" s="24">
        <v>1</v>
      </c>
      <c r="Z151" s="24">
        <v>1</v>
      </c>
      <c r="AA151" s="24">
        <v>1</v>
      </c>
      <c r="AH151" s="5"/>
      <c r="AI151" s="5"/>
      <c r="AO151" s="5"/>
    </row>
    <row r="152" spans="10:41" x14ac:dyDescent="0.3">
      <c r="J152" s="9">
        <v>148</v>
      </c>
      <c r="K152" s="15" t="s">
        <v>19</v>
      </c>
      <c r="L152" s="15" t="s">
        <v>81</v>
      </c>
      <c r="M152" s="15" t="s">
        <v>63</v>
      </c>
      <c r="N152" s="15" t="s">
        <v>19</v>
      </c>
      <c r="O152" s="15" t="s">
        <v>95</v>
      </c>
      <c r="Q152" s="9">
        <v>5</v>
      </c>
      <c r="R152" s="9">
        <v>17</v>
      </c>
      <c r="S152" s="9">
        <v>13</v>
      </c>
      <c r="T152" s="9">
        <v>5</v>
      </c>
      <c r="U152" s="9">
        <v>6</v>
      </c>
      <c r="W152" s="24">
        <v>1</v>
      </c>
      <c r="X152" s="24">
        <v>1</v>
      </c>
      <c r="Y152" s="24">
        <v>1</v>
      </c>
      <c r="Z152" s="24">
        <v>1</v>
      </c>
      <c r="AA152" s="24">
        <v>1</v>
      </c>
      <c r="AH152" s="5"/>
      <c r="AI152" s="5"/>
      <c r="AO152" s="5"/>
    </row>
    <row r="153" spans="10:41" x14ac:dyDescent="0.3">
      <c r="J153" s="24">
        <v>149</v>
      </c>
      <c r="K153" s="15" t="s">
        <v>95</v>
      </c>
      <c r="L153" s="15" t="s">
        <v>18</v>
      </c>
      <c r="M153" s="15" t="s">
        <v>64</v>
      </c>
      <c r="N153" s="15" t="s">
        <v>95</v>
      </c>
      <c r="O153" s="15" t="s">
        <v>34</v>
      </c>
      <c r="Q153" s="9">
        <v>6</v>
      </c>
      <c r="R153" s="9">
        <v>4</v>
      </c>
      <c r="S153" s="9">
        <v>14</v>
      </c>
      <c r="T153" s="9">
        <v>6</v>
      </c>
      <c r="U153" s="9">
        <v>9</v>
      </c>
      <c r="W153" s="24">
        <v>1</v>
      </c>
      <c r="X153" s="24">
        <v>1</v>
      </c>
      <c r="Y153" s="24">
        <v>1</v>
      </c>
      <c r="Z153" s="24">
        <v>1</v>
      </c>
      <c r="AA153" s="24">
        <v>1</v>
      </c>
      <c r="AH153" s="5"/>
      <c r="AI153" s="5"/>
      <c r="AO153" s="5"/>
    </row>
    <row r="154" spans="10:41" x14ac:dyDescent="0.3">
      <c r="J154" s="9">
        <v>150</v>
      </c>
      <c r="K154" s="15" t="s">
        <v>19</v>
      </c>
      <c r="L154" s="15" t="s">
        <v>36</v>
      </c>
      <c r="M154" s="15" t="s">
        <v>96</v>
      </c>
      <c r="N154" s="15" t="s">
        <v>37</v>
      </c>
      <c r="O154" s="15" t="s">
        <v>35</v>
      </c>
      <c r="Q154" s="9">
        <v>5</v>
      </c>
      <c r="R154" s="9">
        <v>10</v>
      </c>
      <c r="S154" s="9">
        <v>15</v>
      </c>
      <c r="T154" s="9">
        <v>7</v>
      </c>
      <c r="U154" s="9">
        <v>8</v>
      </c>
      <c r="W154" s="24">
        <v>1</v>
      </c>
      <c r="X154" s="24">
        <v>1</v>
      </c>
      <c r="Y154" s="24">
        <v>1</v>
      </c>
      <c r="Z154" s="24">
        <v>1</v>
      </c>
      <c r="AA154" s="24">
        <v>1</v>
      </c>
      <c r="AH154" s="5"/>
      <c r="AI154" s="5"/>
      <c r="AO154" s="5"/>
    </row>
    <row r="155" spans="10:41" x14ac:dyDescent="0.3">
      <c r="J155" s="24">
        <v>151</v>
      </c>
      <c r="K155" s="15" t="s">
        <v>21</v>
      </c>
      <c r="L155" s="15" t="s">
        <v>95</v>
      </c>
      <c r="M155" s="15" t="s">
        <v>81</v>
      </c>
      <c r="N155" s="15" t="s">
        <v>19</v>
      </c>
      <c r="O155" s="15" t="s">
        <v>21</v>
      </c>
      <c r="Q155" s="9">
        <v>2</v>
      </c>
      <c r="R155" s="9">
        <v>6</v>
      </c>
      <c r="S155" s="9">
        <v>17</v>
      </c>
      <c r="T155" s="9">
        <v>5</v>
      </c>
      <c r="U155" s="9">
        <v>2</v>
      </c>
      <c r="W155" s="24">
        <v>1</v>
      </c>
      <c r="X155" s="24">
        <v>1</v>
      </c>
      <c r="Y155" s="24">
        <v>1</v>
      </c>
      <c r="Z155" s="24">
        <v>1</v>
      </c>
      <c r="AA155" s="24">
        <v>1</v>
      </c>
      <c r="AH155" s="5"/>
      <c r="AI155" s="5"/>
      <c r="AO155" s="5"/>
    </row>
    <row r="156" spans="10:41" x14ac:dyDescent="0.3">
      <c r="J156" s="9">
        <v>152</v>
      </c>
      <c r="K156" s="15" t="s">
        <v>35</v>
      </c>
      <c r="L156" s="15" t="s">
        <v>65</v>
      </c>
      <c r="M156" s="15" t="s">
        <v>70</v>
      </c>
      <c r="N156" s="15" t="s">
        <v>64</v>
      </c>
      <c r="O156" s="15" t="s">
        <v>37</v>
      </c>
      <c r="Q156" s="9">
        <v>8</v>
      </c>
      <c r="R156" s="9">
        <v>16</v>
      </c>
      <c r="S156" s="9">
        <v>19</v>
      </c>
      <c r="T156" s="9">
        <v>14</v>
      </c>
      <c r="U156" s="9">
        <v>7</v>
      </c>
      <c r="W156" s="24">
        <v>1</v>
      </c>
      <c r="X156" s="24">
        <v>1</v>
      </c>
      <c r="Y156" s="24">
        <v>1</v>
      </c>
      <c r="Z156" s="24">
        <v>1</v>
      </c>
      <c r="AA156" s="24">
        <v>1</v>
      </c>
      <c r="AH156" s="5"/>
      <c r="AI156" s="5"/>
      <c r="AO156" s="5"/>
    </row>
    <row r="157" spans="10:41" x14ac:dyDescent="0.3">
      <c r="J157" s="24">
        <v>153</v>
      </c>
      <c r="K157" s="15" t="s">
        <v>37</v>
      </c>
      <c r="L157" s="15" t="s">
        <v>35</v>
      </c>
      <c r="M157" s="15" t="s">
        <v>96</v>
      </c>
      <c r="N157" s="15" t="s">
        <v>95</v>
      </c>
      <c r="O157" s="15" t="s">
        <v>35</v>
      </c>
      <c r="Q157" s="9">
        <v>7</v>
      </c>
      <c r="R157" s="9">
        <v>8</v>
      </c>
      <c r="S157" s="9">
        <v>15</v>
      </c>
      <c r="T157" s="9">
        <v>6</v>
      </c>
      <c r="U157" s="9">
        <v>8</v>
      </c>
      <c r="W157" s="24">
        <v>1</v>
      </c>
      <c r="X157" s="24">
        <v>1</v>
      </c>
      <c r="Y157" s="24">
        <v>1</v>
      </c>
      <c r="Z157" s="24">
        <v>1</v>
      </c>
      <c r="AA157" s="24">
        <v>1</v>
      </c>
      <c r="AH157" s="5"/>
      <c r="AI157" s="5"/>
      <c r="AO157" s="5"/>
    </row>
    <row r="158" spans="10:41" x14ac:dyDescent="0.3">
      <c r="J158" s="9">
        <v>154</v>
      </c>
      <c r="K158" s="15" t="s">
        <v>35</v>
      </c>
      <c r="L158" s="15" t="s">
        <v>36</v>
      </c>
      <c r="M158" s="15" t="s">
        <v>81</v>
      </c>
      <c r="N158" s="15" t="s">
        <v>37</v>
      </c>
      <c r="O158" s="15" t="s">
        <v>19</v>
      </c>
      <c r="Q158" s="9">
        <v>8</v>
      </c>
      <c r="R158" s="9">
        <v>10</v>
      </c>
      <c r="S158" s="9">
        <v>17</v>
      </c>
      <c r="T158" s="9">
        <v>7</v>
      </c>
      <c r="U158" s="9">
        <v>5</v>
      </c>
      <c r="W158" s="24">
        <v>1</v>
      </c>
      <c r="X158" s="24">
        <v>1</v>
      </c>
      <c r="Y158" s="24">
        <v>1</v>
      </c>
      <c r="Z158" s="24">
        <v>1</v>
      </c>
      <c r="AA158" s="24">
        <v>1</v>
      </c>
      <c r="AH158" s="5"/>
      <c r="AI158" s="5"/>
      <c r="AO158" s="5"/>
    </row>
    <row r="159" spans="10:41" x14ac:dyDescent="0.3">
      <c r="J159" s="24">
        <v>155</v>
      </c>
      <c r="K159" s="15" t="s">
        <v>19</v>
      </c>
      <c r="L159" s="15" t="s">
        <v>95</v>
      </c>
      <c r="M159" s="15" t="s">
        <v>63</v>
      </c>
      <c r="N159" s="15" t="s">
        <v>81</v>
      </c>
      <c r="O159" s="15" t="s">
        <v>37</v>
      </c>
      <c r="Q159" s="9">
        <v>5</v>
      </c>
      <c r="R159" s="9">
        <v>6</v>
      </c>
      <c r="S159" s="9">
        <v>13</v>
      </c>
      <c r="T159" s="9">
        <v>17</v>
      </c>
      <c r="U159" s="9">
        <v>7</v>
      </c>
      <c r="W159" s="24">
        <v>1</v>
      </c>
      <c r="X159" s="24">
        <v>1</v>
      </c>
      <c r="Y159" s="24">
        <v>1</v>
      </c>
      <c r="Z159" s="24">
        <v>1</v>
      </c>
      <c r="AA159" s="24">
        <v>1</v>
      </c>
      <c r="AH159" s="5"/>
      <c r="AI159" s="5"/>
      <c r="AO159" s="5"/>
    </row>
    <row r="160" spans="10:41" x14ac:dyDescent="0.3">
      <c r="J160" s="9">
        <v>156</v>
      </c>
      <c r="K160" s="15" t="s">
        <v>37</v>
      </c>
      <c r="L160" s="15" t="s">
        <v>35</v>
      </c>
      <c r="M160" s="15" t="s">
        <v>96</v>
      </c>
      <c r="N160" s="15" t="s">
        <v>70</v>
      </c>
      <c r="O160" s="15" t="s">
        <v>35</v>
      </c>
      <c r="Q160" s="9">
        <v>7</v>
      </c>
      <c r="R160" s="9">
        <v>8</v>
      </c>
      <c r="S160" s="9">
        <v>15</v>
      </c>
      <c r="T160" s="9">
        <v>19</v>
      </c>
      <c r="U160" s="9">
        <v>8</v>
      </c>
      <c r="W160" s="24">
        <v>1</v>
      </c>
      <c r="X160" s="24">
        <v>1</v>
      </c>
      <c r="Y160" s="24">
        <v>1</v>
      </c>
      <c r="Z160" s="24">
        <v>1</v>
      </c>
      <c r="AA160" s="24">
        <v>1</v>
      </c>
      <c r="AH160" s="5"/>
      <c r="AI160" s="5"/>
      <c r="AO160" s="5"/>
    </row>
    <row r="161" spans="10:41" x14ac:dyDescent="0.3">
      <c r="J161" s="24">
        <v>157</v>
      </c>
      <c r="K161" s="15" t="s">
        <v>35</v>
      </c>
      <c r="L161" s="15" t="s">
        <v>21</v>
      </c>
      <c r="M161" s="15" t="s">
        <v>81</v>
      </c>
      <c r="N161" s="15" t="s">
        <v>62</v>
      </c>
      <c r="O161" s="15" t="s">
        <v>95</v>
      </c>
      <c r="Q161" s="9">
        <v>8</v>
      </c>
      <c r="R161" s="9">
        <v>2</v>
      </c>
      <c r="S161" s="9">
        <v>17</v>
      </c>
      <c r="T161" s="9">
        <v>12</v>
      </c>
      <c r="U161" s="9">
        <v>6</v>
      </c>
      <c r="W161" s="24">
        <v>1</v>
      </c>
      <c r="X161" s="24">
        <v>1</v>
      </c>
      <c r="Y161" s="24">
        <v>1</v>
      </c>
      <c r="Z161" s="24">
        <v>1</v>
      </c>
      <c r="AA161" s="24">
        <v>1</v>
      </c>
      <c r="AH161" s="5"/>
      <c r="AI161" s="5"/>
      <c r="AO161" s="5"/>
    </row>
    <row r="162" spans="10:41" x14ac:dyDescent="0.3">
      <c r="J162" s="9">
        <v>158</v>
      </c>
      <c r="K162" s="15" t="s">
        <v>19</v>
      </c>
      <c r="L162" s="15" t="s">
        <v>18</v>
      </c>
      <c r="M162" s="15" t="s">
        <v>96</v>
      </c>
      <c r="N162" s="15" t="s">
        <v>96</v>
      </c>
      <c r="O162" s="15" t="s">
        <v>35</v>
      </c>
      <c r="Q162" s="9">
        <v>5</v>
      </c>
      <c r="R162" s="9">
        <v>4</v>
      </c>
      <c r="S162" s="9">
        <v>15</v>
      </c>
      <c r="T162" s="9">
        <v>15</v>
      </c>
      <c r="U162" s="9">
        <v>8</v>
      </c>
      <c r="W162" s="24">
        <v>1</v>
      </c>
      <c r="X162" s="24">
        <v>1</v>
      </c>
      <c r="Y162" s="24">
        <v>1</v>
      </c>
      <c r="Z162" s="24">
        <v>1</v>
      </c>
      <c r="AA162" s="24">
        <v>1</v>
      </c>
      <c r="AH162" s="5"/>
      <c r="AI162" s="5"/>
      <c r="AO162" s="5"/>
    </row>
    <row r="163" spans="10:41" x14ac:dyDescent="0.3">
      <c r="J163" s="24">
        <v>159</v>
      </c>
      <c r="K163" s="15" t="s">
        <v>35</v>
      </c>
      <c r="L163" s="15" t="s">
        <v>22</v>
      </c>
      <c r="M163" s="15" t="s">
        <v>65</v>
      </c>
      <c r="N163" s="15" t="s">
        <v>70</v>
      </c>
      <c r="O163" s="15" t="s">
        <v>37</v>
      </c>
      <c r="Q163" s="9">
        <v>8</v>
      </c>
      <c r="R163" s="9">
        <v>3</v>
      </c>
      <c r="S163" s="9">
        <v>16</v>
      </c>
      <c r="T163" s="9">
        <v>19</v>
      </c>
      <c r="U163" s="9">
        <v>7</v>
      </c>
      <c r="W163" s="24">
        <v>1</v>
      </c>
      <c r="X163" s="24">
        <v>1</v>
      </c>
      <c r="Y163" s="24">
        <v>1</v>
      </c>
      <c r="Z163" s="24">
        <v>1</v>
      </c>
      <c r="AA163" s="24">
        <v>1</v>
      </c>
      <c r="AH163" s="5"/>
      <c r="AI163" s="5"/>
      <c r="AO163" s="5"/>
    </row>
    <row r="164" spans="10:41" x14ac:dyDescent="0.3">
      <c r="J164" s="9">
        <v>160</v>
      </c>
      <c r="K164" s="15" t="s">
        <v>34</v>
      </c>
      <c r="L164" s="15" t="s">
        <v>37</v>
      </c>
      <c r="M164" s="15" t="s">
        <v>81</v>
      </c>
      <c r="N164" s="15" t="s">
        <v>37</v>
      </c>
      <c r="O164" s="15" t="s">
        <v>18</v>
      </c>
      <c r="Q164" s="9">
        <v>9</v>
      </c>
      <c r="R164" s="9">
        <v>7</v>
      </c>
      <c r="S164" s="9">
        <v>17</v>
      </c>
      <c r="T164" s="9">
        <v>7</v>
      </c>
      <c r="U164" s="9">
        <v>4</v>
      </c>
      <c r="W164" s="24">
        <v>1</v>
      </c>
      <c r="X164" s="24">
        <v>1</v>
      </c>
      <c r="Y164" s="24">
        <v>1</v>
      </c>
      <c r="Z164" s="24">
        <v>1</v>
      </c>
      <c r="AA164" s="24">
        <v>1</v>
      </c>
      <c r="AH164" s="5"/>
      <c r="AI164" s="5"/>
      <c r="AO164" s="5"/>
    </row>
    <row r="165" spans="10:41" x14ac:dyDescent="0.3">
      <c r="J165" s="24">
        <v>161</v>
      </c>
      <c r="K165" s="15" t="s">
        <v>19</v>
      </c>
      <c r="L165" s="15" t="s">
        <v>35</v>
      </c>
      <c r="M165" s="15" t="s">
        <v>96</v>
      </c>
      <c r="N165" s="15" t="s">
        <v>96</v>
      </c>
      <c r="O165" s="15" t="s">
        <v>95</v>
      </c>
      <c r="Q165" s="9">
        <v>5</v>
      </c>
      <c r="R165" s="9">
        <v>8</v>
      </c>
      <c r="S165" s="9">
        <v>15</v>
      </c>
      <c r="T165" s="9">
        <v>15</v>
      </c>
      <c r="U165" s="9">
        <v>6</v>
      </c>
      <c r="W165" s="24">
        <v>1</v>
      </c>
      <c r="X165" s="24">
        <v>1</v>
      </c>
      <c r="Y165" s="24">
        <v>1</v>
      </c>
      <c r="Z165" s="24">
        <v>1</v>
      </c>
      <c r="AA165" s="24">
        <v>1</v>
      </c>
      <c r="AH165" s="5"/>
      <c r="AI165" s="5"/>
      <c r="AO165" s="5"/>
    </row>
    <row r="166" spans="10:41" x14ac:dyDescent="0.3">
      <c r="J166" s="9">
        <v>162</v>
      </c>
      <c r="K166" s="15" t="s">
        <v>34</v>
      </c>
      <c r="L166" s="15" t="s">
        <v>63</v>
      </c>
      <c r="M166" s="15" t="s">
        <v>81</v>
      </c>
      <c r="N166" s="15" t="s">
        <v>95</v>
      </c>
      <c r="O166" s="15" t="s">
        <v>37</v>
      </c>
      <c r="Q166" s="9">
        <v>9</v>
      </c>
      <c r="R166" s="9">
        <v>13</v>
      </c>
      <c r="S166" s="9">
        <v>17</v>
      </c>
      <c r="T166" s="9">
        <v>6</v>
      </c>
      <c r="U166" s="9">
        <v>7</v>
      </c>
      <c r="W166" s="24">
        <v>1</v>
      </c>
      <c r="X166" s="24">
        <v>1</v>
      </c>
      <c r="Y166" s="24">
        <v>1</v>
      </c>
      <c r="Z166" s="24">
        <v>1</v>
      </c>
      <c r="AA166" s="24">
        <v>1</v>
      </c>
      <c r="AH166" s="5"/>
      <c r="AI166" s="5"/>
      <c r="AO166" s="5"/>
    </row>
    <row r="167" spans="10:41" x14ac:dyDescent="0.3">
      <c r="J167" s="24">
        <v>163</v>
      </c>
      <c r="K167" s="15" t="s">
        <v>95</v>
      </c>
      <c r="L167" s="15" t="s">
        <v>22</v>
      </c>
      <c r="M167" s="15" t="s">
        <v>64</v>
      </c>
      <c r="N167" s="15" t="s">
        <v>19</v>
      </c>
      <c r="O167" s="15" t="s">
        <v>36</v>
      </c>
      <c r="Q167" s="9">
        <v>6</v>
      </c>
      <c r="R167" s="9">
        <v>3</v>
      </c>
      <c r="S167" s="9">
        <v>14</v>
      </c>
      <c r="T167" s="9">
        <v>5</v>
      </c>
      <c r="U167" s="9">
        <v>10</v>
      </c>
      <c r="W167" s="24">
        <v>1</v>
      </c>
      <c r="X167" s="24">
        <v>1</v>
      </c>
      <c r="Y167" s="24">
        <v>1</v>
      </c>
      <c r="Z167" s="24">
        <v>1</v>
      </c>
      <c r="AA167" s="24">
        <v>1</v>
      </c>
      <c r="AH167" s="5"/>
      <c r="AI167" s="5"/>
      <c r="AO167" s="5"/>
    </row>
    <row r="168" spans="10:41" x14ac:dyDescent="0.3">
      <c r="J168" s="9">
        <v>164</v>
      </c>
      <c r="K168" s="15" t="s">
        <v>19</v>
      </c>
      <c r="L168" s="15" t="s">
        <v>19</v>
      </c>
      <c r="M168" s="15" t="s">
        <v>96</v>
      </c>
      <c r="N168" s="15" t="s">
        <v>37</v>
      </c>
      <c r="O168" s="15" t="s">
        <v>19</v>
      </c>
      <c r="Q168" s="9">
        <v>5</v>
      </c>
      <c r="R168" s="9">
        <v>5</v>
      </c>
      <c r="S168" s="9">
        <v>15</v>
      </c>
      <c r="T168" s="9">
        <v>7</v>
      </c>
      <c r="U168" s="9">
        <v>5</v>
      </c>
      <c r="W168" s="24">
        <v>1</v>
      </c>
      <c r="X168" s="24">
        <v>1</v>
      </c>
      <c r="Y168" s="24">
        <v>1</v>
      </c>
      <c r="Z168" s="24">
        <v>1</v>
      </c>
      <c r="AA168" s="24">
        <v>1</v>
      </c>
      <c r="AH168" s="5"/>
      <c r="AI168" s="5"/>
      <c r="AO168" s="5"/>
    </row>
    <row r="169" spans="10:41" x14ac:dyDescent="0.3">
      <c r="J169" s="24">
        <v>165</v>
      </c>
      <c r="K169" s="15" t="s">
        <v>35</v>
      </c>
      <c r="L169" s="15" t="s">
        <v>22</v>
      </c>
      <c r="M169" s="15" t="s">
        <v>81</v>
      </c>
      <c r="N169" s="15" t="s">
        <v>35</v>
      </c>
      <c r="O169" s="15" t="s">
        <v>36</v>
      </c>
      <c r="Q169" s="9">
        <v>8</v>
      </c>
      <c r="R169" s="9">
        <v>3</v>
      </c>
      <c r="S169" s="9">
        <v>17</v>
      </c>
      <c r="T169" s="9">
        <v>8</v>
      </c>
      <c r="U169" s="9">
        <v>10</v>
      </c>
      <c r="W169" s="24">
        <v>1</v>
      </c>
      <c r="X169" s="24">
        <v>1</v>
      </c>
      <c r="Y169" s="24">
        <v>1</v>
      </c>
      <c r="Z169" s="24">
        <v>1</v>
      </c>
      <c r="AA169" s="24">
        <v>1</v>
      </c>
      <c r="AH169" s="5"/>
      <c r="AI169" s="5"/>
      <c r="AO169" s="5"/>
    </row>
    <row r="170" spans="10:41" x14ac:dyDescent="0.3">
      <c r="J170" s="9">
        <v>166</v>
      </c>
      <c r="K170" s="15" t="s">
        <v>34</v>
      </c>
      <c r="L170" s="15" t="s">
        <v>95</v>
      </c>
      <c r="M170" s="15" t="s">
        <v>65</v>
      </c>
      <c r="N170" s="15" t="s">
        <v>37</v>
      </c>
      <c r="O170" s="15" t="s">
        <v>37</v>
      </c>
      <c r="Q170" s="9">
        <v>9</v>
      </c>
      <c r="R170" s="9">
        <v>6</v>
      </c>
      <c r="S170" s="9">
        <v>16</v>
      </c>
      <c r="T170" s="9">
        <v>7</v>
      </c>
      <c r="U170" s="9">
        <v>7</v>
      </c>
      <c r="W170" s="24">
        <v>1</v>
      </c>
      <c r="X170" s="24">
        <v>1</v>
      </c>
      <c r="Y170" s="24">
        <v>1</v>
      </c>
      <c r="Z170" s="24">
        <v>1</v>
      </c>
      <c r="AA170" s="24">
        <v>1</v>
      </c>
      <c r="AH170" s="5"/>
      <c r="AI170" s="5"/>
      <c r="AO170" s="5"/>
    </row>
    <row r="171" spans="10:41" x14ac:dyDescent="0.3">
      <c r="J171" s="24">
        <v>167</v>
      </c>
      <c r="K171" s="15" t="s">
        <v>95</v>
      </c>
      <c r="L171" s="15" t="s">
        <v>65</v>
      </c>
      <c r="M171" s="15" t="s">
        <v>96</v>
      </c>
      <c r="N171" s="15" t="s">
        <v>81</v>
      </c>
      <c r="O171" s="15" t="s">
        <v>35</v>
      </c>
      <c r="Q171" s="9">
        <v>6</v>
      </c>
      <c r="R171" s="9">
        <v>16</v>
      </c>
      <c r="S171" s="9">
        <v>15</v>
      </c>
      <c r="T171" s="9">
        <v>17</v>
      </c>
      <c r="U171" s="9">
        <v>8</v>
      </c>
      <c r="W171" s="24">
        <v>1</v>
      </c>
      <c r="X171" s="24">
        <v>1</v>
      </c>
      <c r="Y171" s="24">
        <v>1</v>
      </c>
      <c r="Z171" s="24">
        <v>1</v>
      </c>
      <c r="AA171" s="24">
        <v>1</v>
      </c>
      <c r="AH171" s="5"/>
      <c r="AI171" s="5"/>
      <c r="AO171" s="5"/>
    </row>
    <row r="172" spans="10:41" x14ac:dyDescent="0.3">
      <c r="J172" s="9">
        <v>168</v>
      </c>
      <c r="K172" s="15" t="s">
        <v>37</v>
      </c>
      <c r="L172" s="15" t="s">
        <v>34</v>
      </c>
      <c r="M172" s="15" t="s">
        <v>81</v>
      </c>
      <c r="N172" s="15" t="s">
        <v>20</v>
      </c>
      <c r="O172" s="15" t="s">
        <v>34</v>
      </c>
      <c r="Q172" s="9">
        <v>7</v>
      </c>
      <c r="R172" s="9">
        <v>9</v>
      </c>
      <c r="S172" s="9">
        <v>17</v>
      </c>
      <c r="T172" s="9">
        <v>1</v>
      </c>
      <c r="U172" s="9">
        <v>9</v>
      </c>
      <c r="W172" s="24">
        <v>1</v>
      </c>
      <c r="X172" s="24">
        <v>1</v>
      </c>
      <c r="Y172" s="24">
        <v>1</v>
      </c>
      <c r="Z172" s="24">
        <v>1</v>
      </c>
      <c r="AA172" s="24">
        <v>1</v>
      </c>
      <c r="AH172" s="5"/>
      <c r="AI172" s="5"/>
      <c r="AO172" s="5"/>
    </row>
    <row r="173" spans="10:41" x14ac:dyDescent="0.3">
      <c r="J173" s="24">
        <v>169</v>
      </c>
      <c r="K173" s="15" t="s">
        <v>35</v>
      </c>
      <c r="L173" s="15" t="s">
        <v>21</v>
      </c>
      <c r="M173" s="15" t="s">
        <v>65</v>
      </c>
      <c r="N173" s="15" t="s">
        <v>64</v>
      </c>
      <c r="O173" s="15" t="s">
        <v>19</v>
      </c>
      <c r="Q173" s="9">
        <v>8</v>
      </c>
      <c r="R173" s="9">
        <v>2</v>
      </c>
      <c r="S173" s="9">
        <v>16</v>
      </c>
      <c r="T173" s="9">
        <v>14</v>
      </c>
      <c r="U173" s="9">
        <v>5</v>
      </c>
      <c r="W173" s="24">
        <v>1</v>
      </c>
      <c r="X173" s="24">
        <v>1</v>
      </c>
      <c r="Y173" s="24">
        <v>1</v>
      </c>
      <c r="Z173" s="24">
        <v>1</v>
      </c>
      <c r="AA173" s="24">
        <v>1</v>
      </c>
      <c r="AH173" s="5"/>
      <c r="AI173" s="5"/>
      <c r="AO173" s="5"/>
    </row>
    <row r="174" spans="10:41" x14ac:dyDescent="0.3">
      <c r="J174" s="9">
        <v>170</v>
      </c>
      <c r="K174" s="15" t="s">
        <v>37</v>
      </c>
      <c r="L174" s="15" t="s">
        <v>96</v>
      </c>
      <c r="M174" s="15" t="s">
        <v>64</v>
      </c>
      <c r="N174" s="15" t="s">
        <v>19</v>
      </c>
      <c r="O174" s="15" t="s">
        <v>37</v>
      </c>
      <c r="Q174" s="9">
        <v>7</v>
      </c>
      <c r="R174" s="9">
        <v>15</v>
      </c>
      <c r="S174" s="9">
        <v>14</v>
      </c>
      <c r="T174" s="9">
        <v>5</v>
      </c>
      <c r="U174" s="9">
        <v>7</v>
      </c>
      <c r="W174" s="24">
        <v>1</v>
      </c>
      <c r="X174" s="24">
        <v>1</v>
      </c>
      <c r="Y174" s="24">
        <v>1</v>
      </c>
      <c r="Z174" s="24">
        <v>1</v>
      </c>
      <c r="AA174" s="24">
        <v>1</v>
      </c>
      <c r="AH174" s="5"/>
      <c r="AI174" s="5"/>
      <c r="AO174" s="5"/>
    </row>
    <row r="175" spans="10:41" x14ac:dyDescent="0.3">
      <c r="J175" s="24">
        <v>171</v>
      </c>
      <c r="K175" s="15" t="s">
        <v>35</v>
      </c>
      <c r="L175" s="15" t="s">
        <v>34</v>
      </c>
      <c r="M175" s="15" t="s">
        <v>65</v>
      </c>
      <c r="N175" s="15" t="s">
        <v>63</v>
      </c>
      <c r="O175" s="15" t="s">
        <v>22</v>
      </c>
      <c r="Q175" s="9">
        <v>8</v>
      </c>
      <c r="R175" s="9">
        <v>9</v>
      </c>
      <c r="S175" s="9">
        <v>16</v>
      </c>
      <c r="T175" s="9">
        <v>13</v>
      </c>
      <c r="U175" s="9">
        <v>3</v>
      </c>
      <c r="W175" s="24">
        <v>1</v>
      </c>
      <c r="X175" s="24">
        <v>1</v>
      </c>
      <c r="Y175" s="24">
        <v>1</v>
      </c>
      <c r="Z175" s="24">
        <v>1</v>
      </c>
      <c r="AA175" s="24">
        <v>1</v>
      </c>
      <c r="AH175" s="5"/>
      <c r="AI175" s="5"/>
      <c r="AO175" s="5"/>
    </row>
    <row r="176" spans="10:41" x14ac:dyDescent="0.3">
      <c r="J176" s="9">
        <v>172</v>
      </c>
      <c r="K176" s="15" t="s">
        <v>18</v>
      </c>
      <c r="L176" s="15" t="s">
        <v>19</v>
      </c>
      <c r="M176" s="15" t="s">
        <v>70</v>
      </c>
      <c r="N176" s="15" t="s">
        <v>68</v>
      </c>
      <c r="O176" s="15" t="s">
        <v>19</v>
      </c>
      <c r="Q176" s="9">
        <v>4</v>
      </c>
      <c r="R176" s="9">
        <v>5</v>
      </c>
      <c r="S176" s="9">
        <v>19</v>
      </c>
      <c r="T176" s="9">
        <v>18</v>
      </c>
      <c r="U176" s="9">
        <v>5</v>
      </c>
      <c r="W176" s="24">
        <v>1</v>
      </c>
      <c r="X176" s="24">
        <v>1</v>
      </c>
      <c r="Y176" s="24">
        <v>1</v>
      </c>
      <c r="Z176" s="24">
        <v>1</v>
      </c>
      <c r="AA176" s="24">
        <v>1</v>
      </c>
      <c r="AH176" s="5"/>
      <c r="AI176" s="5"/>
      <c r="AO176" s="5"/>
    </row>
    <row r="177" spans="10:41" x14ac:dyDescent="0.3">
      <c r="J177" s="24">
        <v>173</v>
      </c>
      <c r="K177" s="15" t="s">
        <v>19</v>
      </c>
      <c r="L177" s="15" t="s">
        <v>65</v>
      </c>
      <c r="M177" s="15" t="s">
        <v>81</v>
      </c>
      <c r="N177" s="15" t="s">
        <v>35</v>
      </c>
      <c r="O177" s="15" t="s">
        <v>95</v>
      </c>
      <c r="Q177" s="9">
        <v>5</v>
      </c>
      <c r="R177" s="9">
        <v>16</v>
      </c>
      <c r="S177" s="9">
        <v>17</v>
      </c>
      <c r="T177" s="9">
        <v>8</v>
      </c>
      <c r="U177" s="9">
        <v>6</v>
      </c>
      <c r="W177" s="24">
        <v>1</v>
      </c>
      <c r="X177" s="24">
        <v>1</v>
      </c>
      <c r="Y177" s="24">
        <v>1</v>
      </c>
      <c r="Z177" s="24">
        <v>1</v>
      </c>
      <c r="AA177" s="24">
        <v>1</v>
      </c>
      <c r="AH177" s="5"/>
      <c r="AI177" s="5"/>
      <c r="AO177" s="5"/>
    </row>
    <row r="178" spans="10:41" x14ac:dyDescent="0.3">
      <c r="J178" s="9">
        <v>174</v>
      </c>
      <c r="K178" s="15" t="s">
        <v>35</v>
      </c>
      <c r="L178" s="15" t="s">
        <v>96</v>
      </c>
      <c r="M178" s="15" t="s">
        <v>96</v>
      </c>
      <c r="N178" s="15" t="s">
        <v>81</v>
      </c>
      <c r="O178" s="15" t="s">
        <v>37</v>
      </c>
      <c r="Q178" s="9">
        <v>8</v>
      </c>
      <c r="R178" s="9">
        <v>15</v>
      </c>
      <c r="S178" s="9">
        <v>15</v>
      </c>
      <c r="T178" s="9">
        <v>17</v>
      </c>
      <c r="U178" s="9">
        <v>7</v>
      </c>
      <c r="W178" s="24">
        <v>1</v>
      </c>
      <c r="X178" s="24">
        <v>1</v>
      </c>
      <c r="Y178" s="24">
        <v>1</v>
      </c>
      <c r="Z178" s="24">
        <v>1</v>
      </c>
      <c r="AA178" s="24">
        <v>1</v>
      </c>
      <c r="AH178" s="5"/>
      <c r="AI178" s="5"/>
      <c r="AO178" s="5"/>
    </row>
    <row r="179" spans="10:41" x14ac:dyDescent="0.3">
      <c r="J179" s="24">
        <v>175</v>
      </c>
      <c r="K179" s="15" t="s">
        <v>37</v>
      </c>
      <c r="L179" s="15" t="s">
        <v>37</v>
      </c>
      <c r="M179" s="15" t="s">
        <v>65</v>
      </c>
      <c r="N179" s="15" t="s">
        <v>18</v>
      </c>
      <c r="O179" s="15" t="s">
        <v>19</v>
      </c>
      <c r="Q179" s="9">
        <v>7</v>
      </c>
      <c r="R179" s="9">
        <v>7</v>
      </c>
      <c r="S179" s="9">
        <v>16</v>
      </c>
      <c r="T179" s="9">
        <v>4</v>
      </c>
      <c r="U179" s="9">
        <v>5</v>
      </c>
      <c r="W179" s="24">
        <v>1</v>
      </c>
      <c r="X179" s="24">
        <v>1</v>
      </c>
      <c r="Y179" s="24">
        <v>1</v>
      </c>
      <c r="Z179" s="24">
        <v>1</v>
      </c>
      <c r="AA179" s="24">
        <v>1</v>
      </c>
      <c r="AH179" s="5"/>
      <c r="AI179" s="5"/>
      <c r="AO179" s="5"/>
    </row>
    <row r="180" spans="10:41" x14ac:dyDescent="0.3">
      <c r="J180" s="9">
        <v>176</v>
      </c>
      <c r="K180" s="15" t="s">
        <v>95</v>
      </c>
      <c r="L180" s="15" t="s">
        <v>34</v>
      </c>
      <c r="M180" s="15" t="s">
        <v>96</v>
      </c>
      <c r="N180" s="15" t="s">
        <v>19</v>
      </c>
      <c r="O180" s="15" t="s">
        <v>37</v>
      </c>
      <c r="Q180" s="9">
        <v>6</v>
      </c>
      <c r="R180" s="9">
        <v>9</v>
      </c>
      <c r="S180" s="9">
        <v>15</v>
      </c>
      <c r="T180" s="9">
        <v>5</v>
      </c>
      <c r="U180" s="9">
        <v>7</v>
      </c>
      <c r="W180" s="24">
        <v>1</v>
      </c>
      <c r="X180" s="24">
        <v>1</v>
      </c>
      <c r="Y180" s="24">
        <v>1</v>
      </c>
      <c r="Z180" s="24">
        <v>1</v>
      </c>
      <c r="AA180" s="24">
        <v>1</v>
      </c>
      <c r="AH180" s="5"/>
      <c r="AI180" s="5"/>
      <c r="AO180" s="5"/>
    </row>
    <row r="181" spans="10:41" x14ac:dyDescent="0.3">
      <c r="J181" s="24">
        <v>177</v>
      </c>
      <c r="K181" s="15" t="s">
        <v>19</v>
      </c>
      <c r="L181" s="15" t="s">
        <v>35</v>
      </c>
      <c r="M181" s="15" t="s">
        <v>64</v>
      </c>
      <c r="N181" s="15" t="s">
        <v>95</v>
      </c>
      <c r="O181" s="15" t="s">
        <v>19</v>
      </c>
      <c r="Q181" s="9">
        <v>5</v>
      </c>
      <c r="R181" s="9">
        <v>8</v>
      </c>
      <c r="S181" s="9">
        <v>14</v>
      </c>
      <c r="T181" s="9">
        <v>6</v>
      </c>
      <c r="U181" s="9">
        <v>5</v>
      </c>
      <c r="W181" s="24">
        <v>1</v>
      </c>
      <c r="X181" s="24">
        <v>1</v>
      </c>
      <c r="Y181" s="24">
        <v>1</v>
      </c>
      <c r="Z181" s="24">
        <v>1</v>
      </c>
      <c r="AA181" s="24">
        <v>1</v>
      </c>
      <c r="AH181" s="5"/>
      <c r="AI181" s="5"/>
      <c r="AO181" s="5"/>
    </row>
    <row r="182" spans="10:41" x14ac:dyDescent="0.3">
      <c r="J182" s="9">
        <v>178</v>
      </c>
      <c r="K182" s="15" t="s">
        <v>35</v>
      </c>
      <c r="L182" s="15" t="s">
        <v>37</v>
      </c>
      <c r="M182" s="15" t="s">
        <v>65</v>
      </c>
      <c r="N182" s="15" t="s">
        <v>81</v>
      </c>
      <c r="O182" s="15" t="s">
        <v>35</v>
      </c>
      <c r="Q182" s="9">
        <v>8</v>
      </c>
      <c r="R182" s="9">
        <v>7</v>
      </c>
      <c r="S182" s="9">
        <v>16</v>
      </c>
      <c r="T182" s="9">
        <v>17</v>
      </c>
      <c r="U182" s="9">
        <v>8</v>
      </c>
      <c r="W182" s="24">
        <v>1</v>
      </c>
      <c r="X182" s="24">
        <v>1</v>
      </c>
      <c r="Y182" s="24">
        <v>1</v>
      </c>
      <c r="Z182" s="24">
        <v>1</v>
      </c>
      <c r="AA182" s="24">
        <v>1</v>
      </c>
      <c r="AH182" s="5"/>
      <c r="AI182" s="5"/>
      <c r="AO182" s="5"/>
    </row>
    <row r="183" spans="10:41" x14ac:dyDescent="0.3">
      <c r="J183" s="24">
        <v>179</v>
      </c>
      <c r="K183" s="15" t="s">
        <v>95</v>
      </c>
      <c r="L183" s="15" t="s">
        <v>95</v>
      </c>
      <c r="M183" s="15" t="s">
        <v>64</v>
      </c>
      <c r="N183" s="15" t="s">
        <v>95</v>
      </c>
      <c r="O183" s="15" t="s">
        <v>95</v>
      </c>
      <c r="Q183" s="9">
        <v>6</v>
      </c>
      <c r="R183" s="9">
        <v>6</v>
      </c>
      <c r="S183" s="9">
        <v>14</v>
      </c>
      <c r="T183" s="9">
        <v>6</v>
      </c>
      <c r="U183" s="9">
        <v>6</v>
      </c>
      <c r="W183" s="24">
        <v>1</v>
      </c>
      <c r="X183" s="24">
        <v>1</v>
      </c>
      <c r="Y183" s="24">
        <v>1</v>
      </c>
      <c r="Z183" s="24">
        <v>1</v>
      </c>
      <c r="AA183" s="24">
        <v>1</v>
      </c>
      <c r="AH183" s="5"/>
      <c r="AI183" s="5"/>
      <c r="AO183" s="5"/>
    </row>
    <row r="184" spans="10:41" x14ac:dyDescent="0.3">
      <c r="J184" s="9">
        <v>180</v>
      </c>
      <c r="K184" s="15" t="s">
        <v>19</v>
      </c>
      <c r="L184" s="15" t="s">
        <v>37</v>
      </c>
      <c r="M184" s="15" t="s">
        <v>65</v>
      </c>
      <c r="N184" s="15" t="s">
        <v>35</v>
      </c>
      <c r="O184" s="15" t="s">
        <v>36</v>
      </c>
      <c r="Q184" s="9">
        <v>5</v>
      </c>
      <c r="R184" s="9">
        <v>7</v>
      </c>
      <c r="S184" s="9">
        <v>16</v>
      </c>
      <c r="T184" s="9">
        <v>8</v>
      </c>
      <c r="U184" s="9">
        <v>10</v>
      </c>
      <c r="W184" s="24">
        <v>1</v>
      </c>
      <c r="X184" s="24">
        <v>1</v>
      </c>
      <c r="Y184" s="24">
        <v>1</v>
      </c>
      <c r="Z184" s="24">
        <v>1</v>
      </c>
      <c r="AA184" s="24">
        <v>1</v>
      </c>
      <c r="AH184" s="5"/>
      <c r="AI184" s="5"/>
      <c r="AO184" s="5"/>
    </row>
    <row r="185" spans="10:41" x14ac:dyDescent="0.3">
      <c r="J185" s="24">
        <v>181</v>
      </c>
      <c r="K185" s="15" t="s">
        <v>37</v>
      </c>
      <c r="L185" s="15" t="s">
        <v>64</v>
      </c>
      <c r="M185" s="15" t="s">
        <v>96</v>
      </c>
      <c r="N185" s="15" t="s">
        <v>96</v>
      </c>
      <c r="O185" s="15" t="s">
        <v>19</v>
      </c>
      <c r="Q185" s="9">
        <v>7</v>
      </c>
      <c r="R185" s="9">
        <v>14</v>
      </c>
      <c r="S185" s="9">
        <v>15</v>
      </c>
      <c r="T185" s="9">
        <v>15</v>
      </c>
      <c r="U185" s="9">
        <v>5</v>
      </c>
      <c r="W185" s="24">
        <v>1</v>
      </c>
      <c r="X185" s="24">
        <v>1</v>
      </c>
      <c r="Y185" s="24">
        <v>1</v>
      </c>
      <c r="Z185" s="24">
        <v>1</v>
      </c>
      <c r="AA185" s="24">
        <v>1</v>
      </c>
      <c r="AH185" s="5"/>
      <c r="AI185" s="5"/>
      <c r="AO185" s="5"/>
    </row>
    <row r="186" spans="10:41" x14ac:dyDescent="0.3">
      <c r="J186" s="9">
        <v>182</v>
      </c>
      <c r="K186" s="15" t="s">
        <v>95</v>
      </c>
      <c r="L186" s="15" t="s">
        <v>35</v>
      </c>
      <c r="M186" s="15" t="s">
        <v>65</v>
      </c>
      <c r="N186" s="15" t="s">
        <v>19</v>
      </c>
      <c r="O186" s="15" t="s">
        <v>35</v>
      </c>
      <c r="Q186" s="9">
        <v>6</v>
      </c>
      <c r="R186" s="9">
        <v>8</v>
      </c>
      <c r="S186" s="9">
        <v>16</v>
      </c>
      <c r="T186" s="9">
        <v>5</v>
      </c>
      <c r="U186" s="9">
        <v>8</v>
      </c>
      <c r="W186" s="24">
        <v>1</v>
      </c>
      <c r="X186" s="24">
        <v>1</v>
      </c>
      <c r="Y186" s="24">
        <v>1</v>
      </c>
      <c r="Z186" s="24">
        <v>1</v>
      </c>
      <c r="AA186" s="24">
        <v>1</v>
      </c>
      <c r="AH186" s="5"/>
      <c r="AI186" s="5"/>
      <c r="AO186" s="5"/>
    </row>
    <row r="187" spans="10:41" x14ac:dyDescent="0.3">
      <c r="J187" s="24">
        <v>183</v>
      </c>
      <c r="K187" s="15" t="s">
        <v>35</v>
      </c>
      <c r="L187" s="15" t="s">
        <v>37</v>
      </c>
      <c r="M187" s="15" t="s">
        <v>64</v>
      </c>
      <c r="N187" s="15" t="s">
        <v>36</v>
      </c>
      <c r="O187" s="15" t="s">
        <v>37</v>
      </c>
      <c r="Q187" s="9">
        <v>8</v>
      </c>
      <c r="R187" s="9">
        <v>7</v>
      </c>
      <c r="S187" s="9">
        <v>14</v>
      </c>
      <c r="T187" s="9">
        <v>10</v>
      </c>
      <c r="U187" s="9">
        <v>7</v>
      </c>
      <c r="W187" s="24">
        <v>1</v>
      </c>
      <c r="X187" s="24">
        <v>1</v>
      </c>
      <c r="Y187" s="24">
        <v>1</v>
      </c>
      <c r="Z187" s="24">
        <v>1</v>
      </c>
      <c r="AA187" s="24">
        <v>1</v>
      </c>
      <c r="AH187" s="5"/>
      <c r="AI187" s="5"/>
      <c r="AO187" s="5"/>
    </row>
    <row r="188" spans="10:41" x14ac:dyDescent="0.3">
      <c r="J188" s="9">
        <v>184</v>
      </c>
      <c r="K188" s="15" t="s">
        <v>19</v>
      </c>
      <c r="L188" s="15" t="s">
        <v>64</v>
      </c>
      <c r="M188" s="15" t="s">
        <v>96</v>
      </c>
      <c r="N188" s="15" t="s">
        <v>95</v>
      </c>
      <c r="O188" s="15" t="s">
        <v>35</v>
      </c>
      <c r="Q188" s="9">
        <v>5</v>
      </c>
      <c r="R188" s="9">
        <v>14</v>
      </c>
      <c r="S188" s="9">
        <v>15</v>
      </c>
      <c r="T188" s="9">
        <v>6</v>
      </c>
      <c r="U188" s="9">
        <v>8</v>
      </c>
      <c r="W188" s="24">
        <v>1</v>
      </c>
      <c r="X188" s="24">
        <v>1</v>
      </c>
      <c r="Y188" s="24">
        <v>1</v>
      </c>
      <c r="Z188" s="24">
        <v>1</v>
      </c>
      <c r="AA188" s="24">
        <v>1</v>
      </c>
      <c r="AH188" s="5"/>
      <c r="AI188" s="5"/>
      <c r="AO188" s="5"/>
    </row>
    <row r="189" spans="10:41" x14ac:dyDescent="0.3">
      <c r="J189" s="24">
        <v>185</v>
      </c>
      <c r="K189" s="15" t="s">
        <v>18</v>
      </c>
      <c r="L189" s="15" t="s">
        <v>65</v>
      </c>
      <c r="M189" s="15" t="s">
        <v>81</v>
      </c>
      <c r="N189" s="15" t="s">
        <v>19</v>
      </c>
      <c r="O189" s="15" t="s">
        <v>95</v>
      </c>
      <c r="Q189" s="9">
        <v>4</v>
      </c>
      <c r="R189" s="9">
        <v>16</v>
      </c>
      <c r="S189" s="9">
        <v>17</v>
      </c>
      <c r="T189" s="9">
        <v>5</v>
      </c>
      <c r="U189" s="9">
        <v>6</v>
      </c>
      <c r="W189" s="24">
        <v>1</v>
      </c>
      <c r="X189" s="24">
        <v>1</v>
      </c>
      <c r="Y189" s="24">
        <v>1</v>
      </c>
      <c r="Z189" s="24">
        <v>1</v>
      </c>
      <c r="AA189" s="24">
        <v>1</v>
      </c>
      <c r="AH189" s="5"/>
      <c r="AI189" s="5"/>
      <c r="AO189" s="5"/>
    </row>
    <row r="190" spans="10:41" x14ac:dyDescent="0.3">
      <c r="J190" s="9">
        <v>186</v>
      </c>
      <c r="K190" s="15" t="s">
        <v>19</v>
      </c>
      <c r="L190" s="15" t="s">
        <v>96</v>
      </c>
      <c r="M190" s="15" t="s">
        <v>96</v>
      </c>
      <c r="N190" s="15" t="s">
        <v>37</v>
      </c>
      <c r="O190" s="15" t="s">
        <v>19</v>
      </c>
      <c r="Q190" s="9">
        <v>5</v>
      </c>
      <c r="R190" s="9">
        <v>15</v>
      </c>
      <c r="S190" s="9">
        <v>15</v>
      </c>
      <c r="T190" s="9">
        <v>7</v>
      </c>
      <c r="U190" s="9">
        <v>5</v>
      </c>
      <c r="W190" s="24">
        <v>1</v>
      </c>
      <c r="X190" s="24">
        <v>1</v>
      </c>
      <c r="Y190" s="24">
        <v>1</v>
      </c>
      <c r="Z190" s="24">
        <v>1</v>
      </c>
      <c r="AA190" s="24">
        <v>1</v>
      </c>
      <c r="AH190" s="5"/>
      <c r="AI190" s="5"/>
      <c r="AO190" s="5"/>
    </row>
    <row r="191" spans="10:41" x14ac:dyDescent="0.3">
      <c r="J191" s="24">
        <v>187</v>
      </c>
      <c r="K191" s="15" t="s">
        <v>95</v>
      </c>
      <c r="L191" s="15" t="s">
        <v>19</v>
      </c>
      <c r="M191" s="15" t="s">
        <v>64</v>
      </c>
      <c r="N191" s="15" t="s">
        <v>64</v>
      </c>
      <c r="O191" s="15" t="s">
        <v>34</v>
      </c>
      <c r="Q191" s="9">
        <v>6</v>
      </c>
      <c r="R191" s="9">
        <v>5</v>
      </c>
      <c r="S191" s="9">
        <v>14</v>
      </c>
      <c r="T191" s="9">
        <v>14</v>
      </c>
      <c r="U191" s="9">
        <v>9</v>
      </c>
      <c r="W191" s="24">
        <v>1</v>
      </c>
      <c r="X191" s="24">
        <v>1</v>
      </c>
      <c r="Y191" s="24">
        <v>1</v>
      </c>
      <c r="Z191" s="24">
        <v>1</v>
      </c>
      <c r="AA191" s="24">
        <v>1</v>
      </c>
      <c r="AH191" s="5"/>
      <c r="AI191" s="5"/>
      <c r="AO191" s="5"/>
    </row>
    <row r="192" spans="10:41" x14ac:dyDescent="0.3">
      <c r="J192" s="9">
        <v>188</v>
      </c>
      <c r="K192" s="15" t="s">
        <v>19</v>
      </c>
      <c r="L192" s="15" t="s">
        <v>18</v>
      </c>
      <c r="M192" s="15" t="s">
        <v>81</v>
      </c>
      <c r="N192" s="15" t="s">
        <v>95</v>
      </c>
      <c r="O192" s="15" t="s">
        <v>19</v>
      </c>
      <c r="Q192" s="9">
        <v>5</v>
      </c>
      <c r="R192" s="9">
        <v>4</v>
      </c>
      <c r="S192" s="9">
        <v>17</v>
      </c>
      <c r="T192" s="9">
        <v>6</v>
      </c>
      <c r="U192" s="9">
        <v>5</v>
      </c>
      <c r="W192" s="24">
        <v>1</v>
      </c>
      <c r="X192" s="24">
        <v>1</v>
      </c>
      <c r="Y192" s="24">
        <v>1</v>
      </c>
      <c r="Z192" s="24">
        <v>1</v>
      </c>
      <c r="AA192" s="24">
        <v>1</v>
      </c>
      <c r="AH192" s="5"/>
      <c r="AI192" s="5"/>
      <c r="AO192" s="5"/>
    </row>
    <row r="193" spans="10:41" x14ac:dyDescent="0.3">
      <c r="J193" s="24">
        <v>189</v>
      </c>
      <c r="K193" s="15" t="s">
        <v>95</v>
      </c>
      <c r="L193" s="15" t="s">
        <v>35</v>
      </c>
      <c r="M193" s="15" t="s">
        <v>65</v>
      </c>
      <c r="N193" s="15" t="s">
        <v>18</v>
      </c>
      <c r="O193" s="15" t="s">
        <v>95</v>
      </c>
      <c r="Q193" s="9">
        <v>6</v>
      </c>
      <c r="R193" s="9">
        <v>8</v>
      </c>
      <c r="S193" s="9">
        <v>16</v>
      </c>
      <c r="T193" s="9">
        <v>4</v>
      </c>
      <c r="U193" s="9">
        <v>6</v>
      </c>
      <c r="W193" s="24">
        <v>1</v>
      </c>
      <c r="X193" s="24">
        <v>1</v>
      </c>
      <c r="Y193" s="24">
        <v>1</v>
      </c>
      <c r="Z193" s="24">
        <v>1</v>
      </c>
      <c r="AA193" s="24">
        <v>1</v>
      </c>
      <c r="AH193" s="5"/>
      <c r="AI193" s="5"/>
      <c r="AO193" s="5"/>
    </row>
    <row r="194" spans="10:41" x14ac:dyDescent="0.3">
      <c r="J194" s="9">
        <v>190</v>
      </c>
      <c r="K194" s="15" t="s">
        <v>35</v>
      </c>
      <c r="L194" s="15" t="s">
        <v>65</v>
      </c>
      <c r="M194" s="15" t="s">
        <v>96</v>
      </c>
      <c r="N194" s="15" t="s">
        <v>65</v>
      </c>
      <c r="O194" s="15" t="s">
        <v>36</v>
      </c>
      <c r="Q194" s="9">
        <v>8</v>
      </c>
      <c r="R194" s="9">
        <v>16</v>
      </c>
      <c r="S194" s="9">
        <v>15</v>
      </c>
      <c r="T194" s="9">
        <v>16</v>
      </c>
      <c r="U194" s="9">
        <v>10</v>
      </c>
      <c r="W194" s="24">
        <v>1</v>
      </c>
      <c r="X194" s="24">
        <v>1</v>
      </c>
      <c r="Y194" s="24">
        <v>1</v>
      </c>
      <c r="Z194" s="24">
        <v>1</v>
      </c>
      <c r="AA194" s="24">
        <v>1</v>
      </c>
      <c r="AH194" s="5"/>
      <c r="AI194" s="5"/>
      <c r="AO194" s="5"/>
    </row>
    <row r="195" spans="10:41" x14ac:dyDescent="0.3">
      <c r="J195" s="24">
        <v>191</v>
      </c>
      <c r="K195" s="15" t="s">
        <v>37</v>
      </c>
      <c r="L195" s="15" t="s">
        <v>19</v>
      </c>
      <c r="M195" s="15" t="s">
        <v>65</v>
      </c>
      <c r="N195" s="15" t="s">
        <v>95</v>
      </c>
      <c r="O195" s="15" t="s">
        <v>35</v>
      </c>
      <c r="Q195" s="9">
        <v>7</v>
      </c>
      <c r="R195" s="9">
        <v>5</v>
      </c>
      <c r="S195" s="9">
        <v>16</v>
      </c>
      <c r="T195" s="9">
        <v>6</v>
      </c>
      <c r="U195" s="9">
        <v>8</v>
      </c>
      <c r="W195" s="24">
        <v>1</v>
      </c>
      <c r="X195" s="24">
        <v>1</v>
      </c>
      <c r="Y195" s="24">
        <v>1</v>
      </c>
      <c r="Z195" s="24">
        <v>1</v>
      </c>
      <c r="AA195" s="24">
        <v>1</v>
      </c>
      <c r="AH195" s="5"/>
      <c r="AI195" s="5"/>
      <c r="AO195" s="5"/>
    </row>
    <row r="196" spans="10:41" x14ac:dyDescent="0.3">
      <c r="J196" s="9">
        <v>192</v>
      </c>
      <c r="K196" s="15" t="s">
        <v>35</v>
      </c>
      <c r="L196" s="15" t="s">
        <v>81</v>
      </c>
      <c r="M196" s="15" t="s">
        <v>81</v>
      </c>
      <c r="N196" s="15" t="s">
        <v>64</v>
      </c>
      <c r="O196" s="15" t="s">
        <v>19</v>
      </c>
      <c r="Q196" s="9">
        <v>8</v>
      </c>
      <c r="R196" s="9">
        <v>17</v>
      </c>
      <c r="S196" s="9">
        <v>17</v>
      </c>
      <c r="T196" s="9">
        <v>14</v>
      </c>
      <c r="U196" s="9">
        <v>5</v>
      </c>
      <c r="W196" s="24">
        <v>1</v>
      </c>
      <c r="X196" s="24">
        <v>1</v>
      </c>
      <c r="Y196" s="24">
        <v>1</v>
      </c>
      <c r="Z196" s="24">
        <v>1</v>
      </c>
      <c r="AA196" s="24">
        <v>1</v>
      </c>
      <c r="AH196" s="5"/>
      <c r="AI196" s="5"/>
      <c r="AO196" s="5"/>
    </row>
    <row r="197" spans="10:41" x14ac:dyDescent="0.3">
      <c r="J197" s="24">
        <v>193</v>
      </c>
      <c r="K197" s="15" t="s">
        <v>19</v>
      </c>
      <c r="L197" s="15" t="s">
        <v>34</v>
      </c>
      <c r="M197" s="15" t="s">
        <v>64</v>
      </c>
      <c r="N197" s="15" t="s">
        <v>18</v>
      </c>
      <c r="O197" s="15" t="s">
        <v>95</v>
      </c>
      <c r="Q197" s="9">
        <v>5</v>
      </c>
      <c r="R197" s="9">
        <v>9</v>
      </c>
      <c r="S197" s="9">
        <v>14</v>
      </c>
      <c r="T197" s="9">
        <v>4</v>
      </c>
      <c r="U197" s="9">
        <v>6</v>
      </c>
      <c r="W197" s="24">
        <v>1</v>
      </c>
      <c r="X197" s="24">
        <v>1</v>
      </c>
      <c r="Y197" s="24">
        <v>1</v>
      </c>
      <c r="Z197" s="24">
        <v>1</v>
      </c>
      <c r="AA197" s="24">
        <v>1</v>
      </c>
      <c r="AH197" s="5"/>
      <c r="AI197" s="5"/>
      <c r="AO197" s="5"/>
    </row>
    <row r="198" spans="10:41" x14ac:dyDescent="0.3">
      <c r="J198" s="9">
        <v>194</v>
      </c>
      <c r="K198" s="15" t="s">
        <v>35</v>
      </c>
      <c r="L198" s="15" t="s">
        <v>36</v>
      </c>
      <c r="M198" s="15" t="s">
        <v>81</v>
      </c>
      <c r="N198" s="15" t="s">
        <v>19</v>
      </c>
      <c r="O198" s="15" t="s">
        <v>35</v>
      </c>
      <c r="Q198" s="9">
        <v>8</v>
      </c>
      <c r="R198" s="9">
        <v>10</v>
      </c>
      <c r="S198" s="9">
        <v>17</v>
      </c>
      <c r="T198" s="9">
        <v>5</v>
      </c>
      <c r="U198" s="9">
        <v>8</v>
      </c>
      <c r="W198" s="24">
        <v>1</v>
      </c>
      <c r="X198" s="24">
        <v>1</v>
      </c>
      <c r="Y198" s="24">
        <v>1</v>
      </c>
      <c r="Z198" s="24">
        <v>1</v>
      </c>
      <c r="AA198" s="24">
        <v>1</v>
      </c>
      <c r="AH198" s="5"/>
      <c r="AI198" s="5"/>
      <c r="AO198" s="5"/>
    </row>
    <row r="199" spans="10:41" x14ac:dyDescent="0.3">
      <c r="J199" s="24">
        <v>195</v>
      </c>
      <c r="K199" s="15" t="s">
        <v>95</v>
      </c>
      <c r="L199" s="15" t="s">
        <v>65</v>
      </c>
      <c r="M199" s="15" t="s">
        <v>63</v>
      </c>
      <c r="N199" s="15" t="s">
        <v>95</v>
      </c>
      <c r="O199" s="15" t="s">
        <v>18</v>
      </c>
      <c r="Q199" s="9">
        <v>6</v>
      </c>
      <c r="R199" s="9">
        <v>16</v>
      </c>
      <c r="S199" s="9">
        <v>13</v>
      </c>
      <c r="T199" s="9">
        <v>6</v>
      </c>
      <c r="U199" s="9">
        <v>4</v>
      </c>
      <c r="W199" s="24">
        <v>1</v>
      </c>
      <c r="X199" s="24">
        <v>1</v>
      </c>
      <c r="Y199" s="24">
        <v>1</v>
      </c>
      <c r="Z199" s="24">
        <v>1</v>
      </c>
      <c r="AA199" s="24">
        <v>1</v>
      </c>
      <c r="AH199" s="5"/>
      <c r="AI199" s="5"/>
      <c r="AO199" s="5"/>
    </row>
    <row r="200" spans="10:41" x14ac:dyDescent="0.3">
      <c r="J200" s="9">
        <v>196</v>
      </c>
      <c r="K200" s="15" t="s">
        <v>19</v>
      </c>
      <c r="L200" s="15" t="s">
        <v>34</v>
      </c>
      <c r="M200" s="15" t="s">
        <v>81</v>
      </c>
      <c r="N200" s="15" t="s">
        <v>36</v>
      </c>
      <c r="O200" s="15" t="s">
        <v>95</v>
      </c>
      <c r="Q200" s="9">
        <v>5</v>
      </c>
      <c r="R200" s="9">
        <v>9</v>
      </c>
      <c r="S200" s="9">
        <v>17</v>
      </c>
      <c r="T200" s="9">
        <v>10</v>
      </c>
      <c r="U200" s="9">
        <v>6</v>
      </c>
      <c r="W200" s="24">
        <v>1</v>
      </c>
      <c r="X200" s="24">
        <v>1</v>
      </c>
      <c r="Y200" s="24">
        <v>1</v>
      </c>
      <c r="Z200" s="24">
        <v>1</v>
      </c>
      <c r="AA200" s="24">
        <v>1</v>
      </c>
      <c r="AH200" s="5"/>
      <c r="AI200" s="5"/>
      <c r="AO200" s="5"/>
    </row>
    <row r="201" spans="10:41" x14ac:dyDescent="0.3">
      <c r="J201" s="24">
        <v>197</v>
      </c>
      <c r="K201" s="15" t="s">
        <v>37</v>
      </c>
      <c r="L201" s="15" t="s">
        <v>62</v>
      </c>
      <c r="M201" s="15" t="s">
        <v>64</v>
      </c>
      <c r="N201" s="15" t="s">
        <v>35</v>
      </c>
      <c r="O201" s="15" t="s">
        <v>36</v>
      </c>
      <c r="Q201" s="9">
        <v>7</v>
      </c>
      <c r="R201" s="9">
        <v>12</v>
      </c>
      <c r="S201" s="9">
        <v>14</v>
      </c>
      <c r="T201" s="9">
        <v>8</v>
      </c>
      <c r="U201" s="9">
        <v>10</v>
      </c>
      <c r="W201" s="24">
        <v>1</v>
      </c>
      <c r="X201" s="24">
        <v>1</v>
      </c>
      <c r="Y201" s="24">
        <v>1</v>
      </c>
      <c r="Z201" s="24">
        <v>1</v>
      </c>
      <c r="AA201" s="24">
        <v>1</v>
      </c>
      <c r="AH201" s="5"/>
      <c r="AI201" s="5"/>
      <c r="AO201" s="5"/>
    </row>
    <row r="202" spans="10:41" x14ac:dyDescent="0.3">
      <c r="J202" s="9">
        <v>198</v>
      </c>
      <c r="K202" s="15" t="s">
        <v>35</v>
      </c>
      <c r="L202" s="15" t="s">
        <v>18</v>
      </c>
      <c r="M202" s="15" t="s">
        <v>96</v>
      </c>
      <c r="N202" s="15" t="s">
        <v>64</v>
      </c>
      <c r="O202" s="15" t="s">
        <v>95</v>
      </c>
      <c r="Q202" s="9">
        <v>8</v>
      </c>
      <c r="R202" s="9">
        <v>4</v>
      </c>
      <c r="S202" s="9">
        <v>15</v>
      </c>
      <c r="T202" s="9">
        <v>14</v>
      </c>
      <c r="U202" s="9">
        <v>6</v>
      </c>
      <c r="W202" s="24">
        <v>1</v>
      </c>
      <c r="X202" s="24">
        <v>1</v>
      </c>
      <c r="Y202" s="24">
        <v>1</v>
      </c>
      <c r="Z202" s="24">
        <v>1</v>
      </c>
      <c r="AA202" s="24">
        <v>1</v>
      </c>
      <c r="AH202" s="5"/>
      <c r="AI202" s="5"/>
      <c r="AO202" s="5"/>
    </row>
    <row r="203" spans="10:41" x14ac:dyDescent="0.3">
      <c r="J203" s="24">
        <v>199</v>
      </c>
      <c r="K203" s="15" t="s">
        <v>19</v>
      </c>
      <c r="L203" s="15" t="s">
        <v>19</v>
      </c>
      <c r="M203" s="15" t="s">
        <v>64</v>
      </c>
      <c r="N203" s="15" t="s">
        <v>19</v>
      </c>
      <c r="O203" s="15" t="s">
        <v>19</v>
      </c>
      <c r="Q203" s="9">
        <v>5</v>
      </c>
      <c r="R203" s="9">
        <v>5</v>
      </c>
      <c r="S203" s="9">
        <v>14</v>
      </c>
      <c r="T203" s="9">
        <v>5</v>
      </c>
      <c r="U203" s="9">
        <v>5</v>
      </c>
      <c r="W203" s="24">
        <v>1</v>
      </c>
      <c r="X203" s="24">
        <v>1</v>
      </c>
      <c r="Y203" s="24">
        <v>1</v>
      </c>
      <c r="Z203" s="24">
        <v>1</v>
      </c>
      <c r="AA203" s="24">
        <v>1</v>
      </c>
      <c r="AH203" s="5"/>
      <c r="AI203" s="5"/>
      <c r="AO203" s="5"/>
    </row>
    <row r="204" spans="10:41" x14ac:dyDescent="0.3">
      <c r="J204" s="9"/>
      <c r="K204" s="15"/>
      <c r="L204" s="15"/>
      <c r="M204" s="15"/>
      <c r="N204" s="15"/>
      <c r="O204" s="15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4"/>
      <c r="X204" s="24"/>
      <c r="Y204" s="24"/>
      <c r="Z204" s="24"/>
      <c r="AA204" s="24"/>
      <c r="AH204" s="5"/>
      <c r="AI204" s="5"/>
      <c r="AO204" s="5"/>
    </row>
    <row r="205" spans="10:41" x14ac:dyDescent="0.3">
      <c r="J205" s="24"/>
      <c r="K205" s="15"/>
      <c r="L205" s="15"/>
      <c r="M205" s="15"/>
      <c r="N205" s="15"/>
      <c r="O205" s="15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4"/>
      <c r="X205" s="24"/>
      <c r="Y205" s="24"/>
      <c r="Z205" s="24"/>
      <c r="AA205" s="24"/>
      <c r="AH205" s="5"/>
      <c r="AI205" s="5"/>
      <c r="AO205" s="5"/>
    </row>
    <row r="206" spans="10:41" x14ac:dyDescent="0.3">
      <c r="J206" s="24"/>
      <c r="K206" s="15"/>
      <c r="L206" s="15"/>
      <c r="M206" s="15"/>
      <c r="N206" s="15"/>
      <c r="O206" s="15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4"/>
      <c r="X206" s="24"/>
      <c r="Y206" s="24"/>
      <c r="Z206" s="24"/>
      <c r="AA206" s="24"/>
      <c r="AH206" s="5"/>
      <c r="AI206" s="5"/>
      <c r="AO206" s="5"/>
    </row>
    <row r="207" spans="10:41" x14ac:dyDescent="0.3">
      <c r="J207" s="9"/>
      <c r="K207" s="15"/>
      <c r="L207" s="15"/>
      <c r="M207" s="15"/>
      <c r="N207" s="15"/>
      <c r="O207" s="15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4"/>
      <c r="X207" s="24"/>
      <c r="Y207" s="24"/>
      <c r="Z207" s="24"/>
      <c r="AA207" s="24"/>
      <c r="AH207" s="5"/>
      <c r="AI207" s="5"/>
      <c r="AO207" s="5"/>
    </row>
    <row r="208" spans="10:41" x14ac:dyDescent="0.3">
      <c r="J208" s="24"/>
      <c r="K208" s="15"/>
      <c r="L208" s="15"/>
      <c r="M208" s="15"/>
      <c r="N208" s="15"/>
      <c r="O208" s="15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4"/>
      <c r="X208" s="24"/>
      <c r="Y208" s="24"/>
      <c r="Z208" s="24"/>
      <c r="AA208" s="24"/>
      <c r="AH208" s="5"/>
      <c r="AI208" s="5"/>
      <c r="AO208" s="5"/>
    </row>
    <row r="209" spans="10:41" x14ac:dyDescent="0.3">
      <c r="J209" s="9"/>
      <c r="K209" s="15"/>
      <c r="L209" s="15"/>
      <c r="M209" s="15"/>
      <c r="N209" s="15"/>
      <c r="O209" s="15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4"/>
      <c r="X209" s="24"/>
      <c r="Y209" s="24"/>
      <c r="Z209" s="24"/>
      <c r="AA209" s="24"/>
      <c r="AH209" s="5"/>
      <c r="AI209" s="5"/>
      <c r="AO209" s="5"/>
    </row>
    <row r="210" spans="10:41" x14ac:dyDescent="0.3">
      <c r="J210" s="24"/>
      <c r="K210" s="15"/>
      <c r="L210" s="15"/>
      <c r="M210" s="15"/>
      <c r="N210" s="15"/>
      <c r="O210" s="15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4"/>
      <c r="X210" s="24"/>
      <c r="Y210" s="24"/>
      <c r="Z210" s="24"/>
      <c r="AA210" s="24"/>
      <c r="AH210" s="5"/>
      <c r="AI210" s="5"/>
      <c r="AO210" s="5"/>
    </row>
    <row r="211" spans="10:41" x14ac:dyDescent="0.3">
      <c r="J211" s="9"/>
      <c r="K211" s="15"/>
      <c r="L211" s="15"/>
      <c r="M211" s="15"/>
      <c r="N211" s="15"/>
      <c r="O211" s="15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4"/>
      <c r="X211" s="24"/>
      <c r="Y211" s="24"/>
      <c r="Z211" s="24"/>
      <c r="AA211" s="24"/>
      <c r="AH211" s="5"/>
      <c r="AI211" s="5"/>
      <c r="AO211" s="5"/>
    </row>
    <row r="212" spans="10:41" x14ac:dyDescent="0.3">
      <c r="J212" s="24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4"/>
      <c r="X212" s="24"/>
      <c r="Y212" s="24"/>
      <c r="Z212" s="24"/>
      <c r="AA212" s="24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4"/>
      <c r="X213" s="24"/>
      <c r="Y213" s="24"/>
      <c r="Z213" s="24"/>
      <c r="AA213" s="24"/>
      <c r="AH213" s="5"/>
      <c r="AI213" s="5"/>
      <c r="AO213" s="5"/>
    </row>
    <row r="214" spans="10:41" x14ac:dyDescent="0.3">
      <c r="J214" s="24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4"/>
      <c r="X214" s="24"/>
      <c r="Y214" s="24"/>
      <c r="Z214" s="24"/>
      <c r="AA214" s="24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4"/>
      <c r="X215" s="24"/>
      <c r="Y215" s="24"/>
      <c r="Z215" s="24"/>
      <c r="AA215" s="24"/>
      <c r="AH215" s="5"/>
      <c r="AI215" s="5"/>
      <c r="AO215" s="5"/>
    </row>
    <row r="216" spans="10:41" x14ac:dyDescent="0.3">
      <c r="J216" s="24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4"/>
      <c r="X216" s="24"/>
      <c r="Y216" s="24"/>
      <c r="Z216" s="24"/>
      <c r="AA216" s="24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4"/>
      <c r="X217" s="24"/>
      <c r="Y217" s="24"/>
      <c r="Z217" s="24"/>
      <c r="AA217" s="24"/>
      <c r="AH217" s="5"/>
      <c r="AI217" s="5"/>
      <c r="AO217" s="5"/>
    </row>
    <row r="218" spans="10:41" x14ac:dyDescent="0.3">
      <c r="J218" s="24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4"/>
      <c r="X218" s="24"/>
      <c r="Y218" s="24"/>
      <c r="Z218" s="24"/>
      <c r="AA218" s="24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4"/>
      <c r="X219" s="24"/>
      <c r="Y219" s="24"/>
      <c r="Z219" s="24"/>
      <c r="AA219" s="24"/>
      <c r="AH219" s="5"/>
      <c r="AI219" s="5"/>
      <c r="AO219" s="5"/>
    </row>
    <row r="220" spans="10:41" x14ac:dyDescent="0.3">
      <c r="J220" s="24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4"/>
      <c r="X220" s="24"/>
      <c r="Y220" s="24"/>
      <c r="Z220" s="24"/>
      <c r="AA220" s="24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4"/>
      <c r="X221" s="24"/>
      <c r="Y221" s="24"/>
      <c r="Z221" s="24"/>
      <c r="AA221" s="24"/>
      <c r="AH221" s="5"/>
      <c r="AI221" s="5"/>
      <c r="AO221" s="5"/>
    </row>
    <row r="222" spans="10:41" x14ac:dyDescent="0.3">
      <c r="J222" s="24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4"/>
      <c r="X222" s="24"/>
      <c r="Y222" s="24"/>
      <c r="Z222" s="24"/>
      <c r="AA222" s="24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4"/>
      <c r="X223" s="24"/>
      <c r="Y223" s="24"/>
      <c r="Z223" s="24"/>
      <c r="AA223" s="24"/>
      <c r="AH223" s="5"/>
      <c r="AI223" s="5"/>
      <c r="AO223" s="5"/>
    </row>
    <row r="224" spans="10:41" x14ac:dyDescent="0.3">
      <c r="J224" s="24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4"/>
      <c r="X224" s="24"/>
      <c r="Y224" s="24"/>
      <c r="Z224" s="24"/>
      <c r="AA224" s="24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4"/>
      <c r="X225" s="24"/>
      <c r="Y225" s="24"/>
      <c r="Z225" s="24"/>
      <c r="AA225" s="24"/>
      <c r="AH225" s="5"/>
      <c r="AI225" s="5"/>
      <c r="AO225" s="5"/>
    </row>
    <row r="226" spans="10:41" x14ac:dyDescent="0.3">
      <c r="J226" s="24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4"/>
      <c r="X226" s="24"/>
      <c r="Y226" s="24"/>
      <c r="Z226" s="24"/>
      <c r="AA226" s="24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4"/>
      <c r="X227" s="24"/>
      <c r="Y227" s="24"/>
      <c r="Z227" s="24"/>
      <c r="AA227" s="24"/>
      <c r="AH227" s="5"/>
      <c r="AI227" s="5"/>
      <c r="AO227" s="5"/>
    </row>
    <row r="228" spans="10:41" x14ac:dyDescent="0.3">
      <c r="J228" s="24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4"/>
      <c r="X228" s="24"/>
      <c r="Y228" s="24"/>
      <c r="Z228" s="24"/>
      <c r="AA228" s="24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4"/>
      <c r="X229" s="24"/>
      <c r="Y229" s="24"/>
      <c r="Z229" s="24"/>
      <c r="AA229" s="24"/>
      <c r="AH229" s="5"/>
      <c r="AI229" s="5"/>
      <c r="AO229" s="5"/>
    </row>
    <row r="230" spans="10:41" x14ac:dyDescent="0.3">
      <c r="J230" s="24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4"/>
      <c r="X230" s="24"/>
      <c r="Y230" s="24"/>
      <c r="Z230" s="24"/>
      <c r="AA230" s="24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4"/>
      <c r="X231" s="24"/>
      <c r="Y231" s="24"/>
      <c r="Z231" s="24"/>
      <c r="AA231" s="24"/>
      <c r="AH231" s="5"/>
      <c r="AI231" s="5"/>
      <c r="AO231" s="5"/>
    </row>
    <row r="232" spans="10:41" x14ac:dyDescent="0.3">
      <c r="J232" s="24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4"/>
      <c r="X232" s="24"/>
      <c r="Y232" s="24"/>
      <c r="Z232" s="24"/>
      <c r="AA232" s="24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4"/>
      <c r="X233" s="24"/>
      <c r="Y233" s="24"/>
      <c r="Z233" s="24"/>
      <c r="AA233" s="24"/>
      <c r="AH233" s="5"/>
      <c r="AI233" s="5"/>
      <c r="AO233" s="5"/>
    </row>
    <row r="234" spans="10:41" x14ac:dyDescent="0.3">
      <c r="J234" s="24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4"/>
      <c r="X234" s="24"/>
      <c r="Y234" s="24"/>
      <c r="Z234" s="24"/>
      <c r="AA234" s="24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4"/>
      <c r="X235" s="24"/>
      <c r="Y235" s="24"/>
      <c r="Z235" s="24"/>
      <c r="AA235" s="24"/>
      <c r="AH235" s="5"/>
      <c r="AI235" s="5"/>
      <c r="AO235" s="5"/>
    </row>
    <row r="236" spans="10:41" x14ac:dyDescent="0.3">
      <c r="J236" s="24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4"/>
      <c r="X236" s="24"/>
      <c r="Y236" s="24"/>
      <c r="Z236" s="24"/>
      <c r="AA236" s="24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4"/>
      <c r="X237" s="24"/>
      <c r="Y237" s="24"/>
      <c r="Z237" s="24"/>
      <c r="AA237" s="24"/>
      <c r="AH237" s="5"/>
      <c r="AI237" s="5"/>
      <c r="AO237" s="5"/>
    </row>
    <row r="238" spans="10:41" x14ac:dyDescent="0.3">
      <c r="J238" s="24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4"/>
      <c r="X238" s="24"/>
      <c r="Y238" s="24"/>
      <c r="Z238" s="24"/>
      <c r="AA238" s="24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4"/>
      <c r="X239" s="24"/>
      <c r="Y239" s="24"/>
      <c r="Z239" s="24"/>
      <c r="AA239" s="24"/>
      <c r="AH239" s="5"/>
      <c r="AI239" s="5"/>
      <c r="AO239" s="5"/>
    </row>
    <row r="240" spans="10:41" x14ac:dyDescent="0.3">
      <c r="J240" s="24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4"/>
      <c r="X240" s="24"/>
      <c r="Y240" s="24"/>
      <c r="Z240" s="24"/>
      <c r="AA240" s="24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4"/>
      <c r="X241" s="24"/>
      <c r="Y241" s="24"/>
      <c r="Z241" s="24"/>
      <c r="AA241" s="24"/>
      <c r="AH241" s="5"/>
      <c r="AI241" s="5"/>
      <c r="AO241" s="5"/>
    </row>
    <row r="242" spans="10:41" x14ac:dyDescent="0.3">
      <c r="J242" s="24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4"/>
      <c r="X242" s="24"/>
      <c r="Y242" s="24"/>
      <c r="Z242" s="24"/>
      <c r="AA242" s="24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4"/>
      <c r="X243" s="24"/>
      <c r="Y243" s="24"/>
      <c r="Z243" s="24"/>
      <c r="AA243" s="24"/>
      <c r="AH243" s="5"/>
      <c r="AI243" s="5"/>
      <c r="AO243" s="5"/>
    </row>
    <row r="244" spans="10:41" x14ac:dyDescent="0.3">
      <c r="J244" s="24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4"/>
      <c r="X244" s="24"/>
      <c r="Y244" s="24"/>
      <c r="Z244" s="24"/>
      <c r="AA244" s="24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4"/>
      <c r="X245" s="24"/>
      <c r="Y245" s="24"/>
      <c r="Z245" s="24"/>
      <c r="AA245" s="24"/>
      <c r="AH245" s="5"/>
      <c r="AI245" s="5"/>
      <c r="AO245" s="5"/>
    </row>
    <row r="246" spans="10:41" x14ac:dyDescent="0.3">
      <c r="J246" s="24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4"/>
      <c r="X246" s="24"/>
      <c r="Y246" s="24"/>
      <c r="Z246" s="24"/>
      <c r="AA246" s="24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4"/>
      <c r="X247" s="24"/>
      <c r="Y247" s="24"/>
      <c r="Z247" s="24"/>
      <c r="AA247" s="24"/>
      <c r="AH247" s="5"/>
      <c r="AI247" s="5"/>
      <c r="AO247" s="5"/>
    </row>
    <row r="248" spans="10:41" x14ac:dyDescent="0.3">
      <c r="J248" s="24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4"/>
      <c r="X248" s="24"/>
      <c r="Y248" s="24"/>
      <c r="Z248" s="24"/>
      <c r="AA248" s="24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4"/>
      <c r="X249" s="24"/>
      <c r="Y249" s="24"/>
      <c r="Z249" s="24"/>
      <c r="AA249" s="24"/>
      <c r="AH249" s="5"/>
      <c r="AI249" s="5"/>
      <c r="AO249" s="5"/>
    </row>
    <row r="250" spans="10:41" x14ac:dyDescent="0.3">
      <c r="J250" s="24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4"/>
      <c r="X250" s="24"/>
      <c r="Y250" s="24"/>
      <c r="Z250" s="24"/>
      <c r="AA250" s="24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4"/>
      <c r="X251" s="24"/>
      <c r="Y251" s="24"/>
      <c r="Z251" s="24"/>
      <c r="AA251" s="24"/>
      <c r="AH251" s="5"/>
      <c r="AI251" s="5"/>
      <c r="AO251" s="5"/>
    </row>
    <row r="252" spans="10:41" x14ac:dyDescent="0.3">
      <c r="J252" s="24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4"/>
      <c r="X252" s="24"/>
      <c r="Y252" s="24"/>
      <c r="Z252" s="24"/>
      <c r="AA252" s="24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4"/>
      <c r="X253" s="24"/>
      <c r="Y253" s="24"/>
      <c r="Z253" s="24"/>
      <c r="AA253" s="24"/>
      <c r="AH253" s="5"/>
      <c r="AI253" s="5"/>
      <c r="AO253" s="5"/>
    </row>
    <row r="254" spans="10:41" x14ac:dyDescent="0.3">
      <c r="J254" s="24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4"/>
      <c r="X254" s="24"/>
      <c r="Y254" s="24"/>
      <c r="Z254" s="24"/>
      <c r="AA254" s="24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4"/>
      <c r="X255" s="24"/>
      <c r="Y255" s="24"/>
      <c r="Z255" s="24"/>
      <c r="AA255" s="24"/>
      <c r="AH255" s="5"/>
      <c r="AI255" s="5"/>
      <c r="AO255" s="5"/>
    </row>
    <row r="256" spans="10:41" x14ac:dyDescent="0.3">
      <c r="J256" s="24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4"/>
      <c r="X256" s="24"/>
      <c r="Y256" s="24"/>
      <c r="Z256" s="24"/>
      <c r="AA256" s="24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4"/>
      <c r="X257" s="24"/>
      <c r="Y257" s="24"/>
      <c r="Z257" s="24"/>
      <c r="AA257" s="24"/>
      <c r="AH257" s="5"/>
      <c r="AI257" s="5"/>
      <c r="AO257" s="5"/>
    </row>
    <row r="258" spans="10:41" x14ac:dyDescent="0.3">
      <c r="J258" s="24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4"/>
      <c r="X258" s="24"/>
      <c r="Y258" s="24"/>
      <c r="Z258" s="24"/>
      <c r="AA258" s="24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4"/>
      <c r="X259" s="24"/>
      <c r="Y259" s="24"/>
      <c r="Z259" s="24"/>
      <c r="AA259" s="24"/>
      <c r="AH259" s="5"/>
      <c r="AI259" s="5"/>
      <c r="AO259" s="5"/>
    </row>
    <row r="260" spans="10:41" x14ac:dyDescent="0.3">
      <c r="J260" s="24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4"/>
      <c r="X260" s="24"/>
      <c r="Y260" s="24"/>
      <c r="Z260" s="24"/>
      <c r="AA260" s="24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4"/>
      <c r="X261" s="24"/>
      <c r="Y261" s="24"/>
      <c r="Z261" s="24"/>
      <c r="AA261" s="24"/>
      <c r="AH261" s="5"/>
      <c r="AI261" s="5"/>
      <c r="AO261" s="5"/>
    </row>
    <row r="262" spans="10:41" x14ac:dyDescent="0.3">
      <c r="J262" s="24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4"/>
      <c r="X262" s="24"/>
      <c r="Y262" s="24"/>
      <c r="Z262" s="24"/>
      <c r="AA262" s="24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4"/>
      <c r="X263" s="24"/>
      <c r="Y263" s="24"/>
      <c r="Z263" s="24"/>
      <c r="AA263" s="24"/>
      <c r="AH263" s="5"/>
      <c r="AI263" s="5"/>
      <c r="AO263" s="5"/>
    </row>
    <row r="264" spans="10:41" x14ac:dyDescent="0.3">
      <c r="J264" s="24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4"/>
      <c r="X264" s="24"/>
      <c r="Y264" s="24"/>
      <c r="Z264" s="24"/>
      <c r="AA264" s="24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4"/>
      <c r="X265" s="24"/>
      <c r="Y265" s="24"/>
      <c r="Z265" s="24"/>
      <c r="AA265" s="24"/>
      <c r="AH265" s="5"/>
      <c r="AI265" s="5"/>
      <c r="AO265" s="5"/>
    </row>
    <row r="266" spans="10:41" x14ac:dyDescent="0.3">
      <c r="J266" s="24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4"/>
      <c r="X266" s="24"/>
      <c r="Y266" s="24"/>
      <c r="Z266" s="24"/>
      <c r="AA266" s="24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4"/>
      <c r="X267" s="24"/>
      <c r="Y267" s="24"/>
      <c r="Z267" s="24"/>
      <c r="AA267" s="24"/>
      <c r="AH267" s="5"/>
      <c r="AI267" s="5"/>
      <c r="AO267" s="5"/>
    </row>
    <row r="268" spans="10:41" x14ac:dyDescent="0.3">
      <c r="J268" s="24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4"/>
      <c r="X268" s="24"/>
      <c r="Y268" s="24"/>
      <c r="Z268" s="24"/>
      <c r="AA268" s="24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4"/>
      <c r="X269" s="24"/>
      <c r="Y269" s="24"/>
      <c r="Z269" s="24"/>
      <c r="AA269" s="24"/>
      <c r="AH269" s="5"/>
      <c r="AI269" s="5"/>
      <c r="AO269" s="5"/>
    </row>
    <row r="270" spans="10:41" x14ac:dyDescent="0.3">
      <c r="J270" s="24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4"/>
      <c r="X270" s="24"/>
      <c r="Y270" s="24"/>
      <c r="Z270" s="24"/>
      <c r="AA270" s="24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4"/>
      <c r="X271" s="24"/>
      <c r="Y271" s="24"/>
      <c r="Z271" s="24"/>
      <c r="AA271" s="24"/>
      <c r="AH271" s="5"/>
      <c r="AI271" s="5"/>
      <c r="AO271" s="5"/>
    </row>
    <row r="272" spans="10:41" x14ac:dyDescent="0.3">
      <c r="J272" s="24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4"/>
      <c r="X272" s="24"/>
      <c r="Y272" s="24"/>
      <c r="Z272" s="24"/>
      <c r="AA272" s="24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4"/>
      <c r="X273" s="24"/>
      <c r="Y273" s="24"/>
      <c r="Z273" s="24"/>
      <c r="AA273" s="24"/>
      <c r="AH273" s="5"/>
      <c r="AI273" s="5"/>
      <c r="AO273" s="5"/>
    </row>
    <row r="274" spans="10:41" x14ac:dyDescent="0.3">
      <c r="J274" s="24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4"/>
      <c r="X274" s="24"/>
      <c r="Y274" s="24"/>
      <c r="Z274" s="24"/>
      <c r="AA274" s="24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4"/>
      <c r="X275" s="24"/>
      <c r="Y275" s="24"/>
      <c r="Z275" s="24"/>
      <c r="AA275" s="24"/>
      <c r="AH275" s="5"/>
      <c r="AI275" s="5"/>
      <c r="AO275" s="5"/>
    </row>
    <row r="276" spans="10:41" x14ac:dyDescent="0.3">
      <c r="J276" s="24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4"/>
      <c r="X276" s="24"/>
      <c r="Y276" s="24"/>
      <c r="Z276" s="24"/>
      <c r="AA276" s="24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4"/>
      <c r="X277" s="24"/>
      <c r="Y277" s="24"/>
      <c r="Z277" s="24"/>
      <c r="AA277" s="24"/>
      <c r="AH277" s="5"/>
      <c r="AI277" s="5"/>
      <c r="AO277" s="5"/>
    </row>
    <row r="278" spans="10:41" x14ac:dyDescent="0.3">
      <c r="J278" s="24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4"/>
      <c r="X278" s="24"/>
      <c r="Y278" s="24"/>
      <c r="Z278" s="24"/>
      <c r="AA278" s="24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4"/>
      <c r="X279" s="24"/>
      <c r="Y279" s="24"/>
      <c r="Z279" s="24"/>
      <c r="AA279" s="24"/>
      <c r="AH279" s="5"/>
      <c r="AI279" s="5"/>
      <c r="AO279" s="5"/>
    </row>
    <row r="280" spans="10:41" x14ac:dyDescent="0.3">
      <c r="J280" s="24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4"/>
      <c r="X280" s="24"/>
      <c r="Y280" s="24"/>
      <c r="Z280" s="24"/>
      <c r="AA280" s="24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4"/>
      <c r="X281" s="24"/>
      <c r="Y281" s="24"/>
      <c r="Z281" s="24"/>
      <c r="AA281" s="24"/>
      <c r="AH281" s="5"/>
      <c r="AI281" s="5"/>
      <c r="AO281" s="5"/>
    </row>
    <row r="282" spans="10:41" x14ac:dyDescent="0.3">
      <c r="J282" s="24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4"/>
      <c r="X282" s="24"/>
      <c r="Y282" s="24"/>
      <c r="Z282" s="24"/>
      <c r="AA282" s="24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4"/>
      <c r="X283" s="24"/>
      <c r="Y283" s="24"/>
      <c r="Z283" s="24"/>
      <c r="AA283" s="24"/>
      <c r="AH283" s="5"/>
      <c r="AI283" s="5"/>
      <c r="AO283" s="5"/>
    </row>
    <row r="284" spans="10:41" x14ac:dyDescent="0.3">
      <c r="J284" s="24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4"/>
      <c r="X284" s="24"/>
      <c r="Y284" s="24"/>
      <c r="Z284" s="24"/>
      <c r="AA284" s="24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4"/>
      <c r="X285" s="24"/>
      <c r="Y285" s="24"/>
      <c r="Z285" s="24"/>
      <c r="AA285" s="24"/>
      <c r="AH285" s="5"/>
      <c r="AI285" s="5"/>
      <c r="AO285" s="5"/>
    </row>
    <row r="286" spans="10:41" x14ac:dyDescent="0.3">
      <c r="J286" s="24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4"/>
      <c r="X286" s="24"/>
      <c r="Y286" s="24"/>
      <c r="Z286" s="24"/>
      <c r="AA286" s="24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4"/>
      <c r="X287" s="24"/>
      <c r="Y287" s="24"/>
      <c r="Z287" s="24"/>
      <c r="AA287" s="24"/>
      <c r="AH287" s="5"/>
      <c r="AI287" s="5"/>
      <c r="AO287" s="5"/>
    </row>
    <row r="288" spans="10:41" x14ac:dyDescent="0.3">
      <c r="J288" s="24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4"/>
      <c r="X288" s="24"/>
      <c r="Y288" s="24"/>
      <c r="Z288" s="24"/>
      <c r="AA288" s="24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4"/>
      <c r="X289" s="24"/>
      <c r="Y289" s="24"/>
      <c r="Z289" s="24"/>
      <c r="AA289" s="24"/>
      <c r="AH289" s="5"/>
      <c r="AI289" s="5"/>
      <c r="AO289" s="5"/>
    </row>
    <row r="290" spans="10:41" x14ac:dyDescent="0.3">
      <c r="J290" s="24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4"/>
      <c r="X290" s="24"/>
      <c r="Y290" s="24"/>
      <c r="Z290" s="24"/>
      <c r="AA290" s="24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4"/>
      <c r="X291" s="24"/>
      <c r="Y291" s="24"/>
      <c r="Z291" s="24"/>
      <c r="AA291" s="24"/>
      <c r="AH291" s="5"/>
      <c r="AI291" s="5"/>
      <c r="AO291" s="5"/>
    </row>
    <row r="292" spans="10:41" x14ac:dyDescent="0.3">
      <c r="J292" s="24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4"/>
      <c r="X292" s="24"/>
      <c r="Y292" s="24"/>
      <c r="Z292" s="24"/>
      <c r="AA292" s="24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4"/>
      <c r="X293" s="24"/>
      <c r="Y293" s="24"/>
      <c r="Z293" s="24"/>
      <c r="AA293" s="24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4"/>
      <c r="X294" s="24"/>
      <c r="Y294" s="24"/>
      <c r="Z294" s="24"/>
      <c r="AA294" s="24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4"/>
      <c r="X295" s="24"/>
      <c r="Y295" s="24"/>
      <c r="Z295" s="24"/>
      <c r="AA295" s="24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4"/>
      <c r="X296" s="24"/>
      <c r="Y296" s="24"/>
      <c r="Z296" s="24"/>
      <c r="AA296" s="24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4"/>
      <c r="X297" s="24"/>
      <c r="Y297" s="24"/>
      <c r="Z297" s="24"/>
      <c r="AA297" s="24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4"/>
      <c r="X298" s="24"/>
      <c r="Y298" s="24"/>
      <c r="Z298" s="24"/>
      <c r="AA298" s="24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4"/>
      <c r="X299" s="24"/>
      <c r="Y299" s="24"/>
      <c r="Z299" s="24"/>
      <c r="AA299" s="24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4"/>
      <c r="X300" s="24"/>
      <c r="Y300" s="24"/>
      <c r="Z300" s="24"/>
      <c r="AA300" s="24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4"/>
      <c r="X301" s="24"/>
      <c r="Y301" s="24"/>
      <c r="Z301" s="24"/>
      <c r="AA301" s="24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4"/>
      <c r="X302" s="24"/>
      <c r="Y302" s="24"/>
      <c r="Z302" s="24"/>
      <c r="AA302" s="24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4"/>
      <c r="X303" s="24"/>
      <c r="Y303" s="24"/>
      <c r="Z303" s="24"/>
      <c r="AA303" s="24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4"/>
      <c r="X304" s="24"/>
      <c r="Y304" s="24"/>
      <c r="Z304" s="24"/>
      <c r="AA304" s="24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95" priority="23">
      <formula>_xlfn.LET(_xlpm.x, W4, AND(NOT(_xlfn.ISFORMULA(_xlpm.x)), _xlpm.x&lt;&gt;""))</formula>
    </cfRule>
  </conditionalFormatting>
  <conditionalFormatting sqref="W4:AA203">
    <cfRule type="expression" dxfId="94" priority="18">
      <formula>_xlfn.LET(_xlpm.x, W4, AND(NOT(_xlfn.ISFORMULA(_xlpm.x)), _xlpm.x&lt;&gt;""))</formula>
    </cfRule>
  </conditionalFormatting>
  <conditionalFormatting sqref="K1:O1048576">
    <cfRule type="cellIs" dxfId="93" priority="14" operator="equal">
      <formula>"C1"</formula>
    </cfRule>
    <cfRule type="cellIs" dxfId="92" priority="15" operator="between">
      <formula>"G1"</formula>
      <formula>"G5"</formula>
    </cfRule>
    <cfRule type="cellIs" dxfId="91" priority="16" operator="between">
      <formula>"GA"</formula>
      <formula>"GJ"</formula>
    </cfRule>
    <cfRule type="cellIs" dxfId="90" priority="17" operator="between">
      <formula>"M1"</formula>
      <formula>"M5"</formula>
    </cfRule>
  </conditionalFormatting>
  <conditionalFormatting sqref="C31:G46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{0A873879-5590-492F-90B7-845B63199361}</x14:id>
        </ext>
      </extLst>
    </cfRule>
  </conditionalFormatting>
  <conditionalFormatting sqref="D52:D54">
    <cfRule type="cellIs" dxfId="89" priority="9" operator="equal">
      <formula>"C1"</formula>
    </cfRule>
    <cfRule type="cellIs" dxfId="88" priority="10" operator="between">
      <formula>"G1"</formula>
      <formula>"G4"</formula>
    </cfRule>
    <cfRule type="cellIs" dxfId="87" priority="11" operator="between">
      <formula>"GA"</formula>
      <formula>"GQ"</formula>
    </cfRule>
    <cfRule type="cellIs" dxfId="86" priority="12" operator="between">
      <formula>"M1"</formula>
      <formula>"M4"</formula>
    </cfRule>
  </conditionalFormatting>
  <conditionalFormatting sqref="E52:E54">
    <cfRule type="cellIs" dxfId="85" priority="5" operator="equal">
      <formula>"C1"</formula>
    </cfRule>
    <cfRule type="cellIs" dxfId="84" priority="6" operator="between">
      <formula>"G1"</formula>
      <formula>"G4"</formula>
    </cfRule>
    <cfRule type="cellIs" dxfId="83" priority="7" operator="between">
      <formula>"GA"</formula>
      <formula>"GQ"</formula>
    </cfRule>
    <cfRule type="cellIs" dxfId="82" priority="8" operator="between">
      <formula>"M1"</formula>
      <formula>"M4"</formula>
    </cfRule>
  </conditionalFormatting>
  <conditionalFormatting sqref="F52:F54">
    <cfRule type="cellIs" dxfId="81" priority="1" operator="equal">
      <formula>"C1"</formula>
    </cfRule>
    <cfRule type="cellIs" dxfId="80" priority="2" operator="between">
      <formula>"G1"</formula>
      <formula>"G4"</formula>
    </cfRule>
    <cfRule type="cellIs" dxfId="79" priority="3" operator="between">
      <formula>"GA"</formula>
      <formula>"GQ"</formula>
    </cfRule>
    <cfRule type="cellIs" dxfId="78" priority="4" operator="between">
      <formula>"M1"</formula>
      <formula>"M4"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873879-5590-492F-90B7-845B631993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C31:G46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>
      <selection activeCell="P15" sqref="P15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3" width="11" style="5" bestFit="1" customWidth="1"/>
    <col min="4" max="6" width="9.5546875" style="5" bestFit="1" customWidth="1"/>
    <col min="7" max="7" width="11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6" t="s">
        <v>101</v>
      </c>
      <c r="Q2" s="26" t="s">
        <v>102</v>
      </c>
      <c r="W2" s="26" t="s">
        <v>103</v>
      </c>
      <c r="AC2" s="26" t="s">
        <v>104</v>
      </c>
      <c r="AH2" s="5"/>
      <c r="AI2" s="5"/>
      <c r="AJ2" s="26" t="s">
        <v>80</v>
      </c>
      <c r="AO2" s="5"/>
    </row>
    <row r="3" spans="1:41" ht="15.9" customHeight="1" x14ac:dyDescent="0.3">
      <c r="A3" s="19" t="s">
        <v>5</v>
      </c>
      <c r="B3" s="19" t="s">
        <v>12</v>
      </c>
      <c r="C3" s="19" t="s">
        <v>6</v>
      </c>
      <c r="D3" s="19" t="s">
        <v>7</v>
      </c>
      <c r="E3" s="19" t="s">
        <v>8</v>
      </c>
      <c r="F3" s="19" t="s">
        <v>9</v>
      </c>
      <c r="G3" s="19" t="s">
        <v>10</v>
      </c>
      <c r="H3" s="19" t="s">
        <v>11</v>
      </c>
      <c r="I3" s="14"/>
      <c r="J3" s="19"/>
      <c r="K3" s="19" t="s">
        <v>13</v>
      </c>
      <c r="L3" s="19" t="s">
        <v>14</v>
      </c>
      <c r="M3" s="19" t="s">
        <v>15</v>
      </c>
      <c r="N3" s="19" t="s">
        <v>16</v>
      </c>
      <c r="O3" s="19" t="s">
        <v>17</v>
      </c>
      <c r="Q3" s="19" t="s">
        <v>13</v>
      </c>
      <c r="R3" s="19" t="s">
        <v>14</v>
      </c>
      <c r="S3" s="19" t="s">
        <v>15</v>
      </c>
      <c r="T3" s="19" t="s">
        <v>16</v>
      </c>
      <c r="U3" s="19" t="s">
        <v>17</v>
      </c>
      <c r="W3" s="19" t="s">
        <v>6</v>
      </c>
      <c r="X3" s="19" t="s">
        <v>14</v>
      </c>
      <c r="Y3" s="19" t="s">
        <v>15</v>
      </c>
      <c r="Z3" s="19" t="s">
        <v>16</v>
      </c>
      <c r="AA3" s="19" t="s">
        <v>17</v>
      </c>
      <c r="AO3" s="5"/>
    </row>
    <row r="4" spans="1:41" ht="15.9" customHeight="1" x14ac:dyDescent="0.3">
      <c r="A4" s="28" t="str" cm="1">
        <f t="array" ref="A4:B23">Overview!A38:B57</f>
        <v>WW</v>
      </c>
      <c r="B4" s="8" t="str">
        <v>Wild</v>
      </c>
      <c r="C4" s="53">
        <f t="shared" ref="C4:G23" si="0">COUNTIF(K:K, $A4)</f>
        <v>0</v>
      </c>
      <c r="D4" s="53">
        <f t="shared" si="0"/>
        <v>0</v>
      </c>
      <c r="E4" s="53">
        <f t="shared" si="0"/>
        <v>0</v>
      </c>
      <c r="F4" s="53">
        <f t="shared" si="0"/>
        <v>0</v>
      </c>
      <c r="G4" s="53">
        <f t="shared" si="0"/>
        <v>0</v>
      </c>
      <c r="H4" s="8" cm="1">
        <f t="array" ref="H4:H23">Overview!F38:F57</f>
        <v>0</v>
      </c>
      <c r="I4" s="51"/>
      <c r="J4" s="24" cm="1">
        <f t="array" ref="J4:J203">_xlfn.SEQUENCE(MAX(COUNTA(K:K), COUNTA(L:L), COUNTA(M:M), COUNTA(N:N), COUNTA(O:O))-1,,0)</f>
        <v>0</v>
      </c>
      <c r="K4" s="25" t="s">
        <v>37</v>
      </c>
      <c r="L4" s="25" t="s">
        <v>95</v>
      </c>
      <c r="M4" s="25" t="s">
        <v>64</v>
      </c>
      <c r="N4" s="25" t="s">
        <v>95</v>
      </c>
      <c r="O4" s="25" t="s">
        <v>37</v>
      </c>
      <c r="Q4" s="24" cm="1">
        <f t="array" ref="Q4:U304">_xlfn.LET(_xlpm.x, K4:O304, IF(_xlpm.x="", "", _xlfn.XLOOKUP(_xlpm.x, $A$4:$A$23,_xlfn.ANCHORARRAY( H4))))</f>
        <v>7</v>
      </c>
      <c r="R4" s="24">
        <v>6</v>
      </c>
      <c r="S4" s="24">
        <v>14</v>
      </c>
      <c r="T4" s="24">
        <v>6</v>
      </c>
      <c r="U4" s="24">
        <v>7</v>
      </c>
      <c r="W4" s="24">
        <v>1</v>
      </c>
      <c r="X4" s="24">
        <v>1</v>
      </c>
      <c r="Y4" s="24">
        <v>1</v>
      </c>
      <c r="Z4" s="24">
        <v>1</v>
      </c>
      <c r="AA4" s="24">
        <v>1</v>
      </c>
      <c r="AB4" s="42"/>
      <c r="AC4" s="26" t="s">
        <v>99</v>
      </c>
      <c r="AH4" s="5"/>
      <c r="AI4" s="5"/>
      <c r="AJ4" s="26" t="s">
        <v>99</v>
      </c>
      <c r="AO4" s="5"/>
    </row>
    <row r="5" spans="1:41" ht="15.9" customHeight="1" x14ac:dyDescent="0.3">
      <c r="A5" s="28" t="str">
        <v>C1</v>
      </c>
      <c r="B5" s="8" t="str">
        <v>Scatter</v>
      </c>
      <c r="C5" s="53">
        <f t="shared" si="0"/>
        <v>3</v>
      </c>
      <c r="D5" s="53">
        <f t="shared" si="0"/>
        <v>3</v>
      </c>
      <c r="E5" s="53">
        <f t="shared" si="0"/>
        <v>0</v>
      </c>
      <c r="F5" s="53">
        <f t="shared" si="0"/>
        <v>5</v>
      </c>
      <c r="G5" s="53">
        <f t="shared" si="0"/>
        <v>5</v>
      </c>
      <c r="H5" s="8">
        <v>1</v>
      </c>
      <c r="I5" s="51"/>
      <c r="J5" s="9">
        <v>1</v>
      </c>
      <c r="K5" s="15" t="s">
        <v>95</v>
      </c>
      <c r="L5" s="15" t="s">
        <v>70</v>
      </c>
      <c r="M5" s="15" t="s">
        <v>81</v>
      </c>
      <c r="N5" s="15" t="s">
        <v>19</v>
      </c>
      <c r="O5" s="15" t="s">
        <v>22</v>
      </c>
      <c r="Q5" s="9">
        <v>6</v>
      </c>
      <c r="R5" s="9">
        <v>19</v>
      </c>
      <c r="S5" s="9">
        <v>17</v>
      </c>
      <c r="T5" s="9">
        <v>5</v>
      </c>
      <c r="U5" s="9">
        <v>3</v>
      </c>
      <c r="W5" s="24">
        <v>1</v>
      </c>
      <c r="X5" s="24">
        <v>1</v>
      </c>
      <c r="Y5" s="24">
        <v>1</v>
      </c>
      <c r="Z5" s="24">
        <v>1</v>
      </c>
      <c r="AA5" s="24">
        <v>1</v>
      </c>
      <c r="AC5" s="68" t="s">
        <v>42</v>
      </c>
      <c r="AD5" s="68" t="s">
        <v>13</v>
      </c>
      <c r="AE5" s="68" t="s">
        <v>14</v>
      </c>
      <c r="AF5" s="68" t="s">
        <v>15</v>
      </c>
      <c r="AG5" s="68" t="s">
        <v>16</v>
      </c>
      <c r="AH5" s="68" t="s">
        <v>17</v>
      </c>
      <c r="AI5" s="5"/>
      <c r="AJ5" s="68" t="s">
        <v>42</v>
      </c>
      <c r="AK5" s="68" t="s">
        <v>13</v>
      </c>
      <c r="AL5" s="68" t="s">
        <v>14</v>
      </c>
      <c r="AM5" s="68" t="s">
        <v>15</v>
      </c>
      <c r="AN5" s="68" t="s">
        <v>16</v>
      </c>
      <c r="AO5" s="68" t="s">
        <v>17</v>
      </c>
    </row>
    <row r="6" spans="1:41" ht="15.9" customHeight="1" x14ac:dyDescent="0.3">
      <c r="A6" s="66" t="str">
        <v>M1</v>
      </c>
      <c r="B6" s="58" t="str">
        <v>M1</v>
      </c>
      <c r="C6" s="66">
        <f t="shared" si="0"/>
        <v>3</v>
      </c>
      <c r="D6" s="66">
        <f t="shared" si="0"/>
        <v>10</v>
      </c>
      <c r="E6" s="66">
        <f t="shared" si="0"/>
        <v>0</v>
      </c>
      <c r="F6" s="66">
        <f t="shared" si="0"/>
        <v>3</v>
      </c>
      <c r="G6" s="66">
        <f t="shared" si="0"/>
        <v>9</v>
      </c>
      <c r="H6" s="58">
        <v>2</v>
      </c>
      <c r="I6" s="51"/>
      <c r="J6" s="24">
        <v>2</v>
      </c>
      <c r="K6" s="15" t="s">
        <v>37</v>
      </c>
      <c r="L6" s="15" t="s">
        <v>65</v>
      </c>
      <c r="M6" s="15" t="s">
        <v>64</v>
      </c>
      <c r="N6" s="15" t="s">
        <v>36</v>
      </c>
      <c r="O6" s="15" t="s">
        <v>19</v>
      </c>
      <c r="Q6" s="9">
        <v>7</v>
      </c>
      <c r="R6" s="9">
        <v>16</v>
      </c>
      <c r="S6" s="9">
        <v>14</v>
      </c>
      <c r="T6" s="9">
        <v>10</v>
      </c>
      <c r="U6" s="9">
        <v>5</v>
      </c>
      <c r="W6" s="24">
        <v>1</v>
      </c>
      <c r="X6" s="24">
        <v>1</v>
      </c>
      <c r="Y6" s="24">
        <v>1</v>
      </c>
      <c r="Z6" s="24">
        <v>1</v>
      </c>
      <c r="AA6" s="24">
        <v>1</v>
      </c>
      <c r="AC6" s="71" t="str" cm="1">
        <f t="array" ref="AC6:AC25">$A$4:$A$23</f>
        <v>WW</v>
      </c>
      <c r="AD6" s="72">
        <v>0</v>
      </c>
      <c r="AE6" s="72">
        <v>0</v>
      </c>
      <c r="AF6" s="72">
        <v>0</v>
      </c>
      <c r="AG6" s="72">
        <v>0</v>
      </c>
      <c r="AH6" s="72">
        <v>0</v>
      </c>
      <c r="AI6" s="5"/>
      <c r="AJ6" s="71" t="str" cm="1">
        <f t="array" ref="AJ6:AJ25">$A$4:$A$23</f>
        <v>WW</v>
      </c>
      <c r="AK6" s="72">
        <v>0</v>
      </c>
      <c r="AL6" s="72">
        <v>0</v>
      </c>
      <c r="AM6" s="72">
        <v>0</v>
      </c>
      <c r="AN6" s="72">
        <v>0</v>
      </c>
      <c r="AO6" s="72">
        <v>0</v>
      </c>
    </row>
    <row r="7" spans="1:41" ht="15.9" customHeight="1" x14ac:dyDescent="0.3">
      <c r="A7" s="66" t="str">
        <v>M2</v>
      </c>
      <c r="B7" s="58" t="str">
        <v>M2</v>
      </c>
      <c r="C7" s="66">
        <f t="shared" si="0"/>
        <v>3</v>
      </c>
      <c r="D7" s="66">
        <f t="shared" si="0"/>
        <v>12</v>
      </c>
      <c r="E7" s="66">
        <f t="shared" si="0"/>
        <v>0</v>
      </c>
      <c r="F7" s="66">
        <f t="shared" si="0"/>
        <v>3</v>
      </c>
      <c r="G7" s="66">
        <f t="shared" si="0"/>
        <v>8</v>
      </c>
      <c r="H7" s="58">
        <v>3</v>
      </c>
      <c r="I7" s="51"/>
      <c r="J7" s="9">
        <v>3</v>
      </c>
      <c r="K7" s="15" t="s">
        <v>35</v>
      </c>
      <c r="L7" s="25" t="s">
        <v>95</v>
      </c>
      <c r="M7" s="15" t="s">
        <v>96</v>
      </c>
      <c r="N7" s="15" t="s">
        <v>37</v>
      </c>
      <c r="O7" s="15" t="s">
        <v>95</v>
      </c>
      <c r="Q7" s="9">
        <v>8</v>
      </c>
      <c r="R7" s="9">
        <v>6</v>
      </c>
      <c r="S7" s="9">
        <v>15</v>
      </c>
      <c r="T7" s="9">
        <v>7</v>
      </c>
      <c r="U7" s="9">
        <v>6</v>
      </c>
      <c r="W7" s="24">
        <v>1</v>
      </c>
      <c r="X7" s="24">
        <v>1</v>
      </c>
      <c r="Y7" s="24">
        <v>1</v>
      </c>
      <c r="Z7" s="24">
        <v>1</v>
      </c>
      <c r="AA7" s="24">
        <v>1</v>
      </c>
      <c r="AC7" s="71" t="str">
        <v>C1</v>
      </c>
      <c r="AD7" s="71">
        <v>1</v>
      </c>
      <c r="AE7" s="71">
        <v>1</v>
      </c>
      <c r="AF7" s="71">
        <v>1</v>
      </c>
      <c r="AG7" s="71">
        <v>1</v>
      </c>
      <c r="AH7" s="71">
        <v>1</v>
      </c>
      <c r="AI7" s="5"/>
      <c r="AJ7" s="71" t="str">
        <v>C1</v>
      </c>
      <c r="AK7" s="71">
        <v>1</v>
      </c>
      <c r="AL7" s="71">
        <v>1</v>
      </c>
      <c r="AM7" s="71">
        <v>1</v>
      </c>
      <c r="AN7" s="71">
        <v>1</v>
      </c>
      <c r="AO7" s="71">
        <v>1</v>
      </c>
    </row>
    <row r="8" spans="1:41" ht="15.9" customHeight="1" x14ac:dyDescent="0.3">
      <c r="A8" s="66" t="str">
        <v>M3</v>
      </c>
      <c r="B8" s="58" t="str">
        <v>M3</v>
      </c>
      <c r="C8" s="66">
        <f t="shared" si="0"/>
        <v>7</v>
      </c>
      <c r="D8" s="66">
        <f t="shared" si="0"/>
        <v>13</v>
      </c>
      <c r="E8" s="66">
        <f t="shared" si="0"/>
        <v>0</v>
      </c>
      <c r="F8" s="66">
        <f t="shared" si="0"/>
        <v>7</v>
      </c>
      <c r="G8" s="66">
        <f t="shared" si="0"/>
        <v>14</v>
      </c>
      <c r="H8" s="58">
        <v>4</v>
      </c>
      <c r="I8" s="51"/>
      <c r="J8" s="24">
        <v>4</v>
      </c>
      <c r="K8" s="15" t="s">
        <v>95</v>
      </c>
      <c r="L8" s="15" t="s">
        <v>96</v>
      </c>
      <c r="M8" s="15" t="s">
        <v>65</v>
      </c>
      <c r="N8" s="15" t="s">
        <v>35</v>
      </c>
      <c r="O8" s="15" t="s">
        <v>18</v>
      </c>
      <c r="Q8" s="9">
        <v>6</v>
      </c>
      <c r="R8" s="9">
        <v>15</v>
      </c>
      <c r="S8" s="9">
        <v>16</v>
      </c>
      <c r="T8" s="9">
        <v>8</v>
      </c>
      <c r="U8" s="9">
        <v>4</v>
      </c>
      <c r="W8" s="24">
        <v>1</v>
      </c>
      <c r="X8" s="24">
        <v>1</v>
      </c>
      <c r="Y8" s="24">
        <v>1</v>
      </c>
      <c r="Z8" s="24">
        <v>1</v>
      </c>
      <c r="AA8" s="24">
        <v>1</v>
      </c>
      <c r="AC8" s="80" t="str">
        <v>M1</v>
      </c>
      <c r="AD8" s="66">
        <v>3</v>
      </c>
      <c r="AE8" s="66">
        <v>10</v>
      </c>
      <c r="AF8" s="66">
        <v>0</v>
      </c>
      <c r="AG8" s="66">
        <v>3</v>
      </c>
      <c r="AH8" s="66">
        <v>9</v>
      </c>
      <c r="AI8" s="5"/>
      <c r="AJ8" s="80" t="str">
        <v>M1</v>
      </c>
      <c r="AK8" s="66">
        <v>3</v>
      </c>
      <c r="AL8" s="66">
        <v>10</v>
      </c>
      <c r="AM8" s="66">
        <v>0</v>
      </c>
      <c r="AN8" s="66">
        <v>3</v>
      </c>
      <c r="AO8" s="66">
        <v>9</v>
      </c>
    </row>
    <row r="9" spans="1:41" ht="15.9" customHeight="1" x14ac:dyDescent="0.3">
      <c r="A9" s="66" t="str">
        <v>M4</v>
      </c>
      <c r="B9" s="58" t="str">
        <v>M4</v>
      </c>
      <c r="C9" s="66">
        <f t="shared" si="0"/>
        <v>43</v>
      </c>
      <c r="D9" s="66">
        <f t="shared" si="0"/>
        <v>23</v>
      </c>
      <c r="E9" s="66">
        <f t="shared" si="0"/>
        <v>0</v>
      </c>
      <c r="F9" s="66">
        <f t="shared" si="0"/>
        <v>33</v>
      </c>
      <c r="G9" s="66">
        <f t="shared" si="0"/>
        <v>35</v>
      </c>
      <c r="H9" s="58">
        <v>5</v>
      </c>
      <c r="I9" s="51"/>
      <c r="J9" s="9">
        <v>5</v>
      </c>
      <c r="K9" s="15" t="s">
        <v>20</v>
      </c>
      <c r="L9" s="15" t="s">
        <v>35</v>
      </c>
      <c r="M9" s="15" t="s">
        <v>64</v>
      </c>
      <c r="N9" s="15" t="s">
        <v>96</v>
      </c>
      <c r="O9" s="15" t="s">
        <v>21</v>
      </c>
      <c r="Q9" s="9">
        <v>1</v>
      </c>
      <c r="R9" s="9">
        <v>8</v>
      </c>
      <c r="S9" s="9">
        <v>14</v>
      </c>
      <c r="T9" s="9">
        <v>15</v>
      </c>
      <c r="U9" s="9">
        <v>2</v>
      </c>
      <c r="W9" s="24">
        <v>1</v>
      </c>
      <c r="X9" s="24">
        <v>1</v>
      </c>
      <c r="Y9" s="24">
        <v>1</v>
      </c>
      <c r="Z9" s="24">
        <v>1</v>
      </c>
      <c r="AA9" s="24">
        <v>1</v>
      </c>
      <c r="AC9" s="80" t="str">
        <v>M2</v>
      </c>
      <c r="AD9" s="66">
        <v>3</v>
      </c>
      <c r="AE9" s="66">
        <v>12</v>
      </c>
      <c r="AF9" s="66">
        <v>0</v>
      </c>
      <c r="AG9" s="66">
        <v>3</v>
      </c>
      <c r="AH9" s="66">
        <v>8</v>
      </c>
      <c r="AI9" s="5"/>
      <c r="AJ9" s="80" t="str">
        <v>M2</v>
      </c>
      <c r="AK9" s="66">
        <v>3</v>
      </c>
      <c r="AL9" s="66">
        <v>12</v>
      </c>
      <c r="AM9" s="66">
        <v>0</v>
      </c>
      <c r="AN9" s="66">
        <v>3</v>
      </c>
      <c r="AO9" s="66">
        <v>8</v>
      </c>
    </row>
    <row r="10" spans="1:41" ht="15.9" customHeight="1" x14ac:dyDescent="0.3">
      <c r="A10" s="66" t="str">
        <v>M5</v>
      </c>
      <c r="B10" s="58" t="str">
        <v>M5</v>
      </c>
      <c r="C10" s="66">
        <f t="shared" si="0"/>
        <v>42</v>
      </c>
      <c r="D10" s="66">
        <f t="shared" si="0"/>
        <v>23</v>
      </c>
      <c r="E10" s="66">
        <f t="shared" si="0"/>
        <v>0</v>
      </c>
      <c r="F10" s="66">
        <f t="shared" si="0"/>
        <v>33</v>
      </c>
      <c r="G10" s="66">
        <f t="shared" si="0"/>
        <v>34</v>
      </c>
      <c r="H10" s="58">
        <v>6</v>
      </c>
      <c r="I10" s="51"/>
      <c r="J10" s="24">
        <v>6</v>
      </c>
      <c r="K10" s="15" t="s">
        <v>37</v>
      </c>
      <c r="L10" s="15" t="s">
        <v>21</v>
      </c>
      <c r="M10" s="15" t="s">
        <v>96</v>
      </c>
      <c r="N10" s="15" t="s">
        <v>19</v>
      </c>
      <c r="O10" s="15" t="s">
        <v>35</v>
      </c>
      <c r="Q10" s="9">
        <v>7</v>
      </c>
      <c r="R10" s="9">
        <v>2</v>
      </c>
      <c r="S10" s="9">
        <v>15</v>
      </c>
      <c r="T10" s="9">
        <v>5</v>
      </c>
      <c r="U10" s="9">
        <v>8</v>
      </c>
      <c r="W10" s="24">
        <v>1</v>
      </c>
      <c r="X10" s="24">
        <v>1</v>
      </c>
      <c r="Y10" s="24">
        <v>1</v>
      </c>
      <c r="Z10" s="24">
        <v>1</v>
      </c>
      <c r="AA10" s="24">
        <v>1</v>
      </c>
      <c r="AC10" s="80" t="str">
        <v>M3</v>
      </c>
      <c r="AD10" s="66">
        <v>7</v>
      </c>
      <c r="AE10" s="66">
        <v>13</v>
      </c>
      <c r="AF10" s="66">
        <v>0</v>
      </c>
      <c r="AG10" s="66">
        <v>7</v>
      </c>
      <c r="AH10" s="66">
        <v>14</v>
      </c>
      <c r="AI10" s="5"/>
      <c r="AJ10" s="80" t="str">
        <v>M3</v>
      </c>
      <c r="AK10" s="66">
        <v>7</v>
      </c>
      <c r="AL10" s="66">
        <v>13</v>
      </c>
      <c r="AM10" s="66">
        <v>0</v>
      </c>
      <c r="AN10" s="66">
        <v>7</v>
      </c>
      <c r="AO10" s="66">
        <v>14</v>
      </c>
    </row>
    <row r="11" spans="1:41" ht="15.9" customHeight="1" x14ac:dyDescent="0.3">
      <c r="A11" s="66" t="str">
        <v>A</v>
      </c>
      <c r="B11" s="58" t="str">
        <v>A</v>
      </c>
      <c r="C11" s="66">
        <f t="shared" si="0"/>
        <v>43</v>
      </c>
      <c r="D11" s="66">
        <f t="shared" si="0"/>
        <v>27</v>
      </c>
      <c r="E11" s="66">
        <f t="shared" si="0"/>
        <v>0</v>
      </c>
      <c r="F11" s="66">
        <f t="shared" si="0"/>
        <v>33</v>
      </c>
      <c r="G11" s="66">
        <f t="shared" si="0"/>
        <v>34</v>
      </c>
      <c r="H11" s="58">
        <v>7</v>
      </c>
      <c r="I11" s="51"/>
      <c r="J11" s="9">
        <v>7</v>
      </c>
      <c r="K11" s="15" t="s">
        <v>35</v>
      </c>
      <c r="L11" s="15" t="s">
        <v>64</v>
      </c>
      <c r="M11" s="15" t="s">
        <v>81</v>
      </c>
      <c r="N11" s="15" t="s">
        <v>22</v>
      </c>
      <c r="O11" s="15" t="s">
        <v>37</v>
      </c>
      <c r="Q11" s="9">
        <v>8</v>
      </c>
      <c r="R11" s="9">
        <v>14</v>
      </c>
      <c r="S11" s="9">
        <v>17</v>
      </c>
      <c r="T11" s="9">
        <v>3</v>
      </c>
      <c r="U11" s="9">
        <v>7</v>
      </c>
      <c r="W11" s="24">
        <v>1</v>
      </c>
      <c r="X11" s="24">
        <v>1</v>
      </c>
      <c r="Y11" s="24">
        <v>1</v>
      </c>
      <c r="Z11" s="24">
        <v>1</v>
      </c>
      <c r="AA11" s="24">
        <v>1</v>
      </c>
      <c r="AC11" s="80" t="str">
        <v>M4</v>
      </c>
      <c r="AD11" s="66">
        <v>43</v>
      </c>
      <c r="AE11" s="66">
        <v>23</v>
      </c>
      <c r="AF11" s="66">
        <v>0</v>
      </c>
      <c r="AG11" s="66">
        <v>33</v>
      </c>
      <c r="AH11" s="66">
        <v>35</v>
      </c>
      <c r="AI11" s="5"/>
      <c r="AJ11" s="80" t="str">
        <v>M4</v>
      </c>
      <c r="AK11" s="66">
        <v>43</v>
      </c>
      <c r="AL11" s="66">
        <v>23</v>
      </c>
      <c r="AM11" s="66">
        <v>0</v>
      </c>
      <c r="AN11" s="66">
        <v>33</v>
      </c>
      <c r="AO11" s="66">
        <v>35</v>
      </c>
    </row>
    <row r="12" spans="1:41" ht="15.9" customHeight="1" x14ac:dyDescent="0.3">
      <c r="A12" s="66" t="str">
        <v>K</v>
      </c>
      <c r="B12" s="58" t="str">
        <v>K</v>
      </c>
      <c r="C12" s="66">
        <f t="shared" si="0"/>
        <v>43</v>
      </c>
      <c r="D12" s="66">
        <f t="shared" si="0"/>
        <v>25</v>
      </c>
      <c r="E12" s="66">
        <f t="shared" si="0"/>
        <v>0</v>
      </c>
      <c r="F12" s="66">
        <f t="shared" si="0"/>
        <v>34</v>
      </c>
      <c r="G12" s="66">
        <f t="shared" si="0"/>
        <v>34</v>
      </c>
      <c r="H12" s="58">
        <v>8</v>
      </c>
      <c r="I12" s="51"/>
      <c r="J12" s="24">
        <v>8</v>
      </c>
      <c r="K12" s="15" t="s">
        <v>37</v>
      </c>
      <c r="L12" s="15" t="s">
        <v>35</v>
      </c>
      <c r="M12" s="15" t="s">
        <v>63</v>
      </c>
      <c r="N12" s="15" t="s">
        <v>96</v>
      </c>
      <c r="O12" s="15" t="s">
        <v>36</v>
      </c>
      <c r="Q12" s="9">
        <v>7</v>
      </c>
      <c r="R12" s="9">
        <v>8</v>
      </c>
      <c r="S12" s="9">
        <v>13</v>
      </c>
      <c r="T12" s="9">
        <v>15</v>
      </c>
      <c r="U12" s="9">
        <v>10</v>
      </c>
      <c r="W12" s="24">
        <v>1</v>
      </c>
      <c r="X12" s="24">
        <v>1</v>
      </c>
      <c r="Y12" s="24">
        <v>1</v>
      </c>
      <c r="Z12" s="24">
        <v>1</v>
      </c>
      <c r="AA12" s="24">
        <v>1</v>
      </c>
      <c r="AC12" s="80" t="str">
        <v>M5</v>
      </c>
      <c r="AD12" s="66">
        <v>42</v>
      </c>
      <c r="AE12" s="66">
        <v>23</v>
      </c>
      <c r="AF12" s="66">
        <v>0</v>
      </c>
      <c r="AG12" s="66">
        <v>33</v>
      </c>
      <c r="AH12" s="66">
        <v>34</v>
      </c>
      <c r="AI12" s="5"/>
      <c r="AJ12" s="80" t="str">
        <v>M5</v>
      </c>
      <c r="AK12" s="66">
        <v>42</v>
      </c>
      <c r="AL12" s="66">
        <v>23</v>
      </c>
      <c r="AM12" s="66">
        <v>0</v>
      </c>
      <c r="AN12" s="66">
        <v>33</v>
      </c>
      <c r="AO12" s="66">
        <v>34</v>
      </c>
    </row>
    <row r="13" spans="1:41" ht="15.9" customHeight="1" x14ac:dyDescent="0.3">
      <c r="A13" s="66" t="str">
        <v>Q</v>
      </c>
      <c r="B13" s="58" t="str">
        <v>Q</v>
      </c>
      <c r="C13" s="66">
        <f t="shared" si="0"/>
        <v>7</v>
      </c>
      <c r="D13" s="66">
        <f t="shared" si="0"/>
        <v>12</v>
      </c>
      <c r="E13" s="66">
        <f t="shared" si="0"/>
        <v>0</v>
      </c>
      <c r="F13" s="66">
        <f t="shared" si="0"/>
        <v>6</v>
      </c>
      <c r="G13" s="66">
        <f t="shared" si="0"/>
        <v>13</v>
      </c>
      <c r="H13" s="58">
        <v>9</v>
      </c>
      <c r="I13" s="51"/>
      <c r="J13" s="9">
        <v>9</v>
      </c>
      <c r="K13" s="15" t="s">
        <v>36</v>
      </c>
      <c r="L13" s="15" t="s">
        <v>21</v>
      </c>
      <c r="M13" s="15" t="s">
        <v>96</v>
      </c>
      <c r="N13" s="15" t="s">
        <v>68</v>
      </c>
      <c r="O13" s="15" t="s">
        <v>18</v>
      </c>
      <c r="Q13" s="9">
        <v>10</v>
      </c>
      <c r="R13" s="9">
        <v>2</v>
      </c>
      <c r="S13" s="9">
        <v>15</v>
      </c>
      <c r="T13" s="9">
        <v>18</v>
      </c>
      <c r="U13" s="9">
        <v>4</v>
      </c>
      <c r="W13" s="24">
        <v>1</v>
      </c>
      <c r="X13" s="24">
        <v>1</v>
      </c>
      <c r="Y13" s="24">
        <v>1</v>
      </c>
      <c r="Z13" s="24">
        <v>1</v>
      </c>
      <c r="AA13" s="24">
        <v>1</v>
      </c>
      <c r="AC13" s="80" t="str">
        <v>A</v>
      </c>
      <c r="AD13" s="66">
        <v>43</v>
      </c>
      <c r="AE13" s="66">
        <v>27</v>
      </c>
      <c r="AF13" s="66">
        <v>0</v>
      </c>
      <c r="AG13" s="66">
        <v>33</v>
      </c>
      <c r="AH13" s="66">
        <v>34</v>
      </c>
      <c r="AI13" s="5"/>
      <c r="AJ13" s="80" t="str">
        <v>A</v>
      </c>
      <c r="AK13" s="66">
        <v>43</v>
      </c>
      <c r="AL13" s="66">
        <v>27</v>
      </c>
      <c r="AM13" s="66">
        <v>0</v>
      </c>
      <c r="AN13" s="66">
        <v>33</v>
      </c>
      <c r="AO13" s="66">
        <v>34</v>
      </c>
    </row>
    <row r="14" spans="1:41" ht="15.9" customHeight="1" x14ac:dyDescent="0.3">
      <c r="A14" s="66" t="str">
        <v>J</v>
      </c>
      <c r="B14" s="58" t="str">
        <v>J</v>
      </c>
      <c r="C14" s="66">
        <f t="shared" si="0"/>
        <v>6</v>
      </c>
      <c r="D14" s="66">
        <f t="shared" si="0"/>
        <v>8</v>
      </c>
      <c r="E14" s="66">
        <f t="shared" si="0"/>
        <v>0</v>
      </c>
      <c r="F14" s="66">
        <f t="shared" si="0"/>
        <v>7</v>
      </c>
      <c r="G14" s="66">
        <f t="shared" si="0"/>
        <v>14</v>
      </c>
      <c r="H14" s="58">
        <v>10</v>
      </c>
      <c r="I14" s="51"/>
      <c r="J14" s="24">
        <v>10</v>
      </c>
      <c r="K14" s="15" t="s">
        <v>19</v>
      </c>
      <c r="L14" s="15" t="s">
        <v>95</v>
      </c>
      <c r="M14" s="15" t="s">
        <v>65</v>
      </c>
      <c r="N14" s="15" t="s">
        <v>96</v>
      </c>
      <c r="O14" s="15" t="s">
        <v>36</v>
      </c>
      <c r="Q14" s="9">
        <v>5</v>
      </c>
      <c r="R14" s="9">
        <v>6</v>
      </c>
      <c r="S14" s="9">
        <v>16</v>
      </c>
      <c r="T14" s="9">
        <v>15</v>
      </c>
      <c r="U14" s="9">
        <v>10</v>
      </c>
      <c r="W14" s="24">
        <v>1</v>
      </c>
      <c r="X14" s="24">
        <v>1</v>
      </c>
      <c r="Y14" s="24">
        <v>1</v>
      </c>
      <c r="Z14" s="24">
        <v>1</v>
      </c>
      <c r="AA14" s="24">
        <v>1</v>
      </c>
      <c r="AC14" s="80" t="str">
        <v>K</v>
      </c>
      <c r="AD14" s="66">
        <v>43</v>
      </c>
      <c r="AE14" s="66">
        <v>25</v>
      </c>
      <c r="AF14" s="66">
        <v>0</v>
      </c>
      <c r="AG14" s="66">
        <v>34</v>
      </c>
      <c r="AH14" s="66">
        <v>34</v>
      </c>
      <c r="AI14" s="5"/>
      <c r="AJ14" s="80" t="str">
        <v>K</v>
      </c>
      <c r="AK14" s="66">
        <v>43</v>
      </c>
      <c r="AL14" s="66">
        <v>25</v>
      </c>
      <c r="AM14" s="66">
        <v>0</v>
      </c>
      <c r="AN14" s="66">
        <v>34</v>
      </c>
      <c r="AO14" s="66">
        <v>34</v>
      </c>
    </row>
    <row r="15" spans="1:41" ht="15.9" customHeight="1" x14ac:dyDescent="0.3">
      <c r="A15" s="28" t="str">
        <v>G1</v>
      </c>
      <c r="B15" s="8" t="str">
        <v>Gold M1</v>
      </c>
      <c r="C15" s="53">
        <f t="shared" si="0"/>
        <v>0</v>
      </c>
      <c r="D15" s="53">
        <f t="shared" si="0"/>
        <v>2</v>
      </c>
      <c r="E15" s="53">
        <f t="shared" si="0"/>
        <v>3</v>
      </c>
      <c r="F15" s="53">
        <f t="shared" si="0"/>
        <v>1</v>
      </c>
      <c r="G15" s="53">
        <f t="shared" si="0"/>
        <v>0</v>
      </c>
      <c r="H15" s="8">
        <v>11</v>
      </c>
      <c r="I15" s="51"/>
      <c r="J15" s="9">
        <v>11</v>
      </c>
      <c r="K15" s="15" t="s">
        <v>35</v>
      </c>
      <c r="L15" s="15" t="s">
        <v>19</v>
      </c>
      <c r="M15" s="15" t="s">
        <v>64</v>
      </c>
      <c r="N15" s="15" t="s">
        <v>64</v>
      </c>
      <c r="O15" s="15" t="s">
        <v>35</v>
      </c>
      <c r="Q15" s="9">
        <v>8</v>
      </c>
      <c r="R15" s="9">
        <v>5</v>
      </c>
      <c r="S15" s="9">
        <v>14</v>
      </c>
      <c r="T15" s="9">
        <v>14</v>
      </c>
      <c r="U15" s="9">
        <v>8</v>
      </c>
      <c r="W15" s="24">
        <v>1</v>
      </c>
      <c r="X15" s="24">
        <v>1</v>
      </c>
      <c r="Y15" s="24">
        <v>1</v>
      </c>
      <c r="Z15" s="24">
        <v>1</v>
      </c>
      <c r="AA15" s="24">
        <v>1</v>
      </c>
      <c r="AC15" s="80" t="str">
        <v>Q</v>
      </c>
      <c r="AD15" s="66">
        <v>7</v>
      </c>
      <c r="AE15" s="66">
        <v>12</v>
      </c>
      <c r="AF15" s="66">
        <v>0</v>
      </c>
      <c r="AG15" s="66">
        <v>6</v>
      </c>
      <c r="AH15" s="66">
        <v>13</v>
      </c>
      <c r="AI15" s="5"/>
      <c r="AJ15" s="80" t="str">
        <v>Q</v>
      </c>
      <c r="AK15" s="66">
        <v>7</v>
      </c>
      <c r="AL15" s="66">
        <v>12</v>
      </c>
      <c r="AM15" s="66">
        <v>0</v>
      </c>
      <c r="AN15" s="66">
        <v>6</v>
      </c>
      <c r="AO15" s="66">
        <v>13</v>
      </c>
    </row>
    <row r="16" spans="1:41" ht="15.9" customHeight="1" x14ac:dyDescent="0.3">
      <c r="A16" s="28" t="str">
        <v>G2</v>
      </c>
      <c r="B16" s="8" t="str">
        <v>Gold M2</v>
      </c>
      <c r="C16" s="53">
        <f t="shared" si="0"/>
        <v>0</v>
      </c>
      <c r="D16" s="53">
        <f t="shared" si="0"/>
        <v>3</v>
      </c>
      <c r="E16" s="53">
        <f t="shared" si="0"/>
        <v>4</v>
      </c>
      <c r="F16" s="53">
        <f t="shared" si="0"/>
        <v>1</v>
      </c>
      <c r="G16" s="53">
        <f t="shared" si="0"/>
        <v>0</v>
      </c>
      <c r="H16" s="8">
        <v>12</v>
      </c>
      <c r="I16" s="51"/>
      <c r="J16" s="24">
        <v>12</v>
      </c>
      <c r="K16" s="15" t="s">
        <v>19</v>
      </c>
      <c r="L16" s="15" t="s">
        <v>22</v>
      </c>
      <c r="M16" s="15" t="s">
        <v>81</v>
      </c>
      <c r="N16" s="15" t="s">
        <v>19</v>
      </c>
      <c r="O16" s="15" t="s">
        <v>37</v>
      </c>
      <c r="Q16" s="9">
        <v>5</v>
      </c>
      <c r="R16" s="9">
        <v>3</v>
      </c>
      <c r="S16" s="9">
        <v>17</v>
      </c>
      <c r="T16" s="9">
        <v>5</v>
      </c>
      <c r="U16" s="9">
        <v>7</v>
      </c>
      <c r="W16" s="24">
        <v>1</v>
      </c>
      <c r="X16" s="24">
        <v>1</v>
      </c>
      <c r="Y16" s="24">
        <v>1</v>
      </c>
      <c r="Z16" s="24">
        <v>1</v>
      </c>
      <c r="AA16" s="24">
        <v>1</v>
      </c>
      <c r="AC16" s="80" t="str">
        <v>J</v>
      </c>
      <c r="AD16" s="66">
        <v>6</v>
      </c>
      <c r="AE16" s="66">
        <v>8</v>
      </c>
      <c r="AF16" s="66">
        <v>0</v>
      </c>
      <c r="AG16" s="66">
        <v>7</v>
      </c>
      <c r="AH16" s="66">
        <v>14</v>
      </c>
      <c r="AI16" s="5"/>
      <c r="AJ16" s="80" t="str">
        <v>J</v>
      </c>
      <c r="AK16" s="66">
        <v>6</v>
      </c>
      <c r="AL16" s="66">
        <v>8</v>
      </c>
      <c r="AM16" s="66">
        <v>0</v>
      </c>
      <c r="AN16" s="66">
        <v>7</v>
      </c>
      <c r="AO16" s="66">
        <v>14</v>
      </c>
    </row>
    <row r="17" spans="1:41" ht="15.9" customHeight="1" x14ac:dyDescent="0.3">
      <c r="A17" s="28" t="str">
        <v>G3</v>
      </c>
      <c r="B17" s="8" t="str">
        <v>Gold M3</v>
      </c>
      <c r="C17" s="53">
        <f t="shared" si="0"/>
        <v>0</v>
      </c>
      <c r="D17" s="53">
        <f t="shared" si="0"/>
        <v>3</v>
      </c>
      <c r="E17" s="53">
        <f t="shared" si="0"/>
        <v>8</v>
      </c>
      <c r="F17" s="53">
        <f t="shared" si="0"/>
        <v>2</v>
      </c>
      <c r="G17" s="53">
        <f t="shared" si="0"/>
        <v>0</v>
      </c>
      <c r="H17" s="8">
        <v>13</v>
      </c>
      <c r="I17" s="51"/>
      <c r="J17" s="9">
        <v>13</v>
      </c>
      <c r="K17" s="15" t="s">
        <v>95</v>
      </c>
      <c r="L17" s="15" t="s">
        <v>35</v>
      </c>
      <c r="M17" s="15" t="s">
        <v>64</v>
      </c>
      <c r="N17" s="15" t="s">
        <v>34</v>
      </c>
      <c r="O17" s="15" t="s">
        <v>19</v>
      </c>
      <c r="Q17" s="9">
        <v>6</v>
      </c>
      <c r="R17" s="9">
        <v>8</v>
      </c>
      <c r="S17" s="9">
        <v>14</v>
      </c>
      <c r="T17" s="9">
        <v>9</v>
      </c>
      <c r="U17" s="9">
        <v>5</v>
      </c>
      <c r="W17" s="24">
        <v>1</v>
      </c>
      <c r="X17" s="24">
        <v>1</v>
      </c>
      <c r="Y17" s="24">
        <v>1</v>
      </c>
      <c r="Z17" s="24">
        <v>1</v>
      </c>
      <c r="AA17" s="24">
        <v>1</v>
      </c>
      <c r="AC17" s="71" t="str">
        <v>G1</v>
      </c>
      <c r="AD17" s="53">
        <v>0</v>
      </c>
      <c r="AE17" s="53">
        <v>2</v>
      </c>
      <c r="AF17" s="53">
        <v>3</v>
      </c>
      <c r="AG17" s="53">
        <v>1</v>
      </c>
      <c r="AH17" s="53">
        <v>0</v>
      </c>
      <c r="AI17" s="5"/>
      <c r="AJ17" s="71" t="str">
        <v>G1</v>
      </c>
      <c r="AK17" s="53">
        <v>0</v>
      </c>
      <c r="AL17" s="53">
        <v>2</v>
      </c>
      <c r="AM17" s="53">
        <v>3</v>
      </c>
      <c r="AN17" s="53">
        <v>1</v>
      </c>
      <c r="AO17" s="53">
        <v>0</v>
      </c>
    </row>
    <row r="18" spans="1:41" ht="15.9" customHeight="1" x14ac:dyDescent="0.3">
      <c r="A18" s="28" t="str">
        <v>G4</v>
      </c>
      <c r="B18" s="8" t="str">
        <v>Gold M4</v>
      </c>
      <c r="C18" s="53">
        <f t="shared" si="0"/>
        <v>0</v>
      </c>
      <c r="D18" s="53">
        <f t="shared" si="0"/>
        <v>7</v>
      </c>
      <c r="E18" s="53">
        <f t="shared" si="0"/>
        <v>43</v>
      </c>
      <c r="F18" s="53">
        <f t="shared" si="0"/>
        <v>8</v>
      </c>
      <c r="G18" s="53">
        <f t="shared" si="0"/>
        <v>0</v>
      </c>
      <c r="H18" s="8">
        <v>14</v>
      </c>
      <c r="I18" s="51"/>
      <c r="J18" s="24">
        <v>14</v>
      </c>
      <c r="K18" s="15" t="s">
        <v>37</v>
      </c>
      <c r="L18" s="15" t="s">
        <v>37</v>
      </c>
      <c r="M18" s="15" t="s">
        <v>65</v>
      </c>
      <c r="N18" s="15" t="s">
        <v>37</v>
      </c>
      <c r="O18" s="15" t="s">
        <v>95</v>
      </c>
      <c r="Q18" s="9">
        <v>7</v>
      </c>
      <c r="R18" s="9">
        <v>7</v>
      </c>
      <c r="S18" s="9">
        <v>16</v>
      </c>
      <c r="T18" s="9">
        <v>7</v>
      </c>
      <c r="U18" s="9">
        <v>6</v>
      </c>
      <c r="W18" s="24">
        <v>1</v>
      </c>
      <c r="X18" s="24">
        <v>1</v>
      </c>
      <c r="Y18" s="24">
        <v>1</v>
      </c>
      <c r="Z18" s="24">
        <v>1</v>
      </c>
      <c r="AA18" s="24">
        <v>1</v>
      </c>
      <c r="AC18" s="71" t="str">
        <v>G2</v>
      </c>
      <c r="AD18" s="53">
        <v>0</v>
      </c>
      <c r="AE18" s="53">
        <v>3</v>
      </c>
      <c r="AF18" s="53">
        <v>1</v>
      </c>
      <c r="AG18" s="53">
        <v>1</v>
      </c>
      <c r="AH18" s="53">
        <v>0</v>
      </c>
      <c r="AI18" s="5"/>
      <c r="AJ18" s="71" t="str">
        <v>G2</v>
      </c>
      <c r="AK18" s="53">
        <v>0</v>
      </c>
      <c r="AL18" s="53">
        <v>3</v>
      </c>
      <c r="AM18" s="53">
        <v>1</v>
      </c>
      <c r="AN18" s="53">
        <v>1</v>
      </c>
      <c r="AO18" s="53">
        <v>0</v>
      </c>
    </row>
    <row r="19" spans="1:41" ht="15.9" customHeight="1" x14ac:dyDescent="0.3">
      <c r="A19" s="28" t="str">
        <v>G5</v>
      </c>
      <c r="B19" s="8" t="str">
        <v>Gold M5</v>
      </c>
      <c r="C19" s="53">
        <f t="shared" si="0"/>
        <v>0</v>
      </c>
      <c r="D19" s="53">
        <f t="shared" si="0"/>
        <v>7</v>
      </c>
      <c r="E19" s="53">
        <f t="shared" si="0"/>
        <v>42</v>
      </c>
      <c r="F19" s="53">
        <f t="shared" si="0"/>
        <v>9</v>
      </c>
      <c r="G19" s="53">
        <f t="shared" si="0"/>
        <v>0</v>
      </c>
      <c r="H19" s="8">
        <v>15</v>
      </c>
      <c r="I19" s="51"/>
      <c r="J19" s="9">
        <v>15</v>
      </c>
      <c r="K19" s="15" t="s">
        <v>35</v>
      </c>
      <c r="L19" s="15" t="s">
        <v>35</v>
      </c>
      <c r="M19" s="15" t="s">
        <v>64</v>
      </c>
      <c r="N19" s="15" t="s">
        <v>95</v>
      </c>
      <c r="O19" s="15" t="s">
        <v>37</v>
      </c>
      <c r="Q19" s="9">
        <v>8</v>
      </c>
      <c r="R19" s="9">
        <v>8</v>
      </c>
      <c r="S19" s="9">
        <v>14</v>
      </c>
      <c r="T19" s="9">
        <v>6</v>
      </c>
      <c r="U19" s="9">
        <v>7</v>
      </c>
      <c r="W19" s="24">
        <v>1</v>
      </c>
      <c r="X19" s="24">
        <v>1</v>
      </c>
      <c r="Y19" s="24">
        <v>1</v>
      </c>
      <c r="Z19" s="24">
        <v>1</v>
      </c>
      <c r="AA19" s="24">
        <v>1</v>
      </c>
      <c r="AC19" s="71" t="str">
        <v>G3</v>
      </c>
      <c r="AD19" s="53">
        <v>0</v>
      </c>
      <c r="AE19" s="53">
        <v>3</v>
      </c>
      <c r="AF19" s="53">
        <v>8</v>
      </c>
      <c r="AG19" s="53">
        <v>2</v>
      </c>
      <c r="AH19" s="53">
        <v>0</v>
      </c>
      <c r="AI19" s="5"/>
      <c r="AJ19" s="71" t="str">
        <v>G3</v>
      </c>
      <c r="AK19" s="53">
        <v>0</v>
      </c>
      <c r="AL19" s="53">
        <v>3</v>
      </c>
      <c r="AM19" s="53">
        <v>8</v>
      </c>
      <c r="AN19" s="53">
        <v>2</v>
      </c>
      <c r="AO19" s="53">
        <v>0</v>
      </c>
    </row>
    <row r="20" spans="1:41" ht="15.9" customHeight="1" x14ac:dyDescent="0.3">
      <c r="A20" s="28" t="str">
        <v>GA</v>
      </c>
      <c r="B20" s="8" t="str">
        <v>Gold A</v>
      </c>
      <c r="C20" s="53">
        <f t="shared" si="0"/>
        <v>0</v>
      </c>
      <c r="D20" s="53">
        <f t="shared" si="0"/>
        <v>10</v>
      </c>
      <c r="E20" s="53">
        <f t="shared" si="0"/>
        <v>42</v>
      </c>
      <c r="F20" s="53">
        <f t="shared" si="0"/>
        <v>6</v>
      </c>
      <c r="G20" s="53">
        <f t="shared" si="0"/>
        <v>0</v>
      </c>
      <c r="H20" s="8">
        <v>16</v>
      </c>
      <c r="I20" s="51"/>
      <c r="J20" s="24">
        <v>16</v>
      </c>
      <c r="K20" s="15" t="s">
        <v>19</v>
      </c>
      <c r="L20" s="15" t="s">
        <v>65</v>
      </c>
      <c r="M20" s="15" t="s">
        <v>63</v>
      </c>
      <c r="N20" s="15" t="s">
        <v>35</v>
      </c>
      <c r="O20" s="15" t="s">
        <v>95</v>
      </c>
      <c r="Q20" s="9">
        <v>5</v>
      </c>
      <c r="R20" s="9">
        <v>16</v>
      </c>
      <c r="S20" s="9">
        <v>13</v>
      </c>
      <c r="T20" s="9">
        <v>8</v>
      </c>
      <c r="U20" s="9">
        <v>6</v>
      </c>
      <c r="W20" s="24">
        <v>1</v>
      </c>
      <c r="X20" s="24">
        <v>1</v>
      </c>
      <c r="Y20" s="24">
        <v>1</v>
      </c>
      <c r="Z20" s="24">
        <v>1</v>
      </c>
      <c r="AA20" s="24">
        <v>1</v>
      </c>
      <c r="AC20" s="71" t="str">
        <v>G4</v>
      </c>
      <c r="AD20" s="53">
        <v>0</v>
      </c>
      <c r="AE20" s="53">
        <v>7</v>
      </c>
      <c r="AF20" s="53">
        <v>43</v>
      </c>
      <c r="AG20" s="53">
        <v>8</v>
      </c>
      <c r="AH20" s="53">
        <v>0</v>
      </c>
      <c r="AI20" s="5"/>
      <c r="AJ20" s="71" t="str">
        <v>G4</v>
      </c>
      <c r="AK20" s="53">
        <v>0</v>
      </c>
      <c r="AL20" s="53">
        <v>7</v>
      </c>
      <c r="AM20" s="53">
        <v>43</v>
      </c>
      <c r="AN20" s="53">
        <v>8</v>
      </c>
      <c r="AO20" s="53">
        <v>0</v>
      </c>
    </row>
    <row r="21" spans="1:41" ht="15.9" customHeight="1" x14ac:dyDescent="0.3">
      <c r="A21" s="28" t="str">
        <v>GK</v>
      </c>
      <c r="B21" s="8" t="str">
        <v>Gold K</v>
      </c>
      <c r="C21" s="53">
        <f t="shared" si="0"/>
        <v>0</v>
      </c>
      <c r="D21" s="53">
        <f t="shared" si="0"/>
        <v>7</v>
      </c>
      <c r="E21" s="53">
        <f t="shared" si="0"/>
        <v>43</v>
      </c>
      <c r="F21" s="53">
        <f t="shared" si="0"/>
        <v>6</v>
      </c>
      <c r="G21" s="53">
        <f t="shared" si="0"/>
        <v>0</v>
      </c>
      <c r="H21" s="8">
        <v>17</v>
      </c>
      <c r="I21" s="51"/>
      <c r="J21" s="9">
        <v>17</v>
      </c>
      <c r="K21" s="15" t="s">
        <v>35</v>
      </c>
      <c r="L21" s="15" t="s">
        <v>35</v>
      </c>
      <c r="M21" s="15" t="s">
        <v>65</v>
      </c>
      <c r="N21" s="15" t="s">
        <v>37</v>
      </c>
      <c r="O21" s="15" t="s">
        <v>36</v>
      </c>
      <c r="Q21" s="9">
        <v>8</v>
      </c>
      <c r="R21" s="9">
        <v>8</v>
      </c>
      <c r="S21" s="9">
        <v>16</v>
      </c>
      <c r="T21" s="9">
        <v>7</v>
      </c>
      <c r="U21" s="9">
        <v>10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C21" s="71" t="str">
        <v>G5</v>
      </c>
      <c r="AD21" s="53">
        <v>0</v>
      </c>
      <c r="AE21" s="53">
        <v>7</v>
      </c>
      <c r="AF21" s="53">
        <v>42</v>
      </c>
      <c r="AG21" s="53">
        <v>9</v>
      </c>
      <c r="AH21" s="53">
        <v>0</v>
      </c>
      <c r="AI21" s="5"/>
      <c r="AJ21" s="71" t="str">
        <v>G5</v>
      </c>
      <c r="AK21" s="53">
        <v>0</v>
      </c>
      <c r="AL21" s="53">
        <v>7</v>
      </c>
      <c r="AM21" s="53">
        <v>42</v>
      </c>
      <c r="AN21" s="53">
        <v>9</v>
      </c>
      <c r="AO21" s="53">
        <v>0</v>
      </c>
    </row>
    <row r="22" spans="1:41" ht="15.9" customHeight="1" x14ac:dyDescent="0.3">
      <c r="A22" s="28" t="str">
        <v>GQ</v>
      </c>
      <c r="B22" s="8" t="str">
        <v>Gold Q</v>
      </c>
      <c r="C22" s="53">
        <f t="shared" si="0"/>
        <v>0</v>
      </c>
      <c r="D22" s="53">
        <f t="shared" si="0"/>
        <v>3</v>
      </c>
      <c r="E22" s="53">
        <f t="shared" si="0"/>
        <v>6</v>
      </c>
      <c r="F22" s="53">
        <f t="shared" si="0"/>
        <v>1</v>
      </c>
      <c r="G22" s="53">
        <f t="shared" si="0"/>
        <v>0</v>
      </c>
      <c r="H22" s="8">
        <v>18</v>
      </c>
      <c r="I22" s="51"/>
      <c r="J22" s="24">
        <v>18</v>
      </c>
      <c r="K22" s="15" t="s">
        <v>37</v>
      </c>
      <c r="L22" s="15" t="s">
        <v>19</v>
      </c>
      <c r="M22" s="15" t="s">
        <v>64</v>
      </c>
      <c r="N22" s="15" t="s">
        <v>95</v>
      </c>
      <c r="O22" s="15" t="s">
        <v>20</v>
      </c>
      <c r="Q22" s="9">
        <v>7</v>
      </c>
      <c r="R22" s="9">
        <v>5</v>
      </c>
      <c r="S22" s="9">
        <v>14</v>
      </c>
      <c r="T22" s="9">
        <v>6</v>
      </c>
      <c r="U22" s="9">
        <v>1</v>
      </c>
      <c r="W22" s="24">
        <v>1</v>
      </c>
      <c r="X22" s="24">
        <v>1</v>
      </c>
      <c r="Y22" s="24">
        <v>1</v>
      </c>
      <c r="Z22" s="24">
        <v>1</v>
      </c>
      <c r="AA22" s="24">
        <v>1</v>
      </c>
      <c r="AC22" s="71" t="str">
        <v>GA</v>
      </c>
      <c r="AD22" s="53">
        <v>0</v>
      </c>
      <c r="AE22" s="53">
        <v>10</v>
      </c>
      <c r="AF22" s="53">
        <v>42</v>
      </c>
      <c r="AG22" s="53">
        <v>6</v>
      </c>
      <c r="AH22" s="53">
        <v>0</v>
      </c>
      <c r="AI22" s="5"/>
      <c r="AJ22" s="71" t="str">
        <v>GA</v>
      </c>
      <c r="AK22" s="53">
        <v>0</v>
      </c>
      <c r="AL22" s="53">
        <v>10</v>
      </c>
      <c r="AM22" s="53">
        <v>42</v>
      </c>
      <c r="AN22" s="53">
        <v>6</v>
      </c>
      <c r="AO22" s="53">
        <v>0</v>
      </c>
    </row>
    <row r="23" spans="1:41" ht="15.9" customHeight="1" x14ac:dyDescent="0.3">
      <c r="A23" s="28" t="str">
        <v>GJ</v>
      </c>
      <c r="B23" s="8" t="str">
        <v>Gold J</v>
      </c>
      <c r="C23" s="53">
        <f t="shared" si="0"/>
        <v>0</v>
      </c>
      <c r="D23" s="53">
        <f t="shared" si="0"/>
        <v>2</v>
      </c>
      <c r="E23" s="53">
        <f t="shared" si="0"/>
        <v>9</v>
      </c>
      <c r="F23" s="53">
        <f t="shared" si="0"/>
        <v>2</v>
      </c>
      <c r="G23" s="53">
        <f t="shared" si="0"/>
        <v>0</v>
      </c>
      <c r="H23" s="8">
        <v>19</v>
      </c>
      <c r="I23" s="51"/>
      <c r="J23" s="9">
        <v>19</v>
      </c>
      <c r="K23" s="15" t="s">
        <v>18</v>
      </c>
      <c r="L23" s="15" t="s">
        <v>95</v>
      </c>
      <c r="M23" s="15" t="s">
        <v>68</v>
      </c>
      <c r="N23" s="15" t="s">
        <v>35</v>
      </c>
      <c r="O23" s="15" t="s">
        <v>34</v>
      </c>
      <c r="Q23" s="9">
        <v>4</v>
      </c>
      <c r="R23" s="9">
        <v>6</v>
      </c>
      <c r="S23" s="9">
        <v>18</v>
      </c>
      <c r="T23" s="9">
        <v>8</v>
      </c>
      <c r="U23" s="9">
        <v>9</v>
      </c>
      <c r="W23" s="24">
        <v>1</v>
      </c>
      <c r="X23" s="24">
        <v>1</v>
      </c>
      <c r="Y23" s="24">
        <v>1</v>
      </c>
      <c r="Z23" s="24">
        <v>1</v>
      </c>
      <c r="AA23" s="24">
        <v>1</v>
      </c>
      <c r="AC23" s="71" t="str">
        <v>GK</v>
      </c>
      <c r="AD23" s="53">
        <v>0</v>
      </c>
      <c r="AE23" s="53">
        <v>7</v>
      </c>
      <c r="AF23" s="53">
        <v>43</v>
      </c>
      <c r="AG23" s="53">
        <v>6</v>
      </c>
      <c r="AH23" s="53">
        <v>0</v>
      </c>
      <c r="AI23" s="5"/>
      <c r="AJ23" s="71" t="str">
        <v>GK</v>
      </c>
      <c r="AK23" s="53">
        <v>0</v>
      </c>
      <c r="AL23" s="53">
        <v>7</v>
      </c>
      <c r="AM23" s="53">
        <v>43</v>
      </c>
      <c r="AN23" s="53">
        <v>6</v>
      </c>
      <c r="AO23" s="53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51"/>
      <c r="J24" s="24">
        <v>20</v>
      </c>
      <c r="K24" s="15" t="s">
        <v>37</v>
      </c>
      <c r="L24" s="15" t="s">
        <v>37</v>
      </c>
      <c r="M24" s="15" t="s">
        <v>96</v>
      </c>
      <c r="N24" s="15" t="s">
        <v>62</v>
      </c>
      <c r="O24" s="15" t="s">
        <v>35</v>
      </c>
      <c r="Q24" s="9">
        <v>7</v>
      </c>
      <c r="R24" s="9">
        <v>7</v>
      </c>
      <c r="S24" s="9">
        <v>15</v>
      </c>
      <c r="T24" s="9">
        <v>12</v>
      </c>
      <c r="U24" s="9">
        <v>8</v>
      </c>
      <c r="W24" s="24">
        <v>1</v>
      </c>
      <c r="X24" s="24">
        <v>1</v>
      </c>
      <c r="Y24" s="24">
        <v>1</v>
      </c>
      <c r="Z24" s="24">
        <v>1</v>
      </c>
      <c r="AA24" s="24">
        <v>1</v>
      </c>
      <c r="AC24" s="71" t="str">
        <v>GQ</v>
      </c>
      <c r="AD24" s="53">
        <v>0</v>
      </c>
      <c r="AE24" s="53">
        <v>3</v>
      </c>
      <c r="AF24" s="53">
        <v>6</v>
      </c>
      <c r="AG24" s="53">
        <v>1</v>
      </c>
      <c r="AH24" s="53">
        <v>0</v>
      </c>
      <c r="AI24" s="5"/>
      <c r="AJ24" s="71" t="str">
        <v>GQ</v>
      </c>
      <c r="AK24" s="53">
        <v>0</v>
      </c>
      <c r="AL24" s="53">
        <v>3</v>
      </c>
      <c r="AM24" s="53">
        <v>6</v>
      </c>
      <c r="AN24" s="53">
        <v>1</v>
      </c>
      <c r="AO24" s="53">
        <v>0</v>
      </c>
    </row>
    <row r="25" spans="1:41" ht="16.5" customHeight="1" x14ac:dyDescent="0.3">
      <c r="I25" s="51"/>
      <c r="J25" s="9">
        <v>21</v>
      </c>
      <c r="K25" s="15" t="s">
        <v>95</v>
      </c>
      <c r="L25" s="15" t="s">
        <v>62</v>
      </c>
      <c r="M25" s="15" t="s">
        <v>65</v>
      </c>
      <c r="N25" s="15" t="s">
        <v>95</v>
      </c>
      <c r="O25" s="15" t="s">
        <v>95</v>
      </c>
      <c r="Q25" s="9">
        <v>6</v>
      </c>
      <c r="R25" s="9">
        <v>12</v>
      </c>
      <c r="S25" s="9">
        <v>16</v>
      </c>
      <c r="T25" s="9">
        <v>6</v>
      </c>
      <c r="U25" s="9">
        <v>6</v>
      </c>
      <c r="W25" s="24">
        <v>1</v>
      </c>
      <c r="X25" s="24">
        <v>1</v>
      </c>
      <c r="Y25" s="24">
        <v>1</v>
      </c>
      <c r="Z25" s="24">
        <v>1</v>
      </c>
      <c r="AA25" s="24">
        <v>1</v>
      </c>
      <c r="AC25" s="71" t="str">
        <v>GJ</v>
      </c>
      <c r="AD25" s="53">
        <v>0</v>
      </c>
      <c r="AE25" s="53">
        <v>2</v>
      </c>
      <c r="AF25" s="53">
        <v>9</v>
      </c>
      <c r="AG25" s="53">
        <v>2</v>
      </c>
      <c r="AH25" s="53">
        <v>0</v>
      </c>
      <c r="AI25" s="5"/>
      <c r="AJ25" s="71" t="str">
        <v>GJ</v>
      </c>
      <c r="AK25" s="53">
        <v>0</v>
      </c>
      <c r="AL25" s="53">
        <v>2</v>
      </c>
      <c r="AM25" s="53">
        <v>9</v>
      </c>
      <c r="AN25" s="53">
        <v>2</v>
      </c>
      <c r="AO25" s="53">
        <v>0</v>
      </c>
    </row>
    <row r="26" spans="1:41" ht="16.5" customHeight="1" x14ac:dyDescent="0.3">
      <c r="B26" s="5" t="s">
        <v>110</v>
      </c>
      <c r="C26" s="86">
        <f>SUM(C4:C14)/C24</f>
        <v>1</v>
      </c>
      <c r="D26" s="86">
        <f>SUM(D4:D14)/D24</f>
        <v>0.78</v>
      </c>
      <c r="E26" s="86">
        <f>SUM(E4:E14)/E24</f>
        <v>0</v>
      </c>
      <c r="F26" s="86">
        <f>SUM(F4:F14)/F24</f>
        <v>0.82</v>
      </c>
      <c r="G26" s="86">
        <f>SUM(G4:G14)/G24</f>
        <v>1</v>
      </c>
      <c r="I26" s="51"/>
      <c r="J26" s="24">
        <v>22</v>
      </c>
      <c r="K26" s="15" t="s">
        <v>19</v>
      </c>
      <c r="L26" s="15" t="s">
        <v>35</v>
      </c>
      <c r="M26" s="15" t="s">
        <v>64</v>
      </c>
      <c r="N26" s="15" t="s">
        <v>35</v>
      </c>
      <c r="O26" s="15" t="s">
        <v>19</v>
      </c>
      <c r="Q26" s="9">
        <v>5</v>
      </c>
      <c r="R26" s="9">
        <v>8</v>
      </c>
      <c r="S26" s="9">
        <v>14</v>
      </c>
      <c r="T26" s="9">
        <v>8</v>
      </c>
      <c r="U26" s="9">
        <v>5</v>
      </c>
      <c r="W26" s="24">
        <v>1</v>
      </c>
      <c r="X26" s="24">
        <v>1</v>
      </c>
      <c r="Y26" s="24">
        <v>1</v>
      </c>
      <c r="Z26" s="24">
        <v>1</v>
      </c>
      <c r="AA26" s="24">
        <v>1</v>
      </c>
      <c r="AD26" s="59">
        <f>SUM(AD6:AD25)</f>
        <v>198</v>
      </c>
      <c r="AE26" s="59">
        <f>SUM(AE6:AE25)</f>
        <v>198</v>
      </c>
      <c r="AF26" s="59">
        <f>SUM(AF6:AF25)</f>
        <v>198</v>
      </c>
      <c r="AG26" s="59">
        <f>SUM(AG6:AG25)</f>
        <v>196</v>
      </c>
      <c r="AH26" s="59">
        <f>SUM(AH6:AH25)</f>
        <v>196</v>
      </c>
      <c r="AI26" s="5"/>
      <c r="AK26" s="59">
        <f>SUM(AK6:AK25)</f>
        <v>198</v>
      </c>
      <c r="AL26" s="59">
        <f>SUM(AL6:AL25)</f>
        <v>198</v>
      </c>
      <c r="AM26" s="59">
        <f>SUM(AM6:AM25)</f>
        <v>198</v>
      </c>
      <c r="AN26" s="59">
        <f>SUM(AN6:AN25)</f>
        <v>196</v>
      </c>
      <c r="AO26" s="59">
        <f>SUM(AO6:AO25)</f>
        <v>196</v>
      </c>
    </row>
    <row r="27" spans="1:41" ht="16.5" customHeight="1" x14ac:dyDescent="0.3">
      <c r="B27" s="5" t="s">
        <v>109</v>
      </c>
      <c r="C27" s="86">
        <f>SUM(C15:C23)/C24</f>
        <v>0</v>
      </c>
      <c r="D27" s="86">
        <f>SUM(D15:D23)/D24</f>
        <v>0.22</v>
      </c>
      <c r="E27" s="86">
        <f>SUM(E15:E23)/E24</f>
        <v>1</v>
      </c>
      <c r="F27" s="86">
        <f>SUM(F15:F23)/F24</f>
        <v>0.18</v>
      </c>
      <c r="G27" s="86">
        <f>SUM(G15:G23)/G24</f>
        <v>0</v>
      </c>
      <c r="I27" s="51"/>
      <c r="J27" s="9">
        <v>23</v>
      </c>
      <c r="K27" s="15" t="s">
        <v>95</v>
      </c>
      <c r="L27" s="15" t="s">
        <v>95</v>
      </c>
      <c r="M27" s="15" t="s">
        <v>96</v>
      </c>
      <c r="N27" s="15" t="s">
        <v>81</v>
      </c>
      <c r="O27" s="15" t="s">
        <v>37</v>
      </c>
      <c r="Q27" s="9">
        <v>6</v>
      </c>
      <c r="R27" s="9">
        <v>6</v>
      </c>
      <c r="S27" s="9">
        <v>15</v>
      </c>
      <c r="T27" s="9">
        <v>17</v>
      </c>
      <c r="U27" s="9">
        <v>7</v>
      </c>
      <c r="W27" s="24">
        <v>1</v>
      </c>
      <c r="X27" s="24">
        <v>1</v>
      </c>
      <c r="Y27" s="24">
        <v>1</v>
      </c>
      <c r="Z27" s="24">
        <v>1</v>
      </c>
      <c r="AA27" s="24">
        <v>1</v>
      </c>
      <c r="AH27" s="5"/>
      <c r="AI27" s="5"/>
      <c r="AO27" s="5"/>
    </row>
    <row r="28" spans="1:41" ht="16.5" customHeight="1" x14ac:dyDescent="0.3">
      <c r="I28" s="51"/>
      <c r="J28" s="24">
        <v>24</v>
      </c>
      <c r="K28" s="15" t="s">
        <v>37</v>
      </c>
      <c r="L28" s="15" t="s">
        <v>18</v>
      </c>
      <c r="M28" s="15" t="s">
        <v>65</v>
      </c>
      <c r="N28" s="15" t="s">
        <v>35</v>
      </c>
      <c r="O28" s="15" t="s">
        <v>21</v>
      </c>
      <c r="Q28" s="9">
        <v>7</v>
      </c>
      <c r="R28" s="9">
        <v>4</v>
      </c>
      <c r="S28" s="9">
        <v>16</v>
      </c>
      <c r="T28" s="9">
        <v>8</v>
      </c>
      <c r="U28" s="9">
        <v>2</v>
      </c>
      <c r="W28" s="24">
        <v>1</v>
      </c>
      <c r="X28" s="24">
        <v>1</v>
      </c>
      <c r="Y28" s="24">
        <v>1</v>
      </c>
      <c r="Z28" s="24">
        <v>1</v>
      </c>
      <c r="AA28" s="24">
        <v>1</v>
      </c>
      <c r="AC28" s="26" t="s">
        <v>100</v>
      </c>
      <c r="AH28" s="5"/>
      <c r="AI28" s="5"/>
      <c r="AJ28" s="26" t="s">
        <v>100</v>
      </c>
      <c r="AO28" s="5"/>
    </row>
    <row r="29" spans="1:41" ht="16.5" customHeight="1" x14ac:dyDescent="0.3">
      <c r="I29" s="51"/>
      <c r="J29" s="9">
        <v>25</v>
      </c>
      <c r="K29" s="15" t="s">
        <v>35</v>
      </c>
      <c r="L29" s="15" t="s">
        <v>95</v>
      </c>
      <c r="M29" s="15" t="s">
        <v>64</v>
      </c>
      <c r="N29" s="15" t="s">
        <v>37</v>
      </c>
      <c r="O29" s="15" t="s">
        <v>37</v>
      </c>
      <c r="Q29" s="9">
        <v>8</v>
      </c>
      <c r="R29" s="9">
        <v>6</v>
      </c>
      <c r="S29" s="9">
        <v>14</v>
      </c>
      <c r="T29" s="9">
        <v>7</v>
      </c>
      <c r="U29" s="9">
        <v>7</v>
      </c>
      <c r="W29" s="24">
        <v>1</v>
      </c>
      <c r="X29" s="24">
        <v>1</v>
      </c>
      <c r="Y29" s="24">
        <v>1</v>
      </c>
      <c r="Z29" s="24">
        <v>1</v>
      </c>
      <c r="AA29" s="24">
        <v>1</v>
      </c>
      <c r="AC29" s="68" t="s">
        <v>42</v>
      </c>
      <c r="AD29" s="68" t="s">
        <v>13</v>
      </c>
      <c r="AE29" s="68" t="s">
        <v>14</v>
      </c>
      <c r="AF29" s="68" t="s">
        <v>15</v>
      </c>
      <c r="AG29" s="68" t="s">
        <v>16</v>
      </c>
      <c r="AH29" s="68" t="s">
        <v>17</v>
      </c>
      <c r="AI29" s="5"/>
      <c r="AJ29" s="68" t="s">
        <v>42</v>
      </c>
      <c r="AK29" s="68" t="s">
        <v>13</v>
      </c>
      <c r="AL29" s="68" t="s">
        <v>14</v>
      </c>
      <c r="AM29" s="68" t="s">
        <v>15</v>
      </c>
      <c r="AN29" s="68" t="s">
        <v>16</v>
      </c>
      <c r="AO29" s="68" t="s">
        <v>17</v>
      </c>
    </row>
    <row r="30" spans="1:41" ht="16.5" customHeight="1" x14ac:dyDescent="0.3">
      <c r="I30" s="51"/>
      <c r="J30" s="24">
        <v>26</v>
      </c>
      <c r="K30" s="15" t="s">
        <v>19</v>
      </c>
      <c r="L30" s="15" t="s">
        <v>35</v>
      </c>
      <c r="M30" s="15" t="s">
        <v>96</v>
      </c>
      <c r="N30" s="15" t="s">
        <v>35</v>
      </c>
      <c r="O30" s="15" t="s">
        <v>19</v>
      </c>
      <c r="Q30" s="9">
        <v>5</v>
      </c>
      <c r="R30" s="9">
        <v>8</v>
      </c>
      <c r="S30" s="9">
        <v>15</v>
      </c>
      <c r="T30" s="9">
        <v>8</v>
      </c>
      <c r="U30" s="9">
        <v>5</v>
      </c>
      <c r="W30" s="24">
        <v>1</v>
      </c>
      <c r="X30" s="24">
        <v>1</v>
      </c>
      <c r="Y30" s="24">
        <v>1</v>
      </c>
      <c r="Z30" s="24">
        <v>1</v>
      </c>
      <c r="AA30" s="24">
        <v>1</v>
      </c>
      <c r="AC30" s="71" t="str" cm="1">
        <f t="array" ref="AC30:AC49">$A$4:$A$23</f>
        <v>WW</v>
      </c>
      <c r="AD30" s="72">
        <v>0</v>
      </c>
      <c r="AE30" s="72">
        <v>0</v>
      </c>
      <c r="AF30" s="72">
        <v>0</v>
      </c>
      <c r="AG30" s="72">
        <v>0</v>
      </c>
      <c r="AH30" s="72">
        <v>0</v>
      </c>
      <c r="AI30" s="5"/>
      <c r="AJ30" s="71" t="str" cm="1">
        <f t="array" ref="AJ30:AJ49">$A$4:$A$23</f>
        <v>WW</v>
      </c>
      <c r="AK30" s="72">
        <v>0</v>
      </c>
      <c r="AL30" s="72">
        <v>0</v>
      </c>
      <c r="AM30" s="72">
        <v>0</v>
      </c>
      <c r="AN30" s="72">
        <v>0</v>
      </c>
      <c r="AO30" s="72">
        <v>0</v>
      </c>
    </row>
    <row r="31" spans="1:41" ht="16.5" customHeight="1" x14ac:dyDescent="0.3">
      <c r="I31" s="51"/>
      <c r="J31" s="9">
        <v>27</v>
      </c>
      <c r="K31" s="15" t="s">
        <v>95</v>
      </c>
      <c r="L31" s="15" t="s">
        <v>37</v>
      </c>
      <c r="M31" s="15" t="s">
        <v>65</v>
      </c>
      <c r="N31" s="15" t="s">
        <v>37</v>
      </c>
      <c r="O31" s="15" t="s">
        <v>37</v>
      </c>
      <c r="Q31" s="9">
        <v>6</v>
      </c>
      <c r="R31" s="9">
        <v>7</v>
      </c>
      <c r="S31" s="9">
        <v>16</v>
      </c>
      <c r="T31" s="9">
        <v>7</v>
      </c>
      <c r="U31" s="9">
        <v>7</v>
      </c>
      <c r="W31" s="24">
        <v>1</v>
      </c>
      <c r="X31" s="24">
        <v>1</v>
      </c>
      <c r="Y31" s="24">
        <v>1</v>
      </c>
      <c r="Z31" s="24">
        <v>1</v>
      </c>
      <c r="AA31" s="24">
        <v>1</v>
      </c>
      <c r="AC31" s="71" t="str">
        <v>C1</v>
      </c>
      <c r="AD31" s="71">
        <v>1</v>
      </c>
      <c r="AE31" s="71">
        <v>1</v>
      </c>
      <c r="AF31" s="71">
        <v>1</v>
      </c>
      <c r="AG31" s="71">
        <v>1</v>
      </c>
      <c r="AH31" s="71">
        <v>1</v>
      </c>
      <c r="AI31" s="5"/>
      <c r="AJ31" s="71" t="str">
        <v>C1</v>
      </c>
      <c r="AK31" s="71">
        <v>1</v>
      </c>
      <c r="AL31" s="71">
        <v>1</v>
      </c>
      <c r="AM31" s="71">
        <v>1</v>
      </c>
      <c r="AN31" s="71">
        <v>1</v>
      </c>
      <c r="AO31" s="71">
        <v>1</v>
      </c>
    </row>
    <row r="32" spans="1:41" ht="16.5" customHeight="1" x14ac:dyDescent="0.3">
      <c r="J32" s="24">
        <v>28</v>
      </c>
      <c r="K32" s="15" t="s">
        <v>35</v>
      </c>
      <c r="L32" s="15" t="s">
        <v>34</v>
      </c>
      <c r="M32" s="15" t="s">
        <v>70</v>
      </c>
      <c r="N32" s="15" t="s">
        <v>95</v>
      </c>
      <c r="O32" s="15" t="s">
        <v>18</v>
      </c>
      <c r="Q32" s="9">
        <v>8</v>
      </c>
      <c r="R32" s="9">
        <v>9</v>
      </c>
      <c r="S32" s="9">
        <v>19</v>
      </c>
      <c r="T32" s="9">
        <v>6</v>
      </c>
      <c r="U32" s="9">
        <v>4</v>
      </c>
      <c r="W32" s="24">
        <v>1</v>
      </c>
      <c r="X32" s="24">
        <v>1</v>
      </c>
      <c r="Y32" s="24">
        <v>1</v>
      </c>
      <c r="Z32" s="24">
        <v>1</v>
      </c>
      <c r="AA32" s="24">
        <v>1</v>
      </c>
      <c r="AC32" s="80" t="str">
        <v>M1</v>
      </c>
      <c r="AD32" s="66">
        <v>3</v>
      </c>
      <c r="AE32" s="66">
        <v>10</v>
      </c>
      <c r="AF32" s="66">
        <v>0</v>
      </c>
      <c r="AG32" s="66">
        <v>3</v>
      </c>
      <c r="AH32" s="66">
        <v>9</v>
      </c>
      <c r="AI32" s="5"/>
      <c r="AJ32" s="80" t="str">
        <v>M1</v>
      </c>
      <c r="AK32" s="66">
        <v>3</v>
      </c>
      <c r="AL32" s="66">
        <v>10</v>
      </c>
      <c r="AM32" s="66">
        <v>0</v>
      </c>
      <c r="AN32" s="66">
        <v>3</v>
      </c>
      <c r="AO32" s="66">
        <v>9</v>
      </c>
    </row>
    <row r="33" spans="10:41" ht="16.5" customHeight="1" x14ac:dyDescent="0.3">
      <c r="J33" s="9">
        <v>29</v>
      </c>
      <c r="K33" s="15" t="s">
        <v>19</v>
      </c>
      <c r="L33" s="15" t="s">
        <v>18</v>
      </c>
      <c r="M33" s="15" t="s">
        <v>65</v>
      </c>
      <c r="N33" s="15" t="s">
        <v>65</v>
      </c>
      <c r="O33" s="15" t="s">
        <v>35</v>
      </c>
      <c r="Q33" s="9">
        <v>5</v>
      </c>
      <c r="R33" s="9">
        <v>4</v>
      </c>
      <c r="S33" s="9">
        <v>16</v>
      </c>
      <c r="T33" s="9">
        <v>16</v>
      </c>
      <c r="U33" s="9">
        <v>8</v>
      </c>
      <c r="W33" s="24">
        <v>1</v>
      </c>
      <c r="X33" s="24">
        <v>1</v>
      </c>
      <c r="Y33" s="24">
        <v>1</v>
      </c>
      <c r="Z33" s="24">
        <v>1</v>
      </c>
      <c r="AA33" s="24">
        <v>1</v>
      </c>
      <c r="AC33" s="80" t="str">
        <v>M2</v>
      </c>
      <c r="AD33" s="66">
        <v>3</v>
      </c>
      <c r="AE33" s="66">
        <v>12</v>
      </c>
      <c r="AF33" s="66">
        <v>0</v>
      </c>
      <c r="AG33" s="66">
        <v>3</v>
      </c>
      <c r="AH33" s="66">
        <v>8</v>
      </c>
      <c r="AI33" s="5"/>
      <c r="AJ33" s="80" t="str">
        <v>M2</v>
      </c>
      <c r="AK33" s="66">
        <v>3</v>
      </c>
      <c r="AL33" s="66">
        <v>12</v>
      </c>
      <c r="AM33" s="66">
        <v>0</v>
      </c>
      <c r="AN33" s="66">
        <v>3</v>
      </c>
      <c r="AO33" s="66">
        <v>8</v>
      </c>
    </row>
    <row r="34" spans="10:41" ht="16.5" customHeight="1" x14ac:dyDescent="0.3">
      <c r="J34" s="24">
        <v>30</v>
      </c>
      <c r="K34" s="15" t="s">
        <v>37</v>
      </c>
      <c r="L34" s="15" t="s">
        <v>34</v>
      </c>
      <c r="M34" s="15" t="s">
        <v>63</v>
      </c>
      <c r="N34" s="15" t="s">
        <v>19</v>
      </c>
      <c r="O34" s="15" t="s">
        <v>95</v>
      </c>
      <c r="Q34" s="9">
        <v>7</v>
      </c>
      <c r="R34" s="9">
        <v>9</v>
      </c>
      <c r="S34" s="9">
        <v>13</v>
      </c>
      <c r="T34" s="9">
        <v>5</v>
      </c>
      <c r="U34" s="9">
        <v>6</v>
      </c>
      <c r="W34" s="24">
        <v>1</v>
      </c>
      <c r="X34" s="24">
        <v>1</v>
      </c>
      <c r="Y34" s="24">
        <v>1</v>
      </c>
      <c r="Z34" s="24">
        <v>1</v>
      </c>
      <c r="AA34" s="24">
        <v>1</v>
      </c>
      <c r="AC34" s="80" t="str">
        <v>M3</v>
      </c>
      <c r="AD34" s="66">
        <v>7</v>
      </c>
      <c r="AE34" s="66">
        <v>13</v>
      </c>
      <c r="AF34" s="66">
        <v>0</v>
      </c>
      <c r="AG34" s="66">
        <v>7</v>
      </c>
      <c r="AH34" s="66">
        <v>14</v>
      </c>
      <c r="AI34" s="5"/>
      <c r="AJ34" s="80" t="str">
        <v>M3</v>
      </c>
      <c r="AK34" s="66">
        <v>7</v>
      </c>
      <c r="AL34" s="66">
        <v>13</v>
      </c>
      <c r="AM34" s="66">
        <v>0</v>
      </c>
      <c r="AN34" s="66">
        <v>7</v>
      </c>
      <c r="AO34" s="66">
        <v>14</v>
      </c>
    </row>
    <row r="35" spans="10:41" ht="16.5" customHeight="1" x14ac:dyDescent="0.3">
      <c r="J35" s="9">
        <v>31</v>
      </c>
      <c r="K35" s="15" t="s">
        <v>35</v>
      </c>
      <c r="L35" s="15" t="s">
        <v>81</v>
      </c>
      <c r="M35" s="15" t="s">
        <v>96</v>
      </c>
      <c r="N35" s="15" t="s">
        <v>96</v>
      </c>
      <c r="O35" s="15" t="s">
        <v>37</v>
      </c>
      <c r="Q35" s="9">
        <v>8</v>
      </c>
      <c r="R35" s="9">
        <v>17</v>
      </c>
      <c r="S35" s="9">
        <v>15</v>
      </c>
      <c r="T35" s="9">
        <v>15</v>
      </c>
      <c r="U35" s="9">
        <v>7</v>
      </c>
      <c r="W35" s="24">
        <v>1</v>
      </c>
      <c r="X35" s="24">
        <v>1</v>
      </c>
      <c r="Y35" s="24">
        <v>1</v>
      </c>
      <c r="Z35" s="24">
        <v>1</v>
      </c>
      <c r="AA35" s="24">
        <v>1</v>
      </c>
      <c r="AC35" s="80" t="str">
        <v>M4</v>
      </c>
      <c r="AD35" s="66">
        <v>43</v>
      </c>
      <c r="AE35" s="66">
        <v>23</v>
      </c>
      <c r="AF35" s="66">
        <v>0</v>
      </c>
      <c r="AG35" s="66">
        <v>33</v>
      </c>
      <c r="AH35" s="66">
        <v>35</v>
      </c>
      <c r="AI35" s="5"/>
      <c r="AJ35" s="80" t="str">
        <v>M4</v>
      </c>
      <c r="AK35" s="66">
        <v>43</v>
      </c>
      <c r="AL35" s="66">
        <v>23</v>
      </c>
      <c r="AM35" s="66">
        <v>0</v>
      </c>
      <c r="AN35" s="66">
        <v>33</v>
      </c>
      <c r="AO35" s="66">
        <v>35</v>
      </c>
    </row>
    <row r="36" spans="10:41" ht="16.5" customHeight="1" x14ac:dyDescent="0.3">
      <c r="J36" s="24">
        <v>32</v>
      </c>
      <c r="K36" s="15" t="s">
        <v>37</v>
      </c>
      <c r="L36" s="15" t="s">
        <v>37</v>
      </c>
      <c r="M36" s="15" t="s">
        <v>81</v>
      </c>
      <c r="N36" s="15" t="s">
        <v>35</v>
      </c>
      <c r="O36" s="15" t="s">
        <v>34</v>
      </c>
      <c r="Q36" s="9">
        <v>7</v>
      </c>
      <c r="R36" s="9">
        <v>7</v>
      </c>
      <c r="S36" s="9">
        <v>17</v>
      </c>
      <c r="T36" s="9">
        <v>8</v>
      </c>
      <c r="U36" s="9">
        <v>9</v>
      </c>
      <c r="W36" s="24">
        <v>1</v>
      </c>
      <c r="X36" s="24">
        <v>1</v>
      </c>
      <c r="Y36" s="24">
        <v>1</v>
      </c>
      <c r="Z36" s="24">
        <v>1</v>
      </c>
      <c r="AA36" s="24">
        <v>1</v>
      </c>
      <c r="AC36" s="80" t="str">
        <v>M5</v>
      </c>
      <c r="AD36" s="66">
        <v>42</v>
      </c>
      <c r="AE36" s="66">
        <v>23</v>
      </c>
      <c r="AF36" s="66">
        <v>0</v>
      </c>
      <c r="AG36" s="66">
        <v>33</v>
      </c>
      <c r="AH36" s="66">
        <v>34</v>
      </c>
      <c r="AI36" s="5"/>
      <c r="AJ36" s="80" t="str">
        <v>M5</v>
      </c>
      <c r="AK36" s="66">
        <v>42</v>
      </c>
      <c r="AL36" s="66">
        <v>23</v>
      </c>
      <c r="AM36" s="66">
        <v>0</v>
      </c>
      <c r="AN36" s="66">
        <v>33</v>
      </c>
      <c r="AO36" s="66">
        <v>34</v>
      </c>
    </row>
    <row r="37" spans="10:41" ht="16.5" customHeight="1" x14ac:dyDescent="0.3">
      <c r="J37" s="9">
        <v>33</v>
      </c>
      <c r="K37" s="15" t="s">
        <v>95</v>
      </c>
      <c r="L37" s="15" t="s">
        <v>19</v>
      </c>
      <c r="M37" s="15" t="s">
        <v>65</v>
      </c>
      <c r="N37" s="15" t="s">
        <v>19</v>
      </c>
      <c r="O37" s="15" t="s">
        <v>36</v>
      </c>
      <c r="Q37" s="9">
        <v>6</v>
      </c>
      <c r="R37" s="9">
        <v>5</v>
      </c>
      <c r="S37" s="9">
        <v>16</v>
      </c>
      <c r="T37" s="9">
        <v>5</v>
      </c>
      <c r="U37" s="9">
        <v>10</v>
      </c>
      <c r="W37" s="24">
        <v>1</v>
      </c>
      <c r="X37" s="24">
        <v>1</v>
      </c>
      <c r="Y37" s="24">
        <v>1</v>
      </c>
      <c r="Z37" s="24">
        <v>1</v>
      </c>
      <c r="AA37" s="24">
        <v>1</v>
      </c>
      <c r="AC37" s="80" t="str">
        <v>A</v>
      </c>
      <c r="AD37" s="66">
        <v>43</v>
      </c>
      <c r="AE37" s="66">
        <v>27</v>
      </c>
      <c r="AF37" s="66">
        <v>0</v>
      </c>
      <c r="AG37" s="66">
        <v>33</v>
      </c>
      <c r="AH37" s="66">
        <v>34</v>
      </c>
      <c r="AI37" s="5"/>
      <c r="AJ37" s="80" t="str">
        <v>A</v>
      </c>
      <c r="AK37" s="66">
        <v>43</v>
      </c>
      <c r="AL37" s="66">
        <v>27</v>
      </c>
      <c r="AM37" s="66">
        <v>0</v>
      </c>
      <c r="AN37" s="66">
        <v>33</v>
      </c>
      <c r="AO37" s="66">
        <v>34</v>
      </c>
    </row>
    <row r="38" spans="10:41" ht="16.5" customHeight="1" x14ac:dyDescent="0.3">
      <c r="J38" s="24">
        <v>34</v>
      </c>
      <c r="K38" s="15" t="s">
        <v>19</v>
      </c>
      <c r="L38" s="15" t="s">
        <v>18</v>
      </c>
      <c r="M38" s="15" t="s">
        <v>96</v>
      </c>
      <c r="N38" s="15" t="s">
        <v>37</v>
      </c>
      <c r="O38" s="15" t="s">
        <v>37</v>
      </c>
      <c r="Q38" s="9">
        <v>5</v>
      </c>
      <c r="R38" s="9">
        <v>4</v>
      </c>
      <c r="S38" s="9">
        <v>15</v>
      </c>
      <c r="T38" s="9">
        <v>7</v>
      </c>
      <c r="U38" s="9">
        <v>7</v>
      </c>
      <c r="W38" s="24">
        <v>1</v>
      </c>
      <c r="X38" s="24">
        <v>1</v>
      </c>
      <c r="Y38" s="24">
        <v>1</v>
      </c>
      <c r="Z38" s="24">
        <v>1</v>
      </c>
      <c r="AA38" s="24">
        <v>1</v>
      </c>
      <c r="AC38" s="80" t="str">
        <v>K</v>
      </c>
      <c r="AD38" s="66">
        <v>43</v>
      </c>
      <c r="AE38" s="66">
        <v>25</v>
      </c>
      <c r="AF38" s="66">
        <v>0</v>
      </c>
      <c r="AG38" s="66">
        <v>34</v>
      </c>
      <c r="AH38" s="66">
        <v>34</v>
      </c>
      <c r="AI38" s="5"/>
      <c r="AJ38" s="80" t="str">
        <v>K</v>
      </c>
      <c r="AK38" s="66">
        <v>43</v>
      </c>
      <c r="AL38" s="66">
        <v>25</v>
      </c>
      <c r="AM38" s="66">
        <v>0</v>
      </c>
      <c r="AN38" s="66">
        <v>34</v>
      </c>
      <c r="AO38" s="66">
        <v>34</v>
      </c>
    </row>
    <row r="39" spans="10:41" ht="16.5" customHeight="1" x14ac:dyDescent="0.3">
      <c r="J39" s="9">
        <v>35</v>
      </c>
      <c r="K39" s="15" t="s">
        <v>35</v>
      </c>
      <c r="L39" s="15" t="s">
        <v>22</v>
      </c>
      <c r="M39" s="15" t="s">
        <v>65</v>
      </c>
      <c r="N39" s="15" t="s">
        <v>81</v>
      </c>
      <c r="O39" s="15" t="s">
        <v>19</v>
      </c>
      <c r="Q39" s="9">
        <v>8</v>
      </c>
      <c r="R39" s="9">
        <v>3</v>
      </c>
      <c r="S39" s="9">
        <v>16</v>
      </c>
      <c r="T39" s="9">
        <v>17</v>
      </c>
      <c r="U39" s="9">
        <v>5</v>
      </c>
      <c r="W39" s="24">
        <v>1</v>
      </c>
      <c r="X39" s="24">
        <v>1</v>
      </c>
      <c r="Y39" s="24">
        <v>1</v>
      </c>
      <c r="Z39" s="24">
        <v>1</v>
      </c>
      <c r="AA39" s="24">
        <v>1</v>
      </c>
      <c r="AC39" s="80" t="str">
        <v>Q</v>
      </c>
      <c r="AD39" s="66">
        <v>7</v>
      </c>
      <c r="AE39" s="66">
        <v>12</v>
      </c>
      <c r="AF39" s="66">
        <v>0</v>
      </c>
      <c r="AG39" s="66">
        <v>6</v>
      </c>
      <c r="AH39" s="66">
        <v>13</v>
      </c>
      <c r="AI39" s="5"/>
      <c r="AJ39" s="80" t="str">
        <v>Q</v>
      </c>
      <c r="AK39" s="66">
        <v>7</v>
      </c>
      <c r="AL39" s="66">
        <v>12</v>
      </c>
      <c r="AM39" s="66">
        <v>0</v>
      </c>
      <c r="AN39" s="66">
        <v>6</v>
      </c>
      <c r="AO39" s="66">
        <v>13</v>
      </c>
    </row>
    <row r="40" spans="10:41" ht="16.5" customHeight="1" x14ac:dyDescent="0.3">
      <c r="J40" s="24">
        <v>36</v>
      </c>
      <c r="K40" s="15" t="s">
        <v>95</v>
      </c>
      <c r="L40" s="15" t="s">
        <v>20</v>
      </c>
      <c r="M40" s="15" t="s">
        <v>81</v>
      </c>
      <c r="N40" s="15" t="s">
        <v>36</v>
      </c>
      <c r="O40" s="15" t="s">
        <v>95</v>
      </c>
      <c r="Q40" s="9">
        <v>6</v>
      </c>
      <c r="R40" s="9">
        <v>1</v>
      </c>
      <c r="S40" s="9">
        <v>17</v>
      </c>
      <c r="T40" s="9">
        <v>10</v>
      </c>
      <c r="U40" s="9">
        <v>6</v>
      </c>
      <c r="W40" s="24">
        <v>1</v>
      </c>
      <c r="X40" s="24">
        <v>1</v>
      </c>
      <c r="Y40" s="24">
        <v>1</v>
      </c>
      <c r="Z40" s="24">
        <v>1</v>
      </c>
      <c r="AA40" s="24">
        <v>1</v>
      </c>
      <c r="AC40" s="80" t="str">
        <v>J</v>
      </c>
      <c r="AD40" s="66">
        <v>6</v>
      </c>
      <c r="AE40" s="66">
        <v>8</v>
      </c>
      <c r="AF40" s="66">
        <v>0</v>
      </c>
      <c r="AG40" s="66">
        <v>7</v>
      </c>
      <c r="AH40" s="66">
        <v>14</v>
      </c>
      <c r="AI40" s="5"/>
      <c r="AJ40" s="80" t="str">
        <v>J</v>
      </c>
      <c r="AK40" s="66">
        <v>6</v>
      </c>
      <c r="AL40" s="66">
        <v>8</v>
      </c>
      <c r="AM40" s="66">
        <v>0</v>
      </c>
      <c r="AN40" s="66">
        <v>7</v>
      </c>
      <c r="AO40" s="66">
        <v>14</v>
      </c>
    </row>
    <row r="41" spans="10:41" ht="16.5" customHeight="1" x14ac:dyDescent="0.3">
      <c r="J41" s="9">
        <v>37</v>
      </c>
      <c r="K41" s="15" t="s">
        <v>35</v>
      </c>
      <c r="L41" s="15" t="s">
        <v>96</v>
      </c>
      <c r="M41" s="15" t="s">
        <v>96</v>
      </c>
      <c r="N41" s="15" t="s">
        <v>95</v>
      </c>
      <c r="O41" s="15" t="s">
        <v>18</v>
      </c>
      <c r="Q41" s="9">
        <v>8</v>
      </c>
      <c r="R41" s="9">
        <v>15</v>
      </c>
      <c r="S41" s="9">
        <v>15</v>
      </c>
      <c r="T41" s="9">
        <v>6</v>
      </c>
      <c r="U41" s="9">
        <v>4</v>
      </c>
      <c r="W41" s="24">
        <v>1</v>
      </c>
      <c r="X41" s="24">
        <v>1</v>
      </c>
      <c r="Y41" s="24">
        <v>1</v>
      </c>
      <c r="Z41" s="24">
        <v>1</v>
      </c>
      <c r="AA41" s="24">
        <v>1</v>
      </c>
      <c r="AC41" s="71" t="str">
        <v>G1</v>
      </c>
      <c r="AD41" s="53">
        <v>0</v>
      </c>
      <c r="AE41" s="53">
        <v>2</v>
      </c>
      <c r="AF41" s="53">
        <v>3</v>
      </c>
      <c r="AG41" s="53">
        <v>1</v>
      </c>
      <c r="AH41" s="53">
        <v>0</v>
      </c>
      <c r="AI41" s="5"/>
      <c r="AJ41" s="71" t="str">
        <v>G1</v>
      </c>
      <c r="AK41" s="53">
        <v>0</v>
      </c>
      <c r="AL41" s="53">
        <v>2</v>
      </c>
      <c r="AM41" s="53">
        <v>3</v>
      </c>
      <c r="AN41" s="53">
        <v>1</v>
      </c>
      <c r="AO41" s="53">
        <v>0</v>
      </c>
    </row>
    <row r="42" spans="10:41" ht="16.5" customHeight="1" x14ac:dyDescent="0.3">
      <c r="J42" s="24">
        <v>38</v>
      </c>
      <c r="K42" s="15" t="s">
        <v>19</v>
      </c>
      <c r="L42" s="15" t="s">
        <v>19</v>
      </c>
      <c r="M42" s="15" t="s">
        <v>70</v>
      </c>
      <c r="N42" s="15" t="s">
        <v>18</v>
      </c>
      <c r="O42" s="15" t="s">
        <v>34</v>
      </c>
      <c r="Q42" s="9">
        <v>5</v>
      </c>
      <c r="R42" s="9">
        <v>5</v>
      </c>
      <c r="S42" s="9">
        <v>19</v>
      </c>
      <c r="T42" s="9">
        <v>4</v>
      </c>
      <c r="U42" s="9">
        <v>9</v>
      </c>
      <c r="W42" s="24">
        <v>1</v>
      </c>
      <c r="X42" s="24">
        <v>1</v>
      </c>
      <c r="Y42" s="24">
        <v>1</v>
      </c>
      <c r="Z42" s="24">
        <v>1</v>
      </c>
      <c r="AA42" s="24">
        <v>1</v>
      </c>
      <c r="AC42" s="71" t="str">
        <v>G2</v>
      </c>
      <c r="AD42" s="53">
        <v>0</v>
      </c>
      <c r="AE42" s="53">
        <v>3</v>
      </c>
      <c r="AF42" s="53">
        <v>1</v>
      </c>
      <c r="AG42" s="53">
        <v>1</v>
      </c>
      <c r="AH42" s="53">
        <v>0</v>
      </c>
      <c r="AI42" s="5"/>
      <c r="AJ42" s="71" t="str">
        <v>G2</v>
      </c>
      <c r="AK42" s="53">
        <v>0</v>
      </c>
      <c r="AL42" s="53">
        <v>3</v>
      </c>
      <c r="AM42" s="53">
        <v>1</v>
      </c>
      <c r="AN42" s="53">
        <v>1</v>
      </c>
      <c r="AO42" s="53">
        <v>0</v>
      </c>
    </row>
    <row r="43" spans="10:41" ht="16.5" customHeight="1" x14ac:dyDescent="0.3">
      <c r="J43" s="9">
        <v>39</v>
      </c>
      <c r="K43" s="15" t="s">
        <v>35</v>
      </c>
      <c r="L43" s="15" t="s">
        <v>95</v>
      </c>
      <c r="M43" s="15" t="s">
        <v>61</v>
      </c>
      <c r="N43" s="15" t="s">
        <v>95</v>
      </c>
      <c r="O43" s="15" t="s">
        <v>37</v>
      </c>
      <c r="Q43" s="9">
        <v>8</v>
      </c>
      <c r="R43" s="9">
        <v>6</v>
      </c>
      <c r="S43" s="9">
        <v>11</v>
      </c>
      <c r="T43" s="9">
        <v>6</v>
      </c>
      <c r="U43" s="9">
        <v>7</v>
      </c>
      <c r="W43" s="24">
        <v>1</v>
      </c>
      <c r="X43" s="24">
        <v>1</v>
      </c>
      <c r="Y43" s="24">
        <v>1</v>
      </c>
      <c r="Z43" s="24">
        <v>1</v>
      </c>
      <c r="AA43" s="24">
        <v>1</v>
      </c>
      <c r="AC43" s="71" t="str">
        <v>G3</v>
      </c>
      <c r="AD43" s="53">
        <v>0</v>
      </c>
      <c r="AE43" s="53">
        <v>3</v>
      </c>
      <c r="AF43" s="53">
        <v>8</v>
      </c>
      <c r="AG43" s="53">
        <v>2</v>
      </c>
      <c r="AH43" s="53">
        <v>0</v>
      </c>
      <c r="AI43" s="5"/>
      <c r="AJ43" s="71" t="str">
        <v>G3</v>
      </c>
      <c r="AK43" s="53">
        <v>0</v>
      </c>
      <c r="AL43" s="53">
        <v>3</v>
      </c>
      <c r="AM43" s="53">
        <v>8</v>
      </c>
      <c r="AN43" s="53">
        <v>2</v>
      </c>
      <c r="AO43" s="53">
        <v>0</v>
      </c>
    </row>
    <row r="44" spans="10:41" ht="16.5" customHeight="1" x14ac:dyDescent="0.3">
      <c r="J44" s="24">
        <v>40</v>
      </c>
      <c r="K44" s="15" t="s">
        <v>95</v>
      </c>
      <c r="L44" s="15" t="s">
        <v>36</v>
      </c>
      <c r="M44" s="15" t="s">
        <v>64</v>
      </c>
      <c r="N44" s="15" t="s">
        <v>35</v>
      </c>
      <c r="O44" s="15" t="s">
        <v>34</v>
      </c>
      <c r="Q44" s="9">
        <v>6</v>
      </c>
      <c r="R44" s="9">
        <v>10</v>
      </c>
      <c r="S44" s="9">
        <v>14</v>
      </c>
      <c r="T44" s="9">
        <v>8</v>
      </c>
      <c r="U44" s="9">
        <v>9</v>
      </c>
      <c r="W44" s="24">
        <v>1</v>
      </c>
      <c r="X44" s="24">
        <v>1</v>
      </c>
      <c r="Y44" s="24">
        <v>1</v>
      </c>
      <c r="Z44" s="24">
        <v>1</v>
      </c>
      <c r="AA44" s="24">
        <v>1</v>
      </c>
      <c r="AC44" s="71" t="str">
        <v>G4</v>
      </c>
      <c r="AD44" s="53">
        <v>0</v>
      </c>
      <c r="AE44" s="53">
        <v>7</v>
      </c>
      <c r="AF44" s="53">
        <v>43</v>
      </c>
      <c r="AG44" s="53">
        <v>8</v>
      </c>
      <c r="AH44" s="53">
        <v>0</v>
      </c>
      <c r="AI44" s="5"/>
      <c r="AJ44" s="71" t="str">
        <v>G4</v>
      </c>
      <c r="AK44" s="53">
        <v>0</v>
      </c>
      <c r="AL44" s="53">
        <v>7</v>
      </c>
      <c r="AM44" s="53">
        <v>43</v>
      </c>
      <c r="AN44" s="53">
        <v>8</v>
      </c>
      <c r="AO44" s="53">
        <v>0</v>
      </c>
    </row>
    <row r="45" spans="10:41" ht="16.5" customHeight="1" x14ac:dyDescent="0.3">
      <c r="J45" s="9">
        <v>41</v>
      </c>
      <c r="K45" s="15" t="s">
        <v>37</v>
      </c>
      <c r="L45" s="15" t="s">
        <v>22</v>
      </c>
      <c r="M45" s="15" t="s">
        <v>65</v>
      </c>
      <c r="N45" s="15" t="s">
        <v>19</v>
      </c>
      <c r="O45" s="15" t="s">
        <v>19</v>
      </c>
      <c r="Q45" s="9">
        <v>7</v>
      </c>
      <c r="R45" s="9">
        <v>3</v>
      </c>
      <c r="S45" s="9">
        <v>16</v>
      </c>
      <c r="T45" s="9">
        <v>5</v>
      </c>
      <c r="U45" s="9">
        <v>5</v>
      </c>
      <c r="W45" s="24">
        <v>1</v>
      </c>
      <c r="X45" s="24">
        <v>1</v>
      </c>
      <c r="Y45" s="24">
        <v>1</v>
      </c>
      <c r="Z45" s="24">
        <v>1</v>
      </c>
      <c r="AA45" s="24">
        <v>1</v>
      </c>
      <c r="AC45" s="71" t="str">
        <v>G5</v>
      </c>
      <c r="AD45" s="53">
        <v>0</v>
      </c>
      <c r="AE45" s="53">
        <v>7</v>
      </c>
      <c r="AF45" s="53">
        <v>42</v>
      </c>
      <c r="AG45" s="53">
        <v>9</v>
      </c>
      <c r="AH45" s="53">
        <v>0</v>
      </c>
      <c r="AI45" s="5"/>
      <c r="AJ45" s="71" t="str">
        <v>G5</v>
      </c>
      <c r="AK45" s="53">
        <v>0</v>
      </c>
      <c r="AL45" s="53">
        <v>7</v>
      </c>
      <c r="AM45" s="53">
        <v>42</v>
      </c>
      <c r="AN45" s="53">
        <v>9</v>
      </c>
      <c r="AO45" s="53">
        <v>0</v>
      </c>
    </row>
    <row r="46" spans="10:41" ht="16.5" customHeight="1" x14ac:dyDescent="0.3">
      <c r="J46" s="24">
        <v>42</v>
      </c>
      <c r="K46" s="15" t="s">
        <v>19</v>
      </c>
      <c r="L46" s="15" t="s">
        <v>37</v>
      </c>
      <c r="M46" s="15" t="s">
        <v>81</v>
      </c>
      <c r="N46" s="15" t="s">
        <v>95</v>
      </c>
      <c r="O46" s="15" t="s">
        <v>35</v>
      </c>
      <c r="Q46" s="9">
        <v>5</v>
      </c>
      <c r="R46" s="9">
        <v>7</v>
      </c>
      <c r="S46" s="9">
        <v>17</v>
      </c>
      <c r="T46" s="9">
        <v>6</v>
      </c>
      <c r="U46" s="9">
        <v>8</v>
      </c>
      <c r="W46" s="24">
        <v>1</v>
      </c>
      <c r="X46" s="24">
        <v>1</v>
      </c>
      <c r="Y46" s="24">
        <v>1</v>
      </c>
      <c r="Z46" s="24">
        <v>1</v>
      </c>
      <c r="AA46" s="24">
        <v>1</v>
      </c>
      <c r="AC46" s="71" t="str">
        <v>GA</v>
      </c>
      <c r="AD46" s="53">
        <v>0</v>
      </c>
      <c r="AE46" s="53">
        <v>10</v>
      </c>
      <c r="AF46" s="53">
        <v>42</v>
      </c>
      <c r="AG46" s="53">
        <v>6</v>
      </c>
      <c r="AH46" s="53">
        <v>0</v>
      </c>
      <c r="AI46" s="5"/>
      <c r="AJ46" s="71" t="str">
        <v>GA</v>
      </c>
      <c r="AK46" s="53">
        <v>0</v>
      </c>
      <c r="AL46" s="53">
        <v>10</v>
      </c>
      <c r="AM46" s="53">
        <v>42</v>
      </c>
      <c r="AN46" s="53">
        <v>6</v>
      </c>
      <c r="AO46" s="53">
        <v>0</v>
      </c>
    </row>
    <row r="47" spans="10:41" ht="16.5" customHeight="1" x14ac:dyDescent="0.3">
      <c r="J47" s="9">
        <v>43</v>
      </c>
      <c r="K47" s="15" t="s">
        <v>35</v>
      </c>
      <c r="L47" s="15" t="s">
        <v>36</v>
      </c>
      <c r="M47" s="15" t="s">
        <v>65</v>
      </c>
      <c r="N47" s="15" t="s">
        <v>36</v>
      </c>
      <c r="O47" s="15" t="s">
        <v>19</v>
      </c>
      <c r="Q47" s="9">
        <v>8</v>
      </c>
      <c r="R47" s="9">
        <v>10</v>
      </c>
      <c r="S47" s="9">
        <v>16</v>
      </c>
      <c r="T47" s="9">
        <v>10</v>
      </c>
      <c r="U47" s="9">
        <v>5</v>
      </c>
      <c r="W47" s="24">
        <v>1</v>
      </c>
      <c r="X47" s="24">
        <v>1</v>
      </c>
      <c r="Y47" s="24">
        <v>1</v>
      </c>
      <c r="Z47" s="24">
        <v>1</v>
      </c>
      <c r="AA47" s="24">
        <v>1</v>
      </c>
      <c r="AC47" s="71" t="str">
        <v>GK</v>
      </c>
      <c r="AD47" s="53">
        <v>0</v>
      </c>
      <c r="AE47" s="53">
        <v>7</v>
      </c>
      <c r="AF47" s="53">
        <v>43</v>
      </c>
      <c r="AG47" s="53">
        <v>6</v>
      </c>
      <c r="AH47" s="53">
        <v>0</v>
      </c>
      <c r="AI47" s="5"/>
      <c r="AJ47" s="71" t="str">
        <v>GK</v>
      </c>
      <c r="AK47" s="53">
        <v>0</v>
      </c>
      <c r="AL47" s="53">
        <v>7</v>
      </c>
      <c r="AM47" s="53">
        <v>43</v>
      </c>
      <c r="AN47" s="53">
        <v>6</v>
      </c>
      <c r="AO47" s="53">
        <v>0</v>
      </c>
    </row>
    <row r="48" spans="10:41" ht="16.5" customHeight="1" x14ac:dyDescent="0.3">
      <c r="J48" s="24">
        <v>44</v>
      </c>
      <c r="K48" s="15" t="s">
        <v>37</v>
      </c>
      <c r="L48" s="15" t="s">
        <v>95</v>
      </c>
      <c r="M48" s="15" t="s">
        <v>96</v>
      </c>
      <c r="N48" s="15" t="s">
        <v>35</v>
      </c>
      <c r="O48" s="15" t="s">
        <v>35</v>
      </c>
      <c r="Q48" s="9">
        <v>7</v>
      </c>
      <c r="R48" s="9">
        <v>6</v>
      </c>
      <c r="S48" s="9">
        <v>15</v>
      </c>
      <c r="T48" s="9">
        <v>8</v>
      </c>
      <c r="U48" s="9">
        <v>8</v>
      </c>
      <c r="W48" s="24">
        <v>1</v>
      </c>
      <c r="X48" s="24">
        <v>1</v>
      </c>
      <c r="Y48" s="24">
        <v>1</v>
      </c>
      <c r="Z48" s="24">
        <v>1</v>
      </c>
      <c r="AA48" s="24">
        <v>1</v>
      </c>
      <c r="AC48" s="71" t="str">
        <v>GQ</v>
      </c>
      <c r="AD48" s="53">
        <v>0</v>
      </c>
      <c r="AE48" s="53">
        <v>3</v>
      </c>
      <c r="AF48" s="53">
        <v>6</v>
      </c>
      <c r="AG48" s="53">
        <v>1</v>
      </c>
      <c r="AH48" s="53">
        <v>0</v>
      </c>
      <c r="AI48" s="5"/>
      <c r="AJ48" s="71" t="str">
        <v>GQ</v>
      </c>
      <c r="AK48" s="53">
        <v>0</v>
      </c>
      <c r="AL48" s="53">
        <v>3</v>
      </c>
      <c r="AM48" s="53">
        <v>6</v>
      </c>
      <c r="AN48" s="53">
        <v>1</v>
      </c>
      <c r="AO48" s="53">
        <v>0</v>
      </c>
    </row>
    <row r="49" spans="10:41" ht="16.5" customHeight="1" x14ac:dyDescent="0.3">
      <c r="J49" s="9">
        <v>45</v>
      </c>
      <c r="K49" s="15" t="s">
        <v>95</v>
      </c>
      <c r="L49" s="15" t="s">
        <v>19</v>
      </c>
      <c r="M49" s="15" t="s">
        <v>64</v>
      </c>
      <c r="N49" s="15" t="s">
        <v>95</v>
      </c>
      <c r="O49" s="15" t="s">
        <v>36</v>
      </c>
      <c r="Q49" s="9">
        <v>6</v>
      </c>
      <c r="R49" s="9">
        <v>5</v>
      </c>
      <c r="S49" s="9">
        <v>14</v>
      </c>
      <c r="T49" s="9">
        <v>6</v>
      </c>
      <c r="U49" s="9">
        <v>10</v>
      </c>
      <c r="W49" s="24">
        <v>1</v>
      </c>
      <c r="X49" s="24">
        <v>1</v>
      </c>
      <c r="Y49" s="24">
        <v>1</v>
      </c>
      <c r="Z49" s="24">
        <v>1</v>
      </c>
      <c r="AA49" s="24">
        <v>1</v>
      </c>
      <c r="AC49" s="71" t="str">
        <v>GJ</v>
      </c>
      <c r="AD49" s="53">
        <v>0</v>
      </c>
      <c r="AE49" s="53">
        <v>2</v>
      </c>
      <c r="AF49" s="53">
        <v>9</v>
      </c>
      <c r="AG49" s="53">
        <v>2</v>
      </c>
      <c r="AH49" s="53">
        <v>0</v>
      </c>
      <c r="AI49" s="5"/>
      <c r="AJ49" s="71" t="str">
        <v>GJ</v>
      </c>
      <c r="AK49" s="53">
        <v>0</v>
      </c>
      <c r="AL49" s="53">
        <v>2</v>
      </c>
      <c r="AM49" s="53">
        <v>9</v>
      </c>
      <c r="AN49" s="53">
        <v>2</v>
      </c>
      <c r="AO49" s="53">
        <v>0</v>
      </c>
    </row>
    <row r="50" spans="10:41" ht="16.5" customHeight="1" x14ac:dyDescent="0.3">
      <c r="J50" s="24">
        <v>46</v>
      </c>
      <c r="K50" s="15" t="s">
        <v>35</v>
      </c>
      <c r="L50" s="15" t="s">
        <v>34</v>
      </c>
      <c r="M50" s="15" t="s">
        <v>70</v>
      </c>
      <c r="N50" s="15" t="s">
        <v>65</v>
      </c>
      <c r="O50" s="15" t="s">
        <v>19</v>
      </c>
      <c r="Q50" s="9">
        <v>8</v>
      </c>
      <c r="R50" s="9">
        <v>9</v>
      </c>
      <c r="S50" s="9">
        <v>19</v>
      </c>
      <c r="T50" s="9">
        <v>16</v>
      </c>
      <c r="U50" s="9">
        <v>5</v>
      </c>
      <c r="W50" s="24">
        <v>1</v>
      </c>
      <c r="X50" s="24">
        <v>1</v>
      </c>
      <c r="Y50" s="24">
        <v>1</v>
      </c>
      <c r="Z50" s="24">
        <v>1</v>
      </c>
      <c r="AA50" s="24">
        <v>1</v>
      </c>
      <c r="AD50" s="59">
        <f>SUM(AD30:AD49)</f>
        <v>198</v>
      </c>
      <c r="AE50" s="59">
        <f>SUM(AE30:AE49)</f>
        <v>198</v>
      </c>
      <c r="AF50" s="59">
        <f>SUM(AF30:AF49)</f>
        <v>198</v>
      </c>
      <c r="AG50" s="59">
        <f>SUM(AG30:AG49)</f>
        <v>196</v>
      </c>
      <c r="AH50" s="59">
        <f>SUM(AH30:AH49)</f>
        <v>196</v>
      </c>
      <c r="AI50" s="5"/>
      <c r="AK50" s="59">
        <f>SUM(AK30:AK49)</f>
        <v>198</v>
      </c>
      <c r="AL50" s="59">
        <f>SUM(AL30:AL49)</f>
        <v>198</v>
      </c>
      <c r="AM50" s="59">
        <f>SUM(AM30:AM49)</f>
        <v>198</v>
      </c>
      <c r="AN50" s="59">
        <f>SUM(AN30:AN49)</f>
        <v>196</v>
      </c>
      <c r="AO50" s="59">
        <f>SUM(AO30:AO49)</f>
        <v>196</v>
      </c>
    </row>
    <row r="51" spans="10:41" ht="16.5" customHeight="1" x14ac:dyDescent="0.3">
      <c r="J51" s="9">
        <v>47</v>
      </c>
      <c r="K51" s="15" t="s">
        <v>19</v>
      </c>
      <c r="L51" s="15" t="s">
        <v>95</v>
      </c>
      <c r="M51" s="15" t="s">
        <v>65</v>
      </c>
      <c r="N51" s="15" t="s">
        <v>35</v>
      </c>
      <c r="O51" s="15" t="s">
        <v>95</v>
      </c>
      <c r="Q51" s="9">
        <v>5</v>
      </c>
      <c r="R51" s="9">
        <v>6</v>
      </c>
      <c r="S51" s="9">
        <v>16</v>
      </c>
      <c r="T51" s="9">
        <v>8</v>
      </c>
      <c r="U51" s="9">
        <v>6</v>
      </c>
      <c r="W51" s="24">
        <v>1</v>
      </c>
      <c r="X51" s="24">
        <v>1</v>
      </c>
      <c r="Y51" s="24">
        <v>1</v>
      </c>
      <c r="Z51" s="24">
        <v>1</v>
      </c>
      <c r="AA51" s="24">
        <v>1</v>
      </c>
      <c r="AH51" s="5"/>
      <c r="AI51" s="5"/>
      <c r="AO51" s="5"/>
    </row>
    <row r="52" spans="10:41" ht="16.5" customHeight="1" x14ac:dyDescent="0.3">
      <c r="J52" s="24">
        <v>48</v>
      </c>
      <c r="K52" s="15" t="s">
        <v>36</v>
      </c>
      <c r="L52" s="15" t="s">
        <v>22</v>
      </c>
      <c r="M52" s="15" t="s">
        <v>81</v>
      </c>
      <c r="N52" s="15" t="s">
        <v>64</v>
      </c>
      <c r="O52" s="15" t="s">
        <v>18</v>
      </c>
      <c r="Q52" s="9">
        <v>10</v>
      </c>
      <c r="R52" s="9">
        <v>3</v>
      </c>
      <c r="S52" s="9">
        <v>17</v>
      </c>
      <c r="T52" s="9">
        <v>14</v>
      </c>
      <c r="U52" s="9">
        <v>4</v>
      </c>
      <c r="W52" s="24">
        <v>1</v>
      </c>
      <c r="X52" s="24">
        <v>1</v>
      </c>
      <c r="Y52" s="24">
        <v>1</v>
      </c>
      <c r="Z52" s="24">
        <v>1</v>
      </c>
      <c r="AA52" s="24">
        <v>1</v>
      </c>
      <c r="AC52" s="26" t="s">
        <v>98</v>
      </c>
      <c r="AH52" s="5"/>
      <c r="AI52" s="5"/>
      <c r="AJ52" s="26" t="s">
        <v>98</v>
      </c>
      <c r="AO52" s="5"/>
    </row>
    <row r="53" spans="10:41" ht="16.5" customHeight="1" x14ac:dyDescent="0.3">
      <c r="J53" s="9">
        <v>49</v>
      </c>
      <c r="K53" s="15" t="s">
        <v>35</v>
      </c>
      <c r="L53" s="15" t="s">
        <v>37</v>
      </c>
      <c r="M53" s="15" t="s">
        <v>96</v>
      </c>
      <c r="N53" s="15" t="s">
        <v>96</v>
      </c>
      <c r="O53" s="15" t="s">
        <v>37</v>
      </c>
      <c r="Q53" s="9">
        <v>8</v>
      </c>
      <c r="R53" s="9">
        <v>7</v>
      </c>
      <c r="S53" s="9">
        <v>15</v>
      </c>
      <c r="T53" s="9">
        <v>15</v>
      </c>
      <c r="U53" s="9">
        <v>7</v>
      </c>
      <c r="W53" s="24">
        <v>1</v>
      </c>
      <c r="X53" s="24">
        <v>1</v>
      </c>
      <c r="Y53" s="24">
        <v>1</v>
      </c>
      <c r="Z53" s="24">
        <v>1</v>
      </c>
      <c r="AA53" s="24">
        <v>1</v>
      </c>
      <c r="AC53" s="68" t="s">
        <v>42</v>
      </c>
      <c r="AD53" s="68" t="s">
        <v>13</v>
      </c>
      <c r="AE53" s="68" t="s">
        <v>14</v>
      </c>
      <c r="AF53" s="68" t="s">
        <v>15</v>
      </c>
      <c r="AG53" s="68" t="s">
        <v>16</v>
      </c>
      <c r="AH53" s="68" t="s">
        <v>17</v>
      </c>
      <c r="AI53" s="5"/>
      <c r="AJ53" s="68" t="s">
        <v>42</v>
      </c>
      <c r="AK53" s="68" t="s">
        <v>13</v>
      </c>
      <c r="AL53" s="68" t="s">
        <v>14</v>
      </c>
      <c r="AM53" s="68" t="s">
        <v>15</v>
      </c>
      <c r="AN53" s="68" t="s">
        <v>16</v>
      </c>
      <c r="AO53" s="68" t="s">
        <v>17</v>
      </c>
    </row>
    <row r="54" spans="10:41" ht="16.5" customHeight="1" x14ac:dyDescent="0.3">
      <c r="J54" s="24">
        <v>50</v>
      </c>
      <c r="K54" s="15" t="s">
        <v>34</v>
      </c>
      <c r="L54" s="15" t="s">
        <v>96</v>
      </c>
      <c r="M54" s="15" t="s">
        <v>63</v>
      </c>
      <c r="N54" s="15" t="s">
        <v>81</v>
      </c>
      <c r="O54" s="15" t="s">
        <v>21</v>
      </c>
      <c r="Q54" s="9">
        <v>9</v>
      </c>
      <c r="R54" s="9">
        <v>15</v>
      </c>
      <c r="S54" s="9">
        <v>13</v>
      </c>
      <c r="T54" s="9">
        <v>17</v>
      </c>
      <c r="U54" s="9">
        <v>2</v>
      </c>
      <c r="W54" s="24">
        <v>1</v>
      </c>
      <c r="X54" s="24">
        <v>1</v>
      </c>
      <c r="Y54" s="24">
        <v>1</v>
      </c>
      <c r="Z54" s="24">
        <v>1</v>
      </c>
      <c r="AA54" s="24">
        <v>1</v>
      </c>
      <c r="AC54" s="71" t="str" cm="1">
        <f t="array" ref="AC54:AC73">$A$4:$A$23</f>
        <v>WW</v>
      </c>
      <c r="AD54" s="72">
        <v>0</v>
      </c>
      <c r="AE54" s="72">
        <v>0</v>
      </c>
      <c r="AF54" s="72">
        <v>0</v>
      </c>
      <c r="AG54" s="72">
        <v>0</v>
      </c>
      <c r="AH54" s="72">
        <v>0</v>
      </c>
      <c r="AI54" s="5"/>
      <c r="AJ54" s="71" t="str" cm="1">
        <f t="array" ref="AJ54:AJ73">$A$4:$A$23</f>
        <v>WW</v>
      </c>
      <c r="AK54" s="72">
        <v>0</v>
      </c>
      <c r="AL54" s="72">
        <v>0</v>
      </c>
      <c r="AM54" s="72">
        <v>0</v>
      </c>
      <c r="AN54" s="72">
        <v>0</v>
      </c>
      <c r="AO54" s="72">
        <v>0</v>
      </c>
    </row>
    <row r="55" spans="10:41" ht="16.5" customHeight="1" x14ac:dyDescent="0.3">
      <c r="J55" s="9">
        <v>51</v>
      </c>
      <c r="K55" s="15" t="s">
        <v>19</v>
      </c>
      <c r="L55" s="15" t="s">
        <v>22</v>
      </c>
      <c r="M55" s="15" t="s">
        <v>64</v>
      </c>
      <c r="N55" s="15" t="s">
        <v>95</v>
      </c>
      <c r="O55" s="15" t="s">
        <v>95</v>
      </c>
      <c r="Q55" s="9">
        <v>5</v>
      </c>
      <c r="R55" s="9">
        <v>3</v>
      </c>
      <c r="S55" s="9">
        <v>14</v>
      </c>
      <c r="T55" s="9">
        <v>6</v>
      </c>
      <c r="U55" s="9">
        <v>6</v>
      </c>
      <c r="W55" s="24">
        <v>1</v>
      </c>
      <c r="X55" s="24">
        <v>1</v>
      </c>
      <c r="Y55" s="24">
        <v>1</v>
      </c>
      <c r="Z55" s="24">
        <v>1</v>
      </c>
      <c r="AA55" s="24">
        <v>1</v>
      </c>
      <c r="AC55" s="71" t="str">
        <v>C1</v>
      </c>
      <c r="AD55" s="71">
        <v>1</v>
      </c>
      <c r="AE55" s="71">
        <v>1</v>
      </c>
      <c r="AF55" s="71">
        <v>1</v>
      </c>
      <c r="AG55" s="71">
        <v>1</v>
      </c>
      <c r="AH55" s="71">
        <v>1</v>
      </c>
      <c r="AI55" s="5"/>
      <c r="AJ55" s="71" t="str">
        <v>C1</v>
      </c>
      <c r="AK55" s="71">
        <v>1</v>
      </c>
      <c r="AL55" s="71">
        <v>1</v>
      </c>
      <c r="AM55" s="71">
        <v>1</v>
      </c>
      <c r="AN55" s="71">
        <v>1</v>
      </c>
      <c r="AO55" s="71">
        <v>1</v>
      </c>
    </row>
    <row r="56" spans="10:41" ht="16.5" customHeight="1" x14ac:dyDescent="0.3">
      <c r="J56" s="24">
        <v>52</v>
      </c>
      <c r="K56" s="15" t="s">
        <v>35</v>
      </c>
      <c r="L56" s="15" t="s">
        <v>19</v>
      </c>
      <c r="M56" s="15" t="s">
        <v>63</v>
      </c>
      <c r="N56" s="15" t="s">
        <v>35</v>
      </c>
      <c r="O56" s="15" t="s">
        <v>37</v>
      </c>
      <c r="Q56" s="9">
        <v>8</v>
      </c>
      <c r="R56" s="9">
        <v>5</v>
      </c>
      <c r="S56" s="9">
        <v>13</v>
      </c>
      <c r="T56" s="9">
        <v>8</v>
      </c>
      <c r="U56" s="9">
        <v>7</v>
      </c>
      <c r="W56" s="24">
        <v>1</v>
      </c>
      <c r="X56" s="24">
        <v>1</v>
      </c>
      <c r="Y56" s="24">
        <v>1</v>
      </c>
      <c r="Z56" s="24">
        <v>1</v>
      </c>
      <c r="AA56" s="24">
        <v>1</v>
      </c>
      <c r="AC56" s="80" t="str">
        <v>M1</v>
      </c>
      <c r="AD56" s="66">
        <v>3</v>
      </c>
      <c r="AE56" s="66">
        <v>10</v>
      </c>
      <c r="AF56" s="66">
        <v>0</v>
      </c>
      <c r="AG56" s="66">
        <v>3</v>
      </c>
      <c r="AH56" s="66">
        <v>9</v>
      </c>
      <c r="AI56" s="5"/>
      <c r="AJ56" s="80" t="str">
        <v>M1</v>
      </c>
      <c r="AK56" s="66">
        <v>3</v>
      </c>
      <c r="AL56" s="66">
        <v>10</v>
      </c>
      <c r="AM56" s="66">
        <v>0</v>
      </c>
      <c r="AN56" s="66">
        <v>3</v>
      </c>
      <c r="AO56" s="66">
        <v>9</v>
      </c>
    </row>
    <row r="57" spans="10:41" ht="16.5" customHeight="1" x14ac:dyDescent="0.3">
      <c r="J57" s="9">
        <v>53</v>
      </c>
      <c r="K57" s="15" t="s">
        <v>21</v>
      </c>
      <c r="L57" s="15" t="s">
        <v>61</v>
      </c>
      <c r="M57" s="15" t="s">
        <v>81</v>
      </c>
      <c r="N57" s="15" t="s">
        <v>65</v>
      </c>
      <c r="O57" s="15" t="s">
        <v>19</v>
      </c>
      <c r="Q57" s="9">
        <v>2</v>
      </c>
      <c r="R57" s="9">
        <v>11</v>
      </c>
      <c r="S57" s="9">
        <v>17</v>
      </c>
      <c r="T57" s="9">
        <v>16</v>
      </c>
      <c r="U57" s="9">
        <v>5</v>
      </c>
      <c r="W57" s="24">
        <v>1</v>
      </c>
      <c r="X57" s="24">
        <v>1</v>
      </c>
      <c r="Y57" s="24">
        <v>1</v>
      </c>
      <c r="Z57" s="24">
        <v>1</v>
      </c>
      <c r="AA57" s="24">
        <v>1</v>
      </c>
      <c r="AC57" s="80" t="str">
        <v>M2</v>
      </c>
      <c r="AD57" s="66">
        <v>3</v>
      </c>
      <c r="AE57" s="66">
        <v>12</v>
      </c>
      <c r="AF57" s="66">
        <v>0</v>
      </c>
      <c r="AG57" s="66">
        <v>3</v>
      </c>
      <c r="AH57" s="66">
        <v>8</v>
      </c>
      <c r="AI57" s="5"/>
      <c r="AJ57" s="80" t="str">
        <v>M2</v>
      </c>
      <c r="AK57" s="66">
        <v>3</v>
      </c>
      <c r="AL57" s="66">
        <v>12</v>
      </c>
      <c r="AM57" s="66">
        <v>0</v>
      </c>
      <c r="AN57" s="66">
        <v>3</v>
      </c>
      <c r="AO57" s="66">
        <v>8</v>
      </c>
    </row>
    <row r="58" spans="10:41" ht="16.5" customHeight="1" x14ac:dyDescent="0.3">
      <c r="J58" s="24">
        <v>54</v>
      </c>
      <c r="K58" s="15" t="s">
        <v>35</v>
      </c>
      <c r="L58" s="15" t="s">
        <v>20</v>
      </c>
      <c r="M58" s="15" t="s">
        <v>64</v>
      </c>
      <c r="N58" s="15" t="s">
        <v>81</v>
      </c>
      <c r="O58" s="15" t="s">
        <v>35</v>
      </c>
      <c r="Q58" s="9">
        <v>8</v>
      </c>
      <c r="R58" s="9">
        <v>1</v>
      </c>
      <c r="S58" s="9">
        <v>14</v>
      </c>
      <c r="T58" s="9">
        <v>17</v>
      </c>
      <c r="U58" s="9">
        <v>8</v>
      </c>
      <c r="W58" s="24">
        <v>1</v>
      </c>
      <c r="X58" s="24">
        <v>1</v>
      </c>
      <c r="Y58" s="24">
        <v>1</v>
      </c>
      <c r="Z58" s="24">
        <v>1</v>
      </c>
      <c r="AA58" s="24">
        <v>1</v>
      </c>
      <c r="AC58" s="80" t="str">
        <v>M3</v>
      </c>
      <c r="AD58" s="66">
        <v>7</v>
      </c>
      <c r="AE58" s="66">
        <v>13</v>
      </c>
      <c r="AF58" s="66">
        <v>0</v>
      </c>
      <c r="AG58" s="66">
        <v>7</v>
      </c>
      <c r="AH58" s="66">
        <v>14</v>
      </c>
      <c r="AI58" s="5"/>
      <c r="AJ58" s="80" t="str">
        <v>M3</v>
      </c>
      <c r="AK58" s="66">
        <v>7</v>
      </c>
      <c r="AL58" s="66">
        <v>13</v>
      </c>
      <c r="AM58" s="66">
        <v>0</v>
      </c>
      <c r="AN58" s="66">
        <v>7</v>
      </c>
      <c r="AO58" s="66">
        <v>14</v>
      </c>
    </row>
    <row r="59" spans="10:41" ht="16.5" customHeight="1" x14ac:dyDescent="0.3">
      <c r="J59" s="9">
        <v>55</v>
      </c>
      <c r="K59" s="15" t="s">
        <v>95</v>
      </c>
      <c r="L59" s="15" t="s">
        <v>65</v>
      </c>
      <c r="M59" s="15" t="s">
        <v>96</v>
      </c>
      <c r="N59" s="15" t="s">
        <v>35</v>
      </c>
      <c r="O59" s="15" t="s">
        <v>34</v>
      </c>
      <c r="Q59" s="9">
        <v>6</v>
      </c>
      <c r="R59" s="9">
        <v>16</v>
      </c>
      <c r="S59" s="9">
        <v>15</v>
      </c>
      <c r="T59" s="9">
        <v>8</v>
      </c>
      <c r="U59" s="9">
        <v>9</v>
      </c>
      <c r="W59" s="24">
        <v>1</v>
      </c>
      <c r="X59" s="24">
        <v>1</v>
      </c>
      <c r="Y59" s="24">
        <v>1</v>
      </c>
      <c r="Z59" s="24">
        <v>1</v>
      </c>
      <c r="AA59" s="24">
        <v>1</v>
      </c>
      <c r="AC59" s="80" t="str">
        <v>M4</v>
      </c>
      <c r="AD59" s="66">
        <v>43</v>
      </c>
      <c r="AE59" s="66">
        <v>23</v>
      </c>
      <c r="AF59" s="66">
        <v>0</v>
      </c>
      <c r="AG59" s="66">
        <v>33</v>
      </c>
      <c r="AH59" s="66">
        <v>35</v>
      </c>
      <c r="AI59" s="5"/>
      <c r="AJ59" s="80" t="str">
        <v>M4</v>
      </c>
      <c r="AK59" s="66">
        <v>43</v>
      </c>
      <c r="AL59" s="66">
        <v>23</v>
      </c>
      <c r="AM59" s="66">
        <v>0</v>
      </c>
      <c r="AN59" s="66">
        <v>33</v>
      </c>
      <c r="AO59" s="66">
        <v>35</v>
      </c>
    </row>
    <row r="60" spans="10:41" ht="16.5" customHeight="1" x14ac:dyDescent="0.3">
      <c r="J60" s="24">
        <v>56</v>
      </c>
      <c r="K60" s="15" t="s">
        <v>18</v>
      </c>
      <c r="L60" s="15" t="s">
        <v>19</v>
      </c>
      <c r="M60" s="15" t="s">
        <v>81</v>
      </c>
      <c r="N60" s="15" t="s">
        <v>95</v>
      </c>
      <c r="O60" s="15" t="s">
        <v>35</v>
      </c>
      <c r="Q60" s="9">
        <v>4</v>
      </c>
      <c r="R60" s="9">
        <v>5</v>
      </c>
      <c r="S60" s="9">
        <v>17</v>
      </c>
      <c r="T60" s="9">
        <v>6</v>
      </c>
      <c r="U60" s="9">
        <v>8</v>
      </c>
      <c r="W60" s="24">
        <v>1</v>
      </c>
      <c r="X60" s="24">
        <v>1</v>
      </c>
      <c r="Y60" s="24">
        <v>1</v>
      </c>
      <c r="Z60" s="24">
        <v>1</v>
      </c>
      <c r="AA60" s="24">
        <v>1</v>
      </c>
      <c r="AC60" s="80" t="str">
        <v>M5</v>
      </c>
      <c r="AD60" s="66">
        <v>42</v>
      </c>
      <c r="AE60" s="66">
        <v>23</v>
      </c>
      <c r="AF60" s="66">
        <v>0</v>
      </c>
      <c r="AG60" s="66">
        <v>33</v>
      </c>
      <c r="AH60" s="66">
        <v>34</v>
      </c>
      <c r="AI60" s="5"/>
      <c r="AJ60" s="80" t="str">
        <v>M5</v>
      </c>
      <c r="AK60" s="66">
        <v>42</v>
      </c>
      <c r="AL60" s="66">
        <v>23</v>
      </c>
      <c r="AM60" s="66">
        <v>0</v>
      </c>
      <c r="AN60" s="66">
        <v>33</v>
      </c>
      <c r="AO60" s="66">
        <v>34</v>
      </c>
    </row>
    <row r="61" spans="10:41" x14ac:dyDescent="0.3">
      <c r="J61" s="9">
        <v>57</v>
      </c>
      <c r="K61" s="15" t="s">
        <v>35</v>
      </c>
      <c r="L61" s="15" t="s">
        <v>95</v>
      </c>
      <c r="M61" s="15" t="s">
        <v>96</v>
      </c>
      <c r="N61" s="15" t="s">
        <v>21</v>
      </c>
      <c r="O61" s="15" t="s">
        <v>18</v>
      </c>
      <c r="Q61" s="9">
        <v>8</v>
      </c>
      <c r="R61" s="9">
        <v>6</v>
      </c>
      <c r="S61" s="9">
        <v>15</v>
      </c>
      <c r="T61" s="9">
        <v>2</v>
      </c>
      <c r="U61" s="9">
        <v>4</v>
      </c>
      <c r="W61" s="24">
        <v>1</v>
      </c>
      <c r="X61" s="24">
        <v>1</v>
      </c>
      <c r="Y61" s="24">
        <v>1</v>
      </c>
      <c r="Z61" s="24">
        <v>1</v>
      </c>
      <c r="AA61" s="24">
        <v>1</v>
      </c>
      <c r="AC61" s="80" t="str">
        <v>A</v>
      </c>
      <c r="AD61" s="66">
        <v>43</v>
      </c>
      <c r="AE61" s="66">
        <v>27</v>
      </c>
      <c r="AF61" s="66">
        <v>0</v>
      </c>
      <c r="AG61" s="66">
        <v>33</v>
      </c>
      <c r="AH61" s="66">
        <v>34</v>
      </c>
      <c r="AI61" s="5"/>
      <c r="AJ61" s="80" t="str">
        <v>A</v>
      </c>
      <c r="AK61" s="66">
        <v>43</v>
      </c>
      <c r="AL61" s="66">
        <v>27</v>
      </c>
      <c r="AM61" s="66">
        <v>0</v>
      </c>
      <c r="AN61" s="66">
        <v>33</v>
      </c>
      <c r="AO61" s="66">
        <v>34</v>
      </c>
    </row>
    <row r="62" spans="10:41" x14ac:dyDescent="0.3">
      <c r="J62" s="24">
        <v>58</v>
      </c>
      <c r="K62" s="15" t="s">
        <v>95</v>
      </c>
      <c r="L62" s="15" t="s">
        <v>64</v>
      </c>
      <c r="M62" s="15" t="s">
        <v>65</v>
      </c>
      <c r="N62" s="15" t="s">
        <v>64</v>
      </c>
      <c r="O62" s="15" t="s">
        <v>36</v>
      </c>
      <c r="Q62" s="9">
        <v>6</v>
      </c>
      <c r="R62" s="9">
        <v>14</v>
      </c>
      <c r="S62" s="9">
        <v>16</v>
      </c>
      <c r="T62" s="9">
        <v>14</v>
      </c>
      <c r="U62" s="9">
        <v>10</v>
      </c>
      <c r="W62" s="24">
        <v>1</v>
      </c>
      <c r="X62" s="24">
        <v>1</v>
      </c>
      <c r="Y62" s="24">
        <v>1</v>
      </c>
      <c r="Z62" s="24">
        <v>1</v>
      </c>
      <c r="AA62" s="24">
        <v>1</v>
      </c>
      <c r="AC62" s="80" t="str">
        <v>K</v>
      </c>
      <c r="AD62" s="66">
        <v>43</v>
      </c>
      <c r="AE62" s="66">
        <v>25</v>
      </c>
      <c r="AF62" s="66">
        <v>0</v>
      </c>
      <c r="AG62" s="66">
        <v>34</v>
      </c>
      <c r="AH62" s="66">
        <v>34</v>
      </c>
      <c r="AI62" s="5"/>
      <c r="AJ62" s="80" t="str">
        <v>K</v>
      </c>
      <c r="AK62" s="66">
        <v>43</v>
      </c>
      <c r="AL62" s="66">
        <v>25</v>
      </c>
      <c r="AM62" s="66">
        <v>0</v>
      </c>
      <c r="AN62" s="66">
        <v>34</v>
      </c>
      <c r="AO62" s="66">
        <v>34</v>
      </c>
    </row>
    <row r="63" spans="10:41" ht="16.5" customHeight="1" x14ac:dyDescent="0.3">
      <c r="J63" s="9">
        <v>59</v>
      </c>
      <c r="K63" s="15" t="s">
        <v>35</v>
      </c>
      <c r="L63" s="15" t="s">
        <v>21</v>
      </c>
      <c r="M63" s="15" t="s">
        <v>96</v>
      </c>
      <c r="N63" s="15" t="s">
        <v>35</v>
      </c>
      <c r="O63" s="15" t="s">
        <v>18</v>
      </c>
      <c r="Q63" s="9">
        <v>8</v>
      </c>
      <c r="R63" s="9">
        <v>2</v>
      </c>
      <c r="S63" s="9">
        <v>15</v>
      </c>
      <c r="T63" s="9">
        <v>8</v>
      </c>
      <c r="U63" s="9">
        <v>4</v>
      </c>
      <c r="W63" s="24">
        <v>1</v>
      </c>
      <c r="X63" s="24">
        <v>1</v>
      </c>
      <c r="Y63" s="24">
        <v>1</v>
      </c>
      <c r="Z63" s="24">
        <v>1</v>
      </c>
      <c r="AA63" s="24">
        <v>1</v>
      </c>
      <c r="AC63" s="80" t="str">
        <v>Q</v>
      </c>
      <c r="AD63" s="66">
        <v>7</v>
      </c>
      <c r="AE63" s="66">
        <v>12</v>
      </c>
      <c r="AF63" s="66">
        <v>0</v>
      </c>
      <c r="AG63" s="66">
        <v>6</v>
      </c>
      <c r="AH63" s="66">
        <v>13</v>
      </c>
      <c r="AI63" s="5"/>
      <c r="AJ63" s="80" t="str">
        <v>Q</v>
      </c>
      <c r="AK63" s="66">
        <v>7</v>
      </c>
      <c r="AL63" s="66">
        <v>12</v>
      </c>
      <c r="AM63" s="66">
        <v>0</v>
      </c>
      <c r="AN63" s="66">
        <v>6</v>
      </c>
      <c r="AO63" s="66">
        <v>13</v>
      </c>
    </row>
    <row r="64" spans="10:41" ht="16.5" customHeight="1" x14ac:dyDescent="0.3">
      <c r="J64" s="24">
        <v>60</v>
      </c>
      <c r="K64" s="15" t="s">
        <v>19</v>
      </c>
      <c r="L64" s="15" t="s">
        <v>62</v>
      </c>
      <c r="M64" s="15" t="s">
        <v>81</v>
      </c>
      <c r="N64" s="15" t="s">
        <v>95</v>
      </c>
      <c r="O64" s="15" t="s">
        <v>37</v>
      </c>
      <c r="Q64" s="9">
        <v>5</v>
      </c>
      <c r="R64" s="9">
        <v>12</v>
      </c>
      <c r="S64" s="9">
        <v>17</v>
      </c>
      <c r="T64" s="9">
        <v>6</v>
      </c>
      <c r="U64" s="9">
        <v>7</v>
      </c>
      <c r="W64" s="24">
        <v>1</v>
      </c>
      <c r="X64" s="24">
        <v>1</v>
      </c>
      <c r="Y64" s="24">
        <v>1</v>
      </c>
      <c r="Z64" s="24">
        <v>1</v>
      </c>
      <c r="AA64" s="24">
        <v>1</v>
      </c>
      <c r="AC64" s="80" t="str">
        <v>J</v>
      </c>
      <c r="AD64" s="66">
        <v>6</v>
      </c>
      <c r="AE64" s="66">
        <v>8</v>
      </c>
      <c r="AF64" s="66">
        <v>0</v>
      </c>
      <c r="AG64" s="66">
        <v>7</v>
      </c>
      <c r="AH64" s="66">
        <v>14</v>
      </c>
      <c r="AI64" s="5"/>
      <c r="AJ64" s="80" t="str">
        <v>J</v>
      </c>
      <c r="AK64" s="66">
        <v>6</v>
      </c>
      <c r="AL64" s="66">
        <v>8</v>
      </c>
      <c r="AM64" s="66">
        <v>0</v>
      </c>
      <c r="AN64" s="66">
        <v>7</v>
      </c>
      <c r="AO64" s="66">
        <v>14</v>
      </c>
    </row>
    <row r="65" spans="10:41" ht="16.5" customHeight="1" x14ac:dyDescent="0.3">
      <c r="J65" s="9">
        <v>61</v>
      </c>
      <c r="K65" s="15" t="s">
        <v>95</v>
      </c>
      <c r="L65" s="15" t="s">
        <v>95</v>
      </c>
      <c r="M65" s="15" t="s">
        <v>63</v>
      </c>
      <c r="N65" s="15" t="s">
        <v>19</v>
      </c>
      <c r="O65" s="15" t="s">
        <v>35</v>
      </c>
      <c r="Q65" s="9">
        <v>6</v>
      </c>
      <c r="R65" s="9">
        <v>6</v>
      </c>
      <c r="S65" s="9">
        <v>13</v>
      </c>
      <c r="T65" s="9">
        <v>5</v>
      </c>
      <c r="U65" s="9">
        <v>8</v>
      </c>
      <c r="W65" s="24">
        <v>1</v>
      </c>
      <c r="X65" s="24">
        <v>1</v>
      </c>
      <c r="Y65" s="24">
        <v>1</v>
      </c>
      <c r="Z65" s="24">
        <v>1</v>
      </c>
      <c r="AA65" s="24">
        <v>1</v>
      </c>
      <c r="AC65" s="71" t="str">
        <v>G1</v>
      </c>
      <c r="AD65" s="53">
        <v>0</v>
      </c>
      <c r="AE65" s="53">
        <v>2</v>
      </c>
      <c r="AF65" s="53">
        <v>3</v>
      </c>
      <c r="AG65" s="53">
        <v>1</v>
      </c>
      <c r="AH65" s="53">
        <v>0</v>
      </c>
      <c r="AI65" s="5"/>
      <c r="AJ65" s="71" t="str">
        <v>G1</v>
      </c>
      <c r="AK65" s="53">
        <v>0</v>
      </c>
      <c r="AL65" s="53">
        <v>2</v>
      </c>
      <c r="AM65" s="53">
        <v>3</v>
      </c>
      <c r="AN65" s="53">
        <v>1</v>
      </c>
      <c r="AO65" s="53">
        <v>0</v>
      </c>
    </row>
    <row r="66" spans="10:41" ht="16.5" customHeight="1" x14ac:dyDescent="0.3">
      <c r="J66" s="24">
        <v>62</v>
      </c>
      <c r="K66" s="15" t="s">
        <v>37</v>
      </c>
      <c r="L66" s="15" t="s">
        <v>68</v>
      </c>
      <c r="M66" s="15" t="s">
        <v>81</v>
      </c>
      <c r="N66" s="15" t="s">
        <v>95</v>
      </c>
      <c r="O66" s="15" t="s">
        <v>95</v>
      </c>
      <c r="Q66" s="9">
        <v>7</v>
      </c>
      <c r="R66" s="9">
        <v>18</v>
      </c>
      <c r="S66" s="9">
        <v>17</v>
      </c>
      <c r="T66" s="9">
        <v>6</v>
      </c>
      <c r="U66" s="9">
        <v>6</v>
      </c>
      <c r="W66" s="24">
        <v>1</v>
      </c>
      <c r="X66" s="24">
        <v>1</v>
      </c>
      <c r="Y66" s="24">
        <v>1</v>
      </c>
      <c r="Z66" s="24">
        <v>1</v>
      </c>
      <c r="AA66" s="24">
        <v>1</v>
      </c>
      <c r="AC66" s="71" t="str">
        <v>G2</v>
      </c>
      <c r="AD66" s="53">
        <v>0</v>
      </c>
      <c r="AE66" s="53">
        <v>3</v>
      </c>
      <c r="AF66" s="53">
        <v>1</v>
      </c>
      <c r="AG66" s="53">
        <v>1</v>
      </c>
      <c r="AH66" s="53">
        <v>0</v>
      </c>
      <c r="AI66" s="5"/>
      <c r="AJ66" s="71" t="str">
        <v>G2</v>
      </c>
      <c r="AK66" s="53">
        <v>0</v>
      </c>
      <c r="AL66" s="53">
        <v>3</v>
      </c>
      <c r="AM66" s="53">
        <v>1</v>
      </c>
      <c r="AN66" s="53">
        <v>1</v>
      </c>
      <c r="AO66" s="53">
        <v>0</v>
      </c>
    </row>
    <row r="67" spans="10:41" ht="16.5" customHeight="1" x14ac:dyDescent="0.3">
      <c r="J67" s="9">
        <v>63</v>
      </c>
      <c r="K67" s="15" t="s">
        <v>19</v>
      </c>
      <c r="L67" s="15" t="s">
        <v>18</v>
      </c>
      <c r="M67" s="15" t="s">
        <v>65</v>
      </c>
      <c r="N67" s="15" t="s">
        <v>35</v>
      </c>
      <c r="O67" s="15" t="s">
        <v>35</v>
      </c>
      <c r="Q67" s="9">
        <v>5</v>
      </c>
      <c r="R67" s="9">
        <v>4</v>
      </c>
      <c r="S67" s="9">
        <v>16</v>
      </c>
      <c r="T67" s="9">
        <v>8</v>
      </c>
      <c r="U67" s="9">
        <v>8</v>
      </c>
      <c r="W67" s="24">
        <v>1</v>
      </c>
      <c r="X67" s="24">
        <v>1</v>
      </c>
      <c r="Y67" s="24">
        <v>1</v>
      </c>
      <c r="Z67" s="24">
        <v>1</v>
      </c>
      <c r="AA67" s="24">
        <v>1</v>
      </c>
      <c r="AC67" s="71" t="str">
        <v>G3</v>
      </c>
      <c r="AD67" s="53">
        <v>0</v>
      </c>
      <c r="AE67" s="53">
        <v>3</v>
      </c>
      <c r="AF67" s="53">
        <v>8</v>
      </c>
      <c r="AG67" s="53">
        <v>2</v>
      </c>
      <c r="AH67" s="53">
        <v>0</v>
      </c>
      <c r="AI67" s="5"/>
      <c r="AJ67" s="71" t="str">
        <v>G3</v>
      </c>
      <c r="AK67" s="53">
        <v>0</v>
      </c>
      <c r="AL67" s="53">
        <v>3</v>
      </c>
      <c r="AM67" s="53">
        <v>8</v>
      </c>
      <c r="AN67" s="53">
        <v>2</v>
      </c>
      <c r="AO67" s="53">
        <v>0</v>
      </c>
    </row>
    <row r="68" spans="10:41" ht="16.5" customHeight="1" x14ac:dyDescent="0.3">
      <c r="J68" s="24">
        <v>64</v>
      </c>
      <c r="K68" s="15" t="s">
        <v>37</v>
      </c>
      <c r="L68" s="15" t="s">
        <v>37</v>
      </c>
      <c r="M68" s="15" t="s">
        <v>64</v>
      </c>
      <c r="N68" s="15" t="s">
        <v>19</v>
      </c>
      <c r="O68" s="15" t="s">
        <v>19</v>
      </c>
      <c r="Q68" s="9">
        <v>7</v>
      </c>
      <c r="R68" s="9">
        <v>7</v>
      </c>
      <c r="S68" s="9">
        <v>14</v>
      </c>
      <c r="T68" s="9">
        <v>5</v>
      </c>
      <c r="U68" s="9">
        <v>5</v>
      </c>
      <c r="W68" s="24">
        <v>1</v>
      </c>
      <c r="X68" s="24">
        <v>1</v>
      </c>
      <c r="Y68" s="24">
        <v>1</v>
      </c>
      <c r="Z68" s="24">
        <v>1</v>
      </c>
      <c r="AA68" s="24">
        <v>1</v>
      </c>
      <c r="AC68" s="71" t="str">
        <v>G4</v>
      </c>
      <c r="AD68" s="53">
        <v>0</v>
      </c>
      <c r="AE68" s="53">
        <v>7</v>
      </c>
      <c r="AF68" s="53">
        <v>43</v>
      </c>
      <c r="AG68" s="53">
        <v>8</v>
      </c>
      <c r="AH68" s="53">
        <v>0</v>
      </c>
      <c r="AI68" s="5"/>
      <c r="AJ68" s="71" t="str">
        <v>G4</v>
      </c>
      <c r="AK68" s="53">
        <v>0</v>
      </c>
      <c r="AL68" s="53">
        <v>7</v>
      </c>
      <c r="AM68" s="53">
        <v>43</v>
      </c>
      <c r="AN68" s="53">
        <v>8</v>
      </c>
      <c r="AO68" s="53">
        <v>0</v>
      </c>
    </row>
    <row r="69" spans="10:41" ht="16.5" customHeight="1" x14ac:dyDescent="0.3">
      <c r="J69" s="9">
        <v>65</v>
      </c>
      <c r="K69" s="15" t="s">
        <v>35</v>
      </c>
      <c r="L69" s="15" t="s">
        <v>18</v>
      </c>
      <c r="M69" s="15" t="s">
        <v>96</v>
      </c>
      <c r="N69" s="15" t="s">
        <v>95</v>
      </c>
      <c r="O69" s="15" t="s">
        <v>95</v>
      </c>
      <c r="Q69" s="9">
        <v>8</v>
      </c>
      <c r="R69" s="9">
        <v>4</v>
      </c>
      <c r="S69" s="9">
        <v>15</v>
      </c>
      <c r="T69" s="9">
        <v>6</v>
      </c>
      <c r="U69" s="9">
        <v>6</v>
      </c>
      <c r="W69" s="24">
        <v>1</v>
      </c>
      <c r="X69" s="24">
        <v>1</v>
      </c>
      <c r="Y69" s="24">
        <v>1</v>
      </c>
      <c r="Z69" s="24">
        <v>1</v>
      </c>
      <c r="AA69" s="24">
        <v>1</v>
      </c>
      <c r="AC69" s="71" t="str">
        <v>G5</v>
      </c>
      <c r="AD69" s="53">
        <v>0</v>
      </c>
      <c r="AE69" s="53">
        <v>7</v>
      </c>
      <c r="AF69" s="53">
        <v>42</v>
      </c>
      <c r="AG69" s="53">
        <v>9</v>
      </c>
      <c r="AH69" s="53">
        <v>0</v>
      </c>
      <c r="AI69" s="5"/>
      <c r="AJ69" s="71" t="str">
        <v>G5</v>
      </c>
      <c r="AK69" s="53">
        <v>0</v>
      </c>
      <c r="AL69" s="53">
        <v>7</v>
      </c>
      <c r="AM69" s="53">
        <v>42</v>
      </c>
      <c r="AN69" s="53">
        <v>9</v>
      </c>
      <c r="AO69" s="53">
        <v>0</v>
      </c>
    </row>
    <row r="70" spans="10:41" ht="16.5" customHeight="1" x14ac:dyDescent="0.3">
      <c r="J70" s="24">
        <v>66</v>
      </c>
      <c r="K70" s="15" t="s">
        <v>37</v>
      </c>
      <c r="L70" s="15" t="s">
        <v>81</v>
      </c>
      <c r="M70" s="15" t="s">
        <v>81</v>
      </c>
      <c r="N70" s="15" t="s">
        <v>20</v>
      </c>
      <c r="O70" s="15" t="s">
        <v>36</v>
      </c>
      <c r="Q70" s="9">
        <v>7</v>
      </c>
      <c r="R70" s="9">
        <v>17</v>
      </c>
      <c r="S70" s="9">
        <v>17</v>
      </c>
      <c r="T70" s="9">
        <v>1</v>
      </c>
      <c r="U70" s="9">
        <v>10</v>
      </c>
      <c r="W70" s="24">
        <v>1</v>
      </c>
      <c r="X70" s="24">
        <v>1</v>
      </c>
      <c r="Y70" s="24">
        <v>1</v>
      </c>
      <c r="Z70" s="24">
        <v>1</v>
      </c>
      <c r="AA70" s="24">
        <v>1</v>
      </c>
      <c r="AC70" s="71" t="str">
        <v>GA</v>
      </c>
      <c r="AD70" s="53">
        <v>0</v>
      </c>
      <c r="AE70" s="53">
        <v>10</v>
      </c>
      <c r="AF70" s="53">
        <v>42</v>
      </c>
      <c r="AG70" s="53">
        <v>6</v>
      </c>
      <c r="AH70" s="53">
        <v>0</v>
      </c>
      <c r="AI70" s="5"/>
      <c r="AJ70" s="71" t="str">
        <v>GA</v>
      </c>
      <c r="AK70" s="53">
        <v>0</v>
      </c>
      <c r="AL70" s="53">
        <v>10</v>
      </c>
      <c r="AM70" s="53">
        <v>42</v>
      </c>
      <c r="AN70" s="53">
        <v>6</v>
      </c>
      <c r="AO70" s="53">
        <v>0</v>
      </c>
    </row>
    <row r="71" spans="10:41" ht="16.5" customHeight="1" x14ac:dyDescent="0.3">
      <c r="J71" s="9">
        <v>67</v>
      </c>
      <c r="K71" s="15" t="s">
        <v>95</v>
      </c>
      <c r="L71" s="15" t="s">
        <v>19</v>
      </c>
      <c r="M71" s="15" t="s">
        <v>64</v>
      </c>
      <c r="N71" s="15" t="s">
        <v>19</v>
      </c>
      <c r="O71" s="15" t="s">
        <v>35</v>
      </c>
      <c r="Q71" s="9">
        <v>6</v>
      </c>
      <c r="R71" s="9">
        <v>5</v>
      </c>
      <c r="S71" s="9">
        <v>14</v>
      </c>
      <c r="T71" s="9">
        <v>5</v>
      </c>
      <c r="U71" s="9">
        <v>8</v>
      </c>
      <c r="W71" s="24">
        <v>1</v>
      </c>
      <c r="X71" s="24">
        <v>1</v>
      </c>
      <c r="Y71" s="24">
        <v>1</v>
      </c>
      <c r="Z71" s="24">
        <v>1</v>
      </c>
      <c r="AA71" s="24">
        <v>1</v>
      </c>
      <c r="AC71" s="71" t="str">
        <v>GK</v>
      </c>
      <c r="AD71" s="53">
        <v>0</v>
      </c>
      <c r="AE71" s="53">
        <v>7</v>
      </c>
      <c r="AF71" s="53">
        <v>43</v>
      </c>
      <c r="AG71" s="53">
        <v>6</v>
      </c>
      <c r="AH71" s="53">
        <v>0</v>
      </c>
      <c r="AI71" s="5"/>
      <c r="AJ71" s="71" t="str">
        <v>GK</v>
      </c>
      <c r="AK71" s="53">
        <v>0</v>
      </c>
      <c r="AL71" s="53">
        <v>7</v>
      </c>
      <c r="AM71" s="53">
        <v>43</v>
      </c>
      <c r="AN71" s="53">
        <v>6</v>
      </c>
      <c r="AO71" s="53">
        <v>0</v>
      </c>
    </row>
    <row r="72" spans="10:41" ht="16.5" customHeight="1" x14ac:dyDescent="0.3">
      <c r="J72" s="24">
        <v>68</v>
      </c>
      <c r="K72" s="15" t="s">
        <v>19</v>
      </c>
      <c r="L72" s="15" t="s">
        <v>34</v>
      </c>
      <c r="M72" s="15" t="s">
        <v>81</v>
      </c>
      <c r="N72" s="15" t="s">
        <v>95</v>
      </c>
      <c r="O72" s="15" t="s">
        <v>36</v>
      </c>
      <c r="Q72" s="9">
        <v>5</v>
      </c>
      <c r="R72" s="9">
        <v>9</v>
      </c>
      <c r="S72" s="9">
        <v>17</v>
      </c>
      <c r="T72" s="9">
        <v>6</v>
      </c>
      <c r="U72" s="9">
        <v>10</v>
      </c>
      <c r="W72" s="24">
        <v>1</v>
      </c>
      <c r="X72" s="24">
        <v>1</v>
      </c>
      <c r="Y72" s="24">
        <v>1</v>
      </c>
      <c r="Z72" s="24">
        <v>1</v>
      </c>
      <c r="AA72" s="24">
        <v>1</v>
      </c>
      <c r="AC72" s="71" t="str">
        <v>GQ</v>
      </c>
      <c r="AD72" s="53">
        <v>0</v>
      </c>
      <c r="AE72" s="53">
        <v>3</v>
      </c>
      <c r="AF72" s="53">
        <v>6</v>
      </c>
      <c r="AG72" s="53">
        <v>1</v>
      </c>
      <c r="AH72" s="53">
        <v>0</v>
      </c>
      <c r="AI72" s="5"/>
      <c r="AJ72" s="71" t="str">
        <v>GQ</v>
      </c>
      <c r="AK72" s="53">
        <v>0</v>
      </c>
      <c r="AL72" s="53">
        <v>3</v>
      </c>
      <c r="AM72" s="53">
        <v>6</v>
      </c>
      <c r="AN72" s="53">
        <v>1</v>
      </c>
      <c r="AO72" s="53">
        <v>0</v>
      </c>
    </row>
    <row r="73" spans="10:41" ht="16.5" customHeight="1" x14ac:dyDescent="0.3">
      <c r="J73" s="9">
        <v>69</v>
      </c>
      <c r="K73" s="15" t="s">
        <v>35</v>
      </c>
      <c r="L73" s="15" t="s">
        <v>19</v>
      </c>
      <c r="M73" s="15" t="s">
        <v>96</v>
      </c>
      <c r="N73" s="15" t="s">
        <v>35</v>
      </c>
      <c r="O73" s="15" t="s">
        <v>19</v>
      </c>
      <c r="Q73" s="9">
        <v>8</v>
      </c>
      <c r="R73" s="9">
        <v>5</v>
      </c>
      <c r="S73" s="9">
        <v>15</v>
      </c>
      <c r="T73" s="9">
        <v>8</v>
      </c>
      <c r="U73" s="9">
        <v>5</v>
      </c>
      <c r="W73" s="24">
        <v>1</v>
      </c>
      <c r="X73" s="24">
        <v>1</v>
      </c>
      <c r="Y73" s="24">
        <v>1</v>
      </c>
      <c r="Z73" s="24">
        <v>1</v>
      </c>
      <c r="AA73" s="24">
        <v>1</v>
      </c>
      <c r="AC73" s="71" t="str">
        <v>GJ</v>
      </c>
      <c r="AD73" s="53">
        <v>0</v>
      </c>
      <c r="AE73" s="53">
        <v>2</v>
      </c>
      <c r="AF73" s="53">
        <v>9</v>
      </c>
      <c r="AG73" s="53">
        <v>2</v>
      </c>
      <c r="AH73" s="53">
        <v>0</v>
      </c>
      <c r="AI73" s="5"/>
      <c r="AJ73" s="71" t="str">
        <v>GJ</v>
      </c>
      <c r="AK73" s="53">
        <v>0</v>
      </c>
      <c r="AL73" s="53">
        <v>2</v>
      </c>
      <c r="AM73" s="53">
        <v>9</v>
      </c>
      <c r="AN73" s="53">
        <v>2</v>
      </c>
      <c r="AO73" s="53">
        <v>0</v>
      </c>
    </row>
    <row r="74" spans="10:41" ht="16.5" customHeight="1" x14ac:dyDescent="0.3">
      <c r="J74" s="24">
        <v>70</v>
      </c>
      <c r="K74" s="15" t="s">
        <v>19</v>
      </c>
      <c r="L74" s="15" t="s">
        <v>95</v>
      </c>
      <c r="M74" s="15" t="s">
        <v>81</v>
      </c>
      <c r="N74" s="15" t="s">
        <v>95</v>
      </c>
      <c r="O74" s="15" t="s">
        <v>21</v>
      </c>
      <c r="Q74" s="9">
        <v>5</v>
      </c>
      <c r="R74" s="9">
        <v>6</v>
      </c>
      <c r="S74" s="9">
        <v>17</v>
      </c>
      <c r="T74" s="9">
        <v>6</v>
      </c>
      <c r="U74" s="9">
        <v>2</v>
      </c>
      <c r="W74" s="24">
        <v>1</v>
      </c>
      <c r="X74" s="24">
        <v>1</v>
      </c>
      <c r="Y74" s="24">
        <v>1</v>
      </c>
      <c r="Z74" s="24">
        <v>1</v>
      </c>
      <c r="AA74" s="24">
        <v>1</v>
      </c>
      <c r="AD74" s="59">
        <f>SUM(AD54:AD73)</f>
        <v>198</v>
      </c>
      <c r="AE74" s="59">
        <f>SUM(AE54:AE73)</f>
        <v>198</v>
      </c>
      <c r="AF74" s="59">
        <f>SUM(AF54:AF73)</f>
        <v>198</v>
      </c>
      <c r="AG74" s="59">
        <f>SUM(AG54:AG73)</f>
        <v>196</v>
      </c>
      <c r="AH74" s="59">
        <f>SUM(AH54:AH73)</f>
        <v>196</v>
      </c>
      <c r="AI74" s="5"/>
      <c r="AK74" s="59">
        <f>SUM(AK54:AK73)</f>
        <v>198</v>
      </c>
      <c r="AL74" s="59">
        <f>SUM(AL54:AL73)</f>
        <v>198</v>
      </c>
      <c r="AM74" s="59">
        <f>SUM(AM54:AM73)</f>
        <v>198</v>
      </c>
      <c r="AN74" s="59">
        <f>SUM(AN54:AN73)</f>
        <v>196</v>
      </c>
      <c r="AO74" s="59">
        <f>SUM(AO54:AO73)</f>
        <v>196</v>
      </c>
    </row>
    <row r="75" spans="10:41" ht="16.5" customHeight="1" x14ac:dyDescent="0.3">
      <c r="J75" s="9">
        <v>71</v>
      </c>
      <c r="K75" s="15" t="s">
        <v>35</v>
      </c>
      <c r="L75" s="15" t="s">
        <v>18</v>
      </c>
      <c r="M75" s="15" t="s">
        <v>63</v>
      </c>
      <c r="N75" s="15" t="s">
        <v>19</v>
      </c>
      <c r="O75" s="15" t="s">
        <v>22</v>
      </c>
      <c r="Q75" s="9">
        <v>8</v>
      </c>
      <c r="R75" s="9">
        <v>4</v>
      </c>
      <c r="S75" s="9">
        <v>13</v>
      </c>
      <c r="T75" s="9">
        <v>5</v>
      </c>
      <c r="U75" s="9">
        <v>3</v>
      </c>
      <c r="W75" s="24">
        <v>1</v>
      </c>
      <c r="X75" s="24">
        <v>1</v>
      </c>
      <c r="Y75" s="24">
        <v>1</v>
      </c>
      <c r="Z75" s="24">
        <v>1</v>
      </c>
      <c r="AA75" s="24">
        <v>1</v>
      </c>
      <c r="AH75" s="5"/>
      <c r="AI75" s="5"/>
      <c r="AO75" s="5"/>
    </row>
    <row r="76" spans="10:41" ht="16.5" customHeight="1" x14ac:dyDescent="0.3">
      <c r="J76" s="24">
        <v>72</v>
      </c>
      <c r="K76" s="15" t="s">
        <v>21</v>
      </c>
      <c r="L76" s="15" t="s">
        <v>81</v>
      </c>
      <c r="M76" s="15" t="s">
        <v>81</v>
      </c>
      <c r="N76" s="15" t="s">
        <v>35</v>
      </c>
      <c r="O76" s="15" t="s">
        <v>37</v>
      </c>
      <c r="Q76" s="9">
        <v>2</v>
      </c>
      <c r="R76" s="9">
        <v>17</v>
      </c>
      <c r="S76" s="9">
        <v>17</v>
      </c>
      <c r="T76" s="9">
        <v>8</v>
      </c>
      <c r="U76" s="9">
        <v>7</v>
      </c>
      <c r="W76" s="24">
        <v>1</v>
      </c>
      <c r="X76" s="24">
        <v>1</v>
      </c>
      <c r="Y76" s="24">
        <v>1</v>
      </c>
      <c r="Z76" s="24">
        <v>1</v>
      </c>
      <c r="AA76" s="24">
        <v>1</v>
      </c>
      <c r="AH76" s="5"/>
      <c r="AI76" s="5"/>
      <c r="AO76" s="5"/>
    </row>
    <row r="77" spans="10:41" ht="16.5" customHeight="1" x14ac:dyDescent="0.3">
      <c r="J77" s="9">
        <v>73</v>
      </c>
      <c r="K77" s="15" t="s">
        <v>34</v>
      </c>
      <c r="L77" s="15" t="s">
        <v>18</v>
      </c>
      <c r="M77" s="15" t="s">
        <v>61</v>
      </c>
      <c r="N77" s="15" t="s">
        <v>95</v>
      </c>
      <c r="O77" s="15" t="s">
        <v>20</v>
      </c>
      <c r="Q77" s="9">
        <v>9</v>
      </c>
      <c r="R77" s="9">
        <v>4</v>
      </c>
      <c r="S77" s="9">
        <v>11</v>
      </c>
      <c r="T77" s="9">
        <v>6</v>
      </c>
      <c r="U77" s="9">
        <v>1</v>
      </c>
      <c r="W77" s="24">
        <v>1</v>
      </c>
      <c r="X77" s="24">
        <v>1</v>
      </c>
      <c r="Y77" s="24">
        <v>1</v>
      </c>
      <c r="Z77" s="24">
        <v>1</v>
      </c>
      <c r="AA77" s="24">
        <v>1</v>
      </c>
      <c r="AH77" s="5"/>
      <c r="AI77" s="5"/>
      <c r="AO77" s="5"/>
    </row>
    <row r="78" spans="10:41" ht="16.5" customHeight="1" x14ac:dyDescent="0.3">
      <c r="J78" s="24">
        <v>74</v>
      </c>
      <c r="K78" s="15" t="s">
        <v>95</v>
      </c>
      <c r="L78" s="15" t="s">
        <v>21</v>
      </c>
      <c r="M78" s="15" t="s">
        <v>64</v>
      </c>
      <c r="N78" s="15" t="s">
        <v>37</v>
      </c>
      <c r="O78" s="15" t="s">
        <v>34</v>
      </c>
      <c r="Q78" s="9">
        <v>6</v>
      </c>
      <c r="R78" s="9">
        <v>2</v>
      </c>
      <c r="S78" s="9">
        <v>14</v>
      </c>
      <c r="T78" s="9">
        <v>7</v>
      </c>
      <c r="U78" s="9">
        <v>9</v>
      </c>
      <c r="W78" s="24">
        <v>1</v>
      </c>
      <c r="X78" s="24">
        <v>1</v>
      </c>
      <c r="Y78" s="24">
        <v>1</v>
      </c>
      <c r="Z78" s="24">
        <v>1</v>
      </c>
      <c r="AA78" s="24">
        <v>1</v>
      </c>
      <c r="AH78" s="5"/>
      <c r="AI78" s="5"/>
      <c r="AO78" s="5"/>
    </row>
    <row r="79" spans="10:41" ht="16.5" customHeight="1" x14ac:dyDescent="0.3">
      <c r="J79" s="9">
        <v>75</v>
      </c>
      <c r="K79" s="15" t="s">
        <v>35</v>
      </c>
      <c r="L79" s="15" t="s">
        <v>19</v>
      </c>
      <c r="M79" s="15" t="s">
        <v>65</v>
      </c>
      <c r="N79" s="15" t="s">
        <v>35</v>
      </c>
      <c r="O79" s="15" t="s">
        <v>95</v>
      </c>
      <c r="Q79" s="9">
        <v>8</v>
      </c>
      <c r="R79" s="9">
        <v>5</v>
      </c>
      <c r="S79" s="9">
        <v>16</v>
      </c>
      <c r="T79" s="9">
        <v>8</v>
      </c>
      <c r="U79" s="9">
        <v>6</v>
      </c>
      <c r="W79" s="24">
        <v>1</v>
      </c>
      <c r="X79" s="24">
        <v>1</v>
      </c>
      <c r="Y79" s="24">
        <v>1</v>
      </c>
      <c r="Z79" s="24">
        <v>1</v>
      </c>
      <c r="AA79" s="24">
        <v>1</v>
      </c>
      <c r="AH79" s="5"/>
      <c r="AI79" s="5"/>
      <c r="AO79" s="5"/>
    </row>
    <row r="80" spans="10:41" x14ac:dyDescent="0.3">
      <c r="J80" s="24">
        <v>76</v>
      </c>
      <c r="K80" s="15" t="s">
        <v>37</v>
      </c>
      <c r="L80" s="15" t="s">
        <v>95</v>
      </c>
      <c r="M80" s="15" t="s">
        <v>63</v>
      </c>
      <c r="N80" s="15" t="s">
        <v>19</v>
      </c>
      <c r="O80" s="15" t="s">
        <v>19</v>
      </c>
      <c r="Q80" s="9">
        <v>7</v>
      </c>
      <c r="R80" s="9">
        <v>6</v>
      </c>
      <c r="S80" s="9">
        <v>13</v>
      </c>
      <c r="T80" s="9">
        <v>5</v>
      </c>
      <c r="U80" s="9">
        <v>5</v>
      </c>
      <c r="W80" s="24">
        <v>1</v>
      </c>
      <c r="X80" s="24">
        <v>1</v>
      </c>
      <c r="Y80" s="24">
        <v>1</v>
      </c>
      <c r="Z80" s="24">
        <v>1</v>
      </c>
      <c r="AA80" s="24">
        <v>1</v>
      </c>
      <c r="AH80" s="5"/>
      <c r="AI80" s="5"/>
      <c r="AO80" s="5"/>
    </row>
    <row r="81" spans="10:41" x14ac:dyDescent="0.3">
      <c r="J81" s="9">
        <v>77</v>
      </c>
      <c r="K81" s="15" t="s">
        <v>95</v>
      </c>
      <c r="L81" s="15" t="s">
        <v>37</v>
      </c>
      <c r="M81" s="15" t="s">
        <v>64</v>
      </c>
      <c r="N81" s="15" t="s">
        <v>18</v>
      </c>
      <c r="O81" s="15" t="s">
        <v>37</v>
      </c>
      <c r="Q81" s="9">
        <v>6</v>
      </c>
      <c r="R81" s="9">
        <v>7</v>
      </c>
      <c r="S81" s="9">
        <v>14</v>
      </c>
      <c r="T81" s="9">
        <v>4</v>
      </c>
      <c r="U81" s="9">
        <v>7</v>
      </c>
      <c r="W81" s="24">
        <v>1</v>
      </c>
      <c r="X81" s="24">
        <v>1</v>
      </c>
      <c r="Y81" s="24">
        <v>1</v>
      </c>
      <c r="Z81" s="24">
        <v>1</v>
      </c>
      <c r="AA81" s="24">
        <v>1</v>
      </c>
      <c r="AH81" s="5"/>
      <c r="AI81" s="5"/>
      <c r="AO81" s="5"/>
    </row>
    <row r="82" spans="10:41" x14ac:dyDescent="0.3">
      <c r="J82" s="24">
        <v>78</v>
      </c>
      <c r="K82" s="15" t="s">
        <v>37</v>
      </c>
      <c r="L82" s="15" t="s">
        <v>68</v>
      </c>
      <c r="M82" s="15" t="s">
        <v>65</v>
      </c>
      <c r="N82" s="15" t="s">
        <v>19</v>
      </c>
      <c r="O82" s="15" t="s">
        <v>35</v>
      </c>
      <c r="Q82" s="9">
        <v>7</v>
      </c>
      <c r="R82" s="9">
        <v>18</v>
      </c>
      <c r="S82" s="9">
        <v>16</v>
      </c>
      <c r="T82" s="9">
        <v>5</v>
      </c>
      <c r="U82" s="9">
        <v>8</v>
      </c>
      <c r="W82" s="24">
        <v>1</v>
      </c>
      <c r="X82" s="24">
        <v>1</v>
      </c>
      <c r="Y82" s="24">
        <v>1</v>
      </c>
      <c r="Z82" s="24">
        <v>1</v>
      </c>
      <c r="AA82" s="24">
        <v>1</v>
      </c>
      <c r="AH82" s="5"/>
      <c r="AI82" s="5"/>
      <c r="AO82" s="5"/>
    </row>
    <row r="83" spans="10:41" x14ac:dyDescent="0.3">
      <c r="J83" s="9">
        <v>79</v>
      </c>
      <c r="K83" s="15" t="s">
        <v>95</v>
      </c>
      <c r="L83" s="15" t="s">
        <v>19</v>
      </c>
      <c r="M83" s="15" t="s">
        <v>64</v>
      </c>
      <c r="N83" s="15" t="s">
        <v>35</v>
      </c>
      <c r="O83" s="15" t="s">
        <v>21</v>
      </c>
      <c r="Q83" s="9">
        <v>6</v>
      </c>
      <c r="R83" s="9">
        <v>5</v>
      </c>
      <c r="S83" s="9">
        <v>14</v>
      </c>
      <c r="T83" s="9">
        <v>8</v>
      </c>
      <c r="U83" s="9">
        <v>2</v>
      </c>
      <c r="W83" s="24">
        <v>1</v>
      </c>
      <c r="X83" s="24">
        <v>1</v>
      </c>
      <c r="Y83" s="24">
        <v>1</v>
      </c>
      <c r="Z83" s="24">
        <v>1</v>
      </c>
      <c r="AA83" s="24">
        <v>1</v>
      </c>
      <c r="AH83" s="5"/>
      <c r="AI83" s="5"/>
      <c r="AO83" s="5"/>
    </row>
    <row r="84" spans="10:41" x14ac:dyDescent="0.3">
      <c r="J84" s="24">
        <v>80</v>
      </c>
      <c r="K84" s="15" t="s">
        <v>35</v>
      </c>
      <c r="L84" s="15" t="s">
        <v>34</v>
      </c>
      <c r="M84" s="15" t="s">
        <v>81</v>
      </c>
      <c r="N84" s="15" t="s">
        <v>19</v>
      </c>
      <c r="O84" s="15" t="s">
        <v>35</v>
      </c>
      <c r="Q84" s="9">
        <v>8</v>
      </c>
      <c r="R84" s="9">
        <v>9</v>
      </c>
      <c r="S84" s="9">
        <v>17</v>
      </c>
      <c r="T84" s="9">
        <v>5</v>
      </c>
      <c r="U84" s="9">
        <v>8</v>
      </c>
      <c r="W84" s="24">
        <v>1</v>
      </c>
      <c r="X84" s="24">
        <v>1</v>
      </c>
      <c r="Y84" s="24">
        <v>1</v>
      </c>
      <c r="Z84" s="24">
        <v>1</v>
      </c>
      <c r="AA84" s="24">
        <v>1</v>
      </c>
      <c r="AH84" s="5"/>
      <c r="AI84" s="5"/>
      <c r="AO84" s="5"/>
    </row>
    <row r="85" spans="10:41" x14ac:dyDescent="0.3">
      <c r="J85" s="9">
        <v>81</v>
      </c>
      <c r="K85" s="15" t="s">
        <v>19</v>
      </c>
      <c r="L85" s="15" t="s">
        <v>95</v>
      </c>
      <c r="M85" s="15" t="s">
        <v>96</v>
      </c>
      <c r="N85" s="15" t="s">
        <v>35</v>
      </c>
      <c r="O85" s="15" t="s">
        <v>18</v>
      </c>
      <c r="Q85" s="9">
        <v>5</v>
      </c>
      <c r="R85" s="9">
        <v>6</v>
      </c>
      <c r="S85" s="9">
        <v>15</v>
      </c>
      <c r="T85" s="9">
        <v>8</v>
      </c>
      <c r="U85" s="9">
        <v>4</v>
      </c>
      <c r="W85" s="24">
        <v>1</v>
      </c>
      <c r="X85" s="24">
        <v>1</v>
      </c>
      <c r="Y85" s="24">
        <v>1</v>
      </c>
      <c r="Z85" s="24">
        <v>1</v>
      </c>
      <c r="AA85" s="24">
        <v>1</v>
      </c>
      <c r="AH85" s="5"/>
      <c r="AI85" s="5"/>
      <c r="AO85" s="5"/>
    </row>
    <row r="86" spans="10:41" x14ac:dyDescent="0.3">
      <c r="J86" s="24">
        <v>82</v>
      </c>
      <c r="K86" s="15" t="s">
        <v>35</v>
      </c>
      <c r="L86" s="15" t="s">
        <v>37</v>
      </c>
      <c r="M86" s="15" t="s">
        <v>64</v>
      </c>
      <c r="N86" s="15" t="s">
        <v>19</v>
      </c>
      <c r="O86" s="15" t="s">
        <v>19</v>
      </c>
      <c r="Q86" s="9">
        <v>8</v>
      </c>
      <c r="R86" s="9">
        <v>7</v>
      </c>
      <c r="S86" s="9">
        <v>14</v>
      </c>
      <c r="T86" s="9">
        <v>5</v>
      </c>
      <c r="U86" s="9">
        <v>5</v>
      </c>
      <c r="W86" s="24">
        <v>1</v>
      </c>
      <c r="X86" s="24">
        <v>1</v>
      </c>
      <c r="Y86" s="24">
        <v>1</v>
      </c>
      <c r="Z86" s="24">
        <v>1</v>
      </c>
      <c r="AA86" s="24">
        <v>1</v>
      </c>
      <c r="AH86" s="5"/>
      <c r="AI86" s="5"/>
      <c r="AO86" s="5"/>
    </row>
    <row r="87" spans="10:41" x14ac:dyDescent="0.3">
      <c r="J87" s="9">
        <v>83</v>
      </c>
      <c r="K87" s="15" t="s">
        <v>95</v>
      </c>
      <c r="L87" s="15" t="s">
        <v>96</v>
      </c>
      <c r="M87" s="15" t="s">
        <v>96</v>
      </c>
      <c r="N87" s="15" t="s">
        <v>96</v>
      </c>
      <c r="O87" s="15" t="s">
        <v>37</v>
      </c>
      <c r="Q87" s="9">
        <v>6</v>
      </c>
      <c r="R87" s="9">
        <v>15</v>
      </c>
      <c r="S87" s="9">
        <v>15</v>
      </c>
      <c r="T87" s="9">
        <v>15</v>
      </c>
      <c r="U87" s="9">
        <v>7</v>
      </c>
      <c r="W87" s="24">
        <v>1</v>
      </c>
      <c r="X87" s="24">
        <v>1</v>
      </c>
      <c r="Y87" s="24">
        <v>1</v>
      </c>
      <c r="Z87" s="24">
        <v>1</v>
      </c>
      <c r="AA87" s="24">
        <v>1</v>
      </c>
      <c r="AH87" s="5"/>
      <c r="AI87" s="5"/>
      <c r="AO87" s="5"/>
    </row>
    <row r="88" spans="10:41" x14ac:dyDescent="0.3">
      <c r="J88" s="24">
        <v>84</v>
      </c>
      <c r="K88" s="15" t="s">
        <v>19</v>
      </c>
      <c r="L88" s="15" t="s">
        <v>37</v>
      </c>
      <c r="M88" s="15" t="s">
        <v>81</v>
      </c>
      <c r="N88" s="15" t="s">
        <v>35</v>
      </c>
      <c r="O88" s="15" t="s">
        <v>19</v>
      </c>
      <c r="Q88" s="9">
        <v>5</v>
      </c>
      <c r="R88" s="9">
        <v>7</v>
      </c>
      <c r="S88" s="9">
        <v>17</v>
      </c>
      <c r="T88" s="9">
        <v>8</v>
      </c>
      <c r="U88" s="9">
        <v>5</v>
      </c>
      <c r="W88" s="24">
        <v>1</v>
      </c>
      <c r="X88" s="24">
        <v>1</v>
      </c>
      <c r="Y88" s="24">
        <v>1</v>
      </c>
      <c r="Z88" s="24">
        <v>1</v>
      </c>
      <c r="AA88" s="24">
        <v>1</v>
      </c>
      <c r="AH88" s="5"/>
      <c r="AI88" s="5"/>
      <c r="AO88" s="5"/>
    </row>
    <row r="89" spans="10:41" x14ac:dyDescent="0.3">
      <c r="J89" s="9">
        <v>85</v>
      </c>
      <c r="K89" s="15" t="s">
        <v>18</v>
      </c>
      <c r="L89" s="15" t="s">
        <v>18</v>
      </c>
      <c r="M89" s="15" t="s">
        <v>64</v>
      </c>
      <c r="N89" s="15" t="s">
        <v>19</v>
      </c>
      <c r="O89" s="15" t="s">
        <v>35</v>
      </c>
      <c r="Q89" s="9">
        <v>4</v>
      </c>
      <c r="R89" s="9">
        <v>4</v>
      </c>
      <c r="S89" s="9">
        <v>14</v>
      </c>
      <c r="T89" s="9">
        <v>5</v>
      </c>
      <c r="U89" s="9">
        <v>8</v>
      </c>
      <c r="W89" s="24">
        <v>1</v>
      </c>
      <c r="X89" s="24">
        <v>1</v>
      </c>
      <c r="Y89" s="24">
        <v>1</v>
      </c>
      <c r="Z89" s="24">
        <v>1</v>
      </c>
      <c r="AA89" s="24">
        <v>1</v>
      </c>
      <c r="AH89" s="5"/>
      <c r="AI89" s="5"/>
      <c r="AO89" s="5"/>
    </row>
    <row r="90" spans="10:41" x14ac:dyDescent="0.3">
      <c r="J90" s="24">
        <v>86</v>
      </c>
      <c r="K90" s="15" t="s">
        <v>19</v>
      </c>
      <c r="L90" s="15" t="s">
        <v>35</v>
      </c>
      <c r="M90" s="15" t="s">
        <v>96</v>
      </c>
      <c r="N90" s="15" t="s">
        <v>37</v>
      </c>
      <c r="O90" s="15" t="s">
        <v>36</v>
      </c>
      <c r="Q90" s="9">
        <v>5</v>
      </c>
      <c r="R90" s="9">
        <v>8</v>
      </c>
      <c r="S90" s="9">
        <v>15</v>
      </c>
      <c r="T90" s="9">
        <v>7</v>
      </c>
      <c r="U90" s="9">
        <v>10</v>
      </c>
      <c r="W90" s="24">
        <v>1</v>
      </c>
      <c r="X90" s="24">
        <v>1</v>
      </c>
      <c r="Y90" s="24">
        <v>1</v>
      </c>
      <c r="Z90" s="24">
        <v>1</v>
      </c>
      <c r="AA90" s="24">
        <v>1</v>
      </c>
      <c r="AH90" s="5"/>
      <c r="AI90" s="5"/>
      <c r="AO90" s="5"/>
    </row>
    <row r="91" spans="10:41" x14ac:dyDescent="0.3">
      <c r="J91" s="9">
        <v>87</v>
      </c>
      <c r="K91" s="15" t="s">
        <v>95</v>
      </c>
      <c r="L91" s="15" t="s">
        <v>95</v>
      </c>
      <c r="M91" s="15" t="s">
        <v>64</v>
      </c>
      <c r="N91" s="15" t="s">
        <v>95</v>
      </c>
      <c r="O91" s="15" t="s">
        <v>35</v>
      </c>
      <c r="Q91" s="9">
        <v>6</v>
      </c>
      <c r="R91" s="9">
        <v>6</v>
      </c>
      <c r="S91" s="9">
        <v>14</v>
      </c>
      <c r="T91" s="9">
        <v>6</v>
      </c>
      <c r="U91" s="9">
        <v>8</v>
      </c>
      <c r="W91" s="24">
        <v>1</v>
      </c>
      <c r="X91" s="24">
        <v>1</v>
      </c>
      <c r="Y91" s="24">
        <v>1</v>
      </c>
      <c r="Z91" s="24">
        <v>1</v>
      </c>
      <c r="AA91" s="24">
        <v>1</v>
      </c>
      <c r="AH91" s="5"/>
      <c r="AI91" s="5"/>
      <c r="AO91" s="5"/>
    </row>
    <row r="92" spans="10:41" x14ac:dyDescent="0.3">
      <c r="J92" s="24">
        <v>88</v>
      </c>
      <c r="K92" s="15" t="s">
        <v>19</v>
      </c>
      <c r="L92" s="15" t="s">
        <v>64</v>
      </c>
      <c r="M92" s="15" t="s">
        <v>62</v>
      </c>
      <c r="N92" s="15" t="s">
        <v>65</v>
      </c>
      <c r="O92" s="15" t="s">
        <v>19</v>
      </c>
      <c r="Q92" s="9">
        <v>5</v>
      </c>
      <c r="R92" s="9">
        <v>14</v>
      </c>
      <c r="S92" s="9">
        <v>12</v>
      </c>
      <c r="T92" s="9">
        <v>16</v>
      </c>
      <c r="U92" s="9">
        <v>5</v>
      </c>
      <c r="W92" s="24">
        <v>1</v>
      </c>
      <c r="X92" s="24">
        <v>1</v>
      </c>
      <c r="Y92" s="24">
        <v>1</v>
      </c>
      <c r="Z92" s="24">
        <v>1</v>
      </c>
      <c r="AA92" s="24">
        <v>1</v>
      </c>
      <c r="AH92" s="5"/>
      <c r="AI92" s="5"/>
      <c r="AO92" s="5"/>
    </row>
    <row r="93" spans="10:41" x14ac:dyDescent="0.3">
      <c r="J93" s="9">
        <v>89</v>
      </c>
      <c r="K93" s="15" t="s">
        <v>35</v>
      </c>
      <c r="L93" s="15" t="s">
        <v>37</v>
      </c>
      <c r="M93" s="15" t="s">
        <v>65</v>
      </c>
      <c r="N93" s="15" t="s">
        <v>20</v>
      </c>
      <c r="O93" s="15" t="s">
        <v>95</v>
      </c>
      <c r="Q93" s="9">
        <v>8</v>
      </c>
      <c r="R93" s="9">
        <v>7</v>
      </c>
      <c r="S93" s="9">
        <v>16</v>
      </c>
      <c r="T93" s="9">
        <v>1</v>
      </c>
      <c r="U93" s="9">
        <v>6</v>
      </c>
      <c r="W93" s="24">
        <v>1</v>
      </c>
      <c r="X93" s="24">
        <v>1</v>
      </c>
      <c r="Y93" s="24">
        <v>1</v>
      </c>
      <c r="Z93" s="24">
        <v>1</v>
      </c>
      <c r="AA93" s="24">
        <v>1</v>
      </c>
      <c r="AH93" s="5"/>
      <c r="AI93" s="5"/>
      <c r="AO93" s="5"/>
    </row>
    <row r="94" spans="10:41" x14ac:dyDescent="0.3">
      <c r="J94" s="24">
        <v>90</v>
      </c>
      <c r="K94" s="15" t="s">
        <v>95</v>
      </c>
      <c r="L94" s="15" t="s">
        <v>35</v>
      </c>
      <c r="M94" s="15" t="s">
        <v>81</v>
      </c>
      <c r="N94" s="15" t="s">
        <v>95</v>
      </c>
      <c r="O94" s="15" t="s">
        <v>35</v>
      </c>
      <c r="Q94" s="9">
        <v>6</v>
      </c>
      <c r="R94" s="9">
        <v>8</v>
      </c>
      <c r="S94" s="9">
        <v>17</v>
      </c>
      <c r="T94" s="9">
        <v>6</v>
      </c>
      <c r="U94" s="9">
        <v>8</v>
      </c>
      <c r="W94" s="24">
        <v>1</v>
      </c>
      <c r="X94" s="24">
        <v>1</v>
      </c>
      <c r="Y94" s="24">
        <v>1</v>
      </c>
      <c r="Z94" s="24">
        <v>1</v>
      </c>
      <c r="AA94" s="24">
        <v>1</v>
      </c>
      <c r="AH94" s="5"/>
      <c r="AI94" s="5"/>
      <c r="AO94" s="5"/>
    </row>
    <row r="95" spans="10:41" x14ac:dyDescent="0.3">
      <c r="J95" s="9">
        <v>91</v>
      </c>
      <c r="K95" s="15" t="s">
        <v>37</v>
      </c>
      <c r="L95" s="15" t="s">
        <v>36</v>
      </c>
      <c r="M95" s="15" t="s">
        <v>65</v>
      </c>
      <c r="N95" s="15" t="s">
        <v>19</v>
      </c>
      <c r="O95" s="15" t="s">
        <v>36</v>
      </c>
      <c r="Q95" s="9">
        <v>7</v>
      </c>
      <c r="R95" s="9">
        <v>10</v>
      </c>
      <c r="S95" s="9">
        <v>16</v>
      </c>
      <c r="T95" s="9">
        <v>5</v>
      </c>
      <c r="U95" s="9">
        <v>10</v>
      </c>
      <c r="W95" s="24">
        <v>1</v>
      </c>
      <c r="X95" s="24">
        <v>1</v>
      </c>
      <c r="Y95" s="24">
        <v>1</v>
      </c>
      <c r="Z95" s="24">
        <v>1</v>
      </c>
      <c r="AA95" s="24">
        <v>1</v>
      </c>
      <c r="AH95" s="5"/>
      <c r="AI95" s="5"/>
      <c r="AO95" s="5"/>
    </row>
    <row r="96" spans="10:41" x14ac:dyDescent="0.3">
      <c r="J96" s="24">
        <v>92</v>
      </c>
      <c r="K96" s="15" t="s">
        <v>95</v>
      </c>
      <c r="L96" s="15" t="s">
        <v>95</v>
      </c>
      <c r="M96" s="15" t="s">
        <v>81</v>
      </c>
      <c r="N96" s="15" t="s">
        <v>36</v>
      </c>
      <c r="O96" s="15" t="s">
        <v>19</v>
      </c>
      <c r="Q96" s="9">
        <v>6</v>
      </c>
      <c r="R96" s="9">
        <v>6</v>
      </c>
      <c r="S96" s="9">
        <v>17</v>
      </c>
      <c r="T96" s="9">
        <v>10</v>
      </c>
      <c r="U96" s="9">
        <v>5</v>
      </c>
      <c r="W96" s="24">
        <v>1</v>
      </c>
      <c r="X96" s="24">
        <v>1</v>
      </c>
      <c r="Y96" s="24">
        <v>1</v>
      </c>
      <c r="Z96" s="24">
        <v>1</v>
      </c>
      <c r="AA96" s="24">
        <v>1</v>
      </c>
      <c r="AH96" s="5"/>
      <c r="AI96" s="5"/>
      <c r="AO96" s="5"/>
    </row>
    <row r="97" spans="10:41" x14ac:dyDescent="0.3">
      <c r="J97" s="9">
        <v>93</v>
      </c>
      <c r="K97" s="15" t="s">
        <v>37</v>
      </c>
      <c r="L97" s="15" t="s">
        <v>34</v>
      </c>
      <c r="M97" s="15" t="s">
        <v>64</v>
      </c>
      <c r="N97" s="15" t="s">
        <v>37</v>
      </c>
      <c r="O97" s="15" t="s">
        <v>37</v>
      </c>
      <c r="Q97" s="9">
        <v>7</v>
      </c>
      <c r="R97" s="9">
        <v>9</v>
      </c>
      <c r="S97" s="9">
        <v>14</v>
      </c>
      <c r="T97" s="9">
        <v>7</v>
      </c>
      <c r="U97" s="9">
        <v>7</v>
      </c>
      <c r="W97" s="24">
        <v>1</v>
      </c>
      <c r="X97" s="24">
        <v>1</v>
      </c>
      <c r="Y97" s="24">
        <v>1</v>
      </c>
      <c r="Z97" s="24">
        <v>1</v>
      </c>
      <c r="AA97" s="24">
        <v>1</v>
      </c>
      <c r="AH97" s="5"/>
      <c r="AI97" s="5"/>
      <c r="AO97" s="5"/>
    </row>
    <row r="98" spans="10:41" x14ac:dyDescent="0.3">
      <c r="J98" s="24">
        <v>94</v>
      </c>
      <c r="K98" s="15" t="s">
        <v>35</v>
      </c>
      <c r="L98" s="15" t="s">
        <v>68</v>
      </c>
      <c r="M98" s="15" t="s">
        <v>65</v>
      </c>
      <c r="N98" s="15" t="s">
        <v>35</v>
      </c>
      <c r="O98" s="15" t="s">
        <v>19</v>
      </c>
      <c r="Q98" s="9">
        <v>8</v>
      </c>
      <c r="R98" s="9">
        <v>18</v>
      </c>
      <c r="S98" s="9">
        <v>16</v>
      </c>
      <c r="T98" s="9">
        <v>8</v>
      </c>
      <c r="U98" s="9">
        <v>5</v>
      </c>
      <c r="W98" s="24">
        <v>1</v>
      </c>
      <c r="X98" s="24">
        <v>1</v>
      </c>
      <c r="Y98" s="24">
        <v>1</v>
      </c>
      <c r="Z98" s="24">
        <v>1</v>
      </c>
      <c r="AA98" s="24">
        <v>1</v>
      </c>
      <c r="AH98" s="5"/>
      <c r="AI98" s="5"/>
      <c r="AO98" s="5"/>
    </row>
    <row r="99" spans="10:41" x14ac:dyDescent="0.3">
      <c r="J99" s="9">
        <v>95</v>
      </c>
      <c r="K99" s="15" t="s">
        <v>37</v>
      </c>
      <c r="L99" s="15" t="s">
        <v>21</v>
      </c>
      <c r="M99" s="15" t="s">
        <v>81</v>
      </c>
      <c r="N99" s="15" t="s">
        <v>64</v>
      </c>
      <c r="O99" s="15" t="s">
        <v>95</v>
      </c>
      <c r="Q99" s="9">
        <v>7</v>
      </c>
      <c r="R99" s="9">
        <v>2</v>
      </c>
      <c r="S99" s="9">
        <v>17</v>
      </c>
      <c r="T99" s="9">
        <v>14</v>
      </c>
      <c r="U99" s="9">
        <v>6</v>
      </c>
      <c r="W99" s="24">
        <v>1</v>
      </c>
      <c r="X99" s="24">
        <v>1</v>
      </c>
      <c r="Y99" s="24">
        <v>1</v>
      </c>
      <c r="Z99" s="24">
        <v>1</v>
      </c>
      <c r="AA99" s="24">
        <v>1</v>
      </c>
      <c r="AH99" s="5"/>
      <c r="AI99" s="5"/>
      <c r="AO99" s="5"/>
    </row>
    <row r="100" spans="10:41" x14ac:dyDescent="0.3">
      <c r="J100" s="24">
        <v>96</v>
      </c>
      <c r="K100" s="15" t="s">
        <v>19</v>
      </c>
      <c r="L100" s="15" t="s">
        <v>36</v>
      </c>
      <c r="M100" s="15" t="s">
        <v>96</v>
      </c>
      <c r="N100" s="15" t="s">
        <v>70</v>
      </c>
      <c r="O100" s="15" t="s">
        <v>18</v>
      </c>
      <c r="Q100" s="9">
        <v>5</v>
      </c>
      <c r="R100" s="9">
        <v>10</v>
      </c>
      <c r="S100" s="9">
        <v>15</v>
      </c>
      <c r="T100" s="9">
        <v>19</v>
      </c>
      <c r="U100" s="9">
        <v>4</v>
      </c>
      <c r="W100" s="24">
        <v>1</v>
      </c>
      <c r="X100" s="24">
        <v>1</v>
      </c>
      <c r="Y100" s="24">
        <v>1</v>
      </c>
      <c r="Z100" s="24">
        <v>1</v>
      </c>
      <c r="AA100" s="24">
        <v>1</v>
      </c>
      <c r="AH100" s="5"/>
      <c r="AI100" s="5"/>
      <c r="AO100" s="5"/>
    </row>
    <row r="101" spans="10:41" x14ac:dyDescent="0.3">
      <c r="J101" s="9">
        <v>97</v>
      </c>
      <c r="K101" s="15" t="s">
        <v>95</v>
      </c>
      <c r="L101" s="15" t="s">
        <v>34</v>
      </c>
      <c r="M101" s="15" t="s">
        <v>81</v>
      </c>
      <c r="N101" s="15" t="s">
        <v>37</v>
      </c>
      <c r="O101" s="15" t="s">
        <v>95</v>
      </c>
      <c r="Q101" s="9">
        <v>6</v>
      </c>
      <c r="R101" s="9">
        <v>9</v>
      </c>
      <c r="S101" s="9">
        <v>17</v>
      </c>
      <c r="T101" s="9">
        <v>7</v>
      </c>
      <c r="U101" s="9">
        <v>6</v>
      </c>
      <c r="W101" s="24">
        <v>1</v>
      </c>
      <c r="X101" s="24">
        <v>1</v>
      </c>
      <c r="Y101" s="24">
        <v>1</v>
      </c>
      <c r="Z101" s="24">
        <v>1</v>
      </c>
      <c r="AA101" s="24">
        <v>1</v>
      </c>
      <c r="AH101" s="5"/>
      <c r="AI101" s="5"/>
      <c r="AO101" s="5"/>
    </row>
    <row r="102" spans="10:41" x14ac:dyDescent="0.3">
      <c r="J102" s="24">
        <v>98</v>
      </c>
      <c r="K102" s="15" t="s">
        <v>35</v>
      </c>
      <c r="L102" s="15" t="s">
        <v>37</v>
      </c>
      <c r="M102" s="15" t="s">
        <v>96</v>
      </c>
      <c r="N102" s="15" t="s">
        <v>70</v>
      </c>
      <c r="O102" s="15" t="s">
        <v>35</v>
      </c>
      <c r="Q102" s="9">
        <v>8</v>
      </c>
      <c r="R102" s="9">
        <v>7</v>
      </c>
      <c r="S102" s="9">
        <v>15</v>
      </c>
      <c r="T102" s="9">
        <v>19</v>
      </c>
      <c r="U102" s="9">
        <v>8</v>
      </c>
      <c r="W102" s="24">
        <v>1</v>
      </c>
      <c r="X102" s="24">
        <v>1</v>
      </c>
      <c r="Y102" s="24">
        <v>1</v>
      </c>
      <c r="Z102" s="24">
        <v>1</v>
      </c>
      <c r="AA102" s="24">
        <v>1</v>
      </c>
      <c r="AH102" s="5"/>
      <c r="AI102" s="5"/>
      <c r="AO102" s="5"/>
    </row>
    <row r="103" spans="10:41" x14ac:dyDescent="0.3">
      <c r="J103" s="9">
        <v>99</v>
      </c>
      <c r="K103" s="15" t="s">
        <v>37</v>
      </c>
      <c r="L103" s="15" t="s">
        <v>63</v>
      </c>
      <c r="M103" s="15" t="s">
        <v>81</v>
      </c>
      <c r="N103" s="15" t="s">
        <v>35</v>
      </c>
      <c r="O103" s="15" t="s">
        <v>18</v>
      </c>
      <c r="Q103" s="9">
        <v>7</v>
      </c>
      <c r="R103" s="9">
        <v>13</v>
      </c>
      <c r="S103" s="9">
        <v>17</v>
      </c>
      <c r="T103" s="9">
        <v>8</v>
      </c>
      <c r="U103" s="9">
        <v>4</v>
      </c>
      <c r="W103" s="24">
        <v>1</v>
      </c>
      <c r="X103" s="24">
        <v>1</v>
      </c>
      <c r="Y103" s="24">
        <v>1</v>
      </c>
      <c r="Z103" s="24">
        <v>1</v>
      </c>
      <c r="AA103" s="24">
        <v>1</v>
      </c>
      <c r="AH103" s="5"/>
      <c r="AI103" s="5"/>
      <c r="AO103" s="5"/>
    </row>
    <row r="104" spans="10:41" x14ac:dyDescent="0.3">
      <c r="J104" s="24">
        <v>100</v>
      </c>
      <c r="K104" s="15" t="s">
        <v>19</v>
      </c>
      <c r="L104" s="15" t="s">
        <v>65</v>
      </c>
      <c r="M104" s="15" t="s">
        <v>64</v>
      </c>
      <c r="N104" s="15" t="s">
        <v>64</v>
      </c>
      <c r="O104" s="15" t="s">
        <v>95</v>
      </c>
      <c r="Q104" s="9">
        <v>5</v>
      </c>
      <c r="R104" s="9">
        <v>16</v>
      </c>
      <c r="S104" s="9">
        <v>14</v>
      </c>
      <c r="T104" s="9">
        <v>14</v>
      </c>
      <c r="U104" s="9">
        <v>6</v>
      </c>
      <c r="W104" s="24">
        <v>1</v>
      </c>
      <c r="X104" s="24">
        <v>1</v>
      </c>
      <c r="Y104" s="24">
        <v>1</v>
      </c>
      <c r="Z104" s="24">
        <v>1</v>
      </c>
      <c r="AA104" s="24">
        <v>1</v>
      </c>
      <c r="AH104" s="5"/>
      <c r="AI104" s="5"/>
      <c r="AO104" s="5"/>
    </row>
    <row r="105" spans="10:41" x14ac:dyDescent="0.3">
      <c r="J105" s="24">
        <v>101</v>
      </c>
      <c r="K105" s="15" t="s">
        <v>36</v>
      </c>
      <c r="L105" s="15" t="s">
        <v>36</v>
      </c>
      <c r="M105" s="15" t="s">
        <v>96</v>
      </c>
      <c r="N105" s="15" t="s">
        <v>95</v>
      </c>
      <c r="O105" s="15" t="s">
        <v>21</v>
      </c>
      <c r="Q105" s="9">
        <v>10</v>
      </c>
      <c r="R105" s="9">
        <v>10</v>
      </c>
      <c r="S105" s="9">
        <v>15</v>
      </c>
      <c r="T105" s="9">
        <v>6</v>
      </c>
      <c r="U105" s="9">
        <v>2</v>
      </c>
      <c r="W105" s="24">
        <v>1</v>
      </c>
      <c r="X105" s="24">
        <v>1</v>
      </c>
      <c r="Y105" s="24">
        <v>1</v>
      </c>
      <c r="Z105" s="24">
        <v>1</v>
      </c>
      <c r="AA105" s="24">
        <v>1</v>
      </c>
      <c r="AH105" s="5"/>
      <c r="AI105" s="5"/>
      <c r="AO105" s="5"/>
    </row>
    <row r="106" spans="10:41" x14ac:dyDescent="0.3">
      <c r="J106" s="9">
        <v>102</v>
      </c>
      <c r="K106" s="15" t="s">
        <v>95</v>
      </c>
      <c r="L106" s="15" t="s">
        <v>37</v>
      </c>
      <c r="M106" s="15" t="s">
        <v>68</v>
      </c>
      <c r="N106" s="15" t="s">
        <v>18</v>
      </c>
      <c r="O106" s="15" t="s">
        <v>18</v>
      </c>
      <c r="Q106" s="9">
        <v>6</v>
      </c>
      <c r="R106" s="9">
        <v>7</v>
      </c>
      <c r="S106" s="9">
        <v>18</v>
      </c>
      <c r="T106" s="9">
        <v>4</v>
      </c>
      <c r="U106" s="9">
        <v>4</v>
      </c>
      <c r="W106" s="24">
        <v>1</v>
      </c>
      <c r="X106" s="24">
        <v>1</v>
      </c>
      <c r="Y106" s="24">
        <v>1</v>
      </c>
      <c r="Z106" s="24">
        <v>1</v>
      </c>
      <c r="AA106" s="24">
        <v>1</v>
      </c>
      <c r="AH106" s="5"/>
      <c r="AI106" s="5"/>
      <c r="AO106" s="5"/>
    </row>
    <row r="107" spans="10:41" x14ac:dyDescent="0.3">
      <c r="J107" s="24">
        <v>103</v>
      </c>
      <c r="K107" s="15" t="s">
        <v>19</v>
      </c>
      <c r="L107" s="15" t="s">
        <v>65</v>
      </c>
      <c r="M107" s="15" t="s">
        <v>81</v>
      </c>
      <c r="N107" s="15" t="s">
        <v>96</v>
      </c>
      <c r="O107" s="15" t="s">
        <v>95</v>
      </c>
      <c r="Q107" s="9">
        <v>5</v>
      </c>
      <c r="R107" s="9">
        <v>16</v>
      </c>
      <c r="S107" s="9">
        <v>17</v>
      </c>
      <c r="T107" s="9">
        <v>15</v>
      </c>
      <c r="U107" s="9">
        <v>6</v>
      </c>
      <c r="W107" s="24">
        <v>1</v>
      </c>
      <c r="X107" s="24">
        <v>1</v>
      </c>
      <c r="Y107" s="24">
        <v>1</v>
      </c>
      <c r="Z107" s="24">
        <v>1</v>
      </c>
      <c r="AA107" s="24">
        <v>1</v>
      </c>
      <c r="AH107" s="5"/>
      <c r="AI107" s="5"/>
      <c r="AO107" s="5"/>
    </row>
    <row r="108" spans="10:41" x14ac:dyDescent="0.3">
      <c r="J108" s="9">
        <v>104</v>
      </c>
      <c r="K108" s="15" t="s">
        <v>37</v>
      </c>
      <c r="L108" s="15" t="s">
        <v>37</v>
      </c>
      <c r="M108" s="15" t="s">
        <v>96</v>
      </c>
      <c r="N108" s="15" t="s">
        <v>19</v>
      </c>
      <c r="O108" s="15" t="s">
        <v>37</v>
      </c>
      <c r="Q108" s="9">
        <v>7</v>
      </c>
      <c r="R108" s="9">
        <v>7</v>
      </c>
      <c r="S108" s="9">
        <v>15</v>
      </c>
      <c r="T108" s="9">
        <v>5</v>
      </c>
      <c r="U108" s="9">
        <v>7</v>
      </c>
      <c r="W108" s="24">
        <v>1</v>
      </c>
      <c r="X108" s="24">
        <v>1</v>
      </c>
      <c r="Y108" s="24">
        <v>1</v>
      </c>
      <c r="Z108" s="24">
        <v>1</v>
      </c>
      <c r="AA108" s="24">
        <v>1</v>
      </c>
      <c r="AH108" s="5"/>
      <c r="AI108" s="5"/>
      <c r="AO108" s="5"/>
    </row>
    <row r="109" spans="10:41" x14ac:dyDescent="0.3">
      <c r="J109" s="24">
        <v>105</v>
      </c>
      <c r="K109" s="15" t="s">
        <v>19</v>
      </c>
      <c r="L109" s="15" t="s">
        <v>65</v>
      </c>
      <c r="M109" s="15" t="s">
        <v>81</v>
      </c>
      <c r="N109" s="15" t="s">
        <v>35</v>
      </c>
      <c r="O109" s="15" t="s">
        <v>34</v>
      </c>
      <c r="Q109" s="9">
        <v>5</v>
      </c>
      <c r="R109" s="9">
        <v>16</v>
      </c>
      <c r="S109" s="9">
        <v>17</v>
      </c>
      <c r="T109" s="9">
        <v>8</v>
      </c>
      <c r="U109" s="9">
        <v>9</v>
      </c>
      <c r="W109" s="24">
        <v>1</v>
      </c>
      <c r="X109" s="24">
        <v>1</v>
      </c>
      <c r="Y109" s="24">
        <v>1</v>
      </c>
      <c r="Z109" s="24">
        <v>1</v>
      </c>
      <c r="AA109" s="24">
        <v>1</v>
      </c>
      <c r="AH109" s="5"/>
      <c r="AI109" s="5"/>
      <c r="AO109" s="5"/>
    </row>
    <row r="110" spans="10:41" x14ac:dyDescent="0.3">
      <c r="J110" s="9">
        <v>106</v>
      </c>
      <c r="K110" s="15" t="s">
        <v>37</v>
      </c>
      <c r="L110" s="15" t="s">
        <v>70</v>
      </c>
      <c r="M110" s="15" t="s">
        <v>64</v>
      </c>
      <c r="N110" s="15" t="s">
        <v>19</v>
      </c>
      <c r="O110" s="15" t="s">
        <v>37</v>
      </c>
      <c r="Q110" s="9">
        <v>7</v>
      </c>
      <c r="R110" s="9">
        <v>19</v>
      </c>
      <c r="S110" s="9">
        <v>14</v>
      </c>
      <c r="T110" s="9">
        <v>5</v>
      </c>
      <c r="U110" s="9">
        <v>7</v>
      </c>
      <c r="W110" s="24">
        <v>1</v>
      </c>
      <c r="X110" s="24">
        <v>1</v>
      </c>
      <c r="Y110" s="24">
        <v>1</v>
      </c>
      <c r="Z110" s="24">
        <v>1</v>
      </c>
      <c r="AA110" s="24">
        <v>1</v>
      </c>
      <c r="AH110" s="5"/>
      <c r="AI110" s="5"/>
      <c r="AO110" s="5"/>
    </row>
    <row r="111" spans="10:41" x14ac:dyDescent="0.3">
      <c r="J111" s="24">
        <v>107</v>
      </c>
      <c r="K111" s="15" t="s">
        <v>35</v>
      </c>
      <c r="L111" s="15" t="s">
        <v>22</v>
      </c>
      <c r="M111" s="15" t="s">
        <v>65</v>
      </c>
      <c r="N111" s="15" t="s">
        <v>37</v>
      </c>
      <c r="O111" s="15" t="s">
        <v>21</v>
      </c>
      <c r="Q111" s="9">
        <v>8</v>
      </c>
      <c r="R111" s="9">
        <v>3</v>
      </c>
      <c r="S111" s="9">
        <v>16</v>
      </c>
      <c r="T111" s="9">
        <v>7</v>
      </c>
      <c r="U111" s="9">
        <v>2</v>
      </c>
      <c r="W111" s="24">
        <v>1</v>
      </c>
      <c r="X111" s="24">
        <v>1</v>
      </c>
      <c r="Y111" s="24">
        <v>1</v>
      </c>
      <c r="Z111" s="24">
        <v>1</v>
      </c>
      <c r="AA111" s="24">
        <v>1</v>
      </c>
      <c r="AH111" s="5"/>
      <c r="AI111" s="5"/>
      <c r="AO111" s="5"/>
    </row>
    <row r="112" spans="10:41" x14ac:dyDescent="0.3">
      <c r="J112" s="9">
        <v>108</v>
      </c>
      <c r="K112" s="15" t="s">
        <v>19</v>
      </c>
      <c r="L112" s="15" t="s">
        <v>61</v>
      </c>
      <c r="M112" s="15" t="s">
        <v>96</v>
      </c>
      <c r="N112" s="15" t="s">
        <v>95</v>
      </c>
      <c r="O112" s="15" t="s">
        <v>37</v>
      </c>
      <c r="Q112" s="9">
        <v>5</v>
      </c>
      <c r="R112" s="9">
        <v>11</v>
      </c>
      <c r="S112" s="9">
        <v>15</v>
      </c>
      <c r="T112" s="9">
        <v>6</v>
      </c>
      <c r="U112" s="9">
        <v>7</v>
      </c>
      <c r="W112" s="24">
        <v>1</v>
      </c>
      <c r="X112" s="24">
        <v>1</v>
      </c>
      <c r="Y112" s="24">
        <v>1</v>
      </c>
      <c r="Z112" s="24">
        <v>1</v>
      </c>
      <c r="AA112" s="24">
        <v>1</v>
      </c>
      <c r="AH112" s="5"/>
      <c r="AI112" s="5"/>
      <c r="AO112" s="5"/>
    </row>
    <row r="113" spans="10:41" x14ac:dyDescent="0.3">
      <c r="J113" s="24">
        <v>109</v>
      </c>
      <c r="K113" s="15" t="s">
        <v>95</v>
      </c>
      <c r="L113" s="15" t="s">
        <v>18</v>
      </c>
      <c r="M113" s="15" t="s">
        <v>70</v>
      </c>
      <c r="N113" s="15" t="s">
        <v>34</v>
      </c>
      <c r="O113" s="15" t="s">
        <v>19</v>
      </c>
      <c r="Q113" s="9">
        <v>6</v>
      </c>
      <c r="R113" s="9">
        <v>4</v>
      </c>
      <c r="S113" s="9">
        <v>19</v>
      </c>
      <c r="T113" s="9">
        <v>9</v>
      </c>
      <c r="U113" s="9">
        <v>5</v>
      </c>
      <c r="W113" s="24">
        <v>1</v>
      </c>
      <c r="X113" s="24">
        <v>1</v>
      </c>
      <c r="Y113" s="24">
        <v>1</v>
      </c>
      <c r="Z113" s="24">
        <v>1</v>
      </c>
      <c r="AA113" s="24">
        <v>1</v>
      </c>
      <c r="AH113" s="5"/>
      <c r="AI113" s="5"/>
      <c r="AO113" s="5"/>
    </row>
    <row r="114" spans="10:41" x14ac:dyDescent="0.3">
      <c r="J114" s="9">
        <v>110</v>
      </c>
      <c r="K114" s="15" t="s">
        <v>19</v>
      </c>
      <c r="L114" s="15" t="s">
        <v>37</v>
      </c>
      <c r="M114" s="15" t="s">
        <v>65</v>
      </c>
      <c r="N114" s="15" t="s">
        <v>19</v>
      </c>
      <c r="O114" s="15" t="s">
        <v>95</v>
      </c>
      <c r="Q114" s="9">
        <v>5</v>
      </c>
      <c r="R114" s="9">
        <v>7</v>
      </c>
      <c r="S114" s="9">
        <v>16</v>
      </c>
      <c r="T114" s="9">
        <v>5</v>
      </c>
      <c r="U114" s="9">
        <v>6</v>
      </c>
      <c r="W114" s="24">
        <v>1</v>
      </c>
      <c r="X114" s="24">
        <v>1</v>
      </c>
      <c r="Y114" s="24">
        <v>1</v>
      </c>
      <c r="Z114" s="24">
        <v>1</v>
      </c>
      <c r="AA114" s="24">
        <v>1</v>
      </c>
      <c r="AH114" s="5"/>
      <c r="AI114" s="5"/>
      <c r="AO114" s="5"/>
    </row>
    <row r="115" spans="10:41" x14ac:dyDescent="0.3">
      <c r="J115" s="24">
        <v>111</v>
      </c>
      <c r="K115" s="15" t="s">
        <v>20</v>
      </c>
      <c r="L115" s="15" t="s">
        <v>18</v>
      </c>
      <c r="M115" s="15" t="s">
        <v>96</v>
      </c>
      <c r="N115" s="15" t="s">
        <v>37</v>
      </c>
      <c r="O115" s="15" t="s">
        <v>35</v>
      </c>
      <c r="Q115" s="9">
        <v>1</v>
      </c>
      <c r="R115" s="9">
        <v>4</v>
      </c>
      <c r="S115" s="9">
        <v>15</v>
      </c>
      <c r="T115" s="9">
        <v>7</v>
      </c>
      <c r="U115" s="9">
        <v>8</v>
      </c>
      <c r="W115" s="24">
        <v>1</v>
      </c>
      <c r="X115" s="24">
        <v>1</v>
      </c>
      <c r="Y115" s="24">
        <v>1</v>
      </c>
      <c r="Z115" s="24">
        <v>1</v>
      </c>
      <c r="AA115" s="24">
        <v>1</v>
      </c>
      <c r="AH115" s="5"/>
      <c r="AI115" s="5"/>
      <c r="AO115" s="5"/>
    </row>
    <row r="116" spans="10:41" x14ac:dyDescent="0.3">
      <c r="J116" s="9">
        <v>112</v>
      </c>
      <c r="K116" s="15" t="s">
        <v>95</v>
      </c>
      <c r="L116" s="15" t="s">
        <v>65</v>
      </c>
      <c r="M116" s="15" t="s">
        <v>111</v>
      </c>
      <c r="N116" s="15" t="s">
        <v>19</v>
      </c>
      <c r="O116" s="15" t="s">
        <v>37</v>
      </c>
      <c r="Q116" s="9">
        <v>6</v>
      </c>
      <c r="R116" s="9">
        <v>16</v>
      </c>
      <c r="S116" s="9">
        <v>12</v>
      </c>
      <c r="T116" s="9">
        <v>5</v>
      </c>
      <c r="U116" s="9">
        <v>7</v>
      </c>
      <c r="W116" s="24">
        <v>1</v>
      </c>
      <c r="X116" s="24">
        <v>1</v>
      </c>
      <c r="Y116" s="24">
        <v>1</v>
      </c>
      <c r="Z116" s="24">
        <v>1</v>
      </c>
      <c r="AA116" s="24">
        <v>1</v>
      </c>
      <c r="AH116" s="5"/>
      <c r="AI116" s="5"/>
      <c r="AO116" s="5"/>
    </row>
    <row r="117" spans="10:41" x14ac:dyDescent="0.3">
      <c r="J117" s="24">
        <v>113</v>
      </c>
      <c r="K117" s="15" t="s">
        <v>34</v>
      </c>
      <c r="L117" s="15" t="s">
        <v>22</v>
      </c>
      <c r="M117" s="15" t="s">
        <v>64</v>
      </c>
      <c r="N117" s="15" t="s">
        <v>35</v>
      </c>
      <c r="O117" s="15" t="s">
        <v>95</v>
      </c>
      <c r="Q117" s="9">
        <v>9</v>
      </c>
      <c r="R117" s="9">
        <v>3</v>
      </c>
      <c r="S117" s="9">
        <v>14</v>
      </c>
      <c r="T117" s="9">
        <v>8</v>
      </c>
      <c r="U117" s="9">
        <v>6</v>
      </c>
      <c r="W117" s="24">
        <v>1</v>
      </c>
      <c r="X117" s="24">
        <v>1</v>
      </c>
      <c r="Y117" s="24">
        <v>1</v>
      </c>
      <c r="Z117" s="24">
        <v>1</v>
      </c>
      <c r="AA117" s="24">
        <v>1</v>
      </c>
      <c r="AH117" s="5"/>
      <c r="AI117" s="5"/>
      <c r="AO117" s="5"/>
    </row>
    <row r="118" spans="10:41" x14ac:dyDescent="0.3">
      <c r="J118" s="9">
        <v>114</v>
      </c>
      <c r="K118" s="15" t="s">
        <v>35</v>
      </c>
      <c r="L118" s="15" t="s">
        <v>19</v>
      </c>
      <c r="M118" s="15" t="s">
        <v>65</v>
      </c>
      <c r="N118" s="15" t="s">
        <v>18</v>
      </c>
      <c r="O118" s="15" t="s">
        <v>19</v>
      </c>
      <c r="Q118" s="9">
        <v>8</v>
      </c>
      <c r="R118" s="9">
        <v>5</v>
      </c>
      <c r="S118" s="9">
        <v>16</v>
      </c>
      <c r="T118" s="9">
        <v>4</v>
      </c>
      <c r="U118" s="9">
        <v>5</v>
      </c>
      <c r="W118" s="24">
        <v>1</v>
      </c>
      <c r="X118" s="24">
        <v>1</v>
      </c>
      <c r="Y118" s="24">
        <v>1</v>
      </c>
      <c r="Z118" s="24">
        <v>1</v>
      </c>
      <c r="AA118" s="24">
        <v>1</v>
      </c>
      <c r="AH118" s="5"/>
      <c r="AI118" s="5"/>
      <c r="AO118" s="5"/>
    </row>
    <row r="119" spans="10:41" x14ac:dyDescent="0.3">
      <c r="J119" s="24">
        <v>115</v>
      </c>
      <c r="K119" s="15" t="s">
        <v>37</v>
      </c>
      <c r="L119" s="15" t="s">
        <v>22</v>
      </c>
      <c r="M119" s="15" t="s">
        <v>64</v>
      </c>
      <c r="N119" s="15" t="s">
        <v>37</v>
      </c>
      <c r="O119" s="15" t="s">
        <v>95</v>
      </c>
      <c r="Q119" s="9">
        <v>7</v>
      </c>
      <c r="R119" s="9">
        <v>3</v>
      </c>
      <c r="S119" s="9">
        <v>14</v>
      </c>
      <c r="T119" s="9">
        <v>7</v>
      </c>
      <c r="U119" s="9">
        <v>6</v>
      </c>
      <c r="W119" s="24">
        <v>1</v>
      </c>
      <c r="X119" s="24">
        <v>1</v>
      </c>
      <c r="Y119" s="24">
        <v>1</v>
      </c>
      <c r="Z119" s="24">
        <v>1</v>
      </c>
      <c r="AA119" s="24">
        <v>1</v>
      </c>
      <c r="AH119" s="5"/>
      <c r="AI119" s="5"/>
      <c r="AO119" s="5"/>
    </row>
    <row r="120" spans="10:41" x14ac:dyDescent="0.3">
      <c r="J120" s="9">
        <v>116</v>
      </c>
      <c r="K120" s="15" t="s">
        <v>36</v>
      </c>
      <c r="L120" s="15" t="s">
        <v>65</v>
      </c>
      <c r="M120" s="15" t="s">
        <v>96</v>
      </c>
      <c r="N120" s="15" t="s">
        <v>22</v>
      </c>
      <c r="O120" s="15" t="s">
        <v>35</v>
      </c>
      <c r="Q120" s="9">
        <v>10</v>
      </c>
      <c r="R120" s="9">
        <v>16</v>
      </c>
      <c r="S120" s="9">
        <v>15</v>
      </c>
      <c r="T120" s="9">
        <v>3</v>
      </c>
      <c r="U120" s="9">
        <v>8</v>
      </c>
      <c r="W120" s="24">
        <v>1</v>
      </c>
      <c r="X120" s="24">
        <v>1</v>
      </c>
      <c r="Y120" s="24">
        <v>1</v>
      </c>
      <c r="Z120" s="24">
        <v>1</v>
      </c>
      <c r="AA120" s="24">
        <v>1</v>
      </c>
      <c r="AH120" s="5"/>
      <c r="AI120" s="5"/>
      <c r="AO120" s="5"/>
    </row>
    <row r="121" spans="10:41" x14ac:dyDescent="0.3">
      <c r="J121" s="24">
        <v>117</v>
      </c>
      <c r="K121" s="15" t="s">
        <v>37</v>
      </c>
      <c r="L121" s="15" t="s">
        <v>18</v>
      </c>
      <c r="M121" s="15" t="s">
        <v>65</v>
      </c>
      <c r="N121" s="15" t="s">
        <v>37</v>
      </c>
      <c r="O121" s="15" t="s">
        <v>95</v>
      </c>
      <c r="Q121" s="9">
        <v>7</v>
      </c>
      <c r="R121" s="9">
        <v>4</v>
      </c>
      <c r="S121" s="9">
        <v>16</v>
      </c>
      <c r="T121" s="9">
        <v>7</v>
      </c>
      <c r="U121" s="9">
        <v>6</v>
      </c>
      <c r="W121" s="24">
        <v>1</v>
      </c>
      <c r="X121" s="24">
        <v>1</v>
      </c>
      <c r="Y121" s="24">
        <v>1</v>
      </c>
      <c r="Z121" s="24">
        <v>1</v>
      </c>
      <c r="AA121" s="24">
        <v>1</v>
      </c>
      <c r="AH121" s="5"/>
      <c r="AI121" s="5"/>
      <c r="AO121" s="5"/>
    </row>
    <row r="122" spans="10:41" x14ac:dyDescent="0.3">
      <c r="J122" s="9">
        <v>118</v>
      </c>
      <c r="K122" s="15" t="s">
        <v>34</v>
      </c>
      <c r="L122" s="15" t="s">
        <v>96</v>
      </c>
      <c r="M122" s="15" t="s">
        <v>81</v>
      </c>
      <c r="N122" s="15" t="s">
        <v>95</v>
      </c>
      <c r="O122" s="15" t="s">
        <v>22</v>
      </c>
      <c r="Q122" s="9">
        <v>9</v>
      </c>
      <c r="R122" s="9">
        <v>15</v>
      </c>
      <c r="S122" s="9">
        <v>17</v>
      </c>
      <c r="T122" s="9">
        <v>6</v>
      </c>
      <c r="U122" s="9">
        <v>3</v>
      </c>
      <c r="W122" s="24">
        <v>1</v>
      </c>
      <c r="X122" s="24">
        <v>1</v>
      </c>
      <c r="Y122" s="24">
        <v>1</v>
      </c>
      <c r="Z122" s="24">
        <v>1</v>
      </c>
      <c r="AA122" s="24">
        <v>1</v>
      </c>
      <c r="AH122" s="5"/>
      <c r="AI122" s="5"/>
      <c r="AO122" s="5"/>
    </row>
    <row r="123" spans="10:41" x14ac:dyDescent="0.3">
      <c r="J123" s="24">
        <v>119</v>
      </c>
      <c r="K123" s="15" t="s">
        <v>95</v>
      </c>
      <c r="L123" s="15" t="s">
        <v>95</v>
      </c>
      <c r="M123" s="15" t="s">
        <v>65</v>
      </c>
      <c r="N123" s="15" t="s">
        <v>19</v>
      </c>
      <c r="O123" s="15" t="s">
        <v>19</v>
      </c>
      <c r="Q123" s="9">
        <v>6</v>
      </c>
      <c r="R123" s="9">
        <v>6</v>
      </c>
      <c r="S123" s="9">
        <v>16</v>
      </c>
      <c r="T123" s="9">
        <v>5</v>
      </c>
      <c r="U123" s="9">
        <v>5</v>
      </c>
      <c r="W123" s="24">
        <v>1</v>
      </c>
      <c r="X123" s="24">
        <v>1</v>
      </c>
      <c r="Y123" s="24">
        <v>1</v>
      </c>
      <c r="Z123" s="24">
        <v>1</v>
      </c>
      <c r="AA123" s="24">
        <v>1</v>
      </c>
      <c r="AH123" s="5"/>
      <c r="AI123" s="5"/>
      <c r="AO123" s="5"/>
    </row>
    <row r="124" spans="10:41" x14ac:dyDescent="0.3">
      <c r="J124" s="9">
        <v>120</v>
      </c>
      <c r="K124" s="15" t="s">
        <v>35</v>
      </c>
      <c r="L124" s="15" t="s">
        <v>22</v>
      </c>
      <c r="M124" s="15" t="s">
        <v>64</v>
      </c>
      <c r="N124" s="15" t="s">
        <v>35</v>
      </c>
      <c r="O124" s="15" t="s">
        <v>35</v>
      </c>
      <c r="Q124" s="9">
        <v>8</v>
      </c>
      <c r="R124" s="9">
        <v>3</v>
      </c>
      <c r="S124" s="9">
        <v>14</v>
      </c>
      <c r="T124" s="9">
        <v>8</v>
      </c>
      <c r="U124" s="9">
        <v>8</v>
      </c>
      <c r="W124" s="24">
        <v>1</v>
      </c>
      <c r="X124" s="24">
        <v>1</v>
      </c>
      <c r="Y124" s="24">
        <v>1</v>
      </c>
      <c r="Z124" s="24">
        <v>1</v>
      </c>
      <c r="AA124" s="24">
        <v>1</v>
      </c>
      <c r="AH124" s="5"/>
      <c r="AI124" s="5"/>
      <c r="AO124" s="5"/>
    </row>
    <row r="125" spans="10:41" x14ac:dyDescent="0.3">
      <c r="J125" s="24">
        <v>121</v>
      </c>
      <c r="K125" s="15" t="s">
        <v>19</v>
      </c>
      <c r="L125" s="15" t="s">
        <v>36</v>
      </c>
      <c r="M125" s="15" t="s">
        <v>65</v>
      </c>
      <c r="N125" s="15" t="s">
        <v>37</v>
      </c>
      <c r="O125" s="15" t="s">
        <v>37</v>
      </c>
      <c r="Q125" s="9">
        <v>5</v>
      </c>
      <c r="R125" s="9">
        <v>10</v>
      </c>
      <c r="S125" s="9">
        <v>16</v>
      </c>
      <c r="T125" s="9">
        <v>7</v>
      </c>
      <c r="U125" s="9">
        <v>7</v>
      </c>
      <c r="W125" s="24">
        <v>1</v>
      </c>
      <c r="X125" s="24">
        <v>1</v>
      </c>
      <c r="Y125" s="24">
        <v>1</v>
      </c>
      <c r="Z125" s="24">
        <v>1</v>
      </c>
      <c r="AA125" s="24">
        <v>1</v>
      </c>
      <c r="AH125" s="5"/>
      <c r="AI125" s="5"/>
      <c r="AO125" s="5"/>
    </row>
    <row r="126" spans="10:41" x14ac:dyDescent="0.3">
      <c r="J126" s="9">
        <v>122</v>
      </c>
      <c r="K126" s="15" t="s">
        <v>95</v>
      </c>
      <c r="L126" s="15" t="s">
        <v>35</v>
      </c>
      <c r="M126" s="15" t="s">
        <v>81</v>
      </c>
      <c r="N126" s="15" t="s">
        <v>19</v>
      </c>
      <c r="O126" s="15" t="s">
        <v>35</v>
      </c>
      <c r="Q126" s="9">
        <v>6</v>
      </c>
      <c r="R126" s="9">
        <v>8</v>
      </c>
      <c r="S126" s="9">
        <v>17</v>
      </c>
      <c r="T126" s="9">
        <v>5</v>
      </c>
      <c r="U126" s="9">
        <v>8</v>
      </c>
      <c r="W126" s="24">
        <v>1</v>
      </c>
      <c r="X126" s="24">
        <v>1</v>
      </c>
      <c r="Y126" s="24">
        <v>1</v>
      </c>
      <c r="Z126" s="24">
        <v>1</v>
      </c>
      <c r="AA126" s="24">
        <v>1</v>
      </c>
      <c r="AH126" s="5"/>
      <c r="AI126" s="5"/>
      <c r="AO126" s="5"/>
    </row>
    <row r="127" spans="10:41" x14ac:dyDescent="0.3">
      <c r="J127" s="24">
        <v>123</v>
      </c>
      <c r="K127" s="15" t="s">
        <v>34</v>
      </c>
      <c r="L127" s="15" t="s">
        <v>64</v>
      </c>
      <c r="M127" s="15" t="s">
        <v>64</v>
      </c>
      <c r="N127" s="15" t="s">
        <v>61</v>
      </c>
      <c r="O127" s="15" t="s">
        <v>19</v>
      </c>
      <c r="Q127" s="9">
        <v>9</v>
      </c>
      <c r="R127" s="9">
        <v>14</v>
      </c>
      <c r="S127" s="9">
        <v>14</v>
      </c>
      <c r="T127" s="9">
        <v>11</v>
      </c>
      <c r="U127" s="9">
        <v>5</v>
      </c>
      <c r="W127" s="24">
        <v>1</v>
      </c>
      <c r="X127" s="24">
        <v>1</v>
      </c>
      <c r="Y127" s="24">
        <v>1</v>
      </c>
      <c r="Z127" s="24">
        <v>1</v>
      </c>
      <c r="AA127" s="24">
        <v>1</v>
      </c>
      <c r="AH127" s="5"/>
      <c r="AI127" s="5"/>
      <c r="AO127" s="5"/>
    </row>
    <row r="128" spans="10:41" x14ac:dyDescent="0.3">
      <c r="J128" s="9">
        <v>124</v>
      </c>
      <c r="K128" s="15" t="s">
        <v>95</v>
      </c>
      <c r="L128" s="15" t="s">
        <v>65</v>
      </c>
      <c r="M128" s="15" t="s">
        <v>96</v>
      </c>
      <c r="N128" s="15" t="s">
        <v>37</v>
      </c>
      <c r="O128" s="15" t="s">
        <v>36</v>
      </c>
      <c r="Q128" s="9">
        <v>6</v>
      </c>
      <c r="R128" s="9">
        <v>16</v>
      </c>
      <c r="S128" s="9">
        <v>15</v>
      </c>
      <c r="T128" s="9">
        <v>7</v>
      </c>
      <c r="U128" s="9">
        <v>10</v>
      </c>
      <c r="W128" s="24">
        <v>1</v>
      </c>
      <c r="X128" s="24">
        <v>1</v>
      </c>
      <c r="Y128" s="24">
        <v>1</v>
      </c>
      <c r="Z128" s="24">
        <v>1</v>
      </c>
      <c r="AA128" s="24">
        <v>1</v>
      </c>
      <c r="AH128" s="5"/>
      <c r="AI128" s="5"/>
      <c r="AO128" s="5"/>
    </row>
    <row r="129" spans="10:41" x14ac:dyDescent="0.3">
      <c r="J129" s="24">
        <v>125</v>
      </c>
      <c r="K129" s="15" t="s">
        <v>36</v>
      </c>
      <c r="L129" s="15" t="s">
        <v>35</v>
      </c>
      <c r="M129" s="15" t="s">
        <v>65</v>
      </c>
      <c r="N129" s="15" t="s">
        <v>36</v>
      </c>
      <c r="O129" s="15" t="s">
        <v>19</v>
      </c>
      <c r="Q129" s="9">
        <v>10</v>
      </c>
      <c r="R129" s="9">
        <v>8</v>
      </c>
      <c r="S129" s="9">
        <v>16</v>
      </c>
      <c r="T129" s="9">
        <v>10</v>
      </c>
      <c r="U129" s="9">
        <v>5</v>
      </c>
      <c r="W129" s="24">
        <v>1</v>
      </c>
      <c r="X129" s="24">
        <v>1</v>
      </c>
      <c r="Y129" s="24">
        <v>1</v>
      </c>
      <c r="Z129" s="24">
        <v>1</v>
      </c>
      <c r="AA129" s="24">
        <v>1</v>
      </c>
      <c r="AH129" s="5"/>
      <c r="AI129" s="5"/>
      <c r="AO129" s="5"/>
    </row>
    <row r="130" spans="10:41" x14ac:dyDescent="0.3">
      <c r="J130" s="9">
        <v>126</v>
      </c>
      <c r="K130" s="15" t="s">
        <v>19</v>
      </c>
      <c r="L130" s="15" t="s">
        <v>64</v>
      </c>
      <c r="M130" s="15" t="s">
        <v>68</v>
      </c>
      <c r="N130" s="15" t="s">
        <v>18</v>
      </c>
      <c r="O130" s="15" t="s">
        <v>35</v>
      </c>
      <c r="Q130" s="9">
        <v>5</v>
      </c>
      <c r="R130" s="9">
        <v>14</v>
      </c>
      <c r="S130" s="9">
        <v>18</v>
      </c>
      <c r="T130" s="9">
        <v>4</v>
      </c>
      <c r="U130" s="9">
        <v>8</v>
      </c>
      <c r="W130" s="24">
        <v>1</v>
      </c>
      <c r="X130" s="24">
        <v>1</v>
      </c>
      <c r="Y130" s="24">
        <v>1</v>
      </c>
      <c r="Z130" s="24">
        <v>1</v>
      </c>
      <c r="AA130" s="24">
        <v>1</v>
      </c>
      <c r="AH130" s="5"/>
      <c r="AI130" s="5"/>
      <c r="AO130" s="5"/>
    </row>
    <row r="131" spans="10:41" x14ac:dyDescent="0.3">
      <c r="J131" s="24">
        <v>127</v>
      </c>
      <c r="K131" s="15" t="s">
        <v>95</v>
      </c>
      <c r="L131" s="15" t="s">
        <v>35</v>
      </c>
      <c r="M131" s="15" t="s">
        <v>64</v>
      </c>
      <c r="N131" s="15" t="s">
        <v>95</v>
      </c>
      <c r="O131" s="15" t="s">
        <v>19</v>
      </c>
      <c r="Q131" s="9">
        <v>6</v>
      </c>
      <c r="R131" s="9">
        <v>8</v>
      </c>
      <c r="S131" s="9">
        <v>14</v>
      </c>
      <c r="T131" s="9">
        <v>6</v>
      </c>
      <c r="U131" s="9">
        <v>5</v>
      </c>
      <c r="W131" s="24">
        <v>1</v>
      </c>
      <c r="X131" s="24">
        <v>1</v>
      </c>
      <c r="Y131" s="24">
        <v>1</v>
      </c>
      <c r="Z131" s="24">
        <v>1</v>
      </c>
      <c r="AA131" s="24">
        <v>1</v>
      </c>
      <c r="AH131" s="5"/>
      <c r="AI131" s="5"/>
      <c r="AO131" s="5"/>
    </row>
    <row r="132" spans="10:41" x14ac:dyDescent="0.3">
      <c r="J132" s="9">
        <v>128</v>
      </c>
      <c r="K132" s="15" t="s">
        <v>18</v>
      </c>
      <c r="L132" s="15" t="s">
        <v>95</v>
      </c>
      <c r="M132" s="15" t="s">
        <v>96</v>
      </c>
      <c r="N132" s="15" t="s">
        <v>37</v>
      </c>
      <c r="O132" s="15" t="s">
        <v>35</v>
      </c>
      <c r="Q132" s="9">
        <v>4</v>
      </c>
      <c r="R132" s="9">
        <v>6</v>
      </c>
      <c r="S132" s="9">
        <v>15</v>
      </c>
      <c r="T132" s="9">
        <v>7</v>
      </c>
      <c r="U132" s="9">
        <v>8</v>
      </c>
      <c r="W132" s="24">
        <v>1</v>
      </c>
      <c r="X132" s="24">
        <v>1</v>
      </c>
      <c r="Y132" s="24">
        <v>1</v>
      </c>
      <c r="Z132" s="24">
        <v>1</v>
      </c>
      <c r="AA132" s="24">
        <v>1</v>
      </c>
      <c r="AH132" s="5"/>
      <c r="AI132" s="5"/>
      <c r="AO132" s="5"/>
    </row>
    <row r="133" spans="10:41" x14ac:dyDescent="0.3">
      <c r="J133" s="24">
        <v>129</v>
      </c>
      <c r="K133" s="15" t="s">
        <v>37</v>
      </c>
      <c r="L133" s="15" t="s">
        <v>19</v>
      </c>
      <c r="M133" s="15" t="s">
        <v>65</v>
      </c>
      <c r="N133" s="15" t="s">
        <v>35</v>
      </c>
      <c r="O133" s="15" t="s">
        <v>34</v>
      </c>
      <c r="Q133" s="9">
        <v>7</v>
      </c>
      <c r="R133" s="9">
        <v>5</v>
      </c>
      <c r="S133" s="9">
        <v>16</v>
      </c>
      <c r="T133" s="9">
        <v>8</v>
      </c>
      <c r="U133" s="9">
        <v>9</v>
      </c>
      <c r="W133" s="24">
        <v>1</v>
      </c>
      <c r="X133" s="24">
        <v>1</v>
      </c>
      <c r="Y133" s="24">
        <v>1</v>
      </c>
      <c r="Z133" s="24">
        <v>1</v>
      </c>
      <c r="AA133" s="24">
        <v>1</v>
      </c>
      <c r="AH133" s="5"/>
      <c r="AI133" s="5"/>
      <c r="AO133" s="5"/>
    </row>
    <row r="134" spans="10:41" x14ac:dyDescent="0.3">
      <c r="J134" s="9">
        <v>130</v>
      </c>
      <c r="K134" s="15" t="s">
        <v>95</v>
      </c>
      <c r="L134" s="15" t="s">
        <v>35</v>
      </c>
      <c r="M134" s="15" t="s">
        <v>68</v>
      </c>
      <c r="N134" s="15" t="s">
        <v>21</v>
      </c>
      <c r="O134" s="15" t="s">
        <v>21</v>
      </c>
      <c r="Q134" s="9">
        <v>6</v>
      </c>
      <c r="R134" s="9">
        <v>8</v>
      </c>
      <c r="S134" s="9">
        <v>18</v>
      </c>
      <c r="T134" s="9">
        <v>2</v>
      </c>
      <c r="U134" s="9">
        <v>2</v>
      </c>
      <c r="W134" s="24">
        <v>1</v>
      </c>
      <c r="X134" s="24">
        <v>1</v>
      </c>
      <c r="Y134" s="24">
        <v>1</v>
      </c>
      <c r="Z134" s="24">
        <v>1</v>
      </c>
      <c r="AA134" s="24">
        <v>1</v>
      </c>
      <c r="AH134" s="5"/>
      <c r="AI134" s="5"/>
      <c r="AO134" s="5"/>
    </row>
    <row r="135" spans="10:41" x14ac:dyDescent="0.3">
      <c r="J135" s="24">
        <v>131</v>
      </c>
      <c r="K135" s="15" t="s">
        <v>37</v>
      </c>
      <c r="L135" s="15" t="s">
        <v>63</v>
      </c>
      <c r="M135" s="15" t="s">
        <v>64</v>
      </c>
      <c r="N135" s="15" t="s">
        <v>64</v>
      </c>
      <c r="O135" s="15" t="s">
        <v>22</v>
      </c>
      <c r="Q135" s="9">
        <v>7</v>
      </c>
      <c r="R135" s="9">
        <v>13</v>
      </c>
      <c r="S135" s="9">
        <v>14</v>
      </c>
      <c r="T135" s="9">
        <v>14</v>
      </c>
      <c r="U135" s="9">
        <v>3</v>
      </c>
      <c r="W135" s="24">
        <v>1</v>
      </c>
      <c r="X135" s="24">
        <v>1</v>
      </c>
      <c r="Y135" s="24">
        <v>1</v>
      </c>
      <c r="Z135" s="24">
        <v>1</v>
      </c>
      <c r="AA135" s="24">
        <v>1</v>
      </c>
      <c r="AH135" s="5"/>
      <c r="AI135" s="5"/>
      <c r="AO135" s="5"/>
    </row>
    <row r="136" spans="10:41" x14ac:dyDescent="0.3">
      <c r="J136" s="9">
        <v>132</v>
      </c>
      <c r="K136" s="15" t="s">
        <v>35</v>
      </c>
      <c r="L136" s="15" t="s">
        <v>81</v>
      </c>
      <c r="M136" s="15" t="s">
        <v>65</v>
      </c>
      <c r="N136" s="15" t="s">
        <v>37</v>
      </c>
      <c r="O136" s="15" t="s">
        <v>35</v>
      </c>
      <c r="Q136" s="9">
        <v>8</v>
      </c>
      <c r="R136" s="9">
        <v>17</v>
      </c>
      <c r="S136" s="9">
        <v>16</v>
      </c>
      <c r="T136" s="9">
        <v>7</v>
      </c>
      <c r="U136" s="9">
        <v>8</v>
      </c>
      <c r="W136" s="24">
        <v>1</v>
      </c>
      <c r="X136" s="24">
        <v>1</v>
      </c>
      <c r="Y136" s="24">
        <v>1</v>
      </c>
      <c r="Z136" s="24">
        <v>1</v>
      </c>
      <c r="AA136" s="24">
        <v>1</v>
      </c>
      <c r="AH136" s="5"/>
      <c r="AI136" s="5"/>
      <c r="AO136" s="5"/>
    </row>
    <row r="137" spans="10:41" x14ac:dyDescent="0.3">
      <c r="J137" s="24">
        <v>133</v>
      </c>
      <c r="K137" s="15" t="s">
        <v>19</v>
      </c>
      <c r="L137" s="15" t="s">
        <v>36</v>
      </c>
      <c r="M137" s="15" t="s">
        <v>96</v>
      </c>
      <c r="N137" s="15" t="s">
        <v>95</v>
      </c>
      <c r="O137" s="15" t="s">
        <v>19</v>
      </c>
      <c r="Q137" s="9">
        <v>5</v>
      </c>
      <c r="R137" s="9">
        <v>10</v>
      </c>
      <c r="S137" s="9">
        <v>15</v>
      </c>
      <c r="T137" s="9">
        <v>6</v>
      </c>
      <c r="U137" s="9">
        <v>5</v>
      </c>
      <c r="W137" s="24">
        <v>1</v>
      </c>
      <c r="X137" s="24">
        <v>1</v>
      </c>
      <c r="Y137" s="24">
        <v>1</v>
      </c>
      <c r="Z137" s="24">
        <v>1</v>
      </c>
      <c r="AA137" s="24">
        <v>1</v>
      </c>
      <c r="AH137" s="5"/>
      <c r="AI137" s="5"/>
      <c r="AO137" s="5"/>
    </row>
    <row r="138" spans="10:41" x14ac:dyDescent="0.3">
      <c r="J138" s="9">
        <v>134</v>
      </c>
      <c r="K138" s="15" t="s">
        <v>37</v>
      </c>
      <c r="L138" s="15" t="s">
        <v>35</v>
      </c>
      <c r="M138" s="15" t="s">
        <v>64</v>
      </c>
      <c r="N138" s="15" t="s">
        <v>37</v>
      </c>
      <c r="O138" s="15" t="s">
        <v>34</v>
      </c>
      <c r="Q138" s="9">
        <v>7</v>
      </c>
      <c r="R138" s="9">
        <v>8</v>
      </c>
      <c r="S138" s="9">
        <v>14</v>
      </c>
      <c r="T138" s="9">
        <v>7</v>
      </c>
      <c r="U138" s="9">
        <v>9</v>
      </c>
      <c r="W138" s="24">
        <v>1</v>
      </c>
      <c r="X138" s="24">
        <v>1</v>
      </c>
      <c r="Y138" s="24">
        <v>1</v>
      </c>
      <c r="Z138" s="24">
        <v>1</v>
      </c>
      <c r="AA138" s="24">
        <v>1</v>
      </c>
      <c r="AH138" s="5"/>
      <c r="AI138" s="5"/>
      <c r="AO138" s="5"/>
    </row>
    <row r="139" spans="10:41" x14ac:dyDescent="0.3">
      <c r="J139" s="24">
        <v>135</v>
      </c>
      <c r="K139" s="15" t="s">
        <v>19</v>
      </c>
      <c r="L139" s="15" t="s">
        <v>34</v>
      </c>
      <c r="M139" s="15" t="s">
        <v>96</v>
      </c>
      <c r="N139" s="15" t="s">
        <v>35</v>
      </c>
      <c r="O139" s="15" t="s">
        <v>37</v>
      </c>
      <c r="Q139" s="9">
        <v>5</v>
      </c>
      <c r="R139" s="9">
        <v>9</v>
      </c>
      <c r="S139" s="9">
        <v>15</v>
      </c>
      <c r="T139" s="9">
        <v>8</v>
      </c>
      <c r="U139" s="9">
        <v>7</v>
      </c>
      <c r="W139" s="24">
        <v>1</v>
      </c>
      <c r="X139" s="24">
        <v>1</v>
      </c>
      <c r="Y139" s="24">
        <v>1</v>
      </c>
      <c r="Z139" s="24">
        <v>1</v>
      </c>
      <c r="AA139" s="24">
        <v>1</v>
      </c>
      <c r="AH139" s="5"/>
      <c r="AI139" s="5"/>
      <c r="AO139" s="5"/>
    </row>
    <row r="140" spans="10:41" x14ac:dyDescent="0.3">
      <c r="J140" s="9">
        <v>136</v>
      </c>
      <c r="K140" s="15" t="s">
        <v>95</v>
      </c>
      <c r="L140" s="15" t="s">
        <v>22</v>
      </c>
      <c r="M140" s="15" t="s">
        <v>81</v>
      </c>
      <c r="N140" s="15" t="s">
        <v>96</v>
      </c>
      <c r="O140" s="15" t="s">
        <v>22</v>
      </c>
      <c r="Q140" s="9">
        <v>6</v>
      </c>
      <c r="R140" s="9">
        <v>3</v>
      </c>
      <c r="S140" s="9">
        <v>17</v>
      </c>
      <c r="T140" s="9">
        <v>15</v>
      </c>
      <c r="U140" s="9">
        <v>3</v>
      </c>
      <c r="W140" s="24">
        <v>1</v>
      </c>
      <c r="X140" s="24">
        <v>1</v>
      </c>
      <c r="Y140" s="24">
        <v>1</v>
      </c>
      <c r="Z140" s="24">
        <v>1</v>
      </c>
      <c r="AA140" s="24">
        <v>1</v>
      </c>
      <c r="AH140" s="5"/>
      <c r="AI140" s="5"/>
      <c r="AO140" s="5"/>
    </row>
    <row r="141" spans="10:41" x14ac:dyDescent="0.3">
      <c r="J141" s="24">
        <v>137</v>
      </c>
      <c r="K141" s="15" t="s">
        <v>19</v>
      </c>
      <c r="L141" s="15" t="s">
        <v>64</v>
      </c>
      <c r="M141" s="15" t="s">
        <v>65</v>
      </c>
      <c r="N141" s="15" t="s">
        <v>35</v>
      </c>
      <c r="O141" s="15" t="s">
        <v>37</v>
      </c>
      <c r="Q141" s="9">
        <v>5</v>
      </c>
      <c r="R141" s="9">
        <v>14</v>
      </c>
      <c r="S141" s="9">
        <v>16</v>
      </c>
      <c r="T141" s="9">
        <v>8</v>
      </c>
      <c r="U141" s="9">
        <v>7</v>
      </c>
      <c r="W141" s="24">
        <v>1</v>
      </c>
      <c r="X141" s="24">
        <v>1</v>
      </c>
      <c r="Y141" s="24">
        <v>1</v>
      </c>
      <c r="Z141" s="24">
        <v>1</v>
      </c>
      <c r="AA141" s="24">
        <v>1</v>
      </c>
      <c r="AH141" s="5"/>
      <c r="AI141" s="5"/>
      <c r="AO141" s="5"/>
    </row>
    <row r="142" spans="10:41" x14ac:dyDescent="0.3">
      <c r="J142" s="9">
        <v>138</v>
      </c>
      <c r="K142" s="15" t="s">
        <v>37</v>
      </c>
      <c r="L142" s="15" t="s">
        <v>81</v>
      </c>
      <c r="M142" s="15" t="s">
        <v>81</v>
      </c>
      <c r="N142" s="15" t="s">
        <v>37</v>
      </c>
      <c r="O142" s="15" t="s">
        <v>35</v>
      </c>
      <c r="Q142" s="9">
        <v>7</v>
      </c>
      <c r="R142" s="9">
        <v>17</v>
      </c>
      <c r="S142" s="9">
        <v>17</v>
      </c>
      <c r="T142" s="9">
        <v>7</v>
      </c>
      <c r="U142" s="9">
        <v>8</v>
      </c>
      <c r="W142" s="24">
        <v>1</v>
      </c>
      <c r="X142" s="24">
        <v>1</v>
      </c>
      <c r="Y142" s="24">
        <v>1</v>
      </c>
      <c r="Z142" s="24">
        <v>1</v>
      </c>
      <c r="AA142" s="24">
        <v>1</v>
      </c>
      <c r="AH142" s="5"/>
      <c r="AI142" s="5"/>
      <c r="AO142" s="5"/>
    </row>
    <row r="143" spans="10:41" x14ac:dyDescent="0.3">
      <c r="J143" s="24">
        <v>139</v>
      </c>
      <c r="K143" s="15" t="s">
        <v>35</v>
      </c>
      <c r="L143" s="15" t="s">
        <v>37</v>
      </c>
      <c r="M143" s="15" t="s">
        <v>61</v>
      </c>
      <c r="N143" s="15" t="s">
        <v>35</v>
      </c>
      <c r="O143" s="15" t="s">
        <v>19</v>
      </c>
      <c r="Q143" s="9">
        <v>8</v>
      </c>
      <c r="R143" s="9">
        <v>7</v>
      </c>
      <c r="S143" s="9">
        <v>11</v>
      </c>
      <c r="T143" s="9">
        <v>8</v>
      </c>
      <c r="U143" s="9">
        <v>5</v>
      </c>
      <c r="W143" s="24">
        <v>1</v>
      </c>
      <c r="X143" s="24">
        <v>1</v>
      </c>
      <c r="Y143" s="24">
        <v>1</v>
      </c>
      <c r="Z143" s="24">
        <v>1</v>
      </c>
      <c r="AA143" s="24">
        <v>1</v>
      </c>
      <c r="AH143" s="5"/>
      <c r="AI143" s="5"/>
      <c r="AO143" s="5"/>
    </row>
    <row r="144" spans="10:41" x14ac:dyDescent="0.3">
      <c r="J144" s="9">
        <v>140</v>
      </c>
      <c r="K144" s="15" t="s">
        <v>95</v>
      </c>
      <c r="L144" s="15" t="s">
        <v>34</v>
      </c>
      <c r="M144" s="15" t="s">
        <v>96</v>
      </c>
      <c r="N144" s="15" t="s">
        <v>34</v>
      </c>
      <c r="O144" s="15" t="s">
        <v>34</v>
      </c>
      <c r="Q144" s="9">
        <v>6</v>
      </c>
      <c r="R144" s="9">
        <v>9</v>
      </c>
      <c r="S144" s="9">
        <v>15</v>
      </c>
      <c r="T144" s="9">
        <v>9</v>
      </c>
      <c r="U144" s="9">
        <v>9</v>
      </c>
      <c r="W144" s="24">
        <v>1</v>
      </c>
      <c r="X144" s="24">
        <v>1</v>
      </c>
      <c r="Y144" s="24">
        <v>1</v>
      </c>
      <c r="Z144" s="24">
        <v>1</v>
      </c>
      <c r="AA144" s="24">
        <v>1</v>
      </c>
      <c r="AH144" s="5"/>
      <c r="AI144" s="5"/>
      <c r="AO144" s="5"/>
    </row>
    <row r="145" spans="10:41" x14ac:dyDescent="0.3">
      <c r="J145" s="24">
        <v>141</v>
      </c>
      <c r="K145" s="15" t="s">
        <v>19</v>
      </c>
      <c r="L145" s="15" t="s">
        <v>20</v>
      </c>
      <c r="M145" s="15" t="s">
        <v>65</v>
      </c>
      <c r="N145" s="15" t="s">
        <v>19</v>
      </c>
      <c r="O145" s="15" t="s">
        <v>36</v>
      </c>
      <c r="Q145" s="9">
        <v>5</v>
      </c>
      <c r="R145" s="9">
        <v>1</v>
      </c>
      <c r="S145" s="9">
        <v>16</v>
      </c>
      <c r="T145" s="9">
        <v>5</v>
      </c>
      <c r="U145" s="9">
        <v>10</v>
      </c>
      <c r="W145" s="24">
        <v>1</v>
      </c>
      <c r="X145" s="24">
        <v>1</v>
      </c>
      <c r="Y145" s="24">
        <v>1</v>
      </c>
      <c r="Z145" s="24">
        <v>1</v>
      </c>
      <c r="AA145" s="24">
        <v>1</v>
      </c>
      <c r="AH145" s="5"/>
      <c r="AI145" s="5"/>
      <c r="AO145" s="5"/>
    </row>
    <row r="146" spans="10:41" x14ac:dyDescent="0.3">
      <c r="J146" s="9">
        <v>142</v>
      </c>
      <c r="K146" s="15" t="s">
        <v>35</v>
      </c>
      <c r="L146" s="15" t="s">
        <v>22</v>
      </c>
      <c r="M146" s="15" t="s">
        <v>70</v>
      </c>
      <c r="N146" s="15" t="s">
        <v>37</v>
      </c>
      <c r="O146" s="15" t="s">
        <v>20</v>
      </c>
      <c r="Q146" s="9">
        <v>8</v>
      </c>
      <c r="R146" s="9">
        <v>3</v>
      </c>
      <c r="S146" s="9">
        <v>19</v>
      </c>
      <c r="T146" s="9">
        <v>7</v>
      </c>
      <c r="U146" s="9">
        <v>1</v>
      </c>
      <c r="W146" s="24">
        <v>1</v>
      </c>
      <c r="X146" s="24">
        <v>1</v>
      </c>
      <c r="Y146" s="24">
        <v>1</v>
      </c>
      <c r="Z146" s="24">
        <v>1</v>
      </c>
      <c r="AA146" s="24">
        <v>1</v>
      </c>
      <c r="AH146" s="5"/>
      <c r="AI146" s="5"/>
      <c r="AO146" s="5"/>
    </row>
    <row r="147" spans="10:41" x14ac:dyDescent="0.3">
      <c r="J147" s="24">
        <v>143</v>
      </c>
      <c r="K147" s="15" t="s">
        <v>37</v>
      </c>
      <c r="L147" s="15" t="s">
        <v>19</v>
      </c>
      <c r="M147" s="15" t="s">
        <v>96</v>
      </c>
      <c r="N147" s="15" t="s">
        <v>96</v>
      </c>
      <c r="O147" s="15" t="s">
        <v>95</v>
      </c>
      <c r="Q147" s="9">
        <v>7</v>
      </c>
      <c r="R147" s="9">
        <v>5</v>
      </c>
      <c r="S147" s="9">
        <v>15</v>
      </c>
      <c r="T147" s="9">
        <v>15</v>
      </c>
      <c r="U147" s="9">
        <v>6</v>
      </c>
      <c r="W147" s="24">
        <v>1</v>
      </c>
      <c r="X147" s="24">
        <v>1</v>
      </c>
      <c r="Y147" s="24">
        <v>1</v>
      </c>
      <c r="Z147" s="24">
        <v>1</v>
      </c>
      <c r="AA147" s="24">
        <v>1</v>
      </c>
      <c r="AH147" s="5"/>
      <c r="AI147" s="5"/>
      <c r="AO147" s="5"/>
    </row>
    <row r="148" spans="10:41" x14ac:dyDescent="0.3">
      <c r="J148" s="9">
        <v>144</v>
      </c>
      <c r="K148" s="15" t="s">
        <v>95</v>
      </c>
      <c r="L148" s="15" t="s">
        <v>34</v>
      </c>
      <c r="M148" s="15" t="s">
        <v>64</v>
      </c>
      <c r="N148" s="15" t="s">
        <v>37</v>
      </c>
      <c r="O148" s="15" t="s">
        <v>35</v>
      </c>
      <c r="Q148" s="9">
        <v>6</v>
      </c>
      <c r="R148" s="9">
        <v>9</v>
      </c>
      <c r="S148" s="9">
        <v>14</v>
      </c>
      <c r="T148" s="9">
        <v>7</v>
      </c>
      <c r="U148" s="9">
        <v>8</v>
      </c>
      <c r="W148" s="24">
        <v>1</v>
      </c>
      <c r="X148" s="24">
        <v>1</v>
      </c>
      <c r="Y148" s="24">
        <v>1</v>
      </c>
      <c r="Z148" s="24">
        <v>1</v>
      </c>
      <c r="AA148" s="24">
        <v>1</v>
      </c>
      <c r="AH148" s="5"/>
      <c r="AI148" s="5"/>
      <c r="AO148" s="5"/>
    </row>
    <row r="149" spans="10:41" x14ac:dyDescent="0.3">
      <c r="J149" s="24">
        <v>145</v>
      </c>
      <c r="K149" s="15" t="s">
        <v>37</v>
      </c>
      <c r="L149" s="15" t="s">
        <v>21</v>
      </c>
      <c r="M149" s="15" t="s">
        <v>81</v>
      </c>
      <c r="N149" s="15" t="s">
        <v>63</v>
      </c>
      <c r="O149" s="15" t="s">
        <v>95</v>
      </c>
      <c r="Q149" s="9">
        <v>7</v>
      </c>
      <c r="R149" s="9">
        <v>2</v>
      </c>
      <c r="S149" s="9">
        <v>17</v>
      </c>
      <c r="T149" s="9">
        <v>13</v>
      </c>
      <c r="U149" s="9">
        <v>6</v>
      </c>
      <c r="W149" s="24">
        <v>1</v>
      </c>
      <c r="X149" s="24">
        <v>1</v>
      </c>
      <c r="Y149" s="24">
        <v>1</v>
      </c>
      <c r="Z149" s="24">
        <v>1</v>
      </c>
      <c r="AA149" s="24">
        <v>1</v>
      </c>
      <c r="AH149" s="5"/>
      <c r="AI149" s="5"/>
      <c r="AO149" s="5"/>
    </row>
    <row r="150" spans="10:41" x14ac:dyDescent="0.3">
      <c r="J150" s="9">
        <v>146</v>
      </c>
      <c r="K150" s="15" t="s">
        <v>19</v>
      </c>
      <c r="L150" s="15" t="s">
        <v>64</v>
      </c>
      <c r="M150" s="15" t="s">
        <v>65</v>
      </c>
      <c r="N150" s="15" t="s">
        <v>95</v>
      </c>
      <c r="O150" s="15" t="s">
        <v>36</v>
      </c>
      <c r="Q150" s="9">
        <v>5</v>
      </c>
      <c r="R150" s="9">
        <v>14</v>
      </c>
      <c r="S150" s="9">
        <v>16</v>
      </c>
      <c r="T150" s="9">
        <v>6</v>
      </c>
      <c r="U150" s="9">
        <v>10</v>
      </c>
      <c r="W150" s="24">
        <v>1</v>
      </c>
      <c r="X150" s="24">
        <v>1</v>
      </c>
      <c r="Y150" s="24">
        <v>1</v>
      </c>
      <c r="Z150" s="24">
        <v>1</v>
      </c>
      <c r="AA150" s="24">
        <v>1</v>
      </c>
      <c r="AH150" s="5"/>
      <c r="AI150" s="5"/>
      <c r="AO150" s="5"/>
    </row>
    <row r="151" spans="10:41" x14ac:dyDescent="0.3">
      <c r="J151" s="24">
        <v>147</v>
      </c>
      <c r="K151" s="15" t="s">
        <v>95</v>
      </c>
      <c r="L151" s="15" t="s">
        <v>21</v>
      </c>
      <c r="M151" s="15" t="s">
        <v>81</v>
      </c>
      <c r="N151" s="15" t="s">
        <v>37</v>
      </c>
      <c r="O151" s="15" t="s">
        <v>19</v>
      </c>
      <c r="Q151" s="9">
        <v>6</v>
      </c>
      <c r="R151" s="9">
        <v>2</v>
      </c>
      <c r="S151" s="9">
        <v>17</v>
      </c>
      <c r="T151" s="9">
        <v>7</v>
      </c>
      <c r="U151" s="9">
        <v>5</v>
      </c>
      <c r="W151" s="24">
        <v>1</v>
      </c>
      <c r="X151" s="24">
        <v>1</v>
      </c>
      <c r="Y151" s="24">
        <v>1</v>
      </c>
      <c r="Z151" s="24">
        <v>1</v>
      </c>
      <c r="AA151" s="24">
        <v>1</v>
      </c>
      <c r="AH151" s="5"/>
      <c r="AI151" s="5"/>
      <c r="AO151" s="5"/>
    </row>
    <row r="152" spans="10:41" x14ac:dyDescent="0.3">
      <c r="J152" s="9">
        <v>148</v>
      </c>
      <c r="K152" s="15" t="s">
        <v>19</v>
      </c>
      <c r="L152" s="15" t="s">
        <v>37</v>
      </c>
      <c r="M152" s="15" t="s">
        <v>96</v>
      </c>
      <c r="N152" s="15" t="s">
        <v>95</v>
      </c>
      <c r="O152" s="15" t="s">
        <v>35</v>
      </c>
      <c r="Q152" s="9">
        <v>5</v>
      </c>
      <c r="R152" s="9">
        <v>7</v>
      </c>
      <c r="S152" s="9">
        <v>15</v>
      </c>
      <c r="T152" s="9">
        <v>6</v>
      </c>
      <c r="U152" s="9">
        <v>8</v>
      </c>
      <c r="W152" s="24">
        <v>1</v>
      </c>
      <c r="X152" s="24">
        <v>1</v>
      </c>
      <c r="Y152" s="24">
        <v>1</v>
      </c>
      <c r="Z152" s="24">
        <v>1</v>
      </c>
      <c r="AA152" s="24">
        <v>1</v>
      </c>
      <c r="AH152" s="5"/>
      <c r="AI152" s="5"/>
      <c r="AO152" s="5"/>
    </row>
    <row r="153" spans="10:41" x14ac:dyDescent="0.3">
      <c r="J153" s="24">
        <v>149</v>
      </c>
      <c r="K153" s="15" t="s">
        <v>95</v>
      </c>
      <c r="L153" s="15" t="s">
        <v>35</v>
      </c>
      <c r="M153" s="15" t="s">
        <v>64</v>
      </c>
      <c r="N153" s="15" t="s">
        <v>37</v>
      </c>
      <c r="O153" s="15" t="s">
        <v>95</v>
      </c>
      <c r="Q153" s="9">
        <v>6</v>
      </c>
      <c r="R153" s="9">
        <v>8</v>
      </c>
      <c r="S153" s="9">
        <v>14</v>
      </c>
      <c r="T153" s="9">
        <v>7</v>
      </c>
      <c r="U153" s="9">
        <v>6</v>
      </c>
      <c r="W153" s="24">
        <v>1</v>
      </c>
      <c r="X153" s="24">
        <v>1</v>
      </c>
      <c r="Y153" s="24">
        <v>1</v>
      </c>
      <c r="Z153" s="24">
        <v>1</v>
      </c>
      <c r="AA153" s="24">
        <v>1</v>
      </c>
      <c r="AH153" s="5"/>
      <c r="AI153" s="5"/>
      <c r="AO153" s="5"/>
    </row>
    <row r="154" spans="10:41" x14ac:dyDescent="0.3">
      <c r="J154" s="9">
        <v>150</v>
      </c>
      <c r="K154" s="15" t="s">
        <v>35</v>
      </c>
      <c r="L154" s="15" t="s">
        <v>37</v>
      </c>
      <c r="M154" s="15" t="s">
        <v>70</v>
      </c>
      <c r="N154" s="15" t="s">
        <v>95</v>
      </c>
      <c r="O154" s="15" t="s">
        <v>35</v>
      </c>
      <c r="Q154" s="9">
        <v>8</v>
      </c>
      <c r="R154" s="9">
        <v>7</v>
      </c>
      <c r="S154" s="9">
        <v>19</v>
      </c>
      <c r="T154" s="9">
        <v>6</v>
      </c>
      <c r="U154" s="9">
        <v>8</v>
      </c>
      <c r="W154" s="24">
        <v>1</v>
      </c>
      <c r="X154" s="24">
        <v>1</v>
      </c>
      <c r="Y154" s="24">
        <v>1</v>
      </c>
      <c r="Z154" s="24">
        <v>1</v>
      </c>
      <c r="AA154" s="24">
        <v>1</v>
      </c>
      <c r="AH154" s="5"/>
      <c r="AI154" s="5"/>
      <c r="AO154" s="5"/>
    </row>
    <row r="155" spans="10:41" x14ac:dyDescent="0.3">
      <c r="J155" s="24">
        <v>151</v>
      </c>
      <c r="K155" s="15" t="s">
        <v>19</v>
      </c>
      <c r="L155" s="15" t="s">
        <v>19</v>
      </c>
      <c r="M155" s="15" t="s">
        <v>64</v>
      </c>
      <c r="N155" s="15" t="s">
        <v>34</v>
      </c>
      <c r="O155" s="15" t="s">
        <v>19</v>
      </c>
      <c r="Q155" s="9">
        <v>5</v>
      </c>
      <c r="R155" s="9">
        <v>5</v>
      </c>
      <c r="S155" s="9">
        <v>14</v>
      </c>
      <c r="T155" s="9">
        <v>9</v>
      </c>
      <c r="U155" s="9">
        <v>5</v>
      </c>
      <c r="W155" s="24">
        <v>1</v>
      </c>
      <c r="X155" s="24">
        <v>1</v>
      </c>
      <c r="Y155" s="24">
        <v>1</v>
      </c>
      <c r="Z155" s="24">
        <v>1</v>
      </c>
      <c r="AA155" s="24">
        <v>1</v>
      </c>
      <c r="AH155" s="5"/>
      <c r="AI155" s="5"/>
      <c r="AO155" s="5"/>
    </row>
    <row r="156" spans="10:41" x14ac:dyDescent="0.3">
      <c r="J156" s="9">
        <v>152</v>
      </c>
      <c r="K156" s="15" t="s">
        <v>22</v>
      </c>
      <c r="L156" s="15" t="s">
        <v>35</v>
      </c>
      <c r="M156" s="15" t="s">
        <v>65</v>
      </c>
      <c r="N156" s="15" t="s">
        <v>20</v>
      </c>
      <c r="O156" s="15" t="s">
        <v>37</v>
      </c>
      <c r="Q156" s="9">
        <v>3</v>
      </c>
      <c r="R156" s="9">
        <v>8</v>
      </c>
      <c r="S156" s="9">
        <v>16</v>
      </c>
      <c r="T156" s="9">
        <v>1</v>
      </c>
      <c r="U156" s="9">
        <v>7</v>
      </c>
      <c r="W156" s="24">
        <v>1</v>
      </c>
      <c r="X156" s="24">
        <v>1</v>
      </c>
      <c r="Y156" s="24">
        <v>1</v>
      </c>
      <c r="Z156" s="24">
        <v>1</v>
      </c>
      <c r="AA156" s="24">
        <v>1</v>
      </c>
      <c r="AH156" s="5"/>
      <c r="AI156" s="5"/>
      <c r="AO156" s="5"/>
    </row>
    <row r="157" spans="10:41" x14ac:dyDescent="0.3">
      <c r="J157" s="24">
        <v>153</v>
      </c>
      <c r="K157" s="15" t="s">
        <v>35</v>
      </c>
      <c r="L157" s="15" t="s">
        <v>62</v>
      </c>
      <c r="M157" s="15" t="s">
        <v>81</v>
      </c>
      <c r="N157" s="15" t="s">
        <v>81</v>
      </c>
      <c r="O157" s="15" t="s">
        <v>34</v>
      </c>
      <c r="Q157" s="9">
        <v>8</v>
      </c>
      <c r="R157" s="9">
        <v>12</v>
      </c>
      <c r="S157" s="9">
        <v>17</v>
      </c>
      <c r="T157" s="9">
        <v>17</v>
      </c>
      <c r="U157" s="9">
        <v>9</v>
      </c>
      <c r="W157" s="24">
        <v>1</v>
      </c>
      <c r="X157" s="24">
        <v>1</v>
      </c>
      <c r="Y157" s="24">
        <v>1</v>
      </c>
      <c r="Z157" s="24">
        <v>1</v>
      </c>
      <c r="AA157" s="24">
        <v>1</v>
      </c>
      <c r="AH157" s="5"/>
      <c r="AI157" s="5"/>
      <c r="AO157" s="5"/>
    </row>
    <row r="158" spans="10:41" x14ac:dyDescent="0.3">
      <c r="J158" s="9">
        <v>154</v>
      </c>
      <c r="K158" s="15" t="s">
        <v>22</v>
      </c>
      <c r="L158" s="15" t="s">
        <v>36</v>
      </c>
      <c r="M158" s="15" t="s">
        <v>65</v>
      </c>
      <c r="N158" s="15" t="s">
        <v>37</v>
      </c>
      <c r="O158" s="15" t="s">
        <v>19</v>
      </c>
      <c r="Q158" s="9">
        <v>3</v>
      </c>
      <c r="R158" s="9">
        <v>10</v>
      </c>
      <c r="S158" s="9">
        <v>16</v>
      </c>
      <c r="T158" s="9">
        <v>7</v>
      </c>
      <c r="U158" s="9">
        <v>5</v>
      </c>
      <c r="W158" s="24">
        <v>1</v>
      </c>
      <c r="X158" s="24">
        <v>1</v>
      </c>
      <c r="Y158" s="24">
        <v>1</v>
      </c>
      <c r="Z158" s="24">
        <v>1</v>
      </c>
      <c r="AA158" s="24">
        <v>1</v>
      </c>
      <c r="AH158" s="5"/>
      <c r="AI158" s="5"/>
      <c r="AO158" s="5"/>
    </row>
    <row r="159" spans="10:41" x14ac:dyDescent="0.3">
      <c r="J159" s="24">
        <v>155</v>
      </c>
      <c r="K159" s="15" t="s">
        <v>35</v>
      </c>
      <c r="L159" s="15" t="s">
        <v>95</v>
      </c>
      <c r="M159" s="15" t="s">
        <v>81</v>
      </c>
      <c r="N159" s="15" t="s">
        <v>95</v>
      </c>
      <c r="O159" s="15" t="s">
        <v>95</v>
      </c>
      <c r="Q159" s="9">
        <v>8</v>
      </c>
      <c r="R159" s="9">
        <v>6</v>
      </c>
      <c r="S159" s="9">
        <v>17</v>
      </c>
      <c r="T159" s="9">
        <v>6</v>
      </c>
      <c r="U159" s="9">
        <v>6</v>
      </c>
      <c r="W159" s="24">
        <v>1</v>
      </c>
      <c r="X159" s="24">
        <v>1</v>
      </c>
      <c r="Y159" s="24">
        <v>1</v>
      </c>
      <c r="Z159" s="24">
        <v>1</v>
      </c>
      <c r="AA159" s="24">
        <v>1</v>
      </c>
      <c r="AH159" s="5"/>
      <c r="AI159" s="5"/>
      <c r="AO159" s="5"/>
    </row>
    <row r="160" spans="10:41" x14ac:dyDescent="0.3">
      <c r="J160" s="9">
        <v>156</v>
      </c>
      <c r="K160" s="15" t="s">
        <v>37</v>
      </c>
      <c r="L160" s="15" t="s">
        <v>19</v>
      </c>
      <c r="M160" s="15" t="s">
        <v>111</v>
      </c>
      <c r="N160" s="15" t="s">
        <v>19</v>
      </c>
      <c r="O160" s="15" t="s">
        <v>18</v>
      </c>
      <c r="Q160" s="9">
        <v>7</v>
      </c>
      <c r="R160" s="9">
        <v>5</v>
      </c>
      <c r="S160" s="9">
        <v>12</v>
      </c>
      <c r="T160" s="9">
        <v>5</v>
      </c>
      <c r="U160" s="9">
        <v>4</v>
      </c>
      <c r="W160" s="24">
        <v>1</v>
      </c>
      <c r="X160" s="24">
        <v>1</v>
      </c>
      <c r="Y160" s="24">
        <v>1</v>
      </c>
      <c r="Z160" s="24">
        <v>1</v>
      </c>
      <c r="AA160" s="24">
        <v>1</v>
      </c>
      <c r="AH160" s="5"/>
      <c r="AI160" s="5"/>
      <c r="AO160" s="5"/>
    </row>
    <row r="161" spans="10:41" x14ac:dyDescent="0.3">
      <c r="J161" s="24">
        <v>157</v>
      </c>
      <c r="K161" s="15" t="s">
        <v>19</v>
      </c>
      <c r="L161" s="15" t="s">
        <v>37</v>
      </c>
      <c r="M161" s="15" t="s">
        <v>64</v>
      </c>
      <c r="N161" s="15" t="s">
        <v>36</v>
      </c>
      <c r="O161" s="15" t="s">
        <v>22</v>
      </c>
      <c r="Q161" s="9">
        <v>5</v>
      </c>
      <c r="R161" s="9">
        <v>7</v>
      </c>
      <c r="S161" s="9">
        <v>14</v>
      </c>
      <c r="T161" s="9">
        <v>10</v>
      </c>
      <c r="U161" s="9">
        <v>3</v>
      </c>
      <c r="W161" s="24">
        <v>1</v>
      </c>
      <c r="X161" s="24">
        <v>1</v>
      </c>
      <c r="Y161" s="24">
        <v>1</v>
      </c>
      <c r="Z161" s="24">
        <v>1</v>
      </c>
      <c r="AA161" s="24">
        <v>1</v>
      </c>
      <c r="AH161" s="5"/>
      <c r="AI161" s="5"/>
      <c r="AO161" s="5"/>
    </row>
    <row r="162" spans="10:41" x14ac:dyDescent="0.3">
      <c r="J162" s="9">
        <v>158</v>
      </c>
      <c r="K162" s="15" t="s">
        <v>95</v>
      </c>
      <c r="L162" s="15" t="s">
        <v>96</v>
      </c>
      <c r="M162" s="15" t="s">
        <v>96</v>
      </c>
      <c r="N162" s="15" t="s">
        <v>19</v>
      </c>
      <c r="O162" s="15" t="s">
        <v>35</v>
      </c>
      <c r="Q162" s="9">
        <v>6</v>
      </c>
      <c r="R162" s="9">
        <v>15</v>
      </c>
      <c r="S162" s="9">
        <v>15</v>
      </c>
      <c r="T162" s="9">
        <v>5</v>
      </c>
      <c r="U162" s="9">
        <v>8</v>
      </c>
      <c r="W162" s="24">
        <v>1</v>
      </c>
      <c r="X162" s="24">
        <v>1</v>
      </c>
      <c r="Y162" s="24">
        <v>1</v>
      </c>
      <c r="Z162" s="24">
        <v>1</v>
      </c>
      <c r="AA162" s="24">
        <v>1</v>
      </c>
      <c r="AH162" s="5"/>
      <c r="AI162" s="5"/>
      <c r="AO162" s="5"/>
    </row>
    <row r="163" spans="10:41" x14ac:dyDescent="0.3">
      <c r="J163" s="24">
        <v>159</v>
      </c>
      <c r="K163" s="15" t="s">
        <v>20</v>
      </c>
      <c r="L163" s="15" t="s">
        <v>19</v>
      </c>
      <c r="M163" s="15" t="s">
        <v>81</v>
      </c>
      <c r="N163" s="15" t="s">
        <v>37</v>
      </c>
      <c r="O163" s="15" t="s">
        <v>95</v>
      </c>
      <c r="Q163" s="9">
        <v>1</v>
      </c>
      <c r="R163" s="9">
        <v>5</v>
      </c>
      <c r="S163" s="9">
        <v>17</v>
      </c>
      <c r="T163" s="9">
        <v>7</v>
      </c>
      <c r="U163" s="9">
        <v>6</v>
      </c>
      <c r="W163" s="24">
        <v>1</v>
      </c>
      <c r="X163" s="24">
        <v>1</v>
      </c>
      <c r="Y163" s="24">
        <v>1</v>
      </c>
      <c r="Z163" s="24">
        <v>1</v>
      </c>
      <c r="AA163" s="24">
        <v>1</v>
      </c>
      <c r="AH163" s="5"/>
      <c r="AI163" s="5"/>
      <c r="AO163" s="5"/>
    </row>
    <row r="164" spans="10:41" x14ac:dyDescent="0.3">
      <c r="J164" s="9">
        <v>160</v>
      </c>
      <c r="K164" s="15" t="s">
        <v>19</v>
      </c>
      <c r="L164" s="15" t="s">
        <v>63</v>
      </c>
      <c r="M164" s="15" t="s">
        <v>68</v>
      </c>
      <c r="N164" s="15" t="s">
        <v>34</v>
      </c>
      <c r="O164" s="15" t="s">
        <v>35</v>
      </c>
      <c r="Q164" s="9">
        <v>5</v>
      </c>
      <c r="R164" s="9">
        <v>13</v>
      </c>
      <c r="S164" s="9">
        <v>18</v>
      </c>
      <c r="T164" s="9">
        <v>9</v>
      </c>
      <c r="U164" s="9">
        <v>8</v>
      </c>
      <c r="W164" s="24">
        <v>1</v>
      </c>
      <c r="X164" s="24">
        <v>1</v>
      </c>
      <c r="Y164" s="24">
        <v>1</v>
      </c>
      <c r="Z164" s="24">
        <v>1</v>
      </c>
      <c r="AA164" s="24">
        <v>1</v>
      </c>
      <c r="AH164" s="5"/>
      <c r="AI164" s="5"/>
      <c r="AO164" s="5"/>
    </row>
    <row r="165" spans="10:41" x14ac:dyDescent="0.3">
      <c r="J165" s="24">
        <v>161</v>
      </c>
      <c r="K165" s="15" t="s">
        <v>37</v>
      </c>
      <c r="L165" s="15" t="s">
        <v>35</v>
      </c>
      <c r="M165" s="15" t="s">
        <v>64</v>
      </c>
      <c r="N165" s="15" t="s">
        <v>22</v>
      </c>
      <c r="O165" s="15" t="s">
        <v>95</v>
      </c>
      <c r="Q165" s="9">
        <v>7</v>
      </c>
      <c r="R165" s="9">
        <v>8</v>
      </c>
      <c r="S165" s="9">
        <v>14</v>
      </c>
      <c r="T165" s="9">
        <v>3</v>
      </c>
      <c r="U165" s="9">
        <v>6</v>
      </c>
      <c r="W165" s="24">
        <v>1</v>
      </c>
      <c r="X165" s="24">
        <v>1</v>
      </c>
      <c r="Y165" s="24">
        <v>1</v>
      </c>
      <c r="Z165" s="24">
        <v>1</v>
      </c>
      <c r="AA165" s="24">
        <v>1</v>
      </c>
      <c r="AH165" s="5"/>
      <c r="AI165" s="5"/>
      <c r="AO165" s="5"/>
    </row>
    <row r="166" spans="10:41" x14ac:dyDescent="0.3">
      <c r="J166" s="9">
        <v>162</v>
      </c>
      <c r="K166" s="15" t="s">
        <v>19</v>
      </c>
      <c r="L166" s="15" t="s">
        <v>96</v>
      </c>
      <c r="M166" s="15" t="s">
        <v>81</v>
      </c>
      <c r="N166" s="15" t="s">
        <v>34</v>
      </c>
      <c r="O166" s="15" t="s">
        <v>19</v>
      </c>
      <c r="Q166" s="9">
        <v>5</v>
      </c>
      <c r="R166" s="9">
        <v>15</v>
      </c>
      <c r="S166" s="9">
        <v>17</v>
      </c>
      <c r="T166" s="9">
        <v>9</v>
      </c>
      <c r="U166" s="9">
        <v>5</v>
      </c>
      <c r="W166" s="24">
        <v>1</v>
      </c>
      <c r="X166" s="24">
        <v>1</v>
      </c>
      <c r="Y166" s="24">
        <v>1</v>
      </c>
      <c r="Z166" s="24">
        <v>1</v>
      </c>
      <c r="AA166" s="24">
        <v>1</v>
      </c>
      <c r="AH166" s="5"/>
      <c r="AI166" s="5"/>
      <c r="AO166" s="5"/>
    </row>
    <row r="167" spans="10:41" x14ac:dyDescent="0.3">
      <c r="J167" s="24">
        <v>163</v>
      </c>
      <c r="K167" s="15" t="s">
        <v>37</v>
      </c>
      <c r="L167" s="15" t="s">
        <v>37</v>
      </c>
      <c r="M167" s="15" t="s">
        <v>65</v>
      </c>
      <c r="N167" s="15" t="s">
        <v>21</v>
      </c>
      <c r="O167" s="15" t="s">
        <v>18</v>
      </c>
      <c r="Q167" s="9">
        <v>7</v>
      </c>
      <c r="R167" s="9">
        <v>7</v>
      </c>
      <c r="S167" s="9">
        <v>16</v>
      </c>
      <c r="T167" s="9">
        <v>2</v>
      </c>
      <c r="U167" s="9">
        <v>4</v>
      </c>
      <c r="W167" s="24">
        <v>1</v>
      </c>
      <c r="X167" s="24">
        <v>1</v>
      </c>
      <c r="Y167" s="24">
        <v>1</v>
      </c>
      <c r="Z167" s="24">
        <v>1</v>
      </c>
      <c r="AA167" s="24">
        <v>1</v>
      </c>
      <c r="AH167" s="5"/>
      <c r="AI167" s="5"/>
      <c r="AO167" s="5"/>
    </row>
    <row r="168" spans="10:41" x14ac:dyDescent="0.3">
      <c r="J168" s="9">
        <v>164</v>
      </c>
      <c r="K168" s="15" t="s">
        <v>95</v>
      </c>
      <c r="L168" s="15" t="s">
        <v>35</v>
      </c>
      <c r="M168" s="15" t="s">
        <v>64</v>
      </c>
      <c r="N168" s="15" t="s">
        <v>64</v>
      </c>
      <c r="O168" s="15" t="s">
        <v>95</v>
      </c>
      <c r="Q168" s="9">
        <v>6</v>
      </c>
      <c r="R168" s="9">
        <v>8</v>
      </c>
      <c r="S168" s="9">
        <v>14</v>
      </c>
      <c r="T168" s="9">
        <v>14</v>
      </c>
      <c r="U168" s="9">
        <v>6</v>
      </c>
      <c r="W168" s="24">
        <v>1</v>
      </c>
      <c r="X168" s="24">
        <v>1</v>
      </c>
      <c r="Y168" s="24">
        <v>1</v>
      </c>
      <c r="Z168" s="24">
        <v>1</v>
      </c>
      <c r="AA168" s="24">
        <v>1</v>
      </c>
      <c r="AH168" s="5"/>
      <c r="AI168" s="5"/>
      <c r="AO168" s="5"/>
    </row>
    <row r="169" spans="10:41" x14ac:dyDescent="0.3">
      <c r="J169" s="24">
        <v>165</v>
      </c>
      <c r="K169" s="15" t="s">
        <v>35</v>
      </c>
      <c r="L169" s="15" t="s">
        <v>37</v>
      </c>
      <c r="M169" s="15" t="s">
        <v>65</v>
      </c>
      <c r="N169" s="15" t="s">
        <v>35</v>
      </c>
      <c r="O169" s="15" t="s">
        <v>22</v>
      </c>
      <c r="Q169" s="9">
        <v>8</v>
      </c>
      <c r="R169" s="9">
        <v>7</v>
      </c>
      <c r="S169" s="9">
        <v>16</v>
      </c>
      <c r="T169" s="9">
        <v>8</v>
      </c>
      <c r="U169" s="9">
        <v>3</v>
      </c>
      <c r="W169" s="24">
        <v>1</v>
      </c>
      <c r="X169" s="24">
        <v>1</v>
      </c>
      <c r="Y169" s="24">
        <v>1</v>
      </c>
      <c r="Z169" s="24">
        <v>1</v>
      </c>
      <c r="AA169" s="24">
        <v>1</v>
      </c>
      <c r="AH169" s="5"/>
      <c r="AI169" s="5"/>
      <c r="AO169" s="5"/>
    </row>
    <row r="170" spans="10:41" x14ac:dyDescent="0.3">
      <c r="J170" s="9">
        <v>166</v>
      </c>
      <c r="K170" s="15" t="s">
        <v>18</v>
      </c>
      <c r="L170" s="15" t="s">
        <v>18</v>
      </c>
      <c r="M170" s="15" t="s">
        <v>96</v>
      </c>
      <c r="N170" s="15" t="s">
        <v>37</v>
      </c>
      <c r="O170" s="15" t="s">
        <v>37</v>
      </c>
      <c r="Q170" s="9">
        <v>4</v>
      </c>
      <c r="R170" s="9">
        <v>4</v>
      </c>
      <c r="S170" s="9">
        <v>15</v>
      </c>
      <c r="T170" s="9">
        <v>7</v>
      </c>
      <c r="U170" s="9">
        <v>7</v>
      </c>
      <c r="W170" s="24">
        <v>1</v>
      </c>
      <c r="X170" s="24">
        <v>1</v>
      </c>
      <c r="Y170" s="24">
        <v>1</v>
      </c>
      <c r="Z170" s="24">
        <v>1</v>
      </c>
      <c r="AA170" s="24">
        <v>1</v>
      </c>
      <c r="AH170" s="5"/>
      <c r="AI170" s="5"/>
      <c r="AO170" s="5"/>
    </row>
    <row r="171" spans="10:41" x14ac:dyDescent="0.3">
      <c r="J171" s="24">
        <v>167</v>
      </c>
      <c r="K171" s="15" t="s">
        <v>37</v>
      </c>
      <c r="L171" s="15" t="s">
        <v>37</v>
      </c>
      <c r="M171" s="15" t="s">
        <v>81</v>
      </c>
      <c r="N171" s="15" t="s">
        <v>35</v>
      </c>
      <c r="O171" s="15" t="s">
        <v>95</v>
      </c>
      <c r="Q171" s="9">
        <v>7</v>
      </c>
      <c r="R171" s="9">
        <v>7</v>
      </c>
      <c r="S171" s="9">
        <v>17</v>
      </c>
      <c r="T171" s="9">
        <v>8</v>
      </c>
      <c r="U171" s="9">
        <v>6</v>
      </c>
      <c r="W171" s="24">
        <v>1</v>
      </c>
      <c r="X171" s="24">
        <v>1</v>
      </c>
      <c r="Y171" s="24">
        <v>1</v>
      </c>
      <c r="Z171" s="24">
        <v>1</v>
      </c>
      <c r="AA171" s="24">
        <v>1</v>
      </c>
      <c r="AH171" s="5"/>
      <c r="AI171" s="5"/>
      <c r="AO171" s="5"/>
    </row>
    <row r="172" spans="10:41" x14ac:dyDescent="0.3">
      <c r="J172" s="9">
        <v>168</v>
      </c>
      <c r="K172" s="15" t="s">
        <v>35</v>
      </c>
      <c r="L172" s="15" t="s">
        <v>19</v>
      </c>
      <c r="M172" s="15" t="s">
        <v>111</v>
      </c>
      <c r="N172" s="15" t="s">
        <v>95</v>
      </c>
      <c r="O172" s="15" t="s">
        <v>35</v>
      </c>
      <c r="Q172" s="9">
        <v>8</v>
      </c>
      <c r="R172" s="9">
        <v>5</v>
      </c>
      <c r="S172" s="9">
        <v>12</v>
      </c>
      <c r="T172" s="9">
        <v>6</v>
      </c>
      <c r="U172" s="9">
        <v>8</v>
      </c>
      <c r="W172" s="24">
        <v>1</v>
      </c>
      <c r="X172" s="24">
        <v>1</v>
      </c>
      <c r="Y172" s="24">
        <v>1</v>
      </c>
      <c r="Z172" s="24">
        <v>1</v>
      </c>
      <c r="AA172" s="24">
        <v>1</v>
      </c>
      <c r="AH172" s="5"/>
      <c r="AI172" s="5"/>
      <c r="AO172" s="5"/>
    </row>
    <row r="173" spans="10:41" x14ac:dyDescent="0.3">
      <c r="J173" s="24">
        <v>169</v>
      </c>
      <c r="K173" s="15" t="s">
        <v>36</v>
      </c>
      <c r="L173" s="15" t="s">
        <v>37</v>
      </c>
      <c r="M173" s="15" t="s">
        <v>81</v>
      </c>
      <c r="N173" s="15" t="s">
        <v>35</v>
      </c>
      <c r="O173" s="15" t="s">
        <v>95</v>
      </c>
      <c r="Q173" s="9">
        <v>10</v>
      </c>
      <c r="R173" s="9">
        <v>7</v>
      </c>
      <c r="S173" s="9">
        <v>17</v>
      </c>
      <c r="T173" s="9">
        <v>8</v>
      </c>
      <c r="U173" s="9">
        <v>6</v>
      </c>
      <c r="W173" s="24">
        <v>1</v>
      </c>
      <c r="X173" s="24">
        <v>1</v>
      </c>
      <c r="Y173" s="24">
        <v>1</v>
      </c>
      <c r="Z173" s="24">
        <v>1</v>
      </c>
      <c r="AA173" s="24">
        <v>1</v>
      </c>
      <c r="AH173" s="5"/>
      <c r="AI173" s="5"/>
      <c r="AO173" s="5"/>
    </row>
    <row r="174" spans="10:41" x14ac:dyDescent="0.3">
      <c r="J174" s="9">
        <v>170</v>
      </c>
      <c r="K174" s="15" t="s">
        <v>19</v>
      </c>
      <c r="L174" s="15" t="s">
        <v>95</v>
      </c>
      <c r="M174" s="15" t="s">
        <v>64</v>
      </c>
      <c r="N174" s="15" t="s">
        <v>18</v>
      </c>
      <c r="O174" s="15" t="s">
        <v>20</v>
      </c>
      <c r="Q174" s="9">
        <v>5</v>
      </c>
      <c r="R174" s="9">
        <v>6</v>
      </c>
      <c r="S174" s="9">
        <v>14</v>
      </c>
      <c r="T174" s="9">
        <v>4</v>
      </c>
      <c r="U174" s="9">
        <v>1</v>
      </c>
      <c r="W174" s="24">
        <v>1</v>
      </c>
      <c r="X174" s="24">
        <v>1</v>
      </c>
      <c r="Y174" s="24">
        <v>1</v>
      </c>
      <c r="Z174" s="24">
        <v>1</v>
      </c>
      <c r="AA174" s="24">
        <v>1</v>
      </c>
      <c r="AH174" s="5"/>
      <c r="AI174" s="5"/>
      <c r="AO174" s="5"/>
    </row>
    <row r="175" spans="10:41" x14ac:dyDescent="0.3">
      <c r="J175" s="24">
        <v>171</v>
      </c>
      <c r="K175" s="15" t="s">
        <v>37</v>
      </c>
      <c r="L175" s="15" t="s">
        <v>34</v>
      </c>
      <c r="M175" s="15" t="s">
        <v>96</v>
      </c>
      <c r="N175" s="15" t="s">
        <v>19</v>
      </c>
      <c r="O175" s="15" t="s">
        <v>95</v>
      </c>
      <c r="Q175" s="9">
        <v>7</v>
      </c>
      <c r="R175" s="9">
        <v>9</v>
      </c>
      <c r="S175" s="9">
        <v>15</v>
      </c>
      <c r="T175" s="9">
        <v>5</v>
      </c>
      <c r="U175" s="9">
        <v>6</v>
      </c>
      <c r="W175" s="24">
        <v>1</v>
      </c>
      <c r="X175" s="24">
        <v>1</v>
      </c>
      <c r="Y175" s="24">
        <v>1</v>
      </c>
      <c r="Z175" s="24">
        <v>1</v>
      </c>
      <c r="AA175" s="24">
        <v>1</v>
      </c>
      <c r="AH175" s="5"/>
      <c r="AI175" s="5"/>
      <c r="AO175" s="5"/>
    </row>
    <row r="176" spans="10:41" x14ac:dyDescent="0.3">
      <c r="J176" s="9">
        <v>172</v>
      </c>
      <c r="K176" s="15" t="s">
        <v>19</v>
      </c>
      <c r="L176" s="15" t="s">
        <v>35</v>
      </c>
      <c r="M176" s="15" t="s">
        <v>70</v>
      </c>
      <c r="N176" s="15" t="s">
        <v>95</v>
      </c>
      <c r="O176" s="15" t="s">
        <v>19</v>
      </c>
      <c r="Q176" s="9">
        <v>5</v>
      </c>
      <c r="R176" s="9">
        <v>8</v>
      </c>
      <c r="S176" s="9">
        <v>19</v>
      </c>
      <c r="T176" s="9">
        <v>6</v>
      </c>
      <c r="U176" s="9">
        <v>5</v>
      </c>
      <c r="W176" s="24">
        <v>1</v>
      </c>
      <c r="X176" s="24">
        <v>1</v>
      </c>
      <c r="Y176" s="24">
        <v>1</v>
      </c>
      <c r="Z176" s="24">
        <v>1</v>
      </c>
      <c r="AA176" s="24">
        <v>1</v>
      </c>
      <c r="AH176" s="5"/>
      <c r="AI176" s="5"/>
      <c r="AO176" s="5"/>
    </row>
    <row r="177" spans="10:41" x14ac:dyDescent="0.3">
      <c r="J177" s="24">
        <v>173</v>
      </c>
      <c r="K177" s="15" t="s">
        <v>37</v>
      </c>
      <c r="L177" s="15" t="s">
        <v>21</v>
      </c>
      <c r="M177" s="15" t="s">
        <v>81</v>
      </c>
      <c r="N177" s="15" t="s">
        <v>35</v>
      </c>
      <c r="O177" s="15" t="s">
        <v>95</v>
      </c>
      <c r="Q177" s="9">
        <v>7</v>
      </c>
      <c r="R177" s="9">
        <v>2</v>
      </c>
      <c r="S177" s="9">
        <v>17</v>
      </c>
      <c r="T177" s="9">
        <v>8</v>
      </c>
      <c r="U177" s="9">
        <v>6</v>
      </c>
      <c r="W177" s="24">
        <v>1</v>
      </c>
      <c r="X177" s="24">
        <v>1</v>
      </c>
      <c r="Y177" s="24">
        <v>1</v>
      </c>
      <c r="Z177" s="24">
        <v>1</v>
      </c>
      <c r="AA177" s="24">
        <v>1</v>
      </c>
      <c r="AH177" s="5"/>
      <c r="AI177" s="5"/>
      <c r="AO177" s="5"/>
    </row>
    <row r="178" spans="10:41" x14ac:dyDescent="0.3">
      <c r="J178" s="9">
        <v>174</v>
      </c>
      <c r="K178" s="15" t="s">
        <v>34</v>
      </c>
      <c r="L178" s="15" t="s">
        <v>19</v>
      </c>
      <c r="M178" s="15" t="s">
        <v>65</v>
      </c>
      <c r="N178" s="15" t="s">
        <v>95</v>
      </c>
      <c r="O178" s="15" t="s">
        <v>19</v>
      </c>
      <c r="Q178" s="9">
        <v>9</v>
      </c>
      <c r="R178" s="9">
        <v>5</v>
      </c>
      <c r="S178" s="9">
        <v>16</v>
      </c>
      <c r="T178" s="9">
        <v>6</v>
      </c>
      <c r="U178" s="9">
        <v>5</v>
      </c>
      <c r="W178" s="24">
        <v>1</v>
      </c>
      <c r="X178" s="24">
        <v>1</v>
      </c>
      <c r="Y178" s="24">
        <v>1</v>
      </c>
      <c r="Z178" s="24">
        <v>1</v>
      </c>
      <c r="AA178" s="24">
        <v>1</v>
      </c>
      <c r="AH178" s="5"/>
      <c r="AI178" s="5"/>
      <c r="AO178" s="5"/>
    </row>
    <row r="179" spans="10:41" x14ac:dyDescent="0.3">
      <c r="J179" s="24">
        <v>175</v>
      </c>
      <c r="K179" s="15" t="s">
        <v>37</v>
      </c>
      <c r="L179" s="15" t="s">
        <v>35</v>
      </c>
      <c r="M179" s="15" t="s">
        <v>81</v>
      </c>
      <c r="N179" s="15" t="s">
        <v>20</v>
      </c>
      <c r="O179" s="15" t="s">
        <v>34</v>
      </c>
      <c r="Q179" s="9">
        <v>7</v>
      </c>
      <c r="R179" s="9">
        <v>8</v>
      </c>
      <c r="S179" s="9">
        <v>17</v>
      </c>
      <c r="T179" s="9">
        <v>1</v>
      </c>
      <c r="U179" s="9">
        <v>9</v>
      </c>
      <c r="W179" s="24">
        <v>1</v>
      </c>
      <c r="X179" s="24">
        <v>1</v>
      </c>
      <c r="Y179" s="24">
        <v>1</v>
      </c>
      <c r="Z179" s="24">
        <v>1</v>
      </c>
      <c r="AA179" s="24">
        <v>1</v>
      </c>
      <c r="AH179" s="5"/>
      <c r="AI179" s="5"/>
      <c r="AO179" s="5"/>
    </row>
    <row r="180" spans="10:41" x14ac:dyDescent="0.3">
      <c r="J180" s="9">
        <v>176</v>
      </c>
      <c r="K180" s="15" t="s">
        <v>22</v>
      </c>
      <c r="L180" s="15" t="s">
        <v>21</v>
      </c>
      <c r="M180" s="15" t="s">
        <v>65</v>
      </c>
      <c r="N180" s="15" t="s">
        <v>19</v>
      </c>
      <c r="O180" s="15" t="s">
        <v>19</v>
      </c>
      <c r="Q180" s="9">
        <v>3</v>
      </c>
      <c r="R180" s="9">
        <v>2</v>
      </c>
      <c r="S180" s="9">
        <v>16</v>
      </c>
      <c r="T180" s="9">
        <v>5</v>
      </c>
      <c r="U180" s="9">
        <v>5</v>
      </c>
      <c r="W180" s="24">
        <v>1</v>
      </c>
      <c r="X180" s="24">
        <v>1</v>
      </c>
      <c r="Y180" s="24">
        <v>1</v>
      </c>
      <c r="Z180" s="24">
        <v>1</v>
      </c>
      <c r="AA180" s="24">
        <v>1</v>
      </c>
      <c r="AH180" s="5"/>
      <c r="AI180" s="5"/>
      <c r="AO180" s="5"/>
    </row>
    <row r="181" spans="10:41" x14ac:dyDescent="0.3">
      <c r="J181" s="24">
        <v>177</v>
      </c>
      <c r="K181" s="15" t="s">
        <v>35</v>
      </c>
      <c r="L181" s="15" t="s">
        <v>19</v>
      </c>
      <c r="M181" s="15" t="s">
        <v>96</v>
      </c>
      <c r="N181" s="15" t="s">
        <v>81</v>
      </c>
      <c r="O181" s="15" t="s">
        <v>37</v>
      </c>
      <c r="Q181" s="9">
        <v>8</v>
      </c>
      <c r="R181" s="9">
        <v>5</v>
      </c>
      <c r="S181" s="9">
        <v>15</v>
      </c>
      <c r="T181" s="9">
        <v>17</v>
      </c>
      <c r="U181" s="9">
        <v>7</v>
      </c>
      <c r="W181" s="24">
        <v>1</v>
      </c>
      <c r="X181" s="24">
        <v>1</v>
      </c>
      <c r="Y181" s="24">
        <v>1</v>
      </c>
      <c r="Z181" s="24">
        <v>1</v>
      </c>
      <c r="AA181" s="24">
        <v>1</v>
      </c>
      <c r="AH181" s="5"/>
      <c r="AI181" s="5"/>
      <c r="AO181" s="5"/>
    </row>
    <row r="182" spans="10:41" x14ac:dyDescent="0.3">
      <c r="J182" s="9">
        <v>178</v>
      </c>
      <c r="K182" s="15" t="s">
        <v>19</v>
      </c>
      <c r="L182" s="15" t="s">
        <v>81</v>
      </c>
      <c r="M182" s="15" t="s">
        <v>64</v>
      </c>
      <c r="N182" s="15" t="s">
        <v>35</v>
      </c>
      <c r="O182" s="15" t="s">
        <v>18</v>
      </c>
      <c r="Q182" s="9">
        <v>5</v>
      </c>
      <c r="R182" s="9">
        <v>17</v>
      </c>
      <c r="S182" s="9">
        <v>14</v>
      </c>
      <c r="T182" s="9">
        <v>8</v>
      </c>
      <c r="U182" s="9">
        <v>4</v>
      </c>
      <c r="W182" s="24">
        <v>1</v>
      </c>
      <c r="X182" s="24">
        <v>1</v>
      </c>
      <c r="Y182" s="24">
        <v>1</v>
      </c>
      <c r="Z182" s="24">
        <v>1</v>
      </c>
      <c r="AA182" s="24">
        <v>1</v>
      </c>
      <c r="AH182" s="5"/>
      <c r="AI182" s="5"/>
      <c r="AO182" s="5"/>
    </row>
    <row r="183" spans="10:41" x14ac:dyDescent="0.3">
      <c r="J183" s="24">
        <v>179</v>
      </c>
      <c r="K183" s="15" t="s">
        <v>37</v>
      </c>
      <c r="L183" s="15" t="s">
        <v>95</v>
      </c>
      <c r="M183" s="15" t="s">
        <v>96</v>
      </c>
      <c r="N183" s="15" t="s">
        <v>37</v>
      </c>
      <c r="O183" s="15" t="s">
        <v>34</v>
      </c>
      <c r="Q183" s="9">
        <v>7</v>
      </c>
      <c r="R183" s="9">
        <v>6</v>
      </c>
      <c r="S183" s="9">
        <v>15</v>
      </c>
      <c r="T183" s="9">
        <v>7</v>
      </c>
      <c r="U183" s="9">
        <v>9</v>
      </c>
      <c r="W183" s="24">
        <v>1</v>
      </c>
      <c r="X183" s="24">
        <v>1</v>
      </c>
      <c r="Y183" s="24">
        <v>1</v>
      </c>
      <c r="Z183" s="24">
        <v>1</v>
      </c>
      <c r="AA183" s="24">
        <v>1</v>
      </c>
      <c r="AH183" s="5"/>
      <c r="AI183" s="5"/>
      <c r="AO183" s="5"/>
    </row>
    <row r="184" spans="10:41" x14ac:dyDescent="0.3">
      <c r="J184" s="9">
        <v>180</v>
      </c>
      <c r="K184" s="15" t="s">
        <v>35</v>
      </c>
      <c r="L184" s="15" t="s">
        <v>37</v>
      </c>
      <c r="M184" s="15" t="s">
        <v>81</v>
      </c>
      <c r="N184" s="15" t="s">
        <v>95</v>
      </c>
      <c r="O184" s="15" t="s">
        <v>37</v>
      </c>
      <c r="Q184" s="9">
        <v>8</v>
      </c>
      <c r="R184" s="9">
        <v>7</v>
      </c>
      <c r="S184" s="9">
        <v>17</v>
      </c>
      <c r="T184" s="9">
        <v>6</v>
      </c>
      <c r="U184" s="9">
        <v>7</v>
      </c>
      <c r="W184" s="24">
        <v>1</v>
      </c>
      <c r="X184" s="24">
        <v>1</v>
      </c>
      <c r="Y184" s="24">
        <v>1</v>
      </c>
      <c r="Z184" s="24">
        <v>1</v>
      </c>
      <c r="AA184" s="24">
        <v>1</v>
      </c>
      <c r="AH184" s="5"/>
      <c r="AI184" s="5"/>
      <c r="AO184" s="5"/>
    </row>
    <row r="185" spans="10:41" x14ac:dyDescent="0.3">
      <c r="J185" s="24">
        <v>181</v>
      </c>
      <c r="K185" s="15" t="s">
        <v>19</v>
      </c>
      <c r="L185" s="15" t="s">
        <v>19</v>
      </c>
      <c r="M185" s="15" t="s">
        <v>70</v>
      </c>
      <c r="N185" s="15" t="s">
        <v>19</v>
      </c>
      <c r="O185" s="15" t="s">
        <v>35</v>
      </c>
      <c r="Q185" s="9">
        <v>5</v>
      </c>
      <c r="R185" s="9">
        <v>5</v>
      </c>
      <c r="S185" s="9">
        <v>19</v>
      </c>
      <c r="T185" s="9">
        <v>5</v>
      </c>
      <c r="U185" s="9">
        <v>8</v>
      </c>
      <c r="W185" s="24">
        <v>1</v>
      </c>
      <c r="X185" s="24">
        <v>1</v>
      </c>
      <c r="Y185" s="24">
        <v>1</v>
      </c>
      <c r="Z185" s="24">
        <v>1</v>
      </c>
      <c r="AA185" s="24">
        <v>1</v>
      </c>
      <c r="AH185" s="5"/>
      <c r="AI185" s="5"/>
      <c r="AO185" s="5"/>
    </row>
    <row r="186" spans="10:41" x14ac:dyDescent="0.3">
      <c r="J186" s="9">
        <v>182</v>
      </c>
      <c r="K186" s="15" t="s">
        <v>21</v>
      </c>
      <c r="L186" s="15" t="s">
        <v>21</v>
      </c>
      <c r="M186" s="15" t="s">
        <v>81</v>
      </c>
      <c r="N186" s="15" t="s">
        <v>37</v>
      </c>
      <c r="O186" s="15" t="s">
        <v>20</v>
      </c>
      <c r="Q186" s="9">
        <v>2</v>
      </c>
      <c r="R186" s="9">
        <v>2</v>
      </c>
      <c r="S186" s="9">
        <v>17</v>
      </c>
      <c r="T186" s="9">
        <v>7</v>
      </c>
      <c r="U186" s="9">
        <v>1</v>
      </c>
      <c r="W186" s="24">
        <v>1</v>
      </c>
      <c r="X186" s="24">
        <v>1</v>
      </c>
      <c r="Y186" s="24">
        <v>1</v>
      </c>
      <c r="Z186" s="24">
        <v>1</v>
      </c>
      <c r="AA186" s="24">
        <v>1</v>
      </c>
      <c r="AH186" s="5"/>
      <c r="AI186" s="5"/>
      <c r="AO186" s="5"/>
    </row>
    <row r="187" spans="10:41" x14ac:dyDescent="0.3">
      <c r="J187" s="24">
        <v>183</v>
      </c>
      <c r="K187" s="15" t="s">
        <v>37</v>
      </c>
      <c r="L187" s="15" t="s">
        <v>37</v>
      </c>
      <c r="M187" s="15" t="s">
        <v>64</v>
      </c>
      <c r="N187" s="15" t="s">
        <v>19</v>
      </c>
      <c r="O187" s="15" t="s">
        <v>95</v>
      </c>
      <c r="Q187" s="9">
        <v>7</v>
      </c>
      <c r="R187" s="9">
        <v>7</v>
      </c>
      <c r="S187" s="9">
        <v>14</v>
      </c>
      <c r="T187" s="9">
        <v>5</v>
      </c>
      <c r="U187" s="9">
        <v>6</v>
      </c>
      <c r="W187" s="24">
        <v>1</v>
      </c>
      <c r="X187" s="24">
        <v>1</v>
      </c>
      <c r="Y187" s="24">
        <v>1</v>
      </c>
      <c r="Z187" s="24">
        <v>1</v>
      </c>
      <c r="AA187" s="24">
        <v>1</v>
      </c>
      <c r="AH187" s="5"/>
      <c r="AI187" s="5"/>
      <c r="AO187" s="5"/>
    </row>
    <row r="188" spans="10:41" x14ac:dyDescent="0.3">
      <c r="J188" s="9">
        <v>184</v>
      </c>
      <c r="K188" s="15" t="s">
        <v>35</v>
      </c>
      <c r="L188" s="15" t="s">
        <v>95</v>
      </c>
      <c r="M188" s="15" t="s">
        <v>96</v>
      </c>
      <c r="N188" s="15" t="s">
        <v>95</v>
      </c>
      <c r="O188" s="15" t="s">
        <v>22</v>
      </c>
      <c r="Q188" s="9">
        <v>8</v>
      </c>
      <c r="R188" s="9">
        <v>6</v>
      </c>
      <c r="S188" s="9">
        <v>15</v>
      </c>
      <c r="T188" s="9">
        <v>6</v>
      </c>
      <c r="U188" s="9">
        <v>3</v>
      </c>
      <c r="W188" s="24">
        <v>1</v>
      </c>
      <c r="X188" s="24">
        <v>1</v>
      </c>
      <c r="Y188" s="24">
        <v>1</v>
      </c>
      <c r="Z188" s="24">
        <v>1</v>
      </c>
      <c r="AA188" s="24">
        <v>1</v>
      </c>
      <c r="AH188" s="5"/>
      <c r="AI188" s="5"/>
      <c r="AO188" s="5"/>
    </row>
    <row r="189" spans="10:41" x14ac:dyDescent="0.3">
      <c r="J189" s="24">
        <v>185</v>
      </c>
      <c r="K189" s="15" t="s">
        <v>95</v>
      </c>
      <c r="L189" s="15" t="s">
        <v>19</v>
      </c>
      <c r="M189" s="15" t="s">
        <v>64</v>
      </c>
      <c r="N189" s="15" t="s">
        <v>37</v>
      </c>
      <c r="O189" s="15" t="s">
        <v>35</v>
      </c>
      <c r="Q189" s="9">
        <v>6</v>
      </c>
      <c r="R189" s="9">
        <v>5</v>
      </c>
      <c r="S189" s="9">
        <v>14</v>
      </c>
      <c r="T189" s="9">
        <v>7</v>
      </c>
      <c r="U189" s="9">
        <v>8</v>
      </c>
      <c r="W189" s="24">
        <v>1</v>
      </c>
      <c r="X189" s="24">
        <v>1</v>
      </c>
      <c r="Y189" s="24">
        <v>1</v>
      </c>
      <c r="Z189" s="24">
        <v>1</v>
      </c>
      <c r="AA189" s="24">
        <v>1</v>
      </c>
      <c r="AH189" s="5"/>
      <c r="AI189" s="5"/>
      <c r="AO189" s="5"/>
    </row>
    <row r="190" spans="10:41" x14ac:dyDescent="0.3">
      <c r="J190" s="9">
        <v>186</v>
      </c>
      <c r="K190" s="15" t="s">
        <v>37</v>
      </c>
      <c r="L190" s="15" t="s">
        <v>81</v>
      </c>
      <c r="M190" s="15" t="s">
        <v>81</v>
      </c>
      <c r="N190" s="15" t="s">
        <v>19</v>
      </c>
      <c r="O190" s="15" t="s">
        <v>37</v>
      </c>
      <c r="Q190" s="9">
        <v>7</v>
      </c>
      <c r="R190" s="9">
        <v>17</v>
      </c>
      <c r="S190" s="9">
        <v>17</v>
      </c>
      <c r="T190" s="9">
        <v>5</v>
      </c>
      <c r="U190" s="9">
        <v>7</v>
      </c>
      <c r="W190" s="24">
        <v>1</v>
      </c>
      <c r="X190" s="24">
        <v>1</v>
      </c>
      <c r="Y190" s="24">
        <v>1</v>
      </c>
      <c r="Z190" s="24">
        <v>1</v>
      </c>
      <c r="AA190" s="24">
        <v>1</v>
      </c>
      <c r="AH190" s="5"/>
      <c r="AI190" s="5"/>
      <c r="AO190" s="5"/>
    </row>
    <row r="191" spans="10:41" x14ac:dyDescent="0.3">
      <c r="J191" s="24">
        <v>187</v>
      </c>
      <c r="K191" s="15" t="s">
        <v>19</v>
      </c>
      <c r="L191" s="15" t="s">
        <v>37</v>
      </c>
      <c r="M191" s="15" t="s">
        <v>65</v>
      </c>
      <c r="N191" s="15" t="s">
        <v>37</v>
      </c>
      <c r="O191" s="15" t="s">
        <v>21</v>
      </c>
      <c r="Q191" s="9">
        <v>5</v>
      </c>
      <c r="R191" s="9">
        <v>7</v>
      </c>
      <c r="S191" s="9">
        <v>16</v>
      </c>
      <c r="T191" s="9">
        <v>7</v>
      </c>
      <c r="U191" s="9">
        <v>2</v>
      </c>
      <c r="W191" s="24">
        <v>1</v>
      </c>
      <c r="X191" s="24">
        <v>1</v>
      </c>
      <c r="Y191" s="24">
        <v>1</v>
      </c>
      <c r="Z191" s="24">
        <v>1</v>
      </c>
      <c r="AA191" s="24">
        <v>1</v>
      </c>
      <c r="AH191" s="5"/>
      <c r="AI191" s="5"/>
      <c r="AO191" s="5"/>
    </row>
    <row r="192" spans="10:41" x14ac:dyDescent="0.3">
      <c r="J192" s="9">
        <v>188</v>
      </c>
      <c r="K192" s="15" t="s">
        <v>95</v>
      </c>
      <c r="L192" s="15" t="s">
        <v>35</v>
      </c>
      <c r="M192" s="15" t="s">
        <v>96</v>
      </c>
      <c r="N192" s="15" t="s">
        <v>19</v>
      </c>
      <c r="O192" s="15" t="s">
        <v>37</v>
      </c>
      <c r="Q192" s="9">
        <v>6</v>
      </c>
      <c r="R192" s="9">
        <v>8</v>
      </c>
      <c r="S192" s="9">
        <v>15</v>
      </c>
      <c r="T192" s="9">
        <v>5</v>
      </c>
      <c r="U192" s="9">
        <v>7</v>
      </c>
      <c r="W192" s="24">
        <v>1</v>
      </c>
      <c r="X192" s="24">
        <v>1</v>
      </c>
      <c r="Y192" s="24">
        <v>1</v>
      </c>
      <c r="Z192" s="24">
        <v>1</v>
      </c>
      <c r="AA192" s="24">
        <v>1</v>
      </c>
      <c r="AH192" s="5"/>
      <c r="AI192" s="5"/>
      <c r="AO192" s="5"/>
    </row>
    <row r="193" spans="10:41" x14ac:dyDescent="0.3">
      <c r="J193" s="24">
        <v>189</v>
      </c>
      <c r="K193" s="15" t="s">
        <v>37</v>
      </c>
      <c r="L193" s="15" t="s">
        <v>65</v>
      </c>
      <c r="M193" s="15" t="s">
        <v>81</v>
      </c>
      <c r="N193" s="15" t="s">
        <v>36</v>
      </c>
      <c r="O193" s="15" t="s">
        <v>36</v>
      </c>
      <c r="Q193" s="9">
        <v>7</v>
      </c>
      <c r="R193" s="9">
        <v>16</v>
      </c>
      <c r="S193" s="9">
        <v>17</v>
      </c>
      <c r="T193" s="9">
        <v>10</v>
      </c>
      <c r="U193" s="9">
        <v>10</v>
      </c>
      <c r="W193" s="24">
        <v>1</v>
      </c>
      <c r="X193" s="24">
        <v>1</v>
      </c>
      <c r="Y193" s="24">
        <v>1</v>
      </c>
      <c r="Z193" s="24">
        <v>1</v>
      </c>
      <c r="AA193" s="24">
        <v>1</v>
      </c>
      <c r="AH193" s="5"/>
      <c r="AI193" s="5"/>
      <c r="AO193" s="5"/>
    </row>
    <row r="194" spans="10:41" x14ac:dyDescent="0.3">
      <c r="J194" s="9">
        <v>190</v>
      </c>
      <c r="K194" s="15" t="s">
        <v>95</v>
      </c>
      <c r="L194" s="15" t="s">
        <v>37</v>
      </c>
      <c r="M194" s="15" t="s">
        <v>65</v>
      </c>
      <c r="N194" s="15" t="s">
        <v>20</v>
      </c>
      <c r="O194" s="15" t="s">
        <v>95</v>
      </c>
      <c r="Q194" s="9">
        <v>6</v>
      </c>
      <c r="R194" s="9">
        <v>7</v>
      </c>
      <c r="S194" s="9">
        <v>16</v>
      </c>
      <c r="T194" s="9">
        <v>1</v>
      </c>
      <c r="U194" s="9">
        <v>6</v>
      </c>
      <c r="W194" s="24">
        <v>1</v>
      </c>
      <c r="X194" s="24">
        <v>1</v>
      </c>
      <c r="Y194" s="24">
        <v>1</v>
      </c>
      <c r="Z194" s="24">
        <v>1</v>
      </c>
      <c r="AA194" s="24">
        <v>1</v>
      </c>
      <c r="AH194" s="5"/>
      <c r="AI194" s="5"/>
      <c r="AO194" s="5"/>
    </row>
    <row r="195" spans="10:41" x14ac:dyDescent="0.3">
      <c r="J195" s="24">
        <v>191</v>
      </c>
      <c r="K195" s="15" t="s">
        <v>35</v>
      </c>
      <c r="L195" s="15" t="s">
        <v>35</v>
      </c>
      <c r="M195" s="15" t="s">
        <v>68</v>
      </c>
      <c r="N195" s="15" t="s">
        <v>18</v>
      </c>
      <c r="O195" s="15" t="s">
        <v>19</v>
      </c>
      <c r="Q195" s="9">
        <v>8</v>
      </c>
      <c r="R195" s="9">
        <v>8</v>
      </c>
      <c r="S195" s="9">
        <v>18</v>
      </c>
      <c r="T195" s="9">
        <v>4</v>
      </c>
      <c r="U195" s="9">
        <v>5</v>
      </c>
      <c r="W195" s="24">
        <v>1</v>
      </c>
      <c r="X195" s="24">
        <v>1</v>
      </c>
      <c r="Y195" s="24">
        <v>1</v>
      </c>
      <c r="Z195" s="24">
        <v>1</v>
      </c>
      <c r="AA195" s="24">
        <v>1</v>
      </c>
      <c r="AH195" s="5"/>
      <c r="AI195" s="5"/>
      <c r="AO195" s="5"/>
    </row>
    <row r="196" spans="10:41" x14ac:dyDescent="0.3">
      <c r="J196" s="9">
        <v>192</v>
      </c>
      <c r="K196" s="15" t="s">
        <v>37</v>
      </c>
      <c r="L196" s="15" t="s">
        <v>34</v>
      </c>
      <c r="M196" s="15" t="s">
        <v>96</v>
      </c>
      <c r="N196" s="15" t="s">
        <v>64</v>
      </c>
      <c r="O196" s="15" t="s">
        <v>37</v>
      </c>
      <c r="Q196" s="9">
        <v>7</v>
      </c>
      <c r="R196" s="9">
        <v>9</v>
      </c>
      <c r="S196" s="9">
        <v>15</v>
      </c>
      <c r="T196" s="9">
        <v>14</v>
      </c>
      <c r="U196" s="9">
        <v>7</v>
      </c>
      <c r="W196" s="24">
        <v>1</v>
      </c>
      <c r="X196" s="24">
        <v>1</v>
      </c>
      <c r="Y196" s="24">
        <v>1</v>
      </c>
      <c r="Z196" s="24">
        <v>1</v>
      </c>
      <c r="AA196" s="24">
        <v>1</v>
      </c>
      <c r="AH196" s="5"/>
      <c r="AI196" s="5"/>
      <c r="AO196" s="5"/>
    </row>
    <row r="197" spans="10:41" x14ac:dyDescent="0.3">
      <c r="J197" s="24">
        <v>193</v>
      </c>
      <c r="K197" s="15" t="s">
        <v>95</v>
      </c>
      <c r="L197" s="15" t="s">
        <v>35</v>
      </c>
      <c r="M197" s="15" t="s">
        <v>64</v>
      </c>
      <c r="N197" s="15" t="s">
        <v>37</v>
      </c>
      <c r="O197" s="15" t="s">
        <v>19</v>
      </c>
      <c r="Q197" s="9">
        <v>6</v>
      </c>
      <c r="R197" s="9">
        <v>8</v>
      </c>
      <c r="S197" s="9">
        <v>14</v>
      </c>
      <c r="T197" s="9">
        <v>7</v>
      </c>
      <c r="U197" s="9">
        <v>5</v>
      </c>
      <c r="W197" s="24">
        <v>1</v>
      </c>
      <c r="X197" s="24">
        <v>1</v>
      </c>
      <c r="Y197" s="24">
        <v>1</v>
      </c>
      <c r="Z197" s="24">
        <v>1</v>
      </c>
      <c r="AA197" s="24">
        <v>1</v>
      </c>
      <c r="AH197" s="5"/>
      <c r="AI197" s="5"/>
      <c r="AO197" s="5"/>
    </row>
    <row r="198" spans="10:41" x14ac:dyDescent="0.3">
      <c r="J198" s="9">
        <v>194</v>
      </c>
      <c r="K198" s="15" t="s">
        <v>34</v>
      </c>
      <c r="L198" s="15" t="s">
        <v>19</v>
      </c>
      <c r="M198" s="15" t="s">
        <v>65</v>
      </c>
      <c r="N198" s="15" t="s">
        <v>63</v>
      </c>
      <c r="O198" s="15" t="s">
        <v>35</v>
      </c>
      <c r="Q198" s="9">
        <v>9</v>
      </c>
      <c r="R198" s="9">
        <v>5</v>
      </c>
      <c r="S198" s="9">
        <v>16</v>
      </c>
      <c r="T198" s="9">
        <v>13</v>
      </c>
      <c r="U198" s="9">
        <v>8</v>
      </c>
      <c r="W198" s="24">
        <v>1</v>
      </c>
      <c r="X198" s="24">
        <v>1</v>
      </c>
      <c r="Y198" s="24">
        <v>1</v>
      </c>
      <c r="Z198" s="24">
        <v>1</v>
      </c>
      <c r="AA198" s="24">
        <v>1</v>
      </c>
      <c r="AH198" s="5"/>
      <c r="AI198" s="5"/>
      <c r="AO198" s="5"/>
    </row>
    <row r="199" spans="10:41" x14ac:dyDescent="0.3">
      <c r="J199" s="24">
        <v>195</v>
      </c>
      <c r="K199" s="15" t="s">
        <v>18</v>
      </c>
      <c r="L199" s="15" t="s">
        <v>18</v>
      </c>
      <c r="M199" s="15" t="s">
        <v>64</v>
      </c>
      <c r="N199" s="15" t="s">
        <v>19</v>
      </c>
      <c r="O199" s="15" t="s">
        <v>37</v>
      </c>
      <c r="Q199" s="9">
        <v>4</v>
      </c>
      <c r="R199" s="9">
        <v>4</v>
      </c>
      <c r="S199" s="9">
        <v>14</v>
      </c>
      <c r="T199" s="9">
        <v>5</v>
      </c>
      <c r="U199" s="9">
        <v>7</v>
      </c>
      <c r="W199" s="24">
        <v>1</v>
      </c>
      <c r="X199" s="24">
        <v>1</v>
      </c>
      <c r="Y199" s="24">
        <v>1</v>
      </c>
      <c r="Z199" s="24">
        <v>1</v>
      </c>
      <c r="AA199" s="24">
        <v>1</v>
      </c>
      <c r="AH199" s="5"/>
      <c r="AI199" s="5"/>
      <c r="AO199" s="5"/>
    </row>
    <row r="200" spans="10:41" x14ac:dyDescent="0.3">
      <c r="J200" s="9">
        <v>196</v>
      </c>
      <c r="K200" s="15" t="s">
        <v>95</v>
      </c>
      <c r="L200" s="15" t="s">
        <v>22</v>
      </c>
      <c r="M200" s="15" t="s">
        <v>96</v>
      </c>
      <c r="N200" s="15" t="s">
        <v>65</v>
      </c>
      <c r="O200" s="15" t="s">
        <v>95</v>
      </c>
      <c r="Q200" s="9">
        <v>6</v>
      </c>
      <c r="R200" s="9">
        <v>3</v>
      </c>
      <c r="S200" s="9">
        <v>15</v>
      </c>
      <c r="T200" s="9">
        <v>16</v>
      </c>
      <c r="U200" s="9">
        <v>6</v>
      </c>
      <c r="W200" s="24">
        <v>1</v>
      </c>
      <c r="X200" s="24">
        <v>1</v>
      </c>
      <c r="Y200" s="24">
        <v>1</v>
      </c>
      <c r="Z200" s="24">
        <v>1</v>
      </c>
      <c r="AA200" s="24">
        <v>1</v>
      </c>
      <c r="AH200" s="5"/>
      <c r="AI200" s="5"/>
      <c r="AO200" s="5"/>
    </row>
    <row r="201" spans="10:41" x14ac:dyDescent="0.3">
      <c r="J201" s="24">
        <v>197</v>
      </c>
      <c r="K201" s="15" t="s">
        <v>19</v>
      </c>
      <c r="L201" s="15" t="s">
        <v>35</v>
      </c>
      <c r="M201" s="15" t="s">
        <v>70</v>
      </c>
      <c r="N201" s="15" t="s">
        <v>19</v>
      </c>
      <c r="O201" s="15" t="s">
        <v>37</v>
      </c>
      <c r="Q201" s="9">
        <v>5</v>
      </c>
      <c r="R201" s="9">
        <v>8</v>
      </c>
      <c r="S201" s="9">
        <v>19</v>
      </c>
      <c r="T201" s="9">
        <v>5</v>
      </c>
      <c r="U201" s="9">
        <v>7</v>
      </c>
      <c r="W201" s="24">
        <v>1</v>
      </c>
      <c r="X201" s="24">
        <v>1</v>
      </c>
      <c r="Y201" s="24">
        <v>1</v>
      </c>
      <c r="Z201" s="24">
        <v>1</v>
      </c>
      <c r="AA201" s="24">
        <v>1</v>
      </c>
      <c r="AH201" s="5"/>
      <c r="AI201" s="5"/>
      <c r="AO201" s="5"/>
    </row>
    <row r="202" spans="10:41" x14ac:dyDescent="0.3">
      <c r="J202" s="9">
        <v>198</v>
      </c>
      <c r="K202" s="15" t="s">
        <v>35</v>
      </c>
      <c r="L202" s="15" t="s">
        <v>95</v>
      </c>
      <c r="M202" s="15" t="s">
        <v>65</v>
      </c>
      <c r="N202" s="15" t="s">
        <v>65</v>
      </c>
      <c r="O202" s="15" t="s">
        <v>19</v>
      </c>
      <c r="Q202" s="9">
        <v>8</v>
      </c>
      <c r="R202" s="9">
        <v>6</v>
      </c>
      <c r="S202" s="9">
        <v>16</v>
      </c>
      <c r="T202" s="9">
        <v>16</v>
      </c>
      <c r="U202" s="9">
        <v>5</v>
      </c>
      <c r="W202" s="24">
        <v>1</v>
      </c>
      <c r="X202" s="24">
        <v>1</v>
      </c>
      <c r="Y202" s="24">
        <v>1</v>
      </c>
      <c r="Z202" s="24">
        <v>1</v>
      </c>
      <c r="AA202" s="24">
        <v>1</v>
      </c>
      <c r="AH202" s="5"/>
      <c r="AI202" s="5"/>
      <c r="AO202" s="5"/>
    </row>
    <row r="203" spans="10:41" x14ac:dyDescent="0.3">
      <c r="J203" s="24">
        <v>199</v>
      </c>
      <c r="K203" s="15" t="s">
        <v>18</v>
      </c>
      <c r="L203" s="15" t="s">
        <v>35</v>
      </c>
      <c r="M203" s="15" t="s">
        <v>81</v>
      </c>
      <c r="N203" s="15" t="s">
        <v>37</v>
      </c>
      <c r="O203" s="15" t="s">
        <v>37</v>
      </c>
      <c r="Q203" s="9">
        <v>4</v>
      </c>
      <c r="R203" s="9">
        <v>8</v>
      </c>
      <c r="S203" s="9">
        <v>17</v>
      </c>
      <c r="T203" s="9">
        <v>7</v>
      </c>
      <c r="U203" s="9">
        <v>7</v>
      </c>
      <c r="W203" s="24">
        <v>1</v>
      </c>
      <c r="X203" s="24">
        <v>1</v>
      </c>
      <c r="Y203" s="24">
        <v>1</v>
      </c>
      <c r="Z203" s="24">
        <v>1</v>
      </c>
      <c r="AA203" s="24">
        <v>1</v>
      </c>
      <c r="AH203" s="5"/>
      <c r="AI203" s="5"/>
      <c r="AO203" s="5"/>
    </row>
    <row r="204" spans="10:41" x14ac:dyDescent="0.3">
      <c r="J204" s="9"/>
      <c r="K204" s="15"/>
      <c r="L204" s="15"/>
      <c r="M204" s="15"/>
      <c r="N204" s="15"/>
      <c r="O204" s="15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4"/>
      <c r="X204" s="24"/>
      <c r="Y204" s="24"/>
      <c r="Z204" s="24"/>
      <c r="AA204" s="24"/>
      <c r="AH204" s="5"/>
      <c r="AI204" s="5"/>
      <c r="AO204" s="5"/>
    </row>
    <row r="205" spans="10:41" x14ac:dyDescent="0.3">
      <c r="J205" s="24"/>
      <c r="K205" s="15"/>
      <c r="L205" s="15"/>
      <c r="M205" s="15"/>
      <c r="N205" s="15"/>
      <c r="O205" s="15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4"/>
      <c r="X205" s="24"/>
      <c r="Y205" s="24"/>
      <c r="Z205" s="24"/>
      <c r="AA205" s="24"/>
      <c r="AH205" s="5"/>
      <c r="AI205" s="5"/>
      <c r="AO205" s="5"/>
    </row>
    <row r="206" spans="10:41" x14ac:dyDescent="0.3">
      <c r="J206" s="24"/>
      <c r="K206" s="15"/>
      <c r="L206" s="15"/>
      <c r="M206" s="15"/>
      <c r="N206" s="15"/>
      <c r="O206" s="15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4"/>
      <c r="X206" s="24"/>
      <c r="Y206" s="24"/>
      <c r="Z206" s="24"/>
      <c r="AA206" s="24"/>
      <c r="AH206" s="5"/>
      <c r="AI206" s="5"/>
      <c r="AO206" s="5"/>
    </row>
    <row r="207" spans="10:41" x14ac:dyDescent="0.3">
      <c r="J207" s="9"/>
      <c r="K207" s="15"/>
      <c r="L207" s="15"/>
      <c r="M207" s="15"/>
      <c r="N207" s="15"/>
      <c r="O207" s="15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4"/>
      <c r="X207" s="24"/>
      <c r="Y207" s="24"/>
      <c r="Z207" s="24"/>
      <c r="AA207" s="24"/>
      <c r="AH207" s="5"/>
      <c r="AI207" s="5"/>
      <c r="AO207" s="5"/>
    </row>
    <row r="208" spans="10:41" x14ac:dyDescent="0.3">
      <c r="J208" s="24"/>
      <c r="K208" s="15"/>
      <c r="L208" s="15"/>
      <c r="M208" s="15"/>
      <c r="N208" s="15"/>
      <c r="O208" s="15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4"/>
      <c r="X208" s="24"/>
      <c r="Y208" s="24"/>
      <c r="Z208" s="24"/>
      <c r="AA208" s="24"/>
      <c r="AH208" s="5"/>
      <c r="AI208" s="5"/>
      <c r="AO208" s="5"/>
    </row>
    <row r="209" spans="10:41" x14ac:dyDescent="0.3">
      <c r="J209" s="9"/>
      <c r="K209" s="15"/>
      <c r="L209" s="15"/>
      <c r="M209" s="15"/>
      <c r="N209" s="15"/>
      <c r="O209" s="15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4"/>
      <c r="X209" s="24"/>
      <c r="Y209" s="24"/>
      <c r="Z209" s="24"/>
      <c r="AA209" s="24"/>
      <c r="AH209" s="5"/>
      <c r="AI209" s="5"/>
      <c r="AO209" s="5"/>
    </row>
    <row r="210" spans="10:41" x14ac:dyDescent="0.3">
      <c r="J210" s="24"/>
      <c r="K210" s="15"/>
      <c r="L210" s="15"/>
      <c r="M210" s="15"/>
      <c r="N210" s="15"/>
      <c r="O210" s="15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4"/>
      <c r="X210" s="24"/>
      <c r="Y210" s="24"/>
      <c r="Z210" s="24"/>
      <c r="AA210" s="24"/>
      <c r="AH210" s="5"/>
      <c r="AI210" s="5"/>
      <c r="AO210" s="5"/>
    </row>
    <row r="211" spans="10:41" x14ac:dyDescent="0.3">
      <c r="J211" s="9"/>
      <c r="K211" s="15"/>
      <c r="L211" s="15"/>
      <c r="M211" s="15"/>
      <c r="N211" s="15"/>
      <c r="O211" s="15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4"/>
      <c r="X211" s="24"/>
      <c r="Y211" s="24"/>
      <c r="Z211" s="24"/>
      <c r="AA211" s="24"/>
      <c r="AH211" s="5"/>
      <c r="AI211" s="5"/>
      <c r="AO211" s="5"/>
    </row>
    <row r="212" spans="10:41" x14ac:dyDescent="0.3">
      <c r="J212" s="24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4"/>
      <c r="X212" s="24"/>
      <c r="Y212" s="24"/>
      <c r="Z212" s="24"/>
      <c r="AA212" s="24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4"/>
      <c r="X213" s="24"/>
      <c r="Y213" s="24"/>
      <c r="Z213" s="24"/>
      <c r="AA213" s="24"/>
      <c r="AH213" s="5"/>
      <c r="AI213" s="5"/>
      <c r="AO213" s="5"/>
    </row>
    <row r="214" spans="10:41" x14ac:dyDescent="0.3">
      <c r="J214" s="24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4"/>
      <c r="X214" s="24"/>
      <c r="Y214" s="24"/>
      <c r="Z214" s="24"/>
      <c r="AA214" s="24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4"/>
      <c r="X215" s="24"/>
      <c r="Y215" s="24"/>
      <c r="Z215" s="24"/>
      <c r="AA215" s="24"/>
      <c r="AH215" s="5"/>
      <c r="AI215" s="5"/>
      <c r="AO215" s="5"/>
    </row>
    <row r="216" spans="10:41" x14ac:dyDescent="0.3">
      <c r="J216" s="24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4"/>
      <c r="X216" s="24"/>
      <c r="Y216" s="24"/>
      <c r="Z216" s="24"/>
      <c r="AA216" s="24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4"/>
      <c r="X217" s="24"/>
      <c r="Y217" s="24"/>
      <c r="Z217" s="24"/>
      <c r="AA217" s="24"/>
      <c r="AH217" s="5"/>
      <c r="AI217" s="5"/>
      <c r="AO217" s="5"/>
    </row>
    <row r="218" spans="10:41" x14ac:dyDescent="0.3">
      <c r="J218" s="24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4"/>
      <c r="X218" s="24"/>
      <c r="Y218" s="24"/>
      <c r="Z218" s="24"/>
      <c r="AA218" s="24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4"/>
      <c r="X219" s="24"/>
      <c r="Y219" s="24"/>
      <c r="Z219" s="24"/>
      <c r="AA219" s="24"/>
      <c r="AH219" s="5"/>
      <c r="AI219" s="5"/>
      <c r="AO219" s="5"/>
    </row>
    <row r="220" spans="10:41" x14ac:dyDescent="0.3">
      <c r="J220" s="24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4"/>
      <c r="X220" s="24"/>
      <c r="Y220" s="24"/>
      <c r="Z220" s="24"/>
      <c r="AA220" s="24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4"/>
      <c r="X221" s="24"/>
      <c r="Y221" s="24"/>
      <c r="Z221" s="24"/>
      <c r="AA221" s="24"/>
      <c r="AH221" s="5"/>
      <c r="AI221" s="5"/>
      <c r="AO221" s="5"/>
    </row>
    <row r="222" spans="10:41" x14ac:dyDescent="0.3">
      <c r="J222" s="24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4"/>
      <c r="X222" s="24"/>
      <c r="Y222" s="24"/>
      <c r="Z222" s="24"/>
      <c r="AA222" s="24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4"/>
      <c r="X223" s="24"/>
      <c r="Y223" s="24"/>
      <c r="Z223" s="24"/>
      <c r="AA223" s="24"/>
      <c r="AH223" s="5"/>
      <c r="AI223" s="5"/>
      <c r="AO223" s="5"/>
    </row>
    <row r="224" spans="10:41" x14ac:dyDescent="0.3">
      <c r="J224" s="24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4"/>
      <c r="X224" s="24"/>
      <c r="Y224" s="24"/>
      <c r="Z224" s="24"/>
      <c r="AA224" s="24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4"/>
      <c r="X225" s="24"/>
      <c r="Y225" s="24"/>
      <c r="Z225" s="24"/>
      <c r="AA225" s="24"/>
      <c r="AH225" s="5"/>
      <c r="AI225" s="5"/>
      <c r="AO225" s="5"/>
    </row>
    <row r="226" spans="10:41" x14ac:dyDescent="0.3">
      <c r="J226" s="24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4"/>
      <c r="X226" s="24"/>
      <c r="Y226" s="24"/>
      <c r="Z226" s="24"/>
      <c r="AA226" s="24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4"/>
      <c r="X227" s="24"/>
      <c r="Y227" s="24"/>
      <c r="Z227" s="24"/>
      <c r="AA227" s="24"/>
      <c r="AH227" s="5"/>
      <c r="AI227" s="5"/>
      <c r="AO227" s="5"/>
    </row>
    <row r="228" spans="10:41" x14ac:dyDescent="0.3">
      <c r="J228" s="24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4"/>
      <c r="X228" s="24"/>
      <c r="Y228" s="24"/>
      <c r="Z228" s="24"/>
      <c r="AA228" s="24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4"/>
      <c r="X229" s="24"/>
      <c r="Y229" s="24"/>
      <c r="Z229" s="24"/>
      <c r="AA229" s="24"/>
      <c r="AH229" s="5"/>
      <c r="AI229" s="5"/>
      <c r="AO229" s="5"/>
    </row>
    <row r="230" spans="10:41" x14ac:dyDescent="0.3">
      <c r="J230" s="24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4"/>
      <c r="X230" s="24"/>
      <c r="Y230" s="24"/>
      <c r="Z230" s="24"/>
      <c r="AA230" s="24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4"/>
      <c r="X231" s="24"/>
      <c r="Y231" s="24"/>
      <c r="Z231" s="24"/>
      <c r="AA231" s="24"/>
      <c r="AH231" s="5"/>
      <c r="AI231" s="5"/>
      <c r="AO231" s="5"/>
    </row>
    <row r="232" spans="10:41" x14ac:dyDescent="0.3">
      <c r="J232" s="24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4"/>
      <c r="X232" s="24"/>
      <c r="Y232" s="24"/>
      <c r="Z232" s="24"/>
      <c r="AA232" s="24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4"/>
      <c r="X233" s="24"/>
      <c r="Y233" s="24"/>
      <c r="Z233" s="24"/>
      <c r="AA233" s="24"/>
      <c r="AH233" s="5"/>
      <c r="AI233" s="5"/>
      <c r="AO233" s="5"/>
    </row>
    <row r="234" spans="10:41" x14ac:dyDescent="0.3">
      <c r="J234" s="24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4"/>
      <c r="X234" s="24"/>
      <c r="Y234" s="24"/>
      <c r="Z234" s="24"/>
      <c r="AA234" s="24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4"/>
      <c r="X235" s="24"/>
      <c r="Y235" s="24"/>
      <c r="Z235" s="24"/>
      <c r="AA235" s="24"/>
      <c r="AH235" s="5"/>
      <c r="AI235" s="5"/>
      <c r="AO235" s="5"/>
    </row>
    <row r="236" spans="10:41" x14ac:dyDescent="0.3">
      <c r="J236" s="24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4"/>
      <c r="X236" s="24"/>
      <c r="Y236" s="24"/>
      <c r="Z236" s="24"/>
      <c r="AA236" s="24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4"/>
      <c r="X237" s="24"/>
      <c r="Y237" s="24"/>
      <c r="Z237" s="24"/>
      <c r="AA237" s="24"/>
      <c r="AH237" s="5"/>
      <c r="AI237" s="5"/>
      <c r="AO237" s="5"/>
    </row>
    <row r="238" spans="10:41" x14ac:dyDescent="0.3">
      <c r="J238" s="24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4"/>
      <c r="X238" s="24"/>
      <c r="Y238" s="24"/>
      <c r="Z238" s="24"/>
      <c r="AA238" s="24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4"/>
      <c r="X239" s="24"/>
      <c r="Y239" s="24"/>
      <c r="Z239" s="24"/>
      <c r="AA239" s="24"/>
      <c r="AH239" s="5"/>
      <c r="AI239" s="5"/>
      <c r="AO239" s="5"/>
    </row>
    <row r="240" spans="10:41" x14ac:dyDescent="0.3">
      <c r="J240" s="24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4"/>
      <c r="X240" s="24"/>
      <c r="Y240" s="24"/>
      <c r="Z240" s="24"/>
      <c r="AA240" s="24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4"/>
      <c r="X241" s="24"/>
      <c r="Y241" s="24"/>
      <c r="Z241" s="24"/>
      <c r="AA241" s="24"/>
      <c r="AH241" s="5"/>
      <c r="AI241" s="5"/>
      <c r="AO241" s="5"/>
    </row>
    <row r="242" spans="10:41" x14ac:dyDescent="0.3">
      <c r="J242" s="24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4"/>
      <c r="X242" s="24"/>
      <c r="Y242" s="24"/>
      <c r="Z242" s="24"/>
      <c r="AA242" s="24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4"/>
      <c r="X243" s="24"/>
      <c r="Y243" s="24"/>
      <c r="Z243" s="24"/>
      <c r="AA243" s="24"/>
      <c r="AH243" s="5"/>
      <c r="AI243" s="5"/>
      <c r="AO243" s="5"/>
    </row>
    <row r="244" spans="10:41" x14ac:dyDescent="0.3">
      <c r="J244" s="24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4"/>
      <c r="X244" s="24"/>
      <c r="Y244" s="24"/>
      <c r="Z244" s="24"/>
      <c r="AA244" s="24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4"/>
      <c r="X245" s="24"/>
      <c r="Y245" s="24"/>
      <c r="Z245" s="24"/>
      <c r="AA245" s="24"/>
      <c r="AH245" s="5"/>
      <c r="AI245" s="5"/>
      <c r="AO245" s="5"/>
    </row>
    <row r="246" spans="10:41" x14ac:dyDescent="0.3">
      <c r="J246" s="24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4"/>
      <c r="X246" s="24"/>
      <c r="Y246" s="24"/>
      <c r="Z246" s="24"/>
      <c r="AA246" s="24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4"/>
      <c r="X247" s="24"/>
      <c r="Y247" s="24"/>
      <c r="Z247" s="24"/>
      <c r="AA247" s="24"/>
      <c r="AH247" s="5"/>
      <c r="AI247" s="5"/>
      <c r="AO247" s="5"/>
    </row>
    <row r="248" spans="10:41" x14ac:dyDescent="0.3">
      <c r="J248" s="24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4"/>
      <c r="X248" s="24"/>
      <c r="Y248" s="24"/>
      <c r="Z248" s="24"/>
      <c r="AA248" s="24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4"/>
      <c r="X249" s="24"/>
      <c r="Y249" s="24"/>
      <c r="Z249" s="24"/>
      <c r="AA249" s="24"/>
      <c r="AH249" s="5"/>
      <c r="AI249" s="5"/>
      <c r="AO249" s="5"/>
    </row>
    <row r="250" spans="10:41" x14ac:dyDescent="0.3">
      <c r="J250" s="24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4"/>
      <c r="X250" s="24"/>
      <c r="Y250" s="24"/>
      <c r="Z250" s="24"/>
      <c r="AA250" s="24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4"/>
      <c r="X251" s="24"/>
      <c r="Y251" s="24"/>
      <c r="Z251" s="24"/>
      <c r="AA251" s="24"/>
      <c r="AH251" s="5"/>
      <c r="AI251" s="5"/>
      <c r="AO251" s="5"/>
    </row>
    <row r="252" spans="10:41" x14ac:dyDescent="0.3">
      <c r="J252" s="24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4"/>
      <c r="X252" s="24"/>
      <c r="Y252" s="24"/>
      <c r="Z252" s="24"/>
      <c r="AA252" s="24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4"/>
      <c r="X253" s="24"/>
      <c r="Y253" s="24"/>
      <c r="Z253" s="24"/>
      <c r="AA253" s="24"/>
      <c r="AH253" s="5"/>
      <c r="AI253" s="5"/>
      <c r="AO253" s="5"/>
    </row>
    <row r="254" spans="10:41" x14ac:dyDescent="0.3">
      <c r="J254" s="24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4"/>
      <c r="X254" s="24"/>
      <c r="Y254" s="24"/>
      <c r="Z254" s="24"/>
      <c r="AA254" s="24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4"/>
      <c r="X255" s="24"/>
      <c r="Y255" s="24"/>
      <c r="Z255" s="24"/>
      <c r="AA255" s="24"/>
      <c r="AH255" s="5"/>
      <c r="AI255" s="5"/>
      <c r="AO255" s="5"/>
    </row>
    <row r="256" spans="10:41" x14ac:dyDescent="0.3">
      <c r="J256" s="24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4"/>
      <c r="X256" s="24"/>
      <c r="Y256" s="24"/>
      <c r="Z256" s="24"/>
      <c r="AA256" s="24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4"/>
      <c r="X257" s="24"/>
      <c r="Y257" s="24"/>
      <c r="Z257" s="24"/>
      <c r="AA257" s="24"/>
      <c r="AH257" s="5"/>
      <c r="AI257" s="5"/>
      <c r="AO257" s="5"/>
    </row>
    <row r="258" spans="10:41" x14ac:dyDescent="0.3">
      <c r="J258" s="24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4"/>
      <c r="X258" s="24"/>
      <c r="Y258" s="24"/>
      <c r="Z258" s="24"/>
      <c r="AA258" s="24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4"/>
      <c r="X259" s="24"/>
      <c r="Y259" s="24"/>
      <c r="Z259" s="24"/>
      <c r="AA259" s="24"/>
      <c r="AH259" s="5"/>
      <c r="AI259" s="5"/>
      <c r="AO259" s="5"/>
    </row>
    <row r="260" spans="10:41" x14ac:dyDescent="0.3">
      <c r="J260" s="24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4"/>
      <c r="X260" s="24"/>
      <c r="Y260" s="24"/>
      <c r="Z260" s="24"/>
      <c r="AA260" s="24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4"/>
      <c r="X261" s="24"/>
      <c r="Y261" s="24"/>
      <c r="Z261" s="24"/>
      <c r="AA261" s="24"/>
      <c r="AH261" s="5"/>
      <c r="AI261" s="5"/>
      <c r="AO261" s="5"/>
    </row>
    <row r="262" spans="10:41" x14ac:dyDescent="0.3">
      <c r="J262" s="24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4"/>
      <c r="X262" s="24"/>
      <c r="Y262" s="24"/>
      <c r="Z262" s="24"/>
      <c r="AA262" s="24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4"/>
      <c r="X263" s="24"/>
      <c r="Y263" s="24"/>
      <c r="Z263" s="24"/>
      <c r="AA263" s="24"/>
      <c r="AH263" s="5"/>
      <c r="AI263" s="5"/>
      <c r="AO263" s="5"/>
    </row>
    <row r="264" spans="10:41" x14ac:dyDescent="0.3">
      <c r="J264" s="24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4"/>
      <c r="X264" s="24"/>
      <c r="Y264" s="24"/>
      <c r="Z264" s="24"/>
      <c r="AA264" s="24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4"/>
      <c r="X265" s="24"/>
      <c r="Y265" s="24"/>
      <c r="Z265" s="24"/>
      <c r="AA265" s="24"/>
      <c r="AH265" s="5"/>
      <c r="AI265" s="5"/>
      <c r="AO265" s="5"/>
    </row>
    <row r="266" spans="10:41" x14ac:dyDescent="0.3">
      <c r="J266" s="24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4"/>
      <c r="X266" s="24"/>
      <c r="Y266" s="24"/>
      <c r="Z266" s="24"/>
      <c r="AA266" s="24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4"/>
      <c r="X267" s="24"/>
      <c r="Y267" s="24"/>
      <c r="Z267" s="24"/>
      <c r="AA267" s="24"/>
      <c r="AH267" s="5"/>
      <c r="AI267" s="5"/>
      <c r="AO267" s="5"/>
    </row>
    <row r="268" spans="10:41" x14ac:dyDescent="0.3">
      <c r="J268" s="24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4"/>
      <c r="X268" s="24"/>
      <c r="Y268" s="24"/>
      <c r="Z268" s="24"/>
      <c r="AA268" s="24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4"/>
      <c r="X269" s="24"/>
      <c r="Y269" s="24"/>
      <c r="Z269" s="24"/>
      <c r="AA269" s="24"/>
      <c r="AH269" s="5"/>
      <c r="AI269" s="5"/>
      <c r="AO269" s="5"/>
    </row>
    <row r="270" spans="10:41" x14ac:dyDescent="0.3">
      <c r="J270" s="24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4"/>
      <c r="X270" s="24"/>
      <c r="Y270" s="24"/>
      <c r="Z270" s="24"/>
      <c r="AA270" s="24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4"/>
      <c r="X271" s="24"/>
      <c r="Y271" s="24"/>
      <c r="Z271" s="24"/>
      <c r="AA271" s="24"/>
      <c r="AH271" s="5"/>
      <c r="AI271" s="5"/>
      <c r="AO271" s="5"/>
    </row>
    <row r="272" spans="10:41" x14ac:dyDescent="0.3">
      <c r="J272" s="24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4"/>
      <c r="X272" s="24"/>
      <c r="Y272" s="24"/>
      <c r="Z272" s="24"/>
      <c r="AA272" s="24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4"/>
      <c r="X273" s="24"/>
      <c r="Y273" s="24"/>
      <c r="Z273" s="24"/>
      <c r="AA273" s="24"/>
      <c r="AH273" s="5"/>
      <c r="AI273" s="5"/>
      <c r="AO273" s="5"/>
    </row>
    <row r="274" spans="10:41" x14ac:dyDescent="0.3">
      <c r="J274" s="24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4"/>
      <c r="X274" s="24"/>
      <c r="Y274" s="24"/>
      <c r="Z274" s="24"/>
      <c r="AA274" s="24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4"/>
      <c r="X275" s="24"/>
      <c r="Y275" s="24"/>
      <c r="Z275" s="24"/>
      <c r="AA275" s="24"/>
      <c r="AH275" s="5"/>
      <c r="AI275" s="5"/>
      <c r="AO275" s="5"/>
    </row>
    <row r="276" spans="10:41" x14ac:dyDescent="0.3">
      <c r="J276" s="24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4"/>
      <c r="X276" s="24"/>
      <c r="Y276" s="24"/>
      <c r="Z276" s="24"/>
      <c r="AA276" s="24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4"/>
      <c r="X277" s="24"/>
      <c r="Y277" s="24"/>
      <c r="Z277" s="24"/>
      <c r="AA277" s="24"/>
      <c r="AH277" s="5"/>
      <c r="AI277" s="5"/>
      <c r="AO277" s="5"/>
    </row>
    <row r="278" spans="10:41" x14ac:dyDescent="0.3">
      <c r="J278" s="24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4"/>
      <c r="X278" s="24"/>
      <c r="Y278" s="24"/>
      <c r="Z278" s="24"/>
      <c r="AA278" s="24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4"/>
      <c r="X279" s="24"/>
      <c r="Y279" s="24"/>
      <c r="Z279" s="24"/>
      <c r="AA279" s="24"/>
      <c r="AH279" s="5"/>
      <c r="AI279" s="5"/>
      <c r="AO279" s="5"/>
    </row>
    <row r="280" spans="10:41" x14ac:dyDescent="0.3">
      <c r="J280" s="24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4"/>
      <c r="X280" s="24"/>
      <c r="Y280" s="24"/>
      <c r="Z280" s="24"/>
      <c r="AA280" s="24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4"/>
      <c r="X281" s="24"/>
      <c r="Y281" s="24"/>
      <c r="Z281" s="24"/>
      <c r="AA281" s="24"/>
      <c r="AH281" s="5"/>
      <c r="AI281" s="5"/>
      <c r="AO281" s="5"/>
    </row>
    <row r="282" spans="10:41" x14ac:dyDescent="0.3">
      <c r="J282" s="24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4"/>
      <c r="X282" s="24"/>
      <c r="Y282" s="24"/>
      <c r="Z282" s="24"/>
      <c r="AA282" s="24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4"/>
      <c r="X283" s="24"/>
      <c r="Y283" s="24"/>
      <c r="Z283" s="24"/>
      <c r="AA283" s="24"/>
      <c r="AH283" s="5"/>
      <c r="AI283" s="5"/>
      <c r="AO283" s="5"/>
    </row>
    <row r="284" spans="10:41" x14ac:dyDescent="0.3">
      <c r="J284" s="24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4"/>
      <c r="X284" s="24"/>
      <c r="Y284" s="24"/>
      <c r="Z284" s="24"/>
      <c r="AA284" s="24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4"/>
      <c r="X285" s="24"/>
      <c r="Y285" s="24"/>
      <c r="Z285" s="24"/>
      <c r="AA285" s="24"/>
      <c r="AH285" s="5"/>
      <c r="AI285" s="5"/>
      <c r="AO285" s="5"/>
    </row>
    <row r="286" spans="10:41" x14ac:dyDescent="0.3">
      <c r="J286" s="24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4"/>
      <c r="X286" s="24"/>
      <c r="Y286" s="24"/>
      <c r="Z286" s="24"/>
      <c r="AA286" s="24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4"/>
      <c r="X287" s="24"/>
      <c r="Y287" s="24"/>
      <c r="Z287" s="24"/>
      <c r="AA287" s="24"/>
      <c r="AH287" s="5"/>
      <c r="AI287" s="5"/>
      <c r="AO287" s="5"/>
    </row>
    <row r="288" spans="10:41" x14ac:dyDescent="0.3">
      <c r="J288" s="24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4"/>
      <c r="X288" s="24"/>
      <c r="Y288" s="24"/>
      <c r="Z288" s="24"/>
      <c r="AA288" s="24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4"/>
      <c r="X289" s="24"/>
      <c r="Y289" s="24"/>
      <c r="Z289" s="24"/>
      <c r="AA289" s="24"/>
      <c r="AH289" s="5"/>
      <c r="AI289" s="5"/>
      <c r="AO289" s="5"/>
    </row>
    <row r="290" spans="10:41" x14ac:dyDescent="0.3">
      <c r="J290" s="24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4"/>
      <c r="X290" s="24"/>
      <c r="Y290" s="24"/>
      <c r="Z290" s="24"/>
      <c r="AA290" s="24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4"/>
      <c r="X291" s="24"/>
      <c r="Y291" s="24"/>
      <c r="Z291" s="24"/>
      <c r="AA291" s="24"/>
      <c r="AH291" s="5"/>
      <c r="AI291" s="5"/>
      <c r="AO291" s="5"/>
    </row>
    <row r="292" spans="10:41" x14ac:dyDescent="0.3">
      <c r="J292" s="24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4"/>
      <c r="X292" s="24"/>
      <c r="Y292" s="24"/>
      <c r="Z292" s="24"/>
      <c r="AA292" s="24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4"/>
      <c r="X293" s="24"/>
      <c r="Y293" s="24"/>
      <c r="Z293" s="24"/>
      <c r="AA293" s="24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4"/>
      <c r="X294" s="24"/>
      <c r="Y294" s="24"/>
      <c r="Z294" s="24"/>
      <c r="AA294" s="24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4"/>
      <c r="X295" s="24"/>
      <c r="Y295" s="24"/>
      <c r="Z295" s="24"/>
      <c r="AA295" s="24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4"/>
      <c r="X296" s="24"/>
      <c r="Y296" s="24"/>
      <c r="Z296" s="24"/>
      <c r="AA296" s="24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4"/>
      <c r="X297" s="24"/>
      <c r="Y297" s="24"/>
      <c r="Z297" s="24"/>
      <c r="AA297" s="24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4"/>
      <c r="X298" s="24"/>
      <c r="Y298" s="24"/>
      <c r="Z298" s="24"/>
      <c r="AA298" s="24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4"/>
      <c r="X299" s="24"/>
      <c r="Y299" s="24"/>
      <c r="Z299" s="24"/>
      <c r="AA299" s="24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4"/>
      <c r="X300" s="24"/>
      <c r="Y300" s="24"/>
      <c r="Z300" s="24"/>
      <c r="AA300" s="24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4"/>
      <c r="X301" s="24"/>
      <c r="Y301" s="24"/>
      <c r="Z301" s="24"/>
      <c r="AA301" s="24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4"/>
      <c r="X302" s="24"/>
      <c r="Y302" s="24"/>
      <c r="Z302" s="24"/>
      <c r="AA302" s="24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4"/>
      <c r="X303" s="24"/>
      <c r="Y303" s="24"/>
      <c r="Z303" s="24"/>
      <c r="AA303" s="24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4"/>
      <c r="X304" s="24"/>
      <c r="Y304" s="24"/>
      <c r="Z304" s="24"/>
      <c r="AA304" s="24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77" priority="35">
      <formula>_xlfn.LET(_xlpm.x, W4, AND(NOT(_xlfn.ISFORMULA(_xlpm.x)), _xlpm.x&lt;&gt;""))</formula>
    </cfRule>
  </conditionalFormatting>
  <conditionalFormatting sqref="W4:AA203">
    <cfRule type="expression" dxfId="76" priority="30">
      <formula>_xlfn.LET(_xlpm.x, W4, AND(NOT(_xlfn.ISFORMULA(_xlpm.x)), _xlpm.x&lt;&gt;""))</formula>
    </cfRule>
  </conditionalFormatting>
  <conditionalFormatting sqref="K1:O115 K117:O159 K116:L116 N116:O116 K161:O171 K160:L160 N160:O160 K173:O1048576 K172:L172 N172:O172">
    <cfRule type="cellIs" dxfId="75" priority="26" operator="equal">
      <formula>"C1"</formula>
    </cfRule>
    <cfRule type="cellIs" dxfId="74" priority="27" operator="between">
      <formula>"G1"</formula>
      <formula>"G5"</formula>
    </cfRule>
    <cfRule type="cellIs" dxfId="73" priority="28" operator="between">
      <formula>"GA"</formula>
      <formula>"GJ"</formula>
    </cfRule>
    <cfRule type="cellIs" dxfId="72" priority="29" operator="between">
      <formula>"M1"</formula>
      <formula>"M5"</formula>
    </cfRule>
  </conditionalFormatting>
  <conditionalFormatting sqref="C31:G46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{A05AF7FA-9932-4F77-B15A-C9BC5BDEFB1D}</x14:id>
        </ext>
      </extLst>
    </cfRule>
  </conditionalFormatting>
  <conditionalFormatting sqref="D52:D54">
    <cfRule type="cellIs" dxfId="71" priority="21" operator="equal">
      <formula>"C1"</formula>
    </cfRule>
    <cfRule type="cellIs" dxfId="70" priority="22" operator="between">
      <formula>"G1"</formula>
      <formula>"G4"</formula>
    </cfRule>
    <cfRule type="cellIs" dxfId="69" priority="23" operator="between">
      <formula>"GA"</formula>
      <formula>"GQ"</formula>
    </cfRule>
    <cfRule type="cellIs" dxfId="68" priority="24" operator="between">
      <formula>"M1"</formula>
      <formula>"M4"</formula>
    </cfRule>
  </conditionalFormatting>
  <conditionalFormatting sqref="E52:E54">
    <cfRule type="cellIs" dxfId="67" priority="17" operator="equal">
      <formula>"C1"</formula>
    </cfRule>
    <cfRule type="cellIs" dxfId="66" priority="18" operator="between">
      <formula>"G1"</formula>
      <formula>"G4"</formula>
    </cfRule>
    <cfRule type="cellIs" dxfId="65" priority="19" operator="between">
      <formula>"GA"</formula>
      <formula>"GQ"</formula>
    </cfRule>
    <cfRule type="cellIs" dxfId="64" priority="20" operator="between">
      <formula>"M1"</formula>
      <formula>"M4"</formula>
    </cfRule>
  </conditionalFormatting>
  <conditionalFormatting sqref="F52:F54">
    <cfRule type="cellIs" dxfId="63" priority="13" operator="equal">
      <formula>"C1"</formula>
    </cfRule>
    <cfRule type="cellIs" dxfId="62" priority="14" operator="between">
      <formula>"G1"</formula>
      <formula>"G4"</formula>
    </cfRule>
    <cfRule type="cellIs" dxfId="61" priority="15" operator="between">
      <formula>"GA"</formula>
      <formula>"GQ"</formula>
    </cfRule>
    <cfRule type="cellIs" dxfId="60" priority="16" operator="between">
      <formula>"M1"</formula>
      <formula>"M4"</formula>
    </cfRule>
  </conditionalFormatting>
  <conditionalFormatting sqref="M116">
    <cfRule type="cellIs" dxfId="59" priority="9" operator="equal">
      <formula>"C1"</formula>
    </cfRule>
    <cfRule type="cellIs" dxfId="58" priority="10" operator="between">
      <formula>"G1"</formula>
      <formula>"G5"</formula>
    </cfRule>
    <cfRule type="cellIs" dxfId="57" priority="11" operator="between">
      <formula>"GA"</formula>
      <formula>"GJ"</formula>
    </cfRule>
    <cfRule type="cellIs" dxfId="56" priority="12" operator="between">
      <formula>"M1"</formula>
      <formula>"M5"</formula>
    </cfRule>
  </conditionalFormatting>
  <conditionalFormatting sqref="M160">
    <cfRule type="cellIs" dxfId="55" priority="5" operator="equal">
      <formula>"C1"</formula>
    </cfRule>
    <cfRule type="cellIs" dxfId="54" priority="6" operator="between">
      <formula>"G1"</formula>
      <formula>"G5"</formula>
    </cfRule>
    <cfRule type="cellIs" dxfId="53" priority="7" operator="between">
      <formula>"GA"</formula>
      <formula>"GJ"</formula>
    </cfRule>
    <cfRule type="cellIs" dxfId="52" priority="8" operator="between">
      <formula>"M1"</formula>
      <formula>"M5"</formula>
    </cfRule>
  </conditionalFormatting>
  <conditionalFormatting sqref="M172">
    <cfRule type="cellIs" dxfId="51" priority="1" operator="equal">
      <formula>"C1"</formula>
    </cfRule>
    <cfRule type="cellIs" dxfId="50" priority="2" operator="between">
      <formula>"G1"</formula>
      <formula>"G5"</formula>
    </cfRule>
    <cfRule type="cellIs" dxfId="49" priority="3" operator="between">
      <formula>"GA"</formula>
      <formula>"GJ"</formula>
    </cfRule>
    <cfRule type="cellIs" dxfId="48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5AF7FA-9932-4F77-B15A-C9BC5BDEFB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C31:G46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>
      <selection activeCell="F26" sqref="F2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3" width="11" style="5" bestFit="1" customWidth="1"/>
    <col min="4" max="6" width="9.5546875" style="5" bestFit="1" customWidth="1"/>
    <col min="7" max="7" width="11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6" t="s">
        <v>101</v>
      </c>
      <c r="Q2" s="26" t="s">
        <v>102</v>
      </c>
      <c r="W2" s="26" t="s">
        <v>103</v>
      </c>
      <c r="AC2" s="26" t="s">
        <v>104</v>
      </c>
      <c r="AH2" s="5"/>
      <c r="AI2" s="5"/>
      <c r="AJ2" s="26" t="s">
        <v>80</v>
      </c>
      <c r="AO2" s="5"/>
    </row>
    <row r="3" spans="1:41" ht="15.9" customHeight="1" x14ac:dyDescent="0.3">
      <c r="A3" s="19" t="s">
        <v>5</v>
      </c>
      <c r="B3" s="19" t="s">
        <v>12</v>
      </c>
      <c r="C3" s="19" t="s">
        <v>6</v>
      </c>
      <c r="D3" s="19" t="s">
        <v>7</v>
      </c>
      <c r="E3" s="19" t="s">
        <v>8</v>
      </c>
      <c r="F3" s="19" t="s">
        <v>9</v>
      </c>
      <c r="G3" s="19" t="s">
        <v>10</v>
      </c>
      <c r="H3" s="19" t="s">
        <v>11</v>
      </c>
      <c r="I3" s="14"/>
      <c r="J3" s="19"/>
      <c r="K3" s="19" t="s">
        <v>13</v>
      </c>
      <c r="L3" s="19" t="s">
        <v>14</v>
      </c>
      <c r="M3" s="19" t="s">
        <v>15</v>
      </c>
      <c r="N3" s="19" t="s">
        <v>16</v>
      </c>
      <c r="O3" s="19" t="s">
        <v>17</v>
      </c>
      <c r="Q3" s="19" t="s">
        <v>13</v>
      </c>
      <c r="R3" s="19" t="s">
        <v>14</v>
      </c>
      <c r="S3" s="19" t="s">
        <v>15</v>
      </c>
      <c r="T3" s="19" t="s">
        <v>16</v>
      </c>
      <c r="U3" s="19" t="s">
        <v>17</v>
      </c>
      <c r="W3" s="19" t="s">
        <v>6</v>
      </c>
      <c r="X3" s="19" t="s">
        <v>14</v>
      </c>
      <c r="Y3" s="19" t="s">
        <v>15</v>
      </c>
      <c r="Z3" s="19" t="s">
        <v>16</v>
      </c>
      <c r="AA3" s="19" t="s">
        <v>17</v>
      </c>
      <c r="AO3" s="5"/>
    </row>
    <row r="4" spans="1:41" ht="15.9" customHeight="1" x14ac:dyDescent="0.3">
      <c r="A4" s="28" t="str" cm="1">
        <f t="array" ref="A4:B23">Overview!A38:B57</f>
        <v>WW</v>
      </c>
      <c r="B4" s="8" t="str">
        <v>Wild</v>
      </c>
      <c r="C4" s="53">
        <f t="shared" ref="C4:G23" si="0">COUNTIF(K:K, $A4)</f>
        <v>0</v>
      </c>
      <c r="D4" s="53">
        <f t="shared" si="0"/>
        <v>0</v>
      </c>
      <c r="E4" s="53">
        <f t="shared" si="0"/>
        <v>0</v>
      </c>
      <c r="F4" s="53">
        <f t="shared" si="0"/>
        <v>0</v>
      </c>
      <c r="G4" s="53">
        <f t="shared" si="0"/>
        <v>0</v>
      </c>
      <c r="H4" s="8" cm="1">
        <f t="array" ref="H4:H23">Overview!F38:F57</f>
        <v>0</v>
      </c>
      <c r="I4" s="51"/>
      <c r="J4" s="24" cm="1">
        <f t="array" ref="J4:J203">_xlfn.SEQUENCE(MAX(COUNTA(K:K), COUNTA(L:L), COUNTA(M:M), COUNTA(N:N), COUNTA(O:O))-1,,0)</f>
        <v>0</v>
      </c>
      <c r="K4" s="25" t="s">
        <v>34</v>
      </c>
      <c r="L4" s="25" t="s">
        <v>95</v>
      </c>
      <c r="M4" s="25" t="s">
        <v>96</v>
      </c>
      <c r="N4" s="25" t="s">
        <v>35</v>
      </c>
      <c r="O4" s="25" t="s">
        <v>21</v>
      </c>
      <c r="Q4" s="24" cm="1">
        <f t="array" ref="Q4:U304">_xlfn.LET(_xlpm.x, K4:O304, IF(_xlpm.x="", "", _xlfn.XLOOKUP(_xlpm.x, $A$4:$A$23,_xlfn.ANCHORARRAY( H4))))</f>
        <v>9</v>
      </c>
      <c r="R4" s="24">
        <v>6</v>
      </c>
      <c r="S4" s="24">
        <v>15</v>
      </c>
      <c r="T4" s="24">
        <v>8</v>
      </c>
      <c r="U4" s="24">
        <v>2</v>
      </c>
      <c r="W4" s="24">
        <v>1</v>
      </c>
      <c r="X4" s="24">
        <v>1</v>
      </c>
      <c r="Y4" s="24">
        <v>1</v>
      </c>
      <c r="Z4" s="24">
        <v>1</v>
      </c>
      <c r="AA4" s="24">
        <v>1</v>
      </c>
      <c r="AB4" s="42"/>
      <c r="AC4" s="26" t="s">
        <v>99</v>
      </c>
      <c r="AH4" s="5"/>
      <c r="AI4" s="5"/>
      <c r="AJ4" s="26" t="s">
        <v>99</v>
      </c>
      <c r="AO4" s="5"/>
    </row>
    <row r="5" spans="1:41" ht="15.9" customHeight="1" x14ac:dyDescent="0.3">
      <c r="A5" s="28" t="str">
        <v>C1</v>
      </c>
      <c r="B5" s="8" t="str">
        <v>Scatter</v>
      </c>
      <c r="C5" s="53">
        <f t="shared" si="0"/>
        <v>5</v>
      </c>
      <c r="D5" s="53">
        <f t="shared" si="0"/>
        <v>5</v>
      </c>
      <c r="E5" s="53">
        <f t="shared" si="0"/>
        <v>0</v>
      </c>
      <c r="F5" s="53">
        <f t="shared" si="0"/>
        <v>8</v>
      </c>
      <c r="G5" s="53">
        <f t="shared" si="0"/>
        <v>8</v>
      </c>
      <c r="H5" s="8">
        <v>1</v>
      </c>
      <c r="I5" s="51"/>
      <c r="J5" s="9">
        <v>1</v>
      </c>
      <c r="K5" s="15" t="s">
        <v>95</v>
      </c>
      <c r="L5" s="15" t="s">
        <v>21</v>
      </c>
      <c r="M5" s="15" t="s">
        <v>64</v>
      </c>
      <c r="N5" s="15" t="s">
        <v>34</v>
      </c>
      <c r="O5" s="15" t="s">
        <v>36</v>
      </c>
      <c r="Q5" s="9">
        <v>6</v>
      </c>
      <c r="R5" s="9">
        <v>2</v>
      </c>
      <c r="S5" s="9">
        <v>14</v>
      </c>
      <c r="T5" s="9">
        <v>9</v>
      </c>
      <c r="U5" s="9">
        <v>10</v>
      </c>
      <c r="W5" s="24">
        <v>1</v>
      </c>
      <c r="X5" s="24">
        <v>1</v>
      </c>
      <c r="Y5" s="24">
        <v>1</v>
      </c>
      <c r="Z5" s="24">
        <v>1</v>
      </c>
      <c r="AA5" s="24">
        <v>1</v>
      </c>
      <c r="AC5" s="68" t="s">
        <v>42</v>
      </c>
      <c r="AD5" s="68" t="s">
        <v>13</v>
      </c>
      <c r="AE5" s="68" t="s">
        <v>14</v>
      </c>
      <c r="AF5" s="68" t="s">
        <v>15</v>
      </c>
      <c r="AG5" s="68" t="s">
        <v>16</v>
      </c>
      <c r="AH5" s="68" t="s">
        <v>17</v>
      </c>
      <c r="AI5" s="5"/>
      <c r="AJ5" s="68" t="s">
        <v>42</v>
      </c>
      <c r="AK5" s="68" t="s">
        <v>13</v>
      </c>
      <c r="AL5" s="68" t="s">
        <v>14</v>
      </c>
      <c r="AM5" s="68" t="s">
        <v>15</v>
      </c>
      <c r="AN5" s="68" t="s">
        <v>16</v>
      </c>
      <c r="AO5" s="68" t="s">
        <v>17</v>
      </c>
    </row>
    <row r="6" spans="1:41" ht="15.9" customHeight="1" x14ac:dyDescent="0.3">
      <c r="A6" s="66" t="str">
        <v>M1</v>
      </c>
      <c r="B6" s="58" t="str">
        <v>M1</v>
      </c>
      <c r="C6" s="66">
        <f t="shared" si="0"/>
        <v>3</v>
      </c>
      <c r="D6" s="66">
        <f t="shared" si="0"/>
        <v>10</v>
      </c>
      <c r="E6" s="66">
        <f t="shared" si="0"/>
        <v>0</v>
      </c>
      <c r="F6" s="66">
        <f t="shared" si="0"/>
        <v>3</v>
      </c>
      <c r="G6" s="66">
        <f t="shared" si="0"/>
        <v>9</v>
      </c>
      <c r="H6" s="58">
        <v>2</v>
      </c>
      <c r="I6" s="51"/>
      <c r="J6" s="24">
        <v>2</v>
      </c>
      <c r="K6" s="15" t="s">
        <v>19</v>
      </c>
      <c r="L6" s="15" t="s">
        <v>95</v>
      </c>
      <c r="M6" s="15" t="s">
        <v>96</v>
      </c>
      <c r="N6" s="15" t="s">
        <v>35</v>
      </c>
      <c r="O6" s="15" t="s">
        <v>95</v>
      </c>
      <c r="Q6" s="9">
        <v>5</v>
      </c>
      <c r="R6" s="9">
        <v>6</v>
      </c>
      <c r="S6" s="9">
        <v>15</v>
      </c>
      <c r="T6" s="9">
        <v>8</v>
      </c>
      <c r="U6" s="9">
        <v>6</v>
      </c>
      <c r="W6" s="24">
        <v>1</v>
      </c>
      <c r="X6" s="24">
        <v>1</v>
      </c>
      <c r="Y6" s="24">
        <v>1</v>
      </c>
      <c r="Z6" s="24">
        <v>1</v>
      </c>
      <c r="AA6" s="24">
        <v>1</v>
      </c>
      <c r="AC6" s="71" t="str" cm="1">
        <f t="array" ref="AC6:AC25">$A$4:$A$23</f>
        <v>WW</v>
      </c>
      <c r="AD6" s="72">
        <v>0</v>
      </c>
      <c r="AE6" s="72">
        <v>0</v>
      </c>
      <c r="AF6" s="72">
        <v>0</v>
      </c>
      <c r="AG6" s="72">
        <v>0</v>
      </c>
      <c r="AH6" s="72">
        <v>0</v>
      </c>
      <c r="AI6" s="5"/>
      <c r="AJ6" s="71" t="str" cm="1">
        <f t="array" ref="AJ6:AJ25">$A$4:$A$23</f>
        <v>WW</v>
      </c>
      <c r="AK6" s="72">
        <v>0</v>
      </c>
      <c r="AL6" s="72">
        <v>0</v>
      </c>
      <c r="AM6" s="72">
        <v>0</v>
      </c>
      <c r="AN6" s="72">
        <v>0</v>
      </c>
      <c r="AO6" s="72">
        <v>0</v>
      </c>
    </row>
    <row r="7" spans="1:41" ht="15.9" customHeight="1" x14ac:dyDescent="0.3">
      <c r="A7" s="66" t="str">
        <v>M2</v>
      </c>
      <c r="B7" s="58" t="str">
        <v>M2</v>
      </c>
      <c r="C7" s="66">
        <f t="shared" si="0"/>
        <v>3</v>
      </c>
      <c r="D7" s="66">
        <f t="shared" si="0"/>
        <v>13</v>
      </c>
      <c r="E7" s="66">
        <f t="shared" si="0"/>
        <v>0</v>
      </c>
      <c r="F7" s="66">
        <f t="shared" si="0"/>
        <v>3</v>
      </c>
      <c r="G7" s="66">
        <f t="shared" si="0"/>
        <v>8</v>
      </c>
      <c r="H7" s="58">
        <v>3</v>
      </c>
      <c r="I7" s="51"/>
      <c r="J7" s="9">
        <v>3</v>
      </c>
      <c r="K7" s="15" t="s">
        <v>35</v>
      </c>
      <c r="L7" s="25" t="s">
        <v>22</v>
      </c>
      <c r="M7" s="15" t="s">
        <v>65</v>
      </c>
      <c r="N7" s="15" t="s">
        <v>36</v>
      </c>
      <c r="O7" s="15" t="s">
        <v>21</v>
      </c>
      <c r="Q7" s="9">
        <v>8</v>
      </c>
      <c r="R7" s="9">
        <v>3</v>
      </c>
      <c r="S7" s="9">
        <v>16</v>
      </c>
      <c r="T7" s="9">
        <v>10</v>
      </c>
      <c r="U7" s="9">
        <v>2</v>
      </c>
      <c r="W7" s="24">
        <v>1</v>
      </c>
      <c r="X7" s="24">
        <v>1</v>
      </c>
      <c r="Y7" s="24">
        <v>1</v>
      </c>
      <c r="Z7" s="24">
        <v>1</v>
      </c>
      <c r="AA7" s="24">
        <v>1</v>
      </c>
      <c r="AC7" s="71" t="str">
        <v>C1</v>
      </c>
      <c r="AD7" s="71">
        <v>1</v>
      </c>
      <c r="AE7" s="71">
        <v>1</v>
      </c>
      <c r="AF7" s="71">
        <v>1</v>
      </c>
      <c r="AG7" s="71">
        <v>1</v>
      </c>
      <c r="AH7" s="71">
        <v>1</v>
      </c>
      <c r="AI7" s="5"/>
      <c r="AJ7" s="71" t="str">
        <v>C1</v>
      </c>
      <c r="AK7" s="71">
        <v>1</v>
      </c>
      <c r="AL7" s="71">
        <v>1</v>
      </c>
      <c r="AM7" s="71">
        <v>1</v>
      </c>
      <c r="AN7" s="71">
        <v>1</v>
      </c>
      <c r="AO7" s="71">
        <v>1</v>
      </c>
    </row>
    <row r="8" spans="1:41" ht="15.9" customHeight="1" x14ac:dyDescent="0.3">
      <c r="A8" s="66" t="str">
        <v>M3</v>
      </c>
      <c r="B8" s="58" t="str">
        <v>M3</v>
      </c>
      <c r="C8" s="66">
        <f t="shared" si="0"/>
        <v>7</v>
      </c>
      <c r="D8" s="66">
        <f t="shared" si="0"/>
        <v>14</v>
      </c>
      <c r="E8" s="66">
        <f t="shared" si="0"/>
        <v>0</v>
      </c>
      <c r="F8" s="66">
        <f t="shared" si="0"/>
        <v>7</v>
      </c>
      <c r="G8" s="66">
        <f t="shared" si="0"/>
        <v>14</v>
      </c>
      <c r="H8" s="58">
        <v>4</v>
      </c>
      <c r="I8" s="51"/>
      <c r="J8" s="24">
        <v>4</v>
      </c>
      <c r="K8" s="15" t="s">
        <v>95</v>
      </c>
      <c r="L8" s="15" t="s">
        <v>37</v>
      </c>
      <c r="M8" s="15" t="s">
        <v>81</v>
      </c>
      <c r="N8" s="15" t="s">
        <v>19</v>
      </c>
      <c r="O8" s="15" t="s">
        <v>37</v>
      </c>
      <c r="Q8" s="9">
        <v>6</v>
      </c>
      <c r="R8" s="9">
        <v>7</v>
      </c>
      <c r="S8" s="9">
        <v>17</v>
      </c>
      <c r="T8" s="9">
        <v>5</v>
      </c>
      <c r="U8" s="9">
        <v>7</v>
      </c>
      <c r="W8" s="24">
        <v>1</v>
      </c>
      <c r="X8" s="24">
        <v>1</v>
      </c>
      <c r="Y8" s="24">
        <v>1</v>
      </c>
      <c r="Z8" s="24">
        <v>1</v>
      </c>
      <c r="AA8" s="24">
        <v>1</v>
      </c>
      <c r="AC8" s="80" t="str">
        <v>M1</v>
      </c>
      <c r="AD8" s="66">
        <v>3</v>
      </c>
      <c r="AE8" s="66">
        <v>10</v>
      </c>
      <c r="AF8" s="66">
        <v>0</v>
      </c>
      <c r="AG8" s="66">
        <v>3</v>
      </c>
      <c r="AH8" s="66">
        <v>9</v>
      </c>
      <c r="AI8" s="5"/>
      <c r="AJ8" s="80" t="str">
        <v>M1</v>
      </c>
      <c r="AK8" s="66">
        <v>3</v>
      </c>
      <c r="AL8" s="66">
        <v>10</v>
      </c>
      <c r="AM8" s="66">
        <v>0</v>
      </c>
      <c r="AN8" s="66">
        <v>3</v>
      </c>
      <c r="AO8" s="66">
        <v>9</v>
      </c>
    </row>
    <row r="9" spans="1:41" ht="15.9" customHeight="1" x14ac:dyDescent="0.3">
      <c r="A9" s="66" t="str">
        <v>M4</v>
      </c>
      <c r="B9" s="58" t="str">
        <v>M4</v>
      </c>
      <c r="C9" s="66">
        <f t="shared" si="0"/>
        <v>42</v>
      </c>
      <c r="D9" s="66">
        <f t="shared" si="0"/>
        <v>25</v>
      </c>
      <c r="E9" s="66">
        <f t="shared" si="0"/>
        <v>0</v>
      </c>
      <c r="F9" s="66">
        <f t="shared" si="0"/>
        <v>33</v>
      </c>
      <c r="G9" s="66">
        <f t="shared" si="0"/>
        <v>34</v>
      </c>
      <c r="H9" s="58">
        <v>5</v>
      </c>
      <c r="I9" s="51"/>
      <c r="J9" s="9">
        <v>5</v>
      </c>
      <c r="K9" s="15" t="s">
        <v>19</v>
      </c>
      <c r="L9" s="15" t="s">
        <v>34</v>
      </c>
      <c r="M9" s="15" t="s">
        <v>111</v>
      </c>
      <c r="N9" s="15" t="s">
        <v>96</v>
      </c>
      <c r="O9" s="15" t="s">
        <v>18</v>
      </c>
      <c r="Q9" s="9">
        <v>5</v>
      </c>
      <c r="R9" s="9">
        <v>9</v>
      </c>
      <c r="S9" s="9">
        <v>12</v>
      </c>
      <c r="T9" s="9">
        <v>15</v>
      </c>
      <c r="U9" s="9">
        <v>4</v>
      </c>
      <c r="W9" s="24">
        <v>1</v>
      </c>
      <c r="X9" s="24">
        <v>1</v>
      </c>
      <c r="Y9" s="24">
        <v>1</v>
      </c>
      <c r="Z9" s="24">
        <v>1</v>
      </c>
      <c r="AA9" s="24">
        <v>1</v>
      </c>
      <c r="AC9" s="80" t="str">
        <v>M2</v>
      </c>
      <c r="AD9" s="66">
        <v>3</v>
      </c>
      <c r="AE9" s="66">
        <v>13</v>
      </c>
      <c r="AF9" s="66">
        <v>0</v>
      </c>
      <c r="AG9" s="66">
        <v>3</v>
      </c>
      <c r="AH9" s="66">
        <v>8</v>
      </c>
      <c r="AI9" s="5"/>
      <c r="AJ9" s="80" t="str">
        <v>M2</v>
      </c>
      <c r="AK9" s="66">
        <v>3</v>
      </c>
      <c r="AL9" s="66">
        <v>13</v>
      </c>
      <c r="AM9" s="66">
        <v>0</v>
      </c>
      <c r="AN9" s="66">
        <v>3</v>
      </c>
      <c r="AO9" s="66">
        <v>8</v>
      </c>
    </row>
    <row r="10" spans="1:41" ht="15.9" customHeight="1" x14ac:dyDescent="0.3">
      <c r="A10" s="66" t="str">
        <v>M5</v>
      </c>
      <c r="B10" s="58" t="str">
        <v>M5</v>
      </c>
      <c r="C10" s="66">
        <f t="shared" si="0"/>
        <v>42</v>
      </c>
      <c r="D10" s="66">
        <f t="shared" si="0"/>
        <v>25</v>
      </c>
      <c r="E10" s="66">
        <f t="shared" si="0"/>
        <v>0</v>
      </c>
      <c r="F10" s="66">
        <f t="shared" si="0"/>
        <v>34</v>
      </c>
      <c r="G10" s="66">
        <f t="shared" si="0"/>
        <v>34</v>
      </c>
      <c r="H10" s="58">
        <v>6</v>
      </c>
      <c r="I10" s="51"/>
      <c r="J10" s="24">
        <v>6</v>
      </c>
      <c r="K10" s="15" t="s">
        <v>37</v>
      </c>
      <c r="L10" s="15" t="s">
        <v>70</v>
      </c>
      <c r="M10" s="15" t="s">
        <v>81</v>
      </c>
      <c r="N10" s="15" t="s">
        <v>37</v>
      </c>
      <c r="O10" s="15" t="s">
        <v>36</v>
      </c>
      <c r="Q10" s="9">
        <v>7</v>
      </c>
      <c r="R10" s="9">
        <v>19</v>
      </c>
      <c r="S10" s="9">
        <v>17</v>
      </c>
      <c r="T10" s="9">
        <v>7</v>
      </c>
      <c r="U10" s="9">
        <v>10</v>
      </c>
      <c r="W10" s="24">
        <v>1</v>
      </c>
      <c r="X10" s="24">
        <v>1</v>
      </c>
      <c r="Y10" s="24">
        <v>1</v>
      </c>
      <c r="Z10" s="24">
        <v>1</v>
      </c>
      <c r="AA10" s="24">
        <v>1</v>
      </c>
      <c r="AC10" s="80" t="str">
        <v>M3</v>
      </c>
      <c r="AD10" s="66">
        <v>7</v>
      </c>
      <c r="AE10" s="66">
        <v>14</v>
      </c>
      <c r="AF10" s="66">
        <v>0</v>
      </c>
      <c r="AG10" s="66">
        <v>7</v>
      </c>
      <c r="AH10" s="66">
        <v>14</v>
      </c>
      <c r="AI10" s="5"/>
      <c r="AJ10" s="80" t="str">
        <v>M3</v>
      </c>
      <c r="AK10" s="66">
        <v>7</v>
      </c>
      <c r="AL10" s="66">
        <v>14</v>
      </c>
      <c r="AM10" s="66">
        <v>0</v>
      </c>
      <c r="AN10" s="66">
        <v>7</v>
      </c>
      <c r="AO10" s="66">
        <v>14</v>
      </c>
    </row>
    <row r="11" spans="1:41" ht="15.9" customHeight="1" x14ac:dyDescent="0.3">
      <c r="A11" s="66" t="str">
        <v>A</v>
      </c>
      <c r="B11" s="58" t="str">
        <v>A</v>
      </c>
      <c r="C11" s="66">
        <f t="shared" si="0"/>
        <v>42</v>
      </c>
      <c r="D11" s="66">
        <f t="shared" si="0"/>
        <v>29</v>
      </c>
      <c r="E11" s="66">
        <f t="shared" si="0"/>
        <v>0</v>
      </c>
      <c r="F11" s="66">
        <f t="shared" si="0"/>
        <v>33</v>
      </c>
      <c r="G11" s="66">
        <f t="shared" si="0"/>
        <v>33</v>
      </c>
      <c r="H11" s="58">
        <v>7</v>
      </c>
      <c r="I11" s="51"/>
      <c r="J11" s="9">
        <v>7</v>
      </c>
      <c r="K11" s="15" t="s">
        <v>19</v>
      </c>
      <c r="L11" s="15" t="s">
        <v>19</v>
      </c>
      <c r="M11" s="15" t="s">
        <v>96</v>
      </c>
      <c r="N11" s="15" t="s">
        <v>95</v>
      </c>
      <c r="O11" s="15" t="s">
        <v>37</v>
      </c>
      <c r="Q11" s="9">
        <v>5</v>
      </c>
      <c r="R11" s="9">
        <v>5</v>
      </c>
      <c r="S11" s="9">
        <v>15</v>
      </c>
      <c r="T11" s="9">
        <v>6</v>
      </c>
      <c r="U11" s="9">
        <v>7</v>
      </c>
      <c r="W11" s="24">
        <v>1</v>
      </c>
      <c r="X11" s="24">
        <v>1</v>
      </c>
      <c r="Y11" s="24">
        <v>1</v>
      </c>
      <c r="Z11" s="24">
        <v>1</v>
      </c>
      <c r="AA11" s="24">
        <v>1</v>
      </c>
      <c r="AC11" s="80" t="str">
        <v>M4</v>
      </c>
      <c r="AD11" s="66">
        <v>42</v>
      </c>
      <c r="AE11" s="66">
        <v>25</v>
      </c>
      <c r="AF11" s="66">
        <v>0</v>
      </c>
      <c r="AG11" s="66">
        <v>33</v>
      </c>
      <c r="AH11" s="66">
        <v>34</v>
      </c>
      <c r="AI11" s="5"/>
      <c r="AJ11" s="80" t="str">
        <v>M4</v>
      </c>
      <c r="AK11" s="66">
        <v>42</v>
      </c>
      <c r="AL11" s="66">
        <v>25</v>
      </c>
      <c r="AM11" s="66">
        <v>0</v>
      </c>
      <c r="AN11" s="66">
        <v>33</v>
      </c>
      <c r="AO11" s="66">
        <v>34</v>
      </c>
    </row>
    <row r="12" spans="1:41" ht="15.9" customHeight="1" x14ac:dyDescent="0.3">
      <c r="A12" s="66" t="str">
        <v>K</v>
      </c>
      <c r="B12" s="58" t="str">
        <v>K</v>
      </c>
      <c r="C12" s="66">
        <f t="shared" si="0"/>
        <v>43</v>
      </c>
      <c r="D12" s="66">
        <f t="shared" si="0"/>
        <v>26</v>
      </c>
      <c r="E12" s="66">
        <f t="shared" si="0"/>
        <v>0</v>
      </c>
      <c r="F12" s="66">
        <f t="shared" si="0"/>
        <v>34</v>
      </c>
      <c r="G12" s="66">
        <f t="shared" si="0"/>
        <v>33</v>
      </c>
      <c r="H12" s="58">
        <v>8</v>
      </c>
      <c r="I12" s="51"/>
      <c r="J12" s="24">
        <v>8</v>
      </c>
      <c r="K12" s="15" t="s">
        <v>95</v>
      </c>
      <c r="L12" s="15" t="s">
        <v>36</v>
      </c>
      <c r="M12" s="15" t="s">
        <v>63</v>
      </c>
      <c r="N12" s="15" t="s">
        <v>36</v>
      </c>
      <c r="O12" s="15" t="s">
        <v>18</v>
      </c>
      <c r="Q12" s="9">
        <v>6</v>
      </c>
      <c r="R12" s="9">
        <v>10</v>
      </c>
      <c r="S12" s="9">
        <v>13</v>
      </c>
      <c r="T12" s="9">
        <v>10</v>
      </c>
      <c r="U12" s="9">
        <v>4</v>
      </c>
      <c r="W12" s="24">
        <v>1</v>
      </c>
      <c r="X12" s="24">
        <v>1</v>
      </c>
      <c r="Y12" s="24">
        <v>1</v>
      </c>
      <c r="Z12" s="24">
        <v>1</v>
      </c>
      <c r="AA12" s="24">
        <v>1</v>
      </c>
      <c r="AC12" s="80" t="str">
        <v>M5</v>
      </c>
      <c r="AD12" s="66">
        <v>42</v>
      </c>
      <c r="AE12" s="66">
        <v>25</v>
      </c>
      <c r="AF12" s="66">
        <v>0</v>
      </c>
      <c r="AG12" s="66">
        <v>34</v>
      </c>
      <c r="AH12" s="66">
        <v>34</v>
      </c>
      <c r="AI12" s="5"/>
      <c r="AJ12" s="80" t="str">
        <v>M5</v>
      </c>
      <c r="AK12" s="66">
        <v>42</v>
      </c>
      <c r="AL12" s="66">
        <v>25</v>
      </c>
      <c r="AM12" s="66">
        <v>0</v>
      </c>
      <c r="AN12" s="66">
        <v>34</v>
      </c>
      <c r="AO12" s="66">
        <v>34</v>
      </c>
    </row>
    <row r="13" spans="1:41" ht="15.9" customHeight="1" x14ac:dyDescent="0.3">
      <c r="A13" s="66" t="str">
        <v>Q</v>
      </c>
      <c r="B13" s="58" t="str">
        <v>Q</v>
      </c>
      <c r="C13" s="66">
        <f t="shared" si="0"/>
        <v>7</v>
      </c>
      <c r="D13" s="66">
        <f t="shared" si="0"/>
        <v>13</v>
      </c>
      <c r="E13" s="66">
        <f t="shared" si="0"/>
        <v>0</v>
      </c>
      <c r="F13" s="66">
        <f t="shared" si="0"/>
        <v>6</v>
      </c>
      <c r="G13" s="66">
        <f t="shared" si="0"/>
        <v>13</v>
      </c>
      <c r="H13" s="58">
        <v>9</v>
      </c>
      <c r="I13" s="51"/>
      <c r="J13" s="9">
        <v>9</v>
      </c>
      <c r="K13" s="15" t="s">
        <v>21</v>
      </c>
      <c r="L13" s="15" t="s">
        <v>65</v>
      </c>
      <c r="M13" s="15" t="s">
        <v>65</v>
      </c>
      <c r="N13" s="15" t="s">
        <v>95</v>
      </c>
      <c r="O13" s="15" t="s">
        <v>19</v>
      </c>
      <c r="Q13" s="9">
        <v>2</v>
      </c>
      <c r="R13" s="9">
        <v>16</v>
      </c>
      <c r="S13" s="9">
        <v>16</v>
      </c>
      <c r="T13" s="9">
        <v>6</v>
      </c>
      <c r="U13" s="9">
        <v>5</v>
      </c>
      <c r="W13" s="24">
        <v>1</v>
      </c>
      <c r="X13" s="24">
        <v>1</v>
      </c>
      <c r="Y13" s="24">
        <v>1</v>
      </c>
      <c r="Z13" s="24">
        <v>1</v>
      </c>
      <c r="AA13" s="24">
        <v>1</v>
      </c>
      <c r="AC13" s="80" t="str">
        <v>A</v>
      </c>
      <c r="AD13" s="66">
        <v>42</v>
      </c>
      <c r="AE13" s="66">
        <v>29</v>
      </c>
      <c r="AF13" s="66">
        <v>0</v>
      </c>
      <c r="AG13" s="66">
        <v>33</v>
      </c>
      <c r="AH13" s="66">
        <v>33</v>
      </c>
      <c r="AI13" s="5"/>
      <c r="AJ13" s="80" t="str">
        <v>A</v>
      </c>
      <c r="AK13" s="66">
        <v>42</v>
      </c>
      <c r="AL13" s="66">
        <v>29</v>
      </c>
      <c r="AM13" s="66">
        <v>0</v>
      </c>
      <c r="AN13" s="66">
        <v>33</v>
      </c>
      <c r="AO13" s="66">
        <v>33</v>
      </c>
    </row>
    <row r="14" spans="1:41" ht="15.9" customHeight="1" x14ac:dyDescent="0.3">
      <c r="A14" s="66" t="str">
        <v>J</v>
      </c>
      <c r="B14" s="58" t="str">
        <v>J</v>
      </c>
      <c r="C14" s="66">
        <f t="shared" si="0"/>
        <v>6</v>
      </c>
      <c r="D14" s="66">
        <f t="shared" si="0"/>
        <v>8</v>
      </c>
      <c r="E14" s="66">
        <f t="shared" si="0"/>
        <v>0</v>
      </c>
      <c r="F14" s="66">
        <f t="shared" si="0"/>
        <v>7</v>
      </c>
      <c r="G14" s="66">
        <f t="shared" si="0"/>
        <v>14</v>
      </c>
      <c r="H14" s="58">
        <v>10</v>
      </c>
      <c r="I14" s="51"/>
      <c r="J14" s="24">
        <v>10</v>
      </c>
      <c r="K14" s="15" t="s">
        <v>19</v>
      </c>
      <c r="L14" s="15" t="s">
        <v>20</v>
      </c>
      <c r="M14" s="15" t="s">
        <v>81</v>
      </c>
      <c r="N14" s="15" t="s">
        <v>19</v>
      </c>
      <c r="O14" s="15" t="s">
        <v>36</v>
      </c>
      <c r="Q14" s="9">
        <v>5</v>
      </c>
      <c r="R14" s="9">
        <v>1</v>
      </c>
      <c r="S14" s="9">
        <v>17</v>
      </c>
      <c r="T14" s="9">
        <v>5</v>
      </c>
      <c r="U14" s="9">
        <v>10</v>
      </c>
      <c r="W14" s="24">
        <v>1</v>
      </c>
      <c r="X14" s="24">
        <v>1</v>
      </c>
      <c r="Y14" s="24">
        <v>1</v>
      </c>
      <c r="Z14" s="24">
        <v>1</v>
      </c>
      <c r="AA14" s="24">
        <v>1</v>
      </c>
      <c r="AC14" s="80" t="str">
        <v>K</v>
      </c>
      <c r="AD14" s="66">
        <v>43</v>
      </c>
      <c r="AE14" s="66">
        <v>26</v>
      </c>
      <c r="AF14" s="66">
        <v>0</v>
      </c>
      <c r="AG14" s="66">
        <v>34</v>
      </c>
      <c r="AH14" s="66">
        <v>33</v>
      </c>
      <c r="AI14" s="5"/>
      <c r="AJ14" s="80" t="str">
        <v>K</v>
      </c>
      <c r="AK14" s="66">
        <v>43</v>
      </c>
      <c r="AL14" s="66">
        <v>26</v>
      </c>
      <c r="AM14" s="66">
        <v>0</v>
      </c>
      <c r="AN14" s="66">
        <v>34</v>
      </c>
      <c r="AO14" s="66">
        <v>33</v>
      </c>
    </row>
    <row r="15" spans="1:41" ht="15.9" customHeight="1" x14ac:dyDescent="0.3">
      <c r="A15" s="28" t="str">
        <v>G1</v>
      </c>
      <c r="B15" s="8" t="str">
        <v>Gold M1</v>
      </c>
      <c r="C15" s="53">
        <f t="shared" si="0"/>
        <v>0</v>
      </c>
      <c r="D15" s="53">
        <f t="shared" si="0"/>
        <v>2</v>
      </c>
      <c r="E15" s="53">
        <f t="shared" si="0"/>
        <v>5</v>
      </c>
      <c r="F15" s="53">
        <f t="shared" si="0"/>
        <v>1</v>
      </c>
      <c r="G15" s="53">
        <f t="shared" si="0"/>
        <v>0</v>
      </c>
      <c r="H15" s="8">
        <v>11</v>
      </c>
      <c r="I15" s="51"/>
      <c r="J15" s="9">
        <v>11</v>
      </c>
      <c r="K15" s="15" t="s">
        <v>95</v>
      </c>
      <c r="L15" s="15" t="s">
        <v>22</v>
      </c>
      <c r="M15" s="15" t="s">
        <v>65</v>
      </c>
      <c r="N15" s="15" t="s">
        <v>20</v>
      </c>
      <c r="O15" s="15" t="s">
        <v>19</v>
      </c>
      <c r="Q15" s="9">
        <v>6</v>
      </c>
      <c r="R15" s="9">
        <v>3</v>
      </c>
      <c r="S15" s="9">
        <v>16</v>
      </c>
      <c r="T15" s="9">
        <v>1</v>
      </c>
      <c r="U15" s="9">
        <v>5</v>
      </c>
      <c r="W15" s="24">
        <v>1</v>
      </c>
      <c r="X15" s="24">
        <v>1</v>
      </c>
      <c r="Y15" s="24">
        <v>1</v>
      </c>
      <c r="Z15" s="24">
        <v>1</v>
      </c>
      <c r="AA15" s="24">
        <v>1</v>
      </c>
      <c r="AC15" s="80" t="str">
        <v>Q</v>
      </c>
      <c r="AD15" s="66">
        <v>7</v>
      </c>
      <c r="AE15" s="66">
        <v>13</v>
      </c>
      <c r="AF15" s="66">
        <v>0</v>
      </c>
      <c r="AG15" s="66">
        <v>6</v>
      </c>
      <c r="AH15" s="66">
        <v>13</v>
      </c>
      <c r="AI15" s="5"/>
      <c r="AJ15" s="80" t="str">
        <v>Q</v>
      </c>
      <c r="AK15" s="66">
        <v>7</v>
      </c>
      <c r="AL15" s="66">
        <v>13</v>
      </c>
      <c r="AM15" s="66">
        <v>0</v>
      </c>
      <c r="AN15" s="66">
        <v>6</v>
      </c>
      <c r="AO15" s="66">
        <v>13</v>
      </c>
    </row>
    <row r="16" spans="1:41" ht="15.9" customHeight="1" x14ac:dyDescent="0.3">
      <c r="A16" s="28" t="str">
        <v>G2</v>
      </c>
      <c r="B16" s="8" t="str">
        <v>Gold M2</v>
      </c>
      <c r="C16" s="53">
        <f t="shared" si="0"/>
        <v>0</v>
      </c>
      <c r="D16" s="53">
        <f t="shared" si="0"/>
        <v>2</v>
      </c>
      <c r="E16" s="53">
        <f t="shared" si="0"/>
        <v>4</v>
      </c>
      <c r="F16" s="53">
        <f t="shared" si="0"/>
        <v>1</v>
      </c>
      <c r="G16" s="53">
        <f t="shared" si="0"/>
        <v>0</v>
      </c>
      <c r="H16" s="8">
        <v>12</v>
      </c>
      <c r="I16" s="51"/>
      <c r="J16" s="24">
        <v>12</v>
      </c>
      <c r="K16" s="15" t="s">
        <v>35</v>
      </c>
      <c r="L16" s="15" t="s">
        <v>95</v>
      </c>
      <c r="M16" s="15" t="s">
        <v>81</v>
      </c>
      <c r="N16" s="15" t="s">
        <v>96</v>
      </c>
      <c r="O16" s="15" t="s">
        <v>34</v>
      </c>
      <c r="Q16" s="9">
        <v>8</v>
      </c>
      <c r="R16" s="9">
        <v>6</v>
      </c>
      <c r="S16" s="9">
        <v>17</v>
      </c>
      <c r="T16" s="9">
        <v>15</v>
      </c>
      <c r="U16" s="9">
        <v>9</v>
      </c>
      <c r="W16" s="24">
        <v>1</v>
      </c>
      <c r="X16" s="24">
        <v>1</v>
      </c>
      <c r="Y16" s="24">
        <v>1</v>
      </c>
      <c r="Z16" s="24">
        <v>1</v>
      </c>
      <c r="AA16" s="24">
        <v>1</v>
      </c>
      <c r="AC16" s="80" t="str">
        <v>J</v>
      </c>
      <c r="AD16" s="66">
        <v>6</v>
      </c>
      <c r="AE16" s="66">
        <v>8</v>
      </c>
      <c r="AF16" s="66">
        <v>0</v>
      </c>
      <c r="AG16" s="66">
        <v>7</v>
      </c>
      <c r="AH16" s="66">
        <v>14</v>
      </c>
      <c r="AI16" s="5"/>
      <c r="AJ16" s="80" t="str">
        <v>J</v>
      </c>
      <c r="AK16" s="66">
        <v>6</v>
      </c>
      <c r="AL16" s="66">
        <v>8</v>
      </c>
      <c r="AM16" s="66">
        <v>0</v>
      </c>
      <c r="AN16" s="66">
        <v>7</v>
      </c>
      <c r="AO16" s="66">
        <v>14</v>
      </c>
    </row>
    <row r="17" spans="1:41" ht="15.9" customHeight="1" x14ac:dyDescent="0.3">
      <c r="A17" s="28" t="str">
        <v>G3</v>
      </c>
      <c r="B17" s="8" t="str">
        <v>Gold M3</v>
      </c>
      <c r="C17" s="53">
        <f t="shared" si="0"/>
        <v>0</v>
      </c>
      <c r="D17" s="53">
        <f t="shared" si="0"/>
        <v>2</v>
      </c>
      <c r="E17" s="53">
        <f t="shared" si="0"/>
        <v>8</v>
      </c>
      <c r="F17" s="53">
        <f t="shared" si="0"/>
        <v>2</v>
      </c>
      <c r="G17" s="53">
        <f t="shared" si="0"/>
        <v>0</v>
      </c>
      <c r="H17" s="8">
        <v>13</v>
      </c>
      <c r="I17" s="51"/>
      <c r="J17" s="9">
        <v>13</v>
      </c>
      <c r="K17" s="15" t="s">
        <v>37</v>
      </c>
      <c r="L17" s="15" t="s">
        <v>35</v>
      </c>
      <c r="M17" s="15" t="s">
        <v>96</v>
      </c>
      <c r="N17" s="15" t="s">
        <v>37</v>
      </c>
      <c r="O17" s="15" t="s">
        <v>19</v>
      </c>
      <c r="Q17" s="9">
        <v>7</v>
      </c>
      <c r="R17" s="9">
        <v>8</v>
      </c>
      <c r="S17" s="9">
        <v>15</v>
      </c>
      <c r="T17" s="9">
        <v>7</v>
      </c>
      <c r="U17" s="9">
        <v>5</v>
      </c>
      <c r="W17" s="24">
        <v>1</v>
      </c>
      <c r="X17" s="24">
        <v>1</v>
      </c>
      <c r="Y17" s="24">
        <v>1</v>
      </c>
      <c r="Z17" s="24">
        <v>1</v>
      </c>
      <c r="AA17" s="24">
        <v>1</v>
      </c>
      <c r="AC17" s="71" t="str">
        <v>G1</v>
      </c>
      <c r="AD17" s="53">
        <v>0</v>
      </c>
      <c r="AE17" s="53">
        <v>2</v>
      </c>
      <c r="AF17" s="53">
        <v>3</v>
      </c>
      <c r="AG17" s="53">
        <v>1</v>
      </c>
      <c r="AH17" s="53">
        <v>0</v>
      </c>
      <c r="AI17" s="5"/>
      <c r="AJ17" s="71" t="str">
        <v>G1</v>
      </c>
      <c r="AK17" s="53">
        <v>0</v>
      </c>
      <c r="AL17" s="53">
        <v>2</v>
      </c>
      <c r="AM17" s="53">
        <v>3</v>
      </c>
      <c r="AN17" s="53">
        <v>1</v>
      </c>
      <c r="AO17" s="53">
        <v>0</v>
      </c>
    </row>
    <row r="18" spans="1:41" ht="15.9" customHeight="1" x14ac:dyDescent="0.3">
      <c r="A18" s="28" t="str">
        <v>G4</v>
      </c>
      <c r="B18" s="8" t="str">
        <v>Gold M4</v>
      </c>
      <c r="C18" s="53">
        <f t="shared" si="0"/>
        <v>0</v>
      </c>
      <c r="D18" s="53">
        <f t="shared" si="0"/>
        <v>5</v>
      </c>
      <c r="E18" s="53">
        <f t="shared" si="0"/>
        <v>42</v>
      </c>
      <c r="F18" s="53">
        <f t="shared" si="0"/>
        <v>7</v>
      </c>
      <c r="G18" s="53">
        <f t="shared" si="0"/>
        <v>0</v>
      </c>
      <c r="H18" s="8">
        <v>14</v>
      </c>
      <c r="I18" s="51"/>
      <c r="J18" s="24">
        <v>14</v>
      </c>
      <c r="K18" s="15" t="s">
        <v>34</v>
      </c>
      <c r="L18" s="15" t="s">
        <v>22</v>
      </c>
      <c r="M18" s="15" t="s">
        <v>64</v>
      </c>
      <c r="N18" s="15" t="s">
        <v>96</v>
      </c>
      <c r="O18" s="15" t="s">
        <v>95</v>
      </c>
      <c r="Q18" s="9">
        <v>9</v>
      </c>
      <c r="R18" s="9">
        <v>3</v>
      </c>
      <c r="S18" s="9">
        <v>14</v>
      </c>
      <c r="T18" s="9">
        <v>15</v>
      </c>
      <c r="U18" s="9">
        <v>6</v>
      </c>
      <c r="W18" s="24">
        <v>1</v>
      </c>
      <c r="X18" s="24">
        <v>1</v>
      </c>
      <c r="Y18" s="24">
        <v>1</v>
      </c>
      <c r="Z18" s="24">
        <v>1</v>
      </c>
      <c r="AA18" s="24">
        <v>1</v>
      </c>
      <c r="AC18" s="71" t="str">
        <v>G2</v>
      </c>
      <c r="AD18" s="53">
        <v>0</v>
      </c>
      <c r="AE18" s="53">
        <v>2</v>
      </c>
      <c r="AF18" s="53">
        <v>1</v>
      </c>
      <c r="AG18" s="53">
        <v>1</v>
      </c>
      <c r="AH18" s="53">
        <v>0</v>
      </c>
      <c r="AI18" s="5"/>
      <c r="AJ18" s="71" t="str">
        <v>G2</v>
      </c>
      <c r="AK18" s="53">
        <v>0</v>
      </c>
      <c r="AL18" s="53">
        <v>2</v>
      </c>
      <c r="AM18" s="53">
        <v>1</v>
      </c>
      <c r="AN18" s="53">
        <v>1</v>
      </c>
      <c r="AO18" s="53">
        <v>0</v>
      </c>
    </row>
    <row r="19" spans="1:41" ht="15.9" customHeight="1" x14ac:dyDescent="0.3">
      <c r="A19" s="28" t="str">
        <v>G5</v>
      </c>
      <c r="B19" s="8" t="str">
        <v>Gold M5</v>
      </c>
      <c r="C19" s="53">
        <f t="shared" si="0"/>
        <v>0</v>
      </c>
      <c r="D19" s="53">
        <f t="shared" si="0"/>
        <v>5</v>
      </c>
      <c r="E19" s="53">
        <f t="shared" si="0"/>
        <v>42</v>
      </c>
      <c r="F19" s="53">
        <f t="shared" si="0"/>
        <v>6</v>
      </c>
      <c r="G19" s="53">
        <f t="shared" si="0"/>
        <v>0</v>
      </c>
      <c r="H19" s="8">
        <v>15</v>
      </c>
      <c r="I19" s="51"/>
      <c r="J19" s="9">
        <v>15</v>
      </c>
      <c r="K19" s="15" t="s">
        <v>37</v>
      </c>
      <c r="L19" s="15" t="s">
        <v>81</v>
      </c>
      <c r="M19" s="15" t="s">
        <v>81</v>
      </c>
      <c r="N19" s="15" t="s">
        <v>62</v>
      </c>
      <c r="O19" s="15" t="s">
        <v>34</v>
      </c>
      <c r="Q19" s="9">
        <v>7</v>
      </c>
      <c r="R19" s="9">
        <v>17</v>
      </c>
      <c r="S19" s="9">
        <v>17</v>
      </c>
      <c r="T19" s="9">
        <v>12</v>
      </c>
      <c r="U19" s="9">
        <v>9</v>
      </c>
      <c r="W19" s="24">
        <v>1</v>
      </c>
      <c r="X19" s="24">
        <v>1</v>
      </c>
      <c r="Y19" s="24">
        <v>1</v>
      </c>
      <c r="Z19" s="24">
        <v>1</v>
      </c>
      <c r="AA19" s="24">
        <v>1</v>
      </c>
      <c r="AC19" s="71" t="str">
        <v>G3</v>
      </c>
      <c r="AD19" s="53">
        <v>0</v>
      </c>
      <c r="AE19" s="53">
        <v>2</v>
      </c>
      <c r="AF19" s="53">
        <v>8</v>
      </c>
      <c r="AG19" s="53">
        <v>2</v>
      </c>
      <c r="AH19" s="53">
        <v>0</v>
      </c>
      <c r="AI19" s="5"/>
      <c r="AJ19" s="71" t="str">
        <v>G3</v>
      </c>
      <c r="AK19" s="53">
        <v>0</v>
      </c>
      <c r="AL19" s="53">
        <v>2</v>
      </c>
      <c r="AM19" s="53">
        <v>8</v>
      </c>
      <c r="AN19" s="53">
        <v>2</v>
      </c>
      <c r="AO19" s="53">
        <v>0</v>
      </c>
    </row>
    <row r="20" spans="1:41" ht="15.9" customHeight="1" x14ac:dyDescent="0.3">
      <c r="A20" s="28" t="str">
        <v>GA</v>
      </c>
      <c r="B20" s="8" t="str">
        <v>Gold A</v>
      </c>
      <c r="C20" s="53">
        <f t="shared" si="0"/>
        <v>0</v>
      </c>
      <c r="D20" s="53">
        <f t="shared" si="0"/>
        <v>7</v>
      </c>
      <c r="E20" s="53">
        <f t="shared" si="0"/>
        <v>42</v>
      </c>
      <c r="F20" s="53">
        <f t="shared" si="0"/>
        <v>6</v>
      </c>
      <c r="G20" s="53">
        <f t="shared" si="0"/>
        <v>0</v>
      </c>
      <c r="H20" s="8">
        <v>16</v>
      </c>
      <c r="I20" s="51"/>
      <c r="J20" s="24">
        <v>16</v>
      </c>
      <c r="K20" s="15" t="s">
        <v>19</v>
      </c>
      <c r="L20" s="15" t="s">
        <v>18</v>
      </c>
      <c r="M20" s="15" t="s">
        <v>65</v>
      </c>
      <c r="N20" s="15" t="s">
        <v>95</v>
      </c>
      <c r="O20" s="15" t="s">
        <v>35</v>
      </c>
      <c r="Q20" s="9">
        <v>5</v>
      </c>
      <c r="R20" s="9">
        <v>4</v>
      </c>
      <c r="S20" s="9">
        <v>16</v>
      </c>
      <c r="T20" s="9">
        <v>6</v>
      </c>
      <c r="U20" s="9">
        <v>8</v>
      </c>
      <c r="W20" s="24">
        <v>1</v>
      </c>
      <c r="X20" s="24">
        <v>1</v>
      </c>
      <c r="Y20" s="24">
        <v>1</v>
      </c>
      <c r="Z20" s="24">
        <v>1</v>
      </c>
      <c r="AA20" s="24">
        <v>1</v>
      </c>
      <c r="AC20" s="71" t="str">
        <v>G4</v>
      </c>
      <c r="AD20" s="53">
        <v>0</v>
      </c>
      <c r="AE20" s="53">
        <v>5</v>
      </c>
      <c r="AF20" s="53">
        <v>42</v>
      </c>
      <c r="AG20" s="53">
        <v>7</v>
      </c>
      <c r="AH20" s="53">
        <v>0</v>
      </c>
      <c r="AI20" s="5"/>
      <c r="AJ20" s="71" t="str">
        <v>G4</v>
      </c>
      <c r="AK20" s="53">
        <v>0</v>
      </c>
      <c r="AL20" s="53">
        <v>5</v>
      </c>
      <c r="AM20" s="53">
        <v>42</v>
      </c>
      <c r="AN20" s="53">
        <v>7</v>
      </c>
      <c r="AO20" s="53">
        <v>0</v>
      </c>
    </row>
    <row r="21" spans="1:41" ht="15.9" customHeight="1" x14ac:dyDescent="0.3">
      <c r="A21" s="28" t="str">
        <v>GK</v>
      </c>
      <c r="B21" s="8" t="str">
        <v>Gold K</v>
      </c>
      <c r="C21" s="53">
        <f t="shared" si="0"/>
        <v>0</v>
      </c>
      <c r="D21" s="53">
        <f t="shared" si="0"/>
        <v>5</v>
      </c>
      <c r="E21" s="53">
        <f t="shared" si="0"/>
        <v>42</v>
      </c>
      <c r="F21" s="53">
        <f t="shared" si="0"/>
        <v>6</v>
      </c>
      <c r="G21" s="53">
        <f t="shared" si="0"/>
        <v>0</v>
      </c>
      <c r="H21" s="8">
        <v>17</v>
      </c>
      <c r="I21" s="51"/>
      <c r="J21" s="9">
        <v>17</v>
      </c>
      <c r="K21" s="15" t="s">
        <v>22</v>
      </c>
      <c r="L21" s="15" t="s">
        <v>36</v>
      </c>
      <c r="M21" s="15" t="s">
        <v>81</v>
      </c>
      <c r="N21" s="15" t="s">
        <v>19</v>
      </c>
      <c r="O21" s="15" t="s">
        <v>21</v>
      </c>
      <c r="Q21" s="9">
        <v>3</v>
      </c>
      <c r="R21" s="9">
        <v>10</v>
      </c>
      <c r="S21" s="9">
        <v>17</v>
      </c>
      <c r="T21" s="9">
        <v>5</v>
      </c>
      <c r="U21" s="9">
        <v>2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C21" s="71" t="str">
        <v>G5</v>
      </c>
      <c r="AD21" s="53">
        <v>0</v>
      </c>
      <c r="AE21" s="53">
        <v>5</v>
      </c>
      <c r="AF21" s="53">
        <v>42</v>
      </c>
      <c r="AG21" s="53">
        <v>6</v>
      </c>
      <c r="AH21" s="53">
        <v>0</v>
      </c>
      <c r="AI21" s="5"/>
      <c r="AJ21" s="71" t="str">
        <v>G5</v>
      </c>
      <c r="AK21" s="53">
        <v>0</v>
      </c>
      <c r="AL21" s="53">
        <v>5</v>
      </c>
      <c r="AM21" s="53">
        <v>42</v>
      </c>
      <c r="AN21" s="53">
        <v>6</v>
      </c>
      <c r="AO21" s="53">
        <v>0</v>
      </c>
    </row>
    <row r="22" spans="1:41" ht="15.9" customHeight="1" x14ac:dyDescent="0.3">
      <c r="A22" s="28" t="str">
        <v>GQ</v>
      </c>
      <c r="B22" s="8" t="str">
        <v>Gold Q</v>
      </c>
      <c r="C22" s="53">
        <f t="shared" si="0"/>
        <v>0</v>
      </c>
      <c r="D22" s="53">
        <f t="shared" si="0"/>
        <v>2</v>
      </c>
      <c r="E22" s="53">
        <f t="shared" si="0"/>
        <v>6</v>
      </c>
      <c r="F22" s="53">
        <f t="shared" si="0"/>
        <v>1</v>
      </c>
      <c r="G22" s="53">
        <f t="shared" si="0"/>
        <v>0</v>
      </c>
      <c r="H22" s="8">
        <v>18</v>
      </c>
      <c r="I22" s="51"/>
      <c r="J22" s="24">
        <v>18</v>
      </c>
      <c r="K22" s="15" t="s">
        <v>35</v>
      </c>
      <c r="L22" s="15" t="s">
        <v>18</v>
      </c>
      <c r="M22" s="15" t="s">
        <v>64</v>
      </c>
      <c r="N22" s="15" t="s">
        <v>95</v>
      </c>
      <c r="O22" s="15" t="s">
        <v>19</v>
      </c>
      <c r="Q22" s="9">
        <v>8</v>
      </c>
      <c r="R22" s="9">
        <v>4</v>
      </c>
      <c r="S22" s="9">
        <v>14</v>
      </c>
      <c r="T22" s="9">
        <v>6</v>
      </c>
      <c r="U22" s="9">
        <v>5</v>
      </c>
      <c r="W22" s="24">
        <v>1</v>
      </c>
      <c r="X22" s="24">
        <v>1</v>
      </c>
      <c r="Y22" s="24">
        <v>1</v>
      </c>
      <c r="Z22" s="24">
        <v>1</v>
      </c>
      <c r="AA22" s="24">
        <v>1</v>
      </c>
      <c r="AC22" s="71" t="str">
        <v>GA</v>
      </c>
      <c r="AD22" s="53">
        <v>0</v>
      </c>
      <c r="AE22" s="53">
        <v>7</v>
      </c>
      <c r="AF22" s="53">
        <v>42</v>
      </c>
      <c r="AG22" s="53">
        <v>6</v>
      </c>
      <c r="AH22" s="53">
        <v>0</v>
      </c>
      <c r="AI22" s="5"/>
      <c r="AJ22" s="71" t="str">
        <v>GA</v>
      </c>
      <c r="AK22" s="53">
        <v>0</v>
      </c>
      <c r="AL22" s="53">
        <v>7</v>
      </c>
      <c r="AM22" s="53">
        <v>42</v>
      </c>
      <c r="AN22" s="53">
        <v>6</v>
      </c>
      <c r="AO22" s="53">
        <v>0</v>
      </c>
    </row>
    <row r="23" spans="1:41" ht="15.9" customHeight="1" x14ac:dyDescent="0.3">
      <c r="A23" s="28" t="str">
        <v>GJ</v>
      </c>
      <c r="B23" s="8" t="str">
        <v>Gold J</v>
      </c>
      <c r="C23" s="53">
        <f t="shared" si="0"/>
        <v>0</v>
      </c>
      <c r="D23" s="53">
        <f t="shared" si="0"/>
        <v>2</v>
      </c>
      <c r="E23" s="53">
        <f t="shared" si="0"/>
        <v>9</v>
      </c>
      <c r="F23" s="53">
        <f t="shared" si="0"/>
        <v>2</v>
      </c>
      <c r="G23" s="53">
        <f t="shared" si="0"/>
        <v>0</v>
      </c>
      <c r="H23" s="8">
        <v>19</v>
      </c>
      <c r="I23" s="51"/>
      <c r="J23" s="9">
        <v>19</v>
      </c>
      <c r="K23" s="15" t="s">
        <v>19</v>
      </c>
      <c r="L23" s="15" t="s">
        <v>19</v>
      </c>
      <c r="M23" s="15" t="s">
        <v>63</v>
      </c>
      <c r="N23" s="15" t="s">
        <v>19</v>
      </c>
      <c r="O23" s="15" t="s">
        <v>95</v>
      </c>
      <c r="Q23" s="9">
        <v>5</v>
      </c>
      <c r="R23" s="9">
        <v>5</v>
      </c>
      <c r="S23" s="9">
        <v>13</v>
      </c>
      <c r="T23" s="9">
        <v>5</v>
      </c>
      <c r="U23" s="9">
        <v>6</v>
      </c>
      <c r="W23" s="24">
        <v>1</v>
      </c>
      <c r="X23" s="24">
        <v>1</v>
      </c>
      <c r="Y23" s="24">
        <v>1</v>
      </c>
      <c r="Z23" s="24">
        <v>1</v>
      </c>
      <c r="AA23" s="24">
        <v>1</v>
      </c>
      <c r="AC23" s="71" t="str">
        <v>GK</v>
      </c>
      <c r="AD23" s="53">
        <v>0</v>
      </c>
      <c r="AE23" s="53">
        <v>5</v>
      </c>
      <c r="AF23" s="53">
        <v>42</v>
      </c>
      <c r="AG23" s="53">
        <v>6</v>
      </c>
      <c r="AH23" s="53">
        <v>0</v>
      </c>
      <c r="AI23" s="5"/>
      <c r="AJ23" s="71" t="str">
        <v>GK</v>
      </c>
      <c r="AK23" s="53">
        <v>0</v>
      </c>
      <c r="AL23" s="53">
        <v>5</v>
      </c>
      <c r="AM23" s="53">
        <v>42</v>
      </c>
      <c r="AN23" s="53">
        <v>6</v>
      </c>
      <c r="AO23" s="53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51"/>
      <c r="J24" s="24">
        <v>20</v>
      </c>
      <c r="K24" s="15" t="s">
        <v>35</v>
      </c>
      <c r="L24" s="15" t="s">
        <v>37</v>
      </c>
      <c r="M24" s="15" t="s">
        <v>65</v>
      </c>
      <c r="N24" s="15" t="s">
        <v>20</v>
      </c>
      <c r="O24" s="15" t="s">
        <v>36</v>
      </c>
      <c r="Q24" s="9">
        <v>8</v>
      </c>
      <c r="R24" s="9">
        <v>7</v>
      </c>
      <c r="S24" s="9">
        <v>16</v>
      </c>
      <c r="T24" s="9">
        <v>1</v>
      </c>
      <c r="U24" s="9">
        <v>10</v>
      </c>
      <c r="W24" s="24">
        <v>1</v>
      </c>
      <c r="X24" s="24">
        <v>1</v>
      </c>
      <c r="Y24" s="24">
        <v>1</v>
      </c>
      <c r="Z24" s="24">
        <v>1</v>
      </c>
      <c r="AA24" s="24">
        <v>1</v>
      </c>
      <c r="AC24" s="71" t="str">
        <v>GQ</v>
      </c>
      <c r="AD24" s="53">
        <v>0</v>
      </c>
      <c r="AE24" s="53">
        <v>2</v>
      </c>
      <c r="AF24" s="53">
        <v>6</v>
      </c>
      <c r="AG24" s="53">
        <v>1</v>
      </c>
      <c r="AH24" s="53">
        <v>0</v>
      </c>
      <c r="AI24" s="5"/>
      <c r="AJ24" s="71" t="str">
        <v>GQ</v>
      </c>
      <c r="AK24" s="53">
        <v>0</v>
      </c>
      <c r="AL24" s="53">
        <v>2</v>
      </c>
      <c r="AM24" s="53">
        <v>6</v>
      </c>
      <c r="AN24" s="53">
        <v>1</v>
      </c>
      <c r="AO24" s="53">
        <v>0</v>
      </c>
    </row>
    <row r="25" spans="1:41" ht="16.5" customHeight="1" x14ac:dyDescent="0.3">
      <c r="I25" s="51"/>
      <c r="J25" s="9">
        <v>21</v>
      </c>
      <c r="K25" s="15" t="s">
        <v>19</v>
      </c>
      <c r="L25" s="15" t="s">
        <v>21</v>
      </c>
      <c r="M25" s="15" t="s">
        <v>96</v>
      </c>
      <c r="N25" s="15" t="s">
        <v>37</v>
      </c>
      <c r="O25" s="15" t="s">
        <v>37</v>
      </c>
      <c r="Q25" s="9">
        <v>5</v>
      </c>
      <c r="R25" s="9">
        <v>2</v>
      </c>
      <c r="S25" s="9">
        <v>15</v>
      </c>
      <c r="T25" s="9">
        <v>7</v>
      </c>
      <c r="U25" s="9">
        <v>7</v>
      </c>
      <c r="W25" s="24">
        <v>1</v>
      </c>
      <c r="X25" s="24">
        <v>1</v>
      </c>
      <c r="Y25" s="24">
        <v>1</v>
      </c>
      <c r="Z25" s="24">
        <v>1</v>
      </c>
      <c r="AA25" s="24">
        <v>1</v>
      </c>
      <c r="AC25" s="71" t="str">
        <v>GJ</v>
      </c>
      <c r="AD25" s="53">
        <v>0</v>
      </c>
      <c r="AE25" s="53">
        <v>2</v>
      </c>
      <c r="AF25" s="53">
        <v>9</v>
      </c>
      <c r="AG25" s="53">
        <v>2</v>
      </c>
      <c r="AH25" s="53">
        <v>0</v>
      </c>
      <c r="AI25" s="5"/>
      <c r="AJ25" s="71" t="str">
        <v>GJ</v>
      </c>
      <c r="AK25" s="53">
        <v>0</v>
      </c>
      <c r="AL25" s="53">
        <v>2</v>
      </c>
      <c r="AM25" s="53">
        <v>9</v>
      </c>
      <c r="AN25" s="53">
        <v>2</v>
      </c>
      <c r="AO25" s="53">
        <v>0</v>
      </c>
    </row>
    <row r="26" spans="1:41" ht="16.5" customHeight="1" x14ac:dyDescent="0.3">
      <c r="B26" s="5" t="s">
        <v>110</v>
      </c>
      <c r="C26" s="86">
        <f>SUM(C4:C14)/C24</f>
        <v>1</v>
      </c>
      <c r="D26" s="86">
        <f>SUM(D4:D14)/D24</f>
        <v>0.84</v>
      </c>
      <c r="E26" s="86">
        <f>SUM(E4:E14)/E24</f>
        <v>0</v>
      </c>
      <c r="F26" s="86">
        <f>SUM(F4:F14)/F24</f>
        <v>0.84</v>
      </c>
      <c r="G26" s="86">
        <f>SUM(G4:G14)/G24</f>
        <v>1</v>
      </c>
      <c r="I26" s="51"/>
      <c r="J26" s="24">
        <v>22</v>
      </c>
      <c r="K26" s="15" t="s">
        <v>95</v>
      </c>
      <c r="L26" s="15" t="s">
        <v>36</v>
      </c>
      <c r="M26" s="15" t="s">
        <v>61</v>
      </c>
      <c r="N26" s="15" t="s">
        <v>95</v>
      </c>
      <c r="O26" s="15" t="s">
        <v>95</v>
      </c>
      <c r="Q26" s="9">
        <v>6</v>
      </c>
      <c r="R26" s="9">
        <v>10</v>
      </c>
      <c r="S26" s="9">
        <v>11</v>
      </c>
      <c r="T26" s="9">
        <v>6</v>
      </c>
      <c r="U26" s="9">
        <v>6</v>
      </c>
      <c r="W26" s="24">
        <v>1</v>
      </c>
      <c r="X26" s="24">
        <v>1</v>
      </c>
      <c r="Y26" s="24">
        <v>1</v>
      </c>
      <c r="Z26" s="24">
        <v>1</v>
      </c>
      <c r="AA26" s="24">
        <v>1</v>
      </c>
      <c r="AD26" s="59">
        <f>SUM(AD6:AD25)</f>
        <v>196</v>
      </c>
      <c r="AE26" s="59">
        <f>SUM(AE6:AE25)</f>
        <v>196</v>
      </c>
      <c r="AF26" s="59">
        <f>SUM(AF6:AF25)</f>
        <v>196</v>
      </c>
      <c r="AG26" s="59">
        <f>SUM(AG6:AG25)</f>
        <v>193</v>
      </c>
      <c r="AH26" s="59">
        <f>SUM(AH6:AH25)</f>
        <v>193</v>
      </c>
      <c r="AI26" s="5"/>
      <c r="AK26" s="59">
        <f>SUM(AK6:AK25)</f>
        <v>196</v>
      </c>
      <c r="AL26" s="59">
        <f>SUM(AL6:AL25)</f>
        <v>196</v>
      </c>
      <c r="AM26" s="59">
        <f>SUM(AM6:AM25)</f>
        <v>196</v>
      </c>
      <c r="AN26" s="59">
        <f>SUM(AN6:AN25)</f>
        <v>193</v>
      </c>
      <c r="AO26" s="59">
        <f>SUM(AO6:AO25)</f>
        <v>193</v>
      </c>
    </row>
    <row r="27" spans="1:41" ht="16.5" customHeight="1" x14ac:dyDescent="0.3">
      <c r="B27" s="5" t="s">
        <v>109</v>
      </c>
      <c r="C27" s="86">
        <f>SUM(C15:C23)/C24</f>
        <v>0</v>
      </c>
      <c r="D27" s="86">
        <f>SUM(D15:D23)/D24</f>
        <v>0.16</v>
      </c>
      <c r="E27" s="86">
        <f>SUM(E15:E23)/E24</f>
        <v>1</v>
      </c>
      <c r="F27" s="86">
        <f>SUM(F15:F23)/F24</f>
        <v>0.16</v>
      </c>
      <c r="G27" s="86">
        <f>SUM(G15:G23)/G24</f>
        <v>0</v>
      </c>
      <c r="I27" s="51"/>
      <c r="J27" s="9">
        <v>23</v>
      </c>
      <c r="K27" s="15" t="s">
        <v>19</v>
      </c>
      <c r="L27" s="15" t="s">
        <v>19</v>
      </c>
      <c r="M27" s="15" t="s">
        <v>96</v>
      </c>
      <c r="N27" s="15" t="s">
        <v>35</v>
      </c>
      <c r="O27" s="15" t="s">
        <v>20</v>
      </c>
      <c r="Q27" s="9">
        <v>5</v>
      </c>
      <c r="R27" s="9">
        <v>5</v>
      </c>
      <c r="S27" s="9">
        <v>15</v>
      </c>
      <c r="T27" s="9">
        <v>8</v>
      </c>
      <c r="U27" s="9">
        <v>1</v>
      </c>
      <c r="W27" s="24">
        <v>1</v>
      </c>
      <c r="X27" s="24">
        <v>1</v>
      </c>
      <c r="Y27" s="24">
        <v>1</v>
      </c>
      <c r="Z27" s="24">
        <v>1</v>
      </c>
      <c r="AA27" s="24">
        <v>1</v>
      </c>
      <c r="AH27" s="5"/>
      <c r="AI27" s="5"/>
      <c r="AO27" s="5"/>
    </row>
    <row r="28" spans="1:41" ht="16.5" customHeight="1" x14ac:dyDescent="0.3">
      <c r="I28" s="51"/>
      <c r="J28" s="24">
        <v>24</v>
      </c>
      <c r="K28" s="15" t="s">
        <v>18</v>
      </c>
      <c r="L28" s="15" t="s">
        <v>22</v>
      </c>
      <c r="M28" s="15" t="s">
        <v>64</v>
      </c>
      <c r="N28" s="15" t="s">
        <v>18</v>
      </c>
      <c r="O28" s="15" t="s">
        <v>37</v>
      </c>
      <c r="Q28" s="9">
        <v>4</v>
      </c>
      <c r="R28" s="9">
        <v>3</v>
      </c>
      <c r="S28" s="9">
        <v>14</v>
      </c>
      <c r="T28" s="9">
        <v>4</v>
      </c>
      <c r="U28" s="9">
        <v>7</v>
      </c>
      <c r="W28" s="24">
        <v>1</v>
      </c>
      <c r="X28" s="24">
        <v>1</v>
      </c>
      <c r="Y28" s="24">
        <v>1</v>
      </c>
      <c r="Z28" s="24">
        <v>1</v>
      </c>
      <c r="AA28" s="24">
        <v>1</v>
      </c>
      <c r="AC28" s="26" t="s">
        <v>100</v>
      </c>
      <c r="AH28" s="5"/>
      <c r="AI28" s="5"/>
      <c r="AJ28" s="26" t="s">
        <v>100</v>
      </c>
      <c r="AO28" s="5"/>
    </row>
    <row r="29" spans="1:41" ht="16.5" customHeight="1" x14ac:dyDescent="0.3">
      <c r="I29" s="51"/>
      <c r="J29" s="9">
        <v>25</v>
      </c>
      <c r="K29" s="15" t="s">
        <v>37</v>
      </c>
      <c r="L29" s="15" t="s">
        <v>35</v>
      </c>
      <c r="M29" s="15" t="s">
        <v>96</v>
      </c>
      <c r="N29" s="15" t="s">
        <v>37</v>
      </c>
      <c r="O29" s="15" t="s">
        <v>19</v>
      </c>
      <c r="Q29" s="9">
        <v>7</v>
      </c>
      <c r="R29" s="9">
        <v>8</v>
      </c>
      <c r="S29" s="9">
        <v>15</v>
      </c>
      <c r="T29" s="9">
        <v>7</v>
      </c>
      <c r="U29" s="9">
        <v>5</v>
      </c>
      <c r="W29" s="24">
        <v>1</v>
      </c>
      <c r="X29" s="24">
        <v>1</v>
      </c>
      <c r="Y29" s="24">
        <v>1</v>
      </c>
      <c r="Z29" s="24">
        <v>1</v>
      </c>
      <c r="AA29" s="24">
        <v>1</v>
      </c>
      <c r="AC29" s="68" t="s">
        <v>42</v>
      </c>
      <c r="AD29" s="68" t="s">
        <v>13</v>
      </c>
      <c r="AE29" s="68" t="s">
        <v>14</v>
      </c>
      <c r="AF29" s="68" t="s">
        <v>15</v>
      </c>
      <c r="AG29" s="68" t="s">
        <v>16</v>
      </c>
      <c r="AH29" s="68" t="s">
        <v>17</v>
      </c>
      <c r="AI29" s="5"/>
      <c r="AJ29" s="68" t="s">
        <v>42</v>
      </c>
      <c r="AK29" s="68" t="s">
        <v>13</v>
      </c>
      <c r="AL29" s="68" t="s">
        <v>14</v>
      </c>
      <c r="AM29" s="68" t="s">
        <v>15</v>
      </c>
      <c r="AN29" s="68" t="s">
        <v>16</v>
      </c>
      <c r="AO29" s="68" t="s">
        <v>17</v>
      </c>
    </row>
    <row r="30" spans="1:41" ht="16.5" customHeight="1" x14ac:dyDescent="0.3">
      <c r="I30" s="51"/>
      <c r="J30" s="24">
        <v>26</v>
      </c>
      <c r="K30" s="15" t="s">
        <v>19</v>
      </c>
      <c r="L30" s="15" t="s">
        <v>65</v>
      </c>
      <c r="M30" s="15" t="s">
        <v>65</v>
      </c>
      <c r="N30" s="15" t="s">
        <v>95</v>
      </c>
      <c r="O30" s="15" t="s">
        <v>35</v>
      </c>
      <c r="Q30" s="9">
        <v>5</v>
      </c>
      <c r="R30" s="9">
        <v>16</v>
      </c>
      <c r="S30" s="9">
        <v>16</v>
      </c>
      <c r="T30" s="9">
        <v>6</v>
      </c>
      <c r="U30" s="9">
        <v>8</v>
      </c>
      <c r="W30" s="24">
        <v>1</v>
      </c>
      <c r="X30" s="24">
        <v>1</v>
      </c>
      <c r="Y30" s="24">
        <v>1</v>
      </c>
      <c r="Z30" s="24">
        <v>1</v>
      </c>
      <c r="AA30" s="24">
        <v>1</v>
      </c>
      <c r="AC30" s="71" t="str" cm="1">
        <f t="array" ref="AC30:AC49">$A$4:$A$23</f>
        <v>WW</v>
      </c>
      <c r="AD30" s="72">
        <v>0</v>
      </c>
      <c r="AE30" s="72">
        <v>0</v>
      </c>
      <c r="AF30" s="72">
        <v>0</v>
      </c>
      <c r="AG30" s="72">
        <v>0</v>
      </c>
      <c r="AH30" s="72">
        <v>0</v>
      </c>
      <c r="AI30" s="5"/>
      <c r="AJ30" s="71" t="str" cm="1">
        <f t="array" ref="AJ30:AJ49">$A$4:$A$23</f>
        <v>WW</v>
      </c>
      <c r="AK30" s="72">
        <v>0</v>
      </c>
      <c r="AL30" s="72">
        <v>0</v>
      </c>
      <c r="AM30" s="72">
        <v>0</v>
      </c>
      <c r="AN30" s="72">
        <v>0</v>
      </c>
      <c r="AO30" s="72">
        <v>0</v>
      </c>
    </row>
    <row r="31" spans="1:41" ht="16.5" customHeight="1" x14ac:dyDescent="0.3">
      <c r="I31" s="51"/>
      <c r="J31" s="9">
        <v>27</v>
      </c>
      <c r="K31" s="15" t="s">
        <v>37</v>
      </c>
      <c r="L31" s="15" t="s">
        <v>21</v>
      </c>
      <c r="M31" s="15" t="s">
        <v>64</v>
      </c>
      <c r="N31" s="15" t="s">
        <v>35</v>
      </c>
      <c r="O31" s="15" t="s">
        <v>18</v>
      </c>
      <c r="Q31" s="9">
        <v>7</v>
      </c>
      <c r="R31" s="9">
        <v>2</v>
      </c>
      <c r="S31" s="9">
        <v>14</v>
      </c>
      <c r="T31" s="9">
        <v>8</v>
      </c>
      <c r="U31" s="9">
        <v>4</v>
      </c>
      <c r="W31" s="24">
        <v>1</v>
      </c>
      <c r="X31" s="24">
        <v>1</v>
      </c>
      <c r="Y31" s="24">
        <v>1</v>
      </c>
      <c r="Z31" s="24">
        <v>1</v>
      </c>
      <c r="AA31" s="24">
        <v>1</v>
      </c>
      <c r="AC31" s="71" t="str">
        <v>C1</v>
      </c>
      <c r="AD31" s="71">
        <v>1</v>
      </c>
      <c r="AE31" s="71">
        <v>1</v>
      </c>
      <c r="AF31" s="71">
        <v>1</v>
      </c>
      <c r="AG31" s="71">
        <v>1</v>
      </c>
      <c r="AH31" s="71">
        <v>1</v>
      </c>
      <c r="AI31" s="5"/>
      <c r="AJ31" s="71" t="str">
        <v>C1</v>
      </c>
      <c r="AK31" s="71">
        <v>1</v>
      </c>
      <c r="AL31" s="71">
        <v>1</v>
      </c>
      <c r="AM31" s="71">
        <v>1</v>
      </c>
      <c r="AN31" s="71">
        <v>1</v>
      </c>
      <c r="AO31" s="71">
        <v>1</v>
      </c>
    </row>
    <row r="32" spans="1:41" ht="16.5" customHeight="1" x14ac:dyDescent="0.3">
      <c r="J32" s="24">
        <v>28</v>
      </c>
      <c r="K32" s="15" t="s">
        <v>19</v>
      </c>
      <c r="L32" s="15" t="s">
        <v>37</v>
      </c>
      <c r="M32" s="15" t="s">
        <v>63</v>
      </c>
      <c r="N32" s="15" t="s">
        <v>95</v>
      </c>
      <c r="O32" s="15" t="s">
        <v>37</v>
      </c>
      <c r="Q32" s="9">
        <v>5</v>
      </c>
      <c r="R32" s="9">
        <v>7</v>
      </c>
      <c r="S32" s="9">
        <v>13</v>
      </c>
      <c r="T32" s="9">
        <v>6</v>
      </c>
      <c r="U32" s="9">
        <v>7</v>
      </c>
      <c r="W32" s="24">
        <v>1</v>
      </c>
      <c r="X32" s="24">
        <v>1</v>
      </c>
      <c r="Y32" s="24">
        <v>1</v>
      </c>
      <c r="Z32" s="24">
        <v>1</v>
      </c>
      <c r="AA32" s="24">
        <v>1</v>
      </c>
      <c r="AC32" s="80" t="str">
        <v>M1</v>
      </c>
      <c r="AD32" s="66">
        <v>3</v>
      </c>
      <c r="AE32" s="66">
        <v>10</v>
      </c>
      <c r="AF32" s="66">
        <v>0</v>
      </c>
      <c r="AG32" s="66">
        <v>3</v>
      </c>
      <c r="AH32" s="66">
        <v>9</v>
      </c>
      <c r="AI32" s="5"/>
      <c r="AJ32" s="80" t="str">
        <v>M1</v>
      </c>
      <c r="AK32" s="66">
        <v>3</v>
      </c>
      <c r="AL32" s="66">
        <v>10</v>
      </c>
      <c r="AM32" s="66">
        <v>0</v>
      </c>
      <c r="AN32" s="66">
        <v>3</v>
      </c>
      <c r="AO32" s="66">
        <v>9</v>
      </c>
    </row>
    <row r="33" spans="10:41" ht="16.5" customHeight="1" x14ac:dyDescent="0.3">
      <c r="J33" s="9">
        <v>29</v>
      </c>
      <c r="K33" s="15" t="s">
        <v>95</v>
      </c>
      <c r="L33" s="15" t="s">
        <v>35</v>
      </c>
      <c r="M33" s="15" t="s">
        <v>65</v>
      </c>
      <c r="N33" s="15" t="s">
        <v>68</v>
      </c>
      <c r="O33" s="15" t="s">
        <v>19</v>
      </c>
      <c r="Q33" s="9">
        <v>6</v>
      </c>
      <c r="R33" s="9">
        <v>8</v>
      </c>
      <c r="S33" s="9">
        <v>16</v>
      </c>
      <c r="T33" s="9">
        <v>18</v>
      </c>
      <c r="U33" s="9">
        <v>5</v>
      </c>
      <c r="W33" s="24">
        <v>1</v>
      </c>
      <c r="X33" s="24">
        <v>1</v>
      </c>
      <c r="Y33" s="24">
        <v>1</v>
      </c>
      <c r="Z33" s="24">
        <v>1</v>
      </c>
      <c r="AA33" s="24">
        <v>1</v>
      </c>
      <c r="AC33" s="80" t="str">
        <v>M2</v>
      </c>
      <c r="AD33" s="66">
        <v>3</v>
      </c>
      <c r="AE33" s="66">
        <v>13</v>
      </c>
      <c r="AF33" s="66">
        <v>0</v>
      </c>
      <c r="AG33" s="66">
        <v>3</v>
      </c>
      <c r="AH33" s="66">
        <v>8</v>
      </c>
      <c r="AI33" s="5"/>
      <c r="AJ33" s="80" t="str">
        <v>M2</v>
      </c>
      <c r="AK33" s="66">
        <v>3</v>
      </c>
      <c r="AL33" s="66">
        <v>13</v>
      </c>
      <c r="AM33" s="66">
        <v>0</v>
      </c>
      <c r="AN33" s="66">
        <v>3</v>
      </c>
      <c r="AO33" s="66">
        <v>8</v>
      </c>
    </row>
    <row r="34" spans="10:41" ht="16.5" customHeight="1" x14ac:dyDescent="0.3">
      <c r="J34" s="24">
        <v>30</v>
      </c>
      <c r="K34" s="15" t="s">
        <v>19</v>
      </c>
      <c r="L34" s="15" t="s">
        <v>21</v>
      </c>
      <c r="M34" s="15" t="s">
        <v>64</v>
      </c>
      <c r="N34" s="15" t="s">
        <v>19</v>
      </c>
      <c r="O34" s="15" t="s">
        <v>37</v>
      </c>
      <c r="Q34" s="9">
        <v>5</v>
      </c>
      <c r="R34" s="9">
        <v>2</v>
      </c>
      <c r="S34" s="9">
        <v>14</v>
      </c>
      <c r="T34" s="9">
        <v>5</v>
      </c>
      <c r="U34" s="9">
        <v>7</v>
      </c>
      <c r="W34" s="24">
        <v>1</v>
      </c>
      <c r="X34" s="24">
        <v>1</v>
      </c>
      <c r="Y34" s="24">
        <v>1</v>
      </c>
      <c r="Z34" s="24">
        <v>1</v>
      </c>
      <c r="AA34" s="24">
        <v>1</v>
      </c>
      <c r="AC34" s="80" t="str">
        <v>M3</v>
      </c>
      <c r="AD34" s="66">
        <v>7</v>
      </c>
      <c r="AE34" s="66">
        <v>14</v>
      </c>
      <c r="AF34" s="66">
        <v>0</v>
      </c>
      <c r="AG34" s="66">
        <v>7</v>
      </c>
      <c r="AH34" s="66">
        <v>14</v>
      </c>
      <c r="AI34" s="5"/>
      <c r="AJ34" s="80" t="str">
        <v>M3</v>
      </c>
      <c r="AK34" s="66">
        <v>7</v>
      </c>
      <c r="AL34" s="66">
        <v>14</v>
      </c>
      <c r="AM34" s="66">
        <v>0</v>
      </c>
      <c r="AN34" s="66">
        <v>7</v>
      </c>
      <c r="AO34" s="66">
        <v>14</v>
      </c>
    </row>
    <row r="35" spans="10:41" ht="16.5" customHeight="1" x14ac:dyDescent="0.3">
      <c r="J35" s="9">
        <v>31</v>
      </c>
      <c r="K35" s="15" t="s">
        <v>95</v>
      </c>
      <c r="L35" s="15" t="s">
        <v>65</v>
      </c>
      <c r="M35" s="15" t="s">
        <v>68</v>
      </c>
      <c r="N35" s="15" t="s">
        <v>64</v>
      </c>
      <c r="O35" s="15" t="s">
        <v>22</v>
      </c>
      <c r="Q35" s="9">
        <v>6</v>
      </c>
      <c r="R35" s="9">
        <v>16</v>
      </c>
      <c r="S35" s="9">
        <v>18</v>
      </c>
      <c r="T35" s="9">
        <v>14</v>
      </c>
      <c r="U35" s="9">
        <v>3</v>
      </c>
      <c r="W35" s="24">
        <v>1</v>
      </c>
      <c r="X35" s="24">
        <v>1</v>
      </c>
      <c r="Y35" s="24">
        <v>1</v>
      </c>
      <c r="Z35" s="24">
        <v>1</v>
      </c>
      <c r="AA35" s="24">
        <v>1</v>
      </c>
      <c r="AC35" s="80" t="str">
        <v>M4</v>
      </c>
      <c r="AD35" s="66">
        <v>42</v>
      </c>
      <c r="AE35" s="66">
        <v>25</v>
      </c>
      <c r="AF35" s="66">
        <v>0</v>
      </c>
      <c r="AG35" s="66">
        <v>33</v>
      </c>
      <c r="AH35" s="66">
        <v>34</v>
      </c>
      <c r="AI35" s="5"/>
      <c r="AJ35" s="80" t="str">
        <v>M4</v>
      </c>
      <c r="AK35" s="66">
        <v>42</v>
      </c>
      <c r="AL35" s="66">
        <v>25</v>
      </c>
      <c r="AM35" s="66">
        <v>0</v>
      </c>
      <c r="AN35" s="66">
        <v>33</v>
      </c>
      <c r="AO35" s="66">
        <v>34</v>
      </c>
    </row>
    <row r="36" spans="10:41" ht="16.5" customHeight="1" x14ac:dyDescent="0.3">
      <c r="J36" s="24">
        <v>32</v>
      </c>
      <c r="K36" s="15" t="s">
        <v>20</v>
      </c>
      <c r="L36" s="15" t="s">
        <v>19</v>
      </c>
      <c r="M36" s="15" t="s">
        <v>64</v>
      </c>
      <c r="N36" s="15" t="s">
        <v>34</v>
      </c>
      <c r="O36" s="15" t="s">
        <v>95</v>
      </c>
      <c r="Q36" s="9">
        <v>1</v>
      </c>
      <c r="R36" s="9">
        <v>5</v>
      </c>
      <c r="S36" s="9">
        <v>14</v>
      </c>
      <c r="T36" s="9">
        <v>9</v>
      </c>
      <c r="U36" s="9">
        <v>6</v>
      </c>
      <c r="W36" s="24">
        <v>1</v>
      </c>
      <c r="X36" s="24">
        <v>1</v>
      </c>
      <c r="Y36" s="24">
        <v>1</v>
      </c>
      <c r="Z36" s="24">
        <v>1</v>
      </c>
      <c r="AA36" s="24">
        <v>1</v>
      </c>
      <c r="AC36" s="80" t="str">
        <v>M5</v>
      </c>
      <c r="AD36" s="66">
        <v>42</v>
      </c>
      <c r="AE36" s="66">
        <v>25</v>
      </c>
      <c r="AF36" s="66">
        <v>0</v>
      </c>
      <c r="AG36" s="66">
        <v>34</v>
      </c>
      <c r="AH36" s="66">
        <v>34</v>
      </c>
      <c r="AI36" s="5"/>
      <c r="AJ36" s="80" t="str">
        <v>M5</v>
      </c>
      <c r="AK36" s="66">
        <v>42</v>
      </c>
      <c r="AL36" s="66">
        <v>25</v>
      </c>
      <c r="AM36" s="66">
        <v>0</v>
      </c>
      <c r="AN36" s="66">
        <v>34</v>
      </c>
      <c r="AO36" s="66">
        <v>34</v>
      </c>
    </row>
    <row r="37" spans="10:41" ht="16.5" customHeight="1" x14ac:dyDescent="0.3">
      <c r="J37" s="9">
        <v>33</v>
      </c>
      <c r="K37" s="15" t="s">
        <v>35</v>
      </c>
      <c r="L37" s="15" t="s">
        <v>35</v>
      </c>
      <c r="M37" s="15" t="s">
        <v>81</v>
      </c>
      <c r="N37" s="15" t="s">
        <v>19</v>
      </c>
      <c r="O37" s="15" t="s">
        <v>18</v>
      </c>
      <c r="Q37" s="9">
        <v>8</v>
      </c>
      <c r="R37" s="9">
        <v>8</v>
      </c>
      <c r="S37" s="9">
        <v>17</v>
      </c>
      <c r="T37" s="9">
        <v>5</v>
      </c>
      <c r="U37" s="9">
        <v>4</v>
      </c>
      <c r="W37" s="24">
        <v>1</v>
      </c>
      <c r="X37" s="24">
        <v>1</v>
      </c>
      <c r="Y37" s="24">
        <v>1</v>
      </c>
      <c r="Z37" s="24">
        <v>1</v>
      </c>
      <c r="AA37" s="24">
        <v>1</v>
      </c>
      <c r="AC37" s="80" t="str">
        <v>A</v>
      </c>
      <c r="AD37" s="66">
        <v>42</v>
      </c>
      <c r="AE37" s="66">
        <v>29</v>
      </c>
      <c r="AF37" s="66">
        <v>0</v>
      </c>
      <c r="AG37" s="66">
        <v>33</v>
      </c>
      <c r="AH37" s="66">
        <v>33</v>
      </c>
      <c r="AI37" s="5"/>
      <c r="AJ37" s="80" t="str">
        <v>A</v>
      </c>
      <c r="AK37" s="66">
        <v>42</v>
      </c>
      <c r="AL37" s="66">
        <v>29</v>
      </c>
      <c r="AM37" s="66">
        <v>0</v>
      </c>
      <c r="AN37" s="66">
        <v>33</v>
      </c>
      <c r="AO37" s="66">
        <v>33</v>
      </c>
    </row>
    <row r="38" spans="10:41" ht="16.5" customHeight="1" x14ac:dyDescent="0.3">
      <c r="J38" s="24">
        <v>34</v>
      </c>
      <c r="K38" s="15" t="s">
        <v>19</v>
      </c>
      <c r="L38" s="15" t="s">
        <v>19</v>
      </c>
      <c r="M38" s="15" t="s">
        <v>64</v>
      </c>
      <c r="N38" s="15" t="s">
        <v>61</v>
      </c>
      <c r="O38" s="15" t="s">
        <v>35</v>
      </c>
      <c r="Q38" s="9">
        <v>5</v>
      </c>
      <c r="R38" s="9">
        <v>5</v>
      </c>
      <c r="S38" s="9">
        <v>14</v>
      </c>
      <c r="T38" s="9">
        <v>11</v>
      </c>
      <c r="U38" s="9">
        <v>8</v>
      </c>
      <c r="W38" s="24">
        <v>1</v>
      </c>
      <c r="X38" s="24">
        <v>1</v>
      </c>
      <c r="Y38" s="24">
        <v>1</v>
      </c>
      <c r="Z38" s="24">
        <v>1</v>
      </c>
      <c r="AA38" s="24">
        <v>1</v>
      </c>
      <c r="AC38" s="80" t="str">
        <v>K</v>
      </c>
      <c r="AD38" s="66">
        <v>43</v>
      </c>
      <c r="AE38" s="66">
        <v>26</v>
      </c>
      <c r="AF38" s="66">
        <v>0</v>
      </c>
      <c r="AG38" s="66">
        <v>34</v>
      </c>
      <c r="AH38" s="66">
        <v>33</v>
      </c>
      <c r="AI38" s="5"/>
      <c r="AJ38" s="80" t="str">
        <v>K</v>
      </c>
      <c r="AK38" s="66">
        <v>43</v>
      </c>
      <c r="AL38" s="66">
        <v>26</v>
      </c>
      <c r="AM38" s="66">
        <v>0</v>
      </c>
      <c r="AN38" s="66">
        <v>34</v>
      </c>
      <c r="AO38" s="66">
        <v>33</v>
      </c>
    </row>
    <row r="39" spans="10:41" ht="16.5" customHeight="1" x14ac:dyDescent="0.3">
      <c r="J39" s="9">
        <v>35</v>
      </c>
      <c r="K39" s="15" t="s">
        <v>35</v>
      </c>
      <c r="L39" s="15" t="s">
        <v>37</v>
      </c>
      <c r="M39" s="15" t="s">
        <v>65</v>
      </c>
      <c r="N39" s="15" t="s">
        <v>35</v>
      </c>
      <c r="O39" s="15" t="s">
        <v>21</v>
      </c>
      <c r="Q39" s="9">
        <v>8</v>
      </c>
      <c r="R39" s="9">
        <v>7</v>
      </c>
      <c r="S39" s="9">
        <v>16</v>
      </c>
      <c r="T39" s="9">
        <v>8</v>
      </c>
      <c r="U39" s="9">
        <v>2</v>
      </c>
      <c r="W39" s="24">
        <v>1</v>
      </c>
      <c r="X39" s="24">
        <v>1</v>
      </c>
      <c r="Y39" s="24">
        <v>1</v>
      </c>
      <c r="Z39" s="24">
        <v>1</v>
      </c>
      <c r="AA39" s="24">
        <v>1</v>
      </c>
      <c r="AC39" s="80" t="str">
        <v>Q</v>
      </c>
      <c r="AD39" s="66">
        <v>7</v>
      </c>
      <c r="AE39" s="66">
        <v>13</v>
      </c>
      <c r="AF39" s="66">
        <v>0</v>
      </c>
      <c r="AG39" s="66">
        <v>6</v>
      </c>
      <c r="AH39" s="66">
        <v>13</v>
      </c>
      <c r="AI39" s="5"/>
      <c r="AJ39" s="80" t="str">
        <v>Q</v>
      </c>
      <c r="AK39" s="66">
        <v>7</v>
      </c>
      <c r="AL39" s="66">
        <v>13</v>
      </c>
      <c r="AM39" s="66">
        <v>0</v>
      </c>
      <c r="AN39" s="66">
        <v>6</v>
      </c>
      <c r="AO39" s="66">
        <v>13</v>
      </c>
    </row>
    <row r="40" spans="10:41" ht="16.5" customHeight="1" x14ac:dyDescent="0.3">
      <c r="J40" s="24">
        <v>36</v>
      </c>
      <c r="K40" s="15" t="s">
        <v>37</v>
      </c>
      <c r="L40" s="15" t="s">
        <v>35</v>
      </c>
      <c r="M40" s="15" t="s">
        <v>111</v>
      </c>
      <c r="N40" s="15" t="s">
        <v>95</v>
      </c>
      <c r="O40" s="15" t="s">
        <v>35</v>
      </c>
      <c r="Q40" s="9">
        <v>7</v>
      </c>
      <c r="R40" s="9">
        <v>8</v>
      </c>
      <c r="S40" s="9">
        <v>12</v>
      </c>
      <c r="T40" s="9">
        <v>6</v>
      </c>
      <c r="U40" s="9">
        <v>8</v>
      </c>
      <c r="W40" s="24">
        <v>1</v>
      </c>
      <c r="X40" s="24">
        <v>1</v>
      </c>
      <c r="Y40" s="24">
        <v>1</v>
      </c>
      <c r="Z40" s="24">
        <v>1</v>
      </c>
      <c r="AA40" s="24">
        <v>1</v>
      </c>
      <c r="AC40" s="80" t="str">
        <v>J</v>
      </c>
      <c r="AD40" s="66">
        <v>6</v>
      </c>
      <c r="AE40" s="66">
        <v>8</v>
      </c>
      <c r="AF40" s="66">
        <v>0</v>
      </c>
      <c r="AG40" s="66">
        <v>7</v>
      </c>
      <c r="AH40" s="66">
        <v>14</v>
      </c>
      <c r="AI40" s="5"/>
      <c r="AJ40" s="80" t="str">
        <v>J</v>
      </c>
      <c r="AK40" s="66">
        <v>6</v>
      </c>
      <c r="AL40" s="66">
        <v>8</v>
      </c>
      <c r="AM40" s="66">
        <v>0</v>
      </c>
      <c r="AN40" s="66">
        <v>7</v>
      </c>
      <c r="AO40" s="66">
        <v>14</v>
      </c>
    </row>
    <row r="41" spans="10:41" ht="16.5" customHeight="1" x14ac:dyDescent="0.3">
      <c r="J41" s="9">
        <v>37</v>
      </c>
      <c r="K41" s="15" t="s">
        <v>19</v>
      </c>
      <c r="L41" s="15" t="s">
        <v>22</v>
      </c>
      <c r="M41" s="15" t="s">
        <v>64</v>
      </c>
      <c r="N41" s="15" t="s">
        <v>35</v>
      </c>
      <c r="O41" s="15" t="s">
        <v>19</v>
      </c>
      <c r="Q41" s="9">
        <v>5</v>
      </c>
      <c r="R41" s="9">
        <v>3</v>
      </c>
      <c r="S41" s="9">
        <v>14</v>
      </c>
      <c r="T41" s="9">
        <v>8</v>
      </c>
      <c r="U41" s="9">
        <v>5</v>
      </c>
      <c r="W41" s="24">
        <v>1</v>
      </c>
      <c r="X41" s="24">
        <v>1</v>
      </c>
      <c r="Y41" s="24">
        <v>1</v>
      </c>
      <c r="Z41" s="24">
        <v>1</v>
      </c>
      <c r="AA41" s="24">
        <v>1</v>
      </c>
      <c r="AC41" s="71" t="str">
        <v>G1</v>
      </c>
      <c r="AD41" s="53">
        <v>0</v>
      </c>
      <c r="AE41" s="53">
        <v>2</v>
      </c>
      <c r="AF41" s="53">
        <v>3</v>
      </c>
      <c r="AG41" s="53">
        <v>1</v>
      </c>
      <c r="AH41" s="53">
        <v>0</v>
      </c>
      <c r="AI41" s="5"/>
      <c r="AJ41" s="71" t="str">
        <v>G1</v>
      </c>
      <c r="AK41" s="53">
        <v>0</v>
      </c>
      <c r="AL41" s="53">
        <v>2</v>
      </c>
      <c r="AM41" s="53">
        <v>3</v>
      </c>
      <c r="AN41" s="53">
        <v>1</v>
      </c>
      <c r="AO41" s="53">
        <v>0</v>
      </c>
    </row>
    <row r="42" spans="10:41" ht="16.5" customHeight="1" x14ac:dyDescent="0.3">
      <c r="J42" s="24">
        <v>38</v>
      </c>
      <c r="K42" s="15" t="s">
        <v>22</v>
      </c>
      <c r="L42" s="15" t="s">
        <v>18</v>
      </c>
      <c r="M42" s="15" t="s">
        <v>65</v>
      </c>
      <c r="N42" s="15" t="s">
        <v>18</v>
      </c>
      <c r="O42" s="15" t="s">
        <v>37</v>
      </c>
      <c r="Q42" s="9">
        <v>3</v>
      </c>
      <c r="R42" s="9">
        <v>4</v>
      </c>
      <c r="S42" s="9">
        <v>16</v>
      </c>
      <c r="T42" s="9">
        <v>4</v>
      </c>
      <c r="U42" s="9">
        <v>7</v>
      </c>
      <c r="W42" s="24">
        <v>1</v>
      </c>
      <c r="X42" s="24">
        <v>1</v>
      </c>
      <c r="Y42" s="24">
        <v>1</v>
      </c>
      <c r="Z42" s="24">
        <v>1</v>
      </c>
      <c r="AA42" s="24">
        <v>1</v>
      </c>
      <c r="AC42" s="71" t="str">
        <v>G2</v>
      </c>
      <c r="AD42" s="53">
        <v>0</v>
      </c>
      <c r="AE42" s="53">
        <v>2</v>
      </c>
      <c r="AF42" s="53">
        <v>1</v>
      </c>
      <c r="AG42" s="53">
        <v>1</v>
      </c>
      <c r="AH42" s="53">
        <v>0</v>
      </c>
      <c r="AI42" s="5"/>
      <c r="AJ42" s="71" t="str">
        <v>G2</v>
      </c>
      <c r="AK42" s="53">
        <v>0</v>
      </c>
      <c r="AL42" s="53">
        <v>2</v>
      </c>
      <c r="AM42" s="53">
        <v>1</v>
      </c>
      <c r="AN42" s="53">
        <v>1</v>
      </c>
      <c r="AO42" s="53">
        <v>0</v>
      </c>
    </row>
    <row r="43" spans="10:41" ht="16.5" customHeight="1" x14ac:dyDescent="0.3">
      <c r="J43" s="9">
        <v>39</v>
      </c>
      <c r="K43" s="15" t="s">
        <v>35</v>
      </c>
      <c r="L43" s="15" t="s">
        <v>35</v>
      </c>
      <c r="M43" s="15" t="s">
        <v>70</v>
      </c>
      <c r="N43" s="15" t="s">
        <v>36</v>
      </c>
      <c r="O43" s="15" t="s">
        <v>19</v>
      </c>
      <c r="Q43" s="9">
        <v>8</v>
      </c>
      <c r="R43" s="9">
        <v>8</v>
      </c>
      <c r="S43" s="9">
        <v>19</v>
      </c>
      <c r="T43" s="9">
        <v>10</v>
      </c>
      <c r="U43" s="9">
        <v>5</v>
      </c>
      <c r="W43" s="24">
        <v>1</v>
      </c>
      <c r="X43" s="24">
        <v>1</v>
      </c>
      <c r="Y43" s="24">
        <v>1</v>
      </c>
      <c r="Z43" s="24">
        <v>1</v>
      </c>
      <c r="AA43" s="24">
        <v>1</v>
      </c>
      <c r="AC43" s="71" t="str">
        <v>G3</v>
      </c>
      <c r="AD43" s="53">
        <v>0</v>
      </c>
      <c r="AE43" s="53">
        <v>2</v>
      </c>
      <c r="AF43" s="53">
        <v>8</v>
      </c>
      <c r="AG43" s="53">
        <v>2</v>
      </c>
      <c r="AH43" s="53">
        <v>0</v>
      </c>
      <c r="AI43" s="5"/>
      <c r="AJ43" s="71" t="str">
        <v>G3</v>
      </c>
      <c r="AK43" s="53">
        <v>0</v>
      </c>
      <c r="AL43" s="53">
        <v>2</v>
      </c>
      <c r="AM43" s="53">
        <v>8</v>
      </c>
      <c r="AN43" s="53">
        <v>2</v>
      </c>
      <c r="AO43" s="53">
        <v>0</v>
      </c>
    </row>
    <row r="44" spans="10:41" ht="16.5" customHeight="1" x14ac:dyDescent="0.3">
      <c r="J44" s="24">
        <v>40</v>
      </c>
      <c r="K44" s="15" t="s">
        <v>19</v>
      </c>
      <c r="L44" s="15" t="s">
        <v>19</v>
      </c>
      <c r="M44" s="15" t="s">
        <v>81</v>
      </c>
      <c r="N44" s="15" t="s">
        <v>37</v>
      </c>
      <c r="O44" s="15" t="s">
        <v>35</v>
      </c>
      <c r="Q44" s="9">
        <v>5</v>
      </c>
      <c r="R44" s="9">
        <v>5</v>
      </c>
      <c r="S44" s="9">
        <v>17</v>
      </c>
      <c r="T44" s="9">
        <v>7</v>
      </c>
      <c r="U44" s="9">
        <v>8</v>
      </c>
      <c r="W44" s="24">
        <v>1</v>
      </c>
      <c r="X44" s="24">
        <v>1</v>
      </c>
      <c r="Y44" s="24">
        <v>1</v>
      </c>
      <c r="Z44" s="24">
        <v>1</v>
      </c>
      <c r="AA44" s="24">
        <v>1</v>
      </c>
      <c r="AC44" s="71" t="str">
        <v>G4</v>
      </c>
      <c r="AD44" s="53">
        <v>0</v>
      </c>
      <c r="AE44" s="53">
        <v>5</v>
      </c>
      <c r="AF44" s="53">
        <v>42</v>
      </c>
      <c r="AG44" s="53">
        <v>7</v>
      </c>
      <c r="AH44" s="53">
        <v>0</v>
      </c>
      <c r="AI44" s="5"/>
      <c r="AJ44" s="71" t="str">
        <v>G4</v>
      </c>
      <c r="AK44" s="53">
        <v>0</v>
      </c>
      <c r="AL44" s="53">
        <v>5</v>
      </c>
      <c r="AM44" s="53">
        <v>42</v>
      </c>
      <c r="AN44" s="53">
        <v>7</v>
      </c>
      <c r="AO44" s="53">
        <v>0</v>
      </c>
    </row>
    <row r="45" spans="10:41" ht="16.5" customHeight="1" x14ac:dyDescent="0.3">
      <c r="J45" s="9">
        <v>41</v>
      </c>
      <c r="K45" s="15" t="s">
        <v>35</v>
      </c>
      <c r="L45" s="15" t="s">
        <v>35</v>
      </c>
      <c r="M45" s="15" t="s">
        <v>70</v>
      </c>
      <c r="N45" s="15" t="s">
        <v>18</v>
      </c>
      <c r="O45" s="15" t="s">
        <v>19</v>
      </c>
      <c r="Q45" s="9">
        <v>8</v>
      </c>
      <c r="R45" s="9">
        <v>8</v>
      </c>
      <c r="S45" s="9">
        <v>19</v>
      </c>
      <c r="T45" s="9">
        <v>4</v>
      </c>
      <c r="U45" s="9">
        <v>5</v>
      </c>
      <c r="W45" s="24">
        <v>1</v>
      </c>
      <c r="X45" s="24">
        <v>1</v>
      </c>
      <c r="Y45" s="24">
        <v>1</v>
      </c>
      <c r="Z45" s="24">
        <v>1</v>
      </c>
      <c r="AA45" s="24">
        <v>1</v>
      </c>
      <c r="AC45" s="71" t="str">
        <v>G5</v>
      </c>
      <c r="AD45" s="53">
        <v>0</v>
      </c>
      <c r="AE45" s="53">
        <v>5</v>
      </c>
      <c r="AF45" s="53">
        <v>42</v>
      </c>
      <c r="AG45" s="53">
        <v>6</v>
      </c>
      <c r="AH45" s="53">
        <v>0</v>
      </c>
      <c r="AI45" s="5"/>
      <c r="AJ45" s="71" t="str">
        <v>G5</v>
      </c>
      <c r="AK45" s="53">
        <v>0</v>
      </c>
      <c r="AL45" s="53">
        <v>5</v>
      </c>
      <c r="AM45" s="53">
        <v>42</v>
      </c>
      <c r="AN45" s="53">
        <v>6</v>
      </c>
      <c r="AO45" s="53">
        <v>0</v>
      </c>
    </row>
    <row r="46" spans="10:41" ht="16.5" customHeight="1" x14ac:dyDescent="0.3">
      <c r="J46" s="24">
        <v>42</v>
      </c>
      <c r="K46" s="15" t="s">
        <v>19</v>
      </c>
      <c r="L46" s="15" t="s">
        <v>95</v>
      </c>
      <c r="M46" s="15" t="s">
        <v>64</v>
      </c>
      <c r="N46" s="15" t="s">
        <v>35</v>
      </c>
      <c r="O46" s="15" t="s">
        <v>37</v>
      </c>
      <c r="Q46" s="9">
        <v>5</v>
      </c>
      <c r="R46" s="9">
        <v>6</v>
      </c>
      <c r="S46" s="9">
        <v>14</v>
      </c>
      <c r="T46" s="9">
        <v>8</v>
      </c>
      <c r="U46" s="9">
        <v>7</v>
      </c>
      <c r="W46" s="24">
        <v>1</v>
      </c>
      <c r="X46" s="24">
        <v>1</v>
      </c>
      <c r="Y46" s="24">
        <v>1</v>
      </c>
      <c r="Z46" s="24">
        <v>1</v>
      </c>
      <c r="AA46" s="24">
        <v>1</v>
      </c>
      <c r="AC46" s="71" t="str">
        <v>GA</v>
      </c>
      <c r="AD46" s="53">
        <v>0</v>
      </c>
      <c r="AE46" s="53">
        <v>7</v>
      </c>
      <c r="AF46" s="53">
        <v>42</v>
      </c>
      <c r="AG46" s="53">
        <v>6</v>
      </c>
      <c r="AH46" s="53">
        <v>0</v>
      </c>
      <c r="AI46" s="5"/>
      <c r="AJ46" s="71" t="str">
        <v>GA</v>
      </c>
      <c r="AK46" s="53">
        <v>0</v>
      </c>
      <c r="AL46" s="53">
        <v>7</v>
      </c>
      <c r="AM46" s="53">
        <v>42</v>
      </c>
      <c r="AN46" s="53">
        <v>6</v>
      </c>
      <c r="AO46" s="53">
        <v>0</v>
      </c>
    </row>
    <row r="47" spans="10:41" ht="16.5" customHeight="1" x14ac:dyDescent="0.3">
      <c r="J47" s="9">
        <v>43</v>
      </c>
      <c r="K47" s="15" t="s">
        <v>18</v>
      </c>
      <c r="L47" s="15" t="s">
        <v>35</v>
      </c>
      <c r="M47" s="15" t="s">
        <v>81</v>
      </c>
      <c r="N47" s="15" t="s">
        <v>37</v>
      </c>
      <c r="O47" s="15" t="s">
        <v>95</v>
      </c>
      <c r="Q47" s="9">
        <v>4</v>
      </c>
      <c r="R47" s="9">
        <v>8</v>
      </c>
      <c r="S47" s="9">
        <v>17</v>
      </c>
      <c r="T47" s="9">
        <v>7</v>
      </c>
      <c r="U47" s="9">
        <v>6</v>
      </c>
      <c r="W47" s="24">
        <v>1</v>
      </c>
      <c r="X47" s="24">
        <v>1</v>
      </c>
      <c r="Y47" s="24">
        <v>1</v>
      </c>
      <c r="Z47" s="24">
        <v>1</v>
      </c>
      <c r="AA47" s="24">
        <v>1</v>
      </c>
      <c r="AC47" s="71" t="str">
        <v>GK</v>
      </c>
      <c r="AD47" s="53">
        <v>0</v>
      </c>
      <c r="AE47" s="53">
        <v>5</v>
      </c>
      <c r="AF47" s="53">
        <v>42</v>
      </c>
      <c r="AG47" s="53">
        <v>6</v>
      </c>
      <c r="AH47" s="53">
        <v>0</v>
      </c>
      <c r="AI47" s="5"/>
      <c r="AJ47" s="71" t="str">
        <v>GK</v>
      </c>
      <c r="AK47" s="53">
        <v>0</v>
      </c>
      <c r="AL47" s="53">
        <v>5</v>
      </c>
      <c r="AM47" s="53">
        <v>42</v>
      </c>
      <c r="AN47" s="53">
        <v>6</v>
      </c>
      <c r="AO47" s="53">
        <v>0</v>
      </c>
    </row>
    <row r="48" spans="10:41" ht="16.5" customHeight="1" x14ac:dyDescent="0.3">
      <c r="J48" s="24">
        <v>44</v>
      </c>
      <c r="K48" s="15" t="s">
        <v>37</v>
      </c>
      <c r="L48" s="15" t="s">
        <v>37</v>
      </c>
      <c r="M48" s="15" t="s">
        <v>64</v>
      </c>
      <c r="N48" s="15" t="s">
        <v>95</v>
      </c>
      <c r="O48" s="15" t="s">
        <v>18</v>
      </c>
      <c r="Q48" s="9">
        <v>7</v>
      </c>
      <c r="R48" s="9">
        <v>7</v>
      </c>
      <c r="S48" s="9">
        <v>14</v>
      </c>
      <c r="T48" s="9">
        <v>6</v>
      </c>
      <c r="U48" s="9">
        <v>4</v>
      </c>
      <c r="W48" s="24">
        <v>1</v>
      </c>
      <c r="X48" s="24">
        <v>1</v>
      </c>
      <c r="Y48" s="24">
        <v>1</v>
      </c>
      <c r="Z48" s="24">
        <v>1</v>
      </c>
      <c r="AA48" s="24">
        <v>1</v>
      </c>
      <c r="AC48" s="71" t="str">
        <v>GQ</v>
      </c>
      <c r="AD48" s="53">
        <v>0</v>
      </c>
      <c r="AE48" s="53">
        <v>2</v>
      </c>
      <c r="AF48" s="53">
        <v>6</v>
      </c>
      <c r="AG48" s="53">
        <v>1</v>
      </c>
      <c r="AH48" s="53">
        <v>0</v>
      </c>
      <c r="AI48" s="5"/>
      <c r="AJ48" s="71" t="str">
        <v>GQ</v>
      </c>
      <c r="AK48" s="53">
        <v>0</v>
      </c>
      <c r="AL48" s="53">
        <v>2</v>
      </c>
      <c r="AM48" s="53">
        <v>6</v>
      </c>
      <c r="AN48" s="53">
        <v>1</v>
      </c>
      <c r="AO48" s="53">
        <v>0</v>
      </c>
    </row>
    <row r="49" spans="10:41" ht="16.5" customHeight="1" x14ac:dyDescent="0.3">
      <c r="J49" s="9">
        <v>45</v>
      </c>
      <c r="K49" s="15" t="s">
        <v>95</v>
      </c>
      <c r="L49" s="15" t="s">
        <v>64</v>
      </c>
      <c r="M49" s="15" t="s">
        <v>81</v>
      </c>
      <c r="N49" s="15" t="s">
        <v>65</v>
      </c>
      <c r="O49" s="15" t="s">
        <v>19</v>
      </c>
      <c r="Q49" s="9">
        <v>6</v>
      </c>
      <c r="R49" s="9">
        <v>14</v>
      </c>
      <c r="S49" s="9">
        <v>17</v>
      </c>
      <c r="T49" s="9">
        <v>16</v>
      </c>
      <c r="U49" s="9">
        <v>5</v>
      </c>
      <c r="W49" s="24">
        <v>1</v>
      </c>
      <c r="X49" s="24">
        <v>1</v>
      </c>
      <c r="Y49" s="24">
        <v>1</v>
      </c>
      <c r="Z49" s="24">
        <v>1</v>
      </c>
      <c r="AA49" s="24">
        <v>1</v>
      </c>
      <c r="AC49" s="71" t="str">
        <v>GJ</v>
      </c>
      <c r="AD49" s="53">
        <v>0</v>
      </c>
      <c r="AE49" s="53">
        <v>2</v>
      </c>
      <c r="AF49" s="53">
        <v>9</v>
      </c>
      <c r="AG49" s="53">
        <v>2</v>
      </c>
      <c r="AH49" s="53">
        <v>0</v>
      </c>
      <c r="AI49" s="5"/>
      <c r="AJ49" s="71" t="str">
        <v>GJ</v>
      </c>
      <c r="AK49" s="53">
        <v>0</v>
      </c>
      <c r="AL49" s="53">
        <v>2</v>
      </c>
      <c r="AM49" s="53">
        <v>9</v>
      </c>
      <c r="AN49" s="53">
        <v>2</v>
      </c>
      <c r="AO49" s="53">
        <v>0</v>
      </c>
    </row>
    <row r="50" spans="10:41" ht="16.5" customHeight="1" x14ac:dyDescent="0.3">
      <c r="J50" s="24">
        <v>46</v>
      </c>
      <c r="K50" s="15" t="s">
        <v>19</v>
      </c>
      <c r="L50" s="15" t="s">
        <v>37</v>
      </c>
      <c r="M50" s="15" t="s">
        <v>64</v>
      </c>
      <c r="N50" s="15" t="s">
        <v>37</v>
      </c>
      <c r="O50" s="15" t="s">
        <v>20</v>
      </c>
      <c r="Q50" s="9">
        <v>5</v>
      </c>
      <c r="R50" s="9">
        <v>7</v>
      </c>
      <c r="S50" s="9">
        <v>14</v>
      </c>
      <c r="T50" s="9">
        <v>7</v>
      </c>
      <c r="U50" s="9">
        <v>1</v>
      </c>
      <c r="W50" s="24">
        <v>1</v>
      </c>
      <c r="X50" s="24">
        <v>1</v>
      </c>
      <c r="Y50" s="24">
        <v>1</v>
      </c>
      <c r="Z50" s="24">
        <v>1</v>
      </c>
      <c r="AA50" s="24">
        <v>1</v>
      </c>
      <c r="AD50" s="59">
        <f>SUM(AD30:AD49)</f>
        <v>196</v>
      </c>
      <c r="AE50" s="59">
        <f>SUM(AE30:AE49)</f>
        <v>196</v>
      </c>
      <c r="AF50" s="59">
        <f>SUM(AF30:AF49)</f>
        <v>196</v>
      </c>
      <c r="AG50" s="59">
        <f>SUM(AG30:AG49)</f>
        <v>193</v>
      </c>
      <c r="AH50" s="59">
        <f>SUM(AH30:AH49)</f>
        <v>193</v>
      </c>
      <c r="AI50" s="5"/>
      <c r="AK50" s="59">
        <f>SUM(AK30:AK49)</f>
        <v>196</v>
      </c>
      <c r="AL50" s="59">
        <f>SUM(AL30:AL49)</f>
        <v>196</v>
      </c>
      <c r="AM50" s="59">
        <f>SUM(AM30:AM49)</f>
        <v>196</v>
      </c>
      <c r="AN50" s="59">
        <f>SUM(AN30:AN49)</f>
        <v>193</v>
      </c>
      <c r="AO50" s="59">
        <f>SUM(AO30:AO49)</f>
        <v>193</v>
      </c>
    </row>
    <row r="51" spans="10:41" ht="16.5" customHeight="1" x14ac:dyDescent="0.3">
      <c r="J51" s="9">
        <v>47</v>
      </c>
      <c r="K51" s="15" t="s">
        <v>37</v>
      </c>
      <c r="L51" s="15" t="s">
        <v>34</v>
      </c>
      <c r="M51" s="15" t="s">
        <v>68</v>
      </c>
      <c r="N51" s="15" t="s">
        <v>95</v>
      </c>
      <c r="O51" s="15" t="s">
        <v>19</v>
      </c>
      <c r="Q51" s="9">
        <v>7</v>
      </c>
      <c r="R51" s="9">
        <v>9</v>
      </c>
      <c r="S51" s="9">
        <v>18</v>
      </c>
      <c r="T51" s="9">
        <v>6</v>
      </c>
      <c r="U51" s="9">
        <v>5</v>
      </c>
      <c r="W51" s="24">
        <v>1</v>
      </c>
      <c r="X51" s="24">
        <v>1</v>
      </c>
      <c r="Y51" s="24">
        <v>1</v>
      </c>
      <c r="Z51" s="24">
        <v>1</v>
      </c>
      <c r="AA51" s="24">
        <v>1</v>
      </c>
      <c r="AH51" s="5"/>
      <c r="AI51" s="5"/>
      <c r="AO51" s="5"/>
    </row>
    <row r="52" spans="10:41" ht="16.5" customHeight="1" x14ac:dyDescent="0.3">
      <c r="J52" s="24">
        <v>48</v>
      </c>
      <c r="K52" s="15" t="s">
        <v>34</v>
      </c>
      <c r="L52" s="15" t="s">
        <v>35</v>
      </c>
      <c r="M52" s="15" t="s">
        <v>81</v>
      </c>
      <c r="N52" s="15" t="s">
        <v>35</v>
      </c>
      <c r="O52" s="15" t="s">
        <v>37</v>
      </c>
      <c r="Q52" s="9">
        <v>9</v>
      </c>
      <c r="R52" s="9">
        <v>8</v>
      </c>
      <c r="S52" s="9">
        <v>17</v>
      </c>
      <c r="T52" s="9">
        <v>8</v>
      </c>
      <c r="U52" s="9">
        <v>7</v>
      </c>
      <c r="W52" s="24">
        <v>1</v>
      </c>
      <c r="X52" s="24">
        <v>1</v>
      </c>
      <c r="Y52" s="24">
        <v>1</v>
      </c>
      <c r="Z52" s="24">
        <v>1</v>
      </c>
      <c r="AA52" s="24">
        <v>1</v>
      </c>
      <c r="AC52" s="26" t="s">
        <v>98</v>
      </c>
      <c r="AH52" s="5"/>
      <c r="AI52" s="5"/>
      <c r="AJ52" s="26" t="s">
        <v>98</v>
      </c>
      <c r="AO52" s="5"/>
    </row>
    <row r="53" spans="10:41" ht="16.5" customHeight="1" x14ac:dyDescent="0.3">
      <c r="J53" s="9">
        <v>49</v>
      </c>
      <c r="K53" s="15" t="s">
        <v>35</v>
      </c>
      <c r="L53" s="15" t="s">
        <v>62</v>
      </c>
      <c r="M53" s="15" t="s">
        <v>96</v>
      </c>
      <c r="N53" s="15" t="s">
        <v>37</v>
      </c>
      <c r="O53" s="15" t="s">
        <v>21</v>
      </c>
      <c r="Q53" s="9">
        <v>8</v>
      </c>
      <c r="R53" s="9">
        <v>12</v>
      </c>
      <c r="S53" s="9">
        <v>15</v>
      </c>
      <c r="T53" s="9">
        <v>7</v>
      </c>
      <c r="U53" s="9">
        <v>2</v>
      </c>
      <c r="W53" s="24">
        <v>1</v>
      </c>
      <c r="X53" s="24">
        <v>1</v>
      </c>
      <c r="Y53" s="24">
        <v>1</v>
      </c>
      <c r="Z53" s="24">
        <v>1</v>
      </c>
      <c r="AA53" s="24">
        <v>1</v>
      </c>
      <c r="AC53" s="68" t="s">
        <v>42</v>
      </c>
      <c r="AD53" s="68" t="s">
        <v>13</v>
      </c>
      <c r="AE53" s="68" t="s">
        <v>14</v>
      </c>
      <c r="AF53" s="68" t="s">
        <v>15</v>
      </c>
      <c r="AG53" s="68" t="s">
        <v>16</v>
      </c>
      <c r="AH53" s="68" t="s">
        <v>17</v>
      </c>
      <c r="AI53" s="5"/>
      <c r="AJ53" s="68" t="s">
        <v>42</v>
      </c>
      <c r="AK53" s="68" t="s">
        <v>13</v>
      </c>
      <c r="AL53" s="68" t="s">
        <v>14</v>
      </c>
      <c r="AM53" s="68" t="s">
        <v>15</v>
      </c>
      <c r="AN53" s="68" t="s">
        <v>16</v>
      </c>
      <c r="AO53" s="68" t="s">
        <v>17</v>
      </c>
    </row>
    <row r="54" spans="10:41" ht="16.5" customHeight="1" x14ac:dyDescent="0.3">
      <c r="J54" s="24">
        <v>50</v>
      </c>
      <c r="K54" s="15" t="s">
        <v>95</v>
      </c>
      <c r="L54" s="15" t="s">
        <v>19</v>
      </c>
      <c r="M54" s="15" t="s">
        <v>61</v>
      </c>
      <c r="N54" s="15" t="s">
        <v>20</v>
      </c>
      <c r="O54" s="15" t="s">
        <v>18</v>
      </c>
      <c r="Q54" s="9">
        <v>6</v>
      </c>
      <c r="R54" s="9">
        <v>5</v>
      </c>
      <c r="S54" s="9">
        <v>11</v>
      </c>
      <c r="T54" s="9">
        <v>1</v>
      </c>
      <c r="U54" s="9">
        <v>4</v>
      </c>
      <c r="W54" s="24">
        <v>1</v>
      </c>
      <c r="X54" s="24">
        <v>1</v>
      </c>
      <c r="Y54" s="24">
        <v>1</v>
      </c>
      <c r="Z54" s="24">
        <v>1</v>
      </c>
      <c r="AA54" s="24">
        <v>1</v>
      </c>
      <c r="AC54" s="71" t="str" cm="1">
        <f t="array" ref="AC54:AC73">$A$4:$A$23</f>
        <v>WW</v>
      </c>
      <c r="AD54" s="72">
        <v>0</v>
      </c>
      <c r="AE54" s="72">
        <v>0</v>
      </c>
      <c r="AF54" s="72">
        <v>0</v>
      </c>
      <c r="AG54" s="72">
        <v>0</v>
      </c>
      <c r="AH54" s="72">
        <v>0</v>
      </c>
      <c r="AI54" s="5"/>
      <c r="AJ54" s="71" t="str" cm="1">
        <f t="array" ref="AJ54:AJ73">$A$4:$A$23</f>
        <v>WW</v>
      </c>
      <c r="AK54" s="72">
        <v>0</v>
      </c>
      <c r="AL54" s="72">
        <v>0</v>
      </c>
      <c r="AM54" s="72">
        <v>0</v>
      </c>
      <c r="AN54" s="72">
        <v>0</v>
      </c>
      <c r="AO54" s="72">
        <v>0</v>
      </c>
    </row>
    <row r="55" spans="10:41" ht="16.5" customHeight="1" x14ac:dyDescent="0.3">
      <c r="J55" s="9">
        <v>51</v>
      </c>
      <c r="K55" s="15" t="s">
        <v>35</v>
      </c>
      <c r="L55" s="15" t="s">
        <v>95</v>
      </c>
      <c r="M55" s="15" t="s">
        <v>64</v>
      </c>
      <c r="N55" s="15" t="s">
        <v>35</v>
      </c>
      <c r="O55" s="15" t="s">
        <v>22</v>
      </c>
      <c r="Q55" s="9">
        <v>8</v>
      </c>
      <c r="R55" s="9">
        <v>6</v>
      </c>
      <c r="S55" s="9">
        <v>14</v>
      </c>
      <c r="T55" s="9">
        <v>8</v>
      </c>
      <c r="U55" s="9">
        <v>3</v>
      </c>
      <c r="W55" s="24">
        <v>1</v>
      </c>
      <c r="X55" s="24">
        <v>1</v>
      </c>
      <c r="Y55" s="24">
        <v>1</v>
      </c>
      <c r="Z55" s="24">
        <v>1</v>
      </c>
      <c r="AA55" s="24">
        <v>1</v>
      </c>
      <c r="AC55" s="71" t="str">
        <v>C1</v>
      </c>
      <c r="AD55" s="71">
        <v>1</v>
      </c>
      <c r="AE55" s="71">
        <v>1</v>
      </c>
      <c r="AF55" s="71">
        <v>1</v>
      </c>
      <c r="AG55" s="71">
        <v>1</v>
      </c>
      <c r="AH55" s="71">
        <v>1</v>
      </c>
      <c r="AI55" s="5"/>
      <c r="AJ55" s="71" t="str">
        <v>C1</v>
      </c>
      <c r="AK55" s="71">
        <v>1</v>
      </c>
      <c r="AL55" s="71">
        <v>1</v>
      </c>
      <c r="AM55" s="71">
        <v>1</v>
      </c>
      <c r="AN55" s="71">
        <v>1</v>
      </c>
      <c r="AO55" s="71">
        <v>1</v>
      </c>
    </row>
    <row r="56" spans="10:41" ht="16.5" customHeight="1" x14ac:dyDescent="0.3">
      <c r="J56" s="24">
        <v>52</v>
      </c>
      <c r="K56" s="15" t="s">
        <v>95</v>
      </c>
      <c r="L56" s="15" t="s">
        <v>21</v>
      </c>
      <c r="M56" s="15" t="s">
        <v>65</v>
      </c>
      <c r="N56" s="15" t="s">
        <v>19</v>
      </c>
      <c r="O56" s="15" t="s">
        <v>36</v>
      </c>
      <c r="Q56" s="9">
        <v>6</v>
      </c>
      <c r="R56" s="9">
        <v>2</v>
      </c>
      <c r="S56" s="9">
        <v>16</v>
      </c>
      <c r="T56" s="9">
        <v>5</v>
      </c>
      <c r="U56" s="9">
        <v>10</v>
      </c>
      <c r="W56" s="24">
        <v>1</v>
      </c>
      <c r="X56" s="24">
        <v>1</v>
      </c>
      <c r="Y56" s="24">
        <v>1</v>
      </c>
      <c r="Z56" s="24">
        <v>1</v>
      </c>
      <c r="AA56" s="24">
        <v>1</v>
      </c>
      <c r="AC56" s="80" t="str">
        <v>M1</v>
      </c>
      <c r="AD56" s="66">
        <v>3</v>
      </c>
      <c r="AE56" s="66">
        <v>10</v>
      </c>
      <c r="AF56" s="66">
        <v>0</v>
      </c>
      <c r="AG56" s="66">
        <v>3</v>
      </c>
      <c r="AH56" s="66">
        <v>9</v>
      </c>
      <c r="AI56" s="5"/>
      <c r="AJ56" s="80" t="str">
        <v>M1</v>
      </c>
      <c r="AK56" s="66">
        <v>3</v>
      </c>
      <c r="AL56" s="66">
        <v>10</v>
      </c>
      <c r="AM56" s="66">
        <v>0</v>
      </c>
      <c r="AN56" s="66">
        <v>3</v>
      </c>
      <c r="AO56" s="66">
        <v>9</v>
      </c>
    </row>
    <row r="57" spans="10:41" ht="16.5" customHeight="1" x14ac:dyDescent="0.3">
      <c r="J57" s="9">
        <v>53</v>
      </c>
      <c r="K57" s="15" t="s">
        <v>20</v>
      </c>
      <c r="L57" s="15" t="s">
        <v>37</v>
      </c>
      <c r="M57" s="15" t="s">
        <v>64</v>
      </c>
      <c r="N57" s="15" t="s">
        <v>95</v>
      </c>
      <c r="O57" s="15" t="s">
        <v>95</v>
      </c>
      <c r="Q57" s="9">
        <v>1</v>
      </c>
      <c r="R57" s="9">
        <v>7</v>
      </c>
      <c r="S57" s="9">
        <v>14</v>
      </c>
      <c r="T57" s="9">
        <v>6</v>
      </c>
      <c r="U57" s="9">
        <v>6</v>
      </c>
      <c r="W57" s="24">
        <v>1</v>
      </c>
      <c r="X57" s="24">
        <v>1</v>
      </c>
      <c r="Y57" s="24">
        <v>1</v>
      </c>
      <c r="Z57" s="24">
        <v>1</v>
      </c>
      <c r="AA57" s="24">
        <v>1</v>
      </c>
      <c r="AC57" s="80" t="str">
        <v>M2</v>
      </c>
      <c r="AD57" s="66">
        <v>3</v>
      </c>
      <c r="AE57" s="66">
        <v>13</v>
      </c>
      <c r="AF57" s="66">
        <v>0</v>
      </c>
      <c r="AG57" s="66">
        <v>3</v>
      </c>
      <c r="AH57" s="66">
        <v>8</v>
      </c>
      <c r="AI57" s="5"/>
      <c r="AJ57" s="80" t="str">
        <v>M2</v>
      </c>
      <c r="AK57" s="66">
        <v>3</v>
      </c>
      <c r="AL57" s="66">
        <v>13</v>
      </c>
      <c r="AM57" s="66">
        <v>0</v>
      </c>
      <c r="AN57" s="66">
        <v>3</v>
      </c>
      <c r="AO57" s="66">
        <v>8</v>
      </c>
    </row>
    <row r="58" spans="10:41" ht="16.5" customHeight="1" x14ac:dyDescent="0.3">
      <c r="J58" s="24">
        <v>54</v>
      </c>
      <c r="K58" s="15" t="s">
        <v>95</v>
      </c>
      <c r="L58" s="15" t="s">
        <v>36</v>
      </c>
      <c r="M58" s="15" t="s">
        <v>96</v>
      </c>
      <c r="N58" s="15" t="s">
        <v>18</v>
      </c>
      <c r="O58" s="15" t="s">
        <v>22</v>
      </c>
      <c r="Q58" s="9">
        <v>6</v>
      </c>
      <c r="R58" s="9">
        <v>10</v>
      </c>
      <c r="S58" s="9">
        <v>15</v>
      </c>
      <c r="T58" s="9">
        <v>4</v>
      </c>
      <c r="U58" s="9">
        <v>3</v>
      </c>
      <c r="W58" s="24">
        <v>1</v>
      </c>
      <c r="X58" s="24">
        <v>1</v>
      </c>
      <c r="Y58" s="24">
        <v>1</v>
      </c>
      <c r="Z58" s="24">
        <v>1</v>
      </c>
      <c r="AA58" s="24">
        <v>1</v>
      </c>
      <c r="AC58" s="80" t="str">
        <v>M3</v>
      </c>
      <c r="AD58" s="66">
        <v>7</v>
      </c>
      <c r="AE58" s="66">
        <v>14</v>
      </c>
      <c r="AF58" s="66">
        <v>0</v>
      </c>
      <c r="AG58" s="66">
        <v>7</v>
      </c>
      <c r="AH58" s="66">
        <v>14</v>
      </c>
      <c r="AI58" s="5"/>
      <c r="AJ58" s="80" t="str">
        <v>M3</v>
      </c>
      <c r="AK58" s="66">
        <v>7</v>
      </c>
      <c r="AL58" s="66">
        <v>14</v>
      </c>
      <c r="AM58" s="66">
        <v>0</v>
      </c>
      <c r="AN58" s="66">
        <v>7</v>
      </c>
      <c r="AO58" s="66">
        <v>14</v>
      </c>
    </row>
    <row r="59" spans="10:41" ht="16.5" customHeight="1" x14ac:dyDescent="0.3">
      <c r="J59" s="9">
        <v>55</v>
      </c>
      <c r="K59" s="15" t="s">
        <v>37</v>
      </c>
      <c r="L59" s="15" t="s">
        <v>18</v>
      </c>
      <c r="M59" s="15" t="s">
        <v>68</v>
      </c>
      <c r="N59" s="15" t="s">
        <v>64</v>
      </c>
      <c r="O59" s="15" t="s">
        <v>21</v>
      </c>
      <c r="Q59" s="9">
        <v>7</v>
      </c>
      <c r="R59" s="9">
        <v>4</v>
      </c>
      <c r="S59" s="9">
        <v>18</v>
      </c>
      <c r="T59" s="9">
        <v>14</v>
      </c>
      <c r="U59" s="9">
        <v>2</v>
      </c>
      <c r="W59" s="24">
        <v>1</v>
      </c>
      <c r="X59" s="24">
        <v>1</v>
      </c>
      <c r="Y59" s="24">
        <v>1</v>
      </c>
      <c r="Z59" s="24">
        <v>1</v>
      </c>
      <c r="AA59" s="24">
        <v>1</v>
      </c>
      <c r="AC59" s="80" t="str">
        <v>M4</v>
      </c>
      <c r="AD59" s="66">
        <v>42</v>
      </c>
      <c r="AE59" s="66">
        <v>25</v>
      </c>
      <c r="AF59" s="66">
        <v>0</v>
      </c>
      <c r="AG59" s="66">
        <v>33</v>
      </c>
      <c r="AH59" s="66">
        <v>34</v>
      </c>
      <c r="AI59" s="5"/>
      <c r="AJ59" s="80" t="str">
        <v>M4</v>
      </c>
      <c r="AK59" s="66">
        <v>42</v>
      </c>
      <c r="AL59" s="66">
        <v>25</v>
      </c>
      <c r="AM59" s="66">
        <v>0</v>
      </c>
      <c r="AN59" s="66">
        <v>33</v>
      </c>
      <c r="AO59" s="66">
        <v>34</v>
      </c>
    </row>
    <row r="60" spans="10:41" ht="16.5" customHeight="1" x14ac:dyDescent="0.3">
      <c r="J60" s="24">
        <v>56</v>
      </c>
      <c r="K60" s="15" t="s">
        <v>95</v>
      </c>
      <c r="L60" s="15" t="s">
        <v>96</v>
      </c>
      <c r="M60" s="15" t="s">
        <v>65</v>
      </c>
      <c r="N60" s="15" t="s">
        <v>37</v>
      </c>
      <c r="O60" s="15" t="s">
        <v>37</v>
      </c>
      <c r="Q60" s="9">
        <v>6</v>
      </c>
      <c r="R60" s="9">
        <v>15</v>
      </c>
      <c r="S60" s="9">
        <v>16</v>
      </c>
      <c r="T60" s="9">
        <v>7</v>
      </c>
      <c r="U60" s="9">
        <v>7</v>
      </c>
      <c r="W60" s="24">
        <v>1</v>
      </c>
      <c r="X60" s="24">
        <v>1</v>
      </c>
      <c r="Y60" s="24">
        <v>1</v>
      </c>
      <c r="Z60" s="24">
        <v>1</v>
      </c>
      <c r="AA60" s="24">
        <v>1</v>
      </c>
      <c r="AC60" s="80" t="str">
        <v>M5</v>
      </c>
      <c r="AD60" s="66">
        <v>42</v>
      </c>
      <c r="AE60" s="66">
        <v>25</v>
      </c>
      <c r="AF60" s="66">
        <v>0</v>
      </c>
      <c r="AG60" s="66">
        <v>34</v>
      </c>
      <c r="AH60" s="66">
        <v>34</v>
      </c>
      <c r="AI60" s="5"/>
      <c r="AJ60" s="80" t="str">
        <v>M5</v>
      </c>
      <c r="AK60" s="66">
        <v>42</v>
      </c>
      <c r="AL60" s="66">
        <v>25</v>
      </c>
      <c r="AM60" s="66">
        <v>0</v>
      </c>
      <c r="AN60" s="66">
        <v>34</v>
      </c>
      <c r="AO60" s="66">
        <v>34</v>
      </c>
    </row>
    <row r="61" spans="10:41" x14ac:dyDescent="0.3">
      <c r="J61" s="9">
        <v>57</v>
      </c>
      <c r="K61" s="15" t="s">
        <v>19</v>
      </c>
      <c r="L61" s="15" t="s">
        <v>19</v>
      </c>
      <c r="M61" s="15" t="s">
        <v>96</v>
      </c>
      <c r="N61" s="15" t="s">
        <v>95</v>
      </c>
      <c r="O61" s="15" t="s">
        <v>35</v>
      </c>
      <c r="Q61" s="9">
        <v>5</v>
      </c>
      <c r="R61" s="9">
        <v>5</v>
      </c>
      <c r="S61" s="9">
        <v>15</v>
      </c>
      <c r="T61" s="9">
        <v>6</v>
      </c>
      <c r="U61" s="9">
        <v>8</v>
      </c>
      <c r="W61" s="24">
        <v>1</v>
      </c>
      <c r="X61" s="24">
        <v>1</v>
      </c>
      <c r="Y61" s="24">
        <v>1</v>
      </c>
      <c r="Z61" s="24">
        <v>1</v>
      </c>
      <c r="AA61" s="24">
        <v>1</v>
      </c>
      <c r="AC61" s="80" t="str">
        <v>A</v>
      </c>
      <c r="AD61" s="66">
        <v>42</v>
      </c>
      <c r="AE61" s="66">
        <v>29</v>
      </c>
      <c r="AF61" s="66">
        <v>0</v>
      </c>
      <c r="AG61" s="66">
        <v>33</v>
      </c>
      <c r="AH61" s="66">
        <v>33</v>
      </c>
      <c r="AI61" s="5"/>
      <c r="AJ61" s="80" t="str">
        <v>A</v>
      </c>
      <c r="AK61" s="66">
        <v>42</v>
      </c>
      <c r="AL61" s="66">
        <v>29</v>
      </c>
      <c r="AM61" s="66">
        <v>0</v>
      </c>
      <c r="AN61" s="66">
        <v>33</v>
      </c>
      <c r="AO61" s="66">
        <v>33</v>
      </c>
    </row>
    <row r="62" spans="10:41" x14ac:dyDescent="0.3">
      <c r="J62" s="24">
        <v>58</v>
      </c>
      <c r="K62" s="15" t="s">
        <v>95</v>
      </c>
      <c r="L62" s="15" t="s">
        <v>35</v>
      </c>
      <c r="M62" s="15" t="s">
        <v>81</v>
      </c>
      <c r="N62" s="15" t="s">
        <v>19</v>
      </c>
      <c r="O62" s="15" t="s">
        <v>37</v>
      </c>
      <c r="Q62" s="9">
        <v>6</v>
      </c>
      <c r="R62" s="9">
        <v>8</v>
      </c>
      <c r="S62" s="9">
        <v>17</v>
      </c>
      <c r="T62" s="9">
        <v>5</v>
      </c>
      <c r="U62" s="9">
        <v>7</v>
      </c>
      <c r="W62" s="24">
        <v>1</v>
      </c>
      <c r="X62" s="24">
        <v>1</v>
      </c>
      <c r="Y62" s="24">
        <v>1</v>
      </c>
      <c r="Z62" s="24">
        <v>1</v>
      </c>
      <c r="AA62" s="24">
        <v>1</v>
      </c>
      <c r="AC62" s="80" t="str">
        <v>K</v>
      </c>
      <c r="AD62" s="66">
        <v>43</v>
      </c>
      <c r="AE62" s="66">
        <v>26</v>
      </c>
      <c r="AF62" s="66">
        <v>0</v>
      </c>
      <c r="AG62" s="66">
        <v>34</v>
      </c>
      <c r="AH62" s="66">
        <v>33</v>
      </c>
      <c r="AI62" s="5"/>
      <c r="AJ62" s="80" t="str">
        <v>K</v>
      </c>
      <c r="AK62" s="66">
        <v>43</v>
      </c>
      <c r="AL62" s="66">
        <v>26</v>
      </c>
      <c r="AM62" s="66">
        <v>0</v>
      </c>
      <c r="AN62" s="66">
        <v>34</v>
      </c>
      <c r="AO62" s="66">
        <v>33</v>
      </c>
    </row>
    <row r="63" spans="10:41" ht="16.5" customHeight="1" x14ac:dyDescent="0.3">
      <c r="J63" s="9">
        <v>59</v>
      </c>
      <c r="K63" s="15" t="s">
        <v>37</v>
      </c>
      <c r="L63" s="15" t="s">
        <v>18</v>
      </c>
      <c r="M63" s="15" t="s">
        <v>64</v>
      </c>
      <c r="N63" s="15" t="s">
        <v>35</v>
      </c>
      <c r="O63" s="15" t="s">
        <v>35</v>
      </c>
      <c r="Q63" s="9">
        <v>7</v>
      </c>
      <c r="R63" s="9">
        <v>4</v>
      </c>
      <c r="S63" s="9">
        <v>14</v>
      </c>
      <c r="T63" s="9">
        <v>8</v>
      </c>
      <c r="U63" s="9">
        <v>8</v>
      </c>
      <c r="W63" s="24">
        <v>1</v>
      </c>
      <c r="X63" s="24">
        <v>1</v>
      </c>
      <c r="Y63" s="24">
        <v>1</v>
      </c>
      <c r="Z63" s="24">
        <v>1</v>
      </c>
      <c r="AA63" s="24">
        <v>1</v>
      </c>
      <c r="AC63" s="80" t="str">
        <v>Q</v>
      </c>
      <c r="AD63" s="66">
        <v>7</v>
      </c>
      <c r="AE63" s="66">
        <v>13</v>
      </c>
      <c r="AF63" s="66">
        <v>0</v>
      </c>
      <c r="AG63" s="66">
        <v>6</v>
      </c>
      <c r="AH63" s="66">
        <v>13</v>
      </c>
      <c r="AI63" s="5"/>
      <c r="AJ63" s="80" t="str">
        <v>Q</v>
      </c>
      <c r="AK63" s="66">
        <v>7</v>
      </c>
      <c r="AL63" s="66">
        <v>13</v>
      </c>
      <c r="AM63" s="66">
        <v>0</v>
      </c>
      <c r="AN63" s="66">
        <v>6</v>
      </c>
      <c r="AO63" s="66">
        <v>13</v>
      </c>
    </row>
    <row r="64" spans="10:41" ht="16.5" customHeight="1" x14ac:dyDescent="0.3">
      <c r="J64" s="24">
        <v>60</v>
      </c>
      <c r="K64" s="15" t="s">
        <v>35</v>
      </c>
      <c r="L64" s="15" t="s">
        <v>35</v>
      </c>
      <c r="M64" s="15" t="s">
        <v>96</v>
      </c>
      <c r="N64" s="15" t="s">
        <v>65</v>
      </c>
      <c r="O64" s="15" t="s">
        <v>19</v>
      </c>
      <c r="Q64" s="9">
        <v>8</v>
      </c>
      <c r="R64" s="9">
        <v>8</v>
      </c>
      <c r="S64" s="9">
        <v>15</v>
      </c>
      <c r="T64" s="9">
        <v>16</v>
      </c>
      <c r="U64" s="9">
        <v>5</v>
      </c>
      <c r="W64" s="24">
        <v>1</v>
      </c>
      <c r="X64" s="24">
        <v>1</v>
      </c>
      <c r="Y64" s="24">
        <v>1</v>
      </c>
      <c r="Z64" s="24">
        <v>1</v>
      </c>
      <c r="AA64" s="24">
        <v>1</v>
      </c>
      <c r="AC64" s="80" t="str">
        <v>J</v>
      </c>
      <c r="AD64" s="66">
        <v>6</v>
      </c>
      <c r="AE64" s="66">
        <v>8</v>
      </c>
      <c r="AF64" s="66">
        <v>0</v>
      </c>
      <c r="AG64" s="66">
        <v>7</v>
      </c>
      <c r="AH64" s="66">
        <v>14</v>
      </c>
      <c r="AI64" s="5"/>
      <c r="AJ64" s="80" t="str">
        <v>J</v>
      </c>
      <c r="AK64" s="66">
        <v>6</v>
      </c>
      <c r="AL64" s="66">
        <v>8</v>
      </c>
      <c r="AM64" s="66">
        <v>0</v>
      </c>
      <c r="AN64" s="66">
        <v>7</v>
      </c>
      <c r="AO64" s="66">
        <v>14</v>
      </c>
    </row>
    <row r="65" spans="10:41" ht="16.5" customHeight="1" x14ac:dyDescent="0.3">
      <c r="J65" s="9">
        <v>61</v>
      </c>
      <c r="K65" s="15" t="s">
        <v>37</v>
      </c>
      <c r="L65" s="15" t="s">
        <v>65</v>
      </c>
      <c r="M65" s="15" t="s">
        <v>64</v>
      </c>
      <c r="N65" s="15" t="s">
        <v>22</v>
      </c>
      <c r="O65" s="15" t="s">
        <v>20</v>
      </c>
      <c r="Q65" s="9">
        <v>7</v>
      </c>
      <c r="R65" s="9">
        <v>16</v>
      </c>
      <c r="S65" s="9">
        <v>14</v>
      </c>
      <c r="T65" s="9">
        <v>3</v>
      </c>
      <c r="U65" s="9">
        <v>1</v>
      </c>
      <c r="W65" s="24">
        <v>1</v>
      </c>
      <c r="X65" s="24">
        <v>1</v>
      </c>
      <c r="Y65" s="24">
        <v>1</v>
      </c>
      <c r="Z65" s="24">
        <v>1</v>
      </c>
      <c r="AA65" s="24">
        <v>1</v>
      </c>
      <c r="AC65" s="71" t="str">
        <v>G1</v>
      </c>
      <c r="AD65" s="53">
        <v>0</v>
      </c>
      <c r="AE65" s="53">
        <v>2</v>
      </c>
      <c r="AF65" s="53">
        <v>3</v>
      </c>
      <c r="AG65" s="53">
        <v>1</v>
      </c>
      <c r="AH65" s="53">
        <v>0</v>
      </c>
      <c r="AI65" s="5"/>
      <c r="AJ65" s="71" t="str">
        <v>G1</v>
      </c>
      <c r="AK65" s="53">
        <v>0</v>
      </c>
      <c r="AL65" s="53">
        <v>2</v>
      </c>
      <c r="AM65" s="53">
        <v>3</v>
      </c>
      <c r="AN65" s="53">
        <v>1</v>
      </c>
      <c r="AO65" s="53">
        <v>0</v>
      </c>
    </row>
    <row r="66" spans="10:41" ht="16.5" customHeight="1" x14ac:dyDescent="0.3">
      <c r="J66" s="24">
        <v>62</v>
      </c>
      <c r="K66" s="15" t="s">
        <v>35</v>
      </c>
      <c r="L66" s="15" t="s">
        <v>19</v>
      </c>
      <c r="M66" s="15" t="s">
        <v>96</v>
      </c>
      <c r="N66" s="15" t="s">
        <v>37</v>
      </c>
      <c r="O66" s="15" t="s">
        <v>95</v>
      </c>
      <c r="Q66" s="9">
        <v>8</v>
      </c>
      <c r="R66" s="9">
        <v>5</v>
      </c>
      <c r="S66" s="9">
        <v>15</v>
      </c>
      <c r="T66" s="9">
        <v>7</v>
      </c>
      <c r="U66" s="9">
        <v>6</v>
      </c>
      <c r="W66" s="24">
        <v>1</v>
      </c>
      <c r="X66" s="24">
        <v>1</v>
      </c>
      <c r="Y66" s="24">
        <v>1</v>
      </c>
      <c r="Z66" s="24">
        <v>1</v>
      </c>
      <c r="AA66" s="24">
        <v>1</v>
      </c>
      <c r="AC66" s="71" t="str">
        <v>G2</v>
      </c>
      <c r="AD66" s="53">
        <v>0</v>
      </c>
      <c r="AE66" s="53">
        <v>2</v>
      </c>
      <c r="AF66" s="53">
        <v>1</v>
      </c>
      <c r="AG66" s="53">
        <v>1</v>
      </c>
      <c r="AH66" s="53">
        <v>0</v>
      </c>
      <c r="AI66" s="5"/>
      <c r="AJ66" s="71" t="str">
        <v>G2</v>
      </c>
      <c r="AK66" s="53">
        <v>0</v>
      </c>
      <c r="AL66" s="53">
        <v>2</v>
      </c>
      <c r="AM66" s="53">
        <v>1</v>
      </c>
      <c r="AN66" s="53">
        <v>1</v>
      </c>
      <c r="AO66" s="53">
        <v>0</v>
      </c>
    </row>
    <row r="67" spans="10:41" ht="16.5" customHeight="1" x14ac:dyDescent="0.3">
      <c r="J67" s="9">
        <v>63</v>
      </c>
      <c r="K67" s="15" t="s">
        <v>37</v>
      </c>
      <c r="L67" s="15" t="s">
        <v>20</v>
      </c>
      <c r="M67" s="15" t="s">
        <v>65</v>
      </c>
      <c r="N67" s="15" t="s">
        <v>19</v>
      </c>
      <c r="O67" s="15" t="s">
        <v>37</v>
      </c>
      <c r="Q67" s="9">
        <v>7</v>
      </c>
      <c r="R67" s="9">
        <v>1</v>
      </c>
      <c r="S67" s="9">
        <v>16</v>
      </c>
      <c r="T67" s="9">
        <v>5</v>
      </c>
      <c r="U67" s="9">
        <v>7</v>
      </c>
      <c r="W67" s="24">
        <v>1</v>
      </c>
      <c r="X67" s="24">
        <v>1</v>
      </c>
      <c r="Y67" s="24">
        <v>1</v>
      </c>
      <c r="Z67" s="24">
        <v>1</v>
      </c>
      <c r="AA67" s="24">
        <v>1</v>
      </c>
      <c r="AC67" s="71" t="str">
        <v>G3</v>
      </c>
      <c r="AD67" s="53">
        <v>0</v>
      </c>
      <c r="AE67" s="53">
        <v>2</v>
      </c>
      <c r="AF67" s="53">
        <v>8</v>
      </c>
      <c r="AG67" s="53">
        <v>2</v>
      </c>
      <c r="AH67" s="53">
        <v>0</v>
      </c>
      <c r="AI67" s="5"/>
      <c r="AJ67" s="71" t="str">
        <v>G3</v>
      </c>
      <c r="AK67" s="53">
        <v>0</v>
      </c>
      <c r="AL67" s="53">
        <v>2</v>
      </c>
      <c r="AM67" s="53">
        <v>8</v>
      </c>
      <c r="AN67" s="53">
        <v>2</v>
      </c>
      <c r="AO67" s="53">
        <v>0</v>
      </c>
    </row>
    <row r="68" spans="10:41" ht="16.5" customHeight="1" x14ac:dyDescent="0.3">
      <c r="J68" s="24">
        <v>64</v>
      </c>
      <c r="K68" s="15" t="s">
        <v>18</v>
      </c>
      <c r="L68" s="15" t="s">
        <v>34</v>
      </c>
      <c r="M68" s="15" t="s">
        <v>96</v>
      </c>
      <c r="N68" s="15" t="s">
        <v>37</v>
      </c>
      <c r="O68" s="15" t="s">
        <v>95</v>
      </c>
      <c r="Q68" s="9">
        <v>4</v>
      </c>
      <c r="R68" s="9">
        <v>9</v>
      </c>
      <c r="S68" s="9">
        <v>15</v>
      </c>
      <c r="T68" s="9">
        <v>7</v>
      </c>
      <c r="U68" s="9">
        <v>6</v>
      </c>
      <c r="W68" s="24">
        <v>1</v>
      </c>
      <c r="X68" s="24">
        <v>1</v>
      </c>
      <c r="Y68" s="24">
        <v>1</v>
      </c>
      <c r="Z68" s="24">
        <v>1</v>
      </c>
      <c r="AA68" s="24">
        <v>1</v>
      </c>
      <c r="AC68" s="71" t="str">
        <v>G4</v>
      </c>
      <c r="AD68" s="53">
        <v>0</v>
      </c>
      <c r="AE68" s="53">
        <v>5</v>
      </c>
      <c r="AF68" s="53">
        <v>42</v>
      </c>
      <c r="AG68" s="53">
        <v>7</v>
      </c>
      <c r="AH68" s="53">
        <v>0</v>
      </c>
      <c r="AI68" s="5"/>
      <c r="AJ68" s="71" t="str">
        <v>G4</v>
      </c>
      <c r="AK68" s="53">
        <v>0</v>
      </c>
      <c r="AL68" s="53">
        <v>5</v>
      </c>
      <c r="AM68" s="53">
        <v>42</v>
      </c>
      <c r="AN68" s="53">
        <v>7</v>
      </c>
      <c r="AO68" s="53">
        <v>0</v>
      </c>
    </row>
    <row r="69" spans="10:41" ht="16.5" customHeight="1" x14ac:dyDescent="0.3">
      <c r="J69" s="9">
        <v>65</v>
      </c>
      <c r="K69" s="15" t="s">
        <v>19</v>
      </c>
      <c r="L69" s="15" t="s">
        <v>18</v>
      </c>
      <c r="M69" s="15" t="s">
        <v>64</v>
      </c>
      <c r="N69" s="15" t="s">
        <v>19</v>
      </c>
      <c r="O69" s="15" t="s">
        <v>37</v>
      </c>
      <c r="Q69" s="9">
        <v>5</v>
      </c>
      <c r="R69" s="9">
        <v>4</v>
      </c>
      <c r="S69" s="9">
        <v>14</v>
      </c>
      <c r="T69" s="9">
        <v>5</v>
      </c>
      <c r="U69" s="9">
        <v>7</v>
      </c>
      <c r="W69" s="24">
        <v>1</v>
      </c>
      <c r="X69" s="24">
        <v>1</v>
      </c>
      <c r="Y69" s="24">
        <v>1</v>
      </c>
      <c r="Z69" s="24">
        <v>1</v>
      </c>
      <c r="AA69" s="24">
        <v>1</v>
      </c>
      <c r="AC69" s="71" t="str">
        <v>G5</v>
      </c>
      <c r="AD69" s="53">
        <v>0</v>
      </c>
      <c r="AE69" s="53">
        <v>5</v>
      </c>
      <c r="AF69" s="53">
        <v>42</v>
      </c>
      <c r="AG69" s="53">
        <v>6</v>
      </c>
      <c r="AH69" s="53">
        <v>0</v>
      </c>
      <c r="AI69" s="5"/>
      <c r="AJ69" s="71" t="str">
        <v>G5</v>
      </c>
      <c r="AK69" s="53">
        <v>0</v>
      </c>
      <c r="AL69" s="53">
        <v>5</v>
      </c>
      <c r="AM69" s="53">
        <v>42</v>
      </c>
      <c r="AN69" s="53">
        <v>6</v>
      </c>
      <c r="AO69" s="53">
        <v>0</v>
      </c>
    </row>
    <row r="70" spans="10:41" ht="16.5" customHeight="1" x14ac:dyDescent="0.3">
      <c r="J70" s="24">
        <v>66</v>
      </c>
      <c r="K70" s="15" t="s">
        <v>95</v>
      </c>
      <c r="L70" s="15" t="s">
        <v>21</v>
      </c>
      <c r="M70" s="15" t="s">
        <v>81</v>
      </c>
      <c r="N70" s="15" t="s">
        <v>64</v>
      </c>
      <c r="O70" s="15" t="s">
        <v>95</v>
      </c>
      <c r="Q70" s="9">
        <v>6</v>
      </c>
      <c r="R70" s="9">
        <v>2</v>
      </c>
      <c r="S70" s="9">
        <v>17</v>
      </c>
      <c r="T70" s="9">
        <v>14</v>
      </c>
      <c r="U70" s="9">
        <v>6</v>
      </c>
      <c r="W70" s="24">
        <v>1</v>
      </c>
      <c r="X70" s="24">
        <v>1</v>
      </c>
      <c r="Y70" s="24">
        <v>1</v>
      </c>
      <c r="Z70" s="24">
        <v>1</v>
      </c>
      <c r="AA70" s="24">
        <v>1</v>
      </c>
      <c r="AC70" s="71" t="str">
        <v>GA</v>
      </c>
      <c r="AD70" s="53">
        <v>0</v>
      </c>
      <c r="AE70" s="53">
        <v>7</v>
      </c>
      <c r="AF70" s="53">
        <v>42</v>
      </c>
      <c r="AG70" s="53">
        <v>6</v>
      </c>
      <c r="AH70" s="53">
        <v>0</v>
      </c>
      <c r="AI70" s="5"/>
      <c r="AJ70" s="71" t="str">
        <v>GA</v>
      </c>
      <c r="AK70" s="53">
        <v>0</v>
      </c>
      <c r="AL70" s="53">
        <v>7</v>
      </c>
      <c r="AM70" s="53">
        <v>42</v>
      </c>
      <c r="AN70" s="53">
        <v>6</v>
      </c>
      <c r="AO70" s="53">
        <v>0</v>
      </c>
    </row>
    <row r="71" spans="10:41" ht="16.5" customHeight="1" x14ac:dyDescent="0.3">
      <c r="J71" s="9">
        <v>67</v>
      </c>
      <c r="K71" s="15" t="s">
        <v>36</v>
      </c>
      <c r="L71" s="15" t="s">
        <v>19</v>
      </c>
      <c r="M71" s="15" t="s">
        <v>63</v>
      </c>
      <c r="N71" s="15" t="s">
        <v>37</v>
      </c>
      <c r="O71" s="15" t="s">
        <v>35</v>
      </c>
      <c r="Q71" s="9">
        <v>10</v>
      </c>
      <c r="R71" s="9">
        <v>5</v>
      </c>
      <c r="S71" s="9">
        <v>13</v>
      </c>
      <c r="T71" s="9">
        <v>7</v>
      </c>
      <c r="U71" s="9">
        <v>8</v>
      </c>
      <c r="W71" s="24">
        <v>1</v>
      </c>
      <c r="X71" s="24">
        <v>1</v>
      </c>
      <c r="Y71" s="24">
        <v>1</v>
      </c>
      <c r="Z71" s="24">
        <v>1</v>
      </c>
      <c r="AA71" s="24">
        <v>1</v>
      </c>
      <c r="AC71" s="71" t="str">
        <v>GK</v>
      </c>
      <c r="AD71" s="53">
        <v>0</v>
      </c>
      <c r="AE71" s="53">
        <v>5</v>
      </c>
      <c r="AF71" s="53">
        <v>42</v>
      </c>
      <c r="AG71" s="53">
        <v>6</v>
      </c>
      <c r="AH71" s="53">
        <v>0</v>
      </c>
      <c r="AI71" s="5"/>
      <c r="AJ71" s="71" t="str">
        <v>GK</v>
      </c>
      <c r="AK71" s="53">
        <v>0</v>
      </c>
      <c r="AL71" s="53">
        <v>5</v>
      </c>
      <c r="AM71" s="53">
        <v>42</v>
      </c>
      <c r="AN71" s="53">
        <v>6</v>
      </c>
      <c r="AO71" s="53">
        <v>0</v>
      </c>
    </row>
    <row r="72" spans="10:41" ht="16.5" customHeight="1" x14ac:dyDescent="0.3">
      <c r="J72" s="24">
        <v>68</v>
      </c>
      <c r="K72" s="15" t="s">
        <v>35</v>
      </c>
      <c r="L72" s="15" t="s">
        <v>35</v>
      </c>
      <c r="M72" s="15" t="s">
        <v>96</v>
      </c>
      <c r="N72" s="15" t="s">
        <v>95</v>
      </c>
      <c r="O72" s="15" t="s">
        <v>95</v>
      </c>
      <c r="Q72" s="9">
        <v>8</v>
      </c>
      <c r="R72" s="9">
        <v>8</v>
      </c>
      <c r="S72" s="9">
        <v>15</v>
      </c>
      <c r="T72" s="9">
        <v>6</v>
      </c>
      <c r="U72" s="9">
        <v>6</v>
      </c>
      <c r="W72" s="24">
        <v>1</v>
      </c>
      <c r="X72" s="24">
        <v>1</v>
      </c>
      <c r="Y72" s="24">
        <v>1</v>
      </c>
      <c r="Z72" s="24">
        <v>1</v>
      </c>
      <c r="AA72" s="24">
        <v>1</v>
      </c>
      <c r="AC72" s="71" t="str">
        <v>GQ</v>
      </c>
      <c r="AD72" s="53">
        <v>0</v>
      </c>
      <c r="AE72" s="53">
        <v>2</v>
      </c>
      <c r="AF72" s="53">
        <v>6</v>
      </c>
      <c r="AG72" s="53">
        <v>1</v>
      </c>
      <c r="AH72" s="53">
        <v>0</v>
      </c>
      <c r="AI72" s="5"/>
      <c r="AJ72" s="71" t="str">
        <v>GQ</v>
      </c>
      <c r="AK72" s="53">
        <v>0</v>
      </c>
      <c r="AL72" s="53">
        <v>2</v>
      </c>
      <c r="AM72" s="53">
        <v>6</v>
      </c>
      <c r="AN72" s="53">
        <v>1</v>
      </c>
      <c r="AO72" s="53">
        <v>0</v>
      </c>
    </row>
    <row r="73" spans="10:41" ht="16.5" customHeight="1" x14ac:dyDescent="0.3">
      <c r="J73" s="9">
        <v>69</v>
      </c>
      <c r="K73" s="15" t="s">
        <v>19</v>
      </c>
      <c r="L73" s="15" t="s">
        <v>96</v>
      </c>
      <c r="M73" s="15" t="s">
        <v>81</v>
      </c>
      <c r="N73" s="15" t="s">
        <v>19</v>
      </c>
      <c r="O73" s="15" t="s">
        <v>34</v>
      </c>
      <c r="Q73" s="9">
        <v>5</v>
      </c>
      <c r="R73" s="9">
        <v>15</v>
      </c>
      <c r="S73" s="9">
        <v>17</v>
      </c>
      <c r="T73" s="9">
        <v>5</v>
      </c>
      <c r="U73" s="9">
        <v>9</v>
      </c>
      <c r="W73" s="24">
        <v>1</v>
      </c>
      <c r="X73" s="24">
        <v>1</v>
      </c>
      <c r="Y73" s="24">
        <v>1</v>
      </c>
      <c r="Z73" s="24">
        <v>1</v>
      </c>
      <c r="AA73" s="24">
        <v>1</v>
      </c>
      <c r="AC73" s="71" t="str">
        <v>GJ</v>
      </c>
      <c r="AD73" s="53">
        <v>0</v>
      </c>
      <c r="AE73" s="53">
        <v>2</v>
      </c>
      <c r="AF73" s="53">
        <v>9</v>
      </c>
      <c r="AG73" s="53">
        <v>2</v>
      </c>
      <c r="AH73" s="53">
        <v>0</v>
      </c>
      <c r="AI73" s="5"/>
      <c r="AJ73" s="71" t="str">
        <v>GJ</v>
      </c>
      <c r="AK73" s="53">
        <v>0</v>
      </c>
      <c r="AL73" s="53">
        <v>2</v>
      </c>
      <c r="AM73" s="53">
        <v>9</v>
      </c>
      <c r="AN73" s="53">
        <v>2</v>
      </c>
      <c r="AO73" s="53">
        <v>0</v>
      </c>
    </row>
    <row r="74" spans="10:41" ht="16.5" customHeight="1" x14ac:dyDescent="0.3">
      <c r="J74" s="24">
        <v>70</v>
      </c>
      <c r="K74" s="15" t="s">
        <v>22</v>
      </c>
      <c r="L74" s="15" t="s">
        <v>21</v>
      </c>
      <c r="M74" s="15" t="s">
        <v>65</v>
      </c>
      <c r="N74" s="15" t="s">
        <v>35</v>
      </c>
      <c r="O74" s="15" t="s">
        <v>95</v>
      </c>
      <c r="Q74" s="9">
        <v>3</v>
      </c>
      <c r="R74" s="9">
        <v>2</v>
      </c>
      <c r="S74" s="9">
        <v>16</v>
      </c>
      <c r="T74" s="9">
        <v>8</v>
      </c>
      <c r="U74" s="9">
        <v>6</v>
      </c>
      <c r="W74" s="24">
        <v>1</v>
      </c>
      <c r="X74" s="24">
        <v>1</v>
      </c>
      <c r="Y74" s="24">
        <v>1</v>
      </c>
      <c r="Z74" s="24">
        <v>1</v>
      </c>
      <c r="AA74" s="24">
        <v>1</v>
      </c>
      <c r="AD74" s="59">
        <f>SUM(AD54:AD73)</f>
        <v>196</v>
      </c>
      <c r="AE74" s="59">
        <f>SUM(AE54:AE73)</f>
        <v>196</v>
      </c>
      <c r="AF74" s="59">
        <f>SUM(AF54:AF73)</f>
        <v>196</v>
      </c>
      <c r="AG74" s="59">
        <f>SUM(AG54:AG73)</f>
        <v>193</v>
      </c>
      <c r="AH74" s="59">
        <f>SUM(AH54:AH73)</f>
        <v>193</v>
      </c>
      <c r="AI74" s="5"/>
      <c r="AK74" s="59">
        <f>SUM(AK54:AK73)</f>
        <v>196</v>
      </c>
      <c r="AL74" s="59">
        <f>SUM(AL54:AL73)</f>
        <v>196</v>
      </c>
      <c r="AM74" s="59">
        <f>SUM(AM54:AM73)</f>
        <v>196</v>
      </c>
      <c r="AN74" s="59">
        <f>SUM(AN54:AN73)</f>
        <v>193</v>
      </c>
      <c r="AO74" s="59">
        <f>SUM(AO54:AO73)</f>
        <v>193</v>
      </c>
    </row>
    <row r="75" spans="10:41" ht="16.5" customHeight="1" x14ac:dyDescent="0.3">
      <c r="J75" s="9">
        <v>71</v>
      </c>
      <c r="K75" s="15" t="s">
        <v>35</v>
      </c>
      <c r="L75" s="15" t="s">
        <v>37</v>
      </c>
      <c r="M75" s="15" t="s">
        <v>81</v>
      </c>
      <c r="N75" s="15" t="s">
        <v>95</v>
      </c>
      <c r="O75" s="15" t="s">
        <v>19</v>
      </c>
      <c r="Q75" s="9">
        <v>8</v>
      </c>
      <c r="R75" s="9">
        <v>7</v>
      </c>
      <c r="S75" s="9">
        <v>17</v>
      </c>
      <c r="T75" s="9">
        <v>6</v>
      </c>
      <c r="U75" s="9">
        <v>5</v>
      </c>
      <c r="W75" s="24">
        <v>1</v>
      </c>
      <c r="X75" s="24">
        <v>1</v>
      </c>
      <c r="Y75" s="24">
        <v>1</v>
      </c>
      <c r="Z75" s="24">
        <v>1</v>
      </c>
      <c r="AA75" s="24">
        <v>1</v>
      </c>
      <c r="AH75" s="5"/>
      <c r="AI75" s="5"/>
      <c r="AO75" s="5"/>
    </row>
    <row r="76" spans="10:41" ht="16.5" customHeight="1" x14ac:dyDescent="0.3">
      <c r="J76" s="24">
        <v>72</v>
      </c>
      <c r="K76" s="15" t="s">
        <v>95</v>
      </c>
      <c r="L76" s="15" t="s">
        <v>95</v>
      </c>
      <c r="M76" s="15" t="s">
        <v>64</v>
      </c>
      <c r="N76" s="15" t="s">
        <v>35</v>
      </c>
      <c r="O76" s="15" t="s">
        <v>22</v>
      </c>
      <c r="Q76" s="9">
        <v>6</v>
      </c>
      <c r="R76" s="9">
        <v>6</v>
      </c>
      <c r="S76" s="9">
        <v>14</v>
      </c>
      <c r="T76" s="9">
        <v>8</v>
      </c>
      <c r="U76" s="9">
        <v>3</v>
      </c>
      <c r="W76" s="24">
        <v>1</v>
      </c>
      <c r="X76" s="24">
        <v>1</v>
      </c>
      <c r="Y76" s="24">
        <v>1</v>
      </c>
      <c r="Z76" s="24">
        <v>1</v>
      </c>
      <c r="AA76" s="24">
        <v>1</v>
      </c>
      <c r="AH76" s="5"/>
      <c r="AI76" s="5"/>
      <c r="AO76" s="5"/>
    </row>
    <row r="77" spans="10:41" ht="16.5" customHeight="1" x14ac:dyDescent="0.3">
      <c r="J77" s="9">
        <v>73</v>
      </c>
      <c r="K77" s="15" t="s">
        <v>37</v>
      </c>
      <c r="L77" s="15" t="s">
        <v>22</v>
      </c>
      <c r="M77" s="15" t="s">
        <v>96</v>
      </c>
      <c r="N77" s="15" t="s">
        <v>95</v>
      </c>
      <c r="O77" s="15" t="s">
        <v>95</v>
      </c>
      <c r="Q77" s="9">
        <v>7</v>
      </c>
      <c r="R77" s="9">
        <v>3</v>
      </c>
      <c r="S77" s="9">
        <v>15</v>
      </c>
      <c r="T77" s="9">
        <v>6</v>
      </c>
      <c r="U77" s="9">
        <v>6</v>
      </c>
      <c r="W77" s="24">
        <v>1</v>
      </c>
      <c r="X77" s="24">
        <v>1</v>
      </c>
      <c r="Y77" s="24">
        <v>1</v>
      </c>
      <c r="Z77" s="24">
        <v>1</v>
      </c>
      <c r="AA77" s="24">
        <v>1</v>
      </c>
      <c r="AH77" s="5"/>
      <c r="AI77" s="5"/>
      <c r="AO77" s="5"/>
    </row>
    <row r="78" spans="10:41" ht="16.5" customHeight="1" x14ac:dyDescent="0.3">
      <c r="J78" s="24">
        <v>74</v>
      </c>
      <c r="K78" s="15" t="s">
        <v>35</v>
      </c>
      <c r="L78" s="15" t="s">
        <v>35</v>
      </c>
      <c r="M78" s="15" t="s">
        <v>64</v>
      </c>
      <c r="N78" s="15" t="s">
        <v>19</v>
      </c>
      <c r="O78" s="15" t="s">
        <v>35</v>
      </c>
      <c r="Q78" s="9">
        <v>8</v>
      </c>
      <c r="R78" s="9">
        <v>8</v>
      </c>
      <c r="S78" s="9">
        <v>14</v>
      </c>
      <c r="T78" s="9">
        <v>5</v>
      </c>
      <c r="U78" s="9">
        <v>8</v>
      </c>
      <c r="W78" s="24">
        <v>1</v>
      </c>
      <c r="X78" s="24">
        <v>1</v>
      </c>
      <c r="Y78" s="24">
        <v>1</v>
      </c>
      <c r="Z78" s="24">
        <v>1</v>
      </c>
      <c r="AA78" s="24">
        <v>1</v>
      </c>
      <c r="AH78" s="5"/>
      <c r="AI78" s="5"/>
      <c r="AO78" s="5"/>
    </row>
    <row r="79" spans="10:41" ht="16.5" customHeight="1" x14ac:dyDescent="0.3">
      <c r="J79" s="9">
        <v>75</v>
      </c>
      <c r="K79" s="15" t="s">
        <v>19</v>
      </c>
      <c r="L79" s="15" t="s">
        <v>19</v>
      </c>
      <c r="M79" s="15" t="s">
        <v>96</v>
      </c>
      <c r="N79" s="15" t="s">
        <v>35</v>
      </c>
      <c r="O79" s="15" t="s">
        <v>19</v>
      </c>
      <c r="Q79" s="9">
        <v>5</v>
      </c>
      <c r="R79" s="9">
        <v>5</v>
      </c>
      <c r="S79" s="9">
        <v>15</v>
      </c>
      <c r="T79" s="9">
        <v>8</v>
      </c>
      <c r="U79" s="9">
        <v>5</v>
      </c>
      <c r="W79" s="24">
        <v>1</v>
      </c>
      <c r="X79" s="24">
        <v>1</v>
      </c>
      <c r="Y79" s="24">
        <v>1</v>
      </c>
      <c r="Z79" s="24">
        <v>1</v>
      </c>
      <c r="AA79" s="24">
        <v>1</v>
      </c>
      <c r="AH79" s="5"/>
      <c r="AI79" s="5"/>
      <c r="AO79" s="5"/>
    </row>
    <row r="80" spans="10:41" x14ac:dyDescent="0.3">
      <c r="J80" s="24">
        <v>76</v>
      </c>
      <c r="K80" s="15" t="s">
        <v>35</v>
      </c>
      <c r="L80" s="15" t="s">
        <v>34</v>
      </c>
      <c r="M80" s="15" t="s">
        <v>64</v>
      </c>
      <c r="N80" s="15" t="s">
        <v>34</v>
      </c>
      <c r="O80" s="15" t="s">
        <v>36</v>
      </c>
      <c r="Q80" s="9">
        <v>8</v>
      </c>
      <c r="R80" s="9">
        <v>9</v>
      </c>
      <c r="S80" s="9">
        <v>14</v>
      </c>
      <c r="T80" s="9">
        <v>9</v>
      </c>
      <c r="U80" s="9">
        <v>10</v>
      </c>
      <c r="W80" s="24">
        <v>1</v>
      </c>
      <c r="X80" s="24">
        <v>1</v>
      </c>
      <c r="Y80" s="24">
        <v>1</v>
      </c>
      <c r="Z80" s="24">
        <v>1</v>
      </c>
      <c r="AA80" s="24">
        <v>1</v>
      </c>
      <c r="AH80" s="5"/>
      <c r="AI80" s="5"/>
      <c r="AO80" s="5"/>
    </row>
    <row r="81" spans="10:41" x14ac:dyDescent="0.3">
      <c r="J81" s="9">
        <v>77</v>
      </c>
      <c r="K81" s="15" t="s">
        <v>95</v>
      </c>
      <c r="L81" s="15" t="s">
        <v>95</v>
      </c>
      <c r="M81" s="15" t="s">
        <v>96</v>
      </c>
      <c r="N81" s="15" t="s">
        <v>19</v>
      </c>
      <c r="O81" s="15" t="s">
        <v>35</v>
      </c>
      <c r="Q81" s="9">
        <v>6</v>
      </c>
      <c r="R81" s="9">
        <v>6</v>
      </c>
      <c r="S81" s="9">
        <v>15</v>
      </c>
      <c r="T81" s="9">
        <v>5</v>
      </c>
      <c r="U81" s="9">
        <v>8</v>
      </c>
      <c r="W81" s="24">
        <v>1</v>
      </c>
      <c r="X81" s="24">
        <v>1</v>
      </c>
      <c r="Y81" s="24">
        <v>1</v>
      </c>
      <c r="Z81" s="24">
        <v>1</v>
      </c>
      <c r="AA81" s="24">
        <v>1</v>
      </c>
      <c r="AH81" s="5"/>
      <c r="AI81" s="5"/>
      <c r="AO81" s="5"/>
    </row>
    <row r="82" spans="10:41" x14ac:dyDescent="0.3">
      <c r="J82" s="24">
        <v>78</v>
      </c>
      <c r="K82" s="15" t="s">
        <v>35</v>
      </c>
      <c r="L82" s="15" t="s">
        <v>22</v>
      </c>
      <c r="M82" s="15" t="s">
        <v>64</v>
      </c>
      <c r="N82" s="15" t="s">
        <v>35</v>
      </c>
      <c r="O82" s="15" t="s">
        <v>95</v>
      </c>
      <c r="Q82" s="9">
        <v>8</v>
      </c>
      <c r="R82" s="9">
        <v>3</v>
      </c>
      <c r="S82" s="9">
        <v>14</v>
      </c>
      <c r="T82" s="9">
        <v>8</v>
      </c>
      <c r="U82" s="9">
        <v>6</v>
      </c>
      <c r="W82" s="24">
        <v>1</v>
      </c>
      <c r="X82" s="24">
        <v>1</v>
      </c>
      <c r="Y82" s="24">
        <v>1</v>
      </c>
      <c r="Z82" s="24">
        <v>1</v>
      </c>
      <c r="AA82" s="24">
        <v>1</v>
      </c>
      <c r="AH82" s="5"/>
      <c r="AI82" s="5"/>
      <c r="AO82" s="5"/>
    </row>
    <row r="83" spans="10:41" x14ac:dyDescent="0.3">
      <c r="J83" s="9">
        <v>79</v>
      </c>
      <c r="K83" s="15" t="s">
        <v>95</v>
      </c>
      <c r="L83" s="15" t="s">
        <v>20</v>
      </c>
      <c r="M83" s="15" t="s">
        <v>63</v>
      </c>
      <c r="N83" s="15" t="s">
        <v>19</v>
      </c>
      <c r="O83" s="15" t="s">
        <v>19</v>
      </c>
      <c r="Q83" s="9">
        <v>6</v>
      </c>
      <c r="R83" s="9">
        <v>1</v>
      </c>
      <c r="S83" s="9">
        <v>13</v>
      </c>
      <c r="T83" s="9">
        <v>5</v>
      </c>
      <c r="U83" s="9">
        <v>5</v>
      </c>
      <c r="W83" s="24">
        <v>1</v>
      </c>
      <c r="X83" s="24">
        <v>1</v>
      </c>
      <c r="Y83" s="24">
        <v>1</v>
      </c>
      <c r="Z83" s="24">
        <v>1</v>
      </c>
      <c r="AA83" s="24">
        <v>1</v>
      </c>
      <c r="AH83" s="5"/>
      <c r="AI83" s="5"/>
      <c r="AO83" s="5"/>
    </row>
    <row r="84" spans="10:41" x14ac:dyDescent="0.3">
      <c r="J84" s="24">
        <v>80</v>
      </c>
      <c r="K84" s="15" t="s">
        <v>18</v>
      </c>
      <c r="L84" s="15" t="s">
        <v>95</v>
      </c>
      <c r="M84" s="15" t="s">
        <v>64</v>
      </c>
      <c r="N84" s="15" t="s">
        <v>35</v>
      </c>
      <c r="O84" s="15" t="s">
        <v>37</v>
      </c>
      <c r="Q84" s="9">
        <v>4</v>
      </c>
      <c r="R84" s="9">
        <v>6</v>
      </c>
      <c r="S84" s="9">
        <v>14</v>
      </c>
      <c r="T84" s="9">
        <v>8</v>
      </c>
      <c r="U84" s="9">
        <v>7</v>
      </c>
      <c r="W84" s="24">
        <v>1</v>
      </c>
      <c r="X84" s="24">
        <v>1</v>
      </c>
      <c r="Y84" s="24">
        <v>1</v>
      </c>
      <c r="Z84" s="24">
        <v>1</v>
      </c>
      <c r="AA84" s="24">
        <v>1</v>
      </c>
      <c r="AH84" s="5"/>
      <c r="AI84" s="5"/>
      <c r="AO84" s="5"/>
    </row>
    <row r="85" spans="10:41" x14ac:dyDescent="0.3">
      <c r="J85" s="9">
        <v>81</v>
      </c>
      <c r="K85" s="15" t="s">
        <v>19</v>
      </c>
      <c r="L85" s="15" t="s">
        <v>35</v>
      </c>
      <c r="M85" s="15" t="s">
        <v>68</v>
      </c>
      <c r="N85" s="15" t="s">
        <v>20</v>
      </c>
      <c r="O85" s="15" t="s">
        <v>36</v>
      </c>
      <c r="Q85" s="9">
        <v>5</v>
      </c>
      <c r="R85" s="9">
        <v>8</v>
      </c>
      <c r="S85" s="9">
        <v>18</v>
      </c>
      <c r="T85" s="9">
        <v>1</v>
      </c>
      <c r="U85" s="9">
        <v>10</v>
      </c>
      <c r="W85" s="24">
        <v>1</v>
      </c>
      <c r="X85" s="24">
        <v>1</v>
      </c>
      <c r="Y85" s="24">
        <v>1</v>
      </c>
      <c r="Z85" s="24">
        <v>1</v>
      </c>
      <c r="AA85" s="24">
        <v>1</v>
      </c>
      <c r="AH85" s="5"/>
      <c r="AI85" s="5"/>
      <c r="AO85" s="5"/>
    </row>
    <row r="86" spans="10:41" x14ac:dyDescent="0.3">
      <c r="J86" s="24">
        <v>82</v>
      </c>
      <c r="K86" s="15" t="s">
        <v>35</v>
      </c>
      <c r="L86" s="15" t="s">
        <v>34</v>
      </c>
      <c r="M86" s="15" t="s">
        <v>65</v>
      </c>
      <c r="N86" s="15" t="s">
        <v>95</v>
      </c>
      <c r="O86" s="15" t="s">
        <v>37</v>
      </c>
      <c r="Q86" s="9">
        <v>8</v>
      </c>
      <c r="R86" s="9">
        <v>9</v>
      </c>
      <c r="S86" s="9">
        <v>16</v>
      </c>
      <c r="T86" s="9">
        <v>6</v>
      </c>
      <c r="U86" s="9">
        <v>7</v>
      </c>
      <c r="W86" s="24">
        <v>1</v>
      </c>
      <c r="X86" s="24">
        <v>1</v>
      </c>
      <c r="Y86" s="24">
        <v>1</v>
      </c>
      <c r="Z86" s="24">
        <v>1</v>
      </c>
      <c r="AA86" s="24">
        <v>1</v>
      </c>
      <c r="AH86" s="5"/>
      <c r="AI86" s="5"/>
      <c r="AO86" s="5"/>
    </row>
    <row r="87" spans="10:41" x14ac:dyDescent="0.3">
      <c r="J87" s="9">
        <v>83</v>
      </c>
      <c r="K87" s="15" t="s">
        <v>36</v>
      </c>
      <c r="L87" s="15" t="s">
        <v>64</v>
      </c>
      <c r="M87" s="15" t="s">
        <v>96</v>
      </c>
      <c r="N87" s="15" t="s">
        <v>22</v>
      </c>
      <c r="O87" s="15" t="s">
        <v>19</v>
      </c>
      <c r="Q87" s="9">
        <v>10</v>
      </c>
      <c r="R87" s="9">
        <v>14</v>
      </c>
      <c r="S87" s="9">
        <v>15</v>
      </c>
      <c r="T87" s="9">
        <v>3</v>
      </c>
      <c r="U87" s="9">
        <v>5</v>
      </c>
      <c r="W87" s="24">
        <v>1</v>
      </c>
      <c r="X87" s="24">
        <v>1</v>
      </c>
      <c r="Y87" s="24">
        <v>1</v>
      </c>
      <c r="Z87" s="24">
        <v>1</v>
      </c>
      <c r="AA87" s="24">
        <v>1</v>
      </c>
      <c r="AH87" s="5"/>
      <c r="AI87" s="5"/>
      <c r="AO87" s="5"/>
    </row>
    <row r="88" spans="10:41" x14ac:dyDescent="0.3">
      <c r="J88" s="24">
        <v>84</v>
      </c>
      <c r="K88" s="15" t="s">
        <v>95</v>
      </c>
      <c r="L88" s="15" t="s">
        <v>36</v>
      </c>
      <c r="M88" s="15" t="s">
        <v>81</v>
      </c>
      <c r="N88" s="15" t="s">
        <v>37</v>
      </c>
      <c r="O88" s="15" t="s">
        <v>34</v>
      </c>
      <c r="Q88" s="9">
        <v>6</v>
      </c>
      <c r="R88" s="9">
        <v>10</v>
      </c>
      <c r="S88" s="9">
        <v>17</v>
      </c>
      <c r="T88" s="9">
        <v>7</v>
      </c>
      <c r="U88" s="9">
        <v>9</v>
      </c>
      <c r="W88" s="24">
        <v>1</v>
      </c>
      <c r="X88" s="24">
        <v>1</v>
      </c>
      <c r="Y88" s="24">
        <v>1</v>
      </c>
      <c r="Z88" s="24">
        <v>1</v>
      </c>
      <c r="AA88" s="24">
        <v>1</v>
      </c>
      <c r="AH88" s="5"/>
      <c r="AI88" s="5"/>
      <c r="AO88" s="5"/>
    </row>
    <row r="89" spans="10:41" x14ac:dyDescent="0.3">
      <c r="J89" s="9">
        <v>85</v>
      </c>
      <c r="K89" s="15" t="s">
        <v>37</v>
      </c>
      <c r="L89" s="15" t="s">
        <v>68</v>
      </c>
      <c r="M89" s="15" t="s">
        <v>65</v>
      </c>
      <c r="N89" s="15" t="s">
        <v>95</v>
      </c>
      <c r="O89" s="15" t="s">
        <v>19</v>
      </c>
      <c r="Q89" s="9">
        <v>7</v>
      </c>
      <c r="R89" s="9">
        <v>18</v>
      </c>
      <c r="S89" s="9">
        <v>16</v>
      </c>
      <c r="T89" s="9">
        <v>6</v>
      </c>
      <c r="U89" s="9">
        <v>5</v>
      </c>
      <c r="W89" s="24">
        <v>1</v>
      </c>
      <c r="X89" s="24">
        <v>1</v>
      </c>
      <c r="Y89" s="24">
        <v>1</v>
      </c>
      <c r="Z89" s="24">
        <v>1</v>
      </c>
      <c r="AA89" s="24">
        <v>1</v>
      </c>
      <c r="AH89" s="5"/>
      <c r="AI89" s="5"/>
      <c r="AO89" s="5"/>
    </row>
    <row r="90" spans="10:41" x14ac:dyDescent="0.3">
      <c r="J90" s="24">
        <v>86</v>
      </c>
      <c r="K90" s="15" t="s">
        <v>95</v>
      </c>
      <c r="L90" s="15" t="s">
        <v>21</v>
      </c>
      <c r="M90" s="15" t="s">
        <v>96</v>
      </c>
      <c r="N90" s="15" t="s">
        <v>19</v>
      </c>
      <c r="O90" s="15" t="s">
        <v>34</v>
      </c>
      <c r="Q90" s="9">
        <v>6</v>
      </c>
      <c r="R90" s="9">
        <v>2</v>
      </c>
      <c r="S90" s="9">
        <v>15</v>
      </c>
      <c r="T90" s="9">
        <v>5</v>
      </c>
      <c r="U90" s="9">
        <v>9</v>
      </c>
      <c r="W90" s="24">
        <v>1</v>
      </c>
      <c r="X90" s="24">
        <v>1</v>
      </c>
      <c r="Y90" s="24">
        <v>1</v>
      </c>
      <c r="Z90" s="24">
        <v>1</v>
      </c>
      <c r="AA90" s="24">
        <v>1</v>
      </c>
      <c r="AH90" s="5"/>
      <c r="AI90" s="5"/>
      <c r="AO90" s="5"/>
    </row>
    <row r="91" spans="10:41" x14ac:dyDescent="0.3">
      <c r="J91" s="9">
        <v>87</v>
      </c>
      <c r="K91" s="15" t="s">
        <v>36</v>
      </c>
      <c r="L91" s="15" t="s">
        <v>63</v>
      </c>
      <c r="M91" s="15" t="s">
        <v>111</v>
      </c>
      <c r="N91" s="15" t="s">
        <v>37</v>
      </c>
      <c r="O91" s="15" t="s">
        <v>36</v>
      </c>
      <c r="Q91" s="9">
        <v>10</v>
      </c>
      <c r="R91" s="9">
        <v>13</v>
      </c>
      <c r="S91" s="9">
        <v>12</v>
      </c>
      <c r="T91" s="9">
        <v>7</v>
      </c>
      <c r="U91" s="9">
        <v>10</v>
      </c>
      <c r="W91" s="24">
        <v>1</v>
      </c>
      <c r="X91" s="24">
        <v>1</v>
      </c>
      <c r="Y91" s="24">
        <v>1</v>
      </c>
      <c r="Z91" s="24">
        <v>1</v>
      </c>
      <c r="AA91" s="24">
        <v>1</v>
      </c>
      <c r="AH91" s="5"/>
      <c r="AI91" s="5"/>
      <c r="AO91" s="5"/>
    </row>
    <row r="92" spans="10:41" x14ac:dyDescent="0.3">
      <c r="J92" s="24">
        <v>88</v>
      </c>
      <c r="K92" s="15" t="s">
        <v>34</v>
      </c>
      <c r="L92" s="15" t="s">
        <v>37</v>
      </c>
      <c r="M92" s="15" t="s">
        <v>70</v>
      </c>
      <c r="N92" s="15" t="s">
        <v>95</v>
      </c>
      <c r="O92" s="15" t="s">
        <v>34</v>
      </c>
      <c r="Q92" s="9">
        <v>9</v>
      </c>
      <c r="R92" s="9">
        <v>7</v>
      </c>
      <c r="S92" s="9">
        <v>19</v>
      </c>
      <c r="T92" s="9">
        <v>6</v>
      </c>
      <c r="U92" s="9">
        <v>9</v>
      </c>
      <c r="W92" s="24">
        <v>1</v>
      </c>
      <c r="X92" s="24">
        <v>1</v>
      </c>
      <c r="Y92" s="24">
        <v>1</v>
      </c>
      <c r="Z92" s="24">
        <v>1</v>
      </c>
      <c r="AA92" s="24">
        <v>1</v>
      </c>
      <c r="AH92" s="5"/>
      <c r="AI92" s="5"/>
      <c r="AO92" s="5"/>
    </row>
    <row r="93" spans="10:41" x14ac:dyDescent="0.3">
      <c r="J93" s="9">
        <v>89</v>
      </c>
      <c r="K93" s="15" t="s">
        <v>35</v>
      </c>
      <c r="L93" s="15" t="s">
        <v>34</v>
      </c>
      <c r="M93" s="15" t="s">
        <v>96</v>
      </c>
      <c r="N93" s="15" t="s">
        <v>81</v>
      </c>
      <c r="O93" s="15" t="s">
        <v>22</v>
      </c>
      <c r="Q93" s="9">
        <v>8</v>
      </c>
      <c r="R93" s="9">
        <v>9</v>
      </c>
      <c r="S93" s="9">
        <v>15</v>
      </c>
      <c r="T93" s="9">
        <v>17</v>
      </c>
      <c r="U93" s="9">
        <v>3</v>
      </c>
      <c r="W93" s="24">
        <v>1</v>
      </c>
      <c r="X93" s="24">
        <v>1</v>
      </c>
      <c r="Y93" s="24">
        <v>1</v>
      </c>
      <c r="Z93" s="24">
        <v>1</v>
      </c>
      <c r="AA93" s="24">
        <v>1</v>
      </c>
      <c r="AH93" s="5"/>
      <c r="AI93" s="5"/>
      <c r="AO93" s="5"/>
    </row>
    <row r="94" spans="10:41" x14ac:dyDescent="0.3">
      <c r="J94" s="24">
        <v>90</v>
      </c>
      <c r="K94" s="15" t="s">
        <v>19</v>
      </c>
      <c r="L94" s="15" t="s">
        <v>95</v>
      </c>
      <c r="M94" s="15" t="s">
        <v>81</v>
      </c>
      <c r="N94" s="15" t="s">
        <v>35</v>
      </c>
      <c r="O94" s="15" t="s">
        <v>21</v>
      </c>
      <c r="Q94" s="9">
        <v>5</v>
      </c>
      <c r="R94" s="9">
        <v>6</v>
      </c>
      <c r="S94" s="9">
        <v>17</v>
      </c>
      <c r="T94" s="9">
        <v>8</v>
      </c>
      <c r="U94" s="9">
        <v>2</v>
      </c>
      <c r="W94" s="24">
        <v>1</v>
      </c>
      <c r="X94" s="24">
        <v>1</v>
      </c>
      <c r="Y94" s="24">
        <v>1</v>
      </c>
      <c r="Z94" s="24">
        <v>1</v>
      </c>
      <c r="AA94" s="24">
        <v>1</v>
      </c>
      <c r="AH94" s="5"/>
      <c r="AI94" s="5"/>
      <c r="AO94" s="5"/>
    </row>
    <row r="95" spans="10:41" x14ac:dyDescent="0.3">
      <c r="J95" s="9">
        <v>91</v>
      </c>
      <c r="K95" s="15" t="s">
        <v>37</v>
      </c>
      <c r="L95" s="15" t="s">
        <v>65</v>
      </c>
      <c r="M95" s="15" t="s">
        <v>65</v>
      </c>
      <c r="N95" s="15" t="s">
        <v>63</v>
      </c>
      <c r="O95" s="15" t="s">
        <v>36</v>
      </c>
      <c r="Q95" s="9">
        <v>7</v>
      </c>
      <c r="R95" s="9">
        <v>16</v>
      </c>
      <c r="S95" s="9">
        <v>16</v>
      </c>
      <c r="T95" s="9">
        <v>13</v>
      </c>
      <c r="U95" s="9">
        <v>10</v>
      </c>
      <c r="W95" s="24">
        <v>1</v>
      </c>
      <c r="X95" s="24">
        <v>1</v>
      </c>
      <c r="Y95" s="24">
        <v>1</v>
      </c>
      <c r="Z95" s="24">
        <v>1</v>
      </c>
      <c r="AA95" s="24">
        <v>1</v>
      </c>
      <c r="AH95" s="5"/>
      <c r="AI95" s="5"/>
      <c r="AO95" s="5"/>
    </row>
    <row r="96" spans="10:41" x14ac:dyDescent="0.3">
      <c r="J96" s="24">
        <v>92</v>
      </c>
      <c r="K96" s="15" t="s">
        <v>19</v>
      </c>
      <c r="L96" s="15" t="s">
        <v>19</v>
      </c>
      <c r="M96" s="15" t="s">
        <v>64</v>
      </c>
      <c r="N96" s="15" t="s">
        <v>19</v>
      </c>
      <c r="O96" s="15" t="s">
        <v>35</v>
      </c>
      <c r="Q96" s="9">
        <v>5</v>
      </c>
      <c r="R96" s="9">
        <v>5</v>
      </c>
      <c r="S96" s="9">
        <v>14</v>
      </c>
      <c r="T96" s="9">
        <v>5</v>
      </c>
      <c r="U96" s="9">
        <v>8</v>
      </c>
      <c r="W96" s="24">
        <v>1</v>
      </c>
      <c r="X96" s="24">
        <v>1</v>
      </c>
      <c r="Y96" s="24">
        <v>1</v>
      </c>
      <c r="Z96" s="24">
        <v>1</v>
      </c>
      <c r="AA96" s="24">
        <v>1</v>
      </c>
      <c r="AH96" s="5"/>
      <c r="AI96" s="5"/>
      <c r="AO96" s="5"/>
    </row>
    <row r="97" spans="10:41" x14ac:dyDescent="0.3">
      <c r="J97" s="9">
        <v>93</v>
      </c>
      <c r="K97" s="15" t="s">
        <v>95</v>
      </c>
      <c r="L97" s="15" t="s">
        <v>36</v>
      </c>
      <c r="M97" s="15" t="s">
        <v>96</v>
      </c>
      <c r="N97" s="15" t="s">
        <v>64</v>
      </c>
      <c r="O97" s="15" t="s">
        <v>20</v>
      </c>
      <c r="Q97" s="9">
        <v>6</v>
      </c>
      <c r="R97" s="9">
        <v>10</v>
      </c>
      <c r="S97" s="9">
        <v>15</v>
      </c>
      <c r="T97" s="9">
        <v>14</v>
      </c>
      <c r="U97" s="9">
        <v>1</v>
      </c>
      <c r="W97" s="24">
        <v>1</v>
      </c>
      <c r="X97" s="24">
        <v>1</v>
      </c>
      <c r="Y97" s="24">
        <v>1</v>
      </c>
      <c r="Z97" s="24">
        <v>1</v>
      </c>
      <c r="AA97" s="24">
        <v>1</v>
      </c>
      <c r="AH97" s="5"/>
      <c r="AI97" s="5"/>
      <c r="AO97" s="5"/>
    </row>
    <row r="98" spans="10:41" x14ac:dyDescent="0.3">
      <c r="J98" s="24">
        <v>94</v>
      </c>
      <c r="K98" s="15" t="s">
        <v>37</v>
      </c>
      <c r="L98" s="15" t="s">
        <v>95</v>
      </c>
      <c r="M98" s="15" t="s">
        <v>81</v>
      </c>
      <c r="N98" s="15" t="s">
        <v>35</v>
      </c>
      <c r="O98" s="15" t="s">
        <v>37</v>
      </c>
      <c r="Q98" s="9">
        <v>7</v>
      </c>
      <c r="R98" s="9">
        <v>6</v>
      </c>
      <c r="S98" s="9">
        <v>17</v>
      </c>
      <c r="T98" s="9">
        <v>8</v>
      </c>
      <c r="U98" s="9">
        <v>7</v>
      </c>
      <c r="W98" s="24">
        <v>1</v>
      </c>
      <c r="X98" s="24">
        <v>1</v>
      </c>
      <c r="Y98" s="24">
        <v>1</v>
      </c>
      <c r="Z98" s="24">
        <v>1</v>
      </c>
      <c r="AA98" s="24">
        <v>1</v>
      </c>
      <c r="AH98" s="5"/>
      <c r="AI98" s="5"/>
      <c r="AO98" s="5"/>
    </row>
    <row r="99" spans="10:41" x14ac:dyDescent="0.3">
      <c r="J99" s="9">
        <v>95</v>
      </c>
      <c r="K99" s="15" t="s">
        <v>35</v>
      </c>
      <c r="L99" s="15" t="s">
        <v>37</v>
      </c>
      <c r="M99" s="15" t="s">
        <v>64</v>
      </c>
      <c r="N99" s="15" t="s">
        <v>19</v>
      </c>
      <c r="O99" s="15" t="s">
        <v>95</v>
      </c>
      <c r="Q99" s="9">
        <v>8</v>
      </c>
      <c r="R99" s="9">
        <v>7</v>
      </c>
      <c r="S99" s="9">
        <v>14</v>
      </c>
      <c r="T99" s="9">
        <v>5</v>
      </c>
      <c r="U99" s="9">
        <v>6</v>
      </c>
      <c r="W99" s="24">
        <v>1</v>
      </c>
      <c r="X99" s="24">
        <v>1</v>
      </c>
      <c r="Y99" s="24">
        <v>1</v>
      </c>
      <c r="Z99" s="24">
        <v>1</v>
      </c>
      <c r="AA99" s="24">
        <v>1</v>
      </c>
      <c r="AH99" s="5"/>
      <c r="AI99" s="5"/>
      <c r="AO99" s="5"/>
    </row>
    <row r="100" spans="10:41" x14ac:dyDescent="0.3">
      <c r="J100" s="24">
        <v>96</v>
      </c>
      <c r="K100" s="15" t="s">
        <v>20</v>
      </c>
      <c r="L100" s="15" t="s">
        <v>35</v>
      </c>
      <c r="M100" s="15" t="s">
        <v>81</v>
      </c>
      <c r="N100" s="15" t="s">
        <v>37</v>
      </c>
      <c r="O100" s="15" t="s">
        <v>18</v>
      </c>
      <c r="Q100" s="9">
        <v>1</v>
      </c>
      <c r="R100" s="9">
        <v>8</v>
      </c>
      <c r="S100" s="9">
        <v>17</v>
      </c>
      <c r="T100" s="9">
        <v>7</v>
      </c>
      <c r="U100" s="9">
        <v>4</v>
      </c>
      <c r="W100" s="24">
        <v>1</v>
      </c>
      <c r="X100" s="24">
        <v>1</v>
      </c>
      <c r="Y100" s="24">
        <v>1</v>
      </c>
      <c r="Z100" s="24">
        <v>1</v>
      </c>
      <c r="AA100" s="24">
        <v>1</v>
      </c>
      <c r="AH100" s="5"/>
      <c r="AI100" s="5"/>
      <c r="AO100" s="5"/>
    </row>
    <row r="101" spans="10:41" x14ac:dyDescent="0.3">
      <c r="J101" s="9">
        <v>97</v>
      </c>
      <c r="K101" s="15" t="s">
        <v>95</v>
      </c>
      <c r="L101" s="15" t="s">
        <v>95</v>
      </c>
      <c r="M101" s="15" t="s">
        <v>65</v>
      </c>
      <c r="N101" s="15" t="s">
        <v>19</v>
      </c>
      <c r="O101" s="15" t="s">
        <v>35</v>
      </c>
      <c r="Q101" s="9">
        <v>6</v>
      </c>
      <c r="R101" s="9">
        <v>6</v>
      </c>
      <c r="S101" s="9">
        <v>16</v>
      </c>
      <c r="T101" s="9">
        <v>5</v>
      </c>
      <c r="U101" s="9">
        <v>8</v>
      </c>
      <c r="W101" s="24">
        <v>1</v>
      </c>
      <c r="X101" s="24">
        <v>1</v>
      </c>
      <c r="Y101" s="24">
        <v>1</v>
      </c>
      <c r="Z101" s="24">
        <v>1</v>
      </c>
      <c r="AA101" s="24">
        <v>1</v>
      </c>
      <c r="AH101" s="5"/>
      <c r="AI101" s="5"/>
      <c r="AO101" s="5"/>
    </row>
    <row r="102" spans="10:41" x14ac:dyDescent="0.3">
      <c r="J102" s="24">
        <v>98</v>
      </c>
      <c r="K102" s="15" t="s">
        <v>35</v>
      </c>
      <c r="L102" s="15" t="s">
        <v>34</v>
      </c>
      <c r="M102" s="15" t="s">
        <v>64</v>
      </c>
      <c r="N102" s="15" t="s">
        <v>70</v>
      </c>
      <c r="O102" s="15" t="s">
        <v>34</v>
      </c>
      <c r="Q102" s="9">
        <v>8</v>
      </c>
      <c r="R102" s="9">
        <v>9</v>
      </c>
      <c r="S102" s="9">
        <v>14</v>
      </c>
      <c r="T102" s="9">
        <v>19</v>
      </c>
      <c r="U102" s="9">
        <v>9</v>
      </c>
      <c r="W102" s="24">
        <v>1</v>
      </c>
      <c r="X102" s="24">
        <v>1</v>
      </c>
      <c r="Y102" s="24">
        <v>1</v>
      </c>
      <c r="Z102" s="24">
        <v>1</v>
      </c>
      <c r="AA102" s="24">
        <v>1</v>
      </c>
      <c r="AH102" s="5"/>
      <c r="AI102" s="5"/>
      <c r="AO102" s="5"/>
    </row>
    <row r="103" spans="10:41" x14ac:dyDescent="0.3">
      <c r="J103" s="9">
        <v>99</v>
      </c>
      <c r="K103" s="15" t="s">
        <v>19</v>
      </c>
      <c r="L103" s="15" t="s">
        <v>95</v>
      </c>
      <c r="M103" s="15" t="s">
        <v>112</v>
      </c>
      <c r="N103" s="15" t="s">
        <v>35</v>
      </c>
      <c r="O103" s="15" t="s">
        <v>35</v>
      </c>
      <c r="Q103" s="9">
        <v>5</v>
      </c>
      <c r="R103" s="9">
        <v>6</v>
      </c>
      <c r="S103" s="9">
        <v>11</v>
      </c>
      <c r="T103" s="9">
        <v>8</v>
      </c>
      <c r="U103" s="9">
        <v>8</v>
      </c>
      <c r="W103" s="24">
        <v>1</v>
      </c>
      <c r="X103" s="24">
        <v>1</v>
      </c>
      <c r="Y103" s="24">
        <v>1</v>
      </c>
      <c r="Z103" s="24">
        <v>1</v>
      </c>
      <c r="AA103" s="24">
        <v>1</v>
      </c>
      <c r="AH103" s="5"/>
      <c r="AI103" s="5"/>
      <c r="AO103" s="5"/>
    </row>
    <row r="104" spans="10:41" x14ac:dyDescent="0.3">
      <c r="J104" s="24">
        <v>100</v>
      </c>
      <c r="K104" s="15" t="s">
        <v>35</v>
      </c>
      <c r="L104" s="15" t="s">
        <v>81</v>
      </c>
      <c r="M104" s="15" t="s">
        <v>65</v>
      </c>
      <c r="N104" s="15" t="s">
        <v>96</v>
      </c>
      <c r="O104" s="15" t="s">
        <v>19</v>
      </c>
      <c r="Q104" s="9">
        <v>8</v>
      </c>
      <c r="R104" s="9">
        <v>17</v>
      </c>
      <c r="S104" s="9">
        <v>16</v>
      </c>
      <c r="T104" s="9">
        <v>15</v>
      </c>
      <c r="U104" s="9">
        <v>5</v>
      </c>
      <c r="W104" s="24">
        <v>1</v>
      </c>
      <c r="X104" s="24">
        <v>1</v>
      </c>
      <c r="Y104" s="24">
        <v>1</v>
      </c>
      <c r="Z104" s="24">
        <v>1</v>
      </c>
      <c r="AA104" s="24">
        <v>1</v>
      </c>
      <c r="AH104" s="5"/>
      <c r="AI104" s="5"/>
      <c r="AO104" s="5"/>
    </row>
    <row r="105" spans="10:41" x14ac:dyDescent="0.3">
      <c r="J105" s="24">
        <v>101</v>
      </c>
      <c r="K105" s="15" t="s">
        <v>95</v>
      </c>
      <c r="L105" s="15" t="s">
        <v>20</v>
      </c>
      <c r="M105" s="15" t="s">
        <v>81</v>
      </c>
      <c r="N105" s="15" t="s">
        <v>19</v>
      </c>
      <c r="O105" s="15" t="s">
        <v>95</v>
      </c>
      <c r="Q105" s="9">
        <v>6</v>
      </c>
      <c r="R105" s="9">
        <v>1</v>
      </c>
      <c r="S105" s="9">
        <v>17</v>
      </c>
      <c r="T105" s="9">
        <v>5</v>
      </c>
      <c r="U105" s="9">
        <v>6</v>
      </c>
      <c r="W105" s="24">
        <v>1</v>
      </c>
      <c r="X105" s="24">
        <v>1</v>
      </c>
      <c r="Y105" s="24">
        <v>1</v>
      </c>
      <c r="Z105" s="24">
        <v>1</v>
      </c>
      <c r="AA105" s="24">
        <v>1</v>
      </c>
      <c r="AH105" s="5"/>
      <c r="AI105" s="5"/>
      <c r="AO105" s="5"/>
    </row>
    <row r="106" spans="10:41" x14ac:dyDescent="0.3">
      <c r="J106" s="9">
        <v>102</v>
      </c>
      <c r="K106" s="15" t="s">
        <v>37</v>
      </c>
      <c r="L106" s="15" t="s">
        <v>35</v>
      </c>
      <c r="M106" s="15" t="s">
        <v>96</v>
      </c>
      <c r="N106" s="15" t="s">
        <v>35</v>
      </c>
      <c r="O106" s="15" t="s">
        <v>19</v>
      </c>
      <c r="Q106" s="9">
        <v>7</v>
      </c>
      <c r="R106" s="9">
        <v>8</v>
      </c>
      <c r="S106" s="9">
        <v>15</v>
      </c>
      <c r="T106" s="9">
        <v>8</v>
      </c>
      <c r="U106" s="9">
        <v>5</v>
      </c>
      <c r="W106" s="24">
        <v>1</v>
      </c>
      <c r="X106" s="24">
        <v>1</v>
      </c>
      <c r="Y106" s="24">
        <v>1</v>
      </c>
      <c r="Z106" s="24">
        <v>1</v>
      </c>
      <c r="AA106" s="24">
        <v>1</v>
      </c>
      <c r="AH106" s="5"/>
      <c r="AI106" s="5"/>
      <c r="AO106" s="5"/>
    </row>
    <row r="107" spans="10:41" x14ac:dyDescent="0.3">
      <c r="J107" s="24">
        <v>103</v>
      </c>
      <c r="K107" s="15" t="s">
        <v>36</v>
      </c>
      <c r="L107" s="15" t="s">
        <v>37</v>
      </c>
      <c r="M107" s="15" t="s">
        <v>64</v>
      </c>
      <c r="N107" s="15" t="s">
        <v>81</v>
      </c>
      <c r="O107" s="15" t="s">
        <v>37</v>
      </c>
      <c r="Q107" s="9">
        <v>10</v>
      </c>
      <c r="R107" s="9">
        <v>7</v>
      </c>
      <c r="S107" s="9">
        <v>14</v>
      </c>
      <c r="T107" s="9">
        <v>17</v>
      </c>
      <c r="U107" s="9">
        <v>7</v>
      </c>
      <c r="W107" s="24">
        <v>1</v>
      </c>
      <c r="X107" s="24">
        <v>1</v>
      </c>
      <c r="Y107" s="24">
        <v>1</v>
      </c>
      <c r="Z107" s="24">
        <v>1</v>
      </c>
      <c r="AA107" s="24">
        <v>1</v>
      </c>
      <c r="AH107" s="5"/>
      <c r="AI107" s="5"/>
      <c r="AO107" s="5"/>
    </row>
    <row r="108" spans="10:41" x14ac:dyDescent="0.3">
      <c r="J108" s="9">
        <v>104</v>
      </c>
      <c r="K108" s="15" t="s">
        <v>34</v>
      </c>
      <c r="L108" s="15" t="s">
        <v>95</v>
      </c>
      <c r="M108" s="15" t="s">
        <v>65</v>
      </c>
      <c r="N108" s="15" t="s">
        <v>37</v>
      </c>
      <c r="O108" s="15" t="s">
        <v>95</v>
      </c>
      <c r="Q108" s="9">
        <v>9</v>
      </c>
      <c r="R108" s="9">
        <v>6</v>
      </c>
      <c r="S108" s="9">
        <v>16</v>
      </c>
      <c r="T108" s="9">
        <v>7</v>
      </c>
      <c r="U108" s="9">
        <v>6</v>
      </c>
      <c r="W108" s="24">
        <v>1</v>
      </c>
      <c r="X108" s="24">
        <v>1</v>
      </c>
      <c r="Y108" s="24">
        <v>1</v>
      </c>
      <c r="Z108" s="24">
        <v>1</v>
      </c>
      <c r="AA108" s="24">
        <v>1</v>
      </c>
      <c r="AH108" s="5"/>
      <c r="AI108" s="5"/>
      <c r="AO108" s="5"/>
    </row>
    <row r="109" spans="10:41" x14ac:dyDescent="0.3">
      <c r="J109" s="24">
        <v>105</v>
      </c>
      <c r="K109" s="15" t="s">
        <v>19</v>
      </c>
      <c r="L109" s="15" t="s">
        <v>61</v>
      </c>
      <c r="M109" s="15" t="s">
        <v>64</v>
      </c>
      <c r="N109" s="15" t="s">
        <v>36</v>
      </c>
      <c r="O109" s="15" t="s">
        <v>18</v>
      </c>
      <c r="Q109" s="9">
        <v>5</v>
      </c>
      <c r="R109" s="9">
        <v>11</v>
      </c>
      <c r="S109" s="9">
        <v>14</v>
      </c>
      <c r="T109" s="9">
        <v>10</v>
      </c>
      <c r="U109" s="9">
        <v>4</v>
      </c>
      <c r="W109" s="24">
        <v>1</v>
      </c>
      <c r="X109" s="24">
        <v>1</v>
      </c>
      <c r="Y109" s="24">
        <v>1</v>
      </c>
      <c r="Z109" s="24">
        <v>1</v>
      </c>
      <c r="AA109" s="24">
        <v>1</v>
      </c>
      <c r="AH109" s="5"/>
      <c r="AI109" s="5"/>
      <c r="AO109" s="5"/>
    </row>
    <row r="110" spans="10:41" x14ac:dyDescent="0.3">
      <c r="J110" s="9">
        <v>106</v>
      </c>
      <c r="K110" s="15" t="s">
        <v>95</v>
      </c>
      <c r="L110" s="15" t="s">
        <v>96</v>
      </c>
      <c r="M110" s="15" t="s">
        <v>81</v>
      </c>
      <c r="N110" s="15" t="s">
        <v>20</v>
      </c>
      <c r="O110" s="15" t="s">
        <v>22</v>
      </c>
      <c r="Q110" s="9">
        <v>6</v>
      </c>
      <c r="R110" s="9">
        <v>15</v>
      </c>
      <c r="S110" s="9">
        <v>17</v>
      </c>
      <c r="T110" s="9">
        <v>1</v>
      </c>
      <c r="U110" s="9">
        <v>3</v>
      </c>
      <c r="W110" s="24">
        <v>1</v>
      </c>
      <c r="X110" s="24">
        <v>1</v>
      </c>
      <c r="Y110" s="24">
        <v>1</v>
      </c>
      <c r="Z110" s="24">
        <v>1</v>
      </c>
      <c r="AA110" s="24">
        <v>1</v>
      </c>
      <c r="AH110" s="5"/>
      <c r="AI110" s="5"/>
      <c r="AO110" s="5"/>
    </row>
    <row r="111" spans="10:41" x14ac:dyDescent="0.3">
      <c r="J111" s="24">
        <v>107</v>
      </c>
      <c r="K111" s="15" t="s">
        <v>35</v>
      </c>
      <c r="L111" s="15" t="s">
        <v>35</v>
      </c>
      <c r="M111" s="15" t="s">
        <v>64</v>
      </c>
      <c r="N111" s="15" t="s">
        <v>21</v>
      </c>
      <c r="O111" s="15" t="s">
        <v>35</v>
      </c>
      <c r="Q111" s="9">
        <v>8</v>
      </c>
      <c r="R111" s="9">
        <v>8</v>
      </c>
      <c r="S111" s="9">
        <v>14</v>
      </c>
      <c r="T111" s="9">
        <v>2</v>
      </c>
      <c r="U111" s="9">
        <v>8</v>
      </c>
      <c r="W111" s="24">
        <v>1</v>
      </c>
      <c r="X111" s="24">
        <v>1</v>
      </c>
      <c r="Y111" s="24">
        <v>1</v>
      </c>
      <c r="Z111" s="24">
        <v>1</v>
      </c>
      <c r="AA111" s="24">
        <v>1</v>
      </c>
      <c r="AH111" s="5"/>
      <c r="AI111" s="5"/>
      <c r="AO111" s="5"/>
    </row>
    <row r="112" spans="10:41" x14ac:dyDescent="0.3">
      <c r="J112" s="9">
        <v>108</v>
      </c>
      <c r="K112" s="15" t="s">
        <v>95</v>
      </c>
      <c r="L112" s="15" t="s">
        <v>81</v>
      </c>
      <c r="M112" s="15" t="s">
        <v>81</v>
      </c>
      <c r="N112" s="15" t="s">
        <v>19</v>
      </c>
      <c r="O112" s="15" t="s">
        <v>19</v>
      </c>
      <c r="Q112" s="9">
        <v>6</v>
      </c>
      <c r="R112" s="9">
        <v>17</v>
      </c>
      <c r="S112" s="9">
        <v>17</v>
      </c>
      <c r="T112" s="9">
        <v>5</v>
      </c>
      <c r="U112" s="9">
        <v>5</v>
      </c>
      <c r="W112" s="24">
        <v>1</v>
      </c>
      <c r="X112" s="24">
        <v>1</v>
      </c>
      <c r="Y112" s="24">
        <v>1</v>
      </c>
      <c r="Z112" s="24">
        <v>1</v>
      </c>
      <c r="AA112" s="24">
        <v>1</v>
      </c>
      <c r="AH112" s="5"/>
      <c r="AI112" s="5"/>
      <c r="AO112" s="5"/>
    </row>
    <row r="113" spans="10:41" x14ac:dyDescent="0.3">
      <c r="J113" s="24">
        <v>109</v>
      </c>
      <c r="K113" s="15" t="s">
        <v>35</v>
      </c>
      <c r="L113" s="15" t="s">
        <v>18</v>
      </c>
      <c r="M113" s="15" t="s">
        <v>64</v>
      </c>
      <c r="N113" s="15" t="s">
        <v>96</v>
      </c>
      <c r="O113" s="15" t="s">
        <v>35</v>
      </c>
      <c r="Q113" s="9">
        <v>8</v>
      </c>
      <c r="R113" s="9">
        <v>4</v>
      </c>
      <c r="S113" s="9">
        <v>14</v>
      </c>
      <c r="T113" s="9">
        <v>15</v>
      </c>
      <c r="U113" s="9">
        <v>8</v>
      </c>
      <c r="W113" s="24">
        <v>1</v>
      </c>
      <c r="X113" s="24">
        <v>1</v>
      </c>
      <c r="Y113" s="24">
        <v>1</v>
      </c>
      <c r="Z113" s="24">
        <v>1</v>
      </c>
      <c r="AA113" s="24">
        <v>1</v>
      </c>
      <c r="AH113" s="5"/>
      <c r="AI113" s="5"/>
      <c r="AO113" s="5"/>
    </row>
    <row r="114" spans="10:41" x14ac:dyDescent="0.3">
      <c r="J114" s="9">
        <v>110</v>
      </c>
      <c r="K114" s="15" t="s">
        <v>19</v>
      </c>
      <c r="L114" s="15" t="s">
        <v>37</v>
      </c>
      <c r="M114" s="15" t="s">
        <v>81</v>
      </c>
      <c r="N114" s="15" t="s">
        <v>37</v>
      </c>
      <c r="O114" s="15" t="s">
        <v>34</v>
      </c>
      <c r="Q114" s="9">
        <v>5</v>
      </c>
      <c r="R114" s="9">
        <v>7</v>
      </c>
      <c r="S114" s="9">
        <v>17</v>
      </c>
      <c r="T114" s="9">
        <v>7</v>
      </c>
      <c r="U114" s="9">
        <v>9</v>
      </c>
      <c r="W114" s="24">
        <v>1</v>
      </c>
      <c r="X114" s="24">
        <v>1</v>
      </c>
      <c r="Y114" s="24">
        <v>1</v>
      </c>
      <c r="Z114" s="24">
        <v>1</v>
      </c>
      <c r="AA114" s="24">
        <v>1</v>
      </c>
      <c r="AH114" s="5"/>
      <c r="AI114" s="5"/>
      <c r="AO114" s="5"/>
    </row>
    <row r="115" spans="10:41" x14ac:dyDescent="0.3">
      <c r="J115" s="24">
        <v>111</v>
      </c>
      <c r="K115" s="15" t="s">
        <v>37</v>
      </c>
      <c r="L115" s="15" t="s">
        <v>62</v>
      </c>
      <c r="M115" s="15" t="s">
        <v>65</v>
      </c>
      <c r="N115" s="15" t="s">
        <v>21</v>
      </c>
      <c r="O115" s="15" t="s">
        <v>95</v>
      </c>
      <c r="Q115" s="9">
        <v>7</v>
      </c>
      <c r="R115" s="9">
        <v>12</v>
      </c>
      <c r="S115" s="9">
        <v>16</v>
      </c>
      <c r="T115" s="9">
        <v>2</v>
      </c>
      <c r="U115" s="9">
        <v>6</v>
      </c>
      <c r="W115" s="24">
        <v>1</v>
      </c>
      <c r="X115" s="24">
        <v>1</v>
      </c>
      <c r="Y115" s="24">
        <v>1</v>
      </c>
      <c r="Z115" s="24">
        <v>1</v>
      </c>
      <c r="AA115" s="24">
        <v>1</v>
      </c>
      <c r="AH115" s="5"/>
      <c r="AI115" s="5"/>
      <c r="AO115" s="5"/>
    </row>
    <row r="116" spans="10:41" x14ac:dyDescent="0.3">
      <c r="J116" s="9">
        <v>112</v>
      </c>
      <c r="K116" s="15" t="s">
        <v>34</v>
      </c>
      <c r="L116" s="15" t="s">
        <v>95</v>
      </c>
      <c r="M116" s="15" t="s">
        <v>64</v>
      </c>
      <c r="N116" s="15" t="s">
        <v>34</v>
      </c>
      <c r="O116" s="15" t="s">
        <v>18</v>
      </c>
      <c r="Q116" s="9">
        <v>9</v>
      </c>
      <c r="R116" s="9">
        <v>6</v>
      </c>
      <c r="S116" s="9">
        <v>14</v>
      </c>
      <c r="T116" s="9">
        <v>9</v>
      </c>
      <c r="U116" s="9">
        <v>4</v>
      </c>
      <c r="W116" s="24">
        <v>1</v>
      </c>
      <c r="X116" s="24">
        <v>1</v>
      </c>
      <c r="Y116" s="24">
        <v>1</v>
      </c>
      <c r="Z116" s="24">
        <v>1</v>
      </c>
      <c r="AA116" s="24">
        <v>1</v>
      </c>
      <c r="AH116" s="5"/>
      <c r="AI116" s="5"/>
      <c r="AO116" s="5"/>
    </row>
    <row r="117" spans="10:41" x14ac:dyDescent="0.3">
      <c r="J117" s="24">
        <v>113</v>
      </c>
      <c r="K117" s="15" t="s">
        <v>35</v>
      </c>
      <c r="L117" s="15" t="s">
        <v>22</v>
      </c>
      <c r="M117" s="15" t="s">
        <v>81</v>
      </c>
      <c r="N117" s="15" t="s">
        <v>35</v>
      </c>
      <c r="O117" s="15" t="s">
        <v>19</v>
      </c>
      <c r="Q117" s="9">
        <v>8</v>
      </c>
      <c r="R117" s="9">
        <v>3</v>
      </c>
      <c r="S117" s="9">
        <v>17</v>
      </c>
      <c r="T117" s="9">
        <v>8</v>
      </c>
      <c r="U117" s="9">
        <v>5</v>
      </c>
      <c r="W117" s="24">
        <v>1</v>
      </c>
      <c r="X117" s="24">
        <v>1</v>
      </c>
      <c r="Y117" s="24">
        <v>1</v>
      </c>
      <c r="Z117" s="24">
        <v>1</v>
      </c>
      <c r="AA117" s="24">
        <v>1</v>
      </c>
      <c r="AH117" s="5"/>
      <c r="AI117" s="5"/>
      <c r="AO117" s="5"/>
    </row>
    <row r="118" spans="10:41" x14ac:dyDescent="0.3">
      <c r="J118" s="9">
        <v>114</v>
      </c>
      <c r="K118" s="15" t="s">
        <v>37</v>
      </c>
      <c r="L118" s="15" t="s">
        <v>95</v>
      </c>
      <c r="M118" s="15" t="s">
        <v>64</v>
      </c>
      <c r="N118" s="15" t="s">
        <v>37</v>
      </c>
      <c r="O118" s="15" t="s">
        <v>95</v>
      </c>
      <c r="Q118" s="9">
        <v>7</v>
      </c>
      <c r="R118" s="9">
        <v>6</v>
      </c>
      <c r="S118" s="9">
        <v>14</v>
      </c>
      <c r="T118" s="9">
        <v>7</v>
      </c>
      <c r="U118" s="9">
        <v>6</v>
      </c>
      <c r="W118" s="24">
        <v>1</v>
      </c>
      <c r="X118" s="24">
        <v>1</v>
      </c>
      <c r="Y118" s="24">
        <v>1</v>
      </c>
      <c r="Z118" s="24">
        <v>1</v>
      </c>
      <c r="AA118" s="24">
        <v>1</v>
      </c>
      <c r="AH118" s="5"/>
      <c r="AI118" s="5"/>
      <c r="AO118" s="5"/>
    </row>
    <row r="119" spans="10:41" x14ac:dyDescent="0.3">
      <c r="J119" s="24">
        <v>115</v>
      </c>
      <c r="K119" s="15" t="s">
        <v>19</v>
      </c>
      <c r="L119" s="15" t="s">
        <v>65</v>
      </c>
      <c r="M119" s="15" t="s">
        <v>96</v>
      </c>
      <c r="N119" s="15" t="s">
        <v>20</v>
      </c>
      <c r="O119" s="15" t="s">
        <v>37</v>
      </c>
      <c r="Q119" s="9">
        <v>5</v>
      </c>
      <c r="R119" s="9">
        <v>16</v>
      </c>
      <c r="S119" s="9">
        <v>15</v>
      </c>
      <c r="T119" s="9">
        <v>1</v>
      </c>
      <c r="U119" s="9">
        <v>7</v>
      </c>
      <c r="W119" s="24">
        <v>1</v>
      </c>
      <c r="X119" s="24">
        <v>1</v>
      </c>
      <c r="Y119" s="24">
        <v>1</v>
      </c>
      <c r="Z119" s="24">
        <v>1</v>
      </c>
      <c r="AA119" s="24">
        <v>1</v>
      </c>
      <c r="AH119" s="5"/>
      <c r="AI119" s="5"/>
      <c r="AO119" s="5"/>
    </row>
    <row r="120" spans="10:41" x14ac:dyDescent="0.3">
      <c r="J120" s="9">
        <v>116</v>
      </c>
      <c r="K120" s="15" t="s">
        <v>37</v>
      </c>
      <c r="L120" s="15" t="s">
        <v>37</v>
      </c>
      <c r="M120" s="15" t="s">
        <v>81</v>
      </c>
      <c r="N120" s="15" t="s">
        <v>95</v>
      </c>
      <c r="O120" s="15" t="s">
        <v>36</v>
      </c>
      <c r="Q120" s="9">
        <v>7</v>
      </c>
      <c r="R120" s="9">
        <v>7</v>
      </c>
      <c r="S120" s="9">
        <v>17</v>
      </c>
      <c r="T120" s="9">
        <v>6</v>
      </c>
      <c r="U120" s="9">
        <v>10</v>
      </c>
      <c r="W120" s="24">
        <v>1</v>
      </c>
      <c r="X120" s="24">
        <v>1</v>
      </c>
      <c r="Y120" s="24">
        <v>1</v>
      </c>
      <c r="Z120" s="24">
        <v>1</v>
      </c>
      <c r="AA120" s="24">
        <v>1</v>
      </c>
      <c r="AH120" s="5"/>
      <c r="AI120" s="5"/>
      <c r="AO120" s="5"/>
    </row>
    <row r="121" spans="10:41" x14ac:dyDescent="0.3">
      <c r="J121" s="24">
        <v>117</v>
      </c>
      <c r="K121" s="15" t="s">
        <v>95</v>
      </c>
      <c r="L121" s="15" t="s">
        <v>95</v>
      </c>
      <c r="M121" s="15" t="s">
        <v>68</v>
      </c>
      <c r="N121" s="15" t="s">
        <v>18</v>
      </c>
      <c r="O121" s="15" t="s">
        <v>35</v>
      </c>
      <c r="Q121" s="9">
        <v>6</v>
      </c>
      <c r="R121" s="9">
        <v>6</v>
      </c>
      <c r="S121" s="9">
        <v>18</v>
      </c>
      <c r="T121" s="9">
        <v>4</v>
      </c>
      <c r="U121" s="9">
        <v>8</v>
      </c>
      <c r="W121" s="24">
        <v>1</v>
      </c>
      <c r="X121" s="24">
        <v>1</v>
      </c>
      <c r="Y121" s="24">
        <v>1</v>
      </c>
      <c r="Z121" s="24">
        <v>1</v>
      </c>
      <c r="AA121" s="24">
        <v>1</v>
      </c>
      <c r="AH121" s="5"/>
      <c r="AI121" s="5"/>
      <c r="AO121" s="5"/>
    </row>
    <row r="122" spans="10:41" x14ac:dyDescent="0.3">
      <c r="J122" s="9">
        <v>118</v>
      </c>
      <c r="K122" s="15" t="s">
        <v>37</v>
      </c>
      <c r="L122" s="15" t="s">
        <v>19</v>
      </c>
      <c r="M122" s="15" t="s">
        <v>63</v>
      </c>
      <c r="N122" s="15" t="s">
        <v>19</v>
      </c>
      <c r="O122" s="15" t="s">
        <v>19</v>
      </c>
      <c r="Q122" s="9">
        <v>7</v>
      </c>
      <c r="R122" s="9">
        <v>5</v>
      </c>
      <c r="S122" s="9">
        <v>13</v>
      </c>
      <c r="T122" s="9">
        <v>5</v>
      </c>
      <c r="U122" s="9">
        <v>5</v>
      </c>
      <c r="W122" s="24">
        <v>1</v>
      </c>
      <c r="X122" s="24">
        <v>1</v>
      </c>
      <c r="Y122" s="24">
        <v>1</v>
      </c>
      <c r="Z122" s="24">
        <v>1</v>
      </c>
      <c r="AA122" s="24">
        <v>1</v>
      </c>
      <c r="AH122" s="5"/>
      <c r="AI122" s="5"/>
      <c r="AO122" s="5"/>
    </row>
    <row r="123" spans="10:41" x14ac:dyDescent="0.3">
      <c r="J123" s="24">
        <v>119</v>
      </c>
      <c r="K123" s="15" t="s">
        <v>19</v>
      </c>
      <c r="L123" s="15" t="s">
        <v>37</v>
      </c>
      <c r="M123" s="15" t="s">
        <v>96</v>
      </c>
      <c r="N123" s="15" t="s">
        <v>37</v>
      </c>
      <c r="O123" s="15" t="s">
        <v>34</v>
      </c>
      <c r="Q123" s="9">
        <v>5</v>
      </c>
      <c r="R123" s="9">
        <v>7</v>
      </c>
      <c r="S123" s="9">
        <v>15</v>
      </c>
      <c r="T123" s="9">
        <v>7</v>
      </c>
      <c r="U123" s="9">
        <v>9</v>
      </c>
      <c r="W123" s="24">
        <v>1</v>
      </c>
      <c r="X123" s="24">
        <v>1</v>
      </c>
      <c r="Y123" s="24">
        <v>1</v>
      </c>
      <c r="Z123" s="24">
        <v>1</v>
      </c>
      <c r="AA123" s="24">
        <v>1</v>
      </c>
      <c r="AH123" s="5"/>
      <c r="AI123" s="5"/>
      <c r="AO123" s="5"/>
    </row>
    <row r="124" spans="10:41" x14ac:dyDescent="0.3">
      <c r="J124" s="9">
        <v>120</v>
      </c>
      <c r="K124" s="15" t="s">
        <v>35</v>
      </c>
      <c r="L124" s="15" t="s">
        <v>70</v>
      </c>
      <c r="M124" s="15" t="s">
        <v>65</v>
      </c>
      <c r="N124" s="15" t="s">
        <v>19</v>
      </c>
      <c r="O124" s="15" t="s">
        <v>35</v>
      </c>
      <c r="Q124" s="9">
        <v>8</v>
      </c>
      <c r="R124" s="9">
        <v>19</v>
      </c>
      <c r="S124" s="9">
        <v>16</v>
      </c>
      <c r="T124" s="9">
        <v>5</v>
      </c>
      <c r="U124" s="9">
        <v>8</v>
      </c>
      <c r="W124" s="24">
        <v>1</v>
      </c>
      <c r="X124" s="24">
        <v>1</v>
      </c>
      <c r="Y124" s="24">
        <v>1</v>
      </c>
      <c r="Z124" s="24">
        <v>1</v>
      </c>
      <c r="AA124" s="24">
        <v>1</v>
      </c>
      <c r="AH124" s="5"/>
      <c r="AI124" s="5"/>
      <c r="AO124" s="5"/>
    </row>
    <row r="125" spans="10:41" x14ac:dyDescent="0.3">
      <c r="J125" s="24">
        <v>121</v>
      </c>
      <c r="K125" s="15" t="s">
        <v>95</v>
      </c>
      <c r="L125" s="15" t="s">
        <v>36</v>
      </c>
      <c r="M125" s="15" t="s">
        <v>96</v>
      </c>
      <c r="N125" s="15" t="s">
        <v>37</v>
      </c>
      <c r="O125" s="15" t="s">
        <v>37</v>
      </c>
      <c r="Q125" s="9">
        <v>6</v>
      </c>
      <c r="R125" s="9">
        <v>10</v>
      </c>
      <c r="S125" s="9">
        <v>15</v>
      </c>
      <c r="T125" s="9">
        <v>7</v>
      </c>
      <c r="U125" s="9">
        <v>7</v>
      </c>
      <c r="W125" s="24">
        <v>1</v>
      </c>
      <c r="X125" s="24">
        <v>1</v>
      </c>
      <c r="Y125" s="24">
        <v>1</v>
      </c>
      <c r="Z125" s="24">
        <v>1</v>
      </c>
      <c r="AA125" s="24">
        <v>1</v>
      </c>
      <c r="AH125" s="5"/>
      <c r="AI125" s="5"/>
      <c r="AO125" s="5"/>
    </row>
    <row r="126" spans="10:41" x14ac:dyDescent="0.3">
      <c r="J126" s="9">
        <v>122</v>
      </c>
      <c r="K126" s="15" t="s">
        <v>37</v>
      </c>
      <c r="L126" s="15" t="s">
        <v>64</v>
      </c>
      <c r="M126" s="15" t="s">
        <v>64</v>
      </c>
      <c r="N126" s="15" t="s">
        <v>96</v>
      </c>
      <c r="O126" s="15" t="s">
        <v>95</v>
      </c>
      <c r="Q126" s="9">
        <v>7</v>
      </c>
      <c r="R126" s="9">
        <v>14</v>
      </c>
      <c r="S126" s="9">
        <v>14</v>
      </c>
      <c r="T126" s="9">
        <v>15</v>
      </c>
      <c r="U126" s="9">
        <v>6</v>
      </c>
      <c r="W126" s="24">
        <v>1</v>
      </c>
      <c r="X126" s="24">
        <v>1</v>
      </c>
      <c r="Y126" s="24">
        <v>1</v>
      </c>
      <c r="Z126" s="24">
        <v>1</v>
      </c>
      <c r="AA126" s="24">
        <v>1</v>
      </c>
      <c r="AH126" s="5"/>
      <c r="AI126" s="5"/>
      <c r="AO126" s="5"/>
    </row>
    <row r="127" spans="10:41" x14ac:dyDescent="0.3">
      <c r="J127" s="24">
        <v>123</v>
      </c>
      <c r="K127" s="15" t="s">
        <v>35</v>
      </c>
      <c r="L127" s="15" t="s">
        <v>95</v>
      </c>
      <c r="M127" s="15" t="s">
        <v>96</v>
      </c>
      <c r="N127" s="15" t="s">
        <v>36</v>
      </c>
      <c r="O127" s="15" t="s">
        <v>35</v>
      </c>
      <c r="Q127" s="9">
        <v>8</v>
      </c>
      <c r="R127" s="9">
        <v>6</v>
      </c>
      <c r="S127" s="9">
        <v>15</v>
      </c>
      <c r="T127" s="9">
        <v>10</v>
      </c>
      <c r="U127" s="9">
        <v>8</v>
      </c>
      <c r="W127" s="24">
        <v>1</v>
      </c>
      <c r="X127" s="24">
        <v>1</v>
      </c>
      <c r="Y127" s="24">
        <v>1</v>
      </c>
      <c r="Z127" s="24">
        <v>1</v>
      </c>
      <c r="AA127" s="24">
        <v>1</v>
      </c>
      <c r="AH127" s="5"/>
      <c r="AI127" s="5"/>
      <c r="AO127" s="5"/>
    </row>
    <row r="128" spans="10:41" x14ac:dyDescent="0.3">
      <c r="J128" s="9">
        <v>124</v>
      </c>
      <c r="K128" s="15" t="s">
        <v>95</v>
      </c>
      <c r="L128" s="15" t="s">
        <v>37</v>
      </c>
      <c r="M128" s="15" t="s">
        <v>81</v>
      </c>
      <c r="N128" s="15" t="s">
        <v>81</v>
      </c>
      <c r="O128" s="15" t="s">
        <v>21</v>
      </c>
      <c r="Q128" s="9">
        <v>6</v>
      </c>
      <c r="R128" s="9">
        <v>7</v>
      </c>
      <c r="S128" s="9">
        <v>17</v>
      </c>
      <c r="T128" s="9">
        <v>17</v>
      </c>
      <c r="U128" s="9">
        <v>2</v>
      </c>
      <c r="W128" s="24">
        <v>1</v>
      </c>
      <c r="X128" s="24">
        <v>1</v>
      </c>
      <c r="Y128" s="24">
        <v>1</v>
      </c>
      <c r="Z128" s="24">
        <v>1</v>
      </c>
      <c r="AA128" s="24">
        <v>1</v>
      </c>
      <c r="AH128" s="5"/>
      <c r="AI128" s="5"/>
      <c r="AO128" s="5"/>
    </row>
    <row r="129" spans="10:41" x14ac:dyDescent="0.3">
      <c r="J129" s="24">
        <v>125</v>
      </c>
      <c r="K129" s="15" t="s">
        <v>19</v>
      </c>
      <c r="L129" s="15" t="s">
        <v>81</v>
      </c>
      <c r="M129" s="15" t="s">
        <v>62</v>
      </c>
      <c r="N129" s="15" t="s">
        <v>65</v>
      </c>
      <c r="O129" s="15" t="s">
        <v>35</v>
      </c>
      <c r="Q129" s="9">
        <v>5</v>
      </c>
      <c r="R129" s="9">
        <v>17</v>
      </c>
      <c r="S129" s="9">
        <v>12</v>
      </c>
      <c r="T129" s="9">
        <v>16</v>
      </c>
      <c r="U129" s="9">
        <v>8</v>
      </c>
      <c r="W129" s="24">
        <v>1</v>
      </c>
      <c r="X129" s="24">
        <v>1</v>
      </c>
      <c r="Y129" s="24">
        <v>1</v>
      </c>
      <c r="Z129" s="24">
        <v>1</v>
      </c>
      <c r="AA129" s="24">
        <v>1</v>
      </c>
      <c r="AH129" s="5"/>
      <c r="AI129" s="5"/>
      <c r="AO129" s="5"/>
    </row>
    <row r="130" spans="10:41" x14ac:dyDescent="0.3">
      <c r="J130" s="9">
        <v>126</v>
      </c>
      <c r="K130" s="15" t="s">
        <v>37</v>
      </c>
      <c r="L130" s="15" t="s">
        <v>22</v>
      </c>
      <c r="M130" s="15" t="s">
        <v>70</v>
      </c>
      <c r="N130" s="15" t="s">
        <v>19</v>
      </c>
      <c r="O130" s="15" t="s">
        <v>37</v>
      </c>
      <c r="Q130" s="9">
        <v>7</v>
      </c>
      <c r="R130" s="9">
        <v>3</v>
      </c>
      <c r="S130" s="9">
        <v>19</v>
      </c>
      <c r="T130" s="9">
        <v>5</v>
      </c>
      <c r="U130" s="9">
        <v>7</v>
      </c>
      <c r="W130" s="24">
        <v>1</v>
      </c>
      <c r="X130" s="24">
        <v>1</v>
      </c>
      <c r="Y130" s="24">
        <v>1</v>
      </c>
      <c r="Z130" s="24">
        <v>1</v>
      </c>
      <c r="AA130" s="24">
        <v>1</v>
      </c>
      <c r="AH130" s="5"/>
      <c r="AI130" s="5"/>
      <c r="AO130" s="5"/>
    </row>
    <row r="131" spans="10:41" x14ac:dyDescent="0.3">
      <c r="J131" s="24">
        <v>127</v>
      </c>
      <c r="K131" s="15" t="s">
        <v>19</v>
      </c>
      <c r="L131" s="15" t="s">
        <v>37</v>
      </c>
      <c r="M131" s="15" t="s">
        <v>65</v>
      </c>
      <c r="N131" s="15" t="s">
        <v>95</v>
      </c>
      <c r="O131" s="15" t="s">
        <v>34</v>
      </c>
      <c r="Q131" s="9">
        <v>5</v>
      </c>
      <c r="R131" s="9">
        <v>7</v>
      </c>
      <c r="S131" s="9">
        <v>16</v>
      </c>
      <c r="T131" s="9">
        <v>6</v>
      </c>
      <c r="U131" s="9">
        <v>9</v>
      </c>
      <c r="W131" s="24">
        <v>1</v>
      </c>
      <c r="X131" s="24">
        <v>1</v>
      </c>
      <c r="Y131" s="24">
        <v>1</v>
      </c>
      <c r="Z131" s="24">
        <v>1</v>
      </c>
      <c r="AA131" s="24">
        <v>1</v>
      </c>
      <c r="AH131" s="5"/>
      <c r="AI131" s="5"/>
      <c r="AO131" s="5"/>
    </row>
    <row r="132" spans="10:41" x14ac:dyDescent="0.3">
      <c r="J132" s="9">
        <v>128</v>
      </c>
      <c r="K132" s="15" t="s">
        <v>37</v>
      </c>
      <c r="L132" s="15" t="s">
        <v>35</v>
      </c>
      <c r="M132" s="15" t="s">
        <v>81</v>
      </c>
      <c r="N132" s="15" t="s">
        <v>19</v>
      </c>
      <c r="O132" s="15" t="s">
        <v>36</v>
      </c>
      <c r="Q132" s="9">
        <v>7</v>
      </c>
      <c r="R132" s="9">
        <v>8</v>
      </c>
      <c r="S132" s="9">
        <v>17</v>
      </c>
      <c r="T132" s="9">
        <v>5</v>
      </c>
      <c r="U132" s="9">
        <v>10</v>
      </c>
      <c r="W132" s="24">
        <v>1</v>
      </c>
      <c r="X132" s="24">
        <v>1</v>
      </c>
      <c r="Y132" s="24">
        <v>1</v>
      </c>
      <c r="Z132" s="24">
        <v>1</v>
      </c>
      <c r="AA132" s="24">
        <v>1</v>
      </c>
      <c r="AH132" s="5"/>
      <c r="AI132" s="5"/>
      <c r="AO132" s="5"/>
    </row>
    <row r="133" spans="10:41" x14ac:dyDescent="0.3">
      <c r="J133" s="24">
        <v>129</v>
      </c>
      <c r="K133" s="15" t="s">
        <v>95</v>
      </c>
      <c r="L133" s="15" t="s">
        <v>95</v>
      </c>
      <c r="M133" s="15" t="s">
        <v>96</v>
      </c>
      <c r="N133" s="15" t="s">
        <v>81</v>
      </c>
      <c r="O133" s="15" t="s">
        <v>95</v>
      </c>
      <c r="Q133" s="9">
        <v>6</v>
      </c>
      <c r="R133" s="9">
        <v>6</v>
      </c>
      <c r="S133" s="9">
        <v>15</v>
      </c>
      <c r="T133" s="9">
        <v>17</v>
      </c>
      <c r="U133" s="9">
        <v>6</v>
      </c>
      <c r="W133" s="24">
        <v>1</v>
      </c>
      <c r="X133" s="24">
        <v>1</v>
      </c>
      <c r="Y133" s="24">
        <v>1</v>
      </c>
      <c r="Z133" s="24">
        <v>1</v>
      </c>
      <c r="AA133" s="24">
        <v>1</v>
      </c>
      <c r="AH133" s="5"/>
      <c r="AI133" s="5"/>
      <c r="AO133" s="5"/>
    </row>
    <row r="134" spans="10:41" x14ac:dyDescent="0.3">
      <c r="J134" s="9">
        <v>130</v>
      </c>
      <c r="K134" s="15" t="s">
        <v>37</v>
      </c>
      <c r="L134" s="15" t="s">
        <v>22</v>
      </c>
      <c r="M134" s="15" t="s">
        <v>64</v>
      </c>
      <c r="N134" s="15" t="s">
        <v>37</v>
      </c>
      <c r="O134" s="15" t="s">
        <v>37</v>
      </c>
      <c r="Q134" s="9">
        <v>7</v>
      </c>
      <c r="R134" s="9">
        <v>3</v>
      </c>
      <c r="S134" s="9">
        <v>14</v>
      </c>
      <c r="T134" s="9">
        <v>7</v>
      </c>
      <c r="U134" s="9">
        <v>7</v>
      </c>
      <c r="W134" s="24">
        <v>1</v>
      </c>
      <c r="X134" s="24">
        <v>1</v>
      </c>
      <c r="Y134" s="24">
        <v>1</v>
      </c>
      <c r="Z134" s="24">
        <v>1</v>
      </c>
      <c r="AA134" s="24">
        <v>1</v>
      </c>
      <c r="AH134" s="5"/>
      <c r="AI134" s="5"/>
      <c r="AO134" s="5"/>
    </row>
    <row r="135" spans="10:41" x14ac:dyDescent="0.3">
      <c r="J135" s="24">
        <v>131</v>
      </c>
      <c r="K135" s="15" t="s">
        <v>35</v>
      </c>
      <c r="L135" s="15" t="s">
        <v>34</v>
      </c>
      <c r="M135" s="15" t="s">
        <v>81</v>
      </c>
      <c r="N135" s="15" t="s">
        <v>35</v>
      </c>
      <c r="O135" s="15" t="s">
        <v>19</v>
      </c>
      <c r="Q135" s="9">
        <v>8</v>
      </c>
      <c r="R135" s="9">
        <v>9</v>
      </c>
      <c r="S135" s="9">
        <v>17</v>
      </c>
      <c r="T135" s="9">
        <v>8</v>
      </c>
      <c r="U135" s="9">
        <v>5</v>
      </c>
      <c r="W135" s="24">
        <v>1</v>
      </c>
      <c r="X135" s="24">
        <v>1</v>
      </c>
      <c r="Y135" s="24">
        <v>1</v>
      </c>
      <c r="Z135" s="24">
        <v>1</v>
      </c>
      <c r="AA135" s="24">
        <v>1</v>
      </c>
      <c r="AH135" s="5"/>
      <c r="AI135" s="5"/>
      <c r="AO135" s="5"/>
    </row>
    <row r="136" spans="10:41" x14ac:dyDescent="0.3">
      <c r="J136" s="9">
        <v>132</v>
      </c>
      <c r="K136" s="15" t="s">
        <v>95</v>
      </c>
      <c r="L136" s="15" t="s">
        <v>20</v>
      </c>
      <c r="M136" s="15" t="s">
        <v>65</v>
      </c>
      <c r="N136" s="15" t="s">
        <v>37</v>
      </c>
      <c r="O136" s="15" t="s">
        <v>37</v>
      </c>
      <c r="Q136" s="9">
        <v>6</v>
      </c>
      <c r="R136" s="9">
        <v>1</v>
      </c>
      <c r="S136" s="9">
        <v>16</v>
      </c>
      <c r="T136" s="9">
        <v>7</v>
      </c>
      <c r="U136" s="9">
        <v>7</v>
      </c>
      <c r="W136" s="24">
        <v>1</v>
      </c>
      <c r="X136" s="24">
        <v>1</v>
      </c>
      <c r="Y136" s="24">
        <v>1</v>
      </c>
      <c r="Z136" s="24">
        <v>1</v>
      </c>
      <c r="AA136" s="24">
        <v>1</v>
      </c>
      <c r="AH136" s="5"/>
      <c r="AI136" s="5"/>
      <c r="AO136" s="5"/>
    </row>
    <row r="137" spans="10:41" x14ac:dyDescent="0.3">
      <c r="J137" s="24">
        <v>133</v>
      </c>
      <c r="K137" s="15" t="s">
        <v>19</v>
      </c>
      <c r="L137" s="15" t="s">
        <v>37</v>
      </c>
      <c r="M137" s="15" t="s">
        <v>81</v>
      </c>
      <c r="N137" s="15" t="s">
        <v>35</v>
      </c>
      <c r="O137" s="15" t="s">
        <v>22</v>
      </c>
      <c r="Q137" s="9">
        <v>5</v>
      </c>
      <c r="R137" s="9">
        <v>7</v>
      </c>
      <c r="S137" s="9">
        <v>17</v>
      </c>
      <c r="T137" s="9">
        <v>8</v>
      </c>
      <c r="U137" s="9">
        <v>3</v>
      </c>
      <c r="W137" s="24">
        <v>1</v>
      </c>
      <c r="X137" s="24">
        <v>1</v>
      </c>
      <c r="Y137" s="24">
        <v>1</v>
      </c>
      <c r="Z137" s="24">
        <v>1</v>
      </c>
      <c r="AA137" s="24">
        <v>1</v>
      </c>
      <c r="AH137" s="5"/>
      <c r="AI137" s="5"/>
      <c r="AO137" s="5"/>
    </row>
    <row r="138" spans="10:41" x14ac:dyDescent="0.3">
      <c r="J138" s="9">
        <v>134</v>
      </c>
      <c r="K138" s="15" t="s">
        <v>35</v>
      </c>
      <c r="L138" s="15" t="s">
        <v>68</v>
      </c>
      <c r="M138" s="15" t="s">
        <v>64</v>
      </c>
      <c r="N138" s="15" t="s">
        <v>37</v>
      </c>
      <c r="O138" s="15" t="s">
        <v>95</v>
      </c>
      <c r="Q138" s="9">
        <v>8</v>
      </c>
      <c r="R138" s="9">
        <v>18</v>
      </c>
      <c r="S138" s="9">
        <v>14</v>
      </c>
      <c r="T138" s="9">
        <v>7</v>
      </c>
      <c r="U138" s="9">
        <v>6</v>
      </c>
      <c r="W138" s="24">
        <v>1</v>
      </c>
      <c r="X138" s="24">
        <v>1</v>
      </c>
      <c r="Y138" s="24">
        <v>1</v>
      </c>
      <c r="Z138" s="24">
        <v>1</v>
      </c>
      <c r="AA138" s="24">
        <v>1</v>
      </c>
      <c r="AH138" s="5"/>
      <c r="AI138" s="5"/>
      <c r="AO138" s="5"/>
    </row>
    <row r="139" spans="10:41" x14ac:dyDescent="0.3">
      <c r="J139" s="24">
        <v>135</v>
      </c>
      <c r="K139" s="15" t="s">
        <v>37</v>
      </c>
      <c r="L139" s="15" t="s">
        <v>35</v>
      </c>
      <c r="M139" s="15" t="s">
        <v>65</v>
      </c>
      <c r="N139" s="15" t="s">
        <v>35</v>
      </c>
      <c r="O139" s="15" t="s">
        <v>20</v>
      </c>
      <c r="Q139" s="9">
        <v>7</v>
      </c>
      <c r="R139" s="9">
        <v>8</v>
      </c>
      <c r="S139" s="9">
        <v>16</v>
      </c>
      <c r="T139" s="9">
        <v>8</v>
      </c>
      <c r="U139" s="9">
        <v>1</v>
      </c>
      <c r="W139" s="24">
        <v>1</v>
      </c>
      <c r="X139" s="24">
        <v>1</v>
      </c>
      <c r="Y139" s="24">
        <v>1</v>
      </c>
      <c r="Z139" s="24">
        <v>1</v>
      </c>
      <c r="AA139" s="24">
        <v>1</v>
      </c>
      <c r="AH139" s="5"/>
      <c r="AI139" s="5"/>
      <c r="AO139" s="5"/>
    </row>
    <row r="140" spans="10:41" x14ac:dyDescent="0.3">
      <c r="J140" s="9">
        <v>136</v>
      </c>
      <c r="K140" s="15" t="s">
        <v>19</v>
      </c>
      <c r="L140" s="15" t="s">
        <v>19</v>
      </c>
      <c r="M140" s="15" t="s">
        <v>112</v>
      </c>
      <c r="N140" s="15" t="s">
        <v>95</v>
      </c>
      <c r="O140" s="15" t="s">
        <v>37</v>
      </c>
      <c r="Q140" s="9">
        <v>5</v>
      </c>
      <c r="R140" s="9">
        <v>5</v>
      </c>
      <c r="S140" s="9">
        <v>11</v>
      </c>
      <c r="T140" s="9">
        <v>6</v>
      </c>
      <c r="U140" s="9">
        <v>7</v>
      </c>
      <c r="W140" s="24">
        <v>1</v>
      </c>
      <c r="X140" s="24">
        <v>1</v>
      </c>
      <c r="Y140" s="24">
        <v>1</v>
      </c>
      <c r="Z140" s="24">
        <v>1</v>
      </c>
      <c r="AA140" s="24">
        <v>1</v>
      </c>
      <c r="AH140" s="5"/>
      <c r="AI140" s="5"/>
      <c r="AO140" s="5"/>
    </row>
    <row r="141" spans="10:41" x14ac:dyDescent="0.3">
      <c r="J141" s="24">
        <v>137</v>
      </c>
      <c r="K141" s="15" t="s">
        <v>37</v>
      </c>
      <c r="L141" s="15" t="s">
        <v>37</v>
      </c>
      <c r="M141" s="15" t="s">
        <v>96</v>
      </c>
      <c r="N141" s="15" t="s">
        <v>37</v>
      </c>
      <c r="O141" s="15" t="s">
        <v>35</v>
      </c>
      <c r="Q141" s="9">
        <v>7</v>
      </c>
      <c r="R141" s="9">
        <v>7</v>
      </c>
      <c r="S141" s="9">
        <v>15</v>
      </c>
      <c r="T141" s="9">
        <v>7</v>
      </c>
      <c r="U141" s="9">
        <v>8</v>
      </c>
      <c r="W141" s="24">
        <v>1</v>
      </c>
      <c r="X141" s="24">
        <v>1</v>
      </c>
      <c r="Y141" s="24">
        <v>1</v>
      </c>
      <c r="Z141" s="24">
        <v>1</v>
      </c>
      <c r="AA141" s="24">
        <v>1</v>
      </c>
      <c r="AH141" s="5"/>
      <c r="AI141" s="5"/>
      <c r="AO141" s="5"/>
    </row>
    <row r="142" spans="10:41" x14ac:dyDescent="0.3">
      <c r="J142" s="9">
        <v>138</v>
      </c>
      <c r="K142" s="15" t="s">
        <v>19</v>
      </c>
      <c r="L142" s="15" t="s">
        <v>22</v>
      </c>
      <c r="M142" s="15" t="s">
        <v>65</v>
      </c>
      <c r="N142" s="15" t="s">
        <v>19</v>
      </c>
      <c r="O142" s="15" t="s">
        <v>37</v>
      </c>
      <c r="Q142" s="9">
        <v>5</v>
      </c>
      <c r="R142" s="9">
        <v>3</v>
      </c>
      <c r="S142" s="9">
        <v>16</v>
      </c>
      <c r="T142" s="9">
        <v>5</v>
      </c>
      <c r="U142" s="9">
        <v>7</v>
      </c>
      <c r="W142" s="24">
        <v>1</v>
      </c>
      <c r="X142" s="24">
        <v>1</v>
      </c>
      <c r="Y142" s="24">
        <v>1</v>
      </c>
      <c r="Z142" s="24">
        <v>1</v>
      </c>
      <c r="AA142" s="24">
        <v>1</v>
      </c>
      <c r="AH142" s="5"/>
      <c r="AI142" s="5"/>
      <c r="AO142" s="5"/>
    </row>
    <row r="143" spans="10:41" x14ac:dyDescent="0.3">
      <c r="J143" s="24">
        <v>139</v>
      </c>
      <c r="K143" s="15" t="s">
        <v>36</v>
      </c>
      <c r="L143" s="15" t="s">
        <v>37</v>
      </c>
      <c r="M143" s="15" t="s">
        <v>61</v>
      </c>
      <c r="N143" s="15" t="s">
        <v>63</v>
      </c>
      <c r="O143" s="15" t="s">
        <v>36</v>
      </c>
      <c r="Q143" s="9">
        <v>10</v>
      </c>
      <c r="R143" s="9">
        <v>7</v>
      </c>
      <c r="S143" s="9">
        <v>11</v>
      </c>
      <c r="T143" s="9">
        <v>13</v>
      </c>
      <c r="U143" s="9">
        <v>10</v>
      </c>
      <c r="W143" s="24">
        <v>1</v>
      </c>
      <c r="X143" s="24">
        <v>1</v>
      </c>
      <c r="Y143" s="24">
        <v>1</v>
      </c>
      <c r="Z143" s="24">
        <v>1</v>
      </c>
      <c r="AA143" s="24">
        <v>1</v>
      </c>
      <c r="AH143" s="5"/>
      <c r="AI143" s="5"/>
      <c r="AO143" s="5"/>
    </row>
    <row r="144" spans="10:41" x14ac:dyDescent="0.3">
      <c r="J144" s="9">
        <v>140</v>
      </c>
      <c r="K144" s="15" t="s">
        <v>35</v>
      </c>
      <c r="L144" s="15" t="s">
        <v>18</v>
      </c>
      <c r="M144" s="15" t="s">
        <v>96</v>
      </c>
      <c r="N144" s="15" t="s">
        <v>95</v>
      </c>
      <c r="O144" s="15" t="s">
        <v>95</v>
      </c>
      <c r="Q144" s="9">
        <v>8</v>
      </c>
      <c r="R144" s="9">
        <v>4</v>
      </c>
      <c r="S144" s="9">
        <v>15</v>
      </c>
      <c r="T144" s="9">
        <v>6</v>
      </c>
      <c r="U144" s="9">
        <v>6</v>
      </c>
      <c r="W144" s="24">
        <v>1</v>
      </c>
      <c r="X144" s="24">
        <v>1</v>
      </c>
      <c r="Y144" s="24">
        <v>1</v>
      </c>
      <c r="Z144" s="24">
        <v>1</v>
      </c>
      <c r="AA144" s="24">
        <v>1</v>
      </c>
      <c r="AH144" s="5"/>
      <c r="AI144" s="5"/>
      <c r="AO144" s="5"/>
    </row>
    <row r="145" spans="10:41" x14ac:dyDescent="0.3">
      <c r="J145" s="24">
        <v>141</v>
      </c>
      <c r="K145" s="15" t="s">
        <v>95</v>
      </c>
      <c r="L145" s="15" t="s">
        <v>37</v>
      </c>
      <c r="M145" s="15" t="s">
        <v>65</v>
      </c>
      <c r="N145" s="15" t="s">
        <v>37</v>
      </c>
      <c r="O145" s="15" t="s">
        <v>18</v>
      </c>
      <c r="Q145" s="9">
        <v>6</v>
      </c>
      <c r="R145" s="9">
        <v>7</v>
      </c>
      <c r="S145" s="9">
        <v>16</v>
      </c>
      <c r="T145" s="9">
        <v>7</v>
      </c>
      <c r="U145" s="9">
        <v>4</v>
      </c>
      <c r="W145" s="24">
        <v>1</v>
      </c>
      <c r="X145" s="24">
        <v>1</v>
      </c>
      <c r="Y145" s="24">
        <v>1</v>
      </c>
      <c r="Z145" s="24">
        <v>1</v>
      </c>
      <c r="AA145" s="24">
        <v>1</v>
      </c>
      <c r="AH145" s="5"/>
      <c r="AI145" s="5"/>
      <c r="AO145" s="5"/>
    </row>
    <row r="146" spans="10:41" x14ac:dyDescent="0.3">
      <c r="J146" s="9">
        <v>142</v>
      </c>
      <c r="K146" s="15" t="s">
        <v>20</v>
      </c>
      <c r="L146" s="15" t="s">
        <v>64</v>
      </c>
      <c r="M146" s="15" t="s">
        <v>81</v>
      </c>
      <c r="N146" s="15" t="s">
        <v>70</v>
      </c>
      <c r="O146" s="15" t="s">
        <v>36</v>
      </c>
      <c r="Q146" s="9">
        <v>1</v>
      </c>
      <c r="R146" s="9">
        <v>14</v>
      </c>
      <c r="S146" s="9">
        <v>17</v>
      </c>
      <c r="T146" s="9">
        <v>19</v>
      </c>
      <c r="U146" s="9">
        <v>10</v>
      </c>
      <c r="W146" s="24">
        <v>1</v>
      </c>
      <c r="X146" s="24">
        <v>1</v>
      </c>
      <c r="Y146" s="24">
        <v>1</v>
      </c>
      <c r="Z146" s="24">
        <v>1</v>
      </c>
      <c r="AA146" s="24">
        <v>1</v>
      </c>
      <c r="AH146" s="5"/>
      <c r="AI146" s="5"/>
      <c r="AO146" s="5"/>
    </row>
    <row r="147" spans="10:41" x14ac:dyDescent="0.3">
      <c r="J147" s="24">
        <v>143</v>
      </c>
      <c r="K147" s="15" t="s">
        <v>19</v>
      </c>
      <c r="L147" s="15" t="s">
        <v>37</v>
      </c>
      <c r="M147" s="15" t="s">
        <v>65</v>
      </c>
      <c r="N147" s="15" t="s">
        <v>95</v>
      </c>
      <c r="O147" s="15" t="s">
        <v>95</v>
      </c>
      <c r="Q147" s="9">
        <v>5</v>
      </c>
      <c r="R147" s="9">
        <v>7</v>
      </c>
      <c r="S147" s="9">
        <v>16</v>
      </c>
      <c r="T147" s="9">
        <v>6</v>
      </c>
      <c r="U147" s="9">
        <v>6</v>
      </c>
      <c r="W147" s="24">
        <v>1</v>
      </c>
      <c r="X147" s="24">
        <v>1</v>
      </c>
      <c r="Y147" s="24">
        <v>1</v>
      </c>
      <c r="Z147" s="24">
        <v>1</v>
      </c>
      <c r="AA147" s="24">
        <v>1</v>
      </c>
      <c r="AH147" s="5"/>
      <c r="AI147" s="5"/>
      <c r="AO147" s="5"/>
    </row>
    <row r="148" spans="10:41" x14ac:dyDescent="0.3">
      <c r="J148" s="9">
        <v>144</v>
      </c>
      <c r="K148" s="15" t="s">
        <v>21</v>
      </c>
      <c r="L148" s="15" t="s">
        <v>18</v>
      </c>
      <c r="M148" s="15" t="s">
        <v>81</v>
      </c>
      <c r="N148" s="15" t="s">
        <v>36</v>
      </c>
      <c r="O148" s="15" t="s">
        <v>18</v>
      </c>
      <c r="Q148" s="9">
        <v>2</v>
      </c>
      <c r="R148" s="9">
        <v>4</v>
      </c>
      <c r="S148" s="9">
        <v>17</v>
      </c>
      <c r="T148" s="9">
        <v>10</v>
      </c>
      <c r="U148" s="9">
        <v>4</v>
      </c>
      <c r="W148" s="24">
        <v>1</v>
      </c>
      <c r="X148" s="24">
        <v>1</v>
      </c>
      <c r="Y148" s="24">
        <v>1</v>
      </c>
      <c r="Z148" s="24">
        <v>1</v>
      </c>
      <c r="AA148" s="24">
        <v>1</v>
      </c>
      <c r="AH148" s="5"/>
      <c r="AI148" s="5"/>
      <c r="AO148" s="5"/>
    </row>
    <row r="149" spans="10:41" x14ac:dyDescent="0.3">
      <c r="J149" s="24">
        <v>145</v>
      </c>
      <c r="K149" s="15" t="s">
        <v>35</v>
      </c>
      <c r="L149" s="15" t="s">
        <v>37</v>
      </c>
      <c r="M149" s="15" t="s">
        <v>65</v>
      </c>
      <c r="N149" s="15" t="s">
        <v>37</v>
      </c>
      <c r="O149" s="15" t="s">
        <v>35</v>
      </c>
      <c r="Q149" s="9">
        <v>8</v>
      </c>
      <c r="R149" s="9">
        <v>7</v>
      </c>
      <c r="S149" s="9">
        <v>16</v>
      </c>
      <c r="T149" s="9">
        <v>7</v>
      </c>
      <c r="U149" s="9">
        <v>8</v>
      </c>
      <c r="W149" s="24">
        <v>1</v>
      </c>
      <c r="X149" s="24">
        <v>1</v>
      </c>
      <c r="Y149" s="24">
        <v>1</v>
      </c>
      <c r="Z149" s="24">
        <v>1</v>
      </c>
      <c r="AA149" s="24">
        <v>1</v>
      </c>
      <c r="AH149" s="5"/>
      <c r="AI149" s="5"/>
      <c r="AO149" s="5"/>
    </row>
    <row r="150" spans="10:41" x14ac:dyDescent="0.3">
      <c r="J150" s="9">
        <v>146</v>
      </c>
      <c r="K150" s="15" t="s">
        <v>95</v>
      </c>
      <c r="L150" s="15" t="s">
        <v>19</v>
      </c>
      <c r="M150" s="15" t="s">
        <v>64</v>
      </c>
      <c r="N150" s="15" t="s">
        <v>95</v>
      </c>
      <c r="O150" s="15" t="s">
        <v>19</v>
      </c>
      <c r="Q150" s="9">
        <v>6</v>
      </c>
      <c r="R150" s="9">
        <v>5</v>
      </c>
      <c r="S150" s="9">
        <v>14</v>
      </c>
      <c r="T150" s="9">
        <v>6</v>
      </c>
      <c r="U150" s="9">
        <v>5</v>
      </c>
      <c r="W150" s="24">
        <v>1</v>
      </c>
      <c r="X150" s="24">
        <v>1</v>
      </c>
      <c r="Y150" s="24">
        <v>1</v>
      </c>
      <c r="Z150" s="24">
        <v>1</v>
      </c>
      <c r="AA150" s="24">
        <v>1</v>
      </c>
      <c r="AH150" s="5"/>
      <c r="AI150" s="5"/>
      <c r="AO150" s="5"/>
    </row>
    <row r="151" spans="10:41" x14ac:dyDescent="0.3">
      <c r="J151" s="24">
        <v>147</v>
      </c>
      <c r="K151" s="15" t="s">
        <v>37</v>
      </c>
      <c r="L151" s="15" t="s">
        <v>37</v>
      </c>
      <c r="M151" s="15" t="s">
        <v>65</v>
      </c>
      <c r="N151" s="15" t="s">
        <v>35</v>
      </c>
      <c r="O151" s="15" t="s">
        <v>35</v>
      </c>
      <c r="Q151" s="9">
        <v>7</v>
      </c>
      <c r="R151" s="9">
        <v>7</v>
      </c>
      <c r="S151" s="9">
        <v>16</v>
      </c>
      <c r="T151" s="9">
        <v>8</v>
      </c>
      <c r="U151" s="9">
        <v>8</v>
      </c>
      <c r="W151" s="24">
        <v>1</v>
      </c>
      <c r="X151" s="24">
        <v>1</v>
      </c>
      <c r="Y151" s="24">
        <v>1</v>
      </c>
      <c r="Z151" s="24">
        <v>1</v>
      </c>
      <c r="AA151" s="24">
        <v>1</v>
      </c>
      <c r="AH151" s="5"/>
      <c r="AI151" s="5"/>
      <c r="AO151" s="5"/>
    </row>
    <row r="152" spans="10:41" x14ac:dyDescent="0.3">
      <c r="J152" s="9">
        <v>148</v>
      </c>
      <c r="K152" s="15" t="s">
        <v>95</v>
      </c>
      <c r="L152" s="15" t="s">
        <v>19</v>
      </c>
      <c r="M152" s="15" t="s">
        <v>70</v>
      </c>
      <c r="N152" s="15" t="s">
        <v>37</v>
      </c>
      <c r="O152" s="15" t="s">
        <v>37</v>
      </c>
      <c r="Q152" s="9">
        <v>6</v>
      </c>
      <c r="R152" s="9">
        <v>5</v>
      </c>
      <c r="S152" s="9">
        <v>19</v>
      </c>
      <c r="T152" s="9">
        <v>7</v>
      </c>
      <c r="U152" s="9">
        <v>7</v>
      </c>
      <c r="W152" s="24">
        <v>1</v>
      </c>
      <c r="X152" s="24">
        <v>1</v>
      </c>
      <c r="Y152" s="24">
        <v>1</v>
      </c>
      <c r="Z152" s="24">
        <v>1</v>
      </c>
      <c r="AA152" s="24">
        <v>1</v>
      </c>
      <c r="AH152" s="5"/>
      <c r="AI152" s="5"/>
      <c r="AO152" s="5"/>
    </row>
    <row r="153" spans="10:41" x14ac:dyDescent="0.3">
      <c r="J153" s="24">
        <v>149</v>
      </c>
      <c r="K153" s="15" t="s">
        <v>19</v>
      </c>
      <c r="L153" s="15" t="s">
        <v>34</v>
      </c>
      <c r="M153" s="15" t="s">
        <v>96</v>
      </c>
      <c r="N153" s="15" t="s">
        <v>95</v>
      </c>
      <c r="O153" s="15" t="s">
        <v>19</v>
      </c>
      <c r="Q153" s="9">
        <v>5</v>
      </c>
      <c r="R153" s="9">
        <v>9</v>
      </c>
      <c r="S153" s="9">
        <v>15</v>
      </c>
      <c r="T153" s="9">
        <v>6</v>
      </c>
      <c r="U153" s="9">
        <v>5</v>
      </c>
      <c r="W153" s="24">
        <v>1</v>
      </c>
      <c r="X153" s="24">
        <v>1</v>
      </c>
      <c r="Y153" s="24">
        <v>1</v>
      </c>
      <c r="Z153" s="24">
        <v>1</v>
      </c>
      <c r="AA153" s="24">
        <v>1</v>
      </c>
      <c r="AH153" s="5"/>
      <c r="AI153" s="5"/>
      <c r="AO153" s="5"/>
    </row>
    <row r="154" spans="10:41" x14ac:dyDescent="0.3">
      <c r="J154" s="9">
        <v>150</v>
      </c>
      <c r="K154" s="15" t="s">
        <v>37</v>
      </c>
      <c r="L154" s="15" t="s">
        <v>21</v>
      </c>
      <c r="M154" s="15" t="s">
        <v>70</v>
      </c>
      <c r="N154" s="15" t="s">
        <v>81</v>
      </c>
      <c r="O154" s="15" t="s">
        <v>35</v>
      </c>
      <c r="Q154" s="9">
        <v>7</v>
      </c>
      <c r="R154" s="9">
        <v>2</v>
      </c>
      <c r="S154" s="9">
        <v>19</v>
      </c>
      <c r="T154" s="9">
        <v>17</v>
      </c>
      <c r="U154" s="9">
        <v>8</v>
      </c>
      <c r="W154" s="24">
        <v>1</v>
      </c>
      <c r="X154" s="24">
        <v>1</v>
      </c>
      <c r="Y154" s="24">
        <v>1</v>
      </c>
      <c r="Z154" s="24">
        <v>1</v>
      </c>
      <c r="AA154" s="24">
        <v>1</v>
      </c>
      <c r="AH154" s="5"/>
      <c r="AI154" s="5"/>
      <c r="AO154" s="5"/>
    </row>
    <row r="155" spans="10:41" x14ac:dyDescent="0.3">
      <c r="J155" s="24">
        <v>151</v>
      </c>
      <c r="K155" s="15" t="s">
        <v>19</v>
      </c>
      <c r="L155" s="15" t="s">
        <v>22</v>
      </c>
      <c r="M155" s="15" t="s">
        <v>65</v>
      </c>
      <c r="N155" s="15" t="s">
        <v>18</v>
      </c>
      <c r="O155" s="15" t="s">
        <v>19</v>
      </c>
      <c r="Q155" s="9">
        <v>5</v>
      </c>
      <c r="R155" s="9">
        <v>3</v>
      </c>
      <c r="S155" s="9">
        <v>16</v>
      </c>
      <c r="T155" s="9">
        <v>4</v>
      </c>
      <c r="U155" s="9">
        <v>5</v>
      </c>
      <c r="W155" s="24">
        <v>1</v>
      </c>
      <c r="X155" s="24">
        <v>1</v>
      </c>
      <c r="Y155" s="24">
        <v>1</v>
      </c>
      <c r="Z155" s="24">
        <v>1</v>
      </c>
      <c r="AA155" s="24">
        <v>1</v>
      </c>
      <c r="AH155" s="5"/>
      <c r="AI155" s="5"/>
      <c r="AO155" s="5"/>
    </row>
    <row r="156" spans="10:41" x14ac:dyDescent="0.3">
      <c r="J156" s="9">
        <v>152</v>
      </c>
      <c r="K156" s="15" t="s">
        <v>35</v>
      </c>
      <c r="L156" s="15" t="s">
        <v>95</v>
      </c>
      <c r="M156" s="15" t="s">
        <v>96</v>
      </c>
      <c r="N156" s="15" t="s">
        <v>19</v>
      </c>
      <c r="O156" s="15" t="s">
        <v>35</v>
      </c>
      <c r="Q156" s="9">
        <v>8</v>
      </c>
      <c r="R156" s="9">
        <v>6</v>
      </c>
      <c r="S156" s="9">
        <v>15</v>
      </c>
      <c r="T156" s="9">
        <v>5</v>
      </c>
      <c r="U156" s="9">
        <v>8</v>
      </c>
      <c r="W156" s="24">
        <v>1</v>
      </c>
      <c r="X156" s="24">
        <v>1</v>
      </c>
      <c r="Y156" s="24">
        <v>1</v>
      </c>
      <c r="Z156" s="24">
        <v>1</v>
      </c>
      <c r="AA156" s="24">
        <v>1</v>
      </c>
      <c r="AH156" s="5"/>
      <c r="AI156" s="5"/>
      <c r="AO156" s="5"/>
    </row>
    <row r="157" spans="10:41" x14ac:dyDescent="0.3">
      <c r="J157" s="24">
        <v>153</v>
      </c>
      <c r="K157" s="15" t="s">
        <v>21</v>
      </c>
      <c r="L157" s="15" t="s">
        <v>36</v>
      </c>
      <c r="M157" s="15" t="s">
        <v>63</v>
      </c>
      <c r="N157" s="15" t="s">
        <v>34</v>
      </c>
      <c r="O157" s="15" t="s">
        <v>20</v>
      </c>
      <c r="Q157" s="9">
        <v>2</v>
      </c>
      <c r="R157" s="9">
        <v>10</v>
      </c>
      <c r="S157" s="9">
        <v>13</v>
      </c>
      <c r="T157" s="9">
        <v>9</v>
      </c>
      <c r="U157" s="9">
        <v>1</v>
      </c>
      <c r="W157" s="24">
        <v>1</v>
      </c>
      <c r="X157" s="24">
        <v>1</v>
      </c>
      <c r="Y157" s="24">
        <v>1</v>
      </c>
      <c r="Z157" s="24">
        <v>1</v>
      </c>
      <c r="AA157" s="24">
        <v>1</v>
      </c>
      <c r="AH157" s="5"/>
      <c r="AI157" s="5"/>
      <c r="AO157" s="5"/>
    </row>
    <row r="158" spans="10:41" x14ac:dyDescent="0.3">
      <c r="J158" s="9">
        <v>154</v>
      </c>
      <c r="K158" s="15" t="s">
        <v>19</v>
      </c>
      <c r="L158" s="15" t="s">
        <v>35</v>
      </c>
      <c r="M158" s="15" t="s">
        <v>65</v>
      </c>
      <c r="N158" s="15" t="s">
        <v>35</v>
      </c>
      <c r="O158" s="15" t="s">
        <v>37</v>
      </c>
      <c r="Q158" s="9">
        <v>5</v>
      </c>
      <c r="R158" s="9">
        <v>8</v>
      </c>
      <c r="S158" s="9">
        <v>16</v>
      </c>
      <c r="T158" s="9">
        <v>8</v>
      </c>
      <c r="U158" s="9">
        <v>7</v>
      </c>
      <c r="W158" s="24">
        <v>1</v>
      </c>
      <c r="X158" s="24">
        <v>1</v>
      </c>
      <c r="Y158" s="24">
        <v>1</v>
      </c>
      <c r="Z158" s="24">
        <v>1</v>
      </c>
      <c r="AA158" s="24">
        <v>1</v>
      </c>
      <c r="AH158" s="5"/>
      <c r="AI158" s="5"/>
      <c r="AO158" s="5"/>
    </row>
    <row r="159" spans="10:41" x14ac:dyDescent="0.3">
      <c r="J159" s="24">
        <v>155</v>
      </c>
      <c r="K159" s="15" t="s">
        <v>37</v>
      </c>
      <c r="L159" s="15" t="s">
        <v>95</v>
      </c>
      <c r="M159" s="15" t="s">
        <v>64</v>
      </c>
      <c r="N159" s="15" t="s">
        <v>95</v>
      </c>
      <c r="O159" s="15" t="s">
        <v>18</v>
      </c>
      <c r="Q159" s="9">
        <v>7</v>
      </c>
      <c r="R159" s="9">
        <v>6</v>
      </c>
      <c r="S159" s="9">
        <v>14</v>
      </c>
      <c r="T159" s="9">
        <v>6</v>
      </c>
      <c r="U159" s="9">
        <v>4</v>
      </c>
      <c r="W159" s="24">
        <v>1</v>
      </c>
      <c r="X159" s="24">
        <v>1</v>
      </c>
      <c r="Y159" s="24">
        <v>1</v>
      </c>
      <c r="Z159" s="24">
        <v>1</v>
      </c>
      <c r="AA159" s="24">
        <v>1</v>
      </c>
      <c r="AH159" s="5"/>
      <c r="AI159" s="5"/>
      <c r="AO159" s="5"/>
    </row>
    <row r="160" spans="10:41" x14ac:dyDescent="0.3">
      <c r="J160" s="9">
        <v>156</v>
      </c>
      <c r="K160" s="15" t="s">
        <v>18</v>
      </c>
      <c r="L160" s="15" t="s">
        <v>35</v>
      </c>
      <c r="M160" s="15" t="s">
        <v>96</v>
      </c>
      <c r="N160" s="15" t="s">
        <v>35</v>
      </c>
      <c r="O160" s="15" t="s">
        <v>19</v>
      </c>
      <c r="Q160" s="9">
        <v>4</v>
      </c>
      <c r="R160" s="9">
        <v>8</v>
      </c>
      <c r="S160" s="9">
        <v>15</v>
      </c>
      <c r="T160" s="9">
        <v>8</v>
      </c>
      <c r="U160" s="9">
        <v>5</v>
      </c>
      <c r="W160" s="24">
        <v>1</v>
      </c>
      <c r="X160" s="24">
        <v>1</v>
      </c>
      <c r="Y160" s="24">
        <v>1</v>
      </c>
      <c r="Z160" s="24">
        <v>1</v>
      </c>
      <c r="AA160" s="24">
        <v>1</v>
      </c>
      <c r="AH160" s="5"/>
      <c r="AI160" s="5"/>
      <c r="AO160" s="5"/>
    </row>
    <row r="161" spans="10:41" x14ac:dyDescent="0.3">
      <c r="J161" s="24">
        <v>157</v>
      </c>
      <c r="K161" s="15" t="s">
        <v>19</v>
      </c>
      <c r="L161" s="15" t="s">
        <v>18</v>
      </c>
      <c r="M161" s="15" t="s">
        <v>81</v>
      </c>
      <c r="N161" s="15" t="s">
        <v>36</v>
      </c>
      <c r="O161" s="15" t="s">
        <v>37</v>
      </c>
      <c r="Q161" s="9">
        <v>5</v>
      </c>
      <c r="R161" s="9">
        <v>4</v>
      </c>
      <c r="S161" s="9">
        <v>17</v>
      </c>
      <c r="T161" s="9">
        <v>10</v>
      </c>
      <c r="U161" s="9">
        <v>7</v>
      </c>
      <c r="W161" s="24">
        <v>1</v>
      </c>
      <c r="X161" s="24">
        <v>1</v>
      </c>
      <c r="Y161" s="24">
        <v>1</v>
      </c>
      <c r="Z161" s="24">
        <v>1</v>
      </c>
      <c r="AA161" s="24">
        <v>1</v>
      </c>
      <c r="AH161" s="5"/>
      <c r="AI161" s="5"/>
      <c r="AO161" s="5"/>
    </row>
    <row r="162" spans="10:41" x14ac:dyDescent="0.3">
      <c r="J162" s="9">
        <v>158</v>
      </c>
      <c r="K162" s="15" t="s">
        <v>37</v>
      </c>
      <c r="L162" s="15" t="s">
        <v>35</v>
      </c>
      <c r="M162" s="15" t="s">
        <v>96</v>
      </c>
      <c r="N162" s="15" t="s">
        <v>35</v>
      </c>
      <c r="O162" s="15" t="s">
        <v>35</v>
      </c>
      <c r="Q162" s="9">
        <v>7</v>
      </c>
      <c r="R162" s="9">
        <v>8</v>
      </c>
      <c r="S162" s="9">
        <v>15</v>
      </c>
      <c r="T162" s="9">
        <v>8</v>
      </c>
      <c r="U162" s="9">
        <v>8</v>
      </c>
      <c r="W162" s="24">
        <v>1</v>
      </c>
      <c r="X162" s="24">
        <v>1</v>
      </c>
      <c r="Y162" s="24">
        <v>1</v>
      </c>
      <c r="Z162" s="24">
        <v>1</v>
      </c>
      <c r="AA162" s="24">
        <v>1</v>
      </c>
      <c r="AH162" s="5"/>
      <c r="AI162" s="5"/>
      <c r="AO162" s="5"/>
    </row>
    <row r="163" spans="10:41" x14ac:dyDescent="0.3">
      <c r="J163" s="24">
        <v>159</v>
      </c>
      <c r="K163" s="15" t="s">
        <v>20</v>
      </c>
      <c r="L163" s="15" t="s">
        <v>95</v>
      </c>
      <c r="M163" s="15" t="s">
        <v>65</v>
      </c>
      <c r="N163" s="15" t="s">
        <v>37</v>
      </c>
      <c r="O163" s="15" t="s">
        <v>37</v>
      </c>
      <c r="Q163" s="9">
        <v>1</v>
      </c>
      <c r="R163" s="9">
        <v>6</v>
      </c>
      <c r="S163" s="9">
        <v>16</v>
      </c>
      <c r="T163" s="9">
        <v>7</v>
      </c>
      <c r="U163" s="9">
        <v>7</v>
      </c>
      <c r="W163" s="24">
        <v>1</v>
      </c>
      <c r="X163" s="24">
        <v>1</v>
      </c>
      <c r="Y163" s="24">
        <v>1</v>
      </c>
      <c r="Z163" s="24">
        <v>1</v>
      </c>
      <c r="AA163" s="24">
        <v>1</v>
      </c>
      <c r="AH163" s="5"/>
      <c r="AI163" s="5"/>
      <c r="AO163" s="5"/>
    </row>
    <row r="164" spans="10:41" x14ac:dyDescent="0.3">
      <c r="J164" s="9">
        <v>160</v>
      </c>
      <c r="K164" s="15" t="s">
        <v>37</v>
      </c>
      <c r="L164" s="15" t="s">
        <v>61</v>
      </c>
      <c r="M164" s="15" t="s">
        <v>96</v>
      </c>
      <c r="N164" s="15" t="s">
        <v>65</v>
      </c>
      <c r="O164" s="15" t="s">
        <v>95</v>
      </c>
      <c r="Q164" s="9">
        <v>7</v>
      </c>
      <c r="R164" s="9">
        <v>11</v>
      </c>
      <c r="S164" s="9">
        <v>15</v>
      </c>
      <c r="T164" s="9">
        <v>16</v>
      </c>
      <c r="U164" s="9">
        <v>6</v>
      </c>
      <c r="W164" s="24">
        <v>1</v>
      </c>
      <c r="X164" s="24">
        <v>1</v>
      </c>
      <c r="Y164" s="24">
        <v>1</v>
      </c>
      <c r="Z164" s="24">
        <v>1</v>
      </c>
      <c r="AA164" s="24">
        <v>1</v>
      </c>
      <c r="AH164" s="5"/>
      <c r="AI164" s="5"/>
      <c r="AO164" s="5"/>
    </row>
    <row r="165" spans="10:41" x14ac:dyDescent="0.3">
      <c r="J165" s="24">
        <v>161</v>
      </c>
      <c r="K165" s="15" t="s">
        <v>35</v>
      </c>
      <c r="L165" s="15" t="s">
        <v>81</v>
      </c>
      <c r="M165" s="15" t="s">
        <v>64</v>
      </c>
      <c r="N165" s="15" t="s">
        <v>64</v>
      </c>
      <c r="O165" s="15" t="s">
        <v>34</v>
      </c>
      <c r="Q165" s="9">
        <v>8</v>
      </c>
      <c r="R165" s="9">
        <v>17</v>
      </c>
      <c r="S165" s="9">
        <v>14</v>
      </c>
      <c r="T165" s="9">
        <v>14</v>
      </c>
      <c r="U165" s="9">
        <v>9</v>
      </c>
      <c r="W165" s="24">
        <v>1</v>
      </c>
      <c r="X165" s="24">
        <v>1</v>
      </c>
      <c r="Y165" s="24">
        <v>1</v>
      </c>
      <c r="Z165" s="24">
        <v>1</v>
      </c>
      <c r="AA165" s="24">
        <v>1</v>
      </c>
      <c r="AH165" s="5"/>
      <c r="AI165" s="5"/>
      <c r="AO165" s="5"/>
    </row>
    <row r="166" spans="10:41" x14ac:dyDescent="0.3">
      <c r="J166" s="9">
        <v>162</v>
      </c>
      <c r="K166" s="15" t="s">
        <v>37</v>
      </c>
      <c r="L166" s="15" t="s">
        <v>64</v>
      </c>
      <c r="M166" s="15" t="s">
        <v>65</v>
      </c>
      <c r="N166" s="15" t="s">
        <v>95</v>
      </c>
      <c r="O166" s="15" t="s">
        <v>19</v>
      </c>
      <c r="Q166" s="9">
        <v>7</v>
      </c>
      <c r="R166" s="9">
        <v>14</v>
      </c>
      <c r="S166" s="9">
        <v>16</v>
      </c>
      <c r="T166" s="9">
        <v>6</v>
      </c>
      <c r="U166" s="9">
        <v>5</v>
      </c>
      <c r="W166" s="24">
        <v>1</v>
      </c>
      <c r="X166" s="24">
        <v>1</v>
      </c>
      <c r="Y166" s="24">
        <v>1</v>
      </c>
      <c r="Z166" s="24">
        <v>1</v>
      </c>
      <c r="AA166" s="24">
        <v>1</v>
      </c>
      <c r="AH166" s="5"/>
      <c r="AI166" s="5"/>
      <c r="AO166" s="5"/>
    </row>
    <row r="167" spans="10:41" x14ac:dyDescent="0.3">
      <c r="J167" s="24">
        <v>163</v>
      </c>
      <c r="K167" s="15" t="s">
        <v>95</v>
      </c>
      <c r="L167" s="15" t="s">
        <v>21</v>
      </c>
      <c r="M167" s="15" t="s">
        <v>96</v>
      </c>
      <c r="N167" s="15" t="s">
        <v>64</v>
      </c>
      <c r="O167" s="15" t="s">
        <v>34</v>
      </c>
      <c r="Q167" s="9">
        <v>6</v>
      </c>
      <c r="R167" s="9">
        <v>2</v>
      </c>
      <c r="S167" s="9">
        <v>15</v>
      </c>
      <c r="T167" s="9">
        <v>14</v>
      </c>
      <c r="U167" s="9">
        <v>9</v>
      </c>
      <c r="W167" s="24">
        <v>1</v>
      </c>
      <c r="X167" s="24">
        <v>1</v>
      </c>
      <c r="Y167" s="24">
        <v>1</v>
      </c>
      <c r="Z167" s="24">
        <v>1</v>
      </c>
      <c r="AA167" s="24">
        <v>1</v>
      </c>
      <c r="AH167" s="5"/>
      <c r="AI167" s="5"/>
      <c r="AO167" s="5"/>
    </row>
    <row r="168" spans="10:41" x14ac:dyDescent="0.3">
      <c r="J168" s="9">
        <v>164</v>
      </c>
      <c r="K168" s="15" t="s">
        <v>37</v>
      </c>
      <c r="L168" s="15" t="s">
        <v>19</v>
      </c>
      <c r="M168" s="15" t="s">
        <v>68</v>
      </c>
      <c r="N168" s="15" t="s">
        <v>35</v>
      </c>
      <c r="O168" s="15" t="s">
        <v>19</v>
      </c>
      <c r="Q168" s="9">
        <v>7</v>
      </c>
      <c r="R168" s="9">
        <v>5</v>
      </c>
      <c r="S168" s="9">
        <v>18</v>
      </c>
      <c r="T168" s="9">
        <v>8</v>
      </c>
      <c r="U168" s="9">
        <v>5</v>
      </c>
      <c r="W168" s="24">
        <v>1</v>
      </c>
      <c r="X168" s="24">
        <v>1</v>
      </c>
      <c r="Y168" s="24">
        <v>1</v>
      </c>
      <c r="Z168" s="24">
        <v>1</v>
      </c>
      <c r="AA168" s="24">
        <v>1</v>
      </c>
      <c r="AH168" s="5"/>
      <c r="AI168" s="5"/>
      <c r="AO168" s="5"/>
    </row>
    <row r="169" spans="10:41" x14ac:dyDescent="0.3">
      <c r="J169" s="24">
        <v>165</v>
      </c>
      <c r="K169" s="15" t="s">
        <v>35</v>
      </c>
      <c r="L169" s="15" t="s">
        <v>35</v>
      </c>
      <c r="M169" s="15" t="s">
        <v>81</v>
      </c>
      <c r="N169" s="15" t="s">
        <v>19</v>
      </c>
      <c r="O169" s="15" t="s">
        <v>95</v>
      </c>
      <c r="Q169" s="9">
        <v>8</v>
      </c>
      <c r="R169" s="9">
        <v>8</v>
      </c>
      <c r="S169" s="9">
        <v>17</v>
      </c>
      <c r="T169" s="9">
        <v>5</v>
      </c>
      <c r="U169" s="9">
        <v>6</v>
      </c>
      <c r="W169" s="24">
        <v>1</v>
      </c>
      <c r="X169" s="24">
        <v>1</v>
      </c>
      <c r="Y169" s="24">
        <v>1</v>
      </c>
      <c r="Z169" s="24">
        <v>1</v>
      </c>
      <c r="AA169" s="24">
        <v>1</v>
      </c>
      <c r="AH169" s="5"/>
      <c r="AI169" s="5"/>
      <c r="AO169" s="5"/>
    </row>
    <row r="170" spans="10:41" x14ac:dyDescent="0.3">
      <c r="J170" s="9">
        <v>166</v>
      </c>
      <c r="K170" s="15" t="s">
        <v>37</v>
      </c>
      <c r="L170" s="15" t="s">
        <v>19</v>
      </c>
      <c r="M170" s="15" t="s">
        <v>65</v>
      </c>
      <c r="N170" s="15" t="s">
        <v>37</v>
      </c>
      <c r="O170" s="15" t="s">
        <v>19</v>
      </c>
      <c r="Q170" s="9">
        <v>7</v>
      </c>
      <c r="R170" s="9">
        <v>5</v>
      </c>
      <c r="S170" s="9">
        <v>16</v>
      </c>
      <c r="T170" s="9">
        <v>7</v>
      </c>
      <c r="U170" s="9">
        <v>5</v>
      </c>
      <c r="W170" s="24">
        <v>1</v>
      </c>
      <c r="X170" s="24">
        <v>1</v>
      </c>
      <c r="Y170" s="24">
        <v>1</v>
      </c>
      <c r="Z170" s="24">
        <v>1</v>
      </c>
      <c r="AA170" s="24">
        <v>1</v>
      </c>
      <c r="AH170" s="5"/>
      <c r="AI170" s="5"/>
      <c r="AO170" s="5"/>
    </row>
    <row r="171" spans="10:41" x14ac:dyDescent="0.3">
      <c r="J171" s="24">
        <v>167</v>
      </c>
      <c r="K171" s="15" t="s">
        <v>36</v>
      </c>
      <c r="L171" s="15" t="s">
        <v>35</v>
      </c>
      <c r="M171" s="15" t="s">
        <v>70</v>
      </c>
      <c r="N171" s="15" t="s">
        <v>35</v>
      </c>
      <c r="O171" s="15" t="s">
        <v>18</v>
      </c>
      <c r="Q171" s="9">
        <v>10</v>
      </c>
      <c r="R171" s="9">
        <v>8</v>
      </c>
      <c r="S171" s="9">
        <v>19</v>
      </c>
      <c r="T171" s="9">
        <v>8</v>
      </c>
      <c r="U171" s="9">
        <v>4</v>
      </c>
      <c r="W171" s="24">
        <v>1</v>
      </c>
      <c r="X171" s="24">
        <v>1</v>
      </c>
      <c r="Y171" s="24">
        <v>1</v>
      </c>
      <c r="Z171" s="24">
        <v>1</v>
      </c>
      <c r="AA171" s="24">
        <v>1</v>
      </c>
      <c r="AH171" s="5"/>
      <c r="AI171" s="5"/>
      <c r="AO171" s="5"/>
    </row>
    <row r="172" spans="10:41" x14ac:dyDescent="0.3">
      <c r="J172" s="9">
        <v>168</v>
      </c>
      <c r="K172" s="15" t="s">
        <v>35</v>
      </c>
      <c r="L172" s="15" t="s">
        <v>22</v>
      </c>
      <c r="M172" s="15" t="s">
        <v>65</v>
      </c>
      <c r="N172" s="15" t="s">
        <v>95</v>
      </c>
      <c r="O172" s="15" t="s">
        <v>35</v>
      </c>
      <c r="Q172" s="9">
        <v>8</v>
      </c>
      <c r="R172" s="9">
        <v>3</v>
      </c>
      <c r="S172" s="9">
        <v>16</v>
      </c>
      <c r="T172" s="9">
        <v>6</v>
      </c>
      <c r="U172" s="9">
        <v>8</v>
      </c>
      <c r="W172" s="24">
        <v>1</v>
      </c>
      <c r="X172" s="24">
        <v>1</v>
      </c>
      <c r="Y172" s="24">
        <v>1</v>
      </c>
      <c r="Z172" s="24">
        <v>1</v>
      </c>
      <c r="AA172" s="24">
        <v>1</v>
      </c>
      <c r="AH172" s="5"/>
      <c r="AI172" s="5"/>
      <c r="AO172" s="5"/>
    </row>
    <row r="173" spans="10:41" x14ac:dyDescent="0.3">
      <c r="J173" s="24">
        <v>169</v>
      </c>
      <c r="K173" s="15" t="s">
        <v>95</v>
      </c>
      <c r="L173" s="15" t="s">
        <v>18</v>
      </c>
      <c r="M173" s="15" t="s">
        <v>96</v>
      </c>
      <c r="N173" s="15" t="s">
        <v>19</v>
      </c>
      <c r="O173" s="15" t="s">
        <v>19</v>
      </c>
      <c r="Q173" s="9">
        <v>6</v>
      </c>
      <c r="R173" s="9">
        <v>4</v>
      </c>
      <c r="S173" s="9">
        <v>15</v>
      </c>
      <c r="T173" s="9">
        <v>5</v>
      </c>
      <c r="U173" s="9">
        <v>5</v>
      </c>
      <c r="W173" s="24">
        <v>1</v>
      </c>
      <c r="X173" s="24">
        <v>1</v>
      </c>
      <c r="Y173" s="24">
        <v>1</v>
      </c>
      <c r="Z173" s="24">
        <v>1</v>
      </c>
      <c r="AA173" s="24">
        <v>1</v>
      </c>
      <c r="AH173" s="5"/>
      <c r="AI173" s="5"/>
      <c r="AO173" s="5"/>
    </row>
    <row r="174" spans="10:41" x14ac:dyDescent="0.3">
      <c r="J174" s="9">
        <v>170</v>
      </c>
      <c r="K174" s="15" t="s">
        <v>19</v>
      </c>
      <c r="L174" s="15" t="s">
        <v>19</v>
      </c>
      <c r="M174" s="15" t="s">
        <v>81</v>
      </c>
      <c r="N174" s="15" t="s">
        <v>20</v>
      </c>
      <c r="O174" s="15" t="s">
        <v>35</v>
      </c>
      <c r="Q174" s="9">
        <v>5</v>
      </c>
      <c r="R174" s="9">
        <v>5</v>
      </c>
      <c r="S174" s="9">
        <v>17</v>
      </c>
      <c r="T174" s="9">
        <v>1</v>
      </c>
      <c r="U174" s="9">
        <v>8</v>
      </c>
      <c r="W174" s="24">
        <v>1</v>
      </c>
      <c r="X174" s="24">
        <v>1</v>
      </c>
      <c r="Y174" s="24">
        <v>1</v>
      </c>
      <c r="Z174" s="24">
        <v>1</v>
      </c>
      <c r="AA174" s="24">
        <v>1</v>
      </c>
      <c r="AH174" s="5"/>
      <c r="AI174" s="5"/>
      <c r="AO174" s="5"/>
    </row>
    <row r="175" spans="10:41" x14ac:dyDescent="0.3">
      <c r="J175" s="24">
        <v>171</v>
      </c>
      <c r="K175" s="15" t="s">
        <v>35</v>
      </c>
      <c r="L175" s="15" t="s">
        <v>18</v>
      </c>
      <c r="M175" s="15" t="s">
        <v>64</v>
      </c>
      <c r="N175" s="15" t="s">
        <v>21</v>
      </c>
      <c r="O175" s="15" t="s">
        <v>37</v>
      </c>
      <c r="Q175" s="9">
        <v>8</v>
      </c>
      <c r="R175" s="9">
        <v>4</v>
      </c>
      <c r="S175" s="9">
        <v>14</v>
      </c>
      <c r="T175" s="9">
        <v>2</v>
      </c>
      <c r="U175" s="9">
        <v>7</v>
      </c>
      <c r="W175" s="24">
        <v>1</v>
      </c>
      <c r="X175" s="24">
        <v>1</v>
      </c>
      <c r="Y175" s="24">
        <v>1</v>
      </c>
      <c r="Z175" s="24">
        <v>1</v>
      </c>
      <c r="AA175" s="24">
        <v>1</v>
      </c>
      <c r="AH175" s="5"/>
      <c r="AI175" s="5"/>
      <c r="AO175" s="5"/>
    </row>
    <row r="176" spans="10:41" x14ac:dyDescent="0.3">
      <c r="J176" s="9">
        <v>172</v>
      </c>
      <c r="K176" s="15" t="s">
        <v>95</v>
      </c>
      <c r="L176" s="15" t="s">
        <v>65</v>
      </c>
      <c r="M176" s="15" t="s">
        <v>65</v>
      </c>
      <c r="N176" s="15" t="s">
        <v>95</v>
      </c>
      <c r="O176" s="15" t="s">
        <v>95</v>
      </c>
      <c r="Q176" s="9">
        <v>6</v>
      </c>
      <c r="R176" s="9">
        <v>16</v>
      </c>
      <c r="S176" s="9">
        <v>16</v>
      </c>
      <c r="T176" s="9">
        <v>6</v>
      </c>
      <c r="U176" s="9">
        <v>6</v>
      </c>
      <c r="W176" s="24">
        <v>1</v>
      </c>
      <c r="X176" s="24">
        <v>1</v>
      </c>
      <c r="Y176" s="24">
        <v>1</v>
      </c>
      <c r="Z176" s="24">
        <v>1</v>
      </c>
      <c r="AA176" s="24">
        <v>1</v>
      </c>
      <c r="AH176" s="5"/>
      <c r="AI176" s="5"/>
      <c r="AO176" s="5"/>
    </row>
    <row r="177" spans="10:41" x14ac:dyDescent="0.3">
      <c r="J177" s="24">
        <v>173</v>
      </c>
      <c r="K177" s="15" t="s">
        <v>34</v>
      </c>
      <c r="L177" s="15" t="s">
        <v>37</v>
      </c>
      <c r="M177" s="15" t="s">
        <v>96</v>
      </c>
      <c r="N177" s="15" t="s">
        <v>64</v>
      </c>
      <c r="O177" s="15" t="s">
        <v>20</v>
      </c>
      <c r="Q177" s="9">
        <v>9</v>
      </c>
      <c r="R177" s="9">
        <v>7</v>
      </c>
      <c r="S177" s="9">
        <v>15</v>
      </c>
      <c r="T177" s="9">
        <v>14</v>
      </c>
      <c r="U177" s="9">
        <v>1</v>
      </c>
      <c r="W177" s="24">
        <v>1</v>
      </c>
      <c r="X177" s="24">
        <v>1</v>
      </c>
      <c r="Y177" s="24">
        <v>1</v>
      </c>
      <c r="Z177" s="24">
        <v>1</v>
      </c>
      <c r="AA177" s="24">
        <v>1</v>
      </c>
      <c r="AH177" s="5"/>
      <c r="AI177" s="5"/>
      <c r="AO177" s="5"/>
    </row>
    <row r="178" spans="10:41" x14ac:dyDescent="0.3">
      <c r="J178" s="9">
        <v>174</v>
      </c>
      <c r="K178" s="15" t="s">
        <v>37</v>
      </c>
      <c r="L178" s="15" t="s">
        <v>19</v>
      </c>
      <c r="M178" s="15" t="s">
        <v>81</v>
      </c>
      <c r="N178" s="15" t="s">
        <v>95</v>
      </c>
      <c r="O178" s="15" t="s">
        <v>22</v>
      </c>
      <c r="Q178" s="9">
        <v>7</v>
      </c>
      <c r="R178" s="9">
        <v>5</v>
      </c>
      <c r="S178" s="9">
        <v>17</v>
      </c>
      <c r="T178" s="9">
        <v>6</v>
      </c>
      <c r="U178" s="9">
        <v>3</v>
      </c>
      <c r="W178" s="24">
        <v>1</v>
      </c>
      <c r="X178" s="24">
        <v>1</v>
      </c>
      <c r="Y178" s="24">
        <v>1</v>
      </c>
      <c r="Z178" s="24">
        <v>1</v>
      </c>
      <c r="AA178" s="24">
        <v>1</v>
      </c>
      <c r="AH178" s="5"/>
      <c r="AI178" s="5"/>
      <c r="AO178" s="5"/>
    </row>
    <row r="179" spans="10:41" x14ac:dyDescent="0.3">
      <c r="J179" s="24">
        <v>175</v>
      </c>
      <c r="K179" s="15" t="s">
        <v>19</v>
      </c>
      <c r="L179" s="15" t="s">
        <v>18</v>
      </c>
      <c r="M179" s="15" t="s">
        <v>65</v>
      </c>
      <c r="N179" s="15" t="s">
        <v>35</v>
      </c>
      <c r="O179" s="15" t="s">
        <v>35</v>
      </c>
      <c r="Q179" s="9">
        <v>5</v>
      </c>
      <c r="R179" s="9">
        <v>4</v>
      </c>
      <c r="S179" s="9">
        <v>16</v>
      </c>
      <c r="T179" s="9">
        <v>8</v>
      </c>
      <c r="U179" s="9">
        <v>8</v>
      </c>
      <c r="W179" s="24">
        <v>1</v>
      </c>
      <c r="X179" s="24">
        <v>1</v>
      </c>
      <c r="Y179" s="24">
        <v>1</v>
      </c>
      <c r="Z179" s="24">
        <v>1</v>
      </c>
      <c r="AA179" s="24">
        <v>1</v>
      </c>
      <c r="AH179" s="5"/>
      <c r="AI179" s="5"/>
      <c r="AO179" s="5"/>
    </row>
    <row r="180" spans="10:41" x14ac:dyDescent="0.3">
      <c r="J180" s="9">
        <v>176</v>
      </c>
      <c r="K180" s="15" t="s">
        <v>18</v>
      </c>
      <c r="L180" s="15" t="s">
        <v>37</v>
      </c>
      <c r="M180" s="15" t="s">
        <v>96</v>
      </c>
      <c r="N180" s="15" t="s">
        <v>37</v>
      </c>
      <c r="O180" s="15" t="s">
        <v>95</v>
      </c>
      <c r="Q180" s="9">
        <v>4</v>
      </c>
      <c r="R180" s="9">
        <v>7</v>
      </c>
      <c r="S180" s="9">
        <v>15</v>
      </c>
      <c r="T180" s="9">
        <v>7</v>
      </c>
      <c r="U180" s="9">
        <v>6</v>
      </c>
      <c r="W180" s="24">
        <v>1</v>
      </c>
      <c r="X180" s="24">
        <v>1</v>
      </c>
      <c r="Y180" s="24">
        <v>1</v>
      </c>
      <c r="Z180" s="24">
        <v>1</v>
      </c>
      <c r="AA180" s="24">
        <v>1</v>
      </c>
      <c r="AH180" s="5"/>
      <c r="AI180" s="5"/>
      <c r="AO180" s="5"/>
    </row>
    <row r="181" spans="10:41" x14ac:dyDescent="0.3">
      <c r="J181" s="24">
        <v>177</v>
      </c>
      <c r="K181" s="15" t="s">
        <v>95</v>
      </c>
      <c r="L181" s="15" t="s">
        <v>95</v>
      </c>
      <c r="M181" s="15" t="s">
        <v>81</v>
      </c>
      <c r="N181" s="15" t="s">
        <v>65</v>
      </c>
      <c r="O181" s="15" t="s">
        <v>35</v>
      </c>
      <c r="Q181" s="9">
        <v>6</v>
      </c>
      <c r="R181" s="9">
        <v>6</v>
      </c>
      <c r="S181" s="9">
        <v>17</v>
      </c>
      <c r="T181" s="9">
        <v>16</v>
      </c>
      <c r="U181" s="9">
        <v>8</v>
      </c>
      <c r="W181" s="24">
        <v>1</v>
      </c>
      <c r="X181" s="24">
        <v>1</v>
      </c>
      <c r="Y181" s="24">
        <v>1</v>
      </c>
      <c r="Z181" s="24">
        <v>1</v>
      </c>
      <c r="AA181" s="24">
        <v>1</v>
      </c>
      <c r="AH181" s="5"/>
      <c r="AI181" s="5"/>
      <c r="AO181" s="5"/>
    </row>
    <row r="182" spans="10:41" x14ac:dyDescent="0.3">
      <c r="J182" s="9">
        <v>178</v>
      </c>
      <c r="K182" s="15" t="s">
        <v>35</v>
      </c>
      <c r="L182" s="15" t="s">
        <v>19</v>
      </c>
      <c r="M182" s="15" t="s">
        <v>96</v>
      </c>
      <c r="N182" s="15" t="s">
        <v>35</v>
      </c>
      <c r="O182" s="15" t="s">
        <v>21</v>
      </c>
      <c r="Q182" s="9">
        <v>8</v>
      </c>
      <c r="R182" s="9">
        <v>5</v>
      </c>
      <c r="S182" s="9">
        <v>15</v>
      </c>
      <c r="T182" s="9">
        <v>8</v>
      </c>
      <c r="U182" s="9">
        <v>2</v>
      </c>
      <c r="W182" s="24">
        <v>1</v>
      </c>
      <c r="X182" s="24">
        <v>1</v>
      </c>
      <c r="Y182" s="24">
        <v>1</v>
      </c>
      <c r="Z182" s="24">
        <v>1</v>
      </c>
      <c r="AA182" s="24">
        <v>1</v>
      </c>
      <c r="AH182" s="5"/>
      <c r="AI182" s="5"/>
      <c r="AO182" s="5"/>
    </row>
    <row r="183" spans="10:41" x14ac:dyDescent="0.3">
      <c r="J183" s="24">
        <v>179</v>
      </c>
      <c r="K183" s="15" t="s">
        <v>37</v>
      </c>
      <c r="L183" s="15" t="s">
        <v>37</v>
      </c>
      <c r="M183" s="15" t="s">
        <v>81</v>
      </c>
      <c r="N183" s="15" t="s">
        <v>37</v>
      </c>
      <c r="O183" s="15" t="s">
        <v>95</v>
      </c>
      <c r="Q183" s="9">
        <v>7</v>
      </c>
      <c r="R183" s="9">
        <v>7</v>
      </c>
      <c r="S183" s="9">
        <v>17</v>
      </c>
      <c r="T183" s="9">
        <v>7</v>
      </c>
      <c r="U183" s="9">
        <v>6</v>
      </c>
      <c r="W183" s="24">
        <v>1</v>
      </c>
      <c r="X183" s="24">
        <v>1</v>
      </c>
      <c r="Y183" s="24">
        <v>1</v>
      </c>
      <c r="Z183" s="24">
        <v>1</v>
      </c>
      <c r="AA183" s="24">
        <v>1</v>
      </c>
      <c r="AH183" s="5"/>
      <c r="AI183" s="5"/>
      <c r="AO183" s="5"/>
    </row>
    <row r="184" spans="10:41" x14ac:dyDescent="0.3">
      <c r="J184" s="9">
        <v>180</v>
      </c>
      <c r="K184" s="15" t="s">
        <v>95</v>
      </c>
      <c r="L184" s="15" t="s">
        <v>95</v>
      </c>
      <c r="M184" s="15" t="s">
        <v>70</v>
      </c>
      <c r="N184" s="15" t="s">
        <v>19</v>
      </c>
      <c r="O184" s="15" t="s">
        <v>19</v>
      </c>
      <c r="Q184" s="9">
        <v>6</v>
      </c>
      <c r="R184" s="9">
        <v>6</v>
      </c>
      <c r="S184" s="9">
        <v>19</v>
      </c>
      <c r="T184" s="9">
        <v>5</v>
      </c>
      <c r="U184" s="9">
        <v>5</v>
      </c>
      <c r="W184" s="24">
        <v>1</v>
      </c>
      <c r="X184" s="24">
        <v>1</v>
      </c>
      <c r="Y184" s="24">
        <v>1</v>
      </c>
      <c r="Z184" s="24">
        <v>1</v>
      </c>
      <c r="AA184" s="24">
        <v>1</v>
      </c>
      <c r="AH184" s="5"/>
      <c r="AI184" s="5"/>
      <c r="AO184" s="5"/>
    </row>
    <row r="185" spans="10:41" x14ac:dyDescent="0.3">
      <c r="J185" s="24">
        <v>181</v>
      </c>
      <c r="K185" s="15" t="s">
        <v>37</v>
      </c>
      <c r="L185" s="15" t="s">
        <v>37</v>
      </c>
      <c r="M185" s="15" t="s">
        <v>96</v>
      </c>
      <c r="N185" s="15" t="s">
        <v>81</v>
      </c>
      <c r="O185" s="15" t="s">
        <v>37</v>
      </c>
      <c r="Q185" s="9">
        <v>7</v>
      </c>
      <c r="R185" s="9">
        <v>7</v>
      </c>
      <c r="S185" s="9">
        <v>15</v>
      </c>
      <c r="T185" s="9">
        <v>17</v>
      </c>
      <c r="U185" s="9">
        <v>7</v>
      </c>
      <c r="W185" s="24">
        <v>1</v>
      </c>
      <c r="X185" s="24">
        <v>1</v>
      </c>
      <c r="Y185" s="24">
        <v>1</v>
      </c>
      <c r="Z185" s="24">
        <v>1</v>
      </c>
      <c r="AA185" s="24">
        <v>1</v>
      </c>
      <c r="AH185" s="5"/>
      <c r="AI185" s="5"/>
      <c r="AO185" s="5"/>
    </row>
    <row r="186" spans="10:41" x14ac:dyDescent="0.3">
      <c r="J186" s="9">
        <v>182</v>
      </c>
      <c r="K186" s="15" t="s">
        <v>95</v>
      </c>
      <c r="L186" s="15" t="s">
        <v>34</v>
      </c>
      <c r="M186" s="15" t="s">
        <v>64</v>
      </c>
      <c r="N186" s="15" t="s">
        <v>35</v>
      </c>
      <c r="O186" s="15" t="s">
        <v>95</v>
      </c>
      <c r="Q186" s="9">
        <v>6</v>
      </c>
      <c r="R186" s="9">
        <v>9</v>
      </c>
      <c r="S186" s="9">
        <v>14</v>
      </c>
      <c r="T186" s="9">
        <v>8</v>
      </c>
      <c r="U186" s="9">
        <v>6</v>
      </c>
      <c r="W186" s="24">
        <v>1</v>
      </c>
      <c r="X186" s="24">
        <v>1</v>
      </c>
      <c r="Y186" s="24">
        <v>1</v>
      </c>
      <c r="Z186" s="24">
        <v>1</v>
      </c>
      <c r="AA186" s="24">
        <v>1</v>
      </c>
      <c r="AH186" s="5"/>
      <c r="AI186" s="5"/>
      <c r="AO186" s="5"/>
    </row>
    <row r="187" spans="10:41" x14ac:dyDescent="0.3">
      <c r="J187" s="24">
        <v>183</v>
      </c>
      <c r="K187" s="15" t="s">
        <v>35</v>
      </c>
      <c r="L187" s="15" t="s">
        <v>96</v>
      </c>
      <c r="M187" s="15" t="s">
        <v>81</v>
      </c>
      <c r="N187" s="15" t="s">
        <v>20</v>
      </c>
      <c r="O187" s="15" t="s">
        <v>36</v>
      </c>
      <c r="Q187" s="9">
        <v>8</v>
      </c>
      <c r="R187" s="9">
        <v>15</v>
      </c>
      <c r="S187" s="9">
        <v>17</v>
      </c>
      <c r="T187" s="9">
        <v>1</v>
      </c>
      <c r="U187" s="9">
        <v>10</v>
      </c>
      <c r="W187" s="24">
        <v>1</v>
      </c>
      <c r="X187" s="24">
        <v>1</v>
      </c>
      <c r="Y187" s="24">
        <v>1</v>
      </c>
      <c r="Z187" s="24">
        <v>1</v>
      </c>
      <c r="AA187" s="24">
        <v>1</v>
      </c>
      <c r="AH187" s="5"/>
      <c r="AI187" s="5"/>
      <c r="AO187" s="5"/>
    </row>
    <row r="188" spans="10:41" x14ac:dyDescent="0.3">
      <c r="J188" s="9">
        <v>184</v>
      </c>
      <c r="K188" s="15" t="s">
        <v>37</v>
      </c>
      <c r="L188" s="15" t="s">
        <v>34</v>
      </c>
      <c r="M188" s="15" t="s">
        <v>64</v>
      </c>
      <c r="N188" s="15" t="s">
        <v>95</v>
      </c>
      <c r="O188" s="15" t="s">
        <v>19</v>
      </c>
      <c r="Q188" s="9">
        <v>7</v>
      </c>
      <c r="R188" s="9">
        <v>9</v>
      </c>
      <c r="S188" s="9">
        <v>14</v>
      </c>
      <c r="T188" s="9">
        <v>6</v>
      </c>
      <c r="U188" s="9">
        <v>5</v>
      </c>
      <c r="W188" s="24">
        <v>1</v>
      </c>
      <c r="X188" s="24">
        <v>1</v>
      </c>
      <c r="Y188" s="24">
        <v>1</v>
      </c>
      <c r="Z188" s="24">
        <v>1</v>
      </c>
      <c r="AA188" s="24">
        <v>1</v>
      </c>
      <c r="AH188" s="5"/>
      <c r="AI188" s="5"/>
      <c r="AO188" s="5"/>
    </row>
    <row r="189" spans="10:41" x14ac:dyDescent="0.3">
      <c r="J189" s="24">
        <v>185</v>
      </c>
      <c r="K189" s="15" t="s">
        <v>35</v>
      </c>
      <c r="L189" s="15" t="s">
        <v>19</v>
      </c>
      <c r="M189" s="15" t="s">
        <v>81</v>
      </c>
      <c r="N189" s="15" t="s">
        <v>18</v>
      </c>
      <c r="O189" s="15" t="s">
        <v>34</v>
      </c>
      <c r="Q189" s="9">
        <v>8</v>
      </c>
      <c r="R189" s="9">
        <v>5</v>
      </c>
      <c r="S189" s="9">
        <v>17</v>
      </c>
      <c r="T189" s="9">
        <v>4</v>
      </c>
      <c r="U189" s="9">
        <v>9</v>
      </c>
      <c r="W189" s="24">
        <v>1</v>
      </c>
      <c r="X189" s="24">
        <v>1</v>
      </c>
      <c r="Y189" s="24">
        <v>1</v>
      </c>
      <c r="Z189" s="24">
        <v>1</v>
      </c>
      <c r="AA189" s="24">
        <v>1</v>
      </c>
      <c r="AH189" s="5"/>
      <c r="AI189" s="5"/>
      <c r="AO189" s="5"/>
    </row>
    <row r="190" spans="10:41" x14ac:dyDescent="0.3">
      <c r="J190" s="9">
        <v>186</v>
      </c>
      <c r="K190" s="15" t="s">
        <v>18</v>
      </c>
      <c r="L190" s="15" t="s">
        <v>96</v>
      </c>
      <c r="M190" s="15" t="s">
        <v>96</v>
      </c>
      <c r="N190" s="15" t="s">
        <v>95</v>
      </c>
      <c r="O190" s="15" t="s">
        <v>20</v>
      </c>
      <c r="Q190" s="9">
        <v>4</v>
      </c>
      <c r="R190" s="9">
        <v>15</v>
      </c>
      <c r="S190" s="9">
        <v>15</v>
      </c>
      <c r="T190" s="9">
        <v>6</v>
      </c>
      <c r="U190" s="9">
        <v>1</v>
      </c>
      <c r="W190" s="24">
        <v>1</v>
      </c>
      <c r="X190" s="24">
        <v>1</v>
      </c>
      <c r="Y190" s="24">
        <v>1</v>
      </c>
      <c r="Z190" s="24">
        <v>1</v>
      </c>
      <c r="AA190" s="24">
        <v>1</v>
      </c>
      <c r="AH190" s="5"/>
      <c r="AI190" s="5"/>
      <c r="AO190" s="5"/>
    </row>
    <row r="191" spans="10:41" x14ac:dyDescent="0.3">
      <c r="J191" s="24">
        <v>187</v>
      </c>
      <c r="K191" s="15" t="s">
        <v>35</v>
      </c>
      <c r="L191" s="15" t="s">
        <v>95</v>
      </c>
      <c r="M191" s="15" t="s">
        <v>64</v>
      </c>
      <c r="N191" s="15" t="s">
        <v>37</v>
      </c>
      <c r="O191" s="15" t="s">
        <v>95</v>
      </c>
      <c r="Q191" s="9">
        <v>8</v>
      </c>
      <c r="R191" s="9">
        <v>6</v>
      </c>
      <c r="S191" s="9">
        <v>14</v>
      </c>
      <c r="T191" s="9">
        <v>7</v>
      </c>
      <c r="U191" s="9">
        <v>6</v>
      </c>
      <c r="W191" s="24">
        <v>1</v>
      </c>
      <c r="X191" s="24">
        <v>1</v>
      </c>
      <c r="Y191" s="24">
        <v>1</v>
      </c>
      <c r="Z191" s="24">
        <v>1</v>
      </c>
      <c r="AA191" s="24">
        <v>1</v>
      </c>
      <c r="AH191" s="5"/>
      <c r="AI191" s="5"/>
      <c r="AO191" s="5"/>
    </row>
    <row r="192" spans="10:41" x14ac:dyDescent="0.3">
      <c r="J192" s="9">
        <v>188</v>
      </c>
      <c r="K192" s="15" t="s">
        <v>37</v>
      </c>
      <c r="L192" s="15" t="s">
        <v>19</v>
      </c>
      <c r="M192" s="15" t="s">
        <v>65</v>
      </c>
      <c r="N192" s="15" t="s">
        <v>65</v>
      </c>
      <c r="O192" s="15" t="s">
        <v>35</v>
      </c>
      <c r="Q192" s="9">
        <v>7</v>
      </c>
      <c r="R192" s="9">
        <v>5</v>
      </c>
      <c r="S192" s="9">
        <v>16</v>
      </c>
      <c r="T192" s="9">
        <v>16</v>
      </c>
      <c r="U192" s="9">
        <v>8</v>
      </c>
      <c r="W192" s="24">
        <v>1</v>
      </c>
      <c r="X192" s="24">
        <v>1</v>
      </c>
      <c r="Y192" s="24">
        <v>1</v>
      </c>
      <c r="Z192" s="24">
        <v>1</v>
      </c>
      <c r="AA192" s="24">
        <v>1</v>
      </c>
      <c r="AH192" s="5"/>
      <c r="AI192" s="5"/>
      <c r="AO192" s="5"/>
    </row>
    <row r="193" spans="10:41" x14ac:dyDescent="0.3">
      <c r="J193" s="24">
        <v>189</v>
      </c>
      <c r="K193" s="15" t="s">
        <v>95</v>
      </c>
      <c r="L193" s="15" t="s">
        <v>35</v>
      </c>
      <c r="M193" s="15" t="s">
        <v>64</v>
      </c>
      <c r="N193" s="15" t="s">
        <v>19</v>
      </c>
      <c r="O193" s="15" t="s">
        <v>95</v>
      </c>
      <c r="Q193" s="9">
        <v>6</v>
      </c>
      <c r="R193" s="9">
        <v>8</v>
      </c>
      <c r="S193" s="9">
        <v>14</v>
      </c>
      <c r="T193" s="9">
        <v>5</v>
      </c>
      <c r="U193" s="9">
        <v>6</v>
      </c>
      <c r="W193" s="24">
        <v>1</v>
      </c>
      <c r="X193" s="24">
        <v>1</v>
      </c>
      <c r="Y193" s="24">
        <v>1</v>
      </c>
      <c r="Z193" s="24">
        <v>1</v>
      </c>
      <c r="AA193" s="24">
        <v>1</v>
      </c>
      <c r="AH193" s="5"/>
      <c r="AI193" s="5"/>
      <c r="AO193" s="5"/>
    </row>
    <row r="194" spans="10:41" x14ac:dyDescent="0.3">
      <c r="J194" s="9">
        <v>190</v>
      </c>
      <c r="K194" s="15" t="s">
        <v>35</v>
      </c>
      <c r="L194" s="15" t="s">
        <v>63</v>
      </c>
      <c r="M194" s="15" t="s">
        <v>65</v>
      </c>
      <c r="N194" s="15" t="s">
        <v>35</v>
      </c>
      <c r="O194" s="15" t="s">
        <v>35</v>
      </c>
      <c r="Q194" s="9">
        <v>8</v>
      </c>
      <c r="R194" s="9">
        <v>13</v>
      </c>
      <c r="S194" s="9">
        <v>16</v>
      </c>
      <c r="T194" s="9">
        <v>8</v>
      </c>
      <c r="U194" s="9">
        <v>8</v>
      </c>
      <c r="W194" s="24">
        <v>1</v>
      </c>
      <c r="X194" s="24">
        <v>1</v>
      </c>
      <c r="Y194" s="24">
        <v>1</v>
      </c>
      <c r="Z194" s="24">
        <v>1</v>
      </c>
      <c r="AA194" s="24">
        <v>1</v>
      </c>
      <c r="AH194" s="5"/>
      <c r="AI194" s="5"/>
      <c r="AO194" s="5"/>
    </row>
    <row r="195" spans="10:41" x14ac:dyDescent="0.3">
      <c r="J195" s="24">
        <v>191</v>
      </c>
      <c r="K195" s="15" t="s">
        <v>19</v>
      </c>
      <c r="L195" s="15" t="s">
        <v>37</v>
      </c>
      <c r="M195" s="15" t="s">
        <v>63</v>
      </c>
      <c r="N195" s="15" t="s">
        <v>19</v>
      </c>
      <c r="O195" s="15" t="s">
        <v>95</v>
      </c>
      <c r="Q195" s="9">
        <v>5</v>
      </c>
      <c r="R195" s="9">
        <v>7</v>
      </c>
      <c r="S195" s="9">
        <v>13</v>
      </c>
      <c r="T195" s="9">
        <v>5</v>
      </c>
      <c r="U195" s="9">
        <v>6</v>
      </c>
      <c r="W195" s="24">
        <v>1</v>
      </c>
      <c r="X195" s="24">
        <v>1</v>
      </c>
      <c r="Y195" s="24">
        <v>1</v>
      </c>
      <c r="Z195" s="24">
        <v>1</v>
      </c>
      <c r="AA195" s="24">
        <v>1</v>
      </c>
      <c r="AH195" s="5"/>
      <c r="AI195" s="5"/>
      <c r="AO195" s="5"/>
    </row>
    <row r="196" spans="10:41" x14ac:dyDescent="0.3">
      <c r="J196" s="9">
        <v>192</v>
      </c>
      <c r="K196" s="15" t="s">
        <v>95</v>
      </c>
      <c r="L196" s="15" t="s">
        <v>19</v>
      </c>
      <c r="M196" s="15" t="s">
        <v>65</v>
      </c>
      <c r="N196" s="15" t="s">
        <v>22</v>
      </c>
      <c r="O196" s="15" t="s">
        <v>18</v>
      </c>
      <c r="Q196" s="9">
        <v>6</v>
      </c>
      <c r="R196" s="9">
        <v>5</v>
      </c>
      <c r="S196" s="9">
        <v>16</v>
      </c>
      <c r="T196" s="9">
        <v>3</v>
      </c>
      <c r="U196" s="9">
        <v>4</v>
      </c>
      <c r="W196" s="24">
        <v>1</v>
      </c>
      <c r="X196" s="24">
        <v>1</v>
      </c>
      <c r="Y196" s="24">
        <v>1</v>
      </c>
      <c r="Z196" s="24">
        <v>1</v>
      </c>
      <c r="AA196" s="24">
        <v>1</v>
      </c>
      <c r="AH196" s="5"/>
      <c r="AI196" s="5"/>
      <c r="AO196" s="5"/>
    </row>
    <row r="197" spans="10:41" x14ac:dyDescent="0.3">
      <c r="J197" s="24">
        <v>193</v>
      </c>
      <c r="K197" s="15" t="s">
        <v>35</v>
      </c>
      <c r="L197" s="15" t="s">
        <v>35</v>
      </c>
      <c r="M197" s="15" t="s">
        <v>81</v>
      </c>
      <c r="N197" s="15" t="s">
        <v>95</v>
      </c>
      <c r="O197" s="15" t="s">
        <v>37</v>
      </c>
      <c r="Q197" s="9">
        <v>8</v>
      </c>
      <c r="R197" s="9">
        <v>8</v>
      </c>
      <c r="S197" s="9">
        <v>17</v>
      </c>
      <c r="T197" s="9">
        <v>6</v>
      </c>
      <c r="U197" s="9">
        <v>7</v>
      </c>
      <c r="W197" s="24">
        <v>1</v>
      </c>
      <c r="X197" s="24">
        <v>1</v>
      </c>
      <c r="Y197" s="24">
        <v>1</v>
      </c>
      <c r="Z197" s="24">
        <v>1</v>
      </c>
      <c r="AA197" s="24">
        <v>1</v>
      </c>
      <c r="AH197" s="5"/>
      <c r="AI197" s="5"/>
      <c r="AO197" s="5"/>
    </row>
    <row r="198" spans="10:41" x14ac:dyDescent="0.3">
      <c r="J198" s="9">
        <v>194</v>
      </c>
      <c r="K198" s="15" t="s">
        <v>95</v>
      </c>
      <c r="L198" s="15" t="s">
        <v>34</v>
      </c>
      <c r="M198" s="15" t="s">
        <v>65</v>
      </c>
      <c r="N198" s="15" t="s">
        <v>35</v>
      </c>
      <c r="O198" s="15" t="s">
        <v>95</v>
      </c>
      <c r="Q198" s="9">
        <v>6</v>
      </c>
      <c r="R198" s="9">
        <v>9</v>
      </c>
      <c r="S198" s="9">
        <v>16</v>
      </c>
      <c r="T198" s="9">
        <v>8</v>
      </c>
      <c r="U198" s="9">
        <v>6</v>
      </c>
      <c r="W198" s="24">
        <v>1</v>
      </c>
      <c r="X198" s="24">
        <v>1</v>
      </c>
      <c r="Y198" s="24">
        <v>1</v>
      </c>
      <c r="Z198" s="24">
        <v>1</v>
      </c>
      <c r="AA198" s="24">
        <v>1</v>
      </c>
      <c r="AH198" s="5"/>
      <c r="AI198" s="5"/>
      <c r="AO198" s="5"/>
    </row>
    <row r="199" spans="10:41" x14ac:dyDescent="0.3">
      <c r="J199" s="24">
        <v>195</v>
      </c>
      <c r="K199" s="15" t="s">
        <v>37</v>
      </c>
      <c r="L199" s="15" t="s">
        <v>19</v>
      </c>
      <c r="M199" s="15" t="s">
        <v>81</v>
      </c>
      <c r="N199" s="15" t="s">
        <v>19</v>
      </c>
      <c r="O199" s="15" t="s">
        <v>37</v>
      </c>
      <c r="Q199" s="9">
        <v>7</v>
      </c>
      <c r="R199" s="9">
        <v>5</v>
      </c>
      <c r="S199" s="9">
        <v>17</v>
      </c>
      <c r="T199" s="9">
        <v>5</v>
      </c>
      <c r="U199" s="9">
        <v>7</v>
      </c>
      <c r="W199" s="24">
        <v>1</v>
      </c>
      <c r="X199" s="24">
        <v>1</v>
      </c>
      <c r="Y199" s="24">
        <v>1</v>
      </c>
      <c r="Z199" s="24">
        <v>1</v>
      </c>
      <c r="AA199" s="24">
        <v>1</v>
      </c>
      <c r="AH199" s="5"/>
      <c r="AI199" s="5"/>
      <c r="AO199" s="5"/>
    </row>
    <row r="200" spans="10:41" x14ac:dyDescent="0.3">
      <c r="J200" s="9">
        <v>196</v>
      </c>
      <c r="K200" s="15" t="s">
        <v>19</v>
      </c>
      <c r="L200" s="15" t="s">
        <v>95</v>
      </c>
      <c r="M200" s="15" t="s">
        <v>70</v>
      </c>
      <c r="N200" s="15" t="s">
        <v>95</v>
      </c>
      <c r="O200" s="15" t="s">
        <v>35</v>
      </c>
      <c r="Q200" s="9">
        <v>5</v>
      </c>
      <c r="R200" s="9">
        <v>6</v>
      </c>
      <c r="S200" s="9">
        <v>19</v>
      </c>
      <c r="T200" s="9">
        <v>6</v>
      </c>
      <c r="U200" s="9">
        <v>8</v>
      </c>
      <c r="W200" s="24">
        <v>1</v>
      </c>
      <c r="X200" s="24">
        <v>1</v>
      </c>
      <c r="Y200" s="24">
        <v>1</v>
      </c>
      <c r="Z200" s="24">
        <v>1</v>
      </c>
      <c r="AA200" s="24">
        <v>1</v>
      </c>
      <c r="AH200" s="5"/>
      <c r="AI200" s="5"/>
      <c r="AO200" s="5"/>
    </row>
    <row r="201" spans="10:41" x14ac:dyDescent="0.3">
      <c r="J201" s="24">
        <v>197</v>
      </c>
      <c r="K201" s="15" t="s">
        <v>95</v>
      </c>
      <c r="L201" s="15" t="s">
        <v>18</v>
      </c>
      <c r="M201" s="15" t="s">
        <v>65</v>
      </c>
      <c r="N201" s="15" t="s">
        <v>19</v>
      </c>
      <c r="O201" s="15" t="s">
        <v>37</v>
      </c>
      <c r="Q201" s="9">
        <v>6</v>
      </c>
      <c r="R201" s="9">
        <v>4</v>
      </c>
      <c r="S201" s="9">
        <v>16</v>
      </c>
      <c r="T201" s="9">
        <v>5</v>
      </c>
      <c r="U201" s="9">
        <v>7</v>
      </c>
      <c r="W201" s="24">
        <v>1</v>
      </c>
      <c r="X201" s="24">
        <v>1</v>
      </c>
      <c r="Y201" s="24">
        <v>1</v>
      </c>
      <c r="Z201" s="24">
        <v>1</v>
      </c>
      <c r="AA201" s="24">
        <v>1</v>
      </c>
      <c r="AH201" s="5"/>
      <c r="AI201" s="5"/>
      <c r="AO201" s="5"/>
    </row>
    <row r="202" spans="10:41" x14ac:dyDescent="0.3">
      <c r="J202" s="9">
        <v>198</v>
      </c>
      <c r="K202" s="15" t="s">
        <v>37</v>
      </c>
      <c r="L202" s="15" t="s">
        <v>34</v>
      </c>
      <c r="M202" s="15" t="s">
        <v>81</v>
      </c>
      <c r="N202" s="15" t="s">
        <v>34</v>
      </c>
      <c r="O202" s="15" t="s">
        <v>19</v>
      </c>
      <c r="Q202" s="9">
        <v>7</v>
      </c>
      <c r="R202" s="9">
        <v>9</v>
      </c>
      <c r="S202" s="9">
        <v>17</v>
      </c>
      <c r="T202" s="9">
        <v>9</v>
      </c>
      <c r="U202" s="9">
        <v>5</v>
      </c>
      <c r="W202" s="24">
        <v>1</v>
      </c>
      <c r="X202" s="24">
        <v>1</v>
      </c>
      <c r="Y202" s="24">
        <v>1</v>
      </c>
      <c r="Z202" s="24">
        <v>1</v>
      </c>
      <c r="AA202" s="24">
        <v>1</v>
      </c>
      <c r="AH202" s="5"/>
      <c r="AI202" s="5"/>
      <c r="AO202" s="5"/>
    </row>
    <row r="203" spans="10:41" x14ac:dyDescent="0.3">
      <c r="J203" s="24">
        <v>199</v>
      </c>
      <c r="K203" s="15" t="s">
        <v>35</v>
      </c>
      <c r="L203" s="15" t="s">
        <v>37</v>
      </c>
      <c r="M203" s="15" t="s">
        <v>96</v>
      </c>
      <c r="N203" s="15" t="s">
        <v>37</v>
      </c>
      <c r="O203" s="15" t="s">
        <v>35</v>
      </c>
      <c r="Q203" s="9">
        <v>8</v>
      </c>
      <c r="R203" s="9">
        <v>7</v>
      </c>
      <c r="S203" s="9">
        <v>15</v>
      </c>
      <c r="T203" s="9">
        <v>7</v>
      </c>
      <c r="U203" s="9">
        <v>8</v>
      </c>
      <c r="W203" s="24">
        <v>1</v>
      </c>
      <c r="X203" s="24">
        <v>1</v>
      </c>
      <c r="Y203" s="24">
        <v>1</v>
      </c>
      <c r="Z203" s="24">
        <v>1</v>
      </c>
      <c r="AA203" s="24">
        <v>1</v>
      </c>
      <c r="AH203" s="5"/>
      <c r="AI203" s="5"/>
      <c r="AO203" s="5"/>
    </row>
    <row r="204" spans="10:41" x14ac:dyDescent="0.3">
      <c r="J204" s="9"/>
      <c r="K204" s="15"/>
      <c r="L204" s="15"/>
      <c r="M204" s="15"/>
      <c r="N204" s="15"/>
      <c r="O204" s="15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4"/>
      <c r="X204" s="24"/>
      <c r="Y204" s="24"/>
      <c r="Z204" s="24"/>
      <c r="AA204" s="24"/>
      <c r="AH204" s="5"/>
      <c r="AI204" s="5"/>
      <c r="AO204" s="5"/>
    </row>
    <row r="205" spans="10:41" x14ac:dyDescent="0.3">
      <c r="J205" s="24"/>
      <c r="K205" s="15"/>
      <c r="L205" s="15"/>
      <c r="M205" s="15"/>
      <c r="N205" s="15"/>
      <c r="O205" s="15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4"/>
      <c r="X205" s="24"/>
      <c r="Y205" s="24"/>
      <c r="Z205" s="24"/>
      <c r="AA205" s="24"/>
      <c r="AH205" s="5"/>
      <c r="AI205" s="5"/>
      <c r="AO205" s="5"/>
    </row>
    <row r="206" spans="10:41" x14ac:dyDescent="0.3">
      <c r="J206" s="24"/>
      <c r="K206" s="15"/>
      <c r="L206" s="15"/>
      <c r="M206" s="15"/>
      <c r="N206" s="15"/>
      <c r="O206" s="15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4"/>
      <c r="X206" s="24"/>
      <c r="Y206" s="24"/>
      <c r="Z206" s="24"/>
      <c r="AA206" s="24"/>
      <c r="AH206" s="5"/>
      <c r="AI206" s="5"/>
      <c r="AO206" s="5"/>
    </row>
    <row r="207" spans="10:41" x14ac:dyDescent="0.3">
      <c r="J207" s="9"/>
      <c r="K207" s="15"/>
      <c r="L207" s="15"/>
      <c r="M207" s="15"/>
      <c r="N207" s="15"/>
      <c r="O207" s="15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4"/>
      <c r="X207" s="24"/>
      <c r="Y207" s="24"/>
      <c r="Z207" s="24"/>
      <c r="AA207" s="24"/>
      <c r="AH207" s="5"/>
      <c r="AI207" s="5"/>
      <c r="AO207" s="5"/>
    </row>
    <row r="208" spans="10:41" x14ac:dyDescent="0.3">
      <c r="J208" s="24"/>
      <c r="K208" s="15"/>
      <c r="L208" s="15"/>
      <c r="M208" s="15"/>
      <c r="N208" s="15"/>
      <c r="O208" s="15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4"/>
      <c r="X208" s="24"/>
      <c r="Y208" s="24"/>
      <c r="Z208" s="24"/>
      <c r="AA208" s="24"/>
      <c r="AH208" s="5"/>
      <c r="AI208" s="5"/>
      <c r="AO208" s="5"/>
    </row>
    <row r="209" spans="10:41" x14ac:dyDescent="0.3">
      <c r="J209" s="9"/>
      <c r="K209" s="15"/>
      <c r="L209" s="15"/>
      <c r="M209" s="15"/>
      <c r="N209" s="15"/>
      <c r="O209" s="15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4"/>
      <c r="X209" s="24"/>
      <c r="Y209" s="24"/>
      <c r="Z209" s="24"/>
      <c r="AA209" s="24"/>
      <c r="AH209" s="5"/>
      <c r="AI209" s="5"/>
      <c r="AO209" s="5"/>
    </row>
    <row r="210" spans="10:41" x14ac:dyDescent="0.3">
      <c r="J210" s="24"/>
      <c r="K210" s="15"/>
      <c r="L210" s="15"/>
      <c r="M210" s="15"/>
      <c r="N210" s="15"/>
      <c r="O210" s="15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4"/>
      <c r="X210" s="24"/>
      <c r="Y210" s="24"/>
      <c r="Z210" s="24"/>
      <c r="AA210" s="24"/>
      <c r="AH210" s="5"/>
      <c r="AI210" s="5"/>
      <c r="AO210" s="5"/>
    </row>
    <row r="211" spans="10:41" x14ac:dyDescent="0.3">
      <c r="J211" s="9"/>
      <c r="K211" s="15"/>
      <c r="L211" s="15"/>
      <c r="M211" s="15"/>
      <c r="N211" s="15"/>
      <c r="O211" s="15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4"/>
      <c r="X211" s="24"/>
      <c r="Y211" s="24"/>
      <c r="Z211" s="24"/>
      <c r="AA211" s="24"/>
      <c r="AH211" s="5"/>
      <c r="AI211" s="5"/>
      <c r="AO211" s="5"/>
    </row>
    <row r="212" spans="10:41" x14ac:dyDescent="0.3">
      <c r="J212" s="24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4"/>
      <c r="X212" s="24"/>
      <c r="Y212" s="24"/>
      <c r="Z212" s="24"/>
      <c r="AA212" s="24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4"/>
      <c r="X213" s="24"/>
      <c r="Y213" s="24"/>
      <c r="Z213" s="24"/>
      <c r="AA213" s="24"/>
      <c r="AH213" s="5"/>
      <c r="AI213" s="5"/>
      <c r="AO213" s="5"/>
    </row>
    <row r="214" spans="10:41" x14ac:dyDescent="0.3">
      <c r="J214" s="24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4"/>
      <c r="X214" s="24"/>
      <c r="Y214" s="24"/>
      <c r="Z214" s="24"/>
      <c r="AA214" s="24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4"/>
      <c r="X215" s="24"/>
      <c r="Y215" s="24"/>
      <c r="Z215" s="24"/>
      <c r="AA215" s="24"/>
      <c r="AH215" s="5"/>
      <c r="AI215" s="5"/>
      <c r="AO215" s="5"/>
    </row>
    <row r="216" spans="10:41" x14ac:dyDescent="0.3">
      <c r="J216" s="24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4"/>
      <c r="X216" s="24"/>
      <c r="Y216" s="24"/>
      <c r="Z216" s="24"/>
      <c r="AA216" s="24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4"/>
      <c r="X217" s="24"/>
      <c r="Y217" s="24"/>
      <c r="Z217" s="24"/>
      <c r="AA217" s="24"/>
      <c r="AH217" s="5"/>
      <c r="AI217" s="5"/>
      <c r="AO217" s="5"/>
    </row>
    <row r="218" spans="10:41" x14ac:dyDescent="0.3">
      <c r="J218" s="24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4"/>
      <c r="X218" s="24"/>
      <c r="Y218" s="24"/>
      <c r="Z218" s="24"/>
      <c r="AA218" s="24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4"/>
      <c r="X219" s="24"/>
      <c r="Y219" s="24"/>
      <c r="Z219" s="24"/>
      <c r="AA219" s="24"/>
      <c r="AH219" s="5"/>
      <c r="AI219" s="5"/>
      <c r="AO219" s="5"/>
    </row>
    <row r="220" spans="10:41" x14ac:dyDescent="0.3">
      <c r="J220" s="24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4"/>
      <c r="X220" s="24"/>
      <c r="Y220" s="24"/>
      <c r="Z220" s="24"/>
      <c r="AA220" s="24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4"/>
      <c r="X221" s="24"/>
      <c r="Y221" s="24"/>
      <c r="Z221" s="24"/>
      <c r="AA221" s="24"/>
      <c r="AH221" s="5"/>
      <c r="AI221" s="5"/>
      <c r="AO221" s="5"/>
    </row>
    <row r="222" spans="10:41" x14ac:dyDescent="0.3">
      <c r="J222" s="24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4"/>
      <c r="X222" s="24"/>
      <c r="Y222" s="24"/>
      <c r="Z222" s="24"/>
      <c r="AA222" s="24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4"/>
      <c r="X223" s="24"/>
      <c r="Y223" s="24"/>
      <c r="Z223" s="24"/>
      <c r="AA223" s="24"/>
      <c r="AH223" s="5"/>
      <c r="AI223" s="5"/>
      <c r="AO223" s="5"/>
    </row>
    <row r="224" spans="10:41" x14ac:dyDescent="0.3">
      <c r="J224" s="24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4"/>
      <c r="X224" s="24"/>
      <c r="Y224" s="24"/>
      <c r="Z224" s="24"/>
      <c r="AA224" s="24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4"/>
      <c r="X225" s="24"/>
      <c r="Y225" s="24"/>
      <c r="Z225" s="24"/>
      <c r="AA225" s="24"/>
      <c r="AH225" s="5"/>
      <c r="AI225" s="5"/>
      <c r="AO225" s="5"/>
    </row>
    <row r="226" spans="10:41" x14ac:dyDescent="0.3">
      <c r="J226" s="24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4"/>
      <c r="X226" s="24"/>
      <c r="Y226" s="24"/>
      <c r="Z226" s="24"/>
      <c r="AA226" s="24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4"/>
      <c r="X227" s="24"/>
      <c r="Y227" s="24"/>
      <c r="Z227" s="24"/>
      <c r="AA227" s="24"/>
      <c r="AH227" s="5"/>
      <c r="AI227" s="5"/>
      <c r="AO227" s="5"/>
    </row>
    <row r="228" spans="10:41" x14ac:dyDescent="0.3">
      <c r="J228" s="24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4"/>
      <c r="X228" s="24"/>
      <c r="Y228" s="24"/>
      <c r="Z228" s="24"/>
      <c r="AA228" s="24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4"/>
      <c r="X229" s="24"/>
      <c r="Y229" s="24"/>
      <c r="Z229" s="24"/>
      <c r="AA229" s="24"/>
      <c r="AH229" s="5"/>
      <c r="AI229" s="5"/>
      <c r="AO229" s="5"/>
    </row>
    <row r="230" spans="10:41" x14ac:dyDescent="0.3">
      <c r="J230" s="24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4"/>
      <c r="X230" s="24"/>
      <c r="Y230" s="24"/>
      <c r="Z230" s="24"/>
      <c r="AA230" s="24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4"/>
      <c r="X231" s="24"/>
      <c r="Y231" s="24"/>
      <c r="Z231" s="24"/>
      <c r="AA231" s="24"/>
      <c r="AH231" s="5"/>
      <c r="AI231" s="5"/>
      <c r="AO231" s="5"/>
    </row>
    <row r="232" spans="10:41" x14ac:dyDescent="0.3">
      <c r="J232" s="24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4"/>
      <c r="X232" s="24"/>
      <c r="Y232" s="24"/>
      <c r="Z232" s="24"/>
      <c r="AA232" s="24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4"/>
      <c r="X233" s="24"/>
      <c r="Y233" s="24"/>
      <c r="Z233" s="24"/>
      <c r="AA233" s="24"/>
      <c r="AH233" s="5"/>
      <c r="AI233" s="5"/>
      <c r="AO233" s="5"/>
    </row>
    <row r="234" spans="10:41" x14ac:dyDescent="0.3">
      <c r="J234" s="24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4"/>
      <c r="X234" s="24"/>
      <c r="Y234" s="24"/>
      <c r="Z234" s="24"/>
      <c r="AA234" s="24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4"/>
      <c r="X235" s="24"/>
      <c r="Y235" s="24"/>
      <c r="Z235" s="24"/>
      <c r="AA235" s="24"/>
      <c r="AH235" s="5"/>
      <c r="AI235" s="5"/>
      <c r="AO235" s="5"/>
    </row>
    <row r="236" spans="10:41" x14ac:dyDescent="0.3">
      <c r="J236" s="24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4"/>
      <c r="X236" s="24"/>
      <c r="Y236" s="24"/>
      <c r="Z236" s="24"/>
      <c r="AA236" s="24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4"/>
      <c r="X237" s="24"/>
      <c r="Y237" s="24"/>
      <c r="Z237" s="24"/>
      <c r="AA237" s="24"/>
      <c r="AH237" s="5"/>
      <c r="AI237" s="5"/>
      <c r="AO237" s="5"/>
    </row>
    <row r="238" spans="10:41" x14ac:dyDescent="0.3">
      <c r="J238" s="24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4"/>
      <c r="X238" s="24"/>
      <c r="Y238" s="24"/>
      <c r="Z238" s="24"/>
      <c r="AA238" s="24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4"/>
      <c r="X239" s="24"/>
      <c r="Y239" s="24"/>
      <c r="Z239" s="24"/>
      <c r="AA239" s="24"/>
      <c r="AH239" s="5"/>
      <c r="AI239" s="5"/>
      <c r="AO239" s="5"/>
    </row>
    <row r="240" spans="10:41" x14ac:dyDescent="0.3">
      <c r="J240" s="24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4"/>
      <c r="X240" s="24"/>
      <c r="Y240" s="24"/>
      <c r="Z240" s="24"/>
      <c r="AA240" s="24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4"/>
      <c r="X241" s="24"/>
      <c r="Y241" s="24"/>
      <c r="Z241" s="24"/>
      <c r="AA241" s="24"/>
      <c r="AH241" s="5"/>
      <c r="AI241" s="5"/>
      <c r="AO241" s="5"/>
    </row>
    <row r="242" spans="10:41" x14ac:dyDescent="0.3">
      <c r="J242" s="24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4"/>
      <c r="X242" s="24"/>
      <c r="Y242" s="24"/>
      <c r="Z242" s="24"/>
      <c r="AA242" s="24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4"/>
      <c r="X243" s="24"/>
      <c r="Y243" s="24"/>
      <c r="Z243" s="24"/>
      <c r="AA243" s="24"/>
      <c r="AH243" s="5"/>
      <c r="AI243" s="5"/>
      <c r="AO243" s="5"/>
    </row>
    <row r="244" spans="10:41" x14ac:dyDescent="0.3">
      <c r="J244" s="24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4"/>
      <c r="X244" s="24"/>
      <c r="Y244" s="24"/>
      <c r="Z244" s="24"/>
      <c r="AA244" s="24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4"/>
      <c r="X245" s="24"/>
      <c r="Y245" s="24"/>
      <c r="Z245" s="24"/>
      <c r="AA245" s="24"/>
      <c r="AH245" s="5"/>
      <c r="AI245" s="5"/>
      <c r="AO245" s="5"/>
    </row>
    <row r="246" spans="10:41" x14ac:dyDescent="0.3">
      <c r="J246" s="24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4"/>
      <c r="X246" s="24"/>
      <c r="Y246" s="24"/>
      <c r="Z246" s="24"/>
      <c r="AA246" s="24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4"/>
      <c r="X247" s="24"/>
      <c r="Y247" s="24"/>
      <c r="Z247" s="24"/>
      <c r="AA247" s="24"/>
      <c r="AH247" s="5"/>
      <c r="AI247" s="5"/>
      <c r="AO247" s="5"/>
    </row>
    <row r="248" spans="10:41" x14ac:dyDescent="0.3">
      <c r="J248" s="24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4"/>
      <c r="X248" s="24"/>
      <c r="Y248" s="24"/>
      <c r="Z248" s="24"/>
      <c r="AA248" s="24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4"/>
      <c r="X249" s="24"/>
      <c r="Y249" s="24"/>
      <c r="Z249" s="24"/>
      <c r="AA249" s="24"/>
      <c r="AH249" s="5"/>
      <c r="AI249" s="5"/>
      <c r="AO249" s="5"/>
    </row>
    <row r="250" spans="10:41" x14ac:dyDescent="0.3">
      <c r="J250" s="24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4"/>
      <c r="X250" s="24"/>
      <c r="Y250" s="24"/>
      <c r="Z250" s="24"/>
      <c r="AA250" s="24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4"/>
      <c r="X251" s="24"/>
      <c r="Y251" s="24"/>
      <c r="Z251" s="24"/>
      <c r="AA251" s="24"/>
      <c r="AH251" s="5"/>
      <c r="AI251" s="5"/>
      <c r="AO251" s="5"/>
    </row>
    <row r="252" spans="10:41" x14ac:dyDescent="0.3">
      <c r="J252" s="24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4"/>
      <c r="X252" s="24"/>
      <c r="Y252" s="24"/>
      <c r="Z252" s="24"/>
      <c r="AA252" s="24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4"/>
      <c r="X253" s="24"/>
      <c r="Y253" s="24"/>
      <c r="Z253" s="24"/>
      <c r="AA253" s="24"/>
      <c r="AH253" s="5"/>
      <c r="AI253" s="5"/>
      <c r="AO253" s="5"/>
    </row>
    <row r="254" spans="10:41" x14ac:dyDescent="0.3">
      <c r="J254" s="24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4"/>
      <c r="X254" s="24"/>
      <c r="Y254" s="24"/>
      <c r="Z254" s="24"/>
      <c r="AA254" s="24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4"/>
      <c r="X255" s="24"/>
      <c r="Y255" s="24"/>
      <c r="Z255" s="24"/>
      <c r="AA255" s="24"/>
      <c r="AH255" s="5"/>
      <c r="AI255" s="5"/>
      <c r="AO255" s="5"/>
    </row>
    <row r="256" spans="10:41" x14ac:dyDescent="0.3">
      <c r="J256" s="24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4"/>
      <c r="X256" s="24"/>
      <c r="Y256" s="24"/>
      <c r="Z256" s="24"/>
      <c r="AA256" s="24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4"/>
      <c r="X257" s="24"/>
      <c r="Y257" s="24"/>
      <c r="Z257" s="24"/>
      <c r="AA257" s="24"/>
      <c r="AH257" s="5"/>
      <c r="AI257" s="5"/>
      <c r="AO257" s="5"/>
    </row>
    <row r="258" spans="10:41" x14ac:dyDescent="0.3">
      <c r="J258" s="24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4"/>
      <c r="X258" s="24"/>
      <c r="Y258" s="24"/>
      <c r="Z258" s="24"/>
      <c r="AA258" s="24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4"/>
      <c r="X259" s="24"/>
      <c r="Y259" s="24"/>
      <c r="Z259" s="24"/>
      <c r="AA259" s="24"/>
      <c r="AH259" s="5"/>
      <c r="AI259" s="5"/>
      <c r="AO259" s="5"/>
    </row>
    <row r="260" spans="10:41" x14ac:dyDescent="0.3">
      <c r="J260" s="24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4"/>
      <c r="X260" s="24"/>
      <c r="Y260" s="24"/>
      <c r="Z260" s="24"/>
      <c r="AA260" s="24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4"/>
      <c r="X261" s="24"/>
      <c r="Y261" s="24"/>
      <c r="Z261" s="24"/>
      <c r="AA261" s="24"/>
      <c r="AH261" s="5"/>
      <c r="AI261" s="5"/>
      <c r="AO261" s="5"/>
    </row>
    <row r="262" spans="10:41" x14ac:dyDescent="0.3">
      <c r="J262" s="24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4"/>
      <c r="X262" s="24"/>
      <c r="Y262" s="24"/>
      <c r="Z262" s="24"/>
      <c r="AA262" s="24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4"/>
      <c r="X263" s="24"/>
      <c r="Y263" s="24"/>
      <c r="Z263" s="24"/>
      <c r="AA263" s="24"/>
      <c r="AH263" s="5"/>
      <c r="AI263" s="5"/>
      <c r="AO263" s="5"/>
    </row>
    <row r="264" spans="10:41" x14ac:dyDescent="0.3">
      <c r="J264" s="24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4"/>
      <c r="X264" s="24"/>
      <c r="Y264" s="24"/>
      <c r="Z264" s="24"/>
      <c r="AA264" s="24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4"/>
      <c r="X265" s="24"/>
      <c r="Y265" s="24"/>
      <c r="Z265" s="24"/>
      <c r="AA265" s="24"/>
      <c r="AH265" s="5"/>
      <c r="AI265" s="5"/>
      <c r="AO265" s="5"/>
    </row>
    <row r="266" spans="10:41" x14ac:dyDescent="0.3">
      <c r="J266" s="24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4"/>
      <c r="X266" s="24"/>
      <c r="Y266" s="24"/>
      <c r="Z266" s="24"/>
      <c r="AA266" s="24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4"/>
      <c r="X267" s="24"/>
      <c r="Y267" s="24"/>
      <c r="Z267" s="24"/>
      <c r="AA267" s="24"/>
      <c r="AH267" s="5"/>
      <c r="AI267" s="5"/>
      <c r="AO267" s="5"/>
    </row>
    <row r="268" spans="10:41" x14ac:dyDescent="0.3">
      <c r="J268" s="24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4"/>
      <c r="X268" s="24"/>
      <c r="Y268" s="24"/>
      <c r="Z268" s="24"/>
      <c r="AA268" s="24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4"/>
      <c r="X269" s="24"/>
      <c r="Y269" s="24"/>
      <c r="Z269" s="24"/>
      <c r="AA269" s="24"/>
      <c r="AH269" s="5"/>
      <c r="AI269" s="5"/>
      <c r="AO269" s="5"/>
    </row>
    <row r="270" spans="10:41" x14ac:dyDescent="0.3">
      <c r="J270" s="24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4"/>
      <c r="X270" s="24"/>
      <c r="Y270" s="24"/>
      <c r="Z270" s="24"/>
      <c r="AA270" s="24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4"/>
      <c r="X271" s="24"/>
      <c r="Y271" s="24"/>
      <c r="Z271" s="24"/>
      <c r="AA271" s="24"/>
      <c r="AH271" s="5"/>
      <c r="AI271" s="5"/>
      <c r="AO271" s="5"/>
    </row>
    <row r="272" spans="10:41" x14ac:dyDescent="0.3">
      <c r="J272" s="24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4"/>
      <c r="X272" s="24"/>
      <c r="Y272" s="24"/>
      <c r="Z272" s="24"/>
      <c r="AA272" s="24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4"/>
      <c r="X273" s="24"/>
      <c r="Y273" s="24"/>
      <c r="Z273" s="24"/>
      <c r="AA273" s="24"/>
      <c r="AH273" s="5"/>
      <c r="AI273" s="5"/>
      <c r="AO273" s="5"/>
    </row>
    <row r="274" spans="10:41" x14ac:dyDescent="0.3">
      <c r="J274" s="24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4"/>
      <c r="X274" s="24"/>
      <c r="Y274" s="24"/>
      <c r="Z274" s="24"/>
      <c r="AA274" s="24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4"/>
      <c r="X275" s="24"/>
      <c r="Y275" s="24"/>
      <c r="Z275" s="24"/>
      <c r="AA275" s="24"/>
      <c r="AH275" s="5"/>
      <c r="AI275" s="5"/>
      <c r="AO275" s="5"/>
    </row>
    <row r="276" spans="10:41" x14ac:dyDescent="0.3">
      <c r="J276" s="24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4"/>
      <c r="X276" s="24"/>
      <c r="Y276" s="24"/>
      <c r="Z276" s="24"/>
      <c r="AA276" s="24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4"/>
      <c r="X277" s="24"/>
      <c r="Y277" s="24"/>
      <c r="Z277" s="24"/>
      <c r="AA277" s="24"/>
      <c r="AH277" s="5"/>
      <c r="AI277" s="5"/>
      <c r="AO277" s="5"/>
    </row>
    <row r="278" spans="10:41" x14ac:dyDescent="0.3">
      <c r="J278" s="24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4"/>
      <c r="X278" s="24"/>
      <c r="Y278" s="24"/>
      <c r="Z278" s="24"/>
      <c r="AA278" s="24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4"/>
      <c r="X279" s="24"/>
      <c r="Y279" s="24"/>
      <c r="Z279" s="24"/>
      <c r="AA279" s="24"/>
      <c r="AH279" s="5"/>
      <c r="AI279" s="5"/>
      <c r="AO279" s="5"/>
    </row>
    <row r="280" spans="10:41" x14ac:dyDescent="0.3">
      <c r="J280" s="24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4"/>
      <c r="X280" s="24"/>
      <c r="Y280" s="24"/>
      <c r="Z280" s="24"/>
      <c r="AA280" s="24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4"/>
      <c r="X281" s="24"/>
      <c r="Y281" s="24"/>
      <c r="Z281" s="24"/>
      <c r="AA281" s="24"/>
      <c r="AH281" s="5"/>
      <c r="AI281" s="5"/>
      <c r="AO281" s="5"/>
    </row>
    <row r="282" spans="10:41" x14ac:dyDescent="0.3">
      <c r="J282" s="24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4"/>
      <c r="X282" s="24"/>
      <c r="Y282" s="24"/>
      <c r="Z282" s="24"/>
      <c r="AA282" s="24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4"/>
      <c r="X283" s="24"/>
      <c r="Y283" s="24"/>
      <c r="Z283" s="24"/>
      <c r="AA283" s="24"/>
      <c r="AH283" s="5"/>
      <c r="AI283" s="5"/>
      <c r="AO283" s="5"/>
    </row>
    <row r="284" spans="10:41" x14ac:dyDescent="0.3">
      <c r="J284" s="24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4"/>
      <c r="X284" s="24"/>
      <c r="Y284" s="24"/>
      <c r="Z284" s="24"/>
      <c r="AA284" s="24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4"/>
      <c r="X285" s="24"/>
      <c r="Y285" s="24"/>
      <c r="Z285" s="24"/>
      <c r="AA285" s="24"/>
      <c r="AH285" s="5"/>
      <c r="AI285" s="5"/>
      <c r="AO285" s="5"/>
    </row>
    <row r="286" spans="10:41" x14ac:dyDescent="0.3">
      <c r="J286" s="24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4"/>
      <c r="X286" s="24"/>
      <c r="Y286" s="24"/>
      <c r="Z286" s="24"/>
      <c r="AA286" s="24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4"/>
      <c r="X287" s="24"/>
      <c r="Y287" s="24"/>
      <c r="Z287" s="24"/>
      <c r="AA287" s="24"/>
      <c r="AH287" s="5"/>
      <c r="AI287" s="5"/>
      <c r="AO287" s="5"/>
    </row>
    <row r="288" spans="10:41" x14ac:dyDescent="0.3">
      <c r="J288" s="24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4"/>
      <c r="X288" s="24"/>
      <c r="Y288" s="24"/>
      <c r="Z288" s="24"/>
      <c r="AA288" s="24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4"/>
      <c r="X289" s="24"/>
      <c r="Y289" s="24"/>
      <c r="Z289" s="24"/>
      <c r="AA289" s="24"/>
      <c r="AH289" s="5"/>
      <c r="AI289" s="5"/>
      <c r="AO289" s="5"/>
    </row>
    <row r="290" spans="10:41" x14ac:dyDescent="0.3">
      <c r="J290" s="24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4"/>
      <c r="X290" s="24"/>
      <c r="Y290" s="24"/>
      <c r="Z290" s="24"/>
      <c r="AA290" s="24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4"/>
      <c r="X291" s="24"/>
      <c r="Y291" s="24"/>
      <c r="Z291" s="24"/>
      <c r="AA291" s="24"/>
      <c r="AH291" s="5"/>
      <c r="AI291" s="5"/>
      <c r="AO291" s="5"/>
    </row>
    <row r="292" spans="10:41" x14ac:dyDescent="0.3">
      <c r="J292" s="24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4"/>
      <c r="X292" s="24"/>
      <c r="Y292" s="24"/>
      <c r="Z292" s="24"/>
      <c r="AA292" s="24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4"/>
      <c r="X293" s="24"/>
      <c r="Y293" s="24"/>
      <c r="Z293" s="24"/>
      <c r="AA293" s="24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4"/>
      <c r="X294" s="24"/>
      <c r="Y294" s="24"/>
      <c r="Z294" s="24"/>
      <c r="AA294" s="24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4"/>
      <c r="X295" s="24"/>
      <c r="Y295" s="24"/>
      <c r="Z295" s="24"/>
      <c r="AA295" s="24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4"/>
      <c r="X296" s="24"/>
      <c r="Y296" s="24"/>
      <c r="Z296" s="24"/>
      <c r="AA296" s="24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4"/>
      <c r="X297" s="24"/>
      <c r="Y297" s="24"/>
      <c r="Z297" s="24"/>
      <c r="AA297" s="24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4"/>
      <c r="X298" s="24"/>
      <c r="Y298" s="24"/>
      <c r="Z298" s="24"/>
      <c r="AA298" s="24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4"/>
      <c r="X299" s="24"/>
      <c r="Y299" s="24"/>
      <c r="Z299" s="24"/>
      <c r="AA299" s="24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4"/>
      <c r="X300" s="24"/>
      <c r="Y300" s="24"/>
      <c r="Z300" s="24"/>
      <c r="AA300" s="24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4"/>
      <c r="X301" s="24"/>
      <c r="Y301" s="24"/>
      <c r="Z301" s="24"/>
      <c r="AA301" s="24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4"/>
      <c r="X302" s="24"/>
      <c r="Y302" s="24"/>
      <c r="Z302" s="24"/>
      <c r="AA302" s="24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4"/>
      <c r="X303" s="24"/>
      <c r="Y303" s="24"/>
      <c r="Z303" s="24"/>
      <c r="AA303" s="24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4"/>
      <c r="X304" s="24"/>
      <c r="Y304" s="24"/>
      <c r="Z304" s="24"/>
      <c r="AA304" s="24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47" priority="35">
      <formula>_xlfn.LET(_xlpm.x, W4, AND(NOT(_xlfn.ISFORMULA(_xlpm.x)), _xlpm.x&lt;&gt;""))</formula>
    </cfRule>
  </conditionalFormatting>
  <conditionalFormatting sqref="W4:AA203">
    <cfRule type="expression" dxfId="46" priority="30">
      <formula>_xlfn.LET(_xlpm.x, W4, AND(NOT(_xlfn.ISFORMULA(_xlpm.x)), _xlpm.x&lt;&gt;""))</formula>
    </cfRule>
  </conditionalFormatting>
  <conditionalFormatting sqref="K1:O8 K10:O39 K9:L9 N9:O9 K41:O90 K40:L40 N40:O40 K91:L91 N91:O91 K92:O1048576">
    <cfRule type="cellIs" dxfId="45" priority="26" operator="equal">
      <formula>"C1"</formula>
    </cfRule>
    <cfRule type="cellIs" dxfId="44" priority="27" operator="between">
      <formula>"G1"</formula>
      <formula>"G5"</formula>
    </cfRule>
    <cfRule type="cellIs" dxfId="43" priority="28" operator="between">
      <formula>"GA"</formula>
      <formula>"GJ"</formula>
    </cfRule>
    <cfRule type="cellIs" dxfId="42" priority="29" operator="between">
      <formula>"M1"</formula>
      <formula>"M5"</formula>
    </cfRule>
  </conditionalFormatting>
  <conditionalFormatting sqref="C31:G46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{46D34CE6-15B7-49B5-9867-BDF1B514DE29}</x14:id>
        </ext>
      </extLst>
    </cfRule>
  </conditionalFormatting>
  <conditionalFormatting sqref="D52:D54">
    <cfRule type="cellIs" dxfId="41" priority="21" operator="equal">
      <formula>"C1"</formula>
    </cfRule>
    <cfRule type="cellIs" dxfId="40" priority="22" operator="between">
      <formula>"G1"</formula>
      <formula>"G4"</formula>
    </cfRule>
    <cfRule type="cellIs" dxfId="39" priority="23" operator="between">
      <formula>"GA"</formula>
      <formula>"GQ"</formula>
    </cfRule>
    <cfRule type="cellIs" dxfId="38" priority="24" operator="between">
      <formula>"M1"</formula>
      <formula>"M4"</formula>
    </cfRule>
  </conditionalFormatting>
  <conditionalFormatting sqref="E52:E54">
    <cfRule type="cellIs" dxfId="37" priority="17" operator="equal">
      <formula>"C1"</formula>
    </cfRule>
    <cfRule type="cellIs" dxfId="36" priority="18" operator="between">
      <formula>"G1"</formula>
      <formula>"G4"</formula>
    </cfRule>
    <cfRule type="cellIs" dxfId="35" priority="19" operator="between">
      <formula>"GA"</formula>
      <formula>"GQ"</formula>
    </cfRule>
    <cfRule type="cellIs" dxfId="34" priority="20" operator="between">
      <formula>"M1"</formula>
      <formula>"M4"</formula>
    </cfRule>
  </conditionalFormatting>
  <conditionalFormatting sqref="F52:F54">
    <cfRule type="cellIs" dxfId="33" priority="13" operator="equal">
      <formula>"C1"</formula>
    </cfRule>
    <cfRule type="cellIs" dxfId="32" priority="14" operator="between">
      <formula>"G1"</formula>
      <formula>"G4"</formula>
    </cfRule>
    <cfRule type="cellIs" dxfId="31" priority="15" operator="between">
      <formula>"GA"</formula>
      <formula>"GQ"</formula>
    </cfRule>
    <cfRule type="cellIs" dxfId="30" priority="16" operator="between">
      <formula>"M1"</formula>
      <formula>"M4"</formula>
    </cfRule>
  </conditionalFormatting>
  <conditionalFormatting sqref="M9">
    <cfRule type="cellIs" dxfId="29" priority="9" operator="equal">
      <formula>"C1"</formula>
    </cfRule>
    <cfRule type="cellIs" dxfId="28" priority="10" operator="between">
      <formula>"G1"</formula>
      <formula>"G5"</formula>
    </cfRule>
    <cfRule type="cellIs" dxfId="27" priority="11" operator="between">
      <formula>"GA"</formula>
      <formula>"GJ"</formula>
    </cfRule>
    <cfRule type="cellIs" dxfId="26" priority="12" operator="between">
      <formula>"M1"</formula>
      <formula>"M5"</formula>
    </cfRule>
  </conditionalFormatting>
  <conditionalFormatting sqref="M40">
    <cfRule type="cellIs" dxfId="25" priority="5" operator="equal">
      <formula>"C1"</formula>
    </cfRule>
    <cfRule type="cellIs" dxfId="24" priority="6" operator="between">
      <formula>"G1"</formula>
      <formula>"G5"</formula>
    </cfRule>
    <cfRule type="cellIs" dxfId="23" priority="7" operator="between">
      <formula>"GA"</formula>
      <formula>"GJ"</formula>
    </cfRule>
    <cfRule type="cellIs" dxfId="22" priority="8" operator="between">
      <formula>"M1"</formula>
      <formula>"M5"</formula>
    </cfRule>
  </conditionalFormatting>
  <conditionalFormatting sqref="M91">
    <cfRule type="cellIs" dxfId="21" priority="1" operator="equal">
      <formula>"C1"</formula>
    </cfRule>
    <cfRule type="cellIs" dxfId="20" priority="2" operator="between">
      <formula>"G1"</formula>
      <formula>"G5"</formula>
    </cfRule>
    <cfRule type="cellIs" dxfId="19" priority="3" operator="between">
      <formula>"GA"</formula>
      <formula>"GJ"</formula>
    </cfRule>
    <cfRule type="cellIs" dxfId="18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D34CE6-15B7-49B5-9867-BDF1B514DE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C31:G46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>
      <selection activeCell="W5" sqref="W5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4" width="11" style="5" bestFit="1" customWidth="1"/>
    <col min="5" max="6" width="9.5546875" style="5" bestFit="1" customWidth="1"/>
    <col min="7" max="7" width="11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6" t="s">
        <v>101</v>
      </c>
      <c r="Q2" s="26" t="s">
        <v>102</v>
      </c>
      <c r="W2" s="26" t="s">
        <v>103</v>
      </c>
      <c r="AC2" s="26" t="s">
        <v>104</v>
      </c>
      <c r="AH2" s="5"/>
      <c r="AI2" s="5"/>
      <c r="AJ2" s="26" t="s">
        <v>80</v>
      </c>
      <c r="AO2" s="5"/>
    </row>
    <row r="3" spans="1:41" ht="15.9" customHeight="1" x14ac:dyDescent="0.3">
      <c r="A3" s="19" t="s">
        <v>5</v>
      </c>
      <c r="B3" s="19" t="s">
        <v>12</v>
      </c>
      <c r="C3" s="19" t="s">
        <v>6</v>
      </c>
      <c r="D3" s="19" t="s">
        <v>7</v>
      </c>
      <c r="E3" s="19" t="s">
        <v>8</v>
      </c>
      <c r="F3" s="19" t="s">
        <v>9</v>
      </c>
      <c r="G3" s="19" t="s">
        <v>10</v>
      </c>
      <c r="H3" s="19" t="s">
        <v>11</v>
      </c>
      <c r="I3" s="14"/>
      <c r="J3" s="19"/>
      <c r="K3" s="19" t="s">
        <v>13</v>
      </c>
      <c r="L3" s="19" t="s">
        <v>14</v>
      </c>
      <c r="M3" s="19" t="s">
        <v>15</v>
      </c>
      <c r="N3" s="19" t="s">
        <v>16</v>
      </c>
      <c r="O3" s="19" t="s">
        <v>17</v>
      </c>
      <c r="Q3" s="19" t="s">
        <v>13</v>
      </c>
      <c r="R3" s="19" t="s">
        <v>14</v>
      </c>
      <c r="S3" s="19" t="s">
        <v>15</v>
      </c>
      <c r="T3" s="19" t="s">
        <v>16</v>
      </c>
      <c r="U3" s="19" t="s">
        <v>17</v>
      </c>
      <c r="W3" s="19" t="s">
        <v>6</v>
      </c>
      <c r="X3" s="19" t="s">
        <v>14</v>
      </c>
      <c r="Y3" s="19" t="s">
        <v>15</v>
      </c>
      <c r="Z3" s="19" t="s">
        <v>16</v>
      </c>
      <c r="AA3" s="19" t="s">
        <v>17</v>
      </c>
      <c r="AO3" s="5"/>
    </row>
    <row r="4" spans="1:41" ht="15.9" customHeight="1" x14ac:dyDescent="0.3">
      <c r="A4" s="28" t="str" cm="1">
        <f t="array" ref="A4:B23">Overview!A38:B57</f>
        <v>WW</v>
      </c>
      <c r="B4" s="8" t="str">
        <v>Wild</v>
      </c>
      <c r="C4" s="53">
        <f t="shared" ref="C4:G23" si="0">COUNTIF(K:K, $A4)</f>
        <v>0</v>
      </c>
      <c r="D4" s="53">
        <f t="shared" si="0"/>
        <v>0</v>
      </c>
      <c r="E4" s="53">
        <f t="shared" si="0"/>
        <v>0</v>
      </c>
      <c r="F4" s="53">
        <f t="shared" si="0"/>
        <v>0</v>
      </c>
      <c r="G4" s="53">
        <f t="shared" si="0"/>
        <v>0</v>
      </c>
      <c r="H4" s="8" cm="1">
        <f t="array" ref="H4:H23">Overview!F38:F57</f>
        <v>0</v>
      </c>
      <c r="I4" s="51"/>
      <c r="J4" s="24" cm="1">
        <f t="array" ref="J4:J103">_xlfn.SEQUENCE(MAX(COUNTA(K:K), COUNTA(L:L), COUNTA(M:M), COUNTA(N:N), COUNTA(O:O))-1,,0)</f>
        <v>0</v>
      </c>
      <c r="K4" s="25" t="s">
        <v>22</v>
      </c>
      <c r="L4" s="25" t="s">
        <v>35</v>
      </c>
      <c r="M4" s="25" t="s">
        <v>21</v>
      </c>
      <c r="N4" s="25" t="s">
        <v>70</v>
      </c>
      <c r="O4" s="25" t="s">
        <v>37</v>
      </c>
      <c r="Q4" s="24" cm="1">
        <f t="array" ref="Q4:U304">_xlfn.LET(_xlpm.x, K4:O304, IF(_xlpm.x="", "", _xlfn.XLOOKUP(_xlpm.x, $A$4:$A$23,_xlfn.ANCHORARRAY( H4))))</f>
        <v>3</v>
      </c>
      <c r="R4" s="24">
        <v>8</v>
      </c>
      <c r="S4" s="24">
        <v>2</v>
      </c>
      <c r="T4" s="24">
        <v>19</v>
      </c>
      <c r="U4" s="24">
        <v>7</v>
      </c>
      <c r="W4" s="24">
        <v>1</v>
      </c>
      <c r="X4" s="24">
        <v>1</v>
      </c>
      <c r="Y4" s="24">
        <v>1</v>
      </c>
      <c r="Z4" s="24">
        <v>1</v>
      </c>
      <c r="AA4" s="24">
        <v>1</v>
      </c>
      <c r="AB4" s="42"/>
      <c r="AC4" s="26" t="s">
        <v>99</v>
      </c>
      <c r="AH4" s="5"/>
      <c r="AI4" s="5"/>
      <c r="AJ4" s="26" t="s">
        <v>99</v>
      </c>
      <c r="AO4" s="5"/>
    </row>
    <row r="5" spans="1:41" ht="15.9" customHeight="1" x14ac:dyDescent="0.3">
      <c r="A5" s="28" t="str">
        <v>C1</v>
      </c>
      <c r="B5" s="8" t="str">
        <v>Scatter</v>
      </c>
      <c r="C5" s="53">
        <f t="shared" si="0"/>
        <v>3</v>
      </c>
      <c r="D5" s="53">
        <f t="shared" si="0"/>
        <v>2</v>
      </c>
      <c r="E5" s="53">
        <f t="shared" si="0"/>
        <v>2</v>
      </c>
      <c r="F5" s="53">
        <f t="shared" si="0"/>
        <v>1</v>
      </c>
      <c r="G5" s="53">
        <f t="shared" si="0"/>
        <v>1</v>
      </c>
      <c r="H5" s="8">
        <v>1</v>
      </c>
      <c r="I5" s="51"/>
      <c r="J5" s="9">
        <v>1</v>
      </c>
      <c r="K5" s="15" t="s">
        <v>34</v>
      </c>
      <c r="L5" s="15" t="s">
        <v>35</v>
      </c>
      <c r="M5" s="15" t="s">
        <v>61</v>
      </c>
      <c r="N5" s="15" t="s">
        <v>35</v>
      </c>
      <c r="O5" s="15" t="s">
        <v>18</v>
      </c>
      <c r="Q5" s="9">
        <v>9</v>
      </c>
      <c r="R5" s="9">
        <v>8</v>
      </c>
      <c r="S5" s="9">
        <v>11</v>
      </c>
      <c r="T5" s="9">
        <v>8</v>
      </c>
      <c r="U5" s="9">
        <v>4</v>
      </c>
      <c r="W5" s="24">
        <v>1</v>
      </c>
      <c r="X5" s="24">
        <v>1</v>
      </c>
      <c r="Y5" s="24">
        <v>1</v>
      </c>
      <c r="Z5" s="24">
        <v>1</v>
      </c>
      <c r="AA5" s="24">
        <v>1</v>
      </c>
      <c r="AC5" s="68" t="s">
        <v>42</v>
      </c>
      <c r="AD5" s="68" t="s">
        <v>13</v>
      </c>
      <c r="AE5" s="68" t="s">
        <v>14</v>
      </c>
      <c r="AF5" s="68" t="s">
        <v>15</v>
      </c>
      <c r="AG5" s="68" t="s">
        <v>16</v>
      </c>
      <c r="AH5" s="68" t="s">
        <v>17</v>
      </c>
      <c r="AI5" s="5"/>
      <c r="AJ5" s="68" t="s">
        <v>42</v>
      </c>
      <c r="AK5" s="68" t="s">
        <v>13</v>
      </c>
      <c r="AL5" s="68" t="s">
        <v>14</v>
      </c>
      <c r="AM5" s="68" t="s">
        <v>15</v>
      </c>
      <c r="AN5" s="68" t="s">
        <v>16</v>
      </c>
      <c r="AO5" s="68" t="s">
        <v>17</v>
      </c>
    </row>
    <row r="6" spans="1:41" ht="15.9" customHeight="1" x14ac:dyDescent="0.3">
      <c r="A6" s="66" t="str">
        <v>M1</v>
      </c>
      <c r="B6" s="58" t="str">
        <v>M1</v>
      </c>
      <c r="C6" s="66">
        <f t="shared" si="0"/>
        <v>16</v>
      </c>
      <c r="D6" s="66">
        <f t="shared" si="0"/>
        <v>8</v>
      </c>
      <c r="E6" s="66">
        <f t="shared" si="0"/>
        <v>9</v>
      </c>
      <c r="F6" s="66">
        <f t="shared" si="0"/>
        <v>3</v>
      </c>
      <c r="G6" s="66">
        <f t="shared" si="0"/>
        <v>6</v>
      </c>
      <c r="H6" s="58">
        <v>2</v>
      </c>
      <c r="I6" s="51"/>
      <c r="J6" s="24">
        <v>2</v>
      </c>
      <c r="K6" s="15" t="s">
        <v>18</v>
      </c>
      <c r="L6" s="15" t="s">
        <v>34</v>
      </c>
      <c r="M6" s="15" t="s">
        <v>37</v>
      </c>
      <c r="N6" s="15" t="s">
        <v>68</v>
      </c>
      <c r="O6" s="15" t="s">
        <v>19</v>
      </c>
      <c r="Q6" s="9">
        <v>4</v>
      </c>
      <c r="R6" s="9">
        <v>9</v>
      </c>
      <c r="S6" s="9">
        <v>7</v>
      </c>
      <c r="T6" s="9">
        <v>18</v>
      </c>
      <c r="U6" s="9">
        <v>5</v>
      </c>
      <c r="W6" s="24">
        <v>1</v>
      </c>
      <c r="X6" s="24">
        <v>1</v>
      </c>
      <c r="Y6" s="24">
        <v>1</v>
      </c>
      <c r="Z6" s="24">
        <v>1</v>
      </c>
      <c r="AA6" s="24">
        <v>1</v>
      </c>
      <c r="AC6" s="71" t="str" cm="1">
        <f t="array" ref="AC6:AC25">$A$4:$A$23</f>
        <v>WW</v>
      </c>
      <c r="AD6" s="72">
        <v>0</v>
      </c>
      <c r="AE6" s="72">
        <v>0</v>
      </c>
      <c r="AF6" s="72">
        <v>0</v>
      </c>
      <c r="AG6" s="72">
        <v>0</v>
      </c>
      <c r="AH6" s="72">
        <v>0</v>
      </c>
      <c r="AI6" s="5"/>
      <c r="AJ6" s="71" t="str" cm="1">
        <f t="array" ref="AJ6:AJ25">$A$4:$A$23</f>
        <v>WW</v>
      </c>
      <c r="AK6" s="72">
        <v>0</v>
      </c>
      <c r="AL6" s="72">
        <v>0</v>
      </c>
      <c r="AM6" s="72">
        <v>0</v>
      </c>
      <c r="AN6" s="72">
        <v>0</v>
      </c>
      <c r="AO6" s="72">
        <v>0</v>
      </c>
    </row>
    <row r="7" spans="1:41" ht="15.9" customHeight="1" x14ac:dyDescent="0.3">
      <c r="A7" s="66" t="str">
        <v>M2</v>
      </c>
      <c r="B7" s="58" t="str">
        <v>M2</v>
      </c>
      <c r="C7" s="66">
        <f t="shared" si="0"/>
        <v>16</v>
      </c>
      <c r="D7" s="66">
        <f t="shared" si="0"/>
        <v>10</v>
      </c>
      <c r="E7" s="66">
        <f t="shared" si="0"/>
        <v>11</v>
      </c>
      <c r="F7" s="66">
        <f t="shared" si="0"/>
        <v>5</v>
      </c>
      <c r="G7" s="66">
        <f t="shared" si="0"/>
        <v>11</v>
      </c>
      <c r="H7" s="58">
        <v>3</v>
      </c>
      <c r="I7" s="51"/>
      <c r="J7" s="9">
        <v>3</v>
      </c>
      <c r="K7" s="15" t="s">
        <v>37</v>
      </c>
      <c r="L7" s="25" t="s">
        <v>35</v>
      </c>
      <c r="M7" s="15" t="s">
        <v>35</v>
      </c>
      <c r="N7" s="15" t="s">
        <v>18</v>
      </c>
      <c r="O7" s="15" t="s">
        <v>34</v>
      </c>
      <c r="Q7" s="9">
        <v>7</v>
      </c>
      <c r="R7" s="9">
        <v>8</v>
      </c>
      <c r="S7" s="9">
        <v>8</v>
      </c>
      <c r="T7" s="9">
        <v>4</v>
      </c>
      <c r="U7" s="9">
        <v>9</v>
      </c>
      <c r="W7" s="24">
        <v>1</v>
      </c>
      <c r="X7" s="24">
        <v>1</v>
      </c>
      <c r="Y7" s="24">
        <v>1</v>
      </c>
      <c r="Z7" s="24">
        <v>1</v>
      </c>
      <c r="AA7" s="24">
        <v>1</v>
      </c>
      <c r="AC7" s="71" t="str">
        <v>C1</v>
      </c>
      <c r="AD7" s="71">
        <v>1</v>
      </c>
      <c r="AE7" s="71">
        <v>1</v>
      </c>
      <c r="AF7" s="71">
        <v>1</v>
      </c>
      <c r="AG7" s="71">
        <v>1</v>
      </c>
      <c r="AH7" s="71">
        <v>1</v>
      </c>
      <c r="AI7" s="5"/>
      <c r="AJ7" s="71" t="str">
        <v>C1</v>
      </c>
      <c r="AK7" s="71">
        <v>1</v>
      </c>
      <c r="AL7" s="71">
        <v>1</v>
      </c>
      <c r="AM7" s="71">
        <v>1</v>
      </c>
      <c r="AN7" s="71">
        <v>1</v>
      </c>
      <c r="AO7" s="71">
        <v>1</v>
      </c>
    </row>
    <row r="8" spans="1:41" ht="15.9" customHeight="1" x14ac:dyDescent="0.3">
      <c r="A8" s="66" t="str">
        <v>M3</v>
      </c>
      <c r="B8" s="58" t="str">
        <v>M3</v>
      </c>
      <c r="C8" s="66">
        <f t="shared" si="0"/>
        <v>8</v>
      </c>
      <c r="D8" s="66">
        <f t="shared" si="0"/>
        <v>10</v>
      </c>
      <c r="E8" s="66">
        <f t="shared" si="0"/>
        <v>8</v>
      </c>
      <c r="F8" s="66">
        <f t="shared" si="0"/>
        <v>11</v>
      </c>
      <c r="G8" s="66">
        <f t="shared" si="0"/>
        <v>12</v>
      </c>
      <c r="H8" s="58">
        <v>4</v>
      </c>
      <c r="I8" s="51"/>
      <c r="J8" s="24">
        <v>4</v>
      </c>
      <c r="K8" s="15" t="s">
        <v>34</v>
      </c>
      <c r="L8" s="15" t="s">
        <v>36</v>
      </c>
      <c r="M8" s="15" t="s">
        <v>18</v>
      </c>
      <c r="N8" s="15" t="s">
        <v>68</v>
      </c>
      <c r="O8" s="15" t="s">
        <v>34</v>
      </c>
      <c r="Q8" s="9">
        <v>9</v>
      </c>
      <c r="R8" s="9">
        <v>10</v>
      </c>
      <c r="S8" s="9">
        <v>4</v>
      </c>
      <c r="T8" s="9">
        <v>18</v>
      </c>
      <c r="U8" s="9">
        <v>9</v>
      </c>
      <c r="W8" s="24">
        <v>1</v>
      </c>
      <c r="X8" s="24">
        <v>1</v>
      </c>
      <c r="Y8" s="24">
        <v>1</v>
      </c>
      <c r="Z8" s="24">
        <v>1</v>
      </c>
      <c r="AA8" s="24">
        <v>1</v>
      </c>
      <c r="AC8" s="80" t="str">
        <v>M1</v>
      </c>
      <c r="AD8" s="81">
        <v>0</v>
      </c>
      <c r="AE8" s="81">
        <v>0</v>
      </c>
      <c r="AF8" s="81">
        <v>0</v>
      </c>
      <c r="AG8" s="81">
        <v>0</v>
      </c>
      <c r="AH8" s="81">
        <v>0</v>
      </c>
      <c r="AI8" s="5"/>
      <c r="AJ8" s="80" t="str">
        <v>M1</v>
      </c>
      <c r="AK8" s="81">
        <v>0</v>
      </c>
      <c r="AL8" s="81">
        <v>0</v>
      </c>
      <c r="AM8" s="81">
        <v>0</v>
      </c>
      <c r="AN8" s="81">
        <v>0</v>
      </c>
      <c r="AO8" s="81">
        <v>0</v>
      </c>
    </row>
    <row r="9" spans="1:41" ht="15.9" customHeight="1" x14ac:dyDescent="0.3">
      <c r="A9" s="66" t="str">
        <v>M4</v>
      </c>
      <c r="B9" s="58" t="str">
        <v>M4</v>
      </c>
      <c r="C9" s="66">
        <f t="shared" si="0"/>
        <v>12</v>
      </c>
      <c r="D9" s="66">
        <f t="shared" si="0"/>
        <v>13</v>
      </c>
      <c r="E9" s="66">
        <f t="shared" si="0"/>
        <v>9</v>
      </c>
      <c r="F9" s="66">
        <f t="shared" si="0"/>
        <v>8</v>
      </c>
      <c r="G9" s="66">
        <f t="shared" si="0"/>
        <v>8</v>
      </c>
      <c r="H9" s="58">
        <v>5</v>
      </c>
      <c r="I9" s="51"/>
      <c r="J9" s="9">
        <v>5</v>
      </c>
      <c r="K9" s="15" t="s">
        <v>19</v>
      </c>
      <c r="L9" s="15" t="s">
        <v>37</v>
      </c>
      <c r="M9" s="15" t="s">
        <v>18</v>
      </c>
      <c r="N9" s="15" t="s">
        <v>37</v>
      </c>
      <c r="O9" s="15" t="s">
        <v>35</v>
      </c>
      <c r="Q9" s="9">
        <v>5</v>
      </c>
      <c r="R9" s="9">
        <v>7</v>
      </c>
      <c r="S9" s="9">
        <v>4</v>
      </c>
      <c r="T9" s="9">
        <v>7</v>
      </c>
      <c r="U9" s="9">
        <v>8</v>
      </c>
      <c r="W9" s="24">
        <v>1</v>
      </c>
      <c r="X9" s="24">
        <v>1</v>
      </c>
      <c r="Y9" s="24">
        <v>1</v>
      </c>
      <c r="Z9" s="24">
        <v>1</v>
      </c>
      <c r="AA9" s="24">
        <v>1</v>
      </c>
      <c r="AC9" s="80" t="str">
        <v>M2</v>
      </c>
      <c r="AD9" s="80">
        <v>15</v>
      </c>
      <c r="AE9" s="80">
        <v>53</v>
      </c>
      <c r="AF9" s="80">
        <v>5</v>
      </c>
      <c r="AG9" s="80">
        <v>48</v>
      </c>
      <c r="AH9" s="80">
        <v>58</v>
      </c>
      <c r="AI9" s="5"/>
      <c r="AJ9" s="80" t="str">
        <v>M2</v>
      </c>
      <c r="AK9" s="80">
        <v>15</v>
      </c>
      <c r="AL9" s="80">
        <v>53</v>
      </c>
      <c r="AM9" s="80">
        <v>5</v>
      </c>
      <c r="AN9" s="80">
        <v>48</v>
      </c>
      <c r="AO9" s="80">
        <v>58</v>
      </c>
    </row>
    <row r="10" spans="1:41" ht="15.9" customHeight="1" x14ac:dyDescent="0.3">
      <c r="A10" s="66" t="str">
        <v>M5</v>
      </c>
      <c r="B10" s="58" t="str">
        <v>M5</v>
      </c>
      <c r="C10" s="66">
        <f t="shared" si="0"/>
        <v>0</v>
      </c>
      <c r="D10" s="66">
        <f t="shared" si="0"/>
        <v>0</v>
      </c>
      <c r="E10" s="66">
        <f t="shared" si="0"/>
        <v>0</v>
      </c>
      <c r="F10" s="66">
        <f t="shared" si="0"/>
        <v>0</v>
      </c>
      <c r="G10" s="66">
        <f t="shared" si="0"/>
        <v>0</v>
      </c>
      <c r="H10" s="58">
        <v>6</v>
      </c>
      <c r="I10" s="51"/>
      <c r="J10" s="24">
        <v>6</v>
      </c>
      <c r="K10" s="15" t="s">
        <v>37</v>
      </c>
      <c r="L10" s="15" t="s">
        <v>36</v>
      </c>
      <c r="M10" s="15" t="s">
        <v>61</v>
      </c>
      <c r="N10" s="15" t="s">
        <v>70</v>
      </c>
      <c r="O10" s="15" t="s">
        <v>37</v>
      </c>
      <c r="Q10" s="9">
        <v>7</v>
      </c>
      <c r="R10" s="9">
        <v>10</v>
      </c>
      <c r="S10" s="9">
        <v>11</v>
      </c>
      <c r="T10" s="9">
        <v>19</v>
      </c>
      <c r="U10" s="9">
        <v>7</v>
      </c>
      <c r="W10" s="24">
        <v>1</v>
      </c>
      <c r="X10" s="24">
        <v>1</v>
      </c>
      <c r="Y10" s="24">
        <v>1</v>
      </c>
      <c r="Z10" s="24">
        <v>1</v>
      </c>
      <c r="AA10" s="24">
        <v>1</v>
      </c>
      <c r="AC10" s="80" t="str">
        <v>M3</v>
      </c>
      <c r="AD10" s="80">
        <v>3</v>
      </c>
      <c r="AE10" s="80">
        <v>38</v>
      </c>
      <c r="AF10" s="80">
        <v>20</v>
      </c>
      <c r="AG10" s="80">
        <v>40</v>
      </c>
      <c r="AH10" s="80">
        <v>48</v>
      </c>
      <c r="AI10" s="5"/>
      <c r="AJ10" s="80" t="str">
        <v>M3</v>
      </c>
      <c r="AK10" s="80">
        <v>3</v>
      </c>
      <c r="AL10" s="80">
        <v>38</v>
      </c>
      <c r="AM10" s="80">
        <v>20</v>
      </c>
      <c r="AN10" s="80">
        <v>40</v>
      </c>
      <c r="AO10" s="80">
        <v>48</v>
      </c>
    </row>
    <row r="11" spans="1:41" ht="15.9" customHeight="1" x14ac:dyDescent="0.3">
      <c r="A11" s="66" t="str">
        <v>A</v>
      </c>
      <c r="B11" s="58" t="str">
        <v>A</v>
      </c>
      <c r="C11" s="66">
        <f t="shared" si="0"/>
        <v>12</v>
      </c>
      <c r="D11" s="66">
        <f t="shared" si="0"/>
        <v>11</v>
      </c>
      <c r="E11" s="66">
        <f t="shared" si="0"/>
        <v>8</v>
      </c>
      <c r="F11" s="66">
        <f t="shared" si="0"/>
        <v>11</v>
      </c>
      <c r="G11" s="66">
        <f t="shared" si="0"/>
        <v>18</v>
      </c>
      <c r="H11" s="58">
        <v>7</v>
      </c>
      <c r="I11" s="51"/>
      <c r="J11" s="9">
        <v>7</v>
      </c>
      <c r="K11" s="15" t="s">
        <v>20</v>
      </c>
      <c r="L11" s="15" t="s">
        <v>18</v>
      </c>
      <c r="M11" s="15" t="s">
        <v>62</v>
      </c>
      <c r="N11" s="15" t="s">
        <v>22</v>
      </c>
      <c r="O11" s="15" t="s">
        <v>21</v>
      </c>
      <c r="Q11" s="9">
        <v>1</v>
      </c>
      <c r="R11" s="9">
        <v>4</v>
      </c>
      <c r="S11" s="9">
        <v>12</v>
      </c>
      <c r="T11" s="9">
        <v>3</v>
      </c>
      <c r="U11" s="9">
        <v>2</v>
      </c>
      <c r="W11" s="24">
        <v>1</v>
      </c>
      <c r="X11" s="24">
        <v>1</v>
      </c>
      <c r="Y11" s="24">
        <v>1</v>
      </c>
      <c r="Z11" s="24">
        <v>1</v>
      </c>
      <c r="AA11" s="24">
        <v>1</v>
      </c>
      <c r="AC11" s="80" t="str">
        <v>M4</v>
      </c>
      <c r="AD11" s="80">
        <v>38</v>
      </c>
      <c r="AE11" s="80">
        <v>27</v>
      </c>
      <c r="AF11" s="80">
        <v>33</v>
      </c>
      <c r="AG11" s="80">
        <v>20</v>
      </c>
      <c r="AH11" s="80">
        <v>24</v>
      </c>
      <c r="AI11" s="5"/>
      <c r="AJ11" s="80" t="str">
        <v>M4</v>
      </c>
      <c r="AK11" s="80">
        <v>38</v>
      </c>
      <c r="AL11" s="80">
        <v>27</v>
      </c>
      <c r="AM11" s="80">
        <v>33</v>
      </c>
      <c r="AN11" s="80">
        <v>20</v>
      </c>
      <c r="AO11" s="80">
        <v>24</v>
      </c>
    </row>
    <row r="12" spans="1:41" ht="15.9" customHeight="1" x14ac:dyDescent="0.3">
      <c r="A12" s="66" t="str">
        <v>K</v>
      </c>
      <c r="B12" s="58" t="str">
        <v>K</v>
      </c>
      <c r="C12" s="66">
        <f t="shared" si="0"/>
        <v>12</v>
      </c>
      <c r="D12" s="66">
        <f t="shared" si="0"/>
        <v>15</v>
      </c>
      <c r="E12" s="66">
        <f t="shared" si="0"/>
        <v>10</v>
      </c>
      <c r="F12" s="66">
        <f t="shared" si="0"/>
        <v>12</v>
      </c>
      <c r="G12" s="66">
        <f t="shared" si="0"/>
        <v>17</v>
      </c>
      <c r="H12" s="58">
        <v>8</v>
      </c>
      <c r="I12" s="51"/>
      <c r="J12" s="24">
        <v>8</v>
      </c>
      <c r="K12" s="15" t="s">
        <v>37</v>
      </c>
      <c r="L12" s="15" t="s">
        <v>37</v>
      </c>
      <c r="M12" s="15" t="s">
        <v>37</v>
      </c>
      <c r="N12" s="15" t="s">
        <v>61</v>
      </c>
      <c r="O12" s="15" t="s">
        <v>22</v>
      </c>
      <c r="Q12" s="9">
        <v>7</v>
      </c>
      <c r="R12" s="9">
        <v>7</v>
      </c>
      <c r="S12" s="9">
        <v>7</v>
      </c>
      <c r="T12" s="9">
        <v>11</v>
      </c>
      <c r="U12" s="9">
        <v>3</v>
      </c>
      <c r="W12" s="24">
        <v>1</v>
      </c>
      <c r="X12" s="24">
        <v>1</v>
      </c>
      <c r="Y12" s="24">
        <v>1</v>
      </c>
      <c r="Z12" s="24">
        <v>1</v>
      </c>
      <c r="AA12" s="24">
        <v>1</v>
      </c>
      <c r="AC12" s="80" t="str">
        <v>M5</v>
      </c>
      <c r="AD12" s="80">
        <v>11</v>
      </c>
      <c r="AE12" s="80">
        <v>27</v>
      </c>
      <c r="AF12" s="80">
        <v>5</v>
      </c>
      <c r="AG12" s="80">
        <v>28</v>
      </c>
      <c r="AH12" s="80">
        <v>30</v>
      </c>
      <c r="AI12" s="5"/>
      <c r="AJ12" s="80" t="str">
        <v>M5</v>
      </c>
      <c r="AK12" s="80">
        <v>11</v>
      </c>
      <c r="AL12" s="80">
        <v>27</v>
      </c>
      <c r="AM12" s="80">
        <v>5</v>
      </c>
      <c r="AN12" s="80">
        <v>28</v>
      </c>
      <c r="AO12" s="80">
        <v>30</v>
      </c>
    </row>
    <row r="13" spans="1:41" ht="15.9" customHeight="1" x14ac:dyDescent="0.3">
      <c r="A13" s="66" t="str">
        <v>Q</v>
      </c>
      <c r="B13" s="58" t="str">
        <v>Q</v>
      </c>
      <c r="C13" s="66">
        <f t="shared" si="0"/>
        <v>12</v>
      </c>
      <c r="D13" s="66">
        <f t="shared" si="0"/>
        <v>14</v>
      </c>
      <c r="E13" s="66">
        <f t="shared" si="0"/>
        <v>11</v>
      </c>
      <c r="F13" s="66">
        <f t="shared" si="0"/>
        <v>9</v>
      </c>
      <c r="G13" s="66">
        <f t="shared" si="0"/>
        <v>13</v>
      </c>
      <c r="H13" s="58">
        <v>9</v>
      </c>
      <c r="I13" s="51"/>
      <c r="J13" s="9">
        <v>9</v>
      </c>
      <c r="K13" s="15" t="s">
        <v>37</v>
      </c>
      <c r="L13" s="15" t="s">
        <v>35</v>
      </c>
      <c r="M13" s="15" t="s">
        <v>35</v>
      </c>
      <c r="N13" s="15" t="s">
        <v>19</v>
      </c>
      <c r="O13" s="15" t="s">
        <v>22</v>
      </c>
      <c r="Q13" s="9">
        <v>7</v>
      </c>
      <c r="R13" s="9">
        <v>8</v>
      </c>
      <c r="S13" s="9">
        <v>8</v>
      </c>
      <c r="T13" s="9">
        <v>5</v>
      </c>
      <c r="U13" s="9">
        <v>3</v>
      </c>
      <c r="W13" s="24">
        <v>1</v>
      </c>
      <c r="X13" s="24">
        <v>1</v>
      </c>
      <c r="Y13" s="24">
        <v>1</v>
      </c>
      <c r="Z13" s="24">
        <v>1</v>
      </c>
      <c r="AA13" s="24">
        <v>1</v>
      </c>
      <c r="AC13" s="80" t="str">
        <v>A</v>
      </c>
      <c r="AD13" s="80">
        <v>33</v>
      </c>
      <c r="AE13" s="80">
        <v>14</v>
      </c>
      <c r="AF13" s="80">
        <v>35</v>
      </c>
      <c r="AG13" s="80">
        <v>8</v>
      </c>
      <c r="AH13" s="80">
        <v>10</v>
      </c>
      <c r="AI13" s="5"/>
      <c r="AJ13" s="80" t="str">
        <v>A</v>
      </c>
      <c r="AK13" s="80">
        <v>33</v>
      </c>
      <c r="AL13" s="80">
        <v>14</v>
      </c>
      <c r="AM13" s="80">
        <v>35</v>
      </c>
      <c r="AN13" s="80">
        <v>8</v>
      </c>
      <c r="AO13" s="80">
        <v>10</v>
      </c>
    </row>
    <row r="14" spans="1:41" ht="15.9" customHeight="1" x14ac:dyDescent="0.3">
      <c r="A14" s="66" t="str">
        <v>J</v>
      </c>
      <c r="B14" s="58" t="str">
        <v>J</v>
      </c>
      <c r="C14" s="66">
        <f t="shared" si="0"/>
        <v>9</v>
      </c>
      <c r="D14" s="66">
        <f t="shared" si="0"/>
        <v>17</v>
      </c>
      <c r="E14" s="66">
        <f t="shared" si="0"/>
        <v>7</v>
      </c>
      <c r="F14" s="66">
        <f t="shared" si="0"/>
        <v>12</v>
      </c>
      <c r="G14" s="66">
        <f t="shared" si="0"/>
        <v>14</v>
      </c>
      <c r="H14" s="58">
        <v>10</v>
      </c>
      <c r="I14" s="51"/>
      <c r="J14" s="24">
        <v>10</v>
      </c>
      <c r="K14" s="15" t="s">
        <v>22</v>
      </c>
      <c r="L14" s="15" t="s">
        <v>37</v>
      </c>
      <c r="M14" s="15" t="s">
        <v>18</v>
      </c>
      <c r="N14" s="15" t="s">
        <v>37</v>
      </c>
      <c r="O14" s="15" t="s">
        <v>37</v>
      </c>
      <c r="Q14" s="9">
        <v>3</v>
      </c>
      <c r="R14" s="9">
        <v>7</v>
      </c>
      <c r="S14" s="9">
        <v>4</v>
      </c>
      <c r="T14" s="9">
        <v>7</v>
      </c>
      <c r="U14" s="9">
        <v>7</v>
      </c>
      <c r="W14" s="24">
        <v>1</v>
      </c>
      <c r="X14" s="24">
        <v>1</v>
      </c>
      <c r="Y14" s="24">
        <v>1</v>
      </c>
      <c r="Z14" s="24">
        <v>1</v>
      </c>
      <c r="AA14" s="24">
        <v>1</v>
      </c>
      <c r="AC14" s="80" t="str">
        <v>K</v>
      </c>
      <c r="AD14" s="80">
        <v>40</v>
      </c>
      <c r="AE14" s="80">
        <v>3</v>
      </c>
      <c r="AF14" s="80">
        <v>23</v>
      </c>
      <c r="AG14" s="80">
        <v>1</v>
      </c>
      <c r="AH14" s="80">
        <v>1</v>
      </c>
      <c r="AI14" s="5"/>
      <c r="AJ14" s="80" t="str">
        <v>K</v>
      </c>
      <c r="AK14" s="80">
        <v>40</v>
      </c>
      <c r="AL14" s="80">
        <v>3</v>
      </c>
      <c r="AM14" s="80">
        <v>23</v>
      </c>
      <c r="AN14" s="80">
        <v>1</v>
      </c>
      <c r="AO14" s="80">
        <v>1</v>
      </c>
    </row>
    <row r="15" spans="1:41" ht="15.9" customHeight="1" x14ac:dyDescent="0.3">
      <c r="A15" s="28" t="str">
        <v>G1</v>
      </c>
      <c r="B15" s="8" t="str">
        <v>Gold M1</v>
      </c>
      <c r="C15" s="53">
        <f t="shared" si="0"/>
        <v>0</v>
      </c>
      <c r="D15" s="53">
        <f t="shared" si="0"/>
        <v>0</v>
      </c>
      <c r="E15" s="53">
        <f t="shared" si="0"/>
        <v>7</v>
      </c>
      <c r="F15" s="53">
        <f t="shared" si="0"/>
        <v>2</v>
      </c>
      <c r="G15" s="53">
        <f t="shared" si="0"/>
        <v>0</v>
      </c>
      <c r="H15" s="8">
        <v>11</v>
      </c>
      <c r="I15" s="51"/>
      <c r="J15" s="9">
        <v>11</v>
      </c>
      <c r="K15" s="15" t="s">
        <v>19</v>
      </c>
      <c r="L15" s="15" t="s">
        <v>36</v>
      </c>
      <c r="M15" s="15" t="s">
        <v>34</v>
      </c>
      <c r="N15" s="15" t="s">
        <v>68</v>
      </c>
      <c r="O15" s="15" t="s">
        <v>35</v>
      </c>
      <c r="Q15" s="9">
        <v>5</v>
      </c>
      <c r="R15" s="9">
        <v>10</v>
      </c>
      <c r="S15" s="9">
        <v>9</v>
      </c>
      <c r="T15" s="9">
        <v>18</v>
      </c>
      <c r="U15" s="9">
        <v>8</v>
      </c>
      <c r="W15" s="24">
        <v>1</v>
      </c>
      <c r="X15" s="24">
        <v>1</v>
      </c>
      <c r="Y15" s="24">
        <v>1</v>
      </c>
      <c r="Z15" s="24">
        <v>1</v>
      </c>
      <c r="AA15" s="24">
        <v>1</v>
      </c>
      <c r="AC15" s="80" t="str">
        <v>Q</v>
      </c>
      <c r="AD15" s="80">
        <v>11</v>
      </c>
      <c r="AE15" s="80">
        <v>33</v>
      </c>
      <c r="AF15" s="80">
        <v>8</v>
      </c>
      <c r="AG15" s="80">
        <v>20</v>
      </c>
      <c r="AH15" s="80">
        <v>28</v>
      </c>
      <c r="AI15" s="5"/>
      <c r="AJ15" s="80" t="str">
        <v>Q</v>
      </c>
      <c r="AK15" s="80">
        <v>11</v>
      </c>
      <c r="AL15" s="80">
        <v>33</v>
      </c>
      <c r="AM15" s="80">
        <v>8</v>
      </c>
      <c r="AN15" s="80">
        <v>20</v>
      </c>
      <c r="AO15" s="80">
        <v>28</v>
      </c>
    </row>
    <row r="16" spans="1:41" ht="15.9" customHeight="1" x14ac:dyDescent="0.3">
      <c r="A16" s="28" t="str">
        <v>G2</v>
      </c>
      <c r="B16" s="8" t="str">
        <v>Gold M2</v>
      </c>
      <c r="C16" s="53">
        <f t="shared" si="0"/>
        <v>0</v>
      </c>
      <c r="D16" s="53">
        <f t="shared" si="0"/>
        <v>0</v>
      </c>
      <c r="E16" s="53">
        <f t="shared" si="0"/>
        <v>2</v>
      </c>
      <c r="F16" s="53">
        <f t="shared" si="0"/>
        <v>1</v>
      </c>
      <c r="G16" s="53">
        <f t="shared" si="0"/>
        <v>0</v>
      </c>
      <c r="H16" s="8">
        <v>12</v>
      </c>
      <c r="I16" s="51"/>
      <c r="J16" s="24">
        <v>12</v>
      </c>
      <c r="K16" s="15" t="s">
        <v>18</v>
      </c>
      <c r="L16" s="15" t="s">
        <v>22</v>
      </c>
      <c r="M16" s="15" t="s">
        <v>63</v>
      </c>
      <c r="N16" s="15" t="s">
        <v>68</v>
      </c>
      <c r="O16" s="15" t="s">
        <v>36</v>
      </c>
      <c r="Q16" s="9">
        <v>4</v>
      </c>
      <c r="R16" s="9">
        <v>3</v>
      </c>
      <c r="S16" s="9">
        <v>13</v>
      </c>
      <c r="T16" s="9">
        <v>18</v>
      </c>
      <c r="U16" s="9">
        <v>10</v>
      </c>
      <c r="W16" s="24">
        <v>1</v>
      </c>
      <c r="X16" s="24">
        <v>1</v>
      </c>
      <c r="Y16" s="24">
        <v>1</v>
      </c>
      <c r="Z16" s="24">
        <v>1</v>
      </c>
      <c r="AA16" s="24">
        <v>1</v>
      </c>
      <c r="AC16" s="80" t="str">
        <v>J</v>
      </c>
      <c r="AD16" s="80">
        <v>44</v>
      </c>
      <c r="AE16" s="80">
        <v>1</v>
      </c>
      <c r="AF16" s="80">
        <v>39</v>
      </c>
      <c r="AG16" s="80">
        <v>5</v>
      </c>
      <c r="AH16" s="80">
        <v>1</v>
      </c>
      <c r="AI16" s="5"/>
      <c r="AJ16" s="80" t="str">
        <v>J</v>
      </c>
      <c r="AK16" s="80">
        <v>44</v>
      </c>
      <c r="AL16" s="80">
        <v>1</v>
      </c>
      <c r="AM16" s="80">
        <v>39</v>
      </c>
      <c r="AN16" s="80">
        <v>5</v>
      </c>
      <c r="AO16" s="80">
        <v>1</v>
      </c>
    </row>
    <row r="17" spans="1:41" ht="15.9" customHeight="1" x14ac:dyDescent="0.3">
      <c r="A17" s="28" t="str">
        <v>G3</v>
      </c>
      <c r="B17" s="8" t="str">
        <v>Gold M3</v>
      </c>
      <c r="C17" s="53">
        <f t="shared" si="0"/>
        <v>0</v>
      </c>
      <c r="D17" s="53">
        <f t="shared" si="0"/>
        <v>0</v>
      </c>
      <c r="E17" s="53">
        <f t="shared" si="0"/>
        <v>2</v>
      </c>
      <c r="F17" s="53">
        <f t="shared" si="0"/>
        <v>4</v>
      </c>
      <c r="G17" s="53">
        <f t="shared" si="0"/>
        <v>0</v>
      </c>
      <c r="H17" s="8">
        <v>13</v>
      </c>
      <c r="I17" s="51"/>
      <c r="J17" s="9">
        <v>13</v>
      </c>
      <c r="K17" s="15" t="s">
        <v>22</v>
      </c>
      <c r="L17" s="15" t="s">
        <v>18</v>
      </c>
      <c r="M17" s="15" t="s">
        <v>22</v>
      </c>
      <c r="N17" s="15" t="s">
        <v>21</v>
      </c>
      <c r="O17" s="15" t="s">
        <v>35</v>
      </c>
      <c r="Q17" s="9">
        <v>3</v>
      </c>
      <c r="R17" s="9">
        <v>4</v>
      </c>
      <c r="S17" s="9">
        <v>3</v>
      </c>
      <c r="T17" s="9">
        <v>2</v>
      </c>
      <c r="U17" s="9">
        <v>8</v>
      </c>
      <c r="W17" s="24">
        <v>1</v>
      </c>
      <c r="X17" s="24">
        <v>1</v>
      </c>
      <c r="Y17" s="24">
        <v>1</v>
      </c>
      <c r="Z17" s="24">
        <v>1</v>
      </c>
      <c r="AA17" s="24">
        <v>1</v>
      </c>
      <c r="AC17" s="71" t="str">
        <v>G1</v>
      </c>
      <c r="AD17" s="72">
        <v>0</v>
      </c>
      <c r="AE17" s="72">
        <v>0</v>
      </c>
      <c r="AF17" s="71">
        <v>1</v>
      </c>
      <c r="AG17" s="71">
        <v>8</v>
      </c>
      <c r="AH17" s="72">
        <v>0</v>
      </c>
      <c r="AI17" s="5"/>
      <c r="AJ17" s="71" t="str">
        <v>G1</v>
      </c>
      <c r="AK17" s="72">
        <v>0</v>
      </c>
      <c r="AL17" s="72">
        <v>0</v>
      </c>
      <c r="AM17" s="71">
        <v>1</v>
      </c>
      <c r="AN17" s="71">
        <v>8</v>
      </c>
      <c r="AO17" s="72">
        <v>0</v>
      </c>
    </row>
    <row r="18" spans="1:41" ht="15.9" customHeight="1" x14ac:dyDescent="0.3">
      <c r="A18" s="28" t="str">
        <v>G4</v>
      </c>
      <c r="B18" s="8" t="str">
        <v>Gold M4</v>
      </c>
      <c r="C18" s="53">
        <f t="shared" si="0"/>
        <v>0</v>
      </c>
      <c r="D18" s="53">
        <f t="shared" si="0"/>
        <v>0</v>
      </c>
      <c r="E18" s="53">
        <f t="shared" si="0"/>
        <v>2</v>
      </c>
      <c r="F18" s="53">
        <f t="shared" si="0"/>
        <v>3</v>
      </c>
      <c r="G18" s="53">
        <f t="shared" si="0"/>
        <v>0</v>
      </c>
      <c r="H18" s="8">
        <v>14</v>
      </c>
      <c r="I18" s="51"/>
      <c r="J18" s="24">
        <v>14</v>
      </c>
      <c r="K18" s="15" t="s">
        <v>36</v>
      </c>
      <c r="L18" s="15" t="s">
        <v>35</v>
      </c>
      <c r="M18" s="15" t="s">
        <v>18</v>
      </c>
      <c r="N18" s="15" t="s">
        <v>21</v>
      </c>
      <c r="O18" s="15" t="s">
        <v>37</v>
      </c>
      <c r="Q18" s="9">
        <v>10</v>
      </c>
      <c r="R18" s="9">
        <v>8</v>
      </c>
      <c r="S18" s="9">
        <v>4</v>
      </c>
      <c r="T18" s="9">
        <v>2</v>
      </c>
      <c r="U18" s="9">
        <v>7</v>
      </c>
      <c r="W18" s="24">
        <v>1</v>
      </c>
      <c r="X18" s="24">
        <v>1</v>
      </c>
      <c r="Y18" s="24">
        <v>1</v>
      </c>
      <c r="Z18" s="24">
        <v>1</v>
      </c>
      <c r="AA18" s="24">
        <v>1</v>
      </c>
      <c r="AC18" s="71" t="str">
        <v>G2</v>
      </c>
      <c r="AD18" s="72">
        <v>0</v>
      </c>
      <c r="AE18" s="72">
        <v>0</v>
      </c>
      <c r="AF18" s="71">
        <v>3</v>
      </c>
      <c r="AG18" s="71">
        <v>7</v>
      </c>
      <c r="AH18" s="72">
        <v>0</v>
      </c>
      <c r="AI18" s="5"/>
      <c r="AJ18" s="71" t="str">
        <v>G2</v>
      </c>
      <c r="AK18" s="72">
        <v>0</v>
      </c>
      <c r="AL18" s="72">
        <v>0</v>
      </c>
      <c r="AM18" s="71">
        <v>3</v>
      </c>
      <c r="AN18" s="71">
        <v>7</v>
      </c>
      <c r="AO18" s="72">
        <v>0</v>
      </c>
    </row>
    <row r="19" spans="1:41" ht="15.9" customHeight="1" x14ac:dyDescent="0.3">
      <c r="A19" s="28" t="str">
        <v>G5</v>
      </c>
      <c r="B19" s="8" t="str">
        <v>Gold M5</v>
      </c>
      <c r="C19" s="53">
        <f t="shared" si="0"/>
        <v>0</v>
      </c>
      <c r="D19" s="53">
        <f t="shared" si="0"/>
        <v>0</v>
      </c>
      <c r="E19" s="53">
        <f t="shared" si="0"/>
        <v>0</v>
      </c>
      <c r="F19" s="53">
        <f t="shared" si="0"/>
        <v>0</v>
      </c>
      <c r="G19" s="53">
        <f t="shared" si="0"/>
        <v>0</v>
      </c>
      <c r="H19" s="8">
        <v>15</v>
      </c>
      <c r="I19" s="51"/>
      <c r="J19" s="9">
        <v>15</v>
      </c>
      <c r="K19" s="15" t="s">
        <v>37</v>
      </c>
      <c r="L19" s="15" t="s">
        <v>36</v>
      </c>
      <c r="M19" s="15" t="s">
        <v>36</v>
      </c>
      <c r="N19" s="15" t="s">
        <v>18</v>
      </c>
      <c r="O19" s="15" t="s">
        <v>37</v>
      </c>
      <c r="Q19" s="9">
        <v>7</v>
      </c>
      <c r="R19" s="9">
        <v>10</v>
      </c>
      <c r="S19" s="9">
        <v>10</v>
      </c>
      <c r="T19" s="9">
        <v>4</v>
      </c>
      <c r="U19" s="9">
        <v>7</v>
      </c>
      <c r="W19" s="24">
        <v>1</v>
      </c>
      <c r="X19" s="24">
        <v>1</v>
      </c>
      <c r="Y19" s="24">
        <v>1</v>
      </c>
      <c r="Z19" s="24">
        <v>1</v>
      </c>
      <c r="AA19" s="24">
        <v>1</v>
      </c>
      <c r="AC19" s="71" t="str">
        <v>G3</v>
      </c>
      <c r="AD19" s="72">
        <v>0</v>
      </c>
      <c r="AE19" s="72">
        <v>0</v>
      </c>
      <c r="AF19" s="71">
        <v>6</v>
      </c>
      <c r="AG19" s="71">
        <v>3</v>
      </c>
      <c r="AH19" s="72">
        <v>0</v>
      </c>
      <c r="AI19" s="5"/>
      <c r="AJ19" s="71" t="str">
        <v>G3</v>
      </c>
      <c r="AK19" s="72">
        <v>0</v>
      </c>
      <c r="AL19" s="72">
        <v>0</v>
      </c>
      <c r="AM19" s="71">
        <v>6</v>
      </c>
      <c r="AN19" s="71">
        <v>3</v>
      </c>
      <c r="AO19" s="72">
        <v>0</v>
      </c>
    </row>
    <row r="20" spans="1:41" ht="15.9" customHeight="1" x14ac:dyDescent="0.3">
      <c r="A20" s="28" t="str">
        <v>GA</v>
      </c>
      <c r="B20" s="8" t="str">
        <v>Gold A</v>
      </c>
      <c r="C20" s="53">
        <f t="shared" si="0"/>
        <v>0</v>
      </c>
      <c r="D20" s="53">
        <f t="shared" si="0"/>
        <v>0</v>
      </c>
      <c r="E20" s="53">
        <f t="shared" si="0"/>
        <v>4</v>
      </c>
      <c r="F20" s="53">
        <f t="shared" si="0"/>
        <v>2</v>
      </c>
      <c r="G20" s="53">
        <f t="shared" si="0"/>
        <v>0</v>
      </c>
      <c r="H20" s="8">
        <v>16</v>
      </c>
      <c r="I20" s="51"/>
      <c r="J20" s="24">
        <v>16</v>
      </c>
      <c r="K20" s="15" t="s">
        <v>22</v>
      </c>
      <c r="L20" s="15" t="s">
        <v>18</v>
      </c>
      <c r="M20" s="15" t="s">
        <v>21</v>
      </c>
      <c r="N20" s="15" t="s">
        <v>19</v>
      </c>
      <c r="O20" s="15" t="s">
        <v>18</v>
      </c>
      <c r="Q20" s="9">
        <v>3</v>
      </c>
      <c r="R20" s="9">
        <v>4</v>
      </c>
      <c r="S20" s="9">
        <v>2</v>
      </c>
      <c r="T20" s="9">
        <v>5</v>
      </c>
      <c r="U20" s="9">
        <v>4</v>
      </c>
      <c r="W20" s="24">
        <v>1</v>
      </c>
      <c r="X20" s="24">
        <v>1</v>
      </c>
      <c r="Y20" s="24">
        <v>1</v>
      </c>
      <c r="Z20" s="24">
        <v>1</v>
      </c>
      <c r="AA20" s="24">
        <v>1</v>
      </c>
      <c r="AC20" s="71" t="str">
        <v>G4</v>
      </c>
      <c r="AD20" s="72">
        <v>0</v>
      </c>
      <c r="AE20" s="72">
        <v>0</v>
      </c>
      <c r="AF20" s="71">
        <v>1</v>
      </c>
      <c r="AG20" s="71">
        <v>5</v>
      </c>
      <c r="AH20" s="72">
        <v>0</v>
      </c>
      <c r="AI20" s="5"/>
      <c r="AJ20" s="71" t="str">
        <v>G4</v>
      </c>
      <c r="AK20" s="72">
        <v>0</v>
      </c>
      <c r="AL20" s="72">
        <v>0</v>
      </c>
      <c r="AM20" s="71">
        <v>1</v>
      </c>
      <c r="AN20" s="71">
        <v>5</v>
      </c>
      <c r="AO20" s="72">
        <v>0</v>
      </c>
    </row>
    <row r="21" spans="1:41" ht="15.9" customHeight="1" x14ac:dyDescent="0.3">
      <c r="A21" s="28" t="str">
        <v>GK</v>
      </c>
      <c r="B21" s="8" t="str">
        <v>Gold K</v>
      </c>
      <c r="C21" s="53">
        <f t="shared" si="0"/>
        <v>0</v>
      </c>
      <c r="D21" s="53">
        <f t="shared" si="0"/>
        <v>0</v>
      </c>
      <c r="E21" s="53">
        <f t="shared" si="0"/>
        <v>4</v>
      </c>
      <c r="F21" s="53">
        <f t="shared" si="0"/>
        <v>3</v>
      </c>
      <c r="G21" s="53">
        <f t="shared" si="0"/>
        <v>0</v>
      </c>
      <c r="H21" s="8">
        <v>17</v>
      </c>
      <c r="I21" s="51"/>
      <c r="J21" s="9">
        <v>17</v>
      </c>
      <c r="K21" s="15" t="s">
        <v>22</v>
      </c>
      <c r="L21" s="15" t="s">
        <v>37</v>
      </c>
      <c r="M21" s="15" t="s">
        <v>34</v>
      </c>
      <c r="N21" s="15" t="s">
        <v>63</v>
      </c>
      <c r="O21" s="15" t="s">
        <v>21</v>
      </c>
      <c r="Q21" s="9">
        <v>3</v>
      </c>
      <c r="R21" s="9">
        <v>7</v>
      </c>
      <c r="S21" s="9">
        <v>9</v>
      </c>
      <c r="T21" s="9">
        <v>13</v>
      </c>
      <c r="U21" s="9">
        <v>2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C21" s="71" t="str">
        <v>G5</v>
      </c>
      <c r="AD21" s="72">
        <v>0</v>
      </c>
      <c r="AE21" s="72">
        <v>0</v>
      </c>
      <c r="AF21" s="71">
        <v>6</v>
      </c>
      <c r="AG21" s="71">
        <v>1</v>
      </c>
      <c r="AH21" s="72">
        <v>0</v>
      </c>
      <c r="AI21" s="5"/>
      <c r="AJ21" s="71" t="str">
        <v>G5</v>
      </c>
      <c r="AK21" s="72">
        <v>0</v>
      </c>
      <c r="AL21" s="72">
        <v>0</v>
      </c>
      <c r="AM21" s="71">
        <v>6</v>
      </c>
      <c r="AN21" s="71">
        <v>1</v>
      </c>
      <c r="AO21" s="72">
        <v>0</v>
      </c>
    </row>
    <row r="22" spans="1:41" ht="15.9" customHeight="1" x14ac:dyDescent="0.3">
      <c r="A22" s="28" t="str">
        <v>GQ</v>
      </c>
      <c r="B22" s="8" t="str">
        <v>Gold Q</v>
      </c>
      <c r="C22" s="53">
        <f t="shared" si="0"/>
        <v>0</v>
      </c>
      <c r="D22" s="53">
        <f t="shared" si="0"/>
        <v>0</v>
      </c>
      <c r="E22" s="53">
        <f t="shared" si="0"/>
        <v>3</v>
      </c>
      <c r="F22" s="53">
        <f t="shared" si="0"/>
        <v>6</v>
      </c>
      <c r="G22" s="53">
        <f t="shared" si="0"/>
        <v>0</v>
      </c>
      <c r="H22" s="8">
        <v>18</v>
      </c>
      <c r="I22" s="51"/>
      <c r="J22" s="24">
        <v>18</v>
      </c>
      <c r="K22" s="15" t="s">
        <v>19</v>
      </c>
      <c r="L22" s="15" t="s">
        <v>22</v>
      </c>
      <c r="M22" s="15" t="s">
        <v>62</v>
      </c>
      <c r="N22" s="15" t="s">
        <v>35</v>
      </c>
      <c r="O22" s="15" t="s">
        <v>21</v>
      </c>
      <c r="Q22" s="9">
        <v>5</v>
      </c>
      <c r="R22" s="9">
        <v>3</v>
      </c>
      <c r="S22" s="9">
        <v>12</v>
      </c>
      <c r="T22" s="9">
        <v>8</v>
      </c>
      <c r="U22" s="9">
        <v>2</v>
      </c>
      <c r="W22" s="24">
        <v>1</v>
      </c>
      <c r="X22" s="24">
        <v>1</v>
      </c>
      <c r="Y22" s="24">
        <v>1</v>
      </c>
      <c r="Z22" s="24">
        <v>1</v>
      </c>
      <c r="AA22" s="24">
        <v>1</v>
      </c>
      <c r="AC22" s="71" t="str">
        <v>GA</v>
      </c>
      <c r="AD22" s="72">
        <v>0</v>
      </c>
      <c r="AE22" s="72">
        <v>0</v>
      </c>
      <c r="AF22" s="71">
        <v>4</v>
      </c>
      <c r="AG22" s="71">
        <v>1</v>
      </c>
      <c r="AH22" s="72">
        <v>0</v>
      </c>
      <c r="AI22" s="5"/>
      <c r="AJ22" s="71" t="str">
        <v>GA</v>
      </c>
      <c r="AK22" s="72">
        <v>0</v>
      </c>
      <c r="AL22" s="72">
        <v>0</v>
      </c>
      <c r="AM22" s="71">
        <v>4</v>
      </c>
      <c r="AN22" s="71">
        <v>1</v>
      </c>
      <c r="AO22" s="72">
        <v>0</v>
      </c>
    </row>
    <row r="23" spans="1:41" ht="15.9" customHeight="1" x14ac:dyDescent="0.3">
      <c r="A23" s="28" t="str">
        <v>GJ</v>
      </c>
      <c r="B23" s="8" t="str">
        <v>Gold J</v>
      </c>
      <c r="C23" s="53">
        <f t="shared" si="0"/>
        <v>0</v>
      </c>
      <c r="D23" s="53">
        <f t="shared" si="0"/>
        <v>0</v>
      </c>
      <c r="E23" s="53">
        <f t="shared" si="0"/>
        <v>1</v>
      </c>
      <c r="F23" s="53">
        <f t="shared" si="0"/>
        <v>7</v>
      </c>
      <c r="G23" s="53">
        <f t="shared" si="0"/>
        <v>0</v>
      </c>
      <c r="H23" s="8">
        <v>19</v>
      </c>
      <c r="I23" s="51"/>
      <c r="J23" s="9">
        <v>19</v>
      </c>
      <c r="K23" s="15" t="s">
        <v>34</v>
      </c>
      <c r="L23" s="15" t="s">
        <v>34</v>
      </c>
      <c r="M23" s="15" t="s">
        <v>22</v>
      </c>
      <c r="N23" s="15" t="s">
        <v>18</v>
      </c>
      <c r="O23" s="15" t="s">
        <v>37</v>
      </c>
      <c r="Q23" s="9">
        <v>9</v>
      </c>
      <c r="R23" s="9">
        <v>9</v>
      </c>
      <c r="S23" s="9">
        <v>3</v>
      </c>
      <c r="T23" s="9">
        <v>4</v>
      </c>
      <c r="U23" s="9">
        <v>7</v>
      </c>
      <c r="W23" s="24">
        <v>1</v>
      </c>
      <c r="X23" s="24">
        <v>1</v>
      </c>
      <c r="Y23" s="24">
        <v>1</v>
      </c>
      <c r="Z23" s="24">
        <v>1</v>
      </c>
      <c r="AA23" s="24">
        <v>1</v>
      </c>
      <c r="AC23" s="71" t="str">
        <v>GK</v>
      </c>
      <c r="AD23" s="72">
        <v>0</v>
      </c>
      <c r="AE23" s="72">
        <v>0</v>
      </c>
      <c r="AF23" s="71">
        <v>1</v>
      </c>
      <c r="AG23" s="71">
        <v>3</v>
      </c>
      <c r="AH23" s="72">
        <v>0</v>
      </c>
      <c r="AI23" s="5"/>
      <c r="AJ23" s="71" t="str">
        <v>GK</v>
      </c>
      <c r="AK23" s="72">
        <v>0</v>
      </c>
      <c r="AL23" s="72">
        <v>0</v>
      </c>
      <c r="AM23" s="71">
        <v>1</v>
      </c>
      <c r="AN23" s="71">
        <v>3</v>
      </c>
      <c r="AO23" s="72">
        <v>0</v>
      </c>
    </row>
    <row r="24" spans="1:41" ht="15.9" customHeight="1" x14ac:dyDescent="0.3">
      <c r="C24" s="5">
        <f>SUM(C4:C23)</f>
        <v>100</v>
      </c>
      <c r="D24" s="5">
        <f>SUM(D4:D23)</f>
        <v>100</v>
      </c>
      <c r="E24" s="5">
        <f>SUM(E4:E23)</f>
        <v>100</v>
      </c>
      <c r="F24" s="5">
        <f>SUM(F4:F23)</f>
        <v>100</v>
      </c>
      <c r="G24" s="5">
        <f>SUM(G4:G23)</f>
        <v>100</v>
      </c>
      <c r="H24" s="11"/>
      <c r="I24" s="51"/>
      <c r="J24" s="24">
        <v>20</v>
      </c>
      <c r="K24" s="15" t="s">
        <v>19</v>
      </c>
      <c r="L24" s="15" t="s">
        <v>34</v>
      </c>
      <c r="M24" s="15" t="s">
        <v>36</v>
      </c>
      <c r="N24" s="15" t="s">
        <v>35</v>
      </c>
      <c r="O24" s="15" t="s">
        <v>34</v>
      </c>
      <c r="Q24" s="9">
        <v>5</v>
      </c>
      <c r="R24" s="9">
        <v>9</v>
      </c>
      <c r="S24" s="9">
        <v>10</v>
      </c>
      <c r="T24" s="9">
        <v>8</v>
      </c>
      <c r="U24" s="9">
        <v>9</v>
      </c>
      <c r="W24" s="24">
        <v>1</v>
      </c>
      <c r="X24" s="24">
        <v>1</v>
      </c>
      <c r="Y24" s="24">
        <v>1</v>
      </c>
      <c r="Z24" s="24">
        <v>1</v>
      </c>
      <c r="AA24" s="24">
        <v>1</v>
      </c>
      <c r="AC24" s="71" t="str">
        <v>GQ</v>
      </c>
      <c r="AD24" s="72">
        <v>0</v>
      </c>
      <c r="AE24" s="72">
        <v>0</v>
      </c>
      <c r="AF24" s="71">
        <v>1</v>
      </c>
      <c r="AG24" s="71">
        <v>1</v>
      </c>
      <c r="AH24" s="72">
        <v>0</v>
      </c>
      <c r="AI24" s="5"/>
      <c r="AJ24" s="71" t="str">
        <v>GQ</v>
      </c>
      <c r="AK24" s="72">
        <v>0</v>
      </c>
      <c r="AL24" s="72">
        <v>0</v>
      </c>
      <c r="AM24" s="71">
        <v>1</v>
      </c>
      <c r="AN24" s="71">
        <v>1</v>
      </c>
      <c r="AO24" s="72">
        <v>0</v>
      </c>
    </row>
    <row r="25" spans="1:41" ht="16.5" customHeight="1" x14ac:dyDescent="0.3">
      <c r="I25" s="51"/>
      <c r="J25" s="9">
        <v>21</v>
      </c>
      <c r="K25" s="15" t="s">
        <v>35</v>
      </c>
      <c r="L25" s="15" t="s">
        <v>21</v>
      </c>
      <c r="M25" s="15" t="s">
        <v>22</v>
      </c>
      <c r="N25" s="15" t="s">
        <v>19</v>
      </c>
      <c r="O25" s="15" t="s">
        <v>36</v>
      </c>
      <c r="Q25" s="9">
        <v>8</v>
      </c>
      <c r="R25" s="9">
        <v>2</v>
      </c>
      <c r="S25" s="9">
        <v>3</v>
      </c>
      <c r="T25" s="9">
        <v>5</v>
      </c>
      <c r="U25" s="9">
        <v>10</v>
      </c>
      <c r="W25" s="24">
        <v>1</v>
      </c>
      <c r="X25" s="24">
        <v>1</v>
      </c>
      <c r="Y25" s="24">
        <v>1</v>
      </c>
      <c r="Z25" s="24">
        <v>1</v>
      </c>
      <c r="AA25" s="24">
        <v>1</v>
      </c>
      <c r="AC25" s="71" t="str">
        <v>GJ</v>
      </c>
      <c r="AD25" s="72">
        <v>0</v>
      </c>
      <c r="AE25" s="72">
        <v>0</v>
      </c>
      <c r="AF25" s="71">
        <v>6</v>
      </c>
      <c r="AG25" s="71">
        <v>1</v>
      </c>
      <c r="AH25" s="72">
        <v>0</v>
      </c>
      <c r="AI25" s="5"/>
      <c r="AJ25" s="71" t="str">
        <v>GJ</v>
      </c>
      <c r="AK25" s="72">
        <v>0</v>
      </c>
      <c r="AL25" s="72">
        <v>0</v>
      </c>
      <c r="AM25" s="71">
        <v>6</v>
      </c>
      <c r="AN25" s="71">
        <v>1</v>
      </c>
      <c r="AO25" s="72">
        <v>0</v>
      </c>
    </row>
    <row r="26" spans="1:41" ht="16.5" customHeight="1" x14ac:dyDescent="0.3">
      <c r="B26" s="5" t="s">
        <v>110</v>
      </c>
      <c r="C26" s="86">
        <f>SUM(C4:C14)/C24</f>
        <v>1</v>
      </c>
      <c r="D26" s="86">
        <f>SUM(D4:D14)/D24</f>
        <v>1</v>
      </c>
      <c r="E26" s="86">
        <f>SUM(E4:E14)/E24</f>
        <v>0.75</v>
      </c>
      <c r="F26" s="86">
        <f>SUM(F4:F14)/F24</f>
        <v>0.72</v>
      </c>
      <c r="G26" s="86">
        <f>SUM(G4:G14)/G24</f>
        <v>1</v>
      </c>
      <c r="I26" s="51"/>
      <c r="J26" s="24">
        <v>22</v>
      </c>
      <c r="K26" s="15" t="s">
        <v>36</v>
      </c>
      <c r="L26" s="15" t="s">
        <v>22</v>
      </c>
      <c r="M26" s="15" t="s">
        <v>63</v>
      </c>
      <c r="N26" s="15" t="s">
        <v>18</v>
      </c>
      <c r="O26" s="15" t="s">
        <v>37</v>
      </c>
      <c r="Q26" s="9">
        <v>10</v>
      </c>
      <c r="R26" s="9">
        <v>3</v>
      </c>
      <c r="S26" s="9">
        <v>13</v>
      </c>
      <c r="T26" s="9">
        <v>4</v>
      </c>
      <c r="U26" s="9">
        <v>7</v>
      </c>
      <c r="W26" s="24">
        <v>1</v>
      </c>
      <c r="X26" s="24">
        <v>1</v>
      </c>
      <c r="Y26" s="24">
        <v>1</v>
      </c>
      <c r="Z26" s="24">
        <v>1</v>
      </c>
      <c r="AA26" s="24">
        <v>1</v>
      </c>
      <c r="AD26" s="59">
        <f>SUM(AD6:AD25)</f>
        <v>196</v>
      </c>
      <c r="AE26" s="59">
        <f>SUM(AE6:AE25)</f>
        <v>197</v>
      </c>
      <c r="AF26" s="59">
        <f>SUM(AF6:AF25)</f>
        <v>198</v>
      </c>
      <c r="AG26" s="59">
        <f>SUM(AG6:AG25)</f>
        <v>201</v>
      </c>
      <c r="AH26" s="59">
        <f>SUM(AH6:AH25)</f>
        <v>201</v>
      </c>
      <c r="AI26" s="5"/>
      <c r="AK26" s="59">
        <f>SUM(AK6:AK25)</f>
        <v>196</v>
      </c>
      <c r="AL26" s="59">
        <f>SUM(AL6:AL25)</f>
        <v>197</v>
      </c>
      <c r="AM26" s="59">
        <f>SUM(AM6:AM25)</f>
        <v>198</v>
      </c>
      <c r="AN26" s="59">
        <f>SUM(AN6:AN25)</f>
        <v>201</v>
      </c>
      <c r="AO26" s="59">
        <f>SUM(AO6:AO25)</f>
        <v>201</v>
      </c>
    </row>
    <row r="27" spans="1:41" ht="16.5" customHeight="1" x14ac:dyDescent="0.3">
      <c r="B27" s="5" t="s">
        <v>109</v>
      </c>
      <c r="C27" s="86">
        <f>SUM(C15:C23)/C24</f>
        <v>0</v>
      </c>
      <c r="D27" s="86">
        <f>SUM(D15:D23)/D24</f>
        <v>0</v>
      </c>
      <c r="E27" s="86">
        <f>SUM(E15:E23)/E24</f>
        <v>0.25</v>
      </c>
      <c r="F27" s="86">
        <f>SUM(F15:F23)/F24</f>
        <v>0.28000000000000003</v>
      </c>
      <c r="G27" s="86">
        <f>SUM(G15:G23)/G24</f>
        <v>0</v>
      </c>
      <c r="I27" s="51"/>
      <c r="J27" s="9">
        <v>23</v>
      </c>
      <c r="K27" s="15" t="s">
        <v>19</v>
      </c>
      <c r="L27" s="15" t="s">
        <v>22</v>
      </c>
      <c r="M27" s="15" t="s">
        <v>21</v>
      </c>
      <c r="N27" s="15" t="s">
        <v>64</v>
      </c>
      <c r="O27" s="15" t="s">
        <v>36</v>
      </c>
      <c r="Q27" s="9">
        <v>5</v>
      </c>
      <c r="R27" s="9">
        <v>3</v>
      </c>
      <c r="S27" s="9">
        <v>2</v>
      </c>
      <c r="T27" s="9">
        <v>14</v>
      </c>
      <c r="U27" s="9">
        <v>10</v>
      </c>
      <c r="W27" s="24">
        <v>1</v>
      </c>
      <c r="X27" s="24">
        <v>1</v>
      </c>
      <c r="Y27" s="24">
        <v>1</v>
      </c>
      <c r="Z27" s="24">
        <v>1</v>
      </c>
      <c r="AA27" s="24">
        <v>1</v>
      </c>
      <c r="AH27" s="5"/>
      <c r="AI27" s="5"/>
      <c r="AO27" s="5"/>
    </row>
    <row r="28" spans="1:41" ht="16.5" customHeight="1" x14ac:dyDescent="0.3">
      <c r="I28" s="51"/>
      <c r="J28" s="24">
        <v>24</v>
      </c>
      <c r="K28" s="15" t="s">
        <v>22</v>
      </c>
      <c r="L28" s="15" t="s">
        <v>36</v>
      </c>
      <c r="M28" s="15" t="s">
        <v>34</v>
      </c>
      <c r="N28" s="15" t="s">
        <v>19</v>
      </c>
      <c r="O28" s="15" t="s">
        <v>35</v>
      </c>
      <c r="Q28" s="9">
        <v>3</v>
      </c>
      <c r="R28" s="9">
        <v>10</v>
      </c>
      <c r="S28" s="9">
        <v>9</v>
      </c>
      <c r="T28" s="9">
        <v>5</v>
      </c>
      <c r="U28" s="9">
        <v>8</v>
      </c>
      <c r="W28" s="24">
        <v>1</v>
      </c>
      <c r="X28" s="24">
        <v>1</v>
      </c>
      <c r="Y28" s="24">
        <v>1</v>
      </c>
      <c r="Z28" s="24">
        <v>1</v>
      </c>
      <c r="AA28" s="24">
        <v>1</v>
      </c>
      <c r="AC28" s="26" t="s">
        <v>100</v>
      </c>
      <c r="AH28" s="5"/>
      <c r="AI28" s="5"/>
      <c r="AJ28" s="26" t="s">
        <v>100</v>
      </c>
      <c r="AO28" s="5"/>
    </row>
    <row r="29" spans="1:41" ht="16.5" customHeight="1" x14ac:dyDescent="0.3">
      <c r="I29" s="51"/>
      <c r="J29" s="9">
        <v>25</v>
      </c>
      <c r="K29" s="15" t="s">
        <v>22</v>
      </c>
      <c r="L29" s="15" t="s">
        <v>35</v>
      </c>
      <c r="M29" s="15" t="s">
        <v>61</v>
      </c>
      <c r="N29" s="15" t="s">
        <v>18</v>
      </c>
      <c r="O29" s="15" t="s">
        <v>18</v>
      </c>
      <c r="Q29" s="9">
        <v>3</v>
      </c>
      <c r="R29" s="9">
        <v>8</v>
      </c>
      <c r="S29" s="9">
        <v>11</v>
      </c>
      <c r="T29" s="9">
        <v>4</v>
      </c>
      <c r="U29" s="9">
        <v>4</v>
      </c>
      <c r="W29" s="24">
        <v>1</v>
      </c>
      <c r="X29" s="24">
        <v>1</v>
      </c>
      <c r="Y29" s="24">
        <v>1</v>
      </c>
      <c r="Z29" s="24">
        <v>1</v>
      </c>
      <c r="AA29" s="24">
        <v>1</v>
      </c>
      <c r="AC29" s="68" t="s">
        <v>42</v>
      </c>
      <c r="AD29" s="68" t="s">
        <v>13</v>
      </c>
      <c r="AE29" s="68" t="s">
        <v>14</v>
      </c>
      <c r="AF29" s="68" t="s">
        <v>15</v>
      </c>
      <c r="AG29" s="68" t="s">
        <v>16</v>
      </c>
      <c r="AH29" s="68" t="s">
        <v>17</v>
      </c>
      <c r="AI29" s="5"/>
      <c r="AJ29" s="68" t="s">
        <v>42</v>
      </c>
      <c r="AK29" s="68" t="s">
        <v>13</v>
      </c>
      <c r="AL29" s="68" t="s">
        <v>14</v>
      </c>
      <c r="AM29" s="68" t="s">
        <v>15</v>
      </c>
      <c r="AN29" s="68" t="s">
        <v>16</v>
      </c>
      <c r="AO29" s="68" t="s">
        <v>17</v>
      </c>
    </row>
    <row r="30" spans="1:41" ht="16.5" customHeight="1" x14ac:dyDescent="0.3">
      <c r="I30" s="51"/>
      <c r="J30" s="24">
        <v>26</v>
      </c>
      <c r="K30" s="15" t="s">
        <v>36</v>
      </c>
      <c r="L30" s="15" t="s">
        <v>19</v>
      </c>
      <c r="M30" s="15" t="s">
        <v>22</v>
      </c>
      <c r="N30" s="15" t="s">
        <v>36</v>
      </c>
      <c r="O30" s="15" t="s">
        <v>37</v>
      </c>
      <c r="Q30" s="9">
        <v>10</v>
      </c>
      <c r="R30" s="9">
        <v>5</v>
      </c>
      <c r="S30" s="9">
        <v>3</v>
      </c>
      <c r="T30" s="9">
        <v>10</v>
      </c>
      <c r="U30" s="9">
        <v>7</v>
      </c>
      <c r="W30" s="24">
        <v>1</v>
      </c>
      <c r="X30" s="24">
        <v>1</v>
      </c>
      <c r="Y30" s="24">
        <v>1</v>
      </c>
      <c r="Z30" s="24">
        <v>1</v>
      </c>
      <c r="AA30" s="24">
        <v>1</v>
      </c>
      <c r="AC30" s="71" t="str" cm="1">
        <f t="array" ref="AC30:AC49">$A$4:$A$23</f>
        <v>WW</v>
      </c>
      <c r="AD30" s="72">
        <v>0</v>
      </c>
      <c r="AE30" s="72">
        <v>0</v>
      </c>
      <c r="AF30" s="72">
        <v>0</v>
      </c>
      <c r="AG30" s="72">
        <v>0</v>
      </c>
      <c r="AH30" s="72">
        <v>0</v>
      </c>
      <c r="AI30" s="5"/>
      <c r="AJ30" s="71" t="str" cm="1">
        <f t="array" ref="AJ30:AJ49">$A$4:$A$23</f>
        <v>WW</v>
      </c>
      <c r="AK30" s="72">
        <v>0</v>
      </c>
      <c r="AL30" s="72">
        <v>0</v>
      </c>
      <c r="AM30" s="72">
        <v>0</v>
      </c>
      <c r="AN30" s="72">
        <v>0</v>
      </c>
      <c r="AO30" s="72">
        <v>0</v>
      </c>
    </row>
    <row r="31" spans="1:41" ht="16.5" customHeight="1" x14ac:dyDescent="0.3">
      <c r="I31" s="51"/>
      <c r="J31" s="9">
        <v>27</v>
      </c>
      <c r="K31" s="15" t="s">
        <v>36</v>
      </c>
      <c r="L31" s="15" t="s">
        <v>18</v>
      </c>
      <c r="M31" s="15" t="s">
        <v>21</v>
      </c>
      <c r="N31" s="15" t="s">
        <v>35</v>
      </c>
      <c r="O31" s="15" t="s">
        <v>35</v>
      </c>
      <c r="Q31" s="9">
        <v>10</v>
      </c>
      <c r="R31" s="9">
        <v>4</v>
      </c>
      <c r="S31" s="9">
        <v>2</v>
      </c>
      <c r="T31" s="9">
        <v>8</v>
      </c>
      <c r="U31" s="9">
        <v>8</v>
      </c>
      <c r="W31" s="24">
        <v>1</v>
      </c>
      <c r="X31" s="24">
        <v>1</v>
      </c>
      <c r="Y31" s="24">
        <v>1</v>
      </c>
      <c r="Z31" s="24">
        <v>1</v>
      </c>
      <c r="AA31" s="24">
        <v>1</v>
      </c>
      <c r="AC31" s="71" t="str">
        <v>C1</v>
      </c>
      <c r="AD31" s="71">
        <v>1</v>
      </c>
      <c r="AE31" s="71">
        <v>1</v>
      </c>
      <c r="AF31" s="71">
        <v>1</v>
      </c>
      <c r="AG31" s="71">
        <v>1</v>
      </c>
      <c r="AH31" s="71">
        <v>1</v>
      </c>
      <c r="AI31" s="5"/>
      <c r="AJ31" s="71" t="str">
        <v>C1</v>
      </c>
      <c r="AK31" s="71">
        <v>1</v>
      </c>
      <c r="AL31" s="71">
        <v>1</v>
      </c>
      <c r="AM31" s="71">
        <v>1</v>
      </c>
      <c r="AN31" s="71">
        <v>1</v>
      </c>
      <c r="AO31" s="71">
        <v>1</v>
      </c>
    </row>
    <row r="32" spans="1:41" ht="16.5" customHeight="1" x14ac:dyDescent="0.3">
      <c r="J32" s="24">
        <v>28</v>
      </c>
      <c r="K32" s="15" t="s">
        <v>18</v>
      </c>
      <c r="L32" s="15" t="s">
        <v>22</v>
      </c>
      <c r="M32" s="15" t="s">
        <v>19</v>
      </c>
      <c r="N32" s="15" t="s">
        <v>70</v>
      </c>
      <c r="O32" s="15" t="s">
        <v>18</v>
      </c>
      <c r="Q32" s="9">
        <v>4</v>
      </c>
      <c r="R32" s="9">
        <v>3</v>
      </c>
      <c r="S32" s="9">
        <v>5</v>
      </c>
      <c r="T32" s="9">
        <v>19</v>
      </c>
      <c r="U32" s="9">
        <v>4</v>
      </c>
      <c r="W32" s="24">
        <v>1</v>
      </c>
      <c r="X32" s="24">
        <v>1</v>
      </c>
      <c r="Y32" s="24">
        <v>1</v>
      </c>
      <c r="Z32" s="24">
        <v>1</v>
      </c>
      <c r="AA32" s="24">
        <v>1</v>
      </c>
      <c r="AC32" s="80" t="str">
        <v>M1</v>
      </c>
      <c r="AD32" s="81">
        <v>0</v>
      </c>
      <c r="AE32" s="81">
        <v>0</v>
      </c>
      <c r="AF32" s="81">
        <v>0</v>
      </c>
      <c r="AG32" s="81">
        <v>0</v>
      </c>
      <c r="AH32" s="81">
        <v>0</v>
      </c>
      <c r="AI32" s="5"/>
      <c r="AJ32" s="80" t="str">
        <v>M1</v>
      </c>
      <c r="AK32" s="81">
        <v>0</v>
      </c>
      <c r="AL32" s="81">
        <v>0</v>
      </c>
      <c r="AM32" s="81">
        <v>0</v>
      </c>
      <c r="AN32" s="81">
        <v>0</v>
      </c>
      <c r="AO32" s="81">
        <v>0</v>
      </c>
    </row>
    <row r="33" spans="10:41" ht="16.5" customHeight="1" x14ac:dyDescent="0.3">
      <c r="J33" s="9">
        <v>29</v>
      </c>
      <c r="K33" s="15" t="s">
        <v>21</v>
      </c>
      <c r="L33" s="15" t="s">
        <v>36</v>
      </c>
      <c r="M33" s="15" t="s">
        <v>22</v>
      </c>
      <c r="N33" s="15" t="s">
        <v>68</v>
      </c>
      <c r="O33" s="15" t="s">
        <v>36</v>
      </c>
      <c r="Q33" s="9">
        <v>2</v>
      </c>
      <c r="R33" s="9">
        <v>10</v>
      </c>
      <c r="S33" s="9">
        <v>3</v>
      </c>
      <c r="T33" s="9">
        <v>18</v>
      </c>
      <c r="U33" s="9">
        <v>10</v>
      </c>
      <c r="W33" s="24">
        <v>1</v>
      </c>
      <c r="X33" s="24">
        <v>1</v>
      </c>
      <c r="Y33" s="24">
        <v>1</v>
      </c>
      <c r="Z33" s="24">
        <v>1</v>
      </c>
      <c r="AA33" s="24">
        <v>1</v>
      </c>
      <c r="AC33" s="80" t="str">
        <v>M2</v>
      </c>
      <c r="AD33" s="80">
        <v>15</v>
      </c>
      <c r="AE33" s="80">
        <v>53</v>
      </c>
      <c r="AF33" s="80">
        <v>5</v>
      </c>
      <c r="AG33" s="80">
        <v>48</v>
      </c>
      <c r="AH33" s="80">
        <v>58</v>
      </c>
      <c r="AI33" s="5"/>
      <c r="AJ33" s="80" t="str">
        <v>M2</v>
      </c>
      <c r="AK33" s="80">
        <v>15</v>
      </c>
      <c r="AL33" s="80">
        <v>53</v>
      </c>
      <c r="AM33" s="80">
        <v>5</v>
      </c>
      <c r="AN33" s="80">
        <v>48</v>
      </c>
      <c r="AO33" s="80">
        <v>58</v>
      </c>
    </row>
    <row r="34" spans="10:41" ht="16.5" customHeight="1" x14ac:dyDescent="0.3">
      <c r="J34" s="24">
        <v>30</v>
      </c>
      <c r="K34" s="15" t="s">
        <v>22</v>
      </c>
      <c r="L34" s="15" t="s">
        <v>21</v>
      </c>
      <c r="M34" s="15" t="s">
        <v>35</v>
      </c>
      <c r="N34" s="15" t="s">
        <v>22</v>
      </c>
      <c r="O34" s="15" t="s">
        <v>37</v>
      </c>
      <c r="Q34" s="9">
        <v>3</v>
      </c>
      <c r="R34" s="9">
        <v>2</v>
      </c>
      <c r="S34" s="9">
        <v>8</v>
      </c>
      <c r="T34" s="9">
        <v>3</v>
      </c>
      <c r="U34" s="9">
        <v>7</v>
      </c>
      <c r="W34" s="24">
        <v>1</v>
      </c>
      <c r="X34" s="24">
        <v>1</v>
      </c>
      <c r="Y34" s="24">
        <v>1</v>
      </c>
      <c r="Z34" s="24">
        <v>1</v>
      </c>
      <c r="AA34" s="24">
        <v>1</v>
      </c>
      <c r="AC34" s="80" t="str">
        <v>M3</v>
      </c>
      <c r="AD34" s="80">
        <v>3</v>
      </c>
      <c r="AE34" s="80">
        <v>38</v>
      </c>
      <c r="AF34" s="80">
        <v>20</v>
      </c>
      <c r="AG34" s="80">
        <v>40</v>
      </c>
      <c r="AH34" s="80">
        <v>48</v>
      </c>
      <c r="AI34" s="5"/>
      <c r="AJ34" s="80" t="str">
        <v>M3</v>
      </c>
      <c r="AK34" s="80">
        <v>3</v>
      </c>
      <c r="AL34" s="80">
        <v>38</v>
      </c>
      <c r="AM34" s="80">
        <v>20</v>
      </c>
      <c r="AN34" s="80">
        <v>40</v>
      </c>
      <c r="AO34" s="80">
        <v>48</v>
      </c>
    </row>
    <row r="35" spans="10:41" ht="16.5" customHeight="1" x14ac:dyDescent="0.3">
      <c r="J35" s="9">
        <v>31</v>
      </c>
      <c r="K35" s="15" t="s">
        <v>35</v>
      </c>
      <c r="L35" s="15" t="s">
        <v>22</v>
      </c>
      <c r="M35" s="15" t="s">
        <v>68</v>
      </c>
      <c r="N35" s="15" t="s">
        <v>37</v>
      </c>
      <c r="O35" s="15" t="s">
        <v>18</v>
      </c>
      <c r="Q35" s="9">
        <v>8</v>
      </c>
      <c r="R35" s="9">
        <v>3</v>
      </c>
      <c r="S35" s="9">
        <v>18</v>
      </c>
      <c r="T35" s="9">
        <v>7</v>
      </c>
      <c r="U35" s="9">
        <v>4</v>
      </c>
      <c r="W35" s="24">
        <v>1</v>
      </c>
      <c r="X35" s="24">
        <v>1</v>
      </c>
      <c r="Y35" s="24">
        <v>1</v>
      </c>
      <c r="Z35" s="24">
        <v>1</v>
      </c>
      <c r="AA35" s="24">
        <v>1</v>
      </c>
      <c r="AC35" s="80" t="str">
        <v>M4</v>
      </c>
      <c r="AD35" s="80">
        <v>38</v>
      </c>
      <c r="AE35" s="80">
        <v>27</v>
      </c>
      <c r="AF35" s="80">
        <v>33</v>
      </c>
      <c r="AG35" s="80">
        <v>20</v>
      </c>
      <c r="AH35" s="80">
        <v>24</v>
      </c>
      <c r="AI35" s="5"/>
      <c r="AJ35" s="80" t="str">
        <v>M4</v>
      </c>
      <c r="AK35" s="80">
        <v>38</v>
      </c>
      <c r="AL35" s="80">
        <v>27</v>
      </c>
      <c r="AM35" s="80">
        <v>33</v>
      </c>
      <c r="AN35" s="80">
        <v>20</v>
      </c>
      <c r="AO35" s="80">
        <v>24</v>
      </c>
    </row>
    <row r="36" spans="10:41" ht="16.5" customHeight="1" x14ac:dyDescent="0.3">
      <c r="J36" s="24">
        <v>32</v>
      </c>
      <c r="K36" s="15" t="s">
        <v>22</v>
      </c>
      <c r="L36" s="15" t="s">
        <v>19</v>
      </c>
      <c r="M36" s="15" t="s">
        <v>81</v>
      </c>
      <c r="N36" s="15" t="s">
        <v>36</v>
      </c>
      <c r="O36" s="15" t="s">
        <v>21</v>
      </c>
      <c r="Q36" s="9">
        <v>3</v>
      </c>
      <c r="R36" s="9">
        <v>5</v>
      </c>
      <c r="S36" s="9">
        <v>17</v>
      </c>
      <c r="T36" s="9">
        <v>10</v>
      </c>
      <c r="U36" s="9">
        <v>2</v>
      </c>
      <c r="W36" s="24">
        <v>1</v>
      </c>
      <c r="X36" s="24">
        <v>1</v>
      </c>
      <c r="Y36" s="24">
        <v>1</v>
      </c>
      <c r="Z36" s="24">
        <v>1</v>
      </c>
      <c r="AA36" s="24">
        <v>1</v>
      </c>
      <c r="AC36" s="80" t="str">
        <v>M5</v>
      </c>
      <c r="AD36" s="80">
        <v>11</v>
      </c>
      <c r="AE36" s="80">
        <v>27</v>
      </c>
      <c r="AF36" s="80">
        <v>5</v>
      </c>
      <c r="AG36" s="80">
        <v>28</v>
      </c>
      <c r="AH36" s="80">
        <v>30</v>
      </c>
      <c r="AI36" s="5"/>
      <c r="AJ36" s="80" t="str">
        <v>M5</v>
      </c>
      <c r="AK36" s="80">
        <v>11</v>
      </c>
      <c r="AL36" s="80">
        <v>27</v>
      </c>
      <c r="AM36" s="80">
        <v>5</v>
      </c>
      <c r="AN36" s="80">
        <v>28</v>
      </c>
      <c r="AO36" s="80">
        <v>30</v>
      </c>
    </row>
    <row r="37" spans="10:41" ht="16.5" customHeight="1" x14ac:dyDescent="0.3">
      <c r="J37" s="9">
        <v>33</v>
      </c>
      <c r="K37" s="15" t="s">
        <v>19</v>
      </c>
      <c r="L37" s="15" t="s">
        <v>35</v>
      </c>
      <c r="M37" s="15" t="s">
        <v>70</v>
      </c>
      <c r="N37" s="15" t="s">
        <v>34</v>
      </c>
      <c r="O37" s="15" t="s">
        <v>34</v>
      </c>
      <c r="Q37" s="9">
        <v>5</v>
      </c>
      <c r="R37" s="9">
        <v>8</v>
      </c>
      <c r="S37" s="9">
        <v>19</v>
      </c>
      <c r="T37" s="9">
        <v>9</v>
      </c>
      <c r="U37" s="9">
        <v>9</v>
      </c>
      <c r="W37" s="24">
        <v>1</v>
      </c>
      <c r="X37" s="24">
        <v>1</v>
      </c>
      <c r="Y37" s="24">
        <v>1</v>
      </c>
      <c r="Z37" s="24">
        <v>1</v>
      </c>
      <c r="AA37" s="24">
        <v>1</v>
      </c>
      <c r="AC37" s="80" t="str">
        <v>A</v>
      </c>
      <c r="AD37" s="80">
        <v>33</v>
      </c>
      <c r="AE37" s="80">
        <v>14</v>
      </c>
      <c r="AF37" s="80">
        <v>35</v>
      </c>
      <c r="AG37" s="80">
        <v>8</v>
      </c>
      <c r="AH37" s="80">
        <v>10</v>
      </c>
      <c r="AI37" s="5"/>
      <c r="AJ37" s="80" t="str">
        <v>A</v>
      </c>
      <c r="AK37" s="80">
        <v>33</v>
      </c>
      <c r="AL37" s="80">
        <v>14</v>
      </c>
      <c r="AM37" s="80">
        <v>35</v>
      </c>
      <c r="AN37" s="80">
        <v>8</v>
      </c>
      <c r="AO37" s="80">
        <v>10</v>
      </c>
    </row>
    <row r="38" spans="10:41" ht="16.5" customHeight="1" x14ac:dyDescent="0.3">
      <c r="J38" s="24">
        <v>34</v>
      </c>
      <c r="K38" s="15" t="s">
        <v>21</v>
      </c>
      <c r="L38" s="15" t="s">
        <v>19</v>
      </c>
      <c r="M38" s="15" t="s">
        <v>21</v>
      </c>
      <c r="N38" s="15" t="s">
        <v>18</v>
      </c>
      <c r="O38" s="15" t="s">
        <v>19</v>
      </c>
      <c r="Q38" s="9">
        <v>2</v>
      </c>
      <c r="R38" s="9">
        <v>5</v>
      </c>
      <c r="S38" s="9">
        <v>2</v>
      </c>
      <c r="T38" s="9">
        <v>4</v>
      </c>
      <c r="U38" s="9">
        <v>5</v>
      </c>
      <c r="W38" s="24">
        <v>1</v>
      </c>
      <c r="X38" s="24">
        <v>1</v>
      </c>
      <c r="Y38" s="24">
        <v>1</v>
      </c>
      <c r="Z38" s="24">
        <v>1</v>
      </c>
      <c r="AA38" s="24">
        <v>1</v>
      </c>
      <c r="AC38" s="80" t="str">
        <v>K</v>
      </c>
      <c r="AD38" s="80">
        <v>40</v>
      </c>
      <c r="AE38" s="80">
        <v>3</v>
      </c>
      <c r="AF38" s="80">
        <v>23</v>
      </c>
      <c r="AG38" s="80">
        <v>1</v>
      </c>
      <c r="AH38" s="80">
        <v>1</v>
      </c>
      <c r="AI38" s="5"/>
      <c r="AJ38" s="80" t="str">
        <v>K</v>
      </c>
      <c r="AK38" s="80">
        <v>40</v>
      </c>
      <c r="AL38" s="80">
        <v>3</v>
      </c>
      <c r="AM38" s="80">
        <v>23</v>
      </c>
      <c r="AN38" s="80">
        <v>1</v>
      </c>
      <c r="AO38" s="80">
        <v>1</v>
      </c>
    </row>
    <row r="39" spans="10:41" ht="16.5" customHeight="1" x14ac:dyDescent="0.3">
      <c r="J39" s="9">
        <v>35</v>
      </c>
      <c r="K39" s="15" t="s">
        <v>19</v>
      </c>
      <c r="L39" s="15" t="s">
        <v>35</v>
      </c>
      <c r="M39" s="15" t="s">
        <v>19</v>
      </c>
      <c r="N39" s="15" t="s">
        <v>34</v>
      </c>
      <c r="O39" s="15" t="s">
        <v>36</v>
      </c>
      <c r="Q39" s="9">
        <v>5</v>
      </c>
      <c r="R39" s="9">
        <v>8</v>
      </c>
      <c r="S39" s="9">
        <v>5</v>
      </c>
      <c r="T39" s="9">
        <v>9</v>
      </c>
      <c r="U39" s="9">
        <v>10</v>
      </c>
      <c r="W39" s="24">
        <v>1</v>
      </c>
      <c r="X39" s="24">
        <v>1</v>
      </c>
      <c r="Y39" s="24">
        <v>1</v>
      </c>
      <c r="Z39" s="24">
        <v>1</v>
      </c>
      <c r="AA39" s="24">
        <v>1</v>
      </c>
      <c r="AC39" s="80" t="str">
        <v>Q</v>
      </c>
      <c r="AD39" s="80">
        <v>11</v>
      </c>
      <c r="AE39" s="80">
        <v>33</v>
      </c>
      <c r="AF39" s="80">
        <v>8</v>
      </c>
      <c r="AG39" s="80">
        <v>20</v>
      </c>
      <c r="AH39" s="80">
        <v>28</v>
      </c>
      <c r="AI39" s="5"/>
      <c r="AJ39" s="80" t="str">
        <v>Q</v>
      </c>
      <c r="AK39" s="80">
        <v>11</v>
      </c>
      <c r="AL39" s="80">
        <v>33</v>
      </c>
      <c r="AM39" s="80">
        <v>8</v>
      </c>
      <c r="AN39" s="80">
        <v>20</v>
      </c>
      <c r="AO39" s="80">
        <v>28</v>
      </c>
    </row>
    <row r="40" spans="10:41" ht="16.5" customHeight="1" x14ac:dyDescent="0.3">
      <c r="J40" s="24">
        <v>36</v>
      </c>
      <c r="K40" s="15" t="s">
        <v>21</v>
      </c>
      <c r="L40" s="15" t="s">
        <v>20</v>
      </c>
      <c r="M40" s="15" t="s">
        <v>21</v>
      </c>
      <c r="N40" s="15" t="s">
        <v>81</v>
      </c>
      <c r="O40" s="15" t="s">
        <v>35</v>
      </c>
      <c r="Q40" s="9">
        <v>2</v>
      </c>
      <c r="R40" s="9">
        <v>1</v>
      </c>
      <c r="S40" s="9">
        <v>2</v>
      </c>
      <c r="T40" s="9">
        <v>17</v>
      </c>
      <c r="U40" s="9">
        <v>8</v>
      </c>
      <c r="W40" s="24">
        <v>1</v>
      </c>
      <c r="X40" s="24">
        <v>1</v>
      </c>
      <c r="Y40" s="24">
        <v>1</v>
      </c>
      <c r="Z40" s="24">
        <v>1</v>
      </c>
      <c r="AA40" s="24">
        <v>1</v>
      </c>
      <c r="AC40" s="80" t="str">
        <v>J</v>
      </c>
      <c r="AD40" s="80">
        <v>44</v>
      </c>
      <c r="AE40" s="80">
        <v>1</v>
      </c>
      <c r="AF40" s="80">
        <v>39</v>
      </c>
      <c r="AG40" s="80">
        <v>5</v>
      </c>
      <c r="AH40" s="80">
        <v>1</v>
      </c>
      <c r="AI40" s="5"/>
      <c r="AJ40" s="80" t="str">
        <v>J</v>
      </c>
      <c r="AK40" s="80">
        <v>44</v>
      </c>
      <c r="AL40" s="80">
        <v>1</v>
      </c>
      <c r="AM40" s="80">
        <v>39</v>
      </c>
      <c r="AN40" s="80">
        <v>5</v>
      </c>
      <c r="AO40" s="80">
        <v>1</v>
      </c>
    </row>
    <row r="41" spans="10:41" ht="16.5" customHeight="1" x14ac:dyDescent="0.3">
      <c r="J41" s="9">
        <v>37</v>
      </c>
      <c r="K41" s="15" t="s">
        <v>35</v>
      </c>
      <c r="L41" s="15" t="s">
        <v>37</v>
      </c>
      <c r="M41" s="15" t="s">
        <v>35</v>
      </c>
      <c r="N41" s="15" t="s">
        <v>70</v>
      </c>
      <c r="O41" s="15" t="s">
        <v>37</v>
      </c>
      <c r="Q41" s="9">
        <v>8</v>
      </c>
      <c r="R41" s="9">
        <v>7</v>
      </c>
      <c r="S41" s="9">
        <v>8</v>
      </c>
      <c r="T41" s="9">
        <v>19</v>
      </c>
      <c r="U41" s="9">
        <v>7</v>
      </c>
      <c r="W41" s="24">
        <v>1</v>
      </c>
      <c r="X41" s="24">
        <v>1</v>
      </c>
      <c r="Y41" s="24">
        <v>1</v>
      </c>
      <c r="Z41" s="24">
        <v>1</v>
      </c>
      <c r="AA41" s="24">
        <v>1</v>
      </c>
      <c r="AC41" s="71" t="str">
        <v>G1</v>
      </c>
      <c r="AD41" s="72">
        <v>0</v>
      </c>
      <c r="AE41" s="72">
        <v>0</v>
      </c>
      <c r="AF41" s="71">
        <v>1</v>
      </c>
      <c r="AG41" s="71">
        <v>8</v>
      </c>
      <c r="AH41" s="72">
        <v>0</v>
      </c>
      <c r="AI41" s="5"/>
      <c r="AJ41" s="71" t="str">
        <v>G1</v>
      </c>
      <c r="AK41" s="72">
        <v>0</v>
      </c>
      <c r="AL41" s="72">
        <v>0</v>
      </c>
      <c r="AM41" s="71">
        <v>1</v>
      </c>
      <c r="AN41" s="71">
        <v>8</v>
      </c>
      <c r="AO41" s="72">
        <v>0</v>
      </c>
    </row>
    <row r="42" spans="10:41" ht="16.5" customHeight="1" x14ac:dyDescent="0.3">
      <c r="J42" s="24">
        <v>38</v>
      </c>
      <c r="K42" s="15" t="s">
        <v>37</v>
      </c>
      <c r="L42" s="15" t="s">
        <v>37</v>
      </c>
      <c r="M42" s="15" t="s">
        <v>65</v>
      </c>
      <c r="N42" s="15" t="s">
        <v>22</v>
      </c>
      <c r="O42" s="15" t="s">
        <v>35</v>
      </c>
      <c r="Q42" s="9">
        <v>7</v>
      </c>
      <c r="R42" s="9">
        <v>7</v>
      </c>
      <c r="S42" s="9">
        <v>16</v>
      </c>
      <c r="T42" s="9">
        <v>3</v>
      </c>
      <c r="U42" s="9">
        <v>8</v>
      </c>
      <c r="W42" s="24">
        <v>1</v>
      </c>
      <c r="X42" s="24">
        <v>1</v>
      </c>
      <c r="Y42" s="24">
        <v>1</v>
      </c>
      <c r="Z42" s="24">
        <v>1</v>
      </c>
      <c r="AA42" s="24">
        <v>1</v>
      </c>
      <c r="AC42" s="71" t="str">
        <v>G2</v>
      </c>
      <c r="AD42" s="72">
        <v>0</v>
      </c>
      <c r="AE42" s="72">
        <v>0</v>
      </c>
      <c r="AF42" s="71">
        <v>3</v>
      </c>
      <c r="AG42" s="71">
        <v>7</v>
      </c>
      <c r="AH42" s="72">
        <v>0</v>
      </c>
      <c r="AI42" s="5"/>
      <c r="AJ42" s="71" t="str">
        <v>G2</v>
      </c>
      <c r="AK42" s="72">
        <v>0</v>
      </c>
      <c r="AL42" s="72">
        <v>0</v>
      </c>
      <c r="AM42" s="71">
        <v>3</v>
      </c>
      <c r="AN42" s="71">
        <v>7</v>
      </c>
      <c r="AO42" s="72">
        <v>0</v>
      </c>
    </row>
    <row r="43" spans="10:41" ht="16.5" customHeight="1" x14ac:dyDescent="0.3">
      <c r="J43" s="9">
        <v>39</v>
      </c>
      <c r="K43" s="15" t="s">
        <v>19</v>
      </c>
      <c r="L43" s="15" t="s">
        <v>35</v>
      </c>
      <c r="M43" s="15" t="s">
        <v>36</v>
      </c>
      <c r="N43" s="15" t="s">
        <v>36</v>
      </c>
      <c r="O43" s="15" t="s">
        <v>22</v>
      </c>
      <c r="Q43" s="9">
        <v>5</v>
      </c>
      <c r="R43" s="9">
        <v>8</v>
      </c>
      <c r="S43" s="9">
        <v>10</v>
      </c>
      <c r="T43" s="9">
        <v>10</v>
      </c>
      <c r="U43" s="9">
        <v>3</v>
      </c>
      <c r="W43" s="24">
        <v>1</v>
      </c>
      <c r="X43" s="24">
        <v>1</v>
      </c>
      <c r="Y43" s="24">
        <v>1</v>
      </c>
      <c r="Z43" s="24">
        <v>1</v>
      </c>
      <c r="AA43" s="24">
        <v>1</v>
      </c>
      <c r="AC43" s="71" t="str">
        <v>G3</v>
      </c>
      <c r="AD43" s="72">
        <v>0</v>
      </c>
      <c r="AE43" s="72">
        <v>0</v>
      </c>
      <c r="AF43" s="71">
        <v>6</v>
      </c>
      <c r="AG43" s="71">
        <v>3</v>
      </c>
      <c r="AH43" s="72">
        <v>0</v>
      </c>
      <c r="AI43" s="5"/>
      <c r="AJ43" s="71" t="str">
        <v>G3</v>
      </c>
      <c r="AK43" s="72">
        <v>0</v>
      </c>
      <c r="AL43" s="72">
        <v>0</v>
      </c>
      <c r="AM43" s="71">
        <v>6</v>
      </c>
      <c r="AN43" s="71">
        <v>3</v>
      </c>
      <c r="AO43" s="72">
        <v>0</v>
      </c>
    </row>
    <row r="44" spans="10:41" ht="16.5" customHeight="1" x14ac:dyDescent="0.3">
      <c r="J44" s="24">
        <v>40</v>
      </c>
      <c r="K44" s="15" t="s">
        <v>22</v>
      </c>
      <c r="L44" s="15" t="s">
        <v>21</v>
      </c>
      <c r="M44" s="15" t="s">
        <v>18</v>
      </c>
      <c r="N44" s="15" t="s">
        <v>37</v>
      </c>
      <c r="O44" s="15" t="s">
        <v>34</v>
      </c>
      <c r="Q44" s="9">
        <v>3</v>
      </c>
      <c r="R44" s="9">
        <v>2</v>
      </c>
      <c r="S44" s="9">
        <v>4</v>
      </c>
      <c r="T44" s="9">
        <v>7</v>
      </c>
      <c r="U44" s="9">
        <v>9</v>
      </c>
      <c r="W44" s="24">
        <v>1</v>
      </c>
      <c r="X44" s="24">
        <v>1</v>
      </c>
      <c r="Y44" s="24">
        <v>1</v>
      </c>
      <c r="Z44" s="24">
        <v>1</v>
      </c>
      <c r="AA44" s="24">
        <v>1</v>
      </c>
      <c r="AC44" s="71" t="str">
        <v>G4</v>
      </c>
      <c r="AD44" s="72">
        <v>0</v>
      </c>
      <c r="AE44" s="72">
        <v>0</v>
      </c>
      <c r="AF44" s="71">
        <v>1</v>
      </c>
      <c r="AG44" s="71">
        <v>5</v>
      </c>
      <c r="AH44" s="72">
        <v>0</v>
      </c>
      <c r="AI44" s="5"/>
      <c r="AJ44" s="71" t="str">
        <v>G4</v>
      </c>
      <c r="AK44" s="72">
        <v>0</v>
      </c>
      <c r="AL44" s="72">
        <v>0</v>
      </c>
      <c r="AM44" s="71">
        <v>1</v>
      </c>
      <c r="AN44" s="71">
        <v>5</v>
      </c>
      <c r="AO44" s="72">
        <v>0</v>
      </c>
    </row>
    <row r="45" spans="10:41" ht="16.5" customHeight="1" x14ac:dyDescent="0.3">
      <c r="J45" s="9">
        <v>41</v>
      </c>
      <c r="K45" s="15" t="s">
        <v>35</v>
      </c>
      <c r="L45" s="15" t="s">
        <v>34</v>
      </c>
      <c r="M45" s="15" t="s">
        <v>35</v>
      </c>
      <c r="N45" s="15" t="s">
        <v>34</v>
      </c>
      <c r="O45" s="15" t="s">
        <v>19</v>
      </c>
      <c r="Q45" s="9">
        <v>8</v>
      </c>
      <c r="R45" s="9">
        <v>9</v>
      </c>
      <c r="S45" s="9">
        <v>8</v>
      </c>
      <c r="T45" s="9">
        <v>9</v>
      </c>
      <c r="U45" s="9">
        <v>5</v>
      </c>
      <c r="W45" s="24">
        <v>1</v>
      </c>
      <c r="X45" s="24">
        <v>1</v>
      </c>
      <c r="Y45" s="24">
        <v>1</v>
      </c>
      <c r="Z45" s="24">
        <v>1</v>
      </c>
      <c r="AA45" s="24">
        <v>1</v>
      </c>
      <c r="AC45" s="71" t="str">
        <v>G5</v>
      </c>
      <c r="AD45" s="72">
        <v>0</v>
      </c>
      <c r="AE45" s="72">
        <v>0</v>
      </c>
      <c r="AF45" s="71">
        <v>6</v>
      </c>
      <c r="AG45" s="71">
        <v>1</v>
      </c>
      <c r="AH45" s="72">
        <v>0</v>
      </c>
      <c r="AI45" s="5"/>
      <c r="AJ45" s="71" t="str">
        <v>G5</v>
      </c>
      <c r="AK45" s="72">
        <v>0</v>
      </c>
      <c r="AL45" s="72">
        <v>0</v>
      </c>
      <c r="AM45" s="71">
        <v>6</v>
      </c>
      <c r="AN45" s="71">
        <v>1</v>
      </c>
      <c r="AO45" s="72">
        <v>0</v>
      </c>
    </row>
    <row r="46" spans="10:41" ht="16.5" customHeight="1" x14ac:dyDescent="0.3">
      <c r="J46" s="24">
        <v>42</v>
      </c>
      <c r="K46" s="15" t="s">
        <v>35</v>
      </c>
      <c r="L46" s="15" t="s">
        <v>36</v>
      </c>
      <c r="M46" s="15" t="s">
        <v>35</v>
      </c>
      <c r="N46" s="15" t="s">
        <v>22</v>
      </c>
      <c r="O46" s="15" t="s">
        <v>35</v>
      </c>
      <c r="Q46" s="9">
        <v>8</v>
      </c>
      <c r="R46" s="9">
        <v>10</v>
      </c>
      <c r="S46" s="9">
        <v>8</v>
      </c>
      <c r="T46" s="9">
        <v>3</v>
      </c>
      <c r="U46" s="9">
        <v>8</v>
      </c>
      <c r="W46" s="24">
        <v>1</v>
      </c>
      <c r="X46" s="24">
        <v>1</v>
      </c>
      <c r="Y46" s="24">
        <v>1</v>
      </c>
      <c r="Z46" s="24">
        <v>1</v>
      </c>
      <c r="AA46" s="24">
        <v>1</v>
      </c>
      <c r="AC46" s="71" t="str">
        <v>GA</v>
      </c>
      <c r="AD46" s="72">
        <v>0</v>
      </c>
      <c r="AE46" s="72">
        <v>0</v>
      </c>
      <c r="AF46" s="71">
        <v>4</v>
      </c>
      <c r="AG46" s="71">
        <v>1</v>
      </c>
      <c r="AH46" s="72">
        <v>0</v>
      </c>
      <c r="AI46" s="5"/>
      <c r="AJ46" s="71" t="str">
        <v>GA</v>
      </c>
      <c r="AK46" s="72">
        <v>0</v>
      </c>
      <c r="AL46" s="72">
        <v>0</v>
      </c>
      <c r="AM46" s="71">
        <v>4</v>
      </c>
      <c r="AN46" s="71">
        <v>1</v>
      </c>
      <c r="AO46" s="72">
        <v>0</v>
      </c>
    </row>
    <row r="47" spans="10:41" ht="16.5" customHeight="1" x14ac:dyDescent="0.3">
      <c r="J47" s="9">
        <v>43</v>
      </c>
      <c r="K47" s="15" t="s">
        <v>21</v>
      </c>
      <c r="L47" s="15" t="s">
        <v>36</v>
      </c>
      <c r="M47" s="15" t="s">
        <v>22</v>
      </c>
      <c r="N47" s="15" t="s">
        <v>37</v>
      </c>
      <c r="O47" s="15" t="s">
        <v>21</v>
      </c>
      <c r="Q47" s="9">
        <v>2</v>
      </c>
      <c r="R47" s="9">
        <v>10</v>
      </c>
      <c r="S47" s="9">
        <v>3</v>
      </c>
      <c r="T47" s="9">
        <v>7</v>
      </c>
      <c r="U47" s="9">
        <v>2</v>
      </c>
      <c r="W47" s="24">
        <v>1</v>
      </c>
      <c r="X47" s="24">
        <v>1</v>
      </c>
      <c r="Y47" s="24">
        <v>1</v>
      </c>
      <c r="Z47" s="24">
        <v>1</v>
      </c>
      <c r="AA47" s="24">
        <v>1</v>
      </c>
      <c r="AC47" s="71" t="str">
        <v>GK</v>
      </c>
      <c r="AD47" s="72">
        <v>0</v>
      </c>
      <c r="AE47" s="72">
        <v>0</v>
      </c>
      <c r="AF47" s="71">
        <v>1</v>
      </c>
      <c r="AG47" s="71">
        <v>3</v>
      </c>
      <c r="AH47" s="72">
        <v>0</v>
      </c>
      <c r="AI47" s="5"/>
      <c r="AJ47" s="71" t="str">
        <v>GK</v>
      </c>
      <c r="AK47" s="72">
        <v>0</v>
      </c>
      <c r="AL47" s="72">
        <v>0</v>
      </c>
      <c r="AM47" s="71">
        <v>1</v>
      </c>
      <c r="AN47" s="71">
        <v>3</v>
      </c>
      <c r="AO47" s="72">
        <v>0</v>
      </c>
    </row>
    <row r="48" spans="10:41" ht="16.5" customHeight="1" x14ac:dyDescent="0.3">
      <c r="J48" s="24">
        <v>44</v>
      </c>
      <c r="K48" s="15" t="s">
        <v>21</v>
      </c>
      <c r="L48" s="15" t="s">
        <v>18</v>
      </c>
      <c r="M48" s="15" t="s">
        <v>22</v>
      </c>
      <c r="N48" s="15" t="s">
        <v>65</v>
      </c>
      <c r="O48" s="15" t="s">
        <v>22</v>
      </c>
      <c r="Q48" s="9">
        <v>2</v>
      </c>
      <c r="R48" s="9">
        <v>4</v>
      </c>
      <c r="S48" s="9">
        <v>3</v>
      </c>
      <c r="T48" s="9">
        <v>16</v>
      </c>
      <c r="U48" s="9">
        <v>3</v>
      </c>
      <c r="W48" s="24">
        <v>1</v>
      </c>
      <c r="X48" s="24">
        <v>1</v>
      </c>
      <c r="Y48" s="24">
        <v>1</v>
      </c>
      <c r="Z48" s="24">
        <v>1</v>
      </c>
      <c r="AA48" s="24">
        <v>1</v>
      </c>
      <c r="AC48" s="71" t="str">
        <v>GQ</v>
      </c>
      <c r="AD48" s="72">
        <v>0</v>
      </c>
      <c r="AE48" s="72">
        <v>0</v>
      </c>
      <c r="AF48" s="71">
        <v>1</v>
      </c>
      <c r="AG48" s="71">
        <v>3</v>
      </c>
      <c r="AH48" s="72">
        <v>0</v>
      </c>
      <c r="AI48" s="5"/>
      <c r="AJ48" s="71" t="str">
        <v>GQ</v>
      </c>
      <c r="AK48" s="72">
        <v>0</v>
      </c>
      <c r="AL48" s="72">
        <v>0</v>
      </c>
      <c r="AM48" s="71">
        <v>1</v>
      </c>
      <c r="AN48" s="71">
        <v>3</v>
      </c>
      <c r="AO48" s="72">
        <v>0</v>
      </c>
    </row>
    <row r="49" spans="10:41" ht="16.5" customHeight="1" x14ac:dyDescent="0.3">
      <c r="J49" s="9">
        <v>45</v>
      </c>
      <c r="K49" s="15" t="s">
        <v>19</v>
      </c>
      <c r="L49" s="15" t="s">
        <v>37</v>
      </c>
      <c r="M49" s="15" t="s">
        <v>61</v>
      </c>
      <c r="N49" s="15" t="s">
        <v>19</v>
      </c>
      <c r="O49" s="15" t="s">
        <v>35</v>
      </c>
      <c r="Q49" s="9">
        <v>5</v>
      </c>
      <c r="R49" s="9">
        <v>7</v>
      </c>
      <c r="S49" s="9">
        <v>11</v>
      </c>
      <c r="T49" s="9">
        <v>5</v>
      </c>
      <c r="U49" s="9">
        <v>8</v>
      </c>
      <c r="W49" s="24">
        <v>1</v>
      </c>
      <c r="X49" s="24">
        <v>1</v>
      </c>
      <c r="Y49" s="24">
        <v>1</v>
      </c>
      <c r="Z49" s="24">
        <v>1</v>
      </c>
      <c r="AA49" s="24">
        <v>1</v>
      </c>
      <c r="AC49" s="71" t="str">
        <v>GJ</v>
      </c>
      <c r="AD49" s="72">
        <v>0</v>
      </c>
      <c r="AE49" s="72">
        <v>0</v>
      </c>
      <c r="AF49" s="71">
        <v>6</v>
      </c>
      <c r="AG49" s="71">
        <v>1</v>
      </c>
      <c r="AH49" s="72">
        <v>0</v>
      </c>
      <c r="AI49" s="5"/>
      <c r="AJ49" s="71" t="str">
        <v>GJ</v>
      </c>
      <c r="AK49" s="72">
        <v>0</v>
      </c>
      <c r="AL49" s="72">
        <v>0</v>
      </c>
      <c r="AM49" s="71">
        <v>6</v>
      </c>
      <c r="AN49" s="71">
        <v>1</v>
      </c>
      <c r="AO49" s="72">
        <v>0</v>
      </c>
    </row>
    <row r="50" spans="10:41" ht="16.5" customHeight="1" x14ac:dyDescent="0.3">
      <c r="J50" s="24">
        <v>46</v>
      </c>
      <c r="K50" s="15" t="s">
        <v>21</v>
      </c>
      <c r="L50" s="15" t="s">
        <v>37</v>
      </c>
      <c r="M50" s="15" t="s">
        <v>64</v>
      </c>
      <c r="N50" s="15" t="s">
        <v>37</v>
      </c>
      <c r="O50" s="15" t="s">
        <v>36</v>
      </c>
      <c r="Q50" s="9">
        <v>2</v>
      </c>
      <c r="R50" s="9">
        <v>7</v>
      </c>
      <c r="S50" s="9">
        <v>14</v>
      </c>
      <c r="T50" s="9">
        <v>7</v>
      </c>
      <c r="U50" s="9">
        <v>10</v>
      </c>
      <c r="W50" s="24">
        <v>1</v>
      </c>
      <c r="X50" s="24">
        <v>1</v>
      </c>
      <c r="Y50" s="24">
        <v>1</v>
      </c>
      <c r="Z50" s="24">
        <v>1</v>
      </c>
      <c r="AA50" s="24">
        <v>1</v>
      </c>
      <c r="AD50" s="59">
        <f>SUM(AD30:AD49)</f>
        <v>196</v>
      </c>
      <c r="AE50" s="59">
        <f>SUM(AE30:AE49)</f>
        <v>197</v>
      </c>
      <c r="AF50" s="59">
        <f>SUM(AF30:AF49)</f>
        <v>198</v>
      </c>
      <c r="AG50" s="59">
        <f>SUM(AG30:AG49)</f>
        <v>203</v>
      </c>
      <c r="AH50" s="59">
        <f>SUM(AH30:AH49)</f>
        <v>201</v>
      </c>
      <c r="AI50" s="5"/>
      <c r="AK50" s="59">
        <f>SUM(AK30:AK49)</f>
        <v>196</v>
      </c>
      <c r="AL50" s="59">
        <f>SUM(AL30:AL49)</f>
        <v>197</v>
      </c>
      <c r="AM50" s="59">
        <f>SUM(AM30:AM49)</f>
        <v>198</v>
      </c>
      <c r="AN50" s="59">
        <f>SUM(AN30:AN49)</f>
        <v>203</v>
      </c>
      <c r="AO50" s="59">
        <f>SUM(AO30:AO49)</f>
        <v>201</v>
      </c>
    </row>
    <row r="51" spans="10:41" ht="16.5" customHeight="1" x14ac:dyDescent="0.3">
      <c r="J51" s="9">
        <v>47</v>
      </c>
      <c r="K51" s="15" t="s">
        <v>34</v>
      </c>
      <c r="L51" s="15" t="s">
        <v>19</v>
      </c>
      <c r="M51" s="15" t="s">
        <v>61</v>
      </c>
      <c r="N51" s="15" t="s">
        <v>19</v>
      </c>
      <c r="O51" s="15" t="s">
        <v>35</v>
      </c>
      <c r="Q51" s="9">
        <v>9</v>
      </c>
      <c r="R51" s="9">
        <v>5</v>
      </c>
      <c r="S51" s="9">
        <v>11</v>
      </c>
      <c r="T51" s="9">
        <v>5</v>
      </c>
      <c r="U51" s="9">
        <v>8</v>
      </c>
      <c r="W51" s="24">
        <v>1</v>
      </c>
      <c r="X51" s="24">
        <v>1</v>
      </c>
      <c r="Y51" s="24">
        <v>1</v>
      </c>
      <c r="Z51" s="24">
        <v>1</v>
      </c>
      <c r="AA51" s="24">
        <v>1</v>
      </c>
      <c r="AH51" s="5"/>
      <c r="AI51" s="5"/>
      <c r="AO51" s="5"/>
    </row>
    <row r="52" spans="10:41" ht="16.5" customHeight="1" x14ac:dyDescent="0.3">
      <c r="J52" s="24">
        <v>48</v>
      </c>
      <c r="K52" s="15" t="s">
        <v>36</v>
      </c>
      <c r="L52" s="15" t="s">
        <v>36</v>
      </c>
      <c r="M52" s="15" t="s">
        <v>34</v>
      </c>
      <c r="N52" s="15" t="s">
        <v>35</v>
      </c>
      <c r="O52" s="15" t="s">
        <v>34</v>
      </c>
      <c r="Q52" s="9">
        <v>10</v>
      </c>
      <c r="R52" s="9">
        <v>10</v>
      </c>
      <c r="S52" s="9">
        <v>9</v>
      </c>
      <c r="T52" s="9">
        <v>8</v>
      </c>
      <c r="U52" s="9">
        <v>9</v>
      </c>
      <c r="W52" s="24">
        <v>1</v>
      </c>
      <c r="X52" s="24">
        <v>1</v>
      </c>
      <c r="Y52" s="24">
        <v>1</v>
      </c>
      <c r="Z52" s="24">
        <v>1</v>
      </c>
      <c r="AA52" s="24">
        <v>1</v>
      </c>
      <c r="AC52" s="26" t="s">
        <v>98</v>
      </c>
      <c r="AH52" s="5"/>
      <c r="AI52" s="5"/>
      <c r="AJ52" s="26" t="s">
        <v>98</v>
      </c>
      <c r="AO52" s="5"/>
    </row>
    <row r="53" spans="10:41" ht="16.5" customHeight="1" x14ac:dyDescent="0.3">
      <c r="J53" s="9">
        <v>49</v>
      </c>
      <c r="K53" s="15" t="s">
        <v>34</v>
      </c>
      <c r="L53" s="15" t="s">
        <v>35</v>
      </c>
      <c r="M53" s="15" t="s">
        <v>68</v>
      </c>
      <c r="N53" s="15" t="s">
        <v>35</v>
      </c>
      <c r="O53" s="15" t="s">
        <v>35</v>
      </c>
      <c r="Q53" s="9">
        <v>9</v>
      </c>
      <c r="R53" s="9">
        <v>8</v>
      </c>
      <c r="S53" s="9">
        <v>18</v>
      </c>
      <c r="T53" s="9">
        <v>8</v>
      </c>
      <c r="U53" s="9">
        <v>8</v>
      </c>
      <c r="W53" s="24">
        <v>1</v>
      </c>
      <c r="X53" s="24">
        <v>1</v>
      </c>
      <c r="Y53" s="24">
        <v>1</v>
      </c>
      <c r="Z53" s="24">
        <v>1</v>
      </c>
      <c r="AA53" s="24">
        <v>1</v>
      </c>
      <c r="AC53" s="68" t="s">
        <v>42</v>
      </c>
      <c r="AD53" s="68" t="s">
        <v>13</v>
      </c>
      <c r="AE53" s="68" t="s">
        <v>14</v>
      </c>
      <c r="AF53" s="68" t="s">
        <v>15</v>
      </c>
      <c r="AG53" s="68" t="s">
        <v>16</v>
      </c>
      <c r="AH53" s="68" t="s">
        <v>17</v>
      </c>
      <c r="AI53" s="5"/>
      <c r="AJ53" s="68" t="s">
        <v>42</v>
      </c>
      <c r="AK53" s="68" t="s">
        <v>13</v>
      </c>
      <c r="AL53" s="68" t="s">
        <v>14</v>
      </c>
      <c r="AM53" s="68" t="s">
        <v>15</v>
      </c>
      <c r="AN53" s="68" t="s">
        <v>16</v>
      </c>
      <c r="AO53" s="68" t="s">
        <v>17</v>
      </c>
    </row>
    <row r="54" spans="10:41" ht="16.5" customHeight="1" x14ac:dyDescent="0.3">
      <c r="J54" s="24">
        <v>50</v>
      </c>
      <c r="K54" s="15" t="s">
        <v>35</v>
      </c>
      <c r="L54" s="15" t="s">
        <v>19</v>
      </c>
      <c r="M54" s="15" t="s">
        <v>35</v>
      </c>
      <c r="N54" s="15" t="s">
        <v>18</v>
      </c>
      <c r="O54" s="15" t="s">
        <v>36</v>
      </c>
      <c r="Q54" s="9">
        <v>8</v>
      </c>
      <c r="R54" s="9">
        <v>5</v>
      </c>
      <c r="S54" s="9">
        <v>8</v>
      </c>
      <c r="T54" s="9">
        <v>4</v>
      </c>
      <c r="U54" s="9">
        <v>10</v>
      </c>
      <c r="W54" s="24">
        <v>1</v>
      </c>
      <c r="X54" s="24">
        <v>1</v>
      </c>
      <c r="Y54" s="24">
        <v>1</v>
      </c>
      <c r="Z54" s="24">
        <v>1</v>
      </c>
      <c r="AA54" s="24">
        <v>1</v>
      </c>
      <c r="AC54" s="71" t="str" cm="1">
        <f t="array" ref="AC54:AC73">$A$4:$A$23</f>
        <v>WW</v>
      </c>
      <c r="AD54" s="72">
        <v>0</v>
      </c>
      <c r="AE54" s="72">
        <v>0</v>
      </c>
      <c r="AF54" s="72">
        <v>0</v>
      </c>
      <c r="AG54" s="72">
        <v>0</v>
      </c>
      <c r="AH54" s="72">
        <v>0</v>
      </c>
      <c r="AI54" s="5"/>
      <c r="AJ54" s="71" t="str" cm="1">
        <f t="array" ref="AJ54:AJ73">$A$4:$A$23</f>
        <v>WW</v>
      </c>
      <c r="AK54" s="72">
        <v>0</v>
      </c>
      <c r="AL54" s="72">
        <v>0</v>
      </c>
      <c r="AM54" s="72">
        <v>0</v>
      </c>
      <c r="AN54" s="72">
        <v>0</v>
      </c>
      <c r="AO54" s="72">
        <v>0</v>
      </c>
    </row>
    <row r="55" spans="10:41" ht="16.5" customHeight="1" x14ac:dyDescent="0.3">
      <c r="J55" s="9">
        <v>51</v>
      </c>
      <c r="K55" s="15" t="s">
        <v>34</v>
      </c>
      <c r="L55" s="15" t="s">
        <v>21</v>
      </c>
      <c r="M55" s="15" t="s">
        <v>65</v>
      </c>
      <c r="N55" s="15" t="s">
        <v>35</v>
      </c>
      <c r="O55" s="15" t="s">
        <v>18</v>
      </c>
      <c r="Q55" s="9">
        <v>9</v>
      </c>
      <c r="R55" s="9">
        <v>2</v>
      </c>
      <c r="S55" s="9">
        <v>16</v>
      </c>
      <c r="T55" s="9">
        <v>8</v>
      </c>
      <c r="U55" s="9">
        <v>4</v>
      </c>
      <c r="W55" s="24">
        <v>1</v>
      </c>
      <c r="X55" s="24">
        <v>1</v>
      </c>
      <c r="Y55" s="24">
        <v>1</v>
      </c>
      <c r="Z55" s="24">
        <v>1</v>
      </c>
      <c r="AA55" s="24">
        <v>1</v>
      </c>
      <c r="AC55" s="71" t="str">
        <v>C1</v>
      </c>
      <c r="AD55" s="71">
        <v>1</v>
      </c>
      <c r="AE55" s="71">
        <v>1</v>
      </c>
      <c r="AF55" s="71">
        <v>1</v>
      </c>
      <c r="AG55" s="71">
        <v>1</v>
      </c>
      <c r="AH55" s="71">
        <v>1</v>
      </c>
      <c r="AI55" s="5"/>
      <c r="AJ55" s="71" t="str">
        <v>C1</v>
      </c>
      <c r="AK55" s="71">
        <v>1</v>
      </c>
      <c r="AL55" s="71">
        <v>1</v>
      </c>
      <c r="AM55" s="71">
        <v>1</v>
      </c>
      <c r="AN55" s="71">
        <v>1</v>
      </c>
      <c r="AO55" s="71">
        <v>1</v>
      </c>
    </row>
    <row r="56" spans="10:41" ht="16.5" customHeight="1" x14ac:dyDescent="0.3">
      <c r="J56" s="24">
        <v>52</v>
      </c>
      <c r="K56" s="15" t="s">
        <v>19</v>
      </c>
      <c r="L56" s="15" t="s">
        <v>36</v>
      </c>
      <c r="M56" s="15" t="s">
        <v>22</v>
      </c>
      <c r="N56" s="15" t="s">
        <v>36</v>
      </c>
      <c r="O56" s="15" t="s">
        <v>36</v>
      </c>
      <c r="Q56" s="9">
        <v>5</v>
      </c>
      <c r="R56" s="9">
        <v>10</v>
      </c>
      <c r="S56" s="9">
        <v>3</v>
      </c>
      <c r="T56" s="9">
        <v>10</v>
      </c>
      <c r="U56" s="9">
        <v>10</v>
      </c>
      <c r="W56" s="24">
        <v>1</v>
      </c>
      <c r="X56" s="24">
        <v>1</v>
      </c>
      <c r="Y56" s="24">
        <v>1</v>
      </c>
      <c r="Z56" s="24">
        <v>1</v>
      </c>
      <c r="AA56" s="24">
        <v>1</v>
      </c>
      <c r="AC56" s="80" t="str">
        <v>M1</v>
      </c>
      <c r="AD56" s="81">
        <v>0</v>
      </c>
      <c r="AE56" s="81">
        <v>0</v>
      </c>
      <c r="AF56" s="81">
        <v>0</v>
      </c>
      <c r="AG56" s="81">
        <v>0</v>
      </c>
      <c r="AH56" s="81">
        <v>0</v>
      </c>
      <c r="AI56" s="5"/>
      <c r="AJ56" s="80" t="str">
        <v>M1</v>
      </c>
      <c r="AK56" s="81">
        <v>0</v>
      </c>
      <c r="AL56" s="81">
        <v>0</v>
      </c>
      <c r="AM56" s="81">
        <v>0</v>
      </c>
      <c r="AN56" s="81">
        <v>0</v>
      </c>
      <c r="AO56" s="81">
        <v>0</v>
      </c>
    </row>
    <row r="57" spans="10:41" ht="16.5" customHeight="1" x14ac:dyDescent="0.3">
      <c r="J57" s="9">
        <v>53</v>
      </c>
      <c r="K57" s="15" t="s">
        <v>34</v>
      </c>
      <c r="L57" s="15" t="s">
        <v>36</v>
      </c>
      <c r="M57" s="15" t="s">
        <v>35</v>
      </c>
      <c r="N57" s="15" t="s">
        <v>20</v>
      </c>
      <c r="O57" s="15" t="s">
        <v>37</v>
      </c>
      <c r="Q57" s="9">
        <v>9</v>
      </c>
      <c r="R57" s="9">
        <v>10</v>
      </c>
      <c r="S57" s="9">
        <v>8</v>
      </c>
      <c r="T57" s="9">
        <v>1</v>
      </c>
      <c r="U57" s="9">
        <v>7</v>
      </c>
      <c r="W57" s="24">
        <v>1</v>
      </c>
      <c r="X57" s="24">
        <v>1</v>
      </c>
      <c r="Y57" s="24">
        <v>1</v>
      </c>
      <c r="Z57" s="24">
        <v>1</v>
      </c>
      <c r="AA57" s="24">
        <v>1</v>
      </c>
      <c r="AC57" s="80" t="str">
        <v>M2</v>
      </c>
      <c r="AD57" s="80">
        <v>15</v>
      </c>
      <c r="AE57" s="80">
        <v>53</v>
      </c>
      <c r="AF57" s="80">
        <v>5</v>
      </c>
      <c r="AG57" s="80">
        <v>48</v>
      </c>
      <c r="AH57" s="80">
        <v>58</v>
      </c>
      <c r="AI57" s="5"/>
      <c r="AJ57" s="80" t="str">
        <v>M2</v>
      </c>
      <c r="AK57" s="80">
        <v>15</v>
      </c>
      <c r="AL57" s="80">
        <v>53</v>
      </c>
      <c r="AM57" s="80">
        <v>5</v>
      </c>
      <c r="AN57" s="80">
        <v>48</v>
      </c>
      <c r="AO57" s="80">
        <v>58</v>
      </c>
    </row>
    <row r="58" spans="10:41" ht="16.5" customHeight="1" x14ac:dyDescent="0.3">
      <c r="J58" s="24">
        <v>54</v>
      </c>
      <c r="K58" s="15" t="s">
        <v>35</v>
      </c>
      <c r="L58" s="15" t="s">
        <v>19</v>
      </c>
      <c r="M58" s="15" t="s">
        <v>61</v>
      </c>
      <c r="N58" s="15" t="s">
        <v>62</v>
      </c>
      <c r="O58" s="15" t="s">
        <v>36</v>
      </c>
      <c r="Q58" s="9">
        <v>8</v>
      </c>
      <c r="R58" s="9">
        <v>5</v>
      </c>
      <c r="S58" s="9">
        <v>11</v>
      </c>
      <c r="T58" s="9">
        <v>12</v>
      </c>
      <c r="U58" s="9">
        <v>10</v>
      </c>
      <c r="W58" s="24">
        <v>1</v>
      </c>
      <c r="X58" s="24">
        <v>1</v>
      </c>
      <c r="Y58" s="24">
        <v>1</v>
      </c>
      <c r="Z58" s="24">
        <v>1</v>
      </c>
      <c r="AA58" s="24">
        <v>1</v>
      </c>
      <c r="AC58" s="80" t="str">
        <v>M3</v>
      </c>
      <c r="AD58" s="80">
        <v>3</v>
      </c>
      <c r="AE58" s="80">
        <v>38</v>
      </c>
      <c r="AF58" s="80">
        <v>20</v>
      </c>
      <c r="AG58" s="80">
        <v>40</v>
      </c>
      <c r="AH58" s="80">
        <v>48</v>
      </c>
      <c r="AI58" s="5"/>
      <c r="AJ58" s="80" t="str">
        <v>M3</v>
      </c>
      <c r="AK58" s="80">
        <v>3</v>
      </c>
      <c r="AL58" s="80">
        <v>38</v>
      </c>
      <c r="AM58" s="80">
        <v>20</v>
      </c>
      <c r="AN58" s="80">
        <v>40</v>
      </c>
      <c r="AO58" s="80">
        <v>48</v>
      </c>
    </row>
    <row r="59" spans="10:41" ht="16.5" customHeight="1" x14ac:dyDescent="0.3">
      <c r="J59" s="9">
        <v>55</v>
      </c>
      <c r="K59" s="15" t="s">
        <v>37</v>
      </c>
      <c r="L59" s="15" t="s">
        <v>37</v>
      </c>
      <c r="M59" s="15" t="s">
        <v>35</v>
      </c>
      <c r="N59" s="15" t="s">
        <v>37</v>
      </c>
      <c r="O59" s="15" t="s">
        <v>22</v>
      </c>
      <c r="Q59" s="9">
        <v>7</v>
      </c>
      <c r="R59" s="9">
        <v>7</v>
      </c>
      <c r="S59" s="9">
        <v>8</v>
      </c>
      <c r="T59" s="9">
        <v>7</v>
      </c>
      <c r="U59" s="9">
        <v>3</v>
      </c>
      <c r="W59" s="24">
        <v>1</v>
      </c>
      <c r="X59" s="24">
        <v>1</v>
      </c>
      <c r="Y59" s="24">
        <v>1</v>
      </c>
      <c r="Z59" s="24">
        <v>1</v>
      </c>
      <c r="AA59" s="24">
        <v>1</v>
      </c>
      <c r="AC59" s="80" t="str">
        <v>M4</v>
      </c>
      <c r="AD59" s="80">
        <v>38</v>
      </c>
      <c r="AE59" s="80">
        <v>27</v>
      </c>
      <c r="AF59" s="80">
        <v>33</v>
      </c>
      <c r="AG59" s="80">
        <v>20</v>
      </c>
      <c r="AH59" s="80">
        <v>24</v>
      </c>
      <c r="AI59" s="5"/>
      <c r="AJ59" s="80" t="str">
        <v>M4</v>
      </c>
      <c r="AK59" s="80">
        <v>38</v>
      </c>
      <c r="AL59" s="80">
        <v>27</v>
      </c>
      <c r="AM59" s="80">
        <v>33</v>
      </c>
      <c r="AN59" s="80">
        <v>20</v>
      </c>
      <c r="AO59" s="80">
        <v>24</v>
      </c>
    </row>
    <row r="60" spans="10:41" ht="16.5" customHeight="1" x14ac:dyDescent="0.3">
      <c r="J60" s="24">
        <v>56</v>
      </c>
      <c r="K60" s="15" t="s">
        <v>18</v>
      </c>
      <c r="L60" s="15" t="s">
        <v>22</v>
      </c>
      <c r="M60" s="15" t="s">
        <v>81</v>
      </c>
      <c r="N60" s="15" t="s">
        <v>21</v>
      </c>
      <c r="O60" s="15" t="s">
        <v>22</v>
      </c>
      <c r="Q60" s="9">
        <v>4</v>
      </c>
      <c r="R60" s="9">
        <v>3</v>
      </c>
      <c r="S60" s="9">
        <v>17</v>
      </c>
      <c r="T60" s="9">
        <v>2</v>
      </c>
      <c r="U60" s="9">
        <v>3</v>
      </c>
      <c r="W60" s="24">
        <v>1</v>
      </c>
      <c r="X60" s="24">
        <v>1</v>
      </c>
      <c r="Y60" s="24">
        <v>1</v>
      </c>
      <c r="Z60" s="24">
        <v>1</v>
      </c>
      <c r="AA60" s="24">
        <v>1</v>
      </c>
      <c r="AC60" s="80" t="str">
        <v>M5</v>
      </c>
      <c r="AD60" s="80">
        <v>11</v>
      </c>
      <c r="AE60" s="80">
        <v>27</v>
      </c>
      <c r="AF60" s="80">
        <v>5</v>
      </c>
      <c r="AG60" s="80">
        <v>28</v>
      </c>
      <c r="AH60" s="80">
        <v>30</v>
      </c>
      <c r="AI60" s="5"/>
      <c r="AJ60" s="80" t="str">
        <v>M5</v>
      </c>
      <c r="AK60" s="80">
        <v>11</v>
      </c>
      <c r="AL60" s="80">
        <v>27</v>
      </c>
      <c r="AM60" s="80">
        <v>5</v>
      </c>
      <c r="AN60" s="80">
        <v>28</v>
      </c>
      <c r="AO60" s="80">
        <v>30</v>
      </c>
    </row>
    <row r="61" spans="10:41" x14ac:dyDescent="0.3">
      <c r="J61" s="9">
        <v>57</v>
      </c>
      <c r="K61" s="15" t="s">
        <v>20</v>
      </c>
      <c r="L61" s="15" t="s">
        <v>34</v>
      </c>
      <c r="M61" s="15" t="s">
        <v>37</v>
      </c>
      <c r="N61" s="15" t="s">
        <v>34</v>
      </c>
      <c r="O61" s="15" t="s">
        <v>18</v>
      </c>
      <c r="Q61" s="9">
        <v>1</v>
      </c>
      <c r="R61" s="9">
        <v>9</v>
      </c>
      <c r="S61" s="9">
        <v>7</v>
      </c>
      <c r="T61" s="9">
        <v>9</v>
      </c>
      <c r="U61" s="9">
        <v>4</v>
      </c>
      <c r="W61" s="24">
        <v>1</v>
      </c>
      <c r="X61" s="24">
        <v>1</v>
      </c>
      <c r="Y61" s="24">
        <v>1</v>
      </c>
      <c r="Z61" s="24">
        <v>1</v>
      </c>
      <c r="AA61" s="24">
        <v>1</v>
      </c>
      <c r="AC61" s="80" t="str">
        <v>A</v>
      </c>
      <c r="AD61" s="80">
        <v>33</v>
      </c>
      <c r="AE61" s="80">
        <v>14</v>
      </c>
      <c r="AF61" s="80">
        <v>35</v>
      </c>
      <c r="AG61" s="80">
        <v>8</v>
      </c>
      <c r="AH61" s="80">
        <v>10</v>
      </c>
      <c r="AI61" s="5"/>
      <c r="AJ61" s="80" t="str">
        <v>A</v>
      </c>
      <c r="AK61" s="80">
        <v>33</v>
      </c>
      <c r="AL61" s="80">
        <v>14</v>
      </c>
      <c r="AM61" s="80">
        <v>35</v>
      </c>
      <c r="AN61" s="80">
        <v>8</v>
      </c>
      <c r="AO61" s="80">
        <v>10</v>
      </c>
    </row>
    <row r="62" spans="10:41" x14ac:dyDescent="0.3">
      <c r="J62" s="24">
        <v>58</v>
      </c>
      <c r="K62" s="15" t="s">
        <v>21</v>
      </c>
      <c r="L62" s="15" t="s">
        <v>36</v>
      </c>
      <c r="M62" s="15" t="s">
        <v>34</v>
      </c>
      <c r="N62" s="15" t="s">
        <v>63</v>
      </c>
      <c r="O62" s="15" t="s">
        <v>22</v>
      </c>
      <c r="Q62" s="9">
        <v>2</v>
      </c>
      <c r="R62" s="9">
        <v>10</v>
      </c>
      <c r="S62" s="9">
        <v>9</v>
      </c>
      <c r="T62" s="9">
        <v>13</v>
      </c>
      <c r="U62" s="9">
        <v>3</v>
      </c>
      <c r="W62" s="24">
        <v>1</v>
      </c>
      <c r="X62" s="24">
        <v>1</v>
      </c>
      <c r="Y62" s="24">
        <v>1</v>
      </c>
      <c r="Z62" s="24">
        <v>1</v>
      </c>
      <c r="AA62" s="24">
        <v>1</v>
      </c>
      <c r="AC62" s="80" t="str">
        <v>K</v>
      </c>
      <c r="AD62" s="80">
        <v>40</v>
      </c>
      <c r="AE62" s="80">
        <v>3</v>
      </c>
      <c r="AF62" s="80">
        <v>23</v>
      </c>
      <c r="AG62" s="80">
        <v>1</v>
      </c>
      <c r="AH62" s="80">
        <v>1</v>
      </c>
      <c r="AI62" s="5"/>
      <c r="AJ62" s="80" t="str">
        <v>K</v>
      </c>
      <c r="AK62" s="80">
        <v>40</v>
      </c>
      <c r="AL62" s="80">
        <v>3</v>
      </c>
      <c r="AM62" s="80">
        <v>23</v>
      </c>
      <c r="AN62" s="80">
        <v>1</v>
      </c>
      <c r="AO62" s="80">
        <v>1</v>
      </c>
    </row>
    <row r="63" spans="10:41" ht="16.5" customHeight="1" x14ac:dyDescent="0.3">
      <c r="J63" s="9">
        <v>59</v>
      </c>
      <c r="K63" s="15" t="s">
        <v>18</v>
      </c>
      <c r="L63" s="15" t="s">
        <v>35</v>
      </c>
      <c r="M63" s="15" t="s">
        <v>34</v>
      </c>
      <c r="N63" s="15" t="s">
        <v>36</v>
      </c>
      <c r="O63" s="15" t="s">
        <v>18</v>
      </c>
      <c r="Q63" s="9">
        <v>4</v>
      </c>
      <c r="R63" s="9">
        <v>8</v>
      </c>
      <c r="S63" s="9">
        <v>9</v>
      </c>
      <c r="T63" s="9">
        <v>10</v>
      </c>
      <c r="U63" s="9">
        <v>4</v>
      </c>
      <c r="W63" s="24">
        <v>1</v>
      </c>
      <c r="X63" s="24">
        <v>1</v>
      </c>
      <c r="Y63" s="24">
        <v>1</v>
      </c>
      <c r="Z63" s="24">
        <v>1</v>
      </c>
      <c r="AA63" s="24">
        <v>1</v>
      </c>
      <c r="AC63" s="80" t="str">
        <v>Q</v>
      </c>
      <c r="AD63" s="80">
        <v>11</v>
      </c>
      <c r="AE63" s="80">
        <v>33</v>
      </c>
      <c r="AF63" s="80">
        <v>8</v>
      </c>
      <c r="AG63" s="80">
        <v>20</v>
      </c>
      <c r="AH63" s="80">
        <v>28</v>
      </c>
      <c r="AI63" s="5"/>
      <c r="AJ63" s="80" t="str">
        <v>Q</v>
      </c>
      <c r="AK63" s="80">
        <v>11</v>
      </c>
      <c r="AL63" s="80">
        <v>33</v>
      </c>
      <c r="AM63" s="80">
        <v>8</v>
      </c>
      <c r="AN63" s="80">
        <v>20</v>
      </c>
      <c r="AO63" s="80">
        <v>28</v>
      </c>
    </row>
    <row r="64" spans="10:41" ht="16.5" customHeight="1" x14ac:dyDescent="0.3">
      <c r="J64" s="24">
        <v>60</v>
      </c>
      <c r="K64" s="15" t="s">
        <v>36</v>
      </c>
      <c r="L64" s="15" t="s">
        <v>34</v>
      </c>
      <c r="M64" s="15" t="s">
        <v>37</v>
      </c>
      <c r="N64" s="15" t="s">
        <v>37</v>
      </c>
      <c r="O64" s="15" t="s">
        <v>36</v>
      </c>
      <c r="Q64" s="9">
        <v>10</v>
      </c>
      <c r="R64" s="9">
        <v>9</v>
      </c>
      <c r="S64" s="9">
        <v>7</v>
      </c>
      <c r="T64" s="9">
        <v>7</v>
      </c>
      <c r="U64" s="9">
        <v>10</v>
      </c>
      <c r="W64" s="24">
        <v>1</v>
      </c>
      <c r="X64" s="24">
        <v>1</v>
      </c>
      <c r="Y64" s="24">
        <v>1</v>
      </c>
      <c r="Z64" s="24">
        <v>1</v>
      </c>
      <c r="AA64" s="24">
        <v>1</v>
      </c>
      <c r="AC64" s="80" t="str">
        <v>J</v>
      </c>
      <c r="AD64" s="80">
        <v>44</v>
      </c>
      <c r="AE64" s="80">
        <v>1</v>
      </c>
      <c r="AF64" s="80">
        <v>39</v>
      </c>
      <c r="AG64" s="80">
        <v>5</v>
      </c>
      <c r="AH64" s="80">
        <v>1</v>
      </c>
      <c r="AI64" s="5"/>
      <c r="AJ64" s="80" t="str">
        <v>J</v>
      </c>
      <c r="AK64" s="80">
        <v>44</v>
      </c>
      <c r="AL64" s="80">
        <v>1</v>
      </c>
      <c r="AM64" s="80">
        <v>39</v>
      </c>
      <c r="AN64" s="80">
        <v>5</v>
      </c>
      <c r="AO64" s="80">
        <v>1</v>
      </c>
    </row>
    <row r="65" spans="10:41" ht="16.5" customHeight="1" x14ac:dyDescent="0.3">
      <c r="J65" s="9">
        <v>61</v>
      </c>
      <c r="K65" s="15" t="s">
        <v>21</v>
      </c>
      <c r="L65" s="15" t="s">
        <v>34</v>
      </c>
      <c r="M65" s="15" t="s">
        <v>21</v>
      </c>
      <c r="N65" s="15" t="s">
        <v>81</v>
      </c>
      <c r="O65" s="15" t="s">
        <v>35</v>
      </c>
      <c r="Q65" s="9">
        <v>2</v>
      </c>
      <c r="R65" s="9">
        <v>9</v>
      </c>
      <c r="S65" s="9">
        <v>2</v>
      </c>
      <c r="T65" s="9">
        <v>17</v>
      </c>
      <c r="U65" s="9">
        <v>8</v>
      </c>
      <c r="W65" s="24">
        <v>1</v>
      </c>
      <c r="X65" s="24">
        <v>1</v>
      </c>
      <c r="Y65" s="24">
        <v>1</v>
      </c>
      <c r="Z65" s="24">
        <v>1</v>
      </c>
      <c r="AA65" s="24">
        <v>1</v>
      </c>
      <c r="AC65" s="71" t="str">
        <v>G1</v>
      </c>
      <c r="AD65" s="72">
        <v>0</v>
      </c>
      <c r="AE65" s="72">
        <v>0</v>
      </c>
      <c r="AF65" s="71">
        <v>1</v>
      </c>
      <c r="AG65" s="71">
        <v>8</v>
      </c>
      <c r="AH65" s="72">
        <v>0</v>
      </c>
      <c r="AI65" s="5"/>
      <c r="AJ65" s="71" t="str">
        <v>G1</v>
      </c>
      <c r="AK65" s="72">
        <v>0</v>
      </c>
      <c r="AL65" s="72">
        <v>0</v>
      </c>
      <c r="AM65" s="71">
        <v>1</v>
      </c>
      <c r="AN65" s="71">
        <v>8</v>
      </c>
      <c r="AO65" s="72">
        <v>0</v>
      </c>
    </row>
    <row r="66" spans="10:41" ht="16.5" customHeight="1" x14ac:dyDescent="0.3">
      <c r="J66" s="24">
        <v>62</v>
      </c>
      <c r="K66" s="15" t="s">
        <v>37</v>
      </c>
      <c r="L66" s="15" t="s">
        <v>19</v>
      </c>
      <c r="M66" s="15" t="s">
        <v>37</v>
      </c>
      <c r="N66" s="15" t="s">
        <v>34</v>
      </c>
      <c r="O66" s="15" t="s">
        <v>35</v>
      </c>
      <c r="Q66" s="9">
        <v>7</v>
      </c>
      <c r="R66" s="9">
        <v>5</v>
      </c>
      <c r="S66" s="9">
        <v>7</v>
      </c>
      <c r="T66" s="9">
        <v>9</v>
      </c>
      <c r="U66" s="9">
        <v>8</v>
      </c>
      <c r="W66" s="24">
        <v>1</v>
      </c>
      <c r="X66" s="24">
        <v>1</v>
      </c>
      <c r="Y66" s="24">
        <v>1</v>
      </c>
      <c r="Z66" s="24">
        <v>1</v>
      </c>
      <c r="AA66" s="24">
        <v>1</v>
      </c>
      <c r="AC66" s="71" t="str">
        <v>G2</v>
      </c>
      <c r="AD66" s="72">
        <v>0</v>
      </c>
      <c r="AE66" s="72">
        <v>0</v>
      </c>
      <c r="AF66" s="71">
        <v>3</v>
      </c>
      <c r="AG66" s="71">
        <v>7</v>
      </c>
      <c r="AH66" s="72">
        <v>0</v>
      </c>
      <c r="AI66" s="5"/>
      <c r="AJ66" s="71" t="str">
        <v>G2</v>
      </c>
      <c r="AK66" s="72">
        <v>0</v>
      </c>
      <c r="AL66" s="72">
        <v>0</v>
      </c>
      <c r="AM66" s="71">
        <v>3</v>
      </c>
      <c r="AN66" s="71">
        <v>7</v>
      </c>
      <c r="AO66" s="72">
        <v>0</v>
      </c>
    </row>
    <row r="67" spans="10:41" ht="16.5" customHeight="1" x14ac:dyDescent="0.3">
      <c r="J67" s="9">
        <v>63</v>
      </c>
      <c r="K67" s="15" t="s">
        <v>37</v>
      </c>
      <c r="L67" s="15" t="s">
        <v>34</v>
      </c>
      <c r="M67" s="15" t="s">
        <v>65</v>
      </c>
      <c r="N67" s="15" t="s">
        <v>63</v>
      </c>
      <c r="O67" s="15" t="s">
        <v>21</v>
      </c>
      <c r="Q67" s="9">
        <v>7</v>
      </c>
      <c r="R67" s="9">
        <v>9</v>
      </c>
      <c r="S67" s="9">
        <v>16</v>
      </c>
      <c r="T67" s="9">
        <v>13</v>
      </c>
      <c r="U67" s="9">
        <v>2</v>
      </c>
      <c r="W67" s="24">
        <v>1</v>
      </c>
      <c r="X67" s="24">
        <v>1</v>
      </c>
      <c r="Y67" s="24">
        <v>1</v>
      </c>
      <c r="Z67" s="24">
        <v>1</v>
      </c>
      <c r="AA67" s="24">
        <v>1</v>
      </c>
      <c r="AC67" s="71" t="str">
        <v>G3</v>
      </c>
      <c r="AD67" s="72">
        <v>0</v>
      </c>
      <c r="AE67" s="72">
        <v>0</v>
      </c>
      <c r="AF67" s="71">
        <v>6</v>
      </c>
      <c r="AG67" s="71">
        <v>3</v>
      </c>
      <c r="AH67" s="72">
        <v>0</v>
      </c>
      <c r="AI67" s="5"/>
      <c r="AJ67" s="71" t="str">
        <v>G3</v>
      </c>
      <c r="AK67" s="72">
        <v>0</v>
      </c>
      <c r="AL67" s="72">
        <v>0</v>
      </c>
      <c r="AM67" s="71">
        <v>6</v>
      </c>
      <c r="AN67" s="71">
        <v>3</v>
      </c>
      <c r="AO67" s="72">
        <v>0</v>
      </c>
    </row>
    <row r="68" spans="10:41" ht="16.5" customHeight="1" x14ac:dyDescent="0.3">
      <c r="J68" s="24">
        <v>64</v>
      </c>
      <c r="K68" s="15" t="s">
        <v>18</v>
      </c>
      <c r="L68" s="15" t="s">
        <v>20</v>
      </c>
      <c r="M68" s="15" t="s">
        <v>36</v>
      </c>
      <c r="N68" s="15" t="s">
        <v>34</v>
      </c>
      <c r="O68" s="15" t="s">
        <v>20</v>
      </c>
      <c r="Q68" s="9">
        <v>4</v>
      </c>
      <c r="R68" s="9">
        <v>1</v>
      </c>
      <c r="S68" s="9">
        <v>10</v>
      </c>
      <c r="T68" s="9">
        <v>9</v>
      </c>
      <c r="U68" s="9">
        <v>1</v>
      </c>
      <c r="W68" s="24">
        <v>1</v>
      </c>
      <c r="X68" s="24">
        <v>1</v>
      </c>
      <c r="Y68" s="24">
        <v>1</v>
      </c>
      <c r="Z68" s="24">
        <v>1</v>
      </c>
      <c r="AA68" s="24">
        <v>1</v>
      </c>
      <c r="AC68" s="71" t="str">
        <v>G4</v>
      </c>
      <c r="AD68" s="72">
        <v>0</v>
      </c>
      <c r="AE68" s="72">
        <v>0</v>
      </c>
      <c r="AF68" s="71">
        <v>1</v>
      </c>
      <c r="AG68" s="71">
        <v>5</v>
      </c>
      <c r="AH68" s="72">
        <v>0</v>
      </c>
      <c r="AI68" s="5"/>
      <c r="AJ68" s="71" t="str">
        <v>G4</v>
      </c>
      <c r="AK68" s="72">
        <v>0</v>
      </c>
      <c r="AL68" s="72">
        <v>0</v>
      </c>
      <c r="AM68" s="71">
        <v>1</v>
      </c>
      <c r="AN68" s="71">
        <v>5</v>
      </c>
      <c r="AO68" s="72">
        <v>0</v>
      </c>
    </row>
    <row r="69" spans="10:41" ht="16.5" customHeight="1" x14ac:dyDescent="0.3">
      <c r="J69" s="9">
        <v>65</v>
      </c>
      <c r="K69" s="15" t="s">
        <v>21</v>
      </c>
      <c r="L69" s="15" t="s">
        <v>35</v>
      </c>
      <c r="M69" s="15" t="s">
        <v>21</v>
      </c>
      <c r="N69" s="15" t="s">
        <v>35</v>
      </c>
      <c r="O69" s="15" t="s">
        <v>18</v>
      </c>
      <c r="Q69" s="9">
        <v>2</v>
      </c>
      <c r="R69" s="9">
        <v>8</v>
      </c>
      <c r="S69" s="9">
        <v>2</v>
      </c>
      <c r="T69" s="9">
        <v>8</v>
      </c>
      <c r="U69" s="9">
        <v>4</v>
      </c>
      <c r="W69" s="24">
        <v>1</v>
      </c>
      <c r="X69" s="24">
        <v>1</v>
      </c>
      <c r="Y69" s="24">
        <v>1</v>
      </c>
      <c r="Z69" s="24">
        <v>1</v>
      </c>
      <c r="AA69" s="24">
        <v>1</v>
      </c>
      <c r="AC69" s="71" t="str">
        <v>G5</v>
      </c>
      <c r="AD69" s="72">
        <v>0</v>
      </c>
      <c r="AE69" s="72">
        <v>0</v>
      </c>
      <c r="AF69" s="71">
        <v>6</v>
      </c>
      <c r="AG69" s="71">
        <v>1</v>
      </c>
      <c r="AH69" s="72">
        <v>0</v>
      </c>
      <c r="AI69" s="5"/>
      <c r="AJ69" s="71" t="str">
        <v>G5</v>
      </c>
      <c r="AK69" s="72">
        <v>0</v>
      </c>
      <c r="AL69" s="72">
        <v>0</v>
      </c>
      <c r="AM69" s="71">
        <v>6</v>
      </c>
      <c r="AN69" s="71">
        <v>1</v>
      </c>
      <c r="AO69" s="72">
        <v>0</v>
      </c>
    </row>
    <row r="70" spans="10:41" ht="16.5" customHeight="1" x14ac:dyDescent="0.3">
      <c r="J70" s="24">
        <v>66</v>
      </c>
      <c r="K70" s="15" t="s">
        <v>21</v>
      </c>
      <c r="L70" s="15" t="s">
        <v>34</v>
      </c>
      <c r="M70" s="15" t="s">
        <v>19</v>
      </c>
      <c r="N70" s="15" t="s">
        <v>37</v>
      </c>
      <c r="O70" s="15" t="s">
        <v>18</v>
      </c>
      <c r="Q70" s="9">
        <v>2</v>
      </c>
      <c r="R70" s="9">
        <v>9</v>
      </c>
      <c r="S70" s="9">
        <v>5</v>
      </c>
      <c r="T70" s="9">
        <v>7</v>
      </c>
      <c r="U70" s="9">
        <v>4</v>
      </c>
      <c r="W70" s="24">
        <v>1</v>
      </c>
      <c r="X70" s="24">
        <v>1</v>
      </c>
      <c r="Y70" s="24">
        <v>1</v>
      </c>
      <c r="Z70" s="24">
        <v>1</v>
      </c>
      <c r="AA70" s="24">
        <v>1</v>
      </c>
      <c r="AC70" s="71" t="str">
        <v>GA</v>
      </c>
      <c r="AD70" s="72">
        <v>0</v>
      </c>
      <c r="AE70" s="72">
        <v>0</v>
      </c>
      <c r="AF70" s="71">
        <v>4</v>
      </c>
      <c r="AG70" s="71">
        <v>1</v>
      </c>
      <c r="AH70" s="72">
        <v>0</v>
      </c>
      <c r="AI70" s="5"/>
      <c r="AJ70" s="71" t="str">
        <v>GA</v>
      </c>
      <c r="AK70" s="72">
        <v>0</v>
      </c>
      <c r="AL70" s="72">
        <v>0</v>
      </c>
      <c r="AM70" s="71">
        <v>4</v>
      </c>
      <c r="AN70" s="71">
        <v>1</v>
      </c>
      <c r="AO70" s="72">
        <v>0</v>
      </c>
    </row>
    <row r="71" spans="10:41" ht="16.5" customHeight="1" x14ac:dyDescent="0.3">
      <c r="J71" s="9">
        <v>67</v>
      </c>
      <c r="K71" s="15" t="s">
        <v>20</v>
      </c>
      <c r="L71" s="15" t="s">
        <v>22</v>
      </c>
      <c r="M71" s="15" t="s">
        <v>34</v>
      </c>
      <c r="N71" s="15" t="s">
        <v>36</v>
      </c>
      <c r="O71" s="15" t="s">
        <v>37</v>
      </c>
      <c r="Q71" s="9">
        <v>1</v>
      </c>
      <c r="R71" s="9">
        <v>3</v>
      </c>
      <c r="S71" s="9">
        <v>9</v>
      </c>
      <c r="T71" s="9">
        <v>10</v>
      </c>
      <c r="U71" s="9">
        <v>7</v>
      </c>
      <c r="W71" s="24">
        <v>1</v>
      </c>
      <c r="X71" s="24">
        <v>1</v>
      </c>
      <c r="Y71" s="24">
        <v>1</v>
      </c>
      <c r="Z71" s="24">
        <v>1</v>
      </c>
      <c r="AA71" s="24">
        <v>1</v>
      </c>
      <c r="AC71" s="71" t="str">
        <v>GK</v>
      </c>
      <c r="AD71" s="72">
        <v>0</v>
      </c>
      <c r="AE71" s="72">
        <v>0</v>
      </c>
      <c r="AF71" s="71">
        <v>1</v>
      </c>
      <c r="AG71" s="71">
        <v>3</v>
      </c>
      <c r="AH71" s="72">
        <v>0</v>
      </c>
      <c r="AI71" s="5"/>
      <c r="AJ71" s="71" t="str">
        <v>GK</v>
      </c>
      <c r="AK71" s="72">
        <v>0</v>
      </c>
      <c r="AL71" s="72">
        <v>0</v>
      </c>
      <c r="AM71" s="71">
        <v>1</v>
      </c>
      <c r="AN71" s="71">
        <v>3</v>
      </c>
      <c r="AO71" s="72">
        <v>0</v>
      </c>
    </row>
    <row r="72" spans="10:41" ht="16.5" customHeight="1" x14ac:dyDescent="0.3">
      <c r="J72" s="24">
        <v>68</v>
      </c>
      <c r="K72" s="15" t="s">
        <v>36</v>
      </c>
      <c r="L72" s="15" t="s">
        <v>19</v>
      </c>
      <c r="M72" s="15" t="s">
        <v>19</v>
      </c>
      <c r="N72" s="15" t="s">
        <v>36</v>
      </c>
      <c r="O72" s="15" t="s">
        <v>37</v>
      </c>
      <c r="Q72" s="9">
        <v>10</v>
      </c>
      <c r="R72" s="9">
        <v>5</v>
      </c>
      <c r="S72" s="9">
        <v>5</v>
      </c>
      <c r="T72" s="9">
        <v>10</v>
      </c>
      <c r="U72" s="9">
        <v>7</v>
      </c>
      <c r="W72" s="24">
        <v>1</v>
      </c>
      <c r="X72" s="24">
        <v>1</v>
      </c>
      <c r="Y72" s="24">
        <v>1</v>
      </c>
      <c r="Z72" s="24">
        <v>1</v>
      </c>
      <c r="AA72" s="24">
        <v>1</v>
      </c>
      <c r="AC72" s="71" t="str">
        <v>GQ</v>
      </c>
      <c r="AD72" s="72">
        <v>0</v>
      </c>
      <c r="AE72" s="72">
        <v>0</v>
      </c>
      <c r="AF72" s="71">
        <v>1</v>
      </c>
      <c r="AG72" s="71">
        <v>3</v>
      </c>
      <c r="AH72" s="72">
        <v>0</v>
      </c>
      <c r="AI72" s="5"/>
      <c r="AJ72" s="71" t="str">
        <v>GQ</v>
      </c>
      <c r="AK72" s="72">
        <v>0</v>
      </c>
      <c r="AL72" s="72">
        <v>0</v>
      </c>
      <c r="AM72" s="71">
        <v>1</v>
      </c>
      <c r="AN72" s="71">
        <v>3</v>
      </c>
      <c r="AO72" s="72">
        <v>0</v>
      </c>
    </row>
    <row r="73" spans="10:41" ht="16.5" customHeight="1" x14ac:dyDescent="0.3">
      <c r="J73" s="9">
        <v>69</v>
      </c>
      <c r="K73" s="15" t="s">
        <v>22</v>
      </c>
      <c r="L73" s="15" t="s">
        <v>36</v>
      </c>
      <c r="M73" s="15" t="s">
        <v>34</v>
      </c>
      <c r="N73" s="15" t="s">
        <v>22</v>
      </c>
      <c r="O73" s="15" t="s">
        <v>22</v>
      </c>
      <c r="Q73" s="9">
        <v>3</v>
      </c>
      <c r="R73" s="9">
        <v>10</v>
      </c>
      <c r="S73" s="9">
        <v>9</v>
      </c>
      <c r="T73" s="9">
        <v>3</v>
      </c>
      <c r="U73" s="9">
        <v>3</v>
      </c>
      <c r="W73" s="24">
        <v>1</v>
      </c>
      <c r="X73" s="24">
        <v>1</v>
      </c>
      <c r="Y73" s="24">
        <v>1</v>
      </c>
      <c r="Z73" s="24">
        <v>1</v>
      </c>
      <c r="AA73" s="24">
        <v>1</v>
      </c>
      <c r="AC73" s="71" t="str">
        <v>GJ</v>
      </c>
      <c r="AD73" s="72">
        <v>0</v>
      </c>
      <c r="AE73" s="72">
        <v>0</v>
      </c>
      <c r="AF73" s="71">
        <v>6</v>
      </c>
      <c r="AG73" s="71">
        <v>1</v>
      </c>
      <c r="AH73" s="72">
        <v>0</v>
      </c>
      <c r="AI73" s="5"/>
      <c r="AJ73" s="71" t="str">
        <v>GJ</v>
      </c>
      <c r="AK73" s="72">
        <v>0</v>
      </c>
      <c r="AL73" s="72">
        <v>0</v>
      </c>
      <c r="AM73" s="71">
        <v>6</v>
      </c>
      <c r="AN73" s="71">
        <v>1</v>
      </c>
      <c r="AO73" s="72">
        <v>0</v>
      </c>
    </row>
    <row r="74" spans="10:41" ht="16.5" customHeight="1" x14ac:dyDescent="0.3">
      <c r="J74" s="24">
        <v>70</v>
      </c>
      <c r="K74" s="15" t="s">
        <v>19</v>
      </c>
      <c r="L74" s="15" t="s">
        <v>34</v>
      </c>
      <c r="M74" s="15" t="s">
        <v>36</v>
      </c>
      <c r="N74" s="15" t="s">
        <v>34</v>
      </c>
      <c r="O74" s="15" t="s">
        <v>36</v>
      </c>
      <c r="Q74" s="9">
        <v>5</v>
      </c>
      <c r="R74" s="9">
        <v>9</v>
      </c>
      <c r="S74" s="9">
        <v>10</v>
      </c>
      <c r="T74" s="9">
        <v>9</v>
      </c>
      <c r="U74" s="9">
        <v>10</v>
      </c>
      <c r="W74" s="24">
        <v>1</v>
      </c>
      <c r="X74" s="24">
        <v>1</v>
      </c>
      <c r="Y74" s="24">
        <v>1</v>
      </c>
      <c r="Z74" s="24">
        <v>1</v>
      </c>
      <c r="AA74" s="24">
        <v>1</v>
      </c>
      <c r="AD74" s="59">
        <f>SUM(AD54:AD73)</f>
        <v>196</v>
      </c>
      <c r="AE74" s="59">
        <f>SUM(AE54:AE73)</f>
        <v>197</v>
      </c>
      <c r="AF74" s="59">
        <f>SUM(AF54:AF73)</f>
        <v>198</v>
      </c>
      <c r="AG74" s="59">
        <f>SUM(AG54:AG73)</f>
        <v>203</v>
      </c>
      <c r="AH74" s="59">
        <f>SUM(AH54:AH73)</f>
        <v>201</v>
      </c>
      <c r="AI74" s="5"/>
      <c r="AK74" s="59">
        <f>SUM(AK54:AK73)</f>
        <v>196</v>
      </c>
      <c r="AL74" s="59">
        <f>SUM(AL54:AL73)</f>
        <v>197</v>
      </c>
      <c r="AM74" s="59">
        <f>SUM(AM54:AM73)</f>
        <v>198</v>
      </c>
      <c r="AN74" s="59">
        <f>SUM(AN54:AN73)</f>
        <v>203</v>
      </c>
      <c r="AO74" s="59">
        <f>SUM(AO54:AO73)</f>
        <v>201</v>
      </c>
    </row>
    <row r="75" spans="10:41" ht="16.5" customHeight="1" x14ac:dyDescent="0.3">
      <c r="J75" s="9">
        <v>71</v>
      </c>
      <c r="K75" s="15" t="s">
        <v>36</v>
      </c>
      <c r="L75" s="15" t="s">
        <v>19</v>
      </c>
      <c r="M75" s="15" t="s">
        <v>18</v>
      </c>
      <c r="N75" s="15" t="s">
        <v>18</v>
      </c>
      <c r="O75" s="15" t="s">
        <v>34</v>
      </c>
      <c r="Q75" s="9">
        <v>10</v>
      </c>
      <c r="R75" s="9">
        <v>5</v>
      </c>
      <c r="S75" s="9">
        <v>4</v>
      </c>
      <c r="T75" s="9">
        <v>4</v>
      </c>
      <c r="U75" s="9">
        <v>9</v>
      </c>
      <c r="W75" s="24">
        <v>1</v>
      </c>
      <c r="X75" s="24">
        <v>1</v>
      </c>
      <c r="Y75" s="24">
        <v>1</v>
      </c>
      <c r="Z75" s="24">
        <v>1</v>
      </c>
      <c r="AA75" s="24">
        <v>1</v>
      </c>
      <c r="AH75" s="5"/>
      <c r="AI75" s="5"/>
      <c r="AO75" s="5"/>
    </row>
    <row r="76" spans="10:41" ht="16.5" customHeight="1" x14ac:dyDescent="0.3">
      <c r="J76" s="24">
        <v>72</v>
      </c>
      <c r="K76" s="15" t="s">
        <v>22</v>
      </c>
      <c r="L76" s="15" t="s">
        <v>22</v>
      </c>
      <c r="M76" s="15" t="s">
        <v>20</v>
      </c>
      <c r="N76" s="15" t="s">
        <v>36</v>
      </c>
      <c r="O76" s="15" t="s">
        <v>35</v>
      </c>
      <c r="Q76" s="9">
        <v>3</v>
      </c>
      <c r="R76" s="9">
        <v>3</v>
      </c>
      <c r="S76" s="9">
        <v>1</v>
      </c>
      <c r="T76" s="9">
        <v>10</v>
      </c>
      <c r="U76" s="9">
        <v>8</v>
      </c>
      <c r="W76" s="24">
        <v>1</v>
      </c>
      <c r="X76" s="24">
        <v>1</v>
      </c>
      <c r="Y76" s="24">
        <v>1</v>
      </c>
      <c r="Z76" s="24">
        <v>1</v>
      </c>
      <c r="AA76" s="24">
        <v>1</v>
      </c>
      <c r="AH76" s="5"/>
      <c r="AI76" s="5"/>
      <c r="AO76" s="5"/>
    </row>
    <row r="77" spans="10:41" ht="16.5" customHeight="1" x14ac:dyDescent="0.3">
      <c r="J77" s="9">
        <v>73</v>
      </c>
      <c r="K77" s="15" t="s">
        <v>21</v>
      </c>
      <c r="L77" s="15" t="s">
        <v>21</v>
      </c>
      <c r="M77" s="15" t="s">
        <v>64</v>
      </c>
      <c r="N77" s="15" t="s">
        <v>64</v>
      </c>
      <c r="O77" s="15" t="s">
        <v>37</v>
      </c>
      <c r="Q77" s="9">
        <v>2</v>
      </c>
      <c r="R77" s="9">
        <v>2</v>
      </c>
      <c r="S77" s="9">
        <v>14</v>
      </c>
      <c r="T77" s="9">
        <v>14</v>
      </c>
      <c r="U77" s="9">
        <v>7</v>
      </c>
      <c r="W77" s="24">
        <v>1</v>
      </c>
      <c r="X77" s="24">
        <v>1</v>
      </c>
      <c r="Y77" s="24">
        <v>1</v>
      </c>
      <c r="Z77" s="24">
        <v>1</v>
      </c>
      <c r="AA77" s="24">
        <v>1</v>
      </c>
      <c r="AH77" s="5"/>
      <c r="AI77" s="5"/>
      <c r="AO77" s="5"/>
    </row>
    <row r="78" spans="10:41" ht="16.5" customHeight="1" x14ac:dyDescent="0.3">
      <c r="J78" s="24">
        <v>74</v>
      </c>
      <c r="K78" s="15" t="s">
        <v>36</v>
      </c>
      <c r="L78" s="15" t="s">
        <v>21</v>
      </c>
      <c r="M78" s="15" t="s">
        <v>19</v>
      </c>
      <c r="N78" s="15" t="s">
        <v>36</v>
      </c>
      <c r="O78" s="15" t="s">
        <v>19</v>
      </c>
      <c r="Q78" s="9">
        <v>10</v>
      </c>
      <c r="R78" s="9">
        <v>2</v>
      </c>
      <c r="S78" s="9">
        <v>5</v>
      </c>
      <c r="T78" s="9">
        <v>10</v>
      </c>
      <c r="U78" s="9">
        <v>5</v>
      </c>
      <c r="W78" s="24">
        <v>1</v>
      </c>
      <c r="X78" s="24">
        <v>1</v>
      </c>
      <c r="Y78" s="24">
        <v>1</v>
      </c>
      <c r="Z78" s="24">
        <v>1</v>
      </c>
      <c r="AA78" s="24">
        <v>1</v>
      </c>
      <c r="AH78" s="5"/>
      <c r="AI78" s="5"/>
      <c r="AO78" s="5"/>
    </row>
    <row r="79" spans="10:41" ht="16.5" customHeight="1" x14ac:dyDescent="0.3">
      <c r="J79" s="9">
        <v>75</v>
      </c>
      <c r="K79" s="15" t="s">
        <v>34</v>
      </c>
      <c r="L79" s="15" t="s">
        <v>19</v>
      </c>
      <c r="M79" s="15" t="s">
        <v>22</v>
      </c>
      <c r="N79" s="15" t="s">
        <v>37</v>
      </c>
      <c r="O79" s="15" t="s">
        <v>22</v>
      </c>
      <c r="Q79" s="9">
        <v>9</v>
      </c>
      <c r="R79" s="9">
        <v>5</v>
      </c>
      <c r="S79" s="9">
        <v>3</v>
      </c>
      <c r="T79" s="9">
        <v>7</v>
      </c>
      <c r="U79" s="9">
        <v>3</v>
      </c>
      <c r="W79" s="24">
        <v>1</v>
      </c>
      <c r="X79" s="24">
        <v>1</v>
      </c>
      <c r="Y79" s="24">
        <v>1</v>
      </c>
      <c r="Z79" s="24">
        <v>1</v>
      </c>
      <c r="AA79" s="24">
        <v>1</v>
      </c>
      <c r="AH79" s="5"/>
      <c r="AI79" s="5"/>
      <c r="AO79" s="5"/>
    </row>
    <row r="80" spans="10:41" x14ac:dyDescent="0.3">
      <c r="J80" s="24">
        <v>76</v>
      </c>
      <c r="K80" s="15" t="s">
        <v>21</v>
      </c>
      <c r="L80" s="15" t="s">
        <v>35</v>
      </c>
      <c r="M80" s="15" t="s">
        <v>19</v>
      </c>
      <c r="N80" s="15" t="s">
        <v>35</v>
      </c>
      <c r="O80" s="15" t="s">
        <v>34</v>
      </c>
      <c r="Q80" s="9">
        <v>2</v>
      </c>
      <c r="R80" s="9">
        <v>8</v>
      </c>
      <c r="S80" s="9">
        <v>5</v>
      </c>
      <c r="T80" s="9">
        <v>8</v>
      </c>
      <c r="U80" s="9">
        <v>9</v>
      </c>
      <c r="W80" s="24">
        <v>1</v>
      </c>
      <c r="X80" s="24">
        <v>1</v>
      </c>
      <c r="Y80" s="24">
        <v>1</v>
      </c>
      <c r="Z80" s="24">
        <v>1</v>
      </c>
      <c r="AA80" s="24">
        <v>1</v>
      </c>
      <c r="AH80" s="5"/>
      <c r="AI80" s="5"/>
      <c r="AO80" s="5"/>
    </row>
    <row r="81" spans="10:41" x14ac:dyDescent="0.3">
      <c r="J81" s="9">
        <v>77</v>
      </c>
      <c r="K81" s="15" t="s">
        <v>18</v>
      </c>
      <c r="L81" s="15" t="s">
        <v>37</v>
      </c>
      <c r="M81" s="15" t="s">
        <v>37</v>
      </c>
      <c r="N81" s="15" t="s">
        <v>36</v>
      </c>
      <c r="O81" s="15" t="s">
        <v>19</v>
      </c>
      <c r="Q81" s="9">
        <v>4</v>
      </c>
      <c r="R81" s="9">
        <v>7</v>
      </c>
      <c r="S81" s="9">
        <v>7</v>
      </c>
      <c r="T81" s="9">
        <v>10</v>
      </c>
      <c r="U81" s="9">
        <v>5</v>
      </c>
      <c r="W81" s="24">
        <v>1</v>
      </c>
      <c r="X81" s="24">
        <v>1</v>
      </c>
      <c r="Y81" s="24">
        <v>1</v>
      </c>
      <c r="Z81" s="24">
        <v>1</v>
      </c>
      <c r="AA81" s="24">
        <v>1</v>
      </c>
      <c r="AH81" s="5"/>
      <c r="AI81" s="5"/>
      <c r="AO81" s="5"/>
    </row>
    <row r="82" spans="10:41" x14ac:dyDescent="0.3">
      <c r="J82" s="24">
        <v>78</v>
      </c>
      <c r="K82" s="15" t="s">
        <v>21</v>
      </c>
      <c r="L82" s="15" t="s">
        <v>18</v>
      </c>
      <c r="M82" s="15" t="s">
        <v>34</v>
      </c>
      <c r="N82" s="15" t="s">
        <v>64</v>
      </c>
      <c r="O82" s="15" t="s">
        <v>35</v>
      </c>
      <c r="Q82" s="9">
        <v>2</v>
      </c>
      <c r="R82" s="9">
        <v>4</v>
      </c>
      <c r="S82" s="9">
        <v>9</v>
      </c>
      <c r="T82" s="9">
        <v>14</v>
      </c>
      <c r="U82" s="9">
        <v>8</v>
      </c>
      <c r="W82" s="24">
        <v>1</v>
      </c>
      <c r="X82" s="24">
        <v>1</v>
      </c>
      <c r="Y82" s="24">
        <v>1</v>
      </c>
      <c r="Z82" s="24">
        <v>1</v>
      </c>
      <c r="AA82" s="24">
        <v>1</v>
      </c>
      <c r="AH82" s="5"/>
      <c r="AI82" s="5"/>
      <c r="AO82" s="5"/>
    </row>
    <row r="83" spans="10:41" x14ac:dyDescent="0.3">
      <c r="J83" s="9">
        <v>79</v>
      </c>
      <c r="K83" s="15" t="s">
        <v>35</v>
      </c>
      <c r="L83" s="15" t="s">
        <v>36</v>
      </c>
      <c r="M83" s="15" t="s">
        <v>36</v>
      </c>
      <c r="N83" s="15" t="s">
        <v>35</v>
      </c>
      <c r="O83" s="15" t="s">
        <v>18</v>
      </c>
      <c r="Q83" s="9">
        <v>8</v>
      </c>
      <c r="R83" s="9">
        <v>10</v>
      </c>
      <c r="S83" s="9">
        <v>10</v>
      </c>
      <c r="T83" s="9">
        <v>8</v>
      </c>
      <c r="U83" s="9">
        <v>4</v>
      </c>
      <c r="W83" s="24">
        <v>1</v>
      </c>
      <c r="X83" s="24">
        <v>1</v>
      </c>
      <c r="Y83" s="24">
        <v>1</v>
      </c>
      <c r="Z83" s="24">
        <v>1</v>
      </c>
      <c r="AA83" s="24">
        <v>1</v>
      </c>
      <c r="AH83" s="5"/>
      <c r="AI83" s="5"/>
      <c r="AO83" s="5"/>
    </row>
    <row r="84" spans="10:41" x14ac:dyDescent="0.3">
      <c r="J84" s="24">
        <v>80</v>
      </c>
      <c r="K84" s="15" t="s">
        <v>22</v>
      </c>
      <c r="L84" s="15" t="s">
        <v>22</v>
      </c>
      <c r="M84" s="15" t="s">
        <v>81</v>
      </c>
      <c r="N84" s="15" t="s">
        <v>63</v>
      </c>
      <c r="O84" s="15" t="s">
        <v>34</v>
      </c>
      <c r="Q84" s="9">
        <v>3</v>
      </c>
      <c r="R84" s="9">
        <v>3</v>
      </c>
      <c r="S84" s="9">
        <v>17</v>
      </c>
      <c r="T84" s="9">
        <v>13</v>
      </c>
      <c r="U84" s="9">
        <v>9</v>
      </c>
      <c r="W84" s="24">
        <v>1</v>
      </c>
      <c r="X84" s="24">
        <v>1</v>
      </c>
      <c r="Y84" s="24">
        <v>1</v>
      </c>
      <c r="Z84" s="24">
        <v>1</v>
      </c>
      <c r="AA84" s="24">
        <v>1</v>
      </c>
      <c r="AH84" s="5"/>
      <c r="AI84" s="5"/>
      <c r="AO84" s="5"/>
    </row>
    <row r="85" spans="10:41" x14ac:dyDescent="0.3">
      <c r="J85" s="9">
        <v>81</v>
      </c>
      <c r="K85" s="15" t="s">
        <v>21</v>
      </c>
      <c r="L85" s="15" t="s">
        <v>21</v>
      </c>
      <c r="M85" s="15" t="s">
        <v>68</v>
      </c>
      <c r="N85" s="15" t="s">
        <v>70</v>
      </c>
      <c r="O85" s="15" t="s">
        <v>37</v>
      </c>
      <c r="Q85" s="9">
        <v>2</v>
      </c>
      <c r="R85" s="9">
        <v>2</v>
      </c>
      <c r="S85" s="9">
        <v>18</v>
      </c>
      <c r="T85" s="9">
        <v>19</v>
      </c>
      <c r="U85" s="9">
        <v>7</v>
      </c>
      <c r="W85" s="24">
        <v>1</v>
      </c>
      <c r="X85" s="24">
        <v>1</v>
      </c>
      <c r="Y85" s="24">
        <v>1</v>
      </c>
      <c r="Z85" s="24">
        <v>1</v>
      </c>
      <c r="AA85" s="24">
        <v>1</v>
      </c>
      <c r="AH85" s="5"/>
      <c r="AI85" s="5"/>
      <c r="AO85" s="5"/>
    </row>
    <row r="86" spans="10:41" x14ac:dyDescent="0.3">
      <c r="J86" s="24">
        <v>82</v>
      </c>
      <c r="K86" s="15" t="s">
        <v>35</v>
      </c>
      <c r="L86" s="15" t="s">
        <v>18</v>
      </c>
      <c r="M86" s="15" t="s">
        <v>19</v>
      </c>
      <c r="N86" s="15" t="s">
        <v>65</v>
      </c>
      <c r="O86" s="15" t="s">
        <v>18</v>
      </c>
      <c r="Q86" s="9">
        <v>8</v>
      </c>
      <c r="R86" s="9">
        <v>4</v>
      </c>
      <c r="S86" s="9">
        <v>5</v>
      </c>
      <c r="T86" s="9">
        <v>16</v>
      </c>
      <c r="U86" s="9">
        <v>4</v>
      </c>
      <c r="W86" s="24">
        <v>1</v>
      </c>
      <c r="X86" s="24">
        <v>1</v>
      </c>
      <c r="Y86" s="24">
        <v>1</v>
      </c>
      <c r="Z86" s="24">
        <v>1</v>
      </c>
      <c r="AA86" s="24">
        <v>1</v>
      </c>
      <c r="AH86" s="5"/>
      <c r="AI86" s="5"/>
      <c r="AO86" s="5"/>
    </row>
    <row r="87" spans="10:41" x14ac:dyDescent="0.3">
      <c r="J87" s="9">
        <v>83</v>
      </c>
      <c r="K87" s="15" t="s">
        <v>22</v>
      </c>
      <c r="L87" s="15" t="s">
        <v>35</v>
      </c>
      <c r="M87" s="15" t="s">
        <v>37</v>
      </c>
      <c r="N87" s="15" t="s">
        <v>36</v>
      </c>
      <c r="O87" s="15" t="s">
        <v>34</v>
      </c>
      <c r="Q87" s="9">
        <v>3</v>
      </c>
      <c r="R87" s="9">
        <v>8</v>
      </c>
      <c r="S87" s="9">
        <v>7</v>
      </c>
      <c r="T87" s="9">
        <v>10</v>
      </c>
      <c r="U87" s="9">
        <v>9</v>
      </c>
      <c r="W87" s="24">
        <v>1</v>
      </c>
      <c r="X87" s="24">
        <v>1</v>
      </c>
      <c r="Y87" s="24">
        <v>1</v>
      </c>
      <c r="Z87" s="24">
        <v>1</v>
      </c>
      <c r="AA87" s="24">
        <v>1</v>
      </c>
      <c r="AH87" s="5"/>
      <c r="AI87" s="5"/>
      <c r="AO87" s="5"/>
    </row>
    <row r="88" spans="10:41" x14ac:dyDescent="0.3">
      <c r="J88" s="24">
        <v>84</v>
      </c>
      <c r="K88" s="15" t="s">
        <v>34</v>
      </c>
      <c r="L88" s="15" t="s">
        <v>21</v>
      </c>
      <c r="M88" s="15" t="s">
        <v>21</v>
      </c>
      <c r="N88" s="15" t="s">
        <v>35</v>
      </c>
      <c r="O88" s="15" t="s">
        <v>19</v>
      </c>
      <c r="Q88" s="9">
        <v>9</v>
      </c>
      <c r="R88" s="9">
        <v>2</v>
      </c>
      <c r="S88" s="9">
        <v>2</v>
      </c>
      <c r="T88" s="9">
        <v>8</v>
      </c>
      <c r="U88" s="9">
        <v>5</v>
      </c>
      <c r="W88" s="24">
        <v>1</v>
      </c>
      <c r="X88" s="24">
        <v>1</v>
      </c>
      <c r="Y88" s="24">
        <v>1</v>
      </c>
      <c r="Z88" s="24">
        <v>1</v>
      </c>
      <c r="AA88" s="24">
        <v>1</v>
      </c>
      <c r="AH88" s="5"/>
      <c r="AI88" s="5"/>
      <c r="AO88" s="5"/>
    </row>
    <row r="89" spans="10:41" x14ac:dyDescent="0.3">
      <c r="J89" s="9">
        <v>85</v>
      </c>
      <c r="K89" s="15" t="s">
        <v>35</v>
      </c>
      <c r="L89" s="15" t="s">
        <v>36</v>
      </c>
      <c r="M89" s="15" t="s">
        <v>36</v>
      </c>
      <c r="N89" s="15" t="s">
        <v>61</v>
      </c>
      <c r="O89" s="15" t="s">
        <v>37</v>
      </c>
      <c r="Q89" s="9">
        <v>8</v>
      </c>
      <c r="R89" s="9">
        <v>10</v>
      </c>
      <c r="S89" s="9">
        <v>10</v>
      </c>
      <c r="T89" s="9">
        <v>11</v>
      </c>
      <c r="U89" s="9">
        <v>7</v>
      </c>
      <c r="W89" s="24">
        <v>1</v>
      </c>
      <c r="X89" s="24">
        <v>1</v>
      </c>
      <c r="Y89" s="24">
        <v>1</v>
      </c>
      <c r="Z89" s="24">
        <v>1</v>
      </c>
      <c r="AA89" s="24">
        <v>1</v>
      </c>
      <c r="AH89" s="5"/>
      <c r="AI89" s="5"/>
      <c r="AO89" s="5"/>
    </row>
    <row r="90" spans="10:41" x14ac:dyDescent="0.3">
      <c r="J90" s="24">
        <v>86</v>
      </c>
      <c r="K90" s="15" t="s">
        <v>21</v>
      </c>
      <c r="L90" s="15" t="s">
        <v>19</v>
      </c>
      <c r="M90" s="15" t="s">
        <v>22</v>
      </c>
      <c r="N90" s="15" t="s">
        <v>19</v>
      </c>
      <c r="O90" s="15" t="s">
        <v>19</v>
      </c>
      <c r="Q90" s="9">
        <v>2</v>
      </c>
      <c r="R90" s="9">
        <v>5</v>
      </c>
      <c r="S90" s="9">
        <v>3</v>
      </c>
      <c r="T90" s="9">
        <v>5</v>
      </c>
      <c r="U90" s="9">
        <v>5</v>
      </c>
      <c r="W90" s="24">
        <v>1</v>
      </c>
      <c r="X90" s="24">
        <v>1</v>
      </c>
      <c r="Y90" s="24">
        <v>1</v>
      </c>
      <c r="Z90" s="24">
        <v>1</v>
      </c>
      <c r="AA90" s="24">
        <v>1</v>
      </c>
      <c r="AH90" s="5"/>
      <c r="AI90" s="5"/>
      <c r="AO90" s="5"/>
    </row>
    <row r="91" spans="10:41" x14ac:dyDescent="0.3">
      <c r="J91" s="9">
        <v>87</v>
      </c>
      <c r="K91" s="15" t="s">
        <v>37</v>
      </c>
      <c r="L91" s="15" t="s">
        <v>36</v>
      </c>
      <c r="M91" s="15" t="s">
        <v>34</v>
      </c>
      <c r="N91" s="15" t="s">
        <v>34</v>
      </c>
      <c r="O91" s="15" t="s">
        <v>34</v>
      </c>
      <c r="Q91" s="9">
        <v>7</v>
      </c>
      <c r="R91" s="9">
        <v>10</v>
      </c>
      <c r="S91" s="9">
        <v>9</v>
      </c>
      <c r="T91" s="9">
        <v>9</v>
      </c>
      <c r="U91" s="9">
        <v>9</v>
      </c>
      <c r="W91" s="24">
        <v>1</v>
      </c>
      <c r="X91" s="24">
        <v>1</v>
      </c>
      <c r="Y91" s="24">
        <v>1</v>
      </c>
      <c r="Z91" s="24">
        <v>1</v>
      </c>
      <c r="AA91" s="24">
        <v>1</v>
      </c>
      <c r="AH91" s="5"/>
      <c r="AI91" s="5"/>
      <c r="AO91" s="5"/>
    </row>
    <row r="92" spans="10:41" x14ac:dyDescent="0.3">
      <c r="J92" s="24">
        <v>88</v>
      </c>
      <c r="K92" s="15" t="s">
        <v>19</v>
      </c>
      <c r="L92" s="15" t="s">
        <v>18</v>
      </c>
      <c r="M92" s="15" t="s">
        <v>19</v>
      </c>
      <c r="N92" s="15" t="s">
        <v>81</v>
      </c>
      <c r="O92" s="15" t="s">
        <v>35</v>
      </c>
      <c r="Q92" s="9">
        <v>5</v>
      </c>
      <c r="R92" s="9">
        <v>4</v>
      </c>
      <c r="S92" s="9">
        <v>5</v>
      </c>
      <c r="T92" s="9">
        <v>17</v>
      </c>
      <c r="U92" s="9">
        <v>8</v>
      </c>
      <c r="W92" s="24">
        <v>1</v>
      </c>
      <c r="X92" s="24">
        <v>1</v>
      </c>
      <c r="Y92" s="24">
        <v>1</v>
      </c>
      <c r="Z92" s="24">
        <v>1</v>
      </c>
      <c r="AA92" s="24">
        <v>1</v>
      </c>
      <c r="AH92" s="5"/>
      <c r="AI92" s="5"/>
      <c r="AO92" s="5"/>
    </row>
    <row r="93" spans="10:41" x14ac:dyDescent="0.3">
      <c r="J93" s="9">
        <v>89</v>
      </c>
      <c r="K93" s="15" t="s">
        <v>18</v>
      </c>
      <c r="L93" s="15" t="s">
        <v>34</v>
      </c>
      <c r="M93" s="15" t="s">
        <v>18</v>
      </c>
      <c r="N93" s="15" t="s">
        <v>19</v>
      </c>
      <c r="O93" s="15" t="s">
        <v>22</v>
      </c>
      <c r="Q93" s="9">
        <v>4</v>
      </c>
      <c r="R93" s="9">
        <v>9</v>
      </c>
      <c r="S93" s="9">
        <v>4</v>
      </c>
      <c r="T93" s="9">
        <v>5</v>
      </c>
      <c r="U93" s="9">
        <v>3</v>
      </c>
      <c r="W93" s="24">
        <v>1</v>
      </c>
      <c r="X93" s="24">
        <v>1</v>
      </c>
      <c r="Y93" s="24">
        <v>1</v>
      </c>
      <c r="Z93" s="24">
        <v>1</v>
      </c>
      <c r="AA93" s="24">
        <v>1</v>
      </c>
      <c r="AH93" s="5"/>
      <c r="AI93" s="5"/>
      <c r="AO93" s="5"/>
    </row>
    <row r="94" spans="10:41" x14ac:dyDescent="0.3">
      <c r="J94" s="24">
        <v>90</v>
      </c>
      <c r="K94" s="15" t="s">
        <v>22</v>
      </c>
      <c r="L94" s="15" t="s">
        <v>18</v>
      </c>
      <c r="M94" s="15" t="s">
        <v>20</v>
      </c>
      <c r="N94" s="15" t="s">
        <v>68</v>
      </c>
      <c r="O94" s="15" t="s">
        <v>34</v>
      </c>
      <c r="Q94" s="9">
        <v>3</v>
      </c>
      <c r="R94" s="9">
        <v>4</v>
      </c>
      <c r="S94" s="9">
        <v>1</v>
      </c>
      <c r="T94" s="9">
        <v>18</v>
      </c>
      <c r="U94" s="9">
        <v>9</v>
      </c>
      <c r="W94" s="24">
        <v>1</v>
      </c>
      <c r="X94" s="24">
        <v>1</v>
      </c>
      <c r="Y94" s="24">
        <v>1</v>
      </c>
      <c r="Z94" s="24">
        <v>1</v>
      </c>
      <c r="AA94" s="24">
        <v>1</v>
      </c>
      <c r="AH94" s="5"/>
      <c r="AI94" s="5"/>
      <c r="AO94" s="5"/>
    </row>
    <row r="95" spans="10:41" x14ac:dyDescent="0.3">
      <c r="J95" s="9">
        <v>91</v>
      </c>
      <c r="K95" s="15" t="s">
        <v>37</v>
      </c>
      <c r="L95" s="15" t="s">
        <v>34</v>
      </c>
      <c r="M95" s="15" t="s">
        <v>22</v>
      </c>
      <c r="N95" s="15" t="s">
        <v>36</v>
      </c>
      <c r="O95" s="15" t="s">
        <v>19</v>
      </c>
      <c r="Q95" s="9">
        <v>7</v>
      </c>
      <c r="R95" s="9">
        <v>9</v>
      </c>
      <c r="S95" s="9">
        <v>3</v>
      </c>
      <c r="T95" s="9">
        <v>10</v>
      </c>
      <c r="U95" s="9">
        <v>5</v>
      </c>
      <c r="W95" s="24">
        <v>1</v>
      </c>
      <c r="X95" s="24">
        <v>1</v>
      </c>
      <c r="Y95" s="24">
        <v>1</v>
      </c>
      <c r="Z95" s="24">
        <v>1</v>
      </c>
      <c r="AA95" s="24">
        <v>1</v>
      </c>
      <c r="AH95" s="5"/>
      <c r="AI95" s="5"/>
      <c r="AO95" s="5"/>
    </row>
    <row r="96" spans="10:41" x14ac:dyDescent="0.3">
      <c r="J96" s="24">
        <v>92</v>
      </c>
      <c r="K96" s="15" t="s">
        <v>22</v>
      </c>
      <c r="L96" s="15" t="s">
        <v>18</v>
      </c>
      <c r="M96" s="15" t="s">
        <v>34</v>
      </c>
      <c r="N96" s="15" t="s">
        <v>18</v>
      </c>
      <c r="O96" s="15" t="s">
        <v>36</v>
      </c>
      <c r="Q96" s="9">
        <v>3</v>
      </c>
      <c r="R96" s="9">
        <v>4</v>
      </c>
      <c r="S96" s="9">
        <v>9</v>
      </c>
      <c r="T96" s="9">
        <v>4</v>
      </c>
      <c r="U96" s="9">
        <v>10</v>
      </c>
      <c r="W96" s="24">
        <v>1</v>
      </c>
      <c r="X96" s="24">
        <v>1</v>
      </c>
      <c r="Y96" s="24">
        <v>1</v>
      </c>
      <c r="Z96" s="24">
        <v>1</v>
      </c>
      <c r="AA96" s="24">
        <v>1</v>
      </c>
      <c r="AH96" s="5"/>
      <c r="AI96" s="5"/>
      <c r="AO96" s="5"/>
    </row>
    <row r="97" spans="10:41" x14ac:dyDescent="0.3">
      <c r="J97" s="9">
        <v>93</v>
      </c>
      <c r="K97" s="15" t="s">
        <v>34</v>
      </c>
      <c r="L97" s="15" t="s">
        <v>37</v>
      </c>
      <c r="M97" s="15" t="s">
        <v>81</v>
      </c>
      <c r="N97" s="15" t="s">
        <v>18</v>
      </c>
      <c r="O97" s="15" t="s">
        <v>37</v>
      </c>
      <c r="Q97" s="9">
        <v>9</v>
      </c>
      <c r="R97" s="9">
        <v>7</v>
      </c>
      <c r="S97" s="9">
        <v>17</v>
      </c>
      <c r="T97" s="9">
        <v>4</v>
      </c>
      <c r="U97" s="9">
        <v>7</v>
      </c>
      <c r="W97" s="24">
        <v>1</v>
      </c>
      <c r="X97" s="24">
        <v>1</v>
      </c>
      <c r="Y97" s="24">
        <v>1</v>
      </c>
      <c r="Z97" s="24">
        <v>1</v>
      </c>
      <c r="AA97" s="24">
        <v>1</v>
      </c>
      <c r="AH97" s="5"/>
      <c r="AI97" s="5"/>
      <c r="AO97" s="5"/>
    </row>
    <row r="98" spans="10:41" x14ac:dyDescent="0.3">
      <c r="J98" s="24">
        <v>94</v>
      </c>
      <c r="K98" s="15" t="s">
        <v>35</v>
      </c>
      <c r="L98" s="15" t="s">
        <v>34</v>
      </c>
      <c r="M98" s="15" t="s">
        <v>19</v>
      </c>
      <c r="N98" s="15" t="s">
        <v>35</v>
      </c>
      <c r="O98" s="15" t="s">
        <v>36</v>
      </c>
      <c r="Q98" s="9">
        <v>8</v>
      </c>
      <c r="R98" s="9">
        <v>9</v>
      </c>
      <c r="S98" s="9">
        <v>5</v>
      </c>
      <c r="T98" s="9">
        <v>8</v>
      </c>
      <c r="U98" s="9">
        <v>10</v>
      </c>
      <c r="W98" s="24">
        <v>1</v>
      </c>
      <c r="X98" s="24">
        <v>1</v>
      </c>
      <c r="Y98" s="24">
        <v>1</v>
      </c>
      <c r="Z98" s="24">
        <v>1</v>
      </c>
      <c r="AA98" s="24">
        <v>1</v>
      </c>
      <c r="AH98" s="5"/>
      <c r="AI98" s="5"/>
      <c r="AO98" s="5"/>
    </row>
    <row r="99" spans="10:41" x14ac:dyDescent="0.3">
      <c r="J99" s="9">
        <v>95</v>
      </c>
      <c r="K99" s="15" t="s">
        <v>35</v>
      </c>
      <c r="L99" s="15" t="s">
        <v>36</v>
      </c>
      <c r="M99" s="15" t="s">
        <v>18</v>
      </c>
      <c r="N99" s="15" t="s">
        <v>37</v>
      </c>
      <c r="O99" s="15" t="s">
        <v>22</v>
      </c>
      <c r="Q99" s="9">
        <v>8</v>
      </c>
      <c r="R99" s="9">
        <v>10</v>
      </c>
      <c r="S99" s="9">
        <v>4</v>
      </c>
      <c r="T99" s="9">
        <v>7</v>
      </c>
      <c r="U99" s="9">
        <v>3</v>
      </c>
      <c r="W99" s="24">
        <v>1</v>
      </c>
      <c r="X99" s="24">
        <v>1</v>
      </c>
      <c r="Y99" s="24">
        <v>1</v>
      </c>
      <c r="Z99" s="24">
        <v>1</v>
      </c>
      <c r="AA99" s="24">
        <v>1</v>
      </c>
      <c r="AH99" s="5"/>
      <c r="AI99" s="5"/>
      <c r="AO99" s="5"/>
    </row>
    <row r="100" spans="10:41" x14ac:dyDescent="0.3">
      <c r="J100" s="24">
        <v>96</v>
      </c>
      <c r="K100" s="15" t="s">
        <v>34</v>
      </c>
      <c r="L100" s="15" t="s">
        <v>19</v>
      </c>
      <c r="M100" s="15" t="s">
        <v>61</v>
      </c>
      <c r="N100" s="15" t="s">
        <v>18</v>
      </c>
      <c r="O100" s="15" t="s">
        <v>34</v>
      </c>
      <c r="Q100" s="9">
        <v>9</v>
      </c>
      <c r="R100" s="9">
        <v>5</v>
      </c>
      <c r="S100" s="9">
        <v>11</v>
      </c>
      <c r="T100" s="9">
        <v>4</v>
      </c>
      <c r="U100" s="9">
        <v>9</v>
      </c>
      <c r="W100" s="24">
        <v>1</v>
      </c>
      <c r="X100" s="24">
        <v>1</v>
      </c>
      <c r="Y100" s="24">
        <v>1</v>
      </c>
      <c r="Z100" s="24">
        <v>1</v>
      </c>
      <c r="AA100" s="24">
        <v>1</v>
      </c>
      <c r="AH100" s="5"/>
      <c r="AI100" s="5"/>
      <c r="AO100" s="5"/>
    </row>
    <row r="101" spans="10:41" x14ac:dyDescent="0.3">
      <c r="J101" s="9">
        <v>97</v>
      </c>
      <c r="K101" s="15" t="s">
        <v>21</v>
      </c>
      <c r="L101" s="15" t="s">
        <v>35</v>
      </c>
      <c r="M101" s="15" t="s">
        <v>35</v>
      </c>
      <c r="N101" s="15" t="s">
        <v>70</v>
      </c>
      <c r="O101" s="15" t="s">
        <v>36</v>
      </c>
      <c r="Q101" s="9">
        <v>2</v>
      </c>
      <c r="R101" s="9">
        <v>8</v>
      </c>
      <c r="S101" s="9">
        <v>8</v>
      </c>
      <c r="T101" s="9">
        <v>19</v>
      </c>
      <c r="U101" s="9">
        <v>10</v>
      </c>
      <c r="W101" s="24">
        <v>1</v>
      </c>
      <c r="X101" s="24">
        <v>1</v>
      </c>
      <c r="Y101" s="24">
        <v>1</v>
      </c>
      <c r="Z101" s="24">
        <v>1</v>
      </c>
      <c r="AA101" s="24">
        <v>1</v>
      </c>
      <c r="AH101" s="5"/>
      <c r="AI101" s="5"/>
      <c r="AO101" s="5"/>
    </row>
    <row r="102" spans="10:41" x14ac:dyDescent="0.3">
      <c r="J102" s="24">
        <v>98</v>
      </c>
      <c r="K102" s="15" t="s">
        <v>34</v>
      </c>
      <c r="L102" s="15" t="s">
        <v>19</v>
      </c>
      <c r="M102" s="15" t="s">
        <v>65</v>
      </c>
      <c r="N102" s="15" t="s">
        <v>34</v>
      </c>
      <c r="O102" s="15" t="s">
        <v>35</v>
      </c>
      <c r="Q102" s="9">
        <v>9</v>
      </c>
      <c r="R102" s="9">
        <v>5</v>
      </c>
      <c r="S102" s="9">
        <v>16</v>
      </c>
      <c r="T102" s="9">
        <v>9</v>
      </c>
      <c r="U102" s="9">
        <v>8</v>
      </c>
      <c r="W102" s="24">
        <v>1</v>
      </c>
      <c r="X102" s="24">
        <v>1</v>
      </c>
      <c r="Y102" s="24">
        <v>1</v>
      </c>
      <c r="Z102" s="24">
        <v>1</v>
      </c>
      <c r="AA102" s="24">
        <v>1</v>
      </c>
      <c r="AH102" s="5"/>
      <c r="AI102" s="5"/>
      <c r="AO102" s="5"/>
    </row>
    <row r="103" spans="10:41" x14ac:dyDescent="0.3">
      <c r="J103" s="9">
        <v>99</v>
      </c>
      <c r="K103" s="15" t="s">
        <v>37</v>
      </c>
      <c r="L103" s="15" t="s">
        <v>34</v>
      </c>
      <c r="M103" s="15" t="s">
        <v>37</v>
      </c>
      <c r="N103" s="15" t="s">
        <v>70</v>
      </c>
      <c r="O103" s="15" t="s">
        <v>37</v>
      </c>
      <c r="Q103" s="9">
        <v>7</v>
      </c>
      <c r="R103" s="9">
        <v>9</v>
      </c>
      <c r="S103" s="9">
        <v>7</v>
      </c>
      <c r="T103" s="9">
        <v>19</v>
      </c>
      <c r="U103" s="9">
        <v>7</v>
      </c>
      <c r="W103" s="24">
        <v>1</v>
      </c>
      <c r="X103" s="24">
        <v>1</v>
      </c>
      <c r="Y103" s="24">
        <v>1</v>
      </c>
      <c r="Z103" s="24">
        <v>1</v>
      </c>
      <c r="AA103" s="24">
        <v>1</v>
      </c>
      <c r="AH103" s="5"/>
      <c r="AI103" s="5"/>
      <c r="AO103" s="5"/>
    </row>
    <row r="104" spans="10:41" x14ac:dyDescent="0.3">
      <c r="J104" s="24"/>
      <c r="K104" s="15"/>
      <c r="L104" s="15"/>
      <c r="M104" s="15"/>
      <c r="N104" s="15"/>
      <c r="O104" s="15"/>
      <c r="Q104" s="9" t="str">
        <v/>
      </c>
      <c r="R104" s="9" t="str">
        <v/>
      </c>
      <c r="S104" s="9" t="str">
        <v/>
      </c>
      <c r="T104" s="9" t="str">
        <v/>
      </c>
      <c r="U104" s="9" t="str">
        <v/>
      </c>
      <c r="W104" s="24"/>
      <c r="X104" s="24"/>
      <c r="Y104" s="24"/>
      <c r="Z104" s="24"/>
      <c r="AA104" s="24"/>
      <c r="AH104" s="5"/>
      <c r="AI104" s="5"/>
      <c r="AO104" s="5"/>
    </row>
    <row r="105" spans="10:41" x14ac:dyDescent="0.3">
      <c r="J105" s="24"/>
      <c r="K105" s="15"/>
      <c r="L105" s="15"/>
      <c r="M105" s="15"/>
      <c r="N105" s="15"/>
      <c r="O105" s="15"/>
      <c r="Q105" s="9" t="str">
        <v/>
      </c>
      <c r="R105" s="9" t="str">
        <v/>
      </c>
      <c r="S105" s="9" t="str">
        <v/>
      </c>
      <c r="T105" s="9" t="str">
        <v/>
      </c>
      <c r="U105" s="9" t="str">
        <v/>
      </c>
      <c r="W105" s="24"/>
      <c r="X105" s="24"/>
      <c r="Y105" s="24"/>
      <c r="Z105" s="24"/>
      <c r="AA105" s="24"/>
      <c r="AH105" s="5"/>
      <c r="AI105" s="5"/>
      <c r="AO105" s="5"/>
    </row>
    <row r="106" spans="10:41" x14ac:dyDescent="0.3">
      <c r="J106" s="9"/>
      <c r="K106" s="15"/>
      <c r="L106" s="15"/>
      <c r="M106" s="15"/>
      <c r="N106" s="15"/>
      <c r="O106" s="15"/>
      <c r="Q106" s="9" t="str">
        <v/>
      </c>
      <c r="R106" s="9" t="str">
        <v/>
      </c>
      <c r="S106" s="9" t="str">
        <v/>
      </c>
      <c r="T106" s="9" t="str">
        <v/>
      </c>
      <c r="U106" s="9" t="str">
        <v/>
      </c>
      <c r="W106" s="24"/>
      <c r="X106" s="24"/>
      <c r="Y106" s="24"/>
      <c r="Z106" s="24"/>
      <c r="AA106" s="24"/>
      <c r="AH106" s="5"/>
      <c r="AI106" s="5"/>
      <c r="AO106" s="5"/>
    </row>
    <row r="107" spans="10:41" x14ac:dyDescent="0.3">
      <c r="J107" s="24"/>
      <c r="K107" s="15"/>
      <c r="L107" s="15"/>
      <c r="M107" s="15"/>
      <c r="N107" s="15"/>
      <c r="O107" s="15"/>
      <c r="Q107" s="9" t="str">
        <v/>
      </c>
      <c r="R107" s="9" t="str">
        <v/>
      </c>
      <c r="S107" s="9" t="str">
        <v/>
      </c>
      <c r="T107" s="9" t="str">
        <v/>
      </c>
      <c r="U107" s="9" t="str">
        <v/>
      </c>
      <c r="W107" s="24"/>
      <c r="X107" s="24"/>
      <c r="Y107" s="24"/>
      <c r="Z107" s="24"/>
      <c r="AA107" s="24"/>
      <c r="AH107" s="5"/>
      <c r="AI107" s="5"/>
      <c r="AO107" s="5"/>
    </row>
    <row r="108" spans="10:41" x14ac:dyDescent="0.3">
      <c r="J108" s="9"/>
      <c r="K108" s="15"/>
      <c r="L108" s="15"/>
      <c r="M108" s="15"/>
      <c r="N108" s="15"/>
      <c r="O108" s="15"/>
      <c r="Q108" s="9" t="str">
        <v/>
      </c>
      <c r="R108" s="9" t="str">
        <v/>
      </c>
      <c r="S108" s="9" t="str">
        <v/>
      </c>
      <c r="T108" s="9" t="str">
        <v/>
      </c>
      <c r="U108" s="9" t="str">
        <v/>
      </c>
      <c r="W108" s="24"/>
      <c r="X108" s="24"/>
      <c r="Y108" s="24"/>
      <c r="Z108" s="24"/>
      <c r="AA108" s="24"/>
      <c r="AH108" s="5"/>
      <c r="AI108" s="5"/>
      <c r="AO108" s="5"/>
    </row>
    <row r="109" spans="10:41" x14ac:dyDescent="0.3">
      <c r="J109" s="24"/>
      <c r="K109" s="15"/>
      <c r="L109" s="15"/>
      <c r="M109" s="15"/>
      <c r="N109" s="15"/>
      <c r="O109" s="15"/>
      <c r="Q109" s="9" t="str">
        <v/>
      </c>
      <c r="R109" s="9" t="str">
        <v/>
      </c>
      <c r="S109" s="9" t="str">
        <v/>
      </c>
      <c r="T109" s="9" t="str">
        <v/>
      </c>
      <c r="U109" s="9" t="str">
        <v/>
      </c>
      <c r="W109" s="24"/>
      <c r="X109" s="24"/>
      <c r="Y109" s="24"/>
      <c r="Z109" s="24"/>
      <c r="AA109" s="24"/>
      <c r="AH109" s="5"/>
      <c r="AI109" s="5"/>
      <c r="AO109" s="5"/>
    </row>
    <row r="110" spans="10:41" x14ac:dyDescent="0.3">
      <c r="J110" s="9"/>
      <c r="K110" s="15"/>
      <c r="L110" s="15"/>
      <c r="M110" s="15"/>
      <c r="N110" s="15"/>
      <c r="O110" s="15"/>
      <c r="Q110" s="9" t="str">
        <v/>
      </c>
      <c r="R110" s="9" t="str">
        <v/>
      </c>
      <c r="S110" s="9" t="str">
        <v/>
      </c>
      <c r="T110" s="9" t="str">
        <v/>
      </c>
      <c r="U110" s="9" t="str">
        <v/>
      </c>
      <c r="W110" s="24"/>
      <c r="X110" s="24"/>
      <c r="Y110" s="24"/>
      <c r="Z110" s="24"/>
      <c r="AA110" s="24"/>
      <c r="AH110" s="5"/>
      <c r="AI110" s="5"/>
      <c r="AO110" s="5"/>
    </row>
    <row r="111" spans="10:41" x14ac:dyDescent="0.3">
      <c r="J111" s="24"/>
      <c r="K111" s="15"/>
      <c r="L111" s="15"/>
      <c r="M111" s="15"/>
      <c r="N111" s="15"/>
      <c r="O111" s="15"/>
      <c r="Q111" s="9" t="str">
        <v/>
      </c>
      <c r="R111" s="9" t="str">
        <v/>
      </c>
      <c r="S111" s="9" t="str">
        <v/>
      </c>
      <c r="T111" s="9" t="str">
        <v/>
      </c>
      <c r="U111" s="9" t="str">
        <v/>
      </c>
      <c r="W111" s="24"/>
      <c r="X111" s="24"/>
      <c r="Y111" s="24"/>
      <c r="Z111" s="24"/>
      <c r="AA111" s="24"/>
      <c r="AH111" s="5"/>
      <c r="AI111" s="5"/>
      <c r="AO111" s="5"/>
    </row>
    <row r="112" spans="10:41" x14ac:dyDescent="0.3">
      <c r="J112" s="9"/>
      <c r="K112" s="15"/>
      <c r="L112" s="15"/>
      <c r="M112" s="15"/>
      <c r="N112" s="15"/>
      <c r="O112" s="15"/>
      <c r="Q112" s="9" t="str">
        <v/>
      </c>
      <c r="R112" s="9" t="str">
        <v/>
      </c>
      <c r="S112" s="9" t="str">
        <v/>
      </c>
      <c r="T112" s="9" t="str">
        <v/>
      </c>
      <c r="U112" s="9" t="str">
        <v/>
      </c>
      <c r="W112" s="24"/>
      <c r="X112" s="24"/>
      <c r="Y112" s="24"/>
      <c r="Z112" s="24"/>
      <c r="AA112" s="24"/>
      <c r="AH112" s="5"/>
      <c r="AI112" s="5"/>
      <c r="AO112" s="5"/>
    </row>
    <row r="113" spans="10:41" x14ac:dyDescent="0.3">
      <c r="J113" s="24"/>
      <c r="K113" s="15"/>
      <c r="L113" s="15"/>
      <c r="M113" s="15"/>
      <c r="N113" s="15"/>
      <c r="O113" s="15"/>
      <c r="Q113" s="9" t="str">
        <v/>
      </c>
      <c r="R113" s="9" t="str">
        <v/>
      </c>
      <c r="S113" s="9" t="str">
        <v/>
      </c>
      <c r="T113" s="9" t="str">
        <v/>
      </c>
      <c r="U113" s="9" t="str">
        <v/>
      </c>
      <c r="W113" s="24"/>
      <c r="X113" s="24"/>
      <c r="Y113" s="24"/>
      <c r="Z113" s="24"/>
      <c r="AA113" s="24"/>
      <c r="AH113" s="5"/>
      <c r="AI113" s="5"/>
      <c r="AO113" s="5"/>
    </row>
    <row r="114" spans="10:41" x14ac:dyDescent="0.3">
      <c r="J114" s="9"/>
      <c r="K114" s="15"/>
      <c r="L114" s="15"/>
      <c r="M114" s="15"/>
      <c r="N114" s="15"/>
      <c r="O114" s="15"/>
      <c r="Q114" s="9" t="str">
        <v/>
      </c>
      <c r="R114" s="9" t="str">
        <v/>
      </c>
      <c r="S114" s="9" t="str">
        <v/>
      </c>
      <c r="T114" s="9" t="str">
        <v/>
      </c>
      <c r="U114" s="9" t="str">
        <v/>
      </c>
      <c r="W114" s="24"/>
      <c r="X114" s="24"/>
      <c r="Y114" s="24"/>
      <c r="Z114" s="24"/>
      <c r="AA114" s="24"/>
      <c r="AH114" s="5"/>
      <c r="AI114" s="5"/>
      <c r="AO114" s="5"/>
    </row>
    <row r="115" spans="10:41" x14ac:dyDescent="0.3">
      <c r="J115" s="24"/>
      <c r="K115" s="15"/>
      <c r="L115" s="15"/>
      <c r="M115" s="15"/>
      <c r="N115" s="15"/>
      <c r="O115" s="15"/>
      <c r="Q115" s="9" t="str">
        <v/>
      </c>
      <c r="R115" s="9" t="str">
        <v/>
      </c>
      <c r="S115" s="9" t="str">
        <v/>
      </c>
      <c r="T115" s="9" t="str">
        <v/>
      </c>
      <c r="U115" s="9" t="str">
        <v/>
      </c>
      <c r="W115" s="24"/>
      <c r="X115" s="24"/>
      <c r="Y115" s="24"/>
      <c r="Z115" s="24"/>
      <c r="AA115" s="24"/>
      <c r="AH115" s="5"/>
      <c r="AI115" s="5"/>
      <c r="AO115" s="5"/>
    </row>
    <row r="116" spans="10:41" x14ac:dyDescent="0.3">
      <c r="J116" s="9"/>
      <c r="K116" s="15"/>
      <c r="L116" s="15"/>
      <c r="M116" s="15"/>
      <c r="N116" s="15"/>
      <c r="O116" s="15"/>
      <c r="Q116" s="9" t="str">
        <v/>
      </c>
      <c r="R116" s="9" t="str">
        <v/>
      </c>
      <c r="S116" s="9" t="str">
        <v/>
      </c>
      <c r="T116" s="9" t="str">
        <v/>
      </c>
      <c r="U116" s="9" t="str">
        <v/>
      </c>
      <c r="W116" s="24"/>
      <c r="X116" s="24"/>
      <c r="Y116" s="24"/>
      <c r="Z116" s="24"/>
      <c r="AA116" s="24"/>
      <c r="AH116" s="5"/>
      <c r="AI116" s="5"/>
      <c r="AO116" s="5"/>
    </row>
    <row r="117" spans="10:41" x14ac:dyDescent="0.3">
      <c r="J117" s="24"/>
      <c r="K117" s="15"/>
      <c r="L117" s="15"/>
      <c r="M117" s="15"/>
      <c r="N117" s="15"/>
      <c r="O117" s="15"/>
      <c r="Q117" s="9" t="str">
        <v/>
      </c>
      <c r="R117" s="9" t="str">
        <v/>
      </c>
      <c r="S117" s="9" t="str">
        <v/>
      </c>
      <c r="T117" s="9" t="str">
        <v/>
      </c>
      <c r="U117" s="9" t="str">
        <v/>
      </c>
      <c r="W117" s="24"/>
      <c r="X117" s="24"/>
      <c r="Y117" s="24"/>
      <c r="Z117" s="24"/>
      <c r="AA117" s="24"/>
      <c r="AH117" s="5"/>
      <c r="AI117" s="5"/>
      <c r="AO117" s="5"/>
    </row>
    <row r="118" spans="10:41" x14ac:dyDescent="0.3">
      <c r="J118" s="9"/>
      <c r="K118" s="15"/>
      <c r="L118" s="15"/>
      <c r="M118" s="15"/>
      <c r="N118" s="15"/>
      <c r="O118" s="15"/>
      <c r="Q118" s="9" t="str">
        <v/>
      </c>
      <c r="R118" s="9" t="str">
        <v/>
      </c>
      <c r="S118" s="9" t="str">
        <v/>
      </c>
      <c r="T118" s="9" t="str">
        <v/>
      </c>
      <c r="U118" s="9" t="str">
        <v/>
      </c>
      <c r="W118" s="24"/>
      <c r="X118" s="24"/>
      <c r="Y118" s="24"/>
      <c r="Z118" s="24"/>
      <c r="AA118" s="24"/>
      <c r="AH118" s="5"/>
      <c r="AI118" s="5"/>
      <c r="AO118" s="5"/>
    </row>
    <row r="119" spans="10:41" x14ac:dyDescent="0.3">
      <c r="J119" s="24"/>
      <c r="K119" s="15"/>
      <c r="L119" s="15"/>
      <c r="M119" s="15"/>
      <c r="N119" s="15"/>
      <c r="O119" s="15"/>
      <c r="Q119" s="9" t="str">
        <v/>
      </c>
      <c r="R119" s="9" t="str">
        <v/>
      </c>
      <c r="S119" s="9" t="str">
        <v/>
      </c>
      <c r="T119" s="9" t="str">
        <v/>
      </c>
      <c r="U119" s="9" t="str">
        <v/>
      </c>
      <c r="W119" s="24"/>
      <c r="X119" s="24"/>
      <c r="Y119" s="24"/>
      <c r="Z119" s="24"/>
      <c r="AA119" s="24"/>
      <c r="AH119" s="5"/>
      <c r="AI119" s="5"/>
      <c r="AO119" s="5"/>
    </row>
    <row r="120" spans="10:41" x14ac:dyDescent="0.3">
      <c r="J120" s="9"/>
      <c r="K120" s="15"/>
      <c r="L120" s="15"/>
      <c r="M120" s="15"/>
      <c r="N120" s="15"/>
      <c r="O120" s="15"/>
      <c r="Q120" s="9" t="str">
        <v/>
      </c>
      <c r="R120" s="9" t="str">
        <v/>
      </c>
      <c r="S120" s="9" t="str">
        <v/>
      </c>
      <c r="T120" s="9" t="str">
        <v/>
      </c>
      <c r="U120" s="9" t="str">
        <v/>
      </c>
      <c r="W120" s="24"/>
      <c r="X120" s="24"/>
      <c r="Y120" s="24"/>
      <c r="Z120" s="24"/>
      <c r="AA120" s="24"/>
      <c r="AH120" s="5"/>
      <c r="AI120" s="5"/>
      <c r="AO120" s="5"/>
    </row>
    <row r="121" spans="10:41" x14ac:dyDescent="0.3">
      <c r="J121" s="24"/>
      <c r="K121" s="15"/>
      <c r="L121" s="15"/>
      <c r="M121" s="15"/>
      <c r="N121" s="15"/>
      <c r="O121" s="15"/>
      <c r="Q121" s="9" t="str">
        <v/>
      </c>
      <c r="R121" s="9" t="str">
        <v/>
      </c>
      <c r="S121" s="9" t="str">
        <v/>
      </c>
      <c r="T121" s="9" t="str">
        <v/>
      </c>
      <c r="U121" s="9" t="str">
        <v/>
      </c>
      <c r="W121" s="24"/>
      <c r="X121" s="24"/>
      <c r="Y121" s="24"/>
      <c r="Z121" s="24"/>
      <c r="AA121" s="24"/>
      <c r="AH121" s="5"/>
      <c r="AI121" s="5"/>
      <c r="AO121" s="5"/>
    </row>
    <row r="122" spans="10:41" x14ac:dyDescent="0.3">
      <c r="J122" s="9"/>
      <c r="K122" s="15"/>
      <c r="L122" s="15"/>
      <c r="M122" s="15"/>
      <c r="N122" s="15"/>
      <c r="O122" s="15"/>
      <c r="Q122" s="9" t="str">
        <v/>
      </c>
      <c r="R122" s="9" t="str">
        <v/>
      </c>
      <c r="S122" s="9" t="str">
        <v/>
      </c>
      <c r="T122" s="9" t="str">
        <v/>
      </c>
      <c r="U122" s="9" t="str">
        <v/>
      </c>
      <c r="W122" s="24"/>
      <c r="X122" s="24"/>
      <c r="Y122" s="24"/>
      <c r="Z122" s="24"/>
      <c r="AA122" s="24"/>
      <c r="AH122" s="5"/>
      <c r="AI122" s="5"/>
      <c r="AO122" s="5"/>
    </row>
    <row r="123" spans="10:41" x14ac:dyDescent="0.3">
      <c r="J123" s="24"/>
      <c r="K123" s="15"/>
      <c r="L123" s="15"/>
      <c r="M123" s="15"/>
      <c r="N123" s="15"/>
      <c r="O123" s="15"/>
      <c r="Q123" s="9" t="str">
        <v/>
      </c>
      <c r="R123" s="9" t="str">
        <v/>
      </c>
      <c r="S123" s="9" t="str">
        <v/>
      </c>
      <c r="T123" s="9" t="str">
        <v/>
      </c>
      <c r="U123" s="9" t="str">
        <v/>
      </c>
      <c r="W123" s="24"/>
      <c r="X123" s="24"/>
      <c r="Y123" s="24"/>
      <c r="Z123" s="24"/>
      <c r="AA123" s="24"/>
      <c r="AH123" s="5"/>
      <c r="AI123" s="5"/>
      <c r="AO123" s="5"/>
    </row>
    <row r="124" spans="10:41" x14ac:dyDescent="0.3">
      <c r="J124" s="9"/>
      <c r="K124" s="15"/>
      <c r="L124" s="15"/>
      <c r="M124" s="15"/>
      <c r="N124" s="15"/>
      <c r="O124" s="15"/>
      <c r="Q124" s="9" t="str">
        <v/>
      </c>
      <c r="R124" s="9" t="str">
        <v/>
      </c>
      <c r="S124" s="9" t="str">
        <v/>
      </c>
      <c r="T124" s="9" t="str">
        <v/>
      </c>
      <c r="U124" s="9" t="str">
        <v/>
      </c>
      <c r="W124" s="24"/>
      <c r="X124" s="24"/>
      <c r="Y124" s="24"/>
      <c r="Z124" s="24"/>
      <c r="AA124" s="24"/>
      <c r="AH124" s="5"/>
      <c r="AI124" s="5"/>
      <c r="AO124" s="5"/>
    </row>
    <row r="125" spans="10:41" x14ac:dyDescent="0.3">
      <c r="J125" s="24"/>
      <c r="K125" s="15"/>
      <c r="L125" s="15"/>
      <c r="M125" s="15"/>
      <c r="N125" s="15"/>
      <c r="O125" s="15"/>
      <c r="Q125" s="9" t="str">
        <v/>
      </c>
      <c r="R125" s="9" t="str">
        <v/>
      </c>
      <c r="S125" s="9" t="str">
        <v/>
      </c>
      <c r="T125" s="9" t="str">
        <v/>
      </c>
      <c r="U125" s="9" t="str">
        <v/>
      </c>
      <c r="W125" s="24"/>
      <c r="X125" s="24"/>
      <c r="Y125" s="24"/>
      <c r="Z125" s="24"/>
      <c r="AA125" s="24"/>
      <c r="AH125" s="5"/>
      <c r="AI125" s="5"/>
      <c r="AO125" s="5"/>
    </row>
    <row r="126" spans="10:41" x14ac:dyDescent="0.3">
      <c r="J126" s="9"/>
      <c r="K126" s="15"/>
      <c r="L126" s="15"/>
      <c r="M126" s="15"/>
      <c r="N126" s="15"/>
      <c r="O126" s="15"/>
      <c r="Q126" s="9" t="str">
        <v/>
      </c>
      <c r="R126" s="9" t="str">
        <v/>
      </c>
      <c r="S126" s="9" t="str">
        <v/>
      </c>
      <c r="T126" s="9" t="str">
        <v/>
      </c>
      <c r="U126" s="9" t="str">
        <v/>
      </c>
      <c r="W126" s="24"/>
      <c r="X126" s="24"/>
      <c r="Y126" s="24"/>
      <c r="Z126" s="24"/>
      <c r="AA126" s="24"/>
      <c r="AH126" s="5"/>
      <c r="AI126" s="5"/>
      <c r="AO126" s="5"/>
    </row>
    <row r="127" spans="10:41" x14ac:dyDescent="0.3">
      <c r="J127" s="24"/>
      <c r="K127" s="15"/>
      <c r="L127" s="15"/>
      <c r="M127" s="15"/>
      <c r="N127" s="15"/>
      <c r="O127" s="15"/>
      <c r="Q127" s="9" t="str">
        <v/>
      </c>
      <c r="R127" s="9" t="str">
        <v/>
      </c>
      <c r="S127" s="9" t="str">
        <v/>
      </c>
      <c r="T127" s="9" t="str">
        <v/>
      </c>
      <c r="U127" s="9" t="str">
        <v/>
      </c>
      <c r="W127" s="24"/>
      <c r="X127" s="24"/>
      <c r="Y127" s="24"/>
      <c r="Z127" s="24"/>
      <c r="AA127" s="24"/>
      <c r="AH127" s="5"/>
      <c r="AI127" s="5"/>
      <c r="AO127" s="5"/>
    </row>
    <row r="128" spans="10:41" x14ac:dyDescent="0.3">
      <c r="J128" s="9"/>
      <c r="K128" s="15"/>
      <c r="L128" s="15"/>
      <c r="M128" s="15"/>
      <c r="N128" s="15"/>
      <c r="O128" s="15"/>
      <c r="Q128" s="9" t="str">
        <v/>
      </c>
      <c r="R128" s="9" t="str">
        <v/>
      </c>
      <c r="S128" s="9" t="str">
        <v/>
      </c>
      <c r="T128" s="9" t="str">
        <v/>
      </c>
      <c r="U128" s="9" t="str">
        <v/>
      </c>
      <c r="W128" s="24"/>
      <c r="X128" s="24"/>
      <c r="Y128" s="24"/>
      <c r="Z128" s="24"/>
      <c r="AA128" s="24"/>
      <c r="AH128" s="5"/>
      <c r="AI128" s="5"/>
      <c r="AO128" s="5"/>
    </row>
    <row r="129" spans="10:41" x14ac:dyDescent="0.3">
      <c r="J129" s="24"/>
      <c r="K129" s="15"/>
      <c r="L129" s="15"/>
      <c r="M129" s="15"/>
      <c r="N129" s="15"/>
      <c r="O129" s="15"/>
      <c r="Q129" s="9" t="str">
        <v/>
      </c>
      <c r="R129" s="9" t="str">
        <v/>
      </c>
      <c r="S129" s="9" t="str">
        <v/>
      </c>
      <c r="T129" s="9" t="str">
        <v/>
      </c>
      <c r="U129" s="9" t="str">
        <v/>
      </c>
      <c r="W129" s="24"/>
      <c r="X129" s="24"/>
      <c r="Y129" s="24"/>
      <c r="Z129" s="24"/>
      <c r="AA129" s="24"/>
      <c r="AH129" s="5"/>
      <c r="AI129" s="5"/>
      <c r="AO129" s="5"/>
    </row>
    <row r="130" spans="10:41" x14ac:dyDescent="0.3">
      <c r="J130" s="9"/>
      <c r="K130" s="15"/>
      <c r="L130" s="15"/>
      <c r="M130" s="15"/>
      <c r="N130" s="15"/>
      <c r="O130" s="15"/>
      <c r="Q130" s="9" t="str">
        <v/>
      </c>
      <c r="R130" s="9" t="str">
        <v/>
      </c>
      <c r="S130" s="9" t="str">
        <v/>
      </c>
      <c r="T130" s="9" t="str">
        <v/>
      </c>
      <c r="U130" s="9" t="str">
        <v/>
      </c>
      <c r="W130" s="24"/>
      <c r="X130" s="24"/>
      <c r="Y130" s="24"/>
      <c r="Z130" s="24"/>
      <c r="AA130" s="24"/>
      <c r="AH130" s="5"/>
      <c r="AI130" s="5"/>
      <c r="AO130" s="5"/>
    </row>
    <row r="131" spans="10:41" x14ac:dyDescent="0.3">
      <c r="J131" s="24"/>
      <c r="K131" s="15"/>
      <c r="L131" s="15"/>
      <c r="M131" s="15"/>
      <c r="N131" s="15"/>
      <c r="O131" s="15"/>
      <c r="Q131" s="9" t="str">
        <v/>
      </c>
      <c r="R131" s="9" t="str">
        <v/>
      </c>
      <c r="S131" s="9" t="str">
        <v/>
      </c>
      <c r="T131" s="9" t="str">
        <v/>
      </c>
      <c r="U131" s="9" t="str">
        <v/>
      </c>
      <c r="W131" s="24"/>
      <c r="X131" s="24"/>
      <c r="Y131" s="24"/>
      <c r="Z131" s="24"/>
      <c r="AA131" s="24"/>
      <c r="AH131" s="5"/>
      <c r="AI131" s="5"/>
      <c r="AO131" s="5"/>
    </row>
    <row r="132" spans="10:41" x14ac:dyDescent="0.3">
      <c r="J132" s="9"/>
      <c r="K132" s="15"/>
      <c r="L132" s="15"/>
      <c r="M132" s="15"/>
      <c r="N132" s="15"/>
      <c r="O132" s="15"/>
      <c r="Q132" s="9" t="str">
        <v/>
      </c>
      <c r="R132" s="9" t="str">
        <v/>
      </c>
      <c r="S132" s="9" t="str">
        <v/>
      </c>
      <c r="T132" s="9" t="str">
        <v/>
      </c>
      <c r="U132" s="9" t="str">
        <v/>
      </c>
      <c r="W132" s="24"/>
      <c r="X132" s="24"/>
      <c r="Y132" s="24"/>
      <c r="Z132" s="24"/>
      <c r="AA132" s="24"/>
      <c r="AH132" s="5"/>
      <c r="AI132" s="5"/>
      <c r="AO132" s="5"/>
    </row>
    <row r="133" spans="10:41" x14ac:dyDescent="0.3">
      <c r="J133" s="24"/>
      <c r="K133" s="15"/>
      <c r="L133" s="15"/>
      <c r="M133" s="15"/>
      <c r="N133" s="15"/>
      <c r="O133" s="15"/>
      <c r="Q133" s="9" t="str">
        <v/>
      </c>
      <c r="R133" s="9" t="str">
        <v/>
      </c>
      <c r="S133" s="9" t="str">
        <v/>
      </c>
      <c r="T133" s="9" t="str">
        <v/>
      </c>
      <c r="U133" s="9" t="str">
        <v/>
      </c>
      <c r="W133" s="24"/>
      <c r="X133" s="24"/>
      <c r="Y133" s="24"/>
      <c r="Z133" s="24"/>
      <c r="AA133" s="24"/>
      <c r="AH133" s="5"/>
      <c r="AI133" s="5"/>
      <c r="AO133" s="5"/>
    </row>
    <row r="134" spans="10:41" x14ac:dyDescent="0.3">
      <c r="J134" s="9"/>
      <c r="K134" s="15"/>
      <c r="L134" s="15"/>
      <c r="M134" s="15"/>
      <c r="N134" s="15"/>
      <c r="O134" s="15"/>
      <c r="Q134" s="9" t="str">
        <v/>
      </c>
      <c r="R134" s="9" t="str">
        <v/>
      </c>
      <c r="S134" s="9" t="str">
        <v/>
      </c>
      <c r="T134" s="9" t="str">
        <v/>
      </c>
      <c r="U134" s="9" t="str">
        <v/>
      </c>
      <c r="W134" s="24"/>
      <c r="X134" s="24"/>
      <c r="Y134" s="24"/>
      <c r="Z134" s="24"/>
      <c r="AA134" s="24"/>
      <c r="AH134" s="5"/>
      <c r="AI134" s="5"/>
      <c r="AO134" s="5"/>
    </row>
    <row r="135" spans="10:41" x14ac:dyDescent="0.3">
      <c r="J135" s="24"/>
      <c r="K135" s="15"/>
      <c r="L135" s="15"/>
      <c r="M135" s="15"/>
      <c r="N135" s="15"/>
      <c r="O135" s="15"/>
      <c r="Q135" s="9" t="str">
        <v/>
      </c>
      <c r="R135" s="9" t="str">
        <v/>
      </c>
      <c r="S135" s="9" t="str">
        <v/>
      </c>
      <c r="T135" s="9" t="str">
        <v/>
      </c>
      <c r="U135" s="9" t="str">
        <v/>
      </c>
      <c r="W135" s="24"/>
      <c r="X135" s="24"/>
      <c r="Y135" s="24"/>
      <c r="Z135" s="24"/>
      <c r="AA135" s="24"/>
      <c r="AH135" s="5"/>
      <c r="AI135" s="5"/>
      <c r="AO135" s="5"/>
    </row>
    <row r="136" spans="10:41" x14ac:dyDescent="0.3">
      <c r="J136" s="9"/>
      <c r="K136" s="15"/>
      <c r="L136" s="15"/>
      <c r="M136" s="15"/>
      <c r="N136" s="15"/>
      <c r="O136" s="15"/>
      <c r="Q136" s="9" t="str">
        <v/>
      </c>
      <c r="R136" s="9" t="str">
        <v/>
      </c>
      <c r="S136" s="9" t="str">
        <v/>
      </c>
      <c r="T136" s="9" t="str">
        <v/>
      </c>
      <c r="U136" s="9" t="str">
        <v/>
      </c>
      <c r="W136" s="24"/>
      <c r="X136" s="24"/>
      <c r="Y136" s="24"/>
      <c r="Z136" s="24"/>
      <c r="AA136" s="24"/>
      <c r="AH136" s="5"/>
      <c r="AI136" s="5"/>
      <c r="AO136" s="5"/>
    </row>
    <row r="137" spans="10:41" x14ac:dyDescent="0.3">
      <c r="J137" s="24"/>
      <c r="K137" s="15"/>
      <c r="L137" s="15"/>
      <c r="M137" s="15"/>
      <c r="N137" s="15"/>
      <c r="O137" s="15"/>
      <c r="Q137" s="9" t="str">
        <v/>
      </c>
      <c r="R137" s="9" t="str">
        <v/>
      </c>
      <c r="S137" s="9" t="str">
        <v/>
      </c>
      <c r="T137" s="9" t="str">
        <v/>
      </c>
      <c r="U137" s="9" t="str">
        <v/>
      </c>
      <c r="W137" s="24"/>
      <c r="X137" s="24"/>
      <c r="Y137" s="24"/>
      <c r="Z137" s="24"/>
      <c r="AA137" s="24"/>
      <c r="AH137" s="5"/>
      <c r="AI137" s="5"/>
      <c r="AO137" s="5"/>
    </row>
    <row r="138" spans="10:41" x14ac:dyDescent="0.3">
      <c r="J138" s="9"/>
      <c r="K138" s="15"/>
      <c r="L138" s="15"/>
      <c r="M138" s="15"/>
      <c r="N138" s="15"/>
      <c r="O138" s="15"/>
      <c r="Q138" s="9" t="str">
        <v/>
      </c>
      <c r="R138" s="9" t="str">
        <v/>
      </c>
      <c r="S138" s="9" t="str">
        <v/>
      </c>
      <c r="T138" s="9" t="str">
        <v/>
      </c>
      <c r="U138" s="9" t="str">
        <v/>
      </c>
      <c r="W138" s="24"/>
      <c r="X138" s="24"/>
      <c r="Y138" s="24"/>
      <c r="Z138" s="24"/>
      <c r="AA138" s="24"/>
      <c r="AH138" s="5"/>
      <c r="AI138" s="5"/>
      <c r="AO138" s="5"/>
    </row>
    <row r="139" spans="10:41" x14ac:dyDescent="0.3">
      <c r="J139" s="24"/>
      <c r="K139" s="15"/>
      <c r="L139" s="15"/>
      <c r="M139" s="15"/>
      <c r="N139" s="15"/>
      <c r="O139" s="15"/>
      <c r="Q139" s="9" t="str">
        <v/>
      </c>
      <c r="R139" s="9" t="str">
        <v/>
      </c>
      <c r="S139" s="9" t="str">
        <v/>
      </c>
      <c r="T139" s="9" t="str">
        <v/>
      </c>
      <c r="U139" s="9" t="str">
        <v/>
      </c>
      <c r="W139" s="24"/>
      <c r="X139" s="24"/>
      <c r="Y139" s="24"/>
      <c r="Z139" s="24"/>
      <c r="AA139" s="24"/>
      <c r="AH139" s="5"/>
      <c r="AI139" s="5"/>
      <c r="AO139" s="5"/>
    </row>
    <row r="140" spans="10:41" x14ac:dyDescent="0.3">
      <c r="J140" s="9"/>
      <c r="K140" s="15"/>
      <c r="L140" s="15"/>
      <c r="M140" s="15"/>
      <c r="N140" s="15"/>
      <c r="O140" s="15"/>
      <c r="Q140" s="9" t="str">
        <v/>
      </c>
      <c r="R140" s="9" t="str">
        <v/>
      </c>
      <c r="S140" s="9" t="str">
        <v/>
      </c>
      <c r="T140" s="9" t="str">
        <v/>
      </c>
      <c r="U140" s="9" t="str">
        <v/>
      </c>
      <c r="W140" s="24"/>
      <c r="X140" s="24"/>
      <c r="Y140" s="24"/>
      <c r="Z140" s="24"/>
      <c r="AA140" s="24"/>
      <c r="AH140" s="5"/>
      <c r="AI140" s="5"/>
      <c r="AO140" s="5"/>
    </row>
    <row r="141" spans="10:41" x14ac:dyDescent="0.3">
      <c r="J141" s="24"/>
      <c r="K141" s="15"/>
      <c r="L141" s="15"/>
      <c r="M141" s="15"/>
      <c r="N141" s="15"/>
      <c r="O141" s="15"/>
      <c r="Q141" s="9" t="str">
        <v/>
      </c>
      <c r="R141" s="9" t="str">
        <v/>
      </c>
      <c r="S141" s="9" t="str">
        <v/>
      </c>
      <c r="T141" s="9" t="str">
        <v/>
      </c>
      <c r="U141" s="9" t="str">
        <v/>
      </c>
      <c r="W141" s="24"/>
      <c r="X141" s="24"/>
      <c r="Y141" s="24"/>
      <c r="Z141" s="24"/>
      <c r="AA141" s="24"/>
      <c r="AH141" s="5"/>
      <c r="AI141" s="5"/>
      <c r="AO141" s="5"/>
    </row>
    <row r="142" spans="10:41" x14ac:dyDescent="0.3">
      <c r="J142" s="9"/>
      <c r="K142" s="15"/>
      <c r="L142" s="15"/>
      <c r="M142" s="15"/>
      <c r="N142" s="15"/>
      <c r="O142" s="15"/>
      <c r="Q142" s="9" t="str">
        <v/>
      </c>
      <c r="R142" s="9" t="str">
        <v/>
      </c>
      <c r="S142" s="9" t="str">
        <v/>
      </c>
      <c r="T142" s="9" t="str">
        <v/>
      </c>
      <c r="U142" s="9" t="str">
        <v/>
      </c>
      <c r="W142" s="24"/>
      <c r="X142" s="24"/>
      <c r="Y142" s="24"/>
      <c r="Z142" s="24"/>
      <c r="AA142" s="24"/>
      <c r="AH142" s="5"/>
      <c r="AI142" s="5"/>
      <c r="AO142" s="5"/>
    </row>
    <row r="143" spans="10:41" x14ac:dyDescent="0.3">
      <c r="J143" s="24"/>
      <c r="K143" s="15"/>
      <c r="L143" s="15"/>
      <c r="M143" s="15"/>
      <c r="N143" s="15"/>
      <c r="O143" s="15"/>
      <c r="Q143" s="9" t="str">
        <v/>
      </c>
      <c r="R143" s="9" t="str">
        <v/>
      </c>
      <c r="S143" s="9" t="str">
        <v/>
      </c>
      <c r="T143" s="9" t="str">
        <v/>
      </c>
      <c r="U143" s="9" t="str">
        <v/>
      </c>
      <c r="W143" s="24"/>
      <c r="X143" s="24"/>
      <c r="Y143" s="24"/>
      <c r="Z143" s="24"/>
      <c r="AA143" s="24"/>
      <c r="AH143" s="5"/>
      <c r="AI143" s="5"/>
      <c r="AO143" s="5"/>
    </row>
    <row r="144" spans="10:41" x14ac:dyDescent="0.3">
      <c r="J144" s="9"/>
      <c r="K144" s="15"/>
      <c r="L144" s="15"/>
      <c r="M144" s="15"/>
      <c r="N144" s="15"/>
      <c r="O144" s="15"/>
      <c r="Q144" s="9" t="str">
        <v/>
      </c>
      <c r="R144" s="9" t="str">
        <v/>
      </c>
      <c r="S144" s="9" t="str">
        <v/>
      </c>
      <c r="T144" s="9" t="str">
        <v/>
      </c>
      <c r="U144" s="9" t="str">
        <v/>
      </c>
      <c r="W144" s="24"/>
      <c r="X144" s="24"/>
      <c r="Y144" s="24"/>
      <c r="Z144" s="24"/>
      <c r="AA144" s="24"/>
      <c r="AH144" s="5"/>
      <c r="AI144" s="5"/>
      <c r="AO144" s="5"/>
    </row>
    <row r="145" spans="10:41" x14ac:dyDescent="0.3">
      <c r="J145" s="24"/>
      <c r="K145" s="15"/>
      <c r="L145" s="15"/>
      <c r="M145" s="15"/>
      <c r="N145" s="15"/>
      <c r="O145" s="15"/>
      <c r="Q145" s="9" t="str">
        <v/>
      </c>
      <c r="R145" s="9" t="str">
        <v/>
      </c>
      <c r="S145" s="9" t="str">
        <v/>
      </c>
      <c r="T145" s="9" t="str">
        <v/>
      </c>
      <c r="U145" s="9" t="str">
        <v/>
      </c>
      <c r="W145" s="24"/>
      <c r="X145" s="24"/>
      <c r="Y145" s="24"/>
      <c r="Z145" s="24"/>
      <c r="AA145" s="24"/>
      <c r="AH145" s="5"/>
      <c r="AI145" s="5"/>
      <c r="AO145" s="5"/>
    </row>
    <row r="146" spans="10:41" x14ac:dyDescent="0.3">
      <c r="J146" s="9"/>
      <c r="K146" s="15"/>
      <c r="L146" s="15"/>
      <c r="M146" s="15"/>
      <c r="N146" s="15"/>
      <c r="O146" s="15"/>
      <c r="Q146" s="9" t="str">
        <v/>
      </c>
      <c r="R146" s="9" t="str">
        <v/>
      </c>
      <c r="S146" s="9" t="str">
        <v/>
      </c>
      <c r="T146" s="9" t="str">
        <v/>
      </c>
      <c r="U146" s="9" t="str">
        <v/>
      </c>
      <c r="W146" s="24"/>
      <c r="X146" s="24"/>
      <c r="Y146" s="24"/>
      <c r="Z146" s="24"/>
      <c r="AA146" s="24"/>
      <c r="AH146" s="5"/>
      <c r="AI146" s="5"/>
      <c r="AO146" s="5"/>
    </row>
    <row r="147" spans="10:41" x14ac:dyDescent="0.3">
      <c r="J147" s="24"/>
      <c r="K147" s="15"/>
      <c r="L147" s="15"/>
      <c r="M147" s="15"/>
      <c r="N147" s="15"/>
      <c r="O147" s="15"/>
      <c r="Q147" s="9" t="str">
        <v/>
      </c>
      <c r="R147" s="9" t="str">
        <v/>
      </c>
      <c r="S147" s="9" t="str">
        <v/>
      </c>
      <c r="T147" s="9" t="str">
        <v/>
      </c>
      <c r="U147" s="9" t="str">
        <v/>
      </c>
      <c r="W147" s="24"/>
      <c r="X147" s="24"/>
      <c r="Y147" s="24"/>
      <c r="Z147" s="24"/>
      <c r="AA147" s="24"/>
      <c r="AH147" s="5"/>
      <c r="AI147" s="5"/>
      <c r="AO147" s="5"/>
    </row>
    <row r="148" spans="10:41" x14ac:dyDescent="0.3">
      <c r="J148" s="9"/>
      <c r="K148" s="15"/>
      <c r="L148" s="15"/>
      <c r="M148" s="15"/>
      <c r="N148" s="15"/>
      <c r="O148" s="15"/>
      <c r="Q148" s="9" t="str">
        <v/>
      </c>
      <c r="R148" s="9" t="str">
        <v/>
      </c>
      <c r="S148" s="9" t="str">
        <v/>
      </c>
      <c r="T148" s="9" t="str">
        <v/>
      </c>
      <c r="U148" s="9" t="str">
        <v/>
      </c>
      <c r="W148" s="24"/>
      <c r="X148" s="24"/>
      <c r="Y148" s="24"/>
      <c r="Z148" s="24"/>
      <c r="AA148" s="24"/>
      <c r="AH148" s="5"/>
      <c r="AI148" s="5"/>
      <c r="AO148" s="5"/>
    </row>
    <row r="149" spans="10:41" x14ac:dyDescent="0.3">
      <c r="J149" s="24"/>
      <c r="K149" s="15"/>
      <c r="L149" s="15"/>
      <c r="M149" s="15"/>
      <c r="N149" s="15"/>
      <c r="O149" s="15"/>
      <c r="Q149" s="9" t="str">
        <v/>
      </c>
      <c r="R149" s="9" t="str">
        <v/>
      </c>
      <c r="S149" s="9" t="str">
        <v/>
      </c>
      <c r="T149" s="9" t="str">
        <v/>
      </c>
      <c r="U149" s="9" t="str">
        <v/>
      </c>
      <c r="W149" s="24"/>
      <c r="X149" s="24"/>
      <c r="Y149" s="24"/>
      <c r="Z149" s="24"/>
      <c r="AA149" s="24"/>
      <c r="AH149" s="5"/>
      <c r="AI149" s="5"/>
      <c r="AO149" s="5"/>
    </row>
    <row r="150" spans="10:41" x14ac:dyDescent="0.3">
      <c r="J150" s="9"/>
      <c r="K150" s="15"/>
      <c r="L150" s="15"/>
      <c r="M150" s="15"/>
      <c r="N150" s="15"/>
      <c r="O150" s="15"/>
      <c r="Q150" s="9" t="str">
        <v/>
      </c>
      <c r="R150" s="9" t="str">
        <v/>
      </c>
      <c r="S150" s="9" t="str">
        <v/>
      </c>
      <c r="T150" s="9" t="str">
        <v/>
      </c>
      <c r="U150" s="9" t="str">
        <v/>
      </c>
      <c r="W150" s="24"/>
      <c r="X150" s="24"/>
      <c r="Y150" s="24"/>
      <c r="Z150" s="24"/>
      <c r="AA150" s="24"/>
      <c r="AH150" s="5"/>
      <c r="AI150" s="5"/>
      <c r="AO150" s="5"/>
    </row>
    <row r="151" spans="10:41" x14ac:dyDescent="0.3">
      <c r="J151" s="24"/>
      <c r="K151" s="15"/>
      <c r="L151" s="15"/>
      <c r="M151" s="15"/>
      <c r="N151" s="15"/>
      <c r="O151" s="15"/>
      <c r="Q151" s="9" t="str">
        <v/>
      </c>
      <c r="R151" s="9" t="str">
        <v/>
      </c>
      <c r="S151" s="9" t="str">
        <v/>
      </c>
      <c r="T151" s="9" t="str">
        <v/>
      </c>
      <c r="U151" s="9" t="str">
        <v/>
      </c>
      <c r="W151" s="24"/>
      <c r="X151" s="24"/>
      <c r="Y151" s="24"/>
      <c r="Z151" s="24"/>
      <c r="AA151" s="24"/>
      <c r="AH151" s="5"/>
      <c r="AI151" s="5"/>
      <c r="AO151" s="5"/>
    </row>
    <row r="152" spans="10:41" x14ac:dyDescent="0.3">
      <c r="J152" s="9"/>
      <c r="K152" s="15"/>
      <c r="L152" s="15"/>
      <c r="M152" s="15"/>
      <c r="N152" s="15"/>
      <c r="O152" s="15"/>
      <c r="Q152" s="9" t="str">
        <v/>
      </c>
      <c r="R152" s="9" t="str">
        <v/>
      </c>
      <c r="S152" s="9" t="str">
        <v/>
      </c>
      <c r="T152" s="9" t="str">
        <v/>
      </c>
      <c r="U152" s="9" t="str">
        <v/>
      </c>
      <c r="W152" s="24"/>
      <c r="X152" s="24"/>
      <c r="Y152" s="24"/>
      <c r="Z152" s="24"/>
      <c r="AA152" s="24"/>
      <c r="AH152" s="5"/>
      <c r="AI152" s="5"/>
      <c r="AO152" s="5"/>
    </row>
    <row r="153" spans="10:41" x14ac:dyDescent="0.3">
      <c r="J153" s="24"/>
      <c r="K153" s="15"/>
      <c r="L153" s="15"/>
      <c r="M153" s="15"/>
      <c r="N153" s="15"/>
      <c r="O153" s="15"/>
      <c r="Q153" s="9" t="str">
        <v/>
      </c>
      <c r="R153" s="9" t="str">
        <v/>
      </c>
      <c r="S153" s="9" t="str">
        <v/>
      </c>
      <c r="T153" s="9" t="str">
        <v/>
      </c>
      <c r="U153" s="9" t="str">
        <v/>
      </c>
      <c r="W153" s="24"/>
      <c r="X153" s="24"/>
      <c r="Y153" s="24"/>
      <c r="Z153" s="24"/>
      <c r="AA153" s="24"/>
      <c r="AH153" s="5"/>
      <c r="AI153" s="5"/>
      <c r="AO153" s="5"/>
    </row>
    <row r="154" spans="10:41" x14ac:dyDescent="0.3">
      <c r="J154" s="9"/>
      <c r="K154" s="15"/>
      <c r="L154" s="15"/>
      <c r="M154" s="15"/>
      <c r="N154" s="15"/>
      <c r="O154" s="15"/>
      <c r="Q154" s="9" t="str">
        <v/>
      </c>
      <c r="R154" s="9" t="str">
        <v/>
      </c>
      <c r="S154" s="9" t="str">
        <v/>
      </c>
      <c r="T154" s="9" t="str">
        <v/>
      </c>
      <c r="U154" s="9" t="str">
        <v/>
      </c>
      <c r="W154" s="24"/>
      <c r="X154" s="24"/>
      <c r="Y154" s="24"/>
      <c r="Z154" s="24"/>
      <c r="AA154" s="24"/>
      <c r="AH154" s="5"/>
      <c r="AI154" s="5"/>
      <c r="AO154" s="5"/>
    </row>
    <row r="155" spans="10:41" x14ac:dyDescent="0.3">
      <c r="J155" s="24"/>
      <c r="K155" s="15"/>
      <c r="L155" s="15"/>
      <c r="M155" s="15"/>
      <c r="N155" s="15"/>
      <c r="O155" s="15"/>
      <c r="Q155" s="9" t="str">
        <v/>
      </c>
      <c r="R155" s="9" t="str">
        <v/>
      </c>
      <c r="S155" s="9" t="str">
        <v/>
      </c>
      <c r="T155" s="9" t="str">
        <v/>
      </c>
      <c r="U155" s="9" t="str">
        <v/>
      </c>
      <c r="W155" s="24"/>
      <c r="X155" s="24"/>
      <c r="Y155" s="24"/>
      <c r="Z155" s="24"/>
      <c r="AA155" s="24"/>
      <c r="AH155" s="5"/>
      <c r="AI155" s="5"/>
      <c r="AO155" s="5"/>
    </row>
    <row r="156" spans="10:41" x14ac:dyDescent="0.3">
      <c r="J156" s="9"/>
      <c r="K156" s="15"/>
      <c r="L156" s="15"/>
      <c r="M156" s="15"/>
      <c r="N156" s="15"/>
      <c r="O156" s="15"/>
      <c r="Q156" s="9" t="str">
        <v/>
      </c>
      <c r="R156" s="9" t="str">
        <v/>
      </c>
      <c r="S156" s="9" t="str">
        <v/>
      </c>
      <c r="T156" s="9" t="str">
        <v/>
      </c>
      <c r="U156" s="9" t="str">
        <v/>
      </c>
      <c r="W156" s="24"/>
      <c r="X156" s="24"/>
      <c r="Y156" s="24"/>
      <c r="Z156" s="24"/>
      <c r="AA156" s="24"/>
      <c r="AH156" s="5"/>
      <c r="AI156" s="5"/>
      <c r="AO156" s="5"/>
    </row>
    <row r="157" spans="10:41" x14ac:dyDescent="0.3">
      <c r="J157" s="24"/>
      <c r="K157" s="15"/>
      <c r="L157" s="15"/>
      <c r="M157" s="15"/>
      <c r="N157" s="15"/>
      <c r="O157" s="15"/>
      <c r="Q157" s="9" t="str">
        <v/>
      </c>
      <c r="R157" s="9" t="str">
        <v/>
      </c>
      <c r="S157" s="9" t="str">
        <v/>
      </c>
      <c r="T157" s="9" t="str">
        <v/>
      </c>
      <c r="U157" s="9" t="str">
        <v/>
      </c>
      <c r="W157" s="24"/>
      <c r="X157" s="24"/>
      <c r="Y157" s="24"/>
      <c r="Z157" s="24"/>
      <c r="AA157" s="24"/>
      <c r="AH157" s="5"/>
      <c r="AI157" s="5"/>
      <c r="AO157" s="5"/>
    </row>
    <row r="158" spans="10:41" x14ac:dyDescent="0.3">
      <c r="J158" s="9"/>
      <c r="K158" s="15"/>
      <c r="L158" s="15"/>
      <c r="M158" s="15"/>
      <c r="N158" s="15"/>
      <c r="O158" s="15"/>
      <c r="Q158" s="9" t="str">
        <v/>
      </c>
      <c r="R158" s="9" t="str">
        <v/>
      </c>
      <c r="S158" s="9" t="str">
        <v/>
      </c>
      <c r="T158" s="9" t="str">
        <v/>
      </c>
      <c r="U158" s="9" t="str">
        <v/>
      </c>
      <c r="W158" s="24"/>
      <c r="X158" s="24"/>
      <c r="Y158" s="24"/>
      <c r="Z158" s="24"/>
      <c r="AA158" s="24"/>
      <c r="AH158" s="5"/>
      <c r="AI158" s="5"/>
      <c r="AO158" s="5"/>
    </row>
    <row r="159" spans="10:41" x14ac:dyDescent="0.3">
      <c r="J159" s="24"/>
      <c r="K159" s="15"/>
      <c r="L159" s="15"/>
      <c r="M159" s="15"/>
      <c r="N159" s="15"/>
      <c r="O159" s="15"/>
      <c r="Q159" s="9" t="str">
        <v/>
      </c>
      <c r="R159" s="9" t="str">
        <v/>
      </c>
      <c r="S159" s="9" t="str">
        <v/>
      </c>
      <c r="T159" s="9" t="str">
        <v/>
      </c>
      <c r="U159" s="9" t="str">
        <v/>
      </c>
      <c r="W159" s="24"/>
      <c r="X159" s="24"/>
      <c r="Y159" s="24"/>
      <c r="Z159" s="24"/>
      <c r="AA159" s="24"/>
      <c r="AH159" s="5"/>
      <c r="AI159" s="5"/>
      <c r="AO159" s="5"/>
    </row>
    <row r="160" spans="10:41" x14ac:dyDescent="0.3">
      <c r="J160" s="9"/>
      <c r="K160" s="15"/>
      <c r="L160" s="15"/>
      <c r="M160" s="15"/>
      <c r="N160" s="15"/>
      <c r="O160" s="15"/>
      <c r="Q160" s="9" t="str">
        <v/>
      </c>
      <c r="R160" s="9" t="str">
        <v/>
      </c>
      <c r="S160" s="9" t="str">
        <v/>
      </c>
      <c r="T160" s="9" t="str">
        <v/>
      </c>
      <c r="U160" s="9" t="str">
        <v/>
      </c>
      <c r="W160" s="24"/>
      <c r="X160" s="24"/>
      <c r="Y160" s="24"/>
      <c r="Z160" s="24"/>
      <c r="AA160" s="24"/>
      <c r="AH160" s="5"/>
      <c r="AI160" s="5"/>
      <c r="AO160" s="5"/>
    </row>
    <row r="161" spans="10:41" x14ac:dyDescent="0.3">
      <c r="J161" s="24"/>
      <c r="K161" s="15"/>
      <c r="L161" s="15"/>
      <c r="M161" s="15"/>
      <c r="N161" s="15"/>
      <c r="O161" s="15"/>
      <c r="Q161" s="9" t="str">
        <v/>
      </c>
      <c r="R161" s="9" t="str">
        <v/>
      </c>
      <c r="S161" s="9" t="str">
        <v/>
      </c>
      <c r="T161" s="9" t="str">
        <v/>
      </c>
      <c r="U161" s="9" t="str">
        <v/>
      </c>
      <c r="W161" s="24"/>
      <c r="X161" s="24"/>
      <c r="Y161" s="24"/>
      <c r="Z161" s="24"/>
      <c r="AA161" s="24"/>
      <c r="AH161" s="5"/>
      <c r="AI161" s="5"/>
      <c r="AO161" s="5"/>
    </row>
    <row r="162" spans="10:41" x14ac:dyDescent="0.3">
      <c r="J162" s="9"/>
      <c r="K162" s="15"/>
      <c r="L162" s="15"/>
      <c r="M162" s="15"/>
      <c r="N162" s="15"/>
      <c r="O162" s="15"/>
      <c r="Q162" s="9" t="str">
        <v/>
      </c>
      <c r="R162" s="9" t="str">
        <v/>
      </c>
      <c r="S162" s="9" t="str">
        <v/>
      </c>
      <c r="T162" s="9" t="str">
        <v/>
      </c>
      <c r="U162" s="9" t="str">
        <v/>
      </c>
      <c r="W162" s="24"/>
      <c r="X162" s="24"/>
      <c r="Y162" s="24"/>
      <c r="Z162" s="24"/>
      <c r="AA162" s="24"/>
      <c r="AH162" s="5"/>
      <c r="AI162" s="5"/>
      <c r="AO162" s="5"/>
    </row>
    <row r="163" spans="10:41" x14ac:dyDescent="0.3">
      <c r="J163" s="24"/>
      <c r="K163" s="15"/>
      <c r="L163" s="15"/>
      <c r="M163" s="15"/>
      <c r="N163" s="15"/>
      <c r="O163" s="15"/>
      <c r="Q163" s="9" t="str">
        <v/>
      </c>
      <c r="R163" s="9" t="str">
        <v/>
      </c>
      <c r="S163" s="9" t="str">
        <v/>
      </c>
      <c r="T163" s="9" t="str">
        <v/>
      </c>
      <c r="U163" s="9" t="str">
        <v/>
      </c>
      <c r="W163" s="24"/>
      <c r="X163" s="24"/>
      <c r="Y163" s="24"/>
      <c r="Z163" s="24"/>
      <c r="AA163" s="24"/>
      <c r="AH163" s="5"/>
      <c r="AI163" s="5"/>
      <c r="AO163" s="5"/>
    </row>
    <row r="164" spans="10:41" x14ac:dyDescent="0.3">
      <c r="J164" s="9"/>
      <c r="K164" s="15"/>
      <c r="L164" s="15"/>
      <c r="M164" s="15"/>
      <c r="N164" s="15"/>
      <c r="O164" s="15"/>
      <c r="Q164" s="9" t="str">
        <v/>
      </c>
      <c r="R164" s="9" t="str">
        <v/>
      </c>
      <c r="S164" s="9" t="str">
        <v/>
      </c>
      <c r="T164" s="9" t="str">
        <v/>
      </c>
      <c r="U164" s="9" t="str">
        <v/>
      </c>
      <c r="W164" s="24"/>
      <c r="X164" s="24"/>
      <c r="Y164" s="24"/>
      <c r="Z164" s="24"/>
      <c r="AA164" s="24"/>
      <c r="AH164" s="5"/>
      <c r="AI164" s="5"/>
      <c r="AO164" s="5"/>
    </row>
    <row r="165" spans="10:41" x14ac:dyDescent="0.3">
      <c r="J165" s="24"/>
      <c r="K165" s="15"/>
      <c r="L165" s="15"/>
      <c r="M165" s="15"/>
      <c r="N165" s="15"/>
      <c r="O165" s="15"/>
      <c r="Q165" s="9" t="str">
        <v/>
      </c>
      <c r="R165" s="9" t="str">
        <v/>
      </c>
      <c r="S165" s="9" t="str">
        <v/>
      </c>
      <c r="T165" s="9" t="str">
        <v/>
      </c>
      <c r="U165" s="9" t="str">
        <v/>
      </c>
      <c r="W165" s="24"/>
      <c r="X165" s="24"/>
      <c r="Y165" s="24"/>
      <c r="Z165" s="24"/>
      <c r="AA165" s="24"/>
      <c r="AH165" s="5"/>
      <c r="AI165" s="5"/>
      <c r="AO165" s="5"/>
    </row>
    <row r="166" spans="10:41" x14ac:dyDescent="0.3">
      <c r="J166" s="9"/>
      <c r="K166" s="15"/>
      <c r="L166" s="15"/>
      <c r="M166" s="15"/>
      <c r="N166" s="15"/>
      <c r="O166" s="15"/>
      <c r="Q166" s="9" t="str">
        <v/>
      </c>
      <c r="R166" s="9" t="str">
        <v/>
      </c>
      <c r="S166" s="9" t="str">
        <v/>
      </c>
      <c r="T166" s="9" t="str">
        <v/>
      </c>
      <c r="U166" s="9" t="str">
        <v/>
      </c>
      <c r="W166" s="24"/>
      <c r="X166" s="24"/>
      <c r="Y166" s="24"/>
      <c r="Z166" s="24"/>
      <c r="AA166" s="24"/>
      <c r="AH166" s="5"/>
      <c r="AI166" s="5"/>
      <c r="AO166" s="5"/>
    </row>
    <row r="167" spans="10:41" x14ac:dyDescent="0.3">
      <c r="J167" s="24"/>
      <c r="K167" s="15"/>
      <c r="L167" s="15"/>
      <c r="M167" s="15"/>
      <c r="N167" s="15"/>
      <c r="O167" s="15"/>
      <c r="Q167" s="9" t="str">
        <v/>
      </c>
      <c r="R167" s="9" t="str">
        <v/>
      </c>
      <c r="S167" s="9" t="str">
        <v/>
      </c>
      <c r="T167" s="9" t="str">
        <v/>
      </c>
      <c r="U167" s="9" t="str">
        <v/>
      </c>
      <c r="W167" s="24"/>
      <c r="X167" s="24"/>
      <c r="Y167" s="24"/>
      <c r="Z167" s="24"/>
      <c r="AA167" s="24"/>
      <c r="AH167" s="5"/>
      <c r="AI167" s="5"/>
      <c r="AO167" s="5"/>
    </row>
    <row r="168" spans="10:41" x14ac:dyDescent="0.3">
      <c r="J168" s="9"/>
      <c r="K168" s="15"/>
      <c r="L168" s="15"/>
      <c r="M168" s="15"/>
      <c r="N168" s="15"/>
      <c r="O168" s="15"/>
      <c r="Q168" s="9" t="str">
        <v/>
      </c>
      <c r="R168" s="9" t="str">
        <v/>
      </c>
      <c r="S168" s="9" t="str">
        <v/>
      </c>
      <c r="T168" s="9" t="str">
        <v/>
      </c>
      <c r="U168" s="9" t="str">
        <v/>
      </c>
      <c r="W168" s="24"/>
      <c r="X168" s="24"/>
      <c r="Y168" s="24"/>
      <c r="Z168" s="24"/>
      <c r="AA168" s="24"/>
      <c r="AH168" s="5"/>
      <c r="AI168" s="5"/>
      <c r="AO168" s="5"/>
    </row>
    <row r="169" spans="10:41" x14ac:dyDescent="0.3">
      <c r="J169" s="24"/>
      <c r="K169" s="15"/>
      <c r="L169" s="15"/>
      <c r="M169" s="15"/>
      <c r="N169" s="15"/>
      <c r="O169" s="15"/>
      <c r="Q169" s="9" t="str">
        <v/>
      </c>
      <c r="R169" s="9" t="str">
        <v/>
      </c>
      <c r="S169" s="9" t="str">
        <v/>
      </c>
      <c r="T169" s="9" t="str">
        <v/>
      </c>
      <c r="U169" s="9" t="str">
        <v/>
      </c>
      <c r="W169" s="24"/>
      <c r="X169" s="24"/>
      <c r="Y169" s="24"/>
      <c r="Z169" s="24"/>
      <c r="AA169" s="24"/>
      <c r="AH169" s="5"/>
      <c r="AI169" s="5"/>
      <c r="AO169" s="5"/>
    </row>
    <row r="170" spans="10:41" x14ac:dyDescent="0.3">
      <c r="J170" s="9"/>
      <c r="K170" s="15"/>
      <c r="L170" s="15"/>
      <c r="M170" s="15"/>
      <c r="N170" s="15"/>
      <c r="O170" s="15"/>
      <c r="Q170" s="9" t="str">
        <v/>
      </c>
      <c r="R170" s="9" t="str">
        <v/>
      </c>
      <c r="S170" s="9" t="str">
        <v/>
      </c>
      <c r="T170" s="9" t="str">
        <v/>
      </c>
      <c r="U170" s="9" t="str">
        <v/>
      </c>
      <c r="W170" s="24"/>
      <c r="X170" s="24"/>
      <c r="Y170" s="24"/>
      <c r="Z170" s="24"/>
      <c r="AA170" s="24"/>
      <c r="AH170" s="5"/>
      <c r="AI170" s="5"/>
      <c r="AO170" s="5"/>
    </row>
    <row r="171" spans="10:41" x14ac:dyDescent="0.3">
      <c r="J171" s="24"/>
      <c r="K171" s="15"/>
      <c r="L171" s="15"/>
      <c r="M171" s="15"/>
      <c r="N171" s="15"/>
      <c r="O171" s="15"/>
      <c r="Q171" s="9" t="str">
        <v/>
      </c>
      <c r="R171" s="9" t="str">
        <v/>
      </c>
      <c r="S171" s="9" t="str">
        <v/>
      </c>
      <c r="T171" s="9" t="str">
        <v/>
      </c>
      <c r="U171" s="9" t="str">
        <v/>
      </c>
      <c r="W171" s="24"/>
      <c r="X171" s="24"/>
      <c r="Y171" s="24"/>
      <c r="Z171" s="24"/>
      <c r="AA171" s="24"/>
      <c r="AH171" s="5"/>
      <c r="AI171" s="5"/>
      <c r="AO171" s="5"/>
    </row>
    <row r="172" spans="10:41" x14ac:dyDescent="0.3">
      <c r="J172" s="9"/>
      <c r="K172" s="15"/>
      <c r="L172" s="15"/>
      <c r="M172" s="15"/>
      <c r="N172" s="15"/>
      <c r="O172" s="15"/>
      <c r="Q172" s="9" t="str">
        <v/>
      </c>
      <c r="R172" s="9" t="str">
        <v/>
      </c>
      <c r="S172" s="9" t="str">
        <v/>
      </c>
      <c r="T172" s="9" t="str">
        <v/>
      </c>
      <c r="U172" s="9" t="str">
        <v/>
      </c>
      <c r="W172" s="24"/>
      <c r="X172" s="24"/>
      <c r="Y172" s="24"/>
      <c r="Z172" s="24"/>
      <c r="AA172" s="24"/>
      <c r="AH172" s="5"/>
      <c r="AI172" s="5"/>
      <c r="AO172" s="5"/>
    </row>
    <row r="173" spans="10:41" x14ac:dyDescent="0.3">
      <c r="J173" s="24"/>
      <c r="K173" s="15"/>
      <c r="L173" s="15"/>
      <c r="M173" s="15"/>
      <c r="N173" s="15"/>
      <c r="O173" s="15"/>
      <c r="Q173" s="9" t="str">
        <v/>
      </c>
      <c r="R173" s="9" t="str">
        <v/>
      </c>
      <c r="S173" s="9" t="str">
        <v/>
      </c>
      <c r="T173" s="9" t="str">
        <v/>
      </c>
      <c r="U173" s="9" t="str">
        <v/>
      </c>
      <c r="W173" s="24"/>
      <c r="X173" s="24"/>
      <c r="Y173" s="24"/>
      <c r="Z173" s="24"/>
      <c r="AA173" s="24"/>
      <c r="AH173" s="5"/>
      <c r="AI173" s="5"/>
      <c r="AO173" s="5"/>
    </row>
    <row r="174" spans="10:41" x14ac:dyDescent="0.3">
      <c r="J174" s="9"/>
      <c r="K174" s="15"/>
      <c r="L174" s="15"/>
      <c r="M174" s="15"/>
      <c r="N174" s="15"/>
      <c r="O174" s="15"/>
      <c r="Q174" s="9" t="str">
        <v/>
      </c>
      <c r="R174" s="9" t="str">
        <v/>
      </c>
      <c r="S174" s="9" t="str">
        <v/>
      </c>
      <c r="T174" s="9" t="str">
        <v/>
      </c>
      <c r="U174" s="9" t="str">
        <v/>
      </c>
      <c r="W174" s="24"/>
      <c r="X174" s="24"/>
      <c r="Y174" s="24"/>
      <c r="Z174" s="24"/>
      <c r="AA174" s="24"/>
      <c r="AH174" s="5"/>
      <c r="AI174" s="5"/>
      <c r="AO174" s="5"/>
    </row>
    <row r="175" spans="10:41" x14ac:dyDescent="0.3">
      <c r="J175" s="24"/>
      <c r="K175" s="15"/>
      <c r="L175" s="15"/>
      <c r="M175" s="15"/>
      <c r="N175" s="15"/>
      <c r="O175" s="15"/>
      <c r="Q175" s="9" t="str">
        <v/>
      </c>
      <c r="R175" s="9" t="str">
        <v/>
      </c>
      <c r="S175" s="9" t="str">
        <v/>
      </c>
      <c r="T175" s="9" t="str">
        <v/>
      </c>
      <c r="U175" s="9" t="str">
        <v/>
      </c>
      <c r="W175" s="24"/>
      <c r="X175" s="24"/>
      <c r="Y175" s="24"/>
      <c r="Z175" s="24"/>
      <c r="AA175" s="24"/>
      <c r="AH175" s="5"/>
      <c r="AI175" s="5"/>
      <c r="AO175" s="5"/>
    </row>
    <row r="176" spans="10:41" x14ac:dyDescent="0.3">
      <c r="J176" s="9"/>
      <c r="K176" s="15"/>
      <c r="L176" s="15"/>
      <c r="M176" s="15"/>
      <c r="N176" s="15"/>
      <c r="O176" s="15"/>
      <c r="Q176" s="9" t="str">
        <v/>
      </c>
      <c r="R176" s="9" t="str">
        <v/>
      </c>
      <c r="S176" s="9" t="str">
        <v/>
      </c>
      <c r="T176" s="9" t="str">
        <v/>
      </c>
      <c r="U176" s="9" t="str">
        <v/>
      </c>
      <c r="W176" s="24"/>
      <c r="X176" s="24"/>
      <c r="Y176" s="24"/>
      <c r="Z176" s="24"/>
      <c r="AA176" s="24"/>
      <c r="AH176" s="5"/>
      <c r="AI176" s="5"/>
      <c r="AO176" s="5"/>
    </row>
    <row r="177" spans="10:41" x14ac:dyDescent="0.3">
      <c r="J177" s="24"/>
      <c r="K177" s="15"/>
      <c r="L177" s="15"/>
      <c r="M177" s="15"/>
      <c r="N177" s="15"/>
      <c r="O177" s="15"/>
      <c r="Q177" s="9" t="str">
        <v/>
      </c>
      <c r="R177" s="9" t="str">
        <v/>
      </c>
      <c r="S177" s="9" t="str">
        <v/>
      </c>
      <c r="T177" s="9" t="str">
        <v/>
      </c>
      <c r="U177" s="9" t="str">
        <v/>
      </c>
      <c r="W177" s="24"/>
      <c r="X177" s="24"/>
      <c r="Y177" s="24"/>
      <c r="Z177" s="24"/>
      <c r="AA177" s="24"/>
      <c r="AH177" s="5"/>
      <c r="AI177" s="5"/>
      <c r="AO177" s="5"/>
    </row>
    <row r="178" spans="10:41" x14ac:dyDescent="0.3">
      <c r="J178" s="9"/>
      <c r="K178" s="15"/>
      <c r="L178" s="15"/>
      <c r="M178" s="15"/>
      <c r="N178" s="15"/>
      <c r="O178" s="15"/>
      <c r="Q178" s="9" t="str">
        <v/>
      </c>
      <c r="R178" s="9" t="str">
        <v/>
      </c>
      <c r="S178" s="9" t="str">
        <v/>
      </c>
      <c r="T178" s="9" t="str">
        <v/>
      </c>
      <c r="U178" s="9" t="str">
        <v/>
      </c>
      <c r="W178" s="24"/>
      <c r="X178" s="24"/>
      <c r="Y178" s="24"/>
      <c r="Z178" s="24"/>
      <c r="AA178" s="24"/>
      <c r="AH178" s="5"/>
      <c r="AI178" s="5"/>
      <c r="AO178" s="5"/>
    </row>
    <row r="179" spans="10:41" x14ac:dyDescent="0.3">
      <c r="J179" s="24"/>
      <c r="K179" s="15"/>
      <c r="L179" s="15"/>
      <c r="M179" s="15"/>
      <c r="N179" s="15"/>
      <c r="O179" s="15"/>
      <c r="Q179" s="9" t="str">
        <v/>
      </c>
      <c r="R179" s="9" t="str">
        <v/>
      </c>
      <c r="S179" s="9" t="str">
        <v/>
      </c>
      <c r="T179" s="9" t="str">
        <v/>
      </c>
      <c r="U179" s="9" t="str">
        <v/>
      </c>
      <c r="W179" s="24"/>
      <c r="X179" s="24"/>
      <c r="Y179" s="24"/>
      <c r="Z179" s="24"/>
      <c r="AA179" s="24"/>
      <c r="AH179" s="5"/>
      <c r="AI179" s="5"/>
      <c r="AO179" s="5"/>
    </row>
    <row r="180" spans="10:41" x14ac:dyDescent="0.3">
      <c r="J180" s="9"/>
      <c r="K180" s="15"/>
      <c r="L180" s="15"/>
      <c r="M180" s="15"/>
      <c r="N180" s="15"/>
      <c r="O180" s="15"/>
      <c r="Q180" s="9" t="str">
        <v/>
      </c>
      <c r="R180" s="9" t="str">
        <v/>
      </c>
      <c r="S180" s="9" t="str">
        <v/>
      </c>
      <c r="T180" s="9" t="str">
        <v/>
      </c>
      <c r="U180" s="9" t="str">
        <v/>
      </c>
      <c r="W180" s="24"/>
      <c r="X180" s="24"/>
      <c r="Y180" s="24"/>
      <c r="Z180" s="24"/>
      <c r="AA180" s="24"/>
      <c r="AH180" s="5"/>
      <c r="AI180" s="5"/>
      <c r="AO180" s="5"/>
    </row>
    <row r="181" spans="10:41" x14ac:dyDescent="0.3">
      <c r="J181" s="24"/>
      <c r="K181" s="15"/>
      <c r="L181" s="15"/>
      <c r="M181" s="15"/>
      <c r="N181" s="15"/>
      <c r="O181" s="15"/>
      <c r="Q181" s="9" t="str">
        <v/>
      </c>
      <c r="R181" s="9" t="str">
        <v/>
      </c>
      <c r="S181" s="9" t="str">
        <v/>
      </c>
      <c r="T181" s="9" t="str">
        <v/>
      </c>
      <c r="U181" s="9" t="str">
        <v/>
      </c>
      <c r="W181" s="24"/>
      <c r="X181" s="24"/>
      <c r="Y181" s="24"/>
      <c r="Z181" s="24"/>
      <c r="AA181" s="24"/>
      <c r="AH181" s="5"/>
      <c r="AI181" s="5"/>
      <c r="AO181" s="5"/>
    </row>
    <row r="182" spans="10:41" x14ac:dyDescent="0.3">
      <c r="J182" s="9"/>
      <c r="K182" s="15"/>
      <c r="L182" s="15"/>
      <c r="M182" s="15"/>
      <c r="N182" s="15"/>
      <c r="O182" s="15"/>
      <c r="Q182" s="9" t="str">
        <v/>
      </c>
      <c r="R182" s="9" t="str">
        <v/>
      </c>
      <c r="S182" s="9" t="str">
        <v/>
      </c>
      <c r="T182" s="9" t="str">
        <v/>
      </c>
      <c r="U182" s="9" t="str">
        <v/>
      </c>
      <c r="W182" s="24"/>
      <c r="X182" s="24"/>
      <c r="Y182" s="24"/>
      <c r="Z182" s="24"/>
      <c r="AA182" s="24"/>
      <c r="AH182" s="5"/>
      <c r="AI182" s="5"/>
      <c r="AO182" s="5"/>
    </row>
    <row r="183" spans="10:41" x14ac:dyDescent="0.3">
      <c r="J183" s="24"/>
      <c r="K183" s="15"/>
      <c r="L183" s="15"/>
      <c r="M183" s="15"/>
      <c r="N183" s="15"/>
      <c r="O183" s="15"/>
      <c r="Q183" s="9" t="str">
        <v/>
      </c>
      <c r="R183" s="9" t="str">
        <v/>
      </c>
      <c r="S183" s="9" t="str">
        <v/>
      </c>
      <c r="T183" s="9" t="str">
        <v/>
      </c>
      <c r="U183" s="9" t="str">
        <v/>
      </c>
      <c r="W183" s="24"/>
      <c r="X183" s="24"/>
      <c r="Y183" s="24"/>
      <c r="Z183" s="24"/>
      <c r="AA183" s="24"/>
      <c r="AH183" s="5"/>
      <c r="AI183" s="5"/>
      <c r="AO183" s="5"/>
    </row>
    <row r="184" spans="10:41" x14ac:dyDescent="0.3">
      <c r="J184" s="9"/>
      <c r="K184" s="15"/>
      <c r="L184" s="15"/>
      <c r="M184" s="15"/>
      <c r="N184" s="15"/>
      <c r="O184" s="15"/>
      <c r="Q184" s="9" t="str">
        <v/>
      </c>
      <c r="R184" s="9" t="str">
        <v/>
      </c>
      <c r="S184" s="9" t="str">
        <v/>
      </c>
      <c r="T184" s="9" t="str">
        <v/>
      </c>
      <c r="U184" s="9" t="str">
        <v/>
      </c>
      <c r="W184" s="24"/>
      <c r="X184" s="24"/>
      <c r="Y184" s="24"/>
      <c r="Z184" s="24"/>
      <c r="AA184" s="24"/>
      <c r="AH184" s="5"/>
      <c r="AI184" s="5"/>
      <c r="AO184" s="5"/>
    </row>
    <row r="185" spans="10:41" x14ac:dyDescent="0.3">
      <c r="J185" s="24"/>
      <c r="K185" s="15"/>
      <c r="L185" s="15"/>
      <c r="M185" s="15"/>
      <c r="N185" s="15"/>
      <c r="O185" s="15"/>
      <c r="Q185" s="9" t="str">
        <v/>
      </c>
      <c r="R185" s="9" t="str">
        <v/>
      </c>
      <c r="S185" s="9" t="str">
        <v/>
      </c>
      <c r="T185" s="9" t="str">
        <v/>
      </c>
      <c r="U185" s="9" t="str">
        <v/>
      </c>
      <c r="W185" s="24"/>
      <c r="X185" s="24"/>
      <c r="Y185" s="24"/>
      <c r="Z185" s="24"/>
      <c r="AA185" s="24"/>
      <c r="AH185" s="5"/>
      <c r="AI185" s="5"/>
      <c r="AO185" s="5"/>
    </row>
    <row r="186" spans="10:41" x14ac:dyDescent="0.3">
      <c r="J186" s="9"/>
      <c r="K186" s="15"/>
      <c r="L186" s="15"/>
      <c r="M186" s="15"/>
      <c r="N186" s="15"/>
      <c r="O186" s="15"/>
      <c r="Q186" s="9" t="str">
        <v/>
      </c>
      <c r="R186" s="9" t="str">
        <v/>
      </c>
      <c r="S186" s="9" t="str">
        <v/>
      </c>
      <c r="T186" s="9" t="str">
        <v/>
      </c>
      <c r="U186" s="9" t="str">
        <v/>
      </c>
      <c r="W186" s="24"/>
      <c r="X186" s="24"/>
      <c r="Y186" s="24"/>
      <c r="Z186" s="24"/>
      <c r="AA186" s="24"/>
      <c r="AH186" s="5"/>
      <c r="AI186" s="5"/>
      <c r="AO186" s="5"/>
    </row>
    <row r="187" spans="10:41" x14ac:dyDescent="0.3">
      <c r="J187" s="24"/>
      <c r="K187" s="15"/>
      <c r="L187" s="15"/>
      <c r="M187" s="15"/>
      <c r="N187" s="15"/>
      <c r="O187" s="15"/>
      <c r="Q187" s="9" t="str">
        <v/>
      </c>
      <c r="R187" s="9" t="str">
        <v/>
      </c>
      <c r="S187" s="9" t="str">
        <v/>
      </c>
      <c r="T187" s="9" t="str">
        <v/>
      </c>
      <c r="U187" s="9" t="str">
        <v/>
      </c>
      <c r="W187" s="24"/>
      <c r="X187" s="24"/>
      <c r="Y187" s="24"/>
      <c r="Z187" s="24"/>
      <c r="AA187" s="24"/>
      <c r="AH187" s="5"/>
      <c r="AI187" s="5"/>
      <c r="AO187" s="5"/>
    </row>
    <row r="188" spans="10:41" x14ac:dyDescent="0.3">
      <c r="J188" s="9"/>
      <c r="K188" s="15"/>
      <c r="L188" s="15"/>
      <c r="M188" s="15"/>
      <c r="N188" s="15"/>
      <c r="O188" s="15"/>
      <c r="Q188" s="9" t="str">
        <v/>
      </c>
      <c r="R188" s="9" t="str">
        <v/>
      </c>
      <c r="S188" s="9" t="str">
        <v/>
      </c>
      <c r="T188" s="9" t="str">
        <v/>
      </c>
      <c r="U188" s="9" t="str">
        <v/>
      </c>
      <c r="W188" s="24"/>
      <c r="X188" s="24"/>
      <c r="Y188" s="24"/>
      <c r="Z188" s="24"/>
      <c r="AA188" s="24"/>
      <c r="AH188" s="5"/>
      <c r="AI188" s="5"/>
      <c r="AO188" s="5"/>
    </row>
    <row r="189" spans="10:41" x14ac:dyDescent="0.3">
      <c r="J189" s="24"/>
      <c r="K189" s="15"/>
      <c r="L189" s="15"/>
      <c r="M189" s="15"/>
      <c r="N189" s="15"/>
      <c r="O189" s="15"/>
      <c r="Q189" s="9" t="str">
        <v/>
      </c>
      <c r="R189" s="9" t="str">
        <v/>
      </c>
      <c r="S189" s="9" t="str">
        <v/>
      </c>
      <c r="T189" s="9" t="str">
        <v/>
      </c>
      <c r="U189" s="9" t="str">
        <v/>
      </c>
      <c r="W189" s="24"/>
      <c r="X189" s="24"/>
      <c r="Y189" s="24"/>
      <c r="Z189" s="24"/>
      <c r="AA189" s="24"/>
      <c r="AH189" s="5"/>
      <c r="AI189" s="5"/>
      <c r="AO189" s="5"/>
    </row>
    <row r="190" spans="10:41" x14ac:dyDescent="0.3">
      <c r="J190" s="9"/>
      <c r="K190" s="15"/>
      <c r="L190" s="15"/>
      <c r="M190" s="15"/>
      <c r="N190" s="15"/>
      <c r="O190" s="15"/>
      <c r="Q190" s="9" t="str">
        <v/>
      </c>
      <c r="R190" s="9" t="str">
        <v/>
      </c>
      <c r="S190" s="9" t="str">
        <v/>
      </c>
      <c r="T190" s="9" t="str">
        <v/>
      </c>
      <c r="U190" s="9" t="str">
        <v/>
      </c>
      <c r="W190" s="24"/>
      <c r="X190" s="24"/>
      <c r="Y190" s="24"/>
      <c r="Z190" s="24"/>
      <c r="AA190" s="24"/>
      <c r="AH190" s="5"/>
      <c r="AI190" s="5"/>
      <c r="AO190" s="5"/>
    </row>
    <row r="191" spans="10:41" x14ac:dyDescent="0.3">
      <c r="J191" s="24"/>
      <c r="K191" s="15"/>
      <c r="L191" s="15"/>
      <c r="M191" s="15"/>
      <c r="N191" s="15"/>
      <c r="O191" s="15"/>
      <c r="Q191" s="9" t="str">
        <v/>
      </c>
      <c r="R191" s="9" t="str">
        <v/>
      </c>
      <c r="S191" s="9" t="str">
        <v/>
      </c>
      <c r="T191" s="9" t="str">
        <v/>
      </c>
      <c r="U191" s="9" t="str">
        <v/>
      </c>
      <c r="W191" s="24"/>
      <c r="X191" s="24"/>
      <c r="Y191" s="24"/>
      <c r="Z191" s="24"/>
      <c r="AA191" s="24"/>
      <c r="AH191" s="5"/>
      <c r="AI191" s="5"/>
      <c r="AO191" s="5"/>
    </row>
    <row r="192" spans="10:41" x14ac:dyDescent="0.3">
      <c r="J192" s="9"/>
      <c r="K192" s="15"/>
      <c r="L192" s="15"/>
      <c r="M192" s="15"/>
      <c r="N192" s="15"/>
      <c r="O192" s="15"/>
      <c r="Q192" s="9" t="str">
        <v/>
      </c>
      <c r="R192" s="9" t="str">
        <v/>
      </c>
      <c r="S192" s="9" t="str">
        <v/>
      </c>
      <c r="T192" s="9" t="str">
        <v/>
      </c>
      <c r="U192" s="9" t="str">
        <v/>
      </c>
      <c r="W192" s="24"/>
      <c r="X192" s="24"/>
      <c r="Y192" s="24"/>
      <c r="Z192" s="24"/>
      <c r="AA192" s="24"/>
      <c r="AH192" s="5"/>
      <c r="AI192" s="5"/>
      <c r="AO192" s="5"/>
    </row>
    <row r="193" spans="10:41" x14ac:dyDescent="0.3">
      <c r="J193" s="24"/>
      <c r="K193" s="15"/>
      <c r="L193" s="15"/>
      <c r="M193" s="15"/>
      <c r="N193" s="15"/>
      <c r="O193" s="15"/>
      <c r="Q193" s="9" t="str">
        <v/>
      </c>
      <c r="R193" s="9" t="str">
        <v/>
      </c>
      <c r="S193" s="9" t="str">
        <v/>
      </c>
      <c r="T193" s="9" t="str">
        <v/>
      </c>
      <c r="U193" s="9" t="str">
        <v/>
      </c>
      <c r="W193" s="24"/>
      <c r="X193" s="24"/>
      <c r="Y193" s="24"/>
      <c r="Z193" s="24"/>
      <c r="AA193" s="24"/>
      <c r="AH193" s="5"/>
      <c r="AI193" s="5"/>
      <c r="AO193" s="5"/>
    </row>
    <row r="194" spans="10:41" x14ac:dyDescent="0.3">
      <c r="J194" s="9"/>
      <c r="K194" s="15"/>
      <c r="L194" s="15"/>
      <c r="M194" s="15"/>
      <c r="N194" s="15"/>
      <c r="O194" s="15"/>
      <c r="Q194" s="9" t="str">
        <v/>
      </c>
      <c r="R194" s="9" t="str">
        <v/>
      </c>
      <c r="S194" s="9" t="str">
        <v/>
      </c>
      <c r="T194" s="9" t="str">
        <v/>
      </c>
      <c r="U194" s="9" t="str">
        <v/>
      </c>
      <c r="W194" s="24"/>
      <c r="X194" s="24"/>
      <c r="Y194" s="24"/>
      <c r="Z194" s="24"/>
      <c r="AA194" s="24"/>
      <c r="AH194" s="5"/>
      <c r="AI194" s="5"/>
      <c r="AO194" s="5"/>
    </row>
    <row r="195" spans="10:41" x14ac:dyDescent="0.3">
      <c r="J195" s="24"/>
      <c r="K195" s="15"/>
      <c r="L195" s="15"/>
      <c r="M195" s="15"/>
      <c r="N195" s="15"/>
      <c r="O195" s="15"/>
      <c r="Q195" s="9" t="str">
        <v/>
      </c>
      <c r="R195" s="9" t="str">
        <v/>
      </c>
      <c r="S195" s="9" t="str">
        <v/>
      </c>
      <c r="T195" s="9" t="str">
        <v/>
      </c>
      <c r="U195" s="9" t="str">
        <v/>
      </c>
      <c r="W195" s="24"/>
      <c r="X195" s="24"/>
      <c r="Y195" s="24"/>
      <c r="Z195" s="24"/>
      <c r="AA195" s="24"/>
      <c r="AH195" s="5"/>
      <c r="AI195" s="5"/>
      <c r="AO195" s="5"/>
    </row>
    <row r="196" spans="10:41" x14ac:dyDescent="0.3">
      <c r="J196" s="9"/>
      <c r="K196" s="15"/>
      <c r="L196" s="15"/>
      <c r="M196" s="15"/>
      <c r="N196" s="15"/>
      <c r="O196" s="15"/>
      <c r="Q196" s="9" t="str">
        <v/>
      </c>
      <c r="R196" s="9" t="str">
        <v/>
      </c>
      <c r="S196" s="9" t="str">
        <v/>
      </c>
      <c r="T196" s="9" t="str">
        <v/>
      </c>
      <c r="U196" s="9" t="str">
        <v/>
      </c>
      <c r="W196" s="24"/>
      <c r="X196" s="24"/>
      <c r="Y196" s="24"/>
      <c r="Z196" s="24"/>
      <c r="AA196" s="24"/>
      <c r="AH196" s="5"/>
      <c r="AI196" s="5"/>
      <c r="AO196" s="5"/>
    </row>
    <row r="197" spans="10:41" x14ac:dyDescent="0.3">
      <c r="J197" s="24"/>
      <c r="K197" s="15"/>
      <c r="L197" s="15"/>
      <c r="M197" s="15"/>
      <c r="N197" s="15"/>
      <c r="O197" s="15"/>
      <c r="Q197" s="9" t="str">
        <v/>
      </c>
      <c r="R197" s="9" t="str">
        <v/>
      </c>
      <c r="S197" s="9" t="str">
        <v/>
      </c>
      <c r="T197" s="9" t="str">
        <v/>
      </c>
      <c r="U197" s="9" t="str">
        <v/>
      </c>
      <c r="W197" s="24"/>
      <c r="X197" s="24"/>
      <c r="Y197" s="24"/>
      <c r="Z197" s="24"/>
      <c r="AA197" s="24"/>
      <c r="AH197" s="5"/>
      <c r="AI197" s="5"/>
      <c r="AO197" s="5"/>
    </row>
    <row r="198" spans="10:41" x14ac:dyDescent="0.3">
      <c r="J198" s="9"/>
      <c r="K198" s="15"/>
      <c r="L198" s="15"/>
      <c r="M198" s="15"/>
      <c r="N198" s="15"/>
      <c r="O198" s="15"/>
      <c r="Q198" s="9" t="str">
        <v/>
      </c>
      <c r="R198" s="9" t="str">
        <v/>
      </c>
      <c r="S198" s="9" t="str">
        <v/>
      </c>
      <c r="T198" s="9" t="str">
        <v/>
      </c>
      <c r="U198" s="9" t="str">
        <v/>
      </c>
      <c r="W198" s="24"/>
      <c r="X198" s="24"/>
      <c r="Y198" s="24"/>
      <c r="Z198" s="24"/>
      <c r="AA198" s="24"/>
      <c r="AH198" s="5"/>
      <c r="AI198" s="5"/>
      <c r="AO198" s="5"/>
    </row>
    <row r="199" spans="10:41" x14ac:dyDescent="0.3">
      <c r="J199" s="24"/>
      <c r="K199" s="15"/>
      <c r="L199" s="15"/>
      <c r="M199" s="15"/>
      <c r="N199" s="15"/>
      <c r="O199" s="15"/>
      <c r="Q199" s="9" t="str">
        <v/>
      </c>
      <c r="R199" s="9" t="str">
        <v/>
      </c>
      <c r="S199" s="9" t="str">
        <v/>
      </c>
      <c r="T199" s="9" t="str">
        <v/>
      </c>
      <c r="U199" s="9" t="str">
        <v/>
      </c>
      <c r="W199" s="24"/>
      <c r="X199" s="24"/>
      <c r="Y199" s="24"/>
      <c r="Z199" s="24"/>
      <c r="AA199" s="24"/>
      <c r="AH199" s="5"/>
      <c r="AI199" s="5"/>
      <c r="AO199" s="5"/>
    </row>
    <row r="200" spans="10:41" x14ac:dyDescent="0.3">
      <c r="J200" s="9"/>
      <c r="K200" s="15"/>
      <c r="L200" s="15"/>
      <c r="M200" s="15"/>
      <c r="N200" s="15"/>
      <c r="O200" s="15"/>
      <c r="Q200" s="9" t="str">
        <v/>
      </c>
      <c r="R200" s="9" t="str">
        <v/>
      </c>
      <c r="S200" s="9" t="str">
        <v/>
      </c>
      <c r="T200" s="9" t="str">
        <v/>
      </c>
      <c r="U200" s="9" t="str">
        <v/>
      </c>
      <c r="W200" s="24"/>
      <c r="X200" s="24"/>
      <c r="Y200" s="24"/>
      <c r="Z200" s="24"/>
      <c r="AA200" s="24"/>
      <c r="AH200" s="5"/>
      <c r="AI200" s="5"/>
      <c r="AO200" s="5"/>
    </row>
    <row r="201" spans="10:41" x14ac:dyDescent="0.3">
      <c r="J201" s="24"/>
      <c r="K201" s="15"/>
      <c r="L201" s="15"/>
      <c r="M201" s="15"/>
      <c r="N201" s="15"/>
      <c r="O201" s="15"/>
      <c r="Q201" s="9" t="str">
        <v/>
      </c>
      <c r="R201" s="9" t="str">
        <v/>
      </c>
      <c r="S201" s="9" t="str">
        <v/>
      </c>
      <c r="T201" s="9" t="str">
        <v/>
      </c>
      <c r="U201" s="9" t="str">
        <v/>
      </c>
      <c r="W201" s="24"/>
      <c r="X201" s="24"/>
      <c r="Y201" s="24"/>
      <c r="Z201" s="24"/>
      <c r="AA201" s="24"/>
      <c r="AH201" s="5"/>
      <c r="AI201" s="5"/>
      <c r="AO201" s="5"/>
    </row>
    <row r="202" spans="10:41" x14ac:dyDescent="0.3">
      <c r="J202" s="9"/>
      <c r="K202" s="15"/>
      <c r="L202" s="15"/>
      <c r="M202" s="15"/>
      <c r="N202" s="15"/>
      <c r="O202" s="15"/>
      <c r="Q202" s="9" t="str">
        <v/>
      </c>
      <c r="R202" s="9" t="str">
        <v/>
      </c>
      <c r="S202" s="9" t="str">
        <v/>
      </c>
      <c r="T202" s="9" t="str">
        <v/>
      </c>
      <c r="U202" s="9" t="str">
        <v/>
      </c>
      <c r="W202" s="24"/>
      <c r="X202" s="24"/>
      <c r="Y202" s="24"/>
      <c r="Z202" s="24"/>
      <c r="AA202" s="24"/>
      <c r="AH202" s="5"/>
      <c r="AI202" s="5"/>
      <c r="AO202" s="5"/>
    </row>
    <row r="203" spans="10:41" x14ac:dyDescent="0.3">
      <c r="J203" s="24"/>
      <c r="K203" s="15"/>
      <c r="L203" s="15"/>
      <c r="M203" s="15"/>
      <c r="N203" s="15"/>
      <c r="O203" s="15"/>
      <c r="Q203" s="9" t="str">
        <v/>
      </c>
      <c r="R203" s="9" t="str">
        <v/>
      </c>
      <c r="S203" s="9" t="str">
        <v/>
      </c>
      <c r="T203" s="9" t="str">
        <v/>
      </c>
      <c r="U203" s="9" t="str">
        <v/>
      </c>
      <c r="W203" s="24"/>
      <c r="X203" s="24"/>
      <c r="Y203" s="24"/>
      <c r="Z203" s="24"/>
      <c r="AA203" s="24"/>
      <c r="AH203" s="5"/>
      <c r="AI203" s="5"/>
      <c r="AO203" s="5"/>
    </row>
    <row r="204" spans="10:41" x14ac:dyDescent="0.3">
      <c r="J204" s="9"/>
      <c r="K204" s="15"/>
      <c r="L204" s="15"/>
      <c r="M204" s="15"/>
      <c r="N204" s="15"/>
      <c r="O204" s="15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4"/>
      <c r="X204" s="24"/>
      <c r="Y204" s="24"/>
      <c r="Z204" s="24"/>
      <c r="AA204" s="24"/>
      <c r="AH204" s="5"/>
      <c r="AI204" s="5"/>
      <c r="AO204" s="5"/>
    </row>
    <row r="205" spans="10:41" x14ac:dyDescent="0.3">
      <c r="J205" s="24"/>
      <c r="K205" s="15"/>
      <c r="L205" s="15"/>
      <c r="M205" s="15"/>
      <c r="N205" s="15"/>
      <c r="O205" s="15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4"/>
      <c r="X205" s="24"/>
      <c r="Y205" s="24"/>
      <c r="Z205" s="24"/>
      <c r="AA205" s="24"/>
      <c r="AH205" s="5"/>
      <c r="AI205" s="5"/>
      <c r="AO205" s="5"/>
    </row>
    <row r="206" spans="10:41" x14ac:dyDescent="0.3">
      <c r="J206" s="24"/>
      <c r="K206" s="15"/>
      <c r="L206" s="15"/>
      <c r="M206" s="15"/>
      <c r="N206" s="15"/>
      <c r="O206" s="15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4"/>
      <c r="X206" s="24"/>
      <c r="Y206" s="24"/>
      <c r="Z206" s="24"/>
      <c r="AA206" s="24"/>
      <c r="AH206" s="5"/>
      <c r="AI206" s="5"/>
      <c r="AO206" s="5"/>
    </row>
    <row r="207" spans="10:41" x14ac:dyDescent="0.3">
      <c r="J207" s="9"/>
      <c r="K207" s="15"/>
      <c r="L207" s="15"/>
      <c r="M207" s="15"/>
      <c r="N207" s="15"/>
      <c r="O207" s="15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4"/>
      <c r="X207" s="24"/>
      <c r="Y207" s="24"/>
      <c r="Z207" s="24"/>
      <c r="AA207" s="24"/>
      <c r="AH207" s="5"/>
      <c r="AI207" s="5"/>
      <c r="AO207" s="5"/>
    </row>
    <row r="208" spans="10:41" x14ac:dyDescent="0.3">
      <c r="J208" s="24"/>
      <c r="K208" s="15"/>
      <c r="L208" s="15"/>
      <c r="M208" s="15"/>
      <c r="N208" s="15"/>
      <c r="O208" s="15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4"/>
      <c r="X208" s="24"/>
      <c r="Y208" s="24"/>
      <c r="Z208" s="24"/>
      <c r="AA208" s="24"/>
      <c r="AH208" s="5"/>
      <c r="AI208" s="5"/>
      <c r="AO208" s="5"/>
    </row>
    <row r="209" spans="10:41" x14ac:dyDescent="0.3">
      <c r="J209" s="9"/>
      <c r="K209" s="15"/>
      <c r="L209" s="15"/>
      <c r="M209" s="15"/>
      <c r="N209" s="15"/>
      <c r="O209" s="15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4"/>
      <c r="X209" s="24"/>
      <c r="Y209" s="24"/>
      <c r="Z209" s="24"/>
      <c r="AA209" s="24"/>
      <c r="AH209" s="5"/>
      <c r="AI209" s="5"/>
      <c r="AO209" s="5"/>
    </row>
    <row r="210" spans="10:41" x14ac:dyDescent="0.3">
      <c r="J210" s="24"/>
      <c r="K210" s="15"/>
      <c r="L210" s="15"/>
      <c r="M210" s="15"/>
      <c r="N210" s="15"/>
      <c r="O210" s="15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4"/>
      <c r="X210" s="24"/>
      <c r="Y210" s="24"/>
      <c r="Z210" s="24"/>
      <c r="AA210" s="24"/>
      <c r="AH210" s="5"/>
      <c r="AI210" s="5"/>
      <c r="AO210" s="5"/>
    </row>
    <row r="211" spans="10:41" x14ac:dyDescent="0.3">
      <c r="J211" s="9"/>
      <c r="K211" s="15"/>
      <c r="L211" s="15"/>
      <c r="M211" s="15"/>
      <c r="N211" s="15"/>
      <c r="O211" s="15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4"/>
      <c r="X211" s="24"/>
      <c r="Y211" s="24"/>
      <c r="Z211" s="24"/>
      <c r="AA211" s="24"/>
      <c r="AH211" s="5"/>
      <c r="AI211" s="5"/>
      <c r="AO211" s="5"/>
    </row>
    <row r="212" spans="10:41" x14ac:dyDescent="0.3">
      <c r="J212" s="24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4"/>
      <c r="X212" s="24"/>
      <c r="Y212" s="24"/>
      <c r="Z212" s="24"/>
      <c r="AA212" s="24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4"/>
      <c r="X213" s="24"/>
      <c r="Y213" s="24"/>
      <c r="Z213" s="24"/>
      <c r="AA213" s="24"/>
      <c r="AH213" s="5"/>
      <c r="AI213" s="5"/>
      <c r="AO213" s="5"/>
    </row>
    <row r="214" spans="10:41" x14ac:dyDescent="0.3">
      <c r="J214" s="24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4"/>
      <c r="X214" s="24"/>
      <c r="Y214" s="24"/>
      <c r="Z214" s="24"/>
      <c r="AA214" s="24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4"/>
      <c r="X215" s="24"/>
      <c r="Y215" s="24"/>
      <c r="Z215" s="24"/>
      <c r="AA215" s="24"/>
      <c r="AH215" s="5"/>
      <c r="AI215" s="5"/>
      <c r="AO215" s="5"/>
    </row>
    <row r="216" spans="10:41" x14ac:dyDescent="0.3">
      <c r="J216" s="24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4"/>
      <c r="X216" s="24"/>
      <c r="Y216" s="24"/>
      <c r="Z216" s="24"/>
      <c r="AA216" s="24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4"/>
      <c r="X217" s="24"/>
      <c r="Y217" s="24"/>
      <c r="Z217" s="24"/>
      <c r="AA217" s="24"/>
      <c r="AH217" s="5"/>
      <c r="AI217" s="5"/>
      <c r="AO217" s="5"/>
    </row>
    <row r="218" spans="10:41" x14ac:dyDescent="0.3">
      <c r="J218" s="24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4"/>
      <c r="X218" s="24"/>
      <c r="Y218" s="24"/>
      <c r="Z218" s="24"/>
      <c r="AA218" s="24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4"/>
      <c r="X219" s="24"/>
      <c r="Y219" s="24"/>
      <c r="Z219" s="24"/>
      <c r="AA219" s="24"/>
      <c r="AH219" s="5"/>
      <c r="AI219" s="5"/>
      <c r="AO219" s="5"/>
    </row>
    <row r="220" spans="10:41" x14ac:dyDescent="0.3">
      <c r="J220" s="24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4"/>
      <c r="X220" s="24"/>
      <c r="Y220" s="24"/>
      <c r="Z220" s="24"/>
      <c r="AA220" s="24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4"/>
      <c r="X221" s="24"/>
      <c r="Y221" s="24"/>
      <c r="Z221" s="24"/>
      <c r="AA221" s="24"/>
      <c r="AH221" s="5"/>
      <c r="AI221" s="5"/>
      <c r="AO221" s="5"/>
    </row>
    <row r="222" spans="10:41" x14ac:dyDescent="0.3">
      <c r="J222" s="24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4"/>
      <c r="X222" s="24"/>
      <c r="Y222" s="24"/>
      <c r="Z222" s="24"/>
      <c r="AA222" s="24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4"/>
      <c r="X223" s="24"/>
      <c r="Y223" s="24"/>
      <c r="Z223" s="24"/>
      <c r="AA223" s="24"/>
      <c r="AH223" s="5"/>
      <c r="AI223" s="5"/>
      <c r="AO223" s="5"/>
    </row>
    <row r="224" spans="10:41" x14ac:dyDescent="0.3">
      <c r="J224" s="24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4"/>
      <c r="X224" s="24"/>
      <c r="Y224" s="24"/>
      <c r="Z224" s="24"/>
      <c r="AA224" s="24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4"/>
      <c r="X225" s="24"/>
      <c r="Y225" s="24"/>
      <c r="Z225" s="24"/>
      <c r="AA225" s="24"/>
      <c r="AH225" s="5"/>
      <c r="AI225" s="5"/>
      <c r="AO225" s="5"/>
    </row>
    <row r="226" spans="10:41" x14ac:dyDescent="0.3">
      <c r="J226" s="24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4"/>
      <c r="X226" s="24"/>
      <c r="Y226" s="24"/>
      <c r="Z226" s="24"/>
      <c r="AA226" s="24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4"/>
      <c r="X227" s="24"/>
      <c r="Y227" s="24"/>
      <c r="Z227" s="24"/>
      <c r="AA227" s="24"/>
      <c r="AH227" s="5"/>
      <c r="AI227" s="5"/>
      <c r="AO227" s="5"/>
    </row>
    <row r="228" spans="10:41" x14ac:dyDescent="0.3">
      <c r="J228" s="24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4"/>
      <c r="X228" s="24"/>
      <c r="Y228" s="24"/>
      <c r="Z228" s="24"/>
      <c r="AA228" s="24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4"/>
      <c r="X229" s="24"/>
      <c r="Y229" s="24"/>
      <c r="Z229" s="24"/>
      <c r="AA229" s="24"/>
      <c r="AH229" s="5"/>
      <c r="AI229" s="5"/>
      <c r="AO229" s="5"/>
    </row>
    <row r="230" spans="10:41" x14ac:dyDescent="0.3">
      <c r="J230" s="24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4"/>
      <c r="X230" s="24"/>
      <c r="Y230" s="24"/>
      <c r="Z230" s="24"/>
      <c r="AA230" s="24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4"/>
      <c r="X231" s="24"/>
      <c r="Y231" s="24"/>
      <c r="Z231" s="24"/>
      <c r="AA231" s="24"/>
      <c r="AH231" s="5"/>
      <c r="AI231" s="5"/>
      <c r="AO231" s="5"/>
    </row>
    <row r="232" spans="10:41" x14ac:dyDescent="0.3">
      <c r="J232" s="24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4"/>
      <c r="X232" s="24"/>
      <c r="Y232" s="24"/>
      <c r="Z232" s="24"/>
      <c r="AA232" s="24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4"/>
      <c r="X233" s="24"/>
      <c r="Y233" s="24"/>
      <c r="Z233" s="24"/>
      <c r="AA233" s="24"/>
      <c r="AH233" s="5"/>
      <c r="AI233" s="5"/>
      <c r="AO233" s="5"/>
    </row>
    <row r="234" spans="10:41" x14ac:dyDescent="0.3">
      <c r="J234" s="24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4"/>
      <c r="X234" s="24"/>
      <c r="Y234" s="24"/>
      <c r="Z234" s="24"/>
      <c r="AA234" s="24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4"/>
      <c r="X235" s="24"/>
      <c r="Y235" s="24"/>
      <c r="Z235" s="24"/>
      <c r="AA235" s="24"/>
      <c r="AH235" s="5"/>
      <c r="AI235" s="5"/>
      <c r="AO235" s="5"/>
    </row>
    <row r="236" spans="10:41" x14ac:dyDescent="0.3">
      <c r="J236" s="24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4"/>
      <c r="X236" s="24"/>
      <c r="Y236" s="24"/>
      <c r="Z236" s="24"/>
      <c r="AA236" s="24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4"/>
      <c r="X237" s="24"/>
      <c r="Y237" s="24"/>
      <c r="Z237" s="24"/>
      <c r="AA237" s="24"/>
      <c r="AH237" s="5"/>
      <c r="AI237" s="5"/>
      <c r="AO237" s="5"/>
    </row>
    <row r="238" spans="10:41" x14ac:dyDescent="0.3">
      <c r="J238" s="24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4"/>
      <c r="X238" s="24"/>
      <c r="Y238" s="24"/>
      <c r="Z238" s="24"/>
      <c r="AA238" s="24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4"/>
      <c r="X239" s="24"/>
      <c r="Y239" s="24"/>
      <c r="Z239" s="24"/>
      <c r="AA239" s="24"/>
      <c r="AH239" s="5"/>
      <c r="AI239" s="5"/>
      <c r="AO239" s="5"/>
    </row>
    <row r="240" spans="10:41" x14ac:dyDescent="0.3">
      <c r="J240" s="24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4"/>
      <c r="X240" s="24"/>
      <c r="Y240" s="24"/>
      <c r="Z240" s="24"/>
      <c r="AA240" s="24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4"/>
      <c r="X241" s="24"/>
      <c r="Y241" s="24"/>
      <c r="Z241" s="24"/>
      <c r="AA241" s="24"/>
      <c r="AH241" s="5"/>
      <c r="AI241" s="5"/>
      <c r="AO241" s="5"/>
    </row>
    <row r="242" spans="10:41" x14ac:dyDescent="0.3">
      <c r="J242" s="24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4"/>
      <c r="X242" s="24"/>
      <c r="Y242" s="24"/>
      <c r="Z242" s="24"/>
      <c r="AA242" s="24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4"/>
      <c r="X243" s="24"/>
      <c r="Y243" s="24"/>
      <c r="Z243" s="24"/>
      <c r="AA243" s="24"/>
      <c r="AH243" s="5"/>
      <c r="AI243" s="5"/>
      <c r="AO243" s="5"/>
    </row>
    <row r="244" spans="10:41" x14ac:dyDescent="0.3">
      <c r="J244" s="24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4"/>
      <c r="X244" s="24"/>
      <c r="Y244" s="24"/>
      <c r="Z244" s="24"/>
      <c r="AA244" s="24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4"/>
      <c r="X245" s="24"/>
      <c r="Y245" s="24"/>
      <c r="Z245" s="24"/>
      <c r="AA245" s="24"/>
      <c r="AH245" s="5"/>
      <c r="AI245" s="5"/>
      <c r="AO245" s="5"/>
    </row>
    <row r="246" spans="10:41" x14ac:dyDescent="0.3">
      <c r="J246" s="24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4"/>
      <c r="X246" s="24"/>
      <c r="Y246" s="24"/>
      <c r="Z246" s="24"/>
      <c r="AA246" s="24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4"/>
      <c r="X247" s="24"/>
      <c r="Y247" s="24"/>
      <c r="Z247" s="24"/>
      <c r="AA247" s="24"/>
      <c r="AH247" s="5"/>
      <c r="AI247" s="5"/>
      <c r="AO247" s="5"/>
    </row>
    <row r="248" spans="10:41" x14ac:dyDescent="0.3">
      <c r="J248" s="24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4"/>
      <c r="X248" s="24"/>
      <c r="Y248" s="24"/>
      <c r="Z248" s="24"/>
      <c r="AA248" s="24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4"/>
      <c r="X249" s="24"/>
      <c r="Y249" s="24"/>
      <c r="Z249" s="24"/>
      <c r="AA249" s="24"/>
      <c r="AH249" s="5"/>
      <c r="AI249" s="5"/>
      <c r="AO249" s="5"/>
    </row>
    <row r="250" spans="10:41" x14ac:dyDescent="0.3">
      <c r="J250" s="24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4"/>
      <c r="X250" s="24"/>
      <c r="Y250" s="24"/>
      <c r="Z250" s="24"/>
      <c r="AA250" s="24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4"/>
      <c r="X251" s="24"/>
      <c r="Y251" s="24"/>
      <c r="Z251" s="24"/>
      <c r="AA251" s="24"/>
      <c r="AH251" s="5"/>
      <c r="AI251" s="5"/>
      <c r="AO251" s="5"/>
    </row>
    <row r="252" spans="10:41" x14ac:dyDescent="0.3">
      <c r="J252" s="24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4"/>
      <c r="X252" s="24"/>
      <c r="Y252" s="24"/>
      <c r="Z252" s="24"/>
      <c r="AA252" s="24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4"/>
      <c r="X253" s="24"/>
      <c r="Y253" s="24"/>
      <c r="Z253" s="24"/>
      <c r="AA253" s="24"/>
      <c r="AH253" s="5"/>
      <c r="AI253" s="5"/>
      <c r="AO253" s="5"/>
    </row>
    <row r="254" spans="10:41" x14ac:dyDescent="0.3">
      <c r="J254" s="24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4"/>
      <c r="X254" s="24"/>
      <c r="Y254" s="24"/>
      <c r="Z254" s="24"/>
      <c r="AA254" s="24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4"/>
      <c r="X255" s="24"/>
      <c r="Y255" s="24"/>
      <c r="Z255" s="24"/>
      <c r="AA255" s="24"/>
      <c r="AH255" s="5"/>
      <c r="AI255" s="5"/>
      <c r="AO255" s="5"/>
    </row>
    <row r="256" spans="10:41" x14ac:dyDescent="0.3">
      <c r="J256" s="24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4"/>
      <c r="X256" s="24"/>
      <c r="Y256" s="24"/>
      <c r="Z256" s="24"/>
      <c r="AA256" s="24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4"/>
      <c r="X257" s="24"/>
      <c r="Y257" s="24"/>
      <c r="Z257" s="24"/>
      <c r="AA257" s="24"/>
      <c r="AH257" s="5"/>
      <c r="AI257" s="5"/>
      <c r="AO257" s="5"/>
    </row>
    <row r="258" spans="10:41" x14ac:dyDescent="0.3">
      <c r="J258" s="24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4"/>
      <c r="X258" s="24"/>
      <c r="Y258" s="24"/>
      <c r="Z258" s="24"/>
      <c r="AA258" s="24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4"/>
      <c r="X259" s="24"/>
      <c r="Y259" s="24"/>
      <c r="Z259" s="24"/>
      <c r="AA259" s="24"/>
      <c r="AH259" s="5"/>
      <c r="AI259" s="5"/>
      <c r="AO259" s="5"/>
    </row>
    <row r="260" spans="10:41" x14ac:dyDescent="0.3">
      <c r="J260" s="24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4"/>
      <c r="X260" s="24"/>
      <c r="Y260" s="24"/>
      <c r="Z260" s="24"/>
      <c r="AA260" s="24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4"/>
      <c r="X261" s="24"/>
      <c r="Y261" s="24"/>
      <c r="Z261" s="24"/>
      <c r="AA261" s="24"/>
      <c r="AH261" s="5"/>
      <c r="AI261" s="5"/>
      <c r="AO261" s="5"/>
    </row>
    <row r="262" spans="10:41" x14ac:dyDescent="0.3">
      <c r="J262" s="24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4"/>
      <c r="X262" s="24"/>
      <c r="Y262" s="24"/>
      <c r="Z262" s="24"/>
      <c r="AA262" s="24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4"/>
      <c r="X263" s="24"/>
      <c r="Y263" s="24"/>
      <c r="Z263" s="24"/>
      <c r="AA263" s="24"/>
      <c r="AH263" s="5"/>
      <c r="AI263" s="5"/>
      <c r="AO263" s="5"/>
    </row>
    <row r="264" spans="10:41" x14ac:dyDescent="0.3">
      <c r="J264" s="24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4"/>
      <c r="X264" s="24"/>
      <c r="Y264" s="24"/>
      <c r="Z264" s="24"/>
      <c r="AA264" s="24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4"/>
      <c r="X265" s="24"/>
      <c r="Y265" s="24"/>
      <c r="Z265" s="24"/>
      <c r="AA265" s="24"/>
      <c r="AH265" s="5"/>
      <c r="AI265" s="5"/>
      <c r="AO265" s="5"/>
    </row>
    <row r="266" spans="10:41" x14ac:dyDescent="0.3">
      <c r="J266" s="24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4"/>
      <c r="X266" s="24"/>
      <c r="Y266" s="24"/>
      <c r="Z266" s="24"/>
      <c r="AA266" s="24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4"/>
      <c r="X267" s="24"/>
      <c r="Y267" s="24"/>
      <c r="Z267" s="24"/>
      <c r="AA267" s="24"/>
      <c r="AH267" s="5"/>
      <c r="AI267" s="5"/>
      <c r="AO267" s="5"/>
    </row>
    <row r="268" spans="10:41" x14ac:dyDescent="0.3">
      <c r="J268" s="24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4"/>
      <c r="X268" s="24"/>
      <c r="Y268" s="24"/>
      <c r="Z268" s="24"/>
      <c r="AA268" s="24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4"/>
      <c r="X269" s="24"/>
      <c r="Y269" s="24"/>
      <c r="Z269" s="24"/>
      <c r="AA269" s="24"/>
      <c r="AH269" s="5"/>
      <c r="AI269" s="5"/>
      <c r="AO269" s="5"/>
    </row>
    <row r="270" spans="10:41" x14ac:dyDescent="0.3">
      <c r="J270" s="24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4"/>
      <c r="X270" s="24"/>
      <c r="Y270" s="24"/>
      <c r="Z270" s="24"/>
      <c r="AA270" s="24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4"/>
      <c r="X271" s="24"/>
      <c r="Y271" s="24"/>
      <c r="Z271" s="24"/>
      <c r="AA271" s="24"/>
      <c r="AH271" s="5"/>
      <c r="AI271" s="5"/>
      <c r="AO271" s="5"/>
    </row>
    <row r="272" spans="10:41" x14ac:dyDescent="0.3">
      <c r="J272" s="24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4"/>
      <c r="X272" s="24"/>
      <c r="Y272" s="24"/>
      <c r="Z272" s="24"/>
      <c r="AA272" s="24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4"/>
      <c r="X273" s="24"/>
      <c r="Y273" s="24"/>
      <c r="Z273" s="24"/>
      <c r="AA273" s="24"/>
      <c r="AH273" s="5"/>
      <c r="AI273" s="5"/>
      <c r="AO273" s="5"/>
    </row>
    <row r="274" spans="10:41" x14ac:dyDescent="0.3">
      <c r="J274" s="24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4"/>
      <c r="X274" s="24"/>
      <c r="Y274" s="24"/>
      <c r="Z274" s="24"/>
      <c r="AA274" s="24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4"/>
      <c r="X275" s="24"/>
      <c r="Y275" s="24"/>
      <c r="Z275" s="24"/>
      <c r="AA275" s="24"/>
      <c r="AH275" s="5"/>
      <c r="AI275" s="5"/>
      <c r="AO275" s="5"/>
    </row>
    <row r="276" spans="10:41" x14ac:dyDescent="0.3">
      <c r="J276" s="24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4"/>
      <c r="X276" s="24"/>
      <c r="Y276" s="24"/>
      <c r="Z276" s="24"/>
      <c r="AA276" s="24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4"/>
      <c r="X277" s="24"/>
      <c r="Y277" s="24"/>
      <c r="Z277" s="24"/>
      <c r="AA277" s="24"/>
      <c r="AH277" s="5"/>
      <c r="AI277" s="5"/>
      <c r="AO277" s="5"/>
    </row>
    <row r="278" spans="10:41" x14ac:dyDescent="0.3">
      <c r="J278" s="24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4"/>
      <c r="X278" s="24"/>
      <c r="Y278" s="24"/>
      <c r="Z278" s="24"/>
      <c r="AA278" s="24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4"/>
      <c r="X279" s="24"/>
      <c r="Y279" s="24"/>
      <c r="Z279" s="24"/>
      <c r="AA279" s="24"/>
      <c r="AH279" s="5"/>
      <c r="AI279" s="5"/>
      <c r="AO279" s="5"/>
    </row>
    <row r="280" spans="10:41" x14ac:dyDescent="0.3">
      <c r="J280" s="24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4"/>
      <c r="X280" s="24"/>
      <c r="Y280" s="24"/>
      <c r="Z280" s="24"/>
      <c r="AA280" s="24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4"/>
      <c r="X281" s="24"/>
      <c r="Y281" s="24"/>
      <c r="Z281" s="24"/>
      <c r="AA281" s="24"/>
      <c r="AH281" s="5"/>
      <c r="AI281" s="5"/>
      <c r="AO281" s="5"/>
    </row>
    <row r="282" spans="10:41" x14ac:dyDescent="0.3">
      <c r="J282" s="24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4"/>
      <c r="X282" s="24"/>
      <c r="Y282" s="24"/>
      <c r="Z282" s="24"/>
      <c r="AA282" s="24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4"/>
      <c r="X283" s="24"/>
      <c r="Y283" s="24"/>
      <c r="Z283" s="24"/>
      <c r="AA283" s="24"/>
      <c r="AH283" s="5"/>
      <c r="AI283" s="5"/>
      <c r="AO283" s="5"/>
    </row>
    <row r="284" spans="10:41" x14ac:dyDescent="0.3">
      <c r="J284" s="24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4"/>
      <c r="X284" s="24"/>
      <c r="Y284" s="24"/>
      <c r="Z284" s="24"/>
      <c r="AA284" s="24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4"/>
      <c r="X285" s="24"/>
      <c r="Y285" s="24"/>
      <c r="Z285" s="24"/>
      <c r="AA285" s="24"/>
      <c r="AH285" s="5"/>
      <c r="AI285" s="5"/>
      <c r="AO285" s="5"/>
    </row>
    <row r="286" spans="10:41" x14ac:dyDescent="0.3">
      <c r="J286" s="24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4"/>
      <c r="X286" s="24"/>
      <c r="Y286" s="24"/>
      <c r="Z286" s="24"/>
      <c r="AA286" s="24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4"/>
      <c r="X287" s="24"/>
      <c r="Y287" s="24"/>
      <c r="Z287" s="24"/>
      <c r="AA287" s="24"/>
      <c r="AH287" s="5"/>
      <c r="AI287" s="5"/>
      <c r="AO287" s="5"/>
    </row>
    <row r="288" spans="10:41" x14ac:dyDescent="0.3">
      <c r="J288" s="24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4"/>
      <c r="X288" s="24"/>
      <c r="Y288" s="24"/>
      <c r="Z288" s="24"/>
      <c r="AA288" s="24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4"/>
      <c r="X289" s="24"/>
      <c r="Y289" s="24"/>
      <c r="Z289" s="24"/>
      <c r="AA289" s="24"/>
      <c r="AH289" s="5"/>
      <c r="AI289" s="5"/>
      <c r="AO289" s="5"/>
    </row>
    <row r="290" spans="10:41" x14ac:dyDescent="0.3">
      <c r="J290" s="24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4"/>
      <c r="X290" s="24"/>
      <c r="Y290" s="24"/>
      <c r="Z290" s="24"/>
      <c r="AA290" s="24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4"/>
      <c r="X291" s="24"/>
      <c r="Y291" s="24"/>
      <c r="Z291" s="24"/>
      <c r="AA291" s="24"/>
      <c r="AH291" s="5"/>
      <c r="AI291" s="5"/>
      <c r="AO291" s="5"/>
    </row>
    <row r="292" spans="10:41" x14ac:dyDescent="0.3">
      <c r="J292" s="24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4"/>
      <c r="X292" s="24"/>
      <c r="Y292" s="24"/>
      <c r="Z292" s="24"/>
      <c r="AA292" s="24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4"/>
      <c r="X293" s="24"/>
      <c r="Y293" s="24"/>
      <c r="Z293" s="24"/>
      <c r="AA293" s="24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4"/>
      <c r="X294" s="24"/>
      <c r="Y294" s="24"/>
      <c r="Z294" s="24"/>
      <c r="AA294" s="24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4"/>
      <c r="X295" s="24"/>
      <c r="Y295" s="24"/>
      <c r="Z295" s="24"/>
      <c r="AA295" s="24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4"/>
      <c r="X296" s="24"/>
      <c r="Y296" s="24"/>
      <c r="Z296" s="24"/>
      <c r="AA296" s="24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4"/>
      <c r="X297" s="24"/>
      <c r="Y297" s="24"/>
      <c r="Z297" s="24"/>
      <c r="AA297" s="24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4"/>
      <c r="X298" s="24"/>
      <c r="Y298" s="24"/>
      <c r="Z298" s="24"/>
      <c r="AA298" s="24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4"/>
      <c r="X299" s="24"/>
      <c r="Y299" s="24"/>
      <c r="Z299" s="24"/>
      <c r="AA299" s="24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4"/>
      <c r="X300" s="24"/>
      <c r="Y300" s="24"/>
      <c r="Z300" s="24"/>
      <c r="AA300" s="24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4"/>
      <c r="X301" s="24"/>
      <c r="Y301" s="24"/>
      <c r="Z301" s="24"/>
      <c r="AA301" s="24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4"/>
      <c r="X302" s="24"/>
      <c r="Y302" s="24"/>
      <c r="Z302" s="24"/>
      <c r="AA302" s="24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4"/>
      <c r="X303" s="24"/>
      <c r="Y303" s="24"/>
      <c r="Z303" s="24"/>
      <c r="AA303" s="24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4"/>
      <c r="X304" s="24"/>
      <c r="Y304" s="24"/>
      <c r="Z304" s="24"/>
      <c r="AA304" s="24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17" priority="23">
      <formula>_xlfn.LET(_xlpm.x, W4, AND(NOT(_xlfn.ISFORMULA(_xlpm.x)), _xlpm.x&lt;&gt;""))</formula>
    </cfRule>
  </conditionalFormatting>
  <conditionalFormatting sqref="W4:AA203">
    <cfRule type="expression" dxfId="16" priority="18">
      <formula>_xlfn.LET(_xlpm.x, W4, AND(NOT(_xlfn.ISFORMULA(_xlpm.x)), _xlpm.x&lt;&gt;""))</formula>
    </cfRule>
  </conditionalFormatting>
  <conditionalFormatting sqref="K1:O1048576">
    <cfRule type="cellIs" dxfId="15" priority="14" operator="equal">
      <formula>"C1"</formula>
    </cfRule>
    <cfRule type="cellIs" dxfId="14" priority="15" operator="between">
      <formula>"G1"</formula>
      <formula>"G5"</formula>
    </cfRule>
    <cfRule type="cellIs" dxfId="13" priority="16" operator="between">
      <formula>"GA"</formula>
      <formula>"GJ"</formula>
    </cfRule>
    <cfRule type="cellIs" dxfId="12" priority="17" operator="between">
      <formula>"M1"</formula>
      <formula>"M5"</formula>
    </cfRule>
  </conditionalFormatting>
  <conditionalFormatting sqref="C31:G46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{DC113E94-03B3-4E2C-BB4D-AC1094BBD6AD}</x14:id>
        </ext>
      </extLst>
    </cfRule>
  </conditionalFormatting>
  <conditionalFormatting sqref="D52:D54">
    <cfRule type="cellIs" dxfId="11" priority="9" operator="equal">
      <formula>"C1"</formula>
    </cfRule>
    <cfRule type="cellIs" dxfId="10" priority="10" operator="between">
      <formula>"G1"</formula>
      <formula>"G4"</formula>
    </cfRule>
    <cfRule type="cellIs" dxfId="9" priority="11" operator="between">
      <formula>"GA"</formula>
      <formula>"GQ"</formula>
    </cfRule>
    <cfRule type="cellIs" dxfId="8" priority="12" operator="between">
      <formula>"M1"</formula>
      <formula>"M4"</formula>
    </cfRule>
  </conditionalFormatting>
  <conditionalFormatting sqref="E52:E54">
    <cfRule type="cellIs" dxfId="7" priority="5" operator="equal">
      <formula>"C1"</formula>
    </cfRule>
    <cfRule type="cellIs" dxfId="6" priority="6" operator="between">
      <formula>"G1"</formula>
      <formula>"G4"</formula>
    </cfRule>
    <cfRule type="cellIs" dxfId="5" priority="7" operator="between">
      <formula>"GA"</formula>
      <formula>"GQ"</formula>
    </cfRule>
    <cfRule type="cellIs" dxfId="4" priority="8" operator="between">
      <formula>"M1"</formula>
      <formula>"M4"</formula>
    </cfRule>
  </conditionalFormatting>
  <conditionalFormatting sqref="F52:F54">
    <cfRule type="cellIs" dxfId="3" priority="1" operator="equal">
      <formula>"C1"</formula>
    </cfRule>
    <cfRule type="cellIs" dxfId="2" priority="2" operator="between">
      <formula>"G1"</formula>
      <formula>"G4"</formula>
    </cfRule>
    <cfRule type="cellIs" dxfId="1" priority="3" operator="between">
      <formula>"GA"</formula>
      <formula>"GQ"</formula>
    </cfRule>
    <cfRule type="cellIs" dxfId="0" priority="4" operator="between">
      <formula>"M1"</formula>
      <formula>"M4"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113E94-03B3-4E2C-BB4D-AC1094BBD6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C31:G46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Overview</vt:lpstr>
      <vt:lpstr>Parameter</vt:lpstr>
      <vt:lpstr>Multiplier_Weight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2026-06-02T02:42:05Z</dcterms:modified>
</cp:coreProperties>
</file>