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BFA55575-3C09-4578-A06A-B839B4C7F82D}" xr6:coauthVersionLast="47" xr6:coauthVersionMax="47" xr10:uidLastSave="{00000000-0000-0000-0000-000000000000}"/>
  <bookViews>
    <workbookView xWindow="-28920" yWindow="60" windowWidth="29040" windowHeight="15720" tabRatio="838" xr2:uid="{1F657826-20EF-4BCD-86F4-4401B2A41BA0}"/>
  </bookViews>
  <sheets>
    <sheet name="Overview" sheetId="4" r:id="rId1"/>
    <sheet name="Description" sheetId="55" r:id="rId2"/>
    <sheet name="Parameter" sheetId="30" r:id="rId3"/>
    <sheet name="工作表1" sheetId="75" state="hidden" r:id="rId4"/>
    <sheet name="Multiplier_Weight" sheetId="76" r:id="rId5"/>
    <sheet name="Multiplier_Weight_Newbie" sheetId="67" state="hidden" r:id="rId6"/>
    <sheet name="Multiplier_Weight_Oldhand" sheetId="48" state="hidden" r:id="rId7"/>
    <sheet name="OP Jackpot" sheetId="53" r:id="rId8"/>
    <sheet name="BG_Symbol" sheetId="13" r:id="rId9"/>
    <sheet name="BG_Symbol (2)" sheetId="68" r:id="rId10"/>
    <sheet name="BG_Symbol (3)" sheetId="74" r:id="rId11"/>
    <sheet name="FG_Symbol" sheetId="69" r:id="rId12"/>
    <sheet name="FG_Symbol (2)" sheetId="70" r:id="rId13"/>
    <sheet name="FG_Symbol (3)" sheetId="71" r:id="rId14"/>
    <sheet name="BF_Symbol" sheetId="7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03" i="72" l="1" a="1"/>
  <c r="Y203" i="72" s="1"/>
  <c r="X203" i="72" a="1"/>
  <c r="X203" i="72" s="1"/>
  <c r="W203" i="72" a="1"/>
  <c r="W203" i="72" s="1"/>
  <c r="Y202" i="72" a="1"/>
  <c r="Y202" i="72" s="1"/>
  <c r="X202" i="72"/>
  <c r="X202" i="72" a="1"/>
  <c r="W202" i="72" a="1"/>
  <c r="W202" i="72" s="1"/>
  <c r="Y201" i="72" a="1"/>
  <c r="Y201" i="72" s="1"/>
  <c r="X201" i="72"/>
  <c r="X201" i="72" a="1"/>
  <c r="W201" i="72" a="1"/>
  <c r="W201" i="72" s="1"/>
  <c r="Y200" i="72" a="1"/>
  <c r="Y200" i="72" s="1"/>
  <c r="X200" i="72" a="1"/>
  <c r="X200" i="72" s="1"/>
  <c r="W200" i="72" a="1"/>
  <c r="W200" i="72" s="1"/>
  <c r="Y199" i="72" a="1"/>
  <c r="Y199" i="72" s="1"/>
  <c r="X199" i="72" a="1"/>
  <c r="X199" i="72" s="1"/>
  <c r="W199" i="72"/>
  <c r="W199" i="72" a="1"/>
  <c r="Y198" i="72" a="1"/>
  <c r="Y198" i="72" s="1"/>
  <c r="X198" i="72" a="1"/>
  <c r="X198" i="72" s="1"/>
  <c r="W198" i="72" a="1"/>
  <c r="W198" i="72" s="1"/>
  <c r="Y197" i="72" a="1"/>
  <c r="Y197" i="72" s="1"/>
  <c r="X197" i="72" a="1"/>
  <c r="X197" i="72" s="1"/>
  <c r="W197" i="72" a="1"/>
  <c r="W197" i="72" s="1"/>
  <c r="Y196" i="72" a="1"/>
  <c r="Y196" i="72" s="1"/>
  <c r="X196" i="72" a="1"/>
  <c r="X196" i="72" s="1"/>
  <c r="W196" i="72" a="1"/>
  <c r="W196" i="72" s="1"/>
  <c r="Y195" i="72"/>
  <c r="Y195" i="72" a="1"/>
  <c r="X195" i="72" a="1"/>
  <c r="X195" i="72" s="1"/>
  <c r="W195" i="72" a="1"/>
  <c r="W195" i="72" s="1"/>
  <c r="Y194" i="72" a="1"/>
  <c r="Y194" i="72" s="1"/>
  <c r="X194" i="72" a="1"/>
  <c r="X194" i="72" s="1"/>
  <c r="W194" i="72" a="1"/>
  <c r="W194" i="72" s="1"/>
  <c r="Y193" i="72" a="1"/>
  <c r="Y193" i="72" s="1"/>
  <c r="X193" i="72" a="1"/>
  <c r="X193" i="72" s="1"/>
  <c r="W193" i="72" a="1"/>
  <c r="W193" i="72" s="1"/>
  <c r="Y192" i="72" a="1"/>
  <c r="Y192" i="72" s="1"/>
  <c r="X192" i="72"/>
  <c r="X192" i="72" a="1"/>
  <c r="W192" i="72" a="1"/>
  <c r="W192" i="72" s="1"/>
  <c r="Y191" i="72" a="1"/>
  <c r="Y191" i="72" s="1"/>
  <c r="X191" i="72" a="1"/>
  <c r="X191" i="72" s="1"/>
  <c r="W191" i="72" a="1"/>
  <c r="W191" i="72" s="1"/>
  <c r="Y190" i="72" a="1"/>
  <c r="Y190" i="72" s="1"/>
  <c r="X190" i="72" a="1"/>
  <c r="X190" i="72" s="1"/>
  <c r="W190" i="72" a="1"/>
  <c r="W190" i="72" s="1"/>
  <c r="Y189" i="72" a="1"/>
  <c r="Y189" i="72" s="1"/>
  <c r="X189" i="72" a="1"/>
  <c r="X189" i="72" s="1"/>
  <c r="W189" i="72"/>
  <c r="W189" i="72" a="1"/>
  <c r="Y188" i="72" a="1"/>
  <c r="Y188" i="72" s="1"/>
  <c r="X188" i="72" a="1"/>
  <c r="X188" i="72" s="1"/>
  <c r="W188" i="72" a="1"/>
  <c r="W188" i="72" s="1"/>
  <c r="Y187" i="72"/>
  <c r="Y187" i="72" a="1"/>
  <c r="X187" i="72"/>
  <c r="X187" i="72" a="1"/>
  <c r="W187" i="72" a="1"/>
  <c r="W187" i="72" s="1"/>
  <c r="Y186" i="72" a="1"/>
  <c r="Y186" i="72" s="1"/>
  <c r="X186" i="72" a="1"/>
  <c r="X186" i="72" s="1"/>
  <c r="W186" i="72" a="1"/>
  <c r="W186" i="72" s="1"/>
  <c r="Y185" i="72"/>
  <c r="Y185" i="72" a="1"/>
  <c r="X185" i="72" a="1"/>
  <c r="X185" i="72" s="1"/>
  <c r="W185" i="72" a="1"/>
  <c r="W185" i="72" s="1"/>
  <c r="Y184" i="72" a="1"/>
  <c r="Y184" i="72" s="1"/>
  <c r="X184" i="72" a="1"/>
  <c r="X184" i="72" s="1"/>
  <c r="W184" i="72" a="1"/>
  <c r="W184" i="72" s="1"/>
  <c r="Y183" i="72" a="1"/>
  <c r="Y183" i="72" s="1"/>
  <c r="X183" i="72" a="1"/>
  <c r="X183" i="72" s="1"/>
  <c r="W183" i="72" a="1"/>
  <c r="W183" i="72" s="1"/>
  <c r="Y182" i="72" a="1"/>
  <c r="Y182" i="72" s="1"/>
  <c r="X182" i="72"/>
  <c r="X182" i="72" a="1"/>
  <c r="W182" i="72" a="1"/>
  <c r="W182" i="72" s="1"/>
  <c r="Y181" i="72" a="1"/>
  <c r="Y181" i="72" s="1"/>
  <c r="X181" i="72" a="1"/>
  <c r="X181" i="72" s="1"/>
  <c r="W181" i="72" a="1"/>
  <c r="W181" i="72" s="1"/>
  <c r="Y180" i="72" a="1"/>
  <c r="Y180" i="72" s="1"/>
  <c r="X180" i="72" a="1"/>
  <c r="X180" i="72" s="1"/>
  <c r="W180" i="72" a="1"/>
  <c r="W180" i="72" s="1"/>
  <c r="Y179" i="72" a="1"/>
  <c r="Y179" i="72" s="1"/>
  <c r="X179" i="72" a="1"/>
  <c r="X179" i="72" s="1"/>
  <c r="W179" i="72" a="1"/>
  <c r="W179" i="72" s="1"/>
  <c r="Y178" i="72" a="1"/>
  <c r="Y178" i="72" s="1"/>
  <c r="X178" i="72" a="1"/>
  <c r="X178" i="72" s="1"/>
  <c r="W178" i="72" a="1"/>
  <c r="W178" i="72" s="1"/>
  <c r="Y177" i="72"/>
  <c r="Y177" i="72" a="1"/>
  <c r="X177" i="72" a="1"/>
  <c r="X177" i="72" s="1"/>
  <c r="W177" i="72" a="1"/>
  <c r="W177" i="72" s="1"/>
  <c r="Y176" i="72" a="1"/>
  <c r="Y176" i="72" s="1"/>
  <c r="X176" i="72" a="1"/>
  <c r="X176" i="72" s="1"/>
  <c r="W176" i="72" a="1"/>
  <c r="W176" i="72" s="1"/>
  <c r="Y175" i="72"/>
  <c r="Y175" i="72" a="1"/>
  <c r="X175" i="72" a="1"/>
  <c r="X175" i="72" s="1"/>
  <c r="W175" i="72" a="1"/>
  <c r="W175" i="72" s="1"/>
  <c r="Y174" i="72" a="1"/>
  <c r="Y174" i="72" s="1"/>
  <c r="X174" i="72" a="1"/>
  <c r="X174" i="72" s="1"/>
  <c r="W174" i="72" a="1"/>
  <c r="W174" i="72" s="1"/>
  <c r="Y173" i="72" a="1"/>
  <c r="Y173" i="72" s="1"/>
  <c r="X173" i="72" a="1"/>
  <c r="X173" i="72" s="1"/>
  <c r="W173" i="72" a="1"/>
  <c r="W173" i="72" s="1"/>
  <c r="Y172" i="72" a="1"/>
  <c r="Y172" i="72" s="1"/>
  <c r="X172" i="72"/>
  <c r="X172" i="72" a="1"/>
  <c r="W172" i="72" a="1"/>
  <c r="W172" i="72" s="1"/>
  <c r="Y171" i="72" a="1"/>
  <c r="Y171" i="72" s="1"/>
  <c r="X171" i="72" a="1"/>
  <c r="X171" i="72" s="1"/>
  <c r="W171" i="72" a="1"/>
  <c r="W171" i="72" s="1"/>
  <c r="Y170" i="72" a="1"/>
  <c r="Y170" i="72" s="1"/>
  <c r="X170" i="72" a="1"/>
  <c r="X170" i="72" s="1"/>
  <c r="W170" i="72" a="1"/>
  <c r="W170" i="72" s="1"/>
  <c r="Y169" i="72" a="1"/>
  <c r="Y169" i="72" s="1"/>
  <c r="X169" i="72"/>
  <c r="X169" i="72" a="1"/>
  <c r="W169" i="72"/>
  <c r="W169" i="72" a="1"/>
  <c r="Y168" i="72" a="1"/>
  <c r="Y168" i="72" s="1"/>
  <c r="X168" i="72" a="1"/>
  <c r="X168" i="72" s="1"/>
  <c r="W168" i="72" a="1"/>
  <c r="W168" i="72" s="1"/>
  <c r="Y167" i="72" a="1"/>
  <c r="Y167" i="72" s="1"/>
  <c r="X167" i="72" a="1"/>
  <c r="X167" i="72" s="1"/>
  <c r="W167" i="72" a="1"/>
  <c r="W167" i="72" s="1"/>
  <c r="Y166" i="72" a="1"/>
  <c r="Y166" i="72" s="1"/>
  <c r="X166" i="72" a="1"/>
  <c r="X166" i="72" s="1"/>
  <c r="W166" i="72" a="1"/>
  <c r="W166" i="72" s="1"/>
  <c r="Y165" i="72"/>
  <c r="Y165" i="72" a="1"/>
  <c r="X165" i="72" a="1"/>
  <c r="X165" i="72" s="1"/>
  <c r="W165" i="72" a="1"/>
  <c r="W165" i="72" s="1"/>
  <c r="Y164" i="72" a="1"/>
  <c r="Y164" i="72" s="1"/>
  <c r="X164" i="72"/>
  <c r="X164" i="72" a="1"/>
  <c r="W164" i="72"/>
  <c r="W164" i="72" a="1"/>
  <c r="Y163" i="72" a="1"/>
  <c r="Y163" i="72" s="1"/>
  <c r="X163" i="72" a="1"/>
  <c r="X163" i="72" s="1"/>
  <c r="W163" i="72" a="1"/>
  <c r="W163" i="72" s="1"/>
  <c r="Y162" i="72" a="1"/>
  <c r="Y162" i="72" s="1"/>
  <c r="X162" i="72"/>
  <c r="X162" i="72" a="1"/>
  <c r="W162" i="72" a="1"/>
  <c r="W162" i="72" s="1"/>
  <c r="Y161" i="72" a="1"/>
  <c r="Y161" i="72" s="1"/>
  <c r="X161" i="72"/>
  <c r="X161" i="72" a="1"/>
  <c r="W161" i="72" a="1"/>
  <c r="W161" i="72" s="1"/>
  <c r="Y160" i="72" a="1"/>
  <c r="Y160" i="72" s="1"/>
  <c r="X160" i="72" a="1"/>
  <c r="X160" i="72" s="1"/>
  <c r="W160" i="72" a="1"/>
  <c r="W160" i="72" s="1"/>
  <c r="Y159" i="72" a="1"/>
  <c r="Y159" i="72" s="1"/>
  <c r="X159" i="72"/>
  <c r="X159" i="72" a="1"/>
  <c r="W159" i="72"/>
  <c r="W159" i="72" a="1"/>
  <c r="Y158" i="72" a="1"/>
  <c r="Y158" i="72" s="1"/>
  <c r="X158" i="72" a="1"/>
  <c r="X158" i="72" s="1"/>
  <c r="W158" i="72" a="1"/>
  <c r="W158" i="72" s="1"/>
  <c r="Y157" i="72" a="1"/>
  <c r="Y157" i="72" s="1"/>
  <c r="X157" i="72" a="1"/>
  <c r="X157" i="72" s="1"/>
  <c r="W157" i="72" a="1"/>
  <c r="W157" i="72" s="1"/>
  <c r="Y156" i="72" a="1"/>
  <c r="Y156" i="72" s="1"/>
  <c r="X156" i="72" a="1"/>
  <c r="X156" i="72" s="1"/>
  <c r="W156" i="72" a="1"/>
  <c r="W156" i="72" s="1"/>
  <c r="Y155" i="72"/>
  <c r="Y155" i="72" a="1"/>
  <c r="X155" i="72" a="1"/>
  <c r="X155" i="72" s="1"/>
  <c r="W155" i="72" a="1"/>
  <c r="W155" i="72" s="1"/>
  <c r="Y154" i="72" a="1"/>
  <c r="Y154" i="72" s="1"/>
  <c r="X154" i="72" a="1"/>
  <c r="X154" i="72" s="1"/>
  <c r="W154" i="72" a="1"/>
  <c r="W154" i="72" s="1"/>
  <c r="Y153" i="72" a="1"/>
  <c r="Y153" i="72" s="1"/>
  <c r="X153" i="72" a="1"/>
  <c r="X153" i="72" s="1"/>
  <c r="W153" i="72" a="1"/>
  <c r="W153" i="72" s="1"/>
  <c r="Y152" i="72" a="1"/>
  <c r="Y152" i="72" s="1"/>
  <c r="X152" i="72"/>
  <c r="X152" i="72" a="1"/>
  <c r="W152" i="72" a="1"/>
  <c r="W152" i="72" s="1"/>
  <c r="Y151" i="72" a="1"/>
  <c r="Y151" i="72" s="1"/>
  <c r="X151" i="72" a="1"/>
  <c r="X151" i="72" s="1"/>
  <c r="W151" i="72" a="1"/>
  <c r="W151" i="72" s="1"/>
  <c r="Y150" i="72"/>
  <c r="Y150" i="72" a="1"/>
  <c r="X150" i="72" a="1"/>
  <c r="X150" i="72" s="1"/>
  <c r="W150" i="72" a="1"/>
  <c r="W150" i="72" s="1"/>
  <c r="Y149" i="72" a="1"/>
  <c r="Y149" i="72" s="1"/>
  <c r="X149" i="72" a="1"/>
  <c r="X149" i="72" s="1"/>
  <c r="W149" i="72"/>
  <c r="W149" i="72" a="1"/>
  <c r="Y148" i="72" a="1"/>
  <c r="Y148" i="72" s="1"/>
  <c r="X148" i="72" a="1"/>
  <c r="X148" i="72" s="1"/>
  <c r="W148" i="72"/>
  <c r="W148" i="72" a="1"/>
  <c r="Y147" i="72" a="1"/>
  <c r="Y147" i="72" s="1"/>
  <c r="X147" i="72" a="1"/>
  <c r="X147" i="72" s="1"/>
  <c r="W147" i="72" a="1"/>
  <c r="W147" i="72" s="1"/>
  <c r="Y146" i="72" a="1"/>
  <c r="Y146" i="72" s="1"/>
  <c r="X146" i="72" a="1"/>
  <c r="X146" i="72" s="1"/>
  <c r="W146" i="72"/>
  <c r="W146" i="72" a="1"/>
  <c r="Y145" i="72"/>
  <c r="Y145" i="72" a="1"/>
  <c r="X145" i="72" a="1"/>
  <c r="X145" i="72" s="1"/>
  <c r="W145" i="72" a="1"/>
  <c r="W145" i="72" s="1"/>
  <c r="Y144" i="72" a="1"/>
  <c r="Y144" i="72" s="1"/>
  <c r="X144" i="72" a="1"/>
  <c r="X144" i="72" s="1"/>
  <c r="W144" i="72" a="1"/>
  <c r="W144" i="72" s="1"/>
  <c r="Y143" i="72" a="1"/>
  <c r="Y143" i="72" s="1"/>
  <c r="X143" i="72" a="1"/>
  <c r="X143" i="72" s="1"/>
  <c r="W143" i="72" a="1"/>
  <c r="W143" i="72" s="1"/>
  <c r="Y142" i="72" a="1"/>
  <c r="Y142" i="72" s="1"/>
  <c r="X142" i="72"/>
  <c r="X142" i="72" a="1"/>
  <c r="W142" i="72" a="1"/>
  <c r="W142" i="72" s="1"/>
  <c r="Y141" i="72" a="1"/>
  <c r="Y141" i="72" s="1"/>
  <c r="X141" i="72" a="1"/>
  <c r="X141" i="72" s="1"/>
  <c r="W141" i="72" a="1"/>
  <c r="W141" i="72" s="1"/>
  <c r="Y140" i="72" a="1"/>
  <c r="Y140" i="72" s="1"/>
  <c r="X140" i="72" a="1"/>
  <c r="X140" i="72" s="1"/>
  <c r="W140" i="72" a="1"/>
  <c r="W140" i="72" s="1"/>
  <c r="Y139" i="72" a="1"/>
  <c r="Y139" i="72" s="1"/>
  <c r="X139" i="72"/>
  <c r="X139" i="72" a="1"/>
  <c r="W139" i="72"/>
  <c r="W139" i="72" a="1"/>
  <c r="Y138" i="72" a="1"/>
  <c r="Y138" i="72" s="1"/>
  <c r="X138" i="72" a="1"/>
  <c r="X138" i="72" s="1"/>
  <c r="W138" i="72" a="1"/>
  <c r="W138" i="72" s="1"/>
  <c r="Y137" i="72" a="1"/>
  <c r="Y137" i="72" s="1"/>
  <c r="X137" i="72"/>
  <c r="X137" i="72" a="1"/>
  <c r="W137" i="72" a="1"/>
  <c r="W137" i="72" s="1"/>
  <c r="Y136" i="72" a="1"/>
  <c r="Y136" i="72" s="1"/>
  <c r="X136" i="72" a="1"/>
  <c r="X136" i="72" s="1"/>
  <c r="W136" i="72" a="1"/>
  <c r="W136" i="72" s="1"/>
  <c r="Y135" i="72"/>
  <c r="Y135" i="72" a="1"/>
  <c r="X135" i="72" a="1"/>
  <c r="X135" i="72" s="1"/>
  <c r="W135" i="72" a="1"/>
  <c r="W135" i="72" s="1"/>
  <c r="Y134" i="72"/>
  <c r="Y134" i="72" a="1"/>
  <c r="X134" i="72" a="1"/>
  <c r="X134" i="72" s="1"/>
  <c r="W134" i="72" a="1"/>
  <c r="W134" i="72" s="1"/>
  <c r="Y133" i="72" a="1"/>
  <c r="Y133" i="72" s="1"/>
  <c r="X133" i="72" a="1"/>
  <c r="X133" i="72" s="1"/>
  <c r="W133" i="72" a="1"/>
  <c r="W133" i="72" s="1"/>
  <c r="Y132" i="72"/>
  <c r="Y132" i="72" a="1"/>
  <c r="X132" i="72"/>
  <c r="X132" i="72" a="1"/>
  <c r="W132" i="72" a="1"/>
  <c r="W132" i="72" s="1"/>
  <c r="Y131" i="72" a="1"/>
  <c r="Y131" i="72" s="1"/>
  <c r="X131" i="72" a="1"/>
  <c r="X131" i="72" s="1"/>
  <c r="W131" i="72" a="1"/>
  <c r="W131" i="72" s="1"/>
  <c r="Y130" i="72" a="1"/>
  <c r="Y130" i="72" s="1"/>
  <c r="X130" i="72" a="1"/>
  <c r="X130" i="72" s="1"/>
  <c r="W130" i="72" a="1"/>
  <c r="W130" i="72" s="1"/>
  <c r="Y129" i="72" a="1"/>
  <c r="Y129" i="72" s="1"/>
  <c r="X129" i="72" a="1"/>
  <c r="X129" i="72" s="1"/>
  <c r="W129" i="72"/>
  <c r="W129" i="72" a="1"/>
  <c r="Y128" i="72" a="1"/>
  <c r="Y128" i="72" s="1"/>
  <c r="X128" i="72" a="1"/>
  <c r="X128" i="72" s="1"/>
  <c r="W128" i="72" a="1"/>
  <c r="W128" i="72" s="1"/>
  <c r="Y127" i="72" a="1"/>
  <c r="Y127" i="72" s="1"/>
  <c r="X127" i="72" a="1"/>
  <c r="X127" i="72" s="1"/>
  <c r="W127" i="72" a="1"/>
  <c r="W127" i="72" s="1"/>
  <c r="Y126" i="72" a="1"/>
  <c r="Y126" i="72" s="1"/>
  <c r="X126" i="72" a="1"/>
  <c r="X126" i="72" s="1"/>
  <c r="W126" i="72" a="1"/>
  <c r="W126" i="72" s="1"/>
  <c r="Y125" i="72"/>
  <c r="Y125" i="72" a="1"/>
  <c r="X125" i="72" a="1"/>
  <c r="X125" i="72" s="1"/>
  <c r="W125" i="72" a="1"/>
  <c r="W125" i="72" s="1"/>
  <c r="Y124" i="72"/>
  <c r="Y124" i="72" a="1"/>
  <c r="X124" i="72" a="1"/>
  <c r="X124" i="72" s="1"/>
  <c r="W124" i="72"/>
  <c r="W124" i="72" a="1"/>
  <c r="Y123" i="72" a="1"/>
  <c r="Y123" i="72" s="1"/>
  <c r="X123" i="72" a="1"/>
  <c r="X123" i="72" s="1"/>
  <c r="W123" i="72" a="1"/>
  <c r="W123" i="72" s="1"/>
  <c r="Y122" i="72" a="1"/>
  <c r="Y122" i="72" s="1"/>
  <c r="X122" i="72"/>
  <c r="X122" i="72" a="1"/>
  <c r="W122" i="72" a="1"/>
  <c r="W122" i="72" s="1"/>
  <c r="Y121" i="72" a="1"/>
  <c r="Y121" i="72" s="1"/>
  <c r="X121" i="72"/>
  <c r="X121" i="72" a="1"/>
  <c r="W121" i="72" a="1"/>
  <c r="W121" i="72" s="1"/>
  <c r="Y120" i="72" a="1"/>
  <c r="Y120" i="72" s="1"/>
  <c r="X120" i="72" a="1"/>
  <c r="X120" i="72" s="1"/>
  <c r="W120" i="72"/>
  <c r="W120" i="72" a="1"/>
  <c r="Y119" i="72" a="1"/>
  <c r="Y119" i="72" s="1"/>
  <c r="X119" i="72" a="1"/>
  <c r="X119" i="72" s="1"/>
  <c r="W119" i="72"/>
  <c r="W119" i="72" a="1"/>
  <c r="Y118" i="72" a="1"/>
  <c r="Y118" i="72" s="1"/>
  <c r="X118" i="72" a="1"/>
  <c r="X118" i="72" s="1"/>
  <c r="W118" i="72" a="1"/>
  <c r="W118" i="72" s="1"/>
  <c r="Y117" i="72" a="1"/>
  <c r="Y117" i="72" s="1"/>
  <c r="X117" i="72"/>
  <c r="X117" i="72" a="1"/>
  <c r="W117" i="72" a="1"/>
  <c r="W117" i="72" s="1"/>
  <c r="Y116" i="72" a="1"/>
  <c r="Y116" i="72" s="1"/>
  <c r="X116" i="72" a="1"/>
  <c r="X116" i="72" s="1"/>
  <c r="W116" i="72" a="1"/>
  <c r="W116" i="72" s="1"/>
  <c r="Y115" i="72"/>
  <c r="Y115" i="72" a="1"/>
  <c r="X115" i="72" a="1"/>
  <c r="X115" i="72" s="1"/>
  <c r="W115" i="72" a="1"/>
  <c r="W115" i="72" s="1"/>
  <c r="Y114" i="72" a="1"/>
  <c r="Y114" i="72" s="1"/>
  <c r="X114" i="72" a="1"/>
  <c r="X114" i="72" s="1"/>
  <c r="W114" i="72" a="1"/>
  <c r="W114" i="72" s="1"/>
  <c r="Y113" i="72" a="1"/>
  <c r="Y113" i="72" s="1"/>
  <c r="X113" i="72" a="1"/>
  <c r="X113" i="72" s="1"/>
  <c r="W113" i="72" a="1"/>
  <c r="W113" i="72" s="1"/>
  <c r="Y112" i="72" a="1"/>
  <c r="Y112" i="72" s="1"/>
  <c r="X112" i="72"/>
  <c r="X112" i="72" a="1"/>
  <c r="W112" i="72" a="1"/>
  <c r="W112" i="72" s="1"/>
  <c r="Y111" i="72" a="1"/>
  <c r="Y111" i="72" s="1"/>
  <c r="X111" i="72" a="1"/>
  <c r="X111" i="72" s="1"/>
  <c r="W111" i="72" a="1"/>
  <c r="W111" i="72" s="1"/>
  <c r="Y110" i="72" a="1"/>
  <c r="Y110" i="72" s="1"/>
  <c r="X110" i="72" a="1"/>
  <c r="X110" i="72" s="1"/>
  <c r="W110" i="72" a="1"/>
  <c r="W110" i="72" s="1"/>
  <c r="Y109" i="72" a="1"/>
  <c r="Y109" i="72" s="1"/>
  <c r="X109" i="72" a="1"/>
  <c r="X109" i="72" s="1"/>
  <c r="W109" i="72"/>
  <c r="W109" i="72" a="1"/>
  <c r="Y108" i="72" a="1"/>
  <c r="Y108" i="72" s="1"/>
  <c r="X108" i="72" a="1"/>
  <c r="X108" i="72" s="1"/>
  <c r="W108" i="72" a="1"/>
  <c r="W108" i="72" s="1"/>
  <c r="Y107" i="72" a="1"/>
  <c r="Y107" i="72" s="1"/>
  <c r="X107" i="72" a="1"/>
  <c r="X107" i="72" s="1"/>
  <c r="W107" i="72" a="1"/>
  <c r="W107" i="72" s="1"/>
  <c r="Y106" i="72" a="1"/>
  <c r="Y106" i="72" s="1"/>
  <c r="X106" i="72" a="1"/>
  <c r="X106" i="72" s="1"/>
  <c r="W106" i="72" a="1"/>
  <c r="W106" i="72" s="1"/>
  <c r="Y105" i="72"/>
  <c r="Y105" i="72" a="1"/>
  <c r="X105" i="72" a="1"/>
  <c r="X105" i="72" s="1"/>
  <c r="W105" i="72" a="1"/>
  <c r="W105" i="72" s="1"/>
  <c r="Y104" i="72"/>
  <c r="Y104" i="72" a="1"/>
  <c r="X104" i="72" a="1"/>
  <c r="X104" i="72" s="1"/>
  <c r="W104" i="72" a="1"/>
  <c r="W104" i="72" s="1"/>
  <c r="Y103" i="72" a="1"/>
  <c r="Y103" i="72" s="1"/>
  <c r="X103" i="72" a="1"/>
  <c r="X103" i="72" s="1"/>
  <c r="W103" i="72" a="1"/>
  <c r="W103" i="72" s="1"/>
  <c r="Y102" i="72" a="1"/>
  <c r="Y102" i="72" s="1"/>
  <c r="X102" i="72"/>
  <c r="X102" i="72" a="1"/>
  <c r="W102" i="72" a="1"/>
  <c r="W102" i="72" s="1"/>
  <c r="Y101" i="72" a="1"/>
  <c r="Y101" i="72" s="1"/>
  <c r="X101" i="72" a="1"/>
  <c r="X101" i="72" s="1"/>
  <c r="W101" i="72" a="1"/>
  <c r="W101" i="72" s="1"/>
  <c r="Y100" i="72"/>
  <c r="Y100" i="72" a="1"/>
  <c r="X100" i="72" a="1"/>
  <c r="X100" i="72" s="1"/>
  <c r="W100" i="72" a="1"/>
  <c r="W100" i="72" s="1"/>
  <c r="Y99" i="72" a="1"/>
  <c r="Y99" i="72" s="1"/>
  <c r="X99" i="72" a="1"/>
  <c r="X99" i="72" s="1"/>
  <c r="W99" i="72"/>
  <c r="W99" i="72" a="1"/>
  <c r="Y98" i="72" a="1"/>
  <c r="Y98" i="72" s="1"/>
  <c r="X98" i="72" a="1"/>
  <c r="X98" i="72" s="1"/>
  <c r="W98" i="72" a="1"/>
  <c r="W98" i="72" s="1"/>
  <c r="Y97" i="72" a="1"/>
  <c r="Y97" i="72" s="1"/>
  <c r="X97" i="72" a="1"/>
  <c r="X97" i="72" s="1"/>
  <c r="W97" i="72" a="1"/>
  <c r="W97" i="72" s="1"/>
  <c r="Y96" i="72" a="1"/>
  <c r="Y96" i="72" s="1"/>
  <c r="X96" i="72" a="1"/>
  <c r="X96" i="72" s="1"/>
  <c r="W96" i="72" a="1"/>
  <c r="W96" i="72" s="1"/>
  <c r="Y95" i="72"/>
  <c r="Y95" i="72" a="1"/>
  <c r="X95" i="72" a="1"/>
  <c r="X95" i="72" s="1"/>
  <c r="W95" i="72" a="1"/>
  <c r="W95" i="72" s="1"/>
  <c r="Y94" i="72" a="1"/>
  <c r="Y94" i="72" s="1"/>
  <c r="X94" i="72" a="1"/>
  <c r="X94" i="72" s="1"/>
  <c r="W94" i="72" a="1"/>
  <c r="W94" i="72" s="1"/>
  <c r="Y93" i="72" a="1"/>
  <c r="Y93" i="72" s="1"/>
  <c r="X93" i="72" a="1"/>
  <c r="X93" i="72" s="1"/>
  <c r="W93" i="72" a="1"/>
  <c r="W93" i="72" s="1"/>
  <c r="Y92" i="72"/>
  <c r="Y92" i="72" a="1"/>
  <c r="X92" i="72"/>
  <c r="X92" i="72" a="1"/>
  <c r="W92" i="72" a="1"/>
  <c r="W92" i="72" s="1"/>
  <c r="Y91" i="72" a="1"/>
  <c r="Y91" i="72" s="1"/>
  <c r="X91" i="72" a="1"/>
  <c r="X91" i="72" s="1"/>
  <c r="W91" i="72" a="1"/>
  <c r="W91" i="72" s="1"/>
  <c r="Y90" i="72" a="1"/>
  <c r="Y90" i="72" s="1"/>
  <c r="X90" i="72" a="1"/>
  <c r="X90" i="72" s="1"/>
  <c r="W90" i="72" a="1"/>
  <c r="W90" i="72" s="1"/>
  <c r="Y89" i="72" a="1"/>
  <c r="Y89" i="72" s="1"/>
  <c r="X89" i="72" a="1"/>
  <c r="X89" i="72" s="1"/>
  <c r="W89" i="72"/>
  <c r="W89" i="72" a="1"/>
  <c r="Y88" i="72" a="1"/>
  <c r="Y88" i="72" s="1"/>
  <c r="X88" i="72" a="1"/>
  <c r="X88" i="72" s="1"/>
  <c r="W88" i="72"/>
  <c r="W88" i="72" a="1"/>
  <c r="Y87" i="72" a="1"/>
  <c r="Y87" i="72" s="1"/>
  <c r="X87" i="72" a="1"/>
  <c r="X87" i="72" s="1"/>
  <c r="W87" i="72" a="1"/>
  <c r="W87" i="72" s="1"/>
  <c r="Y86" i="72" a="1"/>
  <c r="Y86" i="72" s="1"/>
  <c r="X86" i="72" a="1"/>
  <c r="X86" i="72" s="1"/>
  <c r="W86" i="72" a="1"/>
  <c r="W86" i="72" s="1"/>
  <c r="Y85" i="72"/>
  <c r="Y85" i="72" a="1"/>
  <c r="X85" i="72" a="1"/>
  <c r="X85" i="72" s="1"/>
  <c r="W85" i="72" a="1"/>
  <c r="W85" i="72" s="1"/>
  <c r="Y84" i="72" a="1"/>
  <c r="Y84" i="72" s="1"/>
  <c r="X84" i="72" a="1"/>
  <c r="X84" i="72" s="1"/>
  <c r="W84" i="72"/>
  <c r="W84" i="72" a="1"/>
  <c r="Y83" i="72" a="1"/>
  <c r="Y83" i="72" s="1"/>
  <c r="X83" i="72" a="1"/>
  <c r="X83" i="72" s="1"/>
  <c r="W83" i="72" a="1"/>
  <c r="W83" i="72" s="1"/>
  <c r="Y82" i="72" a="1"/>
  <c r="Y82" i="72" s="1"/>
  <c r="X82" i="72"/>
  <c r="X82" i="72" a="1"/>
  <c r="W82" i="72" a="1"/>
  <c r="W82" i="72" s="1"/>
  <c r="Y81" i="72" a="1"/>
  <c r="Y81" i="72" s="1"/>
  <c r="X81" i="72" a="1"/>
  <c r="X81" i="72" s="1"/>
  <c r="W81" i="72" a="1"/>
  <c r="W81" i="72" s="1"/>
  <c r="Y80" i="72" a="1"/>
  <c r="Y80" i="72" s="1"/>
  <c r="X80" i="72" a="1"/>
  <c r="X80" i="72" s="1"/>
  <c r="W80" i="72" a="1"/>
  <c r="W80" i="72" s="1"/>
  <c r="Y79" i="72" a="1"/>
  <c r="Y79" i="72" s="1"/>
  <c r="X79" i="72" a="1"/>
  <c r="X79" i="72" s="1"/>
  <c r="W79" i="72"/>
  <c r="W79" i="72" a="1"/>
  <c r="Y78" i="72" a="1"/>
  <c r="Y78" i="72" s="1"/>
  <c r="X78" i="72" a="1"/>
  <c r="X78" i="72" s="1"/>
  <c r="W78" i="72" a="1"/>
  <c r="W78" i="72" s="1"/>
  <c r="Y77" i="72" a="1"/>
  <c r="Y77" i="72" s="1"/>
  <c r="X77" i="72" a="1"/>
  <c r="X77" i="72" s="1"/>
  <c r="W77" i="72" a="1"/>
  <c r="W77" i="72" s="1"/>
  <c r="Y76" i="72" a="1"/>
  <c r="Y76" i="72" s="1"/>
  <c r="X76" i="72" a="1"/>
  <c r="X76" i="72" s="1"/>
  <c r="W76" i="72"/>
  <c r="W76" i="72" a="1"/>
  <c r="Y75" i="72"/>
  <c r="Y75" i="72" a="1"/>
  <c r="X75" i="72" a="1"/>
  <c r="X75" i="72" s="1"/>
  <c r="W75" i="72" a="1"/>
  <c r="W75" i="72" s="1"/>
  <c r="Y74" i="72" a="1"/>
  <c r="Y74" i="72" s="1"/>
  <c r="X74" i="72" a="1"/>
  <c r="X74" i="72" s="1"/>
  <c r="W74" i="72" a="1"/>
  <c r="W74" i="72" s="1"/>
  <c r="Y73" i="72" a="1"/>
  <c r="Y73" i="72" s="1"/>
  <c r="X73" i="72" a="1"/>
  <c r="X73" i="72" s="1"/>
  <c r="W73" i="72" a="1"/>
  <c r="W73" i="72" s="1"/>
  <c r="Y72" i="72" a="1"/>
  <c r="Y72" i="72" s="1"/>
  <c r="X72" i="72" a="1"/>
  <c r="X72" i="72" s="1"/>
  <c r="W72" i="72" a="1"/>
  <c r="W72" i="72" s="1"/>
  <c r="Y71" i="72" a="1"/>
  <c r="Y71" i="72" s="1"/>
  <c r="X71" i="72" a="1"/>
  <c r="X71" i="72" s="1"/>
  <c r="W71" i="72" a="1"/>
  <c r="W71" i="72" s="1"/>
  <c r="Y70" i="72" a="1"/>
  <c r="Y70" i="72" s="1"/>
  <c r="X70" i="72" a="1"/>
  <c r="X70" i="72" s="1"/>
  <c r="W70" i="72" a="1"/>
  <c r="W70" i="72" s="1"/>
  <c r="Y69" i="72" a="1"/>
  <c r="Y69" i="72" s="1"/>
  <c r="X69" i="72" a="1"/>
  <c r="X69" i="72" s="1"/>
  <c r="W69" i="72"/>
  <c r="W69" i="72" a="1"/>
  <c r="Y68" i="72" a="1"/>
  <c r="Y68" i="72" s="1"/>
  <c r="X68" i="72" a="1"/>
  <c r="X68" i="72" s="1"/>
  <c r="W68" i="72" a="1"/>
  <c r="W68" i="72" s="1"/>
  <c r="Y67" i="72" a="1"/>
  <c r="Y67" i="72" s="1"/>
  <c r="X67" i="72"/>
  <c r="X67" i="72" a="1"/>
  <c r="W67" i="72" a="1"/>
  <c r="W67" i="72" s="1"/>
  <c r="Y66" i="72" a="1"/>
  <c r="Y66" i="72" s="1"/>
  <c r="X66" i="72" a="1"/>
  <c r="X66" i="72" s="1"/>
  <c r="W66" i="72" a="1"/>
  <c r="W66" i="72" s="1"/>
  <c r="Y65" i="72"/>
  <c r="Y65" i="72" a="1"/>
  <c r="X65" i="72" a="1"/>
  <c r="X65" i="72" s="1"/>
  <c r="W65" i="72" a="1"/>
  <c r="W65" i="72" s="1"/>
  <c r="Y64" i="72" a="1"/>
  <c r="Y64" i="72" s="1"/>
  <c r="X64" i="72" a="1"/>
  <c r="X64" i="72" s="1"/>
  <c r="W64" i="72"/>
  <c r="W64" i="72" a="1"/>
  <c r="Y63" i="72" a="1"/>
  <c r="Y63" i="72" s="1"/>
  <c r="X63" i="72" a="1"/>
  <c r="X63" i="72" s="1"/>
  <c r="W63" i="72" a="1"/>
  <c r="W63" i="72" s="1"/>
  <c r="Y62" i="72" a="1"/>
  <c r="Y62" i="72" s="1"/>
  <c r="X62" i="72"/>
  <c r="X62" i="72" a="1"/>
  <c r="W62" i="72" a="1"/>
  <c r="W62" i="72" s="1"/>
  <c r="Y61" i="72" a="1"/>
  <c r="Y61" i="72" s="1"/>
  <c r="X61" i="72" a="1"/>
  <c r="X61" i="72" s="1"/>
  <c r="W61" i="72" a="1"/>
  <c r="W61" i="72" s="1"/>
  <c r="Y60" i="72" a="1"/>
  <c r="Y60" i="72" s="1"/>
  <c r="X60" i="72" a="1"/>
  <c r="X60" i="72" s="1"/>
  <c r="W60" i="72" a="1"/>
  <c r="W60" i="72" s="1"/>
  <c r="Y59" i="72" a="1"/>
  <c r="Y59" i="72" s="1"/>
  <c r="X59" i="72" a="1"/>
  <c r="X59" i="72" s="1"/>
  <c r="W59" i="72"/>
  <c r="W59" i="72" a="1"/>
  <c r="Y58" i="72" a="1"/>
  <c r="Y58" i="72" s="1"/>
  <c r="X58" i="72" a="1"/>
  <c r="X58" i="72" s="1"/>
  <c r="W58" i="72" a="1"/>
  <c r="W58" i="72" s="1"/>
  <c r="Y57" i="72" a="1"/>
  <c r="Y57" i="72" s="1"/>
  <c r="X57" i="72" a="1"/>
  <c r="X57" i="72" s="1"/>
  <c r="W57" i="72" a="1"/>
  <c r="W57" i="72" s="1"/>
  <c r="Y56" i="72" a="1"/>
  <c r="Y56" i="72" s="1"/>
  <c r="X56" i="72" a="1"/>
  <c r="X56" i="72" s="1"/>
  <c r="W56" i="72" a="1"/>
  <c r="W56" i="72" s="1"/>
  <c r="Y55" i="72"/>
  <c r="Y55" i="72" a="1"/>
  <c r="X55" i="72" a="1"/>
  <c r="X55" i="72" s="1"/>
  <c r="W55" i="72" a="1"/>
  <c r="W55" i="72" s="1"/>
  <c r="Y54" i="72"/>
  <c r="Y54" i="72" a="1"/>
  <c r="X54" i="72" a="1"/>
  <c r="X54" i="72" s="1"/>
  <c r="W54" i="72" a="1"/>
  <c r="W54" i="72" s="1"/>
  <c r="Y53" i="72" a="1"/>
  <c r="Y53" i="72" s="1"/>
  <c r="X53" i="72" a="1"/>
  <c r="X53" i="72" s="1"/>
  <c r="W53" i="72" a="1"/>
  <c r="W53" i="72" s="1"/>
  <c r="Y52" i="72" a="1"/>
  <c r="Y52" i="72" s="1"/>
  <c r="X52" i="72"/>
  <c r="X52" i="72" a="1"/>
  <c r="W52" i="72" a="1"/>
  <c r="W52" i="72" s="1"/>
  <c r="Y51" i="72" a="1"/>
  <c r="Y51" i="72" s="1"/>
  <c r="X51" i="72" a="1"/>
  <c r="X51" i="72" s="1"/>
  <c r="W51" i="72" a="1"/>
  <c r="W51" i="72" s="1"/>
  <c r="Y50" i="72"/>
  <c r="Y50" i="72" a="1"/>
  <c r="X50" i="72" a="1"/>
  <c r="X50" i="72" s="1"/>
  <c r="W50" i="72" a="1"/>
  <c r="W50" i="72" s="1"/>
  <c r="Y49" i="72" a="1"/>
  <c r="Y49" i="72" s="1"/>
  <c r="X49" i="72" a="1"/>
  <c r="X49" i="72" s="1"/>
  <c r="W49" i="72"/>
  <c r="W49" i="72" a="1"/>
  <c r="Y48" i="72" a="1"/>
  <c r="Y48" i="72" s="1"/>
  <c r="X48" i="72" a="1"/>
  <c r="X48" i="72" s="1"/>
  <c r="W48" i="72" a="1"/>
  <c r="W48" i="72" s="1"/>
  <c r="Y47" i="72" a="1"/>
  <c r="Y47" i="72" s="1"/>
  <c r="X47" i="72"/>
  <c r="X47" i="72" a="1"/>
  <c r="W47" i="72" a="1"/>
  <c r="W47" i="72" s="1"/>
  <c r="Y46" i="72" a="1"/>
  <c r="Y46" i="72" s="1"/>
  <c r="X46" i="72" a="1"/>
  <c r="X46" i="72" s="1"/>
  <c r="W46" i="72" a="1"/>
  <c r="W46" i="72" s="1"/>
  <c r="Y45" i="72"/>
  <c r="Y45" i="72" a="1"/>
  <c r="X45" i="72" a="1"/>
  <c r="X45" i="72" s="1"/>
  <c r="W45" i="72" a="1"/>
  <c r="W45" i="72" s="1"/>
  <c r="Y44" i="72"/>
  <c r="Y44" i="72" a="1"/>
  <c r="X44" i="72" a="1"/>
  <c r="X44" i="72" s="1"/>
  <c r="W44" i="72" a="1"/>
  <c r="W44" i="72" s="1"/>
  <c r="Y43" i="72" a="1"/>
  <c r="Y43" i="72" s="1"/>
  <c r="X43" i="72" a="1"/>
  <c r="X43" i="72" s="1"/>
  <c r="W43" i="72" a="1"/>
  <c r="W43" i="72" s="1"/>
  <c r="Y42" i="72" a="1"/>
  <c r="Y42" i="72" s="1"/>
  <c r="X42" i="72"/>
  <c r="X42" i="72" a="1"/>
  <c r="W42" i="72" a="1"/>
  <c r="W42" i="72" s="1"/>
  <c r="Y41" i="72" a="1"/>
  <c r="Y41" i="72" s="1"/>
  <c r="X41" i="72" a="1"/>
  <c r="X41" i="72" s="1"/>
  <c r="W41" i="72" a="1"/>
  <c r="W41" i="72" s="1"/>
  <c r="Y40" i="72" a="1"/>
  <c r="Y40" i="72" s="1"/>
  <c r="X40" i="72" a="1"/>
  <c r="X40" i="72" s="1"/>
  <c r="W40" i="72" a="1"/>
  <c r="W40" i="72" s="1"/>
  <c r="Y39" i="72" a="1"/>
  <c r="Y39" i="72" s="1"/>
  <c r="X39" i="72" a="1"/>
  <c r="X39" i="72" s="1"/>
  <c r="W39" i="72"/>
  <c r="W39" i="72" a="1"/>
  <c r="Y38" i="72" a="1"/>
  <c r="Y38" i="72" s="1"/>
  <c r="X38" i="72" a="1"/>
  <c r="X38" i="72" s="1"/>
  <c r="W38" i="72"/>
  <c r="W38" i="72" a="1"/>
  <c r="Y37" i="72" a="1"/>
  <c r="Y37" i="72" s="1"/>
  <c r="X37" i="72" a="1"/>
  <c r="X37" i="72" s="1"/>
  <c r="W37" i="72" a="1"/>
  <c r="W37" i="72" s="1"/>
  <c r="Y36" i="72" a="1"/>
  <c r="Y36" i="72" s="1"/>
  <c r="X36" i="72" a="1"/>
  <c r="X36" i="72" s="1"/>
  <c r="W36" i="72" a="1"/>
  <c r="W36" i="72" s="1"/>
  <c r="Y35" i="72"/>
  <c r="Y35" i="72" a="1"/>
  <c r="X35" i="72" a="1"/>
  <c r="X35" i="72" s="1"/>
  <c r="W35" i="72" a="1"/>
  <c r="W35" i="72" s="1"/>
  <c r="Y34" i="72" a="1"/>
  <c r="Y34" i="72" s="1"/>
  <c r="X34" i="72" a="1"/>
  <c r="X34" i="72" s="1"/>
  <c r="W34" i="72"/>
  <c r="W34" i="72" a="1"/>
  <c r="Y33" i="72" a="1"/>
  <c r="Y33" i="72" s="1"/>
  <c r="X33" i="72" a="1"/>
  <c r="X33" i="72" s="1"/>
  <c r="W33" i="72" a="1"/>
  <c r="W33" i="72" s="1"/>
  <c r="Y32" i="72" a="1"/>
  <c r="Y32" i="72" s="1"/>
  <c r="X32" i="72"/>
  <c r="X32" i="72" a="1"/>
  <c r="W32" i="72" a="1"/>
  <c r="W32" i="72" s="1"/>
  <c r="Y31" i="72" a="1"/>
  <c r="Y31" i="72" s="1"/>
  <c r="X31" i="72" a="1"/>
  <c r="X31" i="72" s="1"/>
  <c r="W31" i="72" a="1"/>
  <c r="W31" i="72" s="1"/>
  <c r="Y30" i="72" a="1"/>
  <c r="Y30" i="72" s="1"/>
  <c r="X30" i="72" a="1"/>
  <c r="X30" i="72" s="1"/>
  <c r="W30" i="72" a="1"/>
  <c r="W30" i="72" s="1"/>
  <c r="Y29" i="72" a="1"/>
  <c r="Y29" i="72" s="1"/>
  <c r="X29" i="72" a="1"/>
  <c r="X29" i="72" s="1"/>
  <c r="W29" i="72"/>
  <c r="W29" i="72" a="1"/>
  <c r="Y28" i="72" a="1"/>
  <c r="Y28" i="72" s="1"/>
  <c r="X28" i="72" a="1"/>
  <c r="X28" i="72" s="1"/>
  <c r="W28" i="72"/>
  <c r="W28" i="72" a="1"/>
  <c r="Y27" i="72" a="1"/>
  <c r="Y27" i="72" s="1"/>
  <c r="X27" i="72" a="1"/>
  <c r="X27" i="72" s="1"/>
  <c r="W27" i="72" a="1"/>
  <c r="W27" i="72" s="1"/>
  <c r="Y26" i="72" a="1"/>
  <c r="Y26" i="72" s="1"/>
  <c r="X26" i="72" a="1"/>
  <c r="X26" i="72" s="1"/>
  <c r="W26" i="72" a="1"/>
  <c r="W26" i="72" s="1"/>
  <c r="Y25" i="72"/>
  <c r="Y25" i="72" a="1"/>
  <c r="X25" i="72" a="1"/>
  <c r="X25" i="72" s="1"/>
  <c r="W25" i="72" a="1"/>
  <c r="W25" i="72" s="1"/>
  <c r="Y24" i="72" a="1"/>
  <c r="Y24" i="72" s="1"/>
  <c r="X24" i="72" a="1"/>
  <c r="X24" i="72" s="1"/>
  <c r="W24" i="72" a="1"/>
  <c r="W24" i="72" s="1"/>
  <c r="Y23" i="72" a="1"/>
  <c r="Y23" i="72" s="1"/>
  <c r="X23" i="72" a="1"/>
  <c r="X23" i="72" s="1"/>
  <c r="W23" i="72" a="1"/>
  <c r="W23" i="72" s="1"/>
  <c r="Y22" i="72" a="1"/>
  <c r="Y22" i="72" s="1"/>
  <c r="X22" i="72"/>
  <c r="X22" i="72" a="1"/>
  <c r="W22" i="72" a="1"/>
  <c r="W22" i="72" s="1"/>
  <c r="Y21" i="72" a="1"/>
  <c r="Y21" i="72" s="1"/>
  <c r="X21" i="72"/>
  <c r="X21" i="72" a="1"/>
  <c r="W21" i="72" a="1"/>
  <c r="W21" i="72" s="1"/>
  <c r="Y20" i="72" a="1"/>
  <c r="Y20" i="72" s="1"/>
  <c r="X20" i="72" a="1"/>
  <c r="X20" i="72" s="1"/>
  <c r="W20" i="72" a="1"/>
  <c r="W20" i="72" s="1"/>
  <c r="Y19" i="72" a="1"/>
  <c r="Y19" i="72" s="1"/>
  <c r="X19" i="72" a="1"/>
  <c r="X19" i="72" s="1"/>
  <c r="W19" i="72"/>
  <c r="W19" i="72" a="1"/>
  <c r="Y18" i="72" a="1"/>
  <c r="Y18" i="72" s="1"/>
  <c r="X18" i="72" a="1"/>
  <c r="X18" i="72" s="1"/>
  <c r="W18" i="72" a="1"/>
  <c r="W18" i="72" s="1"/>
  <c r="Y17" i="72" a="1"/>
  <c r="Y17" i="72" s="1"/>
  <c r="X17" i="72"/>
  <c r="X17" i="72" a="1"/>
  <c r="W17" i="72" a="1"/>
  <c r="W17" i="72" s="1"/>
  <c r="Y16" i="72" a="1"/>
  <c r="Y16" i="72" s="1"/>
  <c r="X16" i="72" a="1"/>
  <c r="X16" i="72" s="1"/>
  <c r="W16" i="72" a="1"/>
  <c r="W16" i="72" s="1"/>
  <c r="Y15" i="72"/>
  <c r="Y15" i="72" a="1"/>
  <c r="X15" i="72" a="1"/>
  <c r="X15" i="72" s="1"/>
  <c r="W15" i="72" a="1"/>
  <c r="W15" i="72" s="1"/>
  <c r="Y14" i="72" a="1"/>
  <c r="Y14" i="72" s="1"/>
  <c r="X14" i="72" a="1"/>
  <c r="X14" i="72" s="1"/>
  <c r="W14" i="72" a="1"/>
  <c r="W14" i="72" s="1"/>
  <c r="Y13" i="72" a="1"/>
  <c r="Y13" i="72" s="1"/>
  <c r="X13" i="72" a="1"/>
  <c r="X13" i="72" s="1"/>
  <c r="W13" i="72" a="1"/>
  <c r="W13" i="72" s="1"/>
  <c r="Y12" i="72" a="1"/>
  <c r="Y12" i="72" s="1"/>
  <c r="X12" i="72" a="1"/>
  <c r="X12" i="72" s="1"/>
  <c r="W12" i="72" a="1"/>
  <c r="W12" i="72" s="1"/>
  <c r="Y11" i="72" a="1"/>
  <c r="Y11" i="72" s="1"/>
  <c r="X11" i="72" a="1"/>
  <c r="X11" i="72" s="1"/>
  <c r="W11" i="72" a="1"/>
  <c r="W11" i="72" s="1"/>
  <c r="Y10" i="72" a="1"/>
  <c r="Y10" i="72" s="1"/>
  <c r="X10" i="72" a="1"/>
  <c r="X10" i="72" s="1"/>
  <c r="W10" i="72" a="1"/>
  <c r="W10" i="72" s="1"/>
  <c r="Y9" i="72" a="1"/>
  <c r="Y9" i="72" s="1"/>
  <c r="X9" i="72" a="1"/>
  <c r="X9" i="72" s="1"/>
  <c r="W9" i="72"/>
  <c r="W9" i="72" a="1"/>
  <c r="Y8" i="72" a="1"/>
  <c r="Y8" i="72" s="1"/>
  <c r="X8" i="72" a="1"/>
  <c r="X8" i="72" s="1"/>
  <c r="W8" i="72" a="1"/>
  <c r="W8" i="72" s="1"/>
  <c r="Y7" i="72" a="1"/>
  <c r="Y7" i="72" s="1"/>
  <c r="X7" i="72" a="1"/>
  <c r="X7" i="72" s="1"/>
  <c r="W7" i="72" a="1"/>
  <c r="W7" i="72" s="1"/>
  <c r="Y6" i="72" a="1"/>
  <c r="Y6" i="72" s="1"/>
  <c r="X6" i="72" a="1"/>
  <c r="X6" i="72" s="1"/>
  <c r="W6" i="72" a="1"/>
  <c r="W6" i="72" s="1"/>
  <c r="Y5" i="72"/>
  <c r="Y5" i="72" a="1"/>
  <c r="X5" i="72" a="1"/>
  <c r="X5" i="72" s="1"/>
  <c r="W5" i="72" a="1"/>
  <c r="W5" i="72" s="1"/>
  <c r="Y4" i="72"/>
  <c r="Y4" i="72" a="1"/>
  <c r="X4" i="72" a="1"/>
  <c r="X4" i="72" s="1"/>
  <c r="F15" i="48" a="1"/>
  <c r="F15" i="48" s="1"/>
  <c r="C79" i="48"/>
  <c r="B13" i="67"/>
  <c r="C87" i="67" a="1"/>
  <c r="C87" i="67" s="1"/>
  <c r="E79" i="67"/>
  <c r="C79" i="67" s="1"/>
  <c r="D79" i="67"/>
  <c r="C15" i="67" a="1"/>
  <c r="C15" i="67" s="1"/>
  <c r="W4" i="72" a="1"/>
  <c r="W4" i="72" s="1"/>
  <c r="AO74" i="72"/>
  <c r="AN74" i="72"/>
  <c r="AM74" i="72"/>
  <c r="AL74" i="72"/>
  <c r="AK74" i="72"/>
  <c r="AH74" i="72"/>
  <c r="AG74" i="72"/>
  <c r="AF74" i="72"/>
  <c r="AE74" i="72"/>
  <c r="AD74" i="72"/>
  <c r="AJ54" i="72" a="1"/>
  <c r="AJ54" i="72" s="1"/>
  <c r="AC54" i="72" a="1"/>
  <c r="AC54" i="72" s="1"/>
  <c r="AO50" i="72"/>
  <c r="AN50" i="72"/>
  <c r="AM50" i="72"/>
  <c r="AL50" i="72"/>
  <c r="AK50" i="72"/>
  <c r="AH50" i="72"/>
  <c r="AG50" i="72"/>
  <c r="AF50" i="72"/>
  <c r="AE50" i="72"/>
  <c r="AD50" i="72"/>
  <c r="AJ30" i="72" a="1"/>
  <c r="AJ30" i="72" s="1"/>
  <c r="AC30" i="72" a="1"/>
  <c r="AC30" i="72" s="1"/>
  <c r="AO26" i="72"/>
  <c r="AN26" i="72"/>
  <c r="AM26" i="72"/>
  <c r="AL26" i="72"/>
  <c r="AK26" i="72"/>
  <c r="AH26" i="72"/>
  <c r="AG26" i="72"/>
  <c r="AF26" i="72"/>
  <c r="AE26" i="72"/>
  <c r="AD26" i="72"/>
  <c r="AJ6" i="72" a="1"/>
  <c r="AJ6" i="72" s="1"/>
  <c r="AC6" i="72" a="1"/>
  <c r="AC6" i="72" s="1"/>
  <c r="F15" i="67" l="1" a="1"/>
  <c r="F15" i="67" s="1"/>
  <c r="M6" i="30"/>
  <c r="AB55" i="30" a="1"/>
  <c r="AB55" i="30" s="1"/>
  <c r="AB54" i="30" a="1"/>
  <c r="AB54" i="30" s="1"/>
  <c r="AB53" i="30" a="1"/>
  <c r="AB53" i="30" s="1"/>
  <c r="AB52" i="30" a="1"/>
  <c r="AB52" i="30" s="1"/>
  <c r="AB51" i="30" a="1"/>
  <c r="AB51" i="30" s="1"/>
  <c r="AB50" i="30" a="1"/>
  <c r="AB50" i="30" s="1"/>
  <c r="AB49" i="30" a="1"/>
  <c r="AB49" i="30" s="1"/>
  <c r="AB44" i="30" a="1"/>
  <c r="AB44" i="30" s="1"/>
  <c r="AB43" i="30" a="1"/>
  <c r="AB43" i="30" s="1"/>
  <c r="AB42" i="30" a="1"/>
  <c r="AB42" i="30" s="1"/>
  <c r="AB41" i="30"/>
  <c r="AB41" i="30" a="1"/>
  <c r="AB40" i="30" a="1"/>
  <c r="AB40" i="30" s="1"/>
  <c r="AB39" i="30" a="1"/>
  <c r="AB39" i="30" s="1"/>
  <c r="AB38" i="30" a="1"/>
  <c r="AB38" i="30" s="1"/>
  <c r="AO21" i="75" a="1"/>
  <c r="AO21" i="75" s="1"/>
  <c r="AO23" i="75" s="1" a="1"/>
  <c r="AO23" i="75" s="1"/>
  <c r="AO26" i="75" a="1"/>
  <c r="AO26" i="75"/>
  <c r="AO28" i="75" a="1"/>
  <c r="AO28" i="75"/>
  <c r="T10" i="30"/>
  <c r="T9" i="30"/>
  <c r="P21" i="30"/>
  <c r="O21" i="30" s="1"/>
  <c r="P20" i="30"/>
  <c r="O20" i="30"/>
  <c r="T6" i="30"/>
  <c r="T8" i="30"/>
  <c r="O8" i="30" s="1"/>
  <c r="AG19" i="75" s="1" a="1"/>
  <c r="AG19" i="75" s="1"/>
  <c r="T5" i="30"/>
  <c r="P19" i="30"/>
  <c r="O19" i="30" s="1"/>
  <c r="AH19" i="75" s="1" a="1"/>
  <c r="AH19" i="75" s="1"/>
  <c r="AE15" i="75"/>
  <c r="AA5" i="75" a="1"/>
  <c r="AA5" i="75" s="1"/>
  <c r="AE5" i="75" s="1" a="1"/>
  <c r="AE5" i="75" s="1"/>
  <c r="P17" i="30"/>
  <c r="Q37" i="75" a="1"/>
  <c r="Q37" i="75" s="1"/>
  <c r="O11" i="30"/>
  <c r="O7" i="30"/>
  <c r="O22" i="30"/>
  <c r="O18" i="30"/>
  <c r="O32" i="30"/>
  <c r="O31" i="30"/>
  <c r="O30" i="30"/>
  <c r="O29" i="30"/>
  <c r="O28" i="30"/>
  <c r="O54" i="30"/>
  <c r="O53" i="30"/>
  <c r="O52" i="30"/>
  <c r="O51" i="30"/>
  <c r="O43" i="30"/>
  <c r="O42" i="30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T15" i="75" a="1"/>
  <c r="T15" i="75" s="1"/>
  <c r="G27" i="71"/>
  <c r="F27" i="71"/>
  <c r="E27" i="71"/>
  <c r="C27" i="71"/>
  <c r="G26" i="71"/>
  <c r="F26" i="71"/>
  <c r="E26" i="71"/>
  <c r="C26" i="71"/>
  <c r="G27" i="70"/>
  <c r="F27" i="70"/>
  <c r="E27" i="70"/>
  <c r="D27" i="70"/>
  <c r="C27" i="70"/>
  <c r="G26" i="70"/>
  <c r="F26" i="70"/>
  <c r="E26" i="70"/>
  <c r="D26" i="70"/>
  <c r="C26" i="70"/>
  <c r="G27" i="69"/>
  <c r="F27" i="69"/>
  <c r="E27" i="69"/>
  <c r="D27" i="69"/>
  <c r="C27" i="69"/>
  <c r="G26" i="69"/>
  <c r="F26" i="69"/>
  <c r="E26" i="69"/>
  <c r="D26" i="69"/>
  <c r="C26" i="69"/>
  <c r="G27" i="74"/>
  <c r="F27" i="74"/>
  <c r="E27" i="74"/>
  <c r="D27" i="74"/>
  <c r="C27" i="74"/>
  <c r="G26" i="74"/>
  <c r="F26" i="74"/>
  <c r="E26" i="74"/>
  <c r="D26" i="74"/>
  <c r="C26" i="74"/>
  <c r="G27" i="68"/>
  <c r="F27" i="68"/>
  <c r="E27" i="68"/>
  <c r="D27" i="68"/>
  <c r="C27" i="68"/>
  <c r="G26" i="68"/>
  <c r="F26" i="68"/>
  <c r="E26" i="68"/>
  <c r="D26" i="68"/>
  <c r="C26" i="68"/>
  <c r="G27" i="13"/>
  <c r="F27" i="13"/>
  <c r="E27" i="13"/>
  <c r="D27" i="13"/>
  <c r="G26" i="13"/>
  <c r="F26" i="13"/>
  <c r="E26" i="13"/>
  <c r="D26" i="13"/>
  <c r="C27" i="13"/>
  <c r="C26" i="13"/>
  <c r="W14" i="75"/>
  <c r="V14" i="75"/>
  <c r="U14" i="75"/>
  <c r="T14" i="75"/>
  <c r="O32" i="75"/>
  <c r="N32" i="75"/>
  <c r="Q14" i="75"/>
  <c r="P14" i="75"/>
  <c r="O14" i="75"/>
  <c r="N14" i="75"/>
  <c r="Q38" i="75" l="1" a="1"/>
  <c r="Q38" i="75" s="1"/>
  <c r="Q42" i="75" a="1"/>
  <c r="Q42" i="75" s="1"/>
  <c r="AC16" i="75" a="1"/>
  <c r="AC16" i="75" s="1"/>
  <c r="O9" i="30" l="1"/>
  <c r="O10" i="30"/>
  <c r="AI19" i="75" a="1"/>
  <c r="AI19" i="75" s="1"/>
  <c r="W19" i="75" s="1" a="1"/>
  <c r="W19" i="75" s="1"/>
  <c r="W32" i="75" s="1"/>
  <c r="C34" i="75" l="1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B7" i="30" a="1"/>
  <c r="AB7" i="30" s="1"/>
  <c r="O6" i="30"/>
  <c r="AC19" i="75" s="1" a="1"/>
  <c r="AC19" i="75" s="1"/>
  <c r="O5" i="30"/>
  <c r="Y19" i="75" s="1" a="1"/>
  <c r="Y19" i="75" s="1"/>
  <c r="AB22" i="30" a="1"/>
  <c r="AB22" i="30" s="1"/>
  <c r="O33" i="30"/>
  <c r="AB33" i="30" s="1" a="1"/>
  <c r="AB33" i="30" s="1"/>
  <c r="AB18" i="30" a="1"/>
  <c r="AB18" i="30" s="1"/>
  <c r="AB29" i="30" a="1"/>
  <c r="AB29" i="30" s="1"/>
  <c r="O27" i="30"/>
  <c r="AB27" i="30" s="1" a="1"/>
  <c r="AB27" i="30" s="1"/>
  <c r="C96" i="75"/>
  <c r="O44" i="30"/>
  <c r="O41" i="30"/>
  <c r="AB11" i="30" a="1"/>
  <c r="AB11" i="30" s="1"/>
  <c r="O55" i="30"/>
  <c r="O50" i="30"/>
  <c r="O49" i="30"/>
  <c r="O38" i="30"/>
  <c r="O40" i="30"/>
  <c r="O39" i="30"/>
  <c r="Z19" i="75" l="1" a="1"/>
  <c r="Z19" i="75" s="1"/>
  <c r="AA19" i="75" s="1" a="1"/>
  <c r="AA19" i="75" s="1"/>
  <c r="U19" i="75" s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AB28" i="30" a="1"/>
  <c r="AB28" i="30" s="1"/>
  <c r="AB8" i="30" a="1"/>
  <c r="AB8" i="30" s="1"/>
  <c r="AB19" i="30" a="1"/>
  <c r="AB19" i="30" s="1"/>
  <c r="C32" i="75"/>
  <c r="U19" i="75" l="1"/>
  <c r="U32" i="75"/>
  <c r="AB30" i="30" a="1"/>
  <c r="AB30" i="30" s="1"/>
  <c r="AB10" i="30" a="1"/>
  <c r="AB10" i="30" s="1"/>
  <c r="AB9" i="30" a="1"/>
  <c r="AB9" i="30" s="1"/>
  <c r="AB21" i="30" a="1"/>
  <c r="AB21" i="30" s="1"/>
  <c r="AB20" i="30" a="1"/>
  <c r="AB20" i="30" s="1"/>
  <c r="I83" i="75"/>
  <c r="J88" i="75" a="1"/>
  <c r="J88" i="75" s="1"/>
  <c r="D83" i="75" s="1" a="1"/>
  <c r="D83" i="75" s="1"/>
  <c r="D96" i="75" s="1"/>
  <c r="I19" i="75"/>
  <c r="K24" i="75" a="1"/>
  <c r="K24" i="75" s="1"/>
  <c r="AB32" i="30" l="1" a="1"/>
  <c r="AB32" i="30" s="1"/>
  <c r="AB31" i="30" a="1"/>
  <c r="AB31" i="30" s="1"/>
  <c r="O17" i="30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AB17" i="30" a="1"/>
  <c r="AB17" i="30" s="1"/>
  <c r="AB6" i="30" a="1"/>
  <c r="AB6" i="30" s="1"/>
  <c r="AB5" i="30" a="1"/>
  <c r="AB5" i="30" s="1"/>
  <c r="V19" i="75" l="1"/>
  <c r="V32" i="75"/>
  <c r="O16" i="30"/>
  <c r="AB16" i="30" s="1" a="1"/>
  <c r="AB16" i="30" s="1"/>
  <c r="J5" i="30" l="1"/>
  <c r="V33" i="75" l="1"/>
  <c r="U33" i="75"/>
  <c r="T19" i="75" s="1" a="1"/>
  <c r="T19" i="75" s="1"/>
  <c r="D19" i="75" a="1"/>
  <c r="J8" i="30"/>
  <c r="D19" i="75" l="1"/>
  <c r="D32" i="75" s="1"/>
  <c r="D34" i="75"/>
  <c r="AO74" i="7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J4" i="68" a="1"/>
  <c r="J4" i="68" s="1"/>
  <c r="AO74" i="13" l="1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Q4" i="74" l="1" a="1"/>
  <c r="Q4" i="74" s="1"/>
  <c r="E6" i="74"/>
  <c r="F9" i="74"/>
  <c r="F13" i="74"/>
  <c r="F17" i="74"/>
  <c r="F21" i="74"/>
  <c r="A4" i="74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C24" i="74" l="1"/>
  <c r="G23" i="72" l="1"/>
  <c r="F23" i="72"/>
  <c r="E23" i="72"/>
  <c r="D23" i="72"/>
  <c r="C23" i="72"/>
  <c r="G22" i="72"/>
  <c r="C22" i="72"/>
  <c r="G21" i="72"/>
  <c r="D21" i="72"/>
  <c r="C21" i="72"/>
  <c r="G20" i="72"/>
  <c r="F20" i="72"/>
  <c r="D20" i="72"/>
  <c r="C20" i="72"/>
  <c r="G19" i="72"/>
  <c r="F19" i="72"/>
  <c r="E19" i="72"/>
  <c r="D19" i="72"/>
  <c r="C19" i="72"/>
  <c r="G18" i="72"/>
  <c r="F18" i="72"/>
  <c r="E18" i="72"/>
  <c r="D17" i="72"/>
  <c r="C17" i="72"/>
  <c r="G16" i="72"/>
  <c r="F16" i="72"/>
  <c r="E16" i="72"/>
  <c r="D16" i="72"/>
  <c r="G15" i="72"/>
  <c r="F15" i="72"/>
  <c r="E15" i="72"/>
  <c r="D15" i="72"/>
  <c r="C15" i="72"/>
  <c r="G14" i="72"/>
  <c r="F14" i="72"/>
  <c r="E14" i="72"/>
  <c r="D14" i="72"/>
  <c r="C14" i="72"/>
  <c r="G12" i="72"/>
  <c r="F12" i="72"/>
  <c r="E12" i="72"/>
  <c r="D12" i="72"/>
  <c r="C12" i="72"/>
  <c r="G11" i="72"/>
  <c r="E11" i="72"/>
  <c r="D11" i="72"/>
  <c r="C11" i="72"/>
  <c r="G10" i="72"/>
  <c r="F10" i="72"/>
  <c r="E10" i="72"/>
  <c r="D10" i="72"/>
  <c r="C10" i="72"/>
  <c r="G9" i="72"/>
  <c r="D9" i="72"/>
  <c r="E8" i="72"/>
  <c r="D8" i="72"/>
  <c r="C8" i="72"/>
  <c r="G7" i="72"/>
  <c r="F7" i="72"/>
  <c r="E7" i="72"/>
  <c r="C7" i="72"/>
  <c r="G6" i="72"/>
  <c r="F6" i="72"/>
  <c r="C6" i="72"/>
  <c r="G5" i="72"/>
  <c r="F5" i="72"/>
  <c r="E5" i="72"/>
  <c r="D5" i="72"/>
  <c r="C5" i="72"/>
  <c r="J4" i="72" a="1"/>
  <c r="J4" i="72" s="1"/>
  <c r="H4" i="72" a="1"/>
  <c r="H4" i="72" s="1"/>
  <c r="A4" i="72" a="1"/>
  <c r="F21" i="72" s="1"/>
  <c r="E20" i="71"/>
  <c r="D20" i="71"/>
  <c r="C20" i="71"/>
  <c r="G19" i="71"/>
  <c r="F19" i="71"/>
  <c r="E19" i="71"/>
  <c r="D15" i="71"/>
  <c r="C15" i="71"/>
  <c r="G14" i="71"/>
  <c r="F14" i="71"/>
  <c r="D13" i="71"/>
  <c r="C13" i="71"/>
  <c r="C9" i="71"/>
  <c r="G8" i="71"/>
  <c r="F8" i="71"/>
  <c r="E8" i="71"/>
  <c r="D8" i="71"/>
  <c r="C8" i="71"/>
  <c r="H4" i="71" a="1"/>
  <c r="H4" i="71" s="1"/>
  <c r="A4" i="71" a="1"/>
  <c r="F21" i="71" s="1"/>
  <c r="G22" i="70"/>
  <c r="F22" i="70"/>
  <c r="E22" i="70"/>
  <c r="D18" i="70"/>
  <c r="C18" i="70"/>
  <c r="G17" i="70"/>
  <c r="E13" i="70"/>
  <c r="D13" i="70"/>
  <c r="C13" i="70"/>
  <c r="G8" i="70"/>
  <c r="F8" i="70"/>
  <c r="E8" i="70"/>
  <c r="H4" i="70" a="1"/>
  <c r="H4" i="70" s="1"/>
  <c r="A4" i="70" a="1"/>
  <c r="F21" i="70" s="1"/>
  <c r="G23" i="69"/>
  <c r="F23" i="69"/>
  <c r="E23" i="69"/>
  <c r="F22" i="69"/>
  <c r="E22" i="69"/>
  <c r="D22" i="69"/>
  <c r="C22" i="69"/>
  <c r="G21" i="69"/>
  <c r="E21" i="69"/>
  <c r="C21" i="69"/>
  <c r="G20" i="69"/>
  <c r="F20" i="69"/>
  <c r="E20" i="69"/>
  <c r="D20" i="69"/>
  <c r="C20" i="69"/>
  <c r="G19" i="69"/>
  <c r="F19" i="69"/>
  <c r="E19" i="69"/>
  <c r="D19" i="69"/>
  <c r="E18" i="69"/>
  <c r="D18" i="69"/>
  <c r="C18" i="69"/>
  <c r="G17" i="69"/>
  <c r="E17" i="69"/>
  <c r="D17" i="69"/>
  <c r="G16" i="69"/>
  <c r="F16" i="69"/>
  <c r="E16" i="69"/>
  <c r="D16" i="69"/>
  <c r="C16" i="69"/>
  <c r="G15" i="69"/>
  <c r="F15" i="69"/>
  <c r="E15" i="69"/>
  <c r="D15" i="69"/>
  <c r="C15" i="69"/>
  <c r="D14" i="69"/>
  <c r="C14" i="69"/>
  <c r="G13" i="69"/>
  <c r="E13" i="69"/>
  <c r="D13" i="69"/>
  <c r="C13" i="69"/>
  <c r="F12" i="69"/>
  <c r="E12" i="69"/>
  <c r="D12" i="69"/>
  <c r="C12" i="69"/>
  <c r="G11" i="69"/>
  <c r="F11" i="69"/>
  <c r="E11" i="69"/>
  <c r="D11" i="69"/>
  <c r="C11" i="69"/>
  <c r="G10" i="69"/>
  <c r="C10" i="69"/>
  <c r="G9" i="69"/>
  <c r="E9" i="69"/>
  <c r="D9" i="69"/>
  <c r="C9" i="69"/>
  <c r="G8" i="69"/>
  <c r="E8" i="69"/>
  <c r="D8" i="69"/>
  <c r="C8" i="69"/>
  <c r="G7" i="69"/>
  <c r="F7" i="69"/>
  <c r="E7" i="69"/>
  <c r="D7" i="69"/>
  <c r="C7" i="69"/>
  <c r="G6" i="69"/>
  <c r="F6" i="69"/>
  <c r="F5" i="69"/>
  <c r="E5" i="69"/>
  <c r="D5" i="69"/>
  <c r="C5" i="69"/>
  <c r="H4" i="69" a="1"/>
  <c r="H4" i="69" s="1"/>
  <c r="Q4" i="69" s="1" a="1"/>
  <c r="Q4" i="69" s="1"/>
  <c r="A4" i="69"/>
  <c r="A4" i="69" a="1"/>
  <c r="F21" i="69" s="1"/>
  <c r="E23" i="68"/>
  <c r="D23" i="68"/>
  <c r="C23" i="68"/>
  <c r="G22" i="68"/>
  <c r="F22" i="68"/>
  <c r="E22" i="68"/>
  <c r="G19" i="68"/>
  <c r="F19" i="68"/>
  <c r="F14" i="68"/>
  <c r="E14" i="68"/>
  <c r="G11" i="68"/>
  <c r="F11" i="68"/>
  <c r="E11" i="68"/>
  <c r="D11" i="68"/>
  <c r="C11" i="68"/>
  <c r="G10" i="68"/>
  <c r="H4" i="68" a="1"/>
  <c r="H4" i="68" s="1"/>
  <c r="A4" i="68" a="1"/>
  <c r="D22" i="68" s="1"/>
  <c r="J19" i="30"/>
  <c r="J12" i="30"/>
  <c r="J22" i="30" l="1"/>
  <c r="J15" i="30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D15" i="68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AC30" i="69" a="1"/>
  <c r="AC30" i="69" s="1"/>
  <c r="AJ54" i="69" a="1"/>
  <c r="AJ54" i="69" s="1"/>
  <c r="AC54" i="69" a="1"/>
  <c r="AC54" i="69" s="1"/>
  <c r="AC6" i="69" a="1"/>
  <c r="AC6" i="69" s="1"/>
  <c r="AJ6" i="69" a="1"/>
  <c r="AJ6" i="69" s="1"/>
  <c r="AJ30" i="69" a="1"/>
  <c r="AJ30" i="69" s="1"/>
  <c r="E16" i="70"/>
  <c r="D6" i="71"/>
  <c r="G11" i="71"/>
  <c r="E23" i="71"/>
  <c r="E15" i="68"/>
  <c r="F15" i="68"/>
  <c r="D7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D19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D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12" i="30" a="1"/>
  <c r="L12" i="30" s="1"/>
  <c r="K15" i="30" s="1"/>
  <c r="L19" i="30" a="1"/>
  <c r="L19" i="30" s="1"/>
  <c r="K22" i="30" s="1"/>
  <c r="L5" i="30" a="1"/>
  <c r="Q4" i="72" a="1"/>
  <c r="Q4" i="72" s="1"/>
  <c r="C4" i="72"/>
  <c r="E4" i="72"/>
  <c r="F4" i="72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D4" i="70"/>
  <c r="G4" i="70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F4" i="69"/>
  <c r="G4" i="69"/>
  <c r="C4" i="69"/>
  <c r="D4" i="69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D9" i="68"/>
  <c r="D13" i="68"/>
  <c r="D17" i="68"/>
  <c r="D21" i="68"/>
  <c r="D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D8" i="68"/>
  <c r="D12" i="68"/>
  <c r="D16" i="68"/>
  <c r="D20" i="68"/>
  <c r="D5" i="68"/>
  <c r="E8" i="68"/>
  <c r="E12" i="68"/>
  <c r="E16" i="68"/>
  <c r="E20" i="68"/>
  <c r="E5" i="68"/>
  <c r="F8" i="68"/>
  <c r="F12" i="68"/>
  <c r="F16" i="68"/>
  <c r="F20" i="68"/>
  <c r="D10" i="68"/>
  <c r="D14" i="68"/>
  <c r="D18" i="68"/>
  <c r="J4" i="13" a="1"/>
  <c r="J4" i="13" s="1"/>
  <c r="L5" i="30" l="1"/>
  <c r="G2" i="75"/>
  <c r="C24" i="72"/>
  <c r="C26" i="72" s="1"/>
  <c r="D24" i="72"/>
  <c r="D26" i="72" s="1"/>
  <c r="G24" i="70"/>
  <c r="G24" i="69"/>
  <c r="E4" i="70"/>
  <c r="E24" i="70" s="1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Q4" i="68" a="1"/>
  <c r="Q4" i="68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D24" i="70"/>
  <c r="G4" i="72"/>
  <c r="E24" i="69"/>
  <c r="D24" i="69"/>
  <c r="C24" i="69"/>
  <c r="Q4" i="71" a="1"/>
  <c r="Q4" i="71" s="1"/>
  <c r="F24" i="72"/>
  <c r="F27" i="72" s="1"/>
  <c r="E24" i="72"/>
  <c r="E26" i="72" s="1"/>
  <c r="G4" i="71"/>
  <c r="G24" i="71" s="1"/>
  <c r="E4" i="71"/>
  <c r="E24" i="71" s="1"/>
  <c r="D4" i="71"/>
  <c r="C4" i="71"/>
  <c r="C24" i="71" s="1"/>
  <c r="F4" i="71"/>
  <c r="F24" i="71" s="1"/>
  <c r="F24" i="70"/>
  <c r="F24" i="69"/>
  <c r="E4" i="68"/>
  <c r="E24" i="68" s="1"/>
  <c r="F4" i="68"/>
  <c r="F24" i="68" s="1"/>
  <c r="G4" i="68"/>
  <c r="G24" i="68" s="1"/>
  <c r="D4" i="68"/>
  <c r="D24" i="68" s="1"/>
  <c r="C4" i="68"/>
  <c r="H178" i="48"/>
  <c r="H150" i="67"/>
  <c r="H149" i="67"/>
  <c r="H148" i="67"/>
  <c r="H147" i="67"/>
  <c r="H146" i="67"/>
  <c r="H145" i="67"/>
  <c r="H144" i="67"/>
  <c r="H143" i="67"/>
  <c r="H142" i="67"/>
  <c r="H141" i="67"/>
  <c r="H140" i="67"/>
  <c r="H139" i="67"/>
  <c r="H138" i="67"/>
  <c r="H137" i="67"/>
  <c r="H136" i="67"/>
  <c r="H135" i="67"/>
  <c r="H134" i="67"/>
  <c r="H133" i="67"/>
  <c r="H132" i="67"/>
  <c r="H131" i="67"/>
  <c r="H130" i="67"/>
  <c r="H129" i="67"/>
  <c r="H128" i="67"/>
  <c r="H127" i="67"/>
  <c r="H126" i="67"/>
  <c r="H125" i="67"/>
  <c r="H124" i="67"/>
  <c r="H123" i="67"/>
  <c r="H122" i="67"/>
  <c r="H121" i="67"/>
  <c r="H120" i="67"/>
  <c r="H119" i="67"/>
  <c r="H118" i="67"/>
  <c r="H117" i="67"/>
  <c r="H116" i="67"/>
  <c r="H115" i="67"/>
  <c r="H114" i="67"/>
  <c r="H113" i="67"/>
  <c r="H112" i="67"/>
  <c r="H111" i="67"/>
  <c r="H110" i="67"/>
  <c r="H109" i="67"/>
  <c r="H108" i="67"/>
  <c r="H107" i="67"/>
  <c r="H106" i="67"/>
  <c r="H105" i="67"/>
  <c r="H104" i="67"/>
  <c r="H103" i="67"/>
  <c r="H102" i="67"/>
  <c r="H101" i="67"/>
  <c r="H100" i="67"/>
  <c r="H99" i="67"/>
  <c r="H98" i="67"/>
  <c r="H97" i="67"/>
  <c r="H96" i="67"/>
  <c r="H95" i="67"/>
  <c r="H94" i="67"/>
  <c r="H93" i="67"/>
  <c r="H92" i="67"/>
  <c r="H91" i="67"/>
  <c r="H90" i="67"/>
  <c r="H89" i="67"/>
  <c r="H88" i="67"/>
  <c r="O87" i="67" a="1"/>
  <c r="O87" i="67" s="1"/>
  <c r="H87" i="67"/>
  <c r="E87" i="67" a="1"/>
  <c r="E87" i="67" s="1"/>
  <c r="J87" i="67" s="1" a="1"/>
  <c r="J87" i="67" s="1"/>
  <c r="K87" i="67" s="1" a="1"/>
  <c r="H78" i="67"/>
  <c r="H77" i="67"/>
  <c r="H76" i="67"/>
  <c r="H75" i="67"/>
  <c r="H74" i="67"/>
  <c r="H73" i="67"/>
  <c r="H72" i="67"/>
  <c r="H71" i="67"/>
  <c r="H70" i="67"/>
  <c r="H69" i="67"/>
  <c r="H68" i="67"/>
  <c r="H67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H46" i="67"/>
  <c r="H45" i="67"/>
  <c r="H44" i="67"/>
  <c r="H43" i="67"/>
  <c r="H42" i="67"/>
  <c r="H41" i="67"/>
  <c r="H40" i="67"/>
  <c r="H39" i="67"/>
  <c r="H38" i="67"/>
  <c r="H37" i="67"/>
  <c r="H36" i="67"/>
  <c r="H35" i="67"/>
  <c r="H34" i="67"/>
  <c r="H33" i="67"/>
  <c r="H32" i="67"/>
  <c r="H31" i="67"/>
  <c r="H30" i="67"/>
  <c r="H29" i="67"/>
  <c r="H28" i="67"/>
  <c r="H27" i="67"/>
  <c r="H26" i="67"/>
  <c r="H25" i="67"/>
  <c r="H24" i="67"/>
  <c r="H23" i="67"/>
  <c r="H22" i="67"/>
  <c r="H21" i="67"/>
  <c r="H20" i="67"/>
  <c r="H19" i="67"/>
  <c r="H18" i="67"/>
  <c r="H17" i="67"/>
  <c r="H16" i="67"/>
  <c r="O15" i="67" a="1"/>
  <c r="O15" i="67" s="1"/>
  <c r="H15" i="67"/>
  <c r="E15" i="67" a="1"/>
  <c r="E15" i="67" s="1"/>
  <c r="J15" i="67" s="1" a="1"/>
  <c r="B7" i="67" a="1"/>
  <c r="B7" i="67" s="1"/>
  <c r="B3" i="67"/>
  <c r="F87" i="67" s="1" a="1"/>
  <c r="F87" i="67" s="1"/>
  <c r="H28" i="48"/>
  <c r="F26" i="72" l="1"/>
  <c r="C27" i="72"/>
  <c r="G24" i="72"/>
  <c r="G27" i="72" s="1"/>
  <c r="G26" i="72"/>
  <c r="E27" i="72"/>
  <c r="D27" i="72"/>
  <c r="D24" i="71"/>
  <c r="D27" i="71" s="1"/>
  <c r="K8" i="30"/>
  <c r="F2" i="75"/>
  <c r="F4" i="75" s="1" a="1"/>
  <c r="F4" i="75" s="1"/>
  <c r="C24" i="68"/>
  <c r="K87" i="67"/>
  <c r="L87" i="67" s="1" a="1"/>
  <c r="L87" i="67" s="1"/>
  <c r="J15" i="67"/>
  <c r="K15" i="67" s="1" a="1"/>
  <c r="K79" i="67"/>
  <c r="O157" i="48" a="1"/>
  <c r="O157" i="48" s="1"/>
  <c r="O87" i="48" a="1"/>
  <c r="O87" i="48" s="1"/>
  <c r="O15" i="48" a="1"/>
  <c r="O15" i="48" s="1"/>
  <c r="M87" i="67" l="1" a="1"/>
  <c r="M87" i="67" s="1"/>
  <c r="D4" i="76" a="1"/>
  <c r="D4" i="76" s="1"/>
  <c r="D26" i="71"/>
  <c r="K15" i="67"/>
  <c r="L15" i="67" s="1" a="1"/>
  <c r="L15" i="67" s="1"/>
  <c r="C4" i="76" a="1"/>
  <c r="C4" i="76" s="1"/>
  <c r="N87" i="67" l="1" a="1"/>
  <c r="N87" i="67" s="1"/>
  <c r="G34" i="67"/>
  <c r="G33" i="67"/>
  <c r="G31" i="67"/>
  <c r="G28" i="67"/>
  <c r="M15" i="67" a="1"/>
  <c r="G29" i="67"/>
  <c r="G27" i="67"/>
  <c r="G26" i="67"/>
  <c r="G30" i="67"/>
  <c r="G32" i="67"/>
  <c r="F7" i="67" l="1"/>
  <c r="G7" i="67" s="1"/>
  <c r="M15" i="67"/>
  <c r="D7" i="67"/>
  <c r="H7" i="67" l="1"/>
  <c r="N15" i="67" a="1"/>
  <c r="N15" i="67" s="1"/>
  <c r="C7" i="67" s="1"/>
  <c r="E7" i="67" s="1"/>
  <c r="B7" i="48" a="1"/>
  <c r="B7" i="48" s="1"/>
  <c r="B3" i="48"/>
  <c r="H4" i="13" l="1" a="1"/>
  <c r="H4" i="13" s="1"/>
  <c r="A4" i="13" a="1"/>
  <c r="C22" i="13" l="1"/>
  <c r="D22" i="13"/>
  <c r="G22" i="13"/>
  <c r="C23" i="13"/>
  <c r="D23" i="13"/>
  <c r="E23" i="13"/>
  <c r="F23" i="13"/>
  <c r="G23" i="13"/>
  <c r="E22" i="13"/>
  <c r="F22" i="13"/>
  <c r="A4" i="13"/>
  <c r="E13" i="13"/>
  <c r="E20" i="13"/>
  <c r="C21" i="13"/>
  <c r="D14" i="13"/>
  <c r="F6" i="13"/>
  <c r="F13" i="13"/>
  <c r="F20" i="13"/>
  <c r="G6" i="13"/>
  <c r="G13" i="13"/>
  <c r="G20" i="13"/>
  <c r="C7" i="13"/>
  <c r="C14" i="13"/>
  <c r="D7" i="13"/>
  <c r="D21" i="13"/>
  <c r="E7" i="13"/>
  <c r="E14" i="13"/>
  <c r="F7" i="13"/>
  <c r="F14" i="13"/>
  <c r="G7" i="13"/>
  <c r="F16" i="13"/>
  <c r="G16" i="13"/>
  <c r="C10" i="13"/>
  <c r="C17" i="13"/>
  <c r="D10" i="13"/>
  <c r="D17" i="13"/>
  <c r="E10" i="13"/>
  <c r="E17" i="13"/>
  <c r="F10" i="13"/>
  <c r="F17" i="13"/>
  <c r="G10" i="13"/>
  <c r="G17" i="13"/>
  <c r="C11" i="13"/>
  <c r="D11" i="13"/>
  <c r="C20" i="13"/>
  <c r="D13" i="13"/>
  <c r="D20" i="13"/>
  <c r="C8" i="13"/>
  <c r="E11" i="13"/>
  <c r="G14" i="13"/>
  <c r="C18" i="13"/>
  <c r="E21" i="13"/>
  <c r="D8" i="13"/>
  <c r="F11" i="13"/>
  <c r="D18" i="13"/>
  <c r="F21" i="13"/>
  <c r="C5" i="13"/>
  <c r="G11" i="13"/>
  <c r="C15" i="13"/>
  <c r="E18" i="13"/>
  <c r="F8" i="13"/>
  <c r="D15" i="13"/>
  <c r="F18" i="13"/>
  <c r="E5" i="13"/>
  <c r="C12" i="13"/>
  <c r="E15" i="13"/>
  <c r="G18" i="13"/>
  <c r="G5" i="13"/>
  <c r="E12" i="13"/>
  <c r="D19" i="13"/>
  <c r="D6" i="13"/>
  <c r="F9" i="13"/>
  <c r="D16" i="13"/>
  <c r="F19" i="13"/>
  <c r="E8" i="13"/>
  <c r="G21" i="13"/>
  <c r="D5" i="13"/>
  <c r="G8" i="13"/>
  <c r="F5" i="13"/>
  <c r="D12" i="13"/>
  <c r="F15" i="13"/>
  <c r="C9" i="13"/>
  <c r="G15" i="13"/>
  <c r="C19" i="13"/>
  <c r="D9" i="13"/>
  <c r="F12" i="13"/>
  <c r="C6" i="13"/>
  <c r="E9" i="13"/>
  <c r="G12" i="13"/>
  <c r="C16" i="13"/>
  <c r="E19" i="13"/>
  <c r="E6" i="13"/>
  <c r="G9" i="13"/>
  <c r="C13" i="13"/>
  <c r="E16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Q4" i="13" a="1"/>
  <c r="Q4" i="13" s="1"/>
  <c r="D4" i="13"/>
  <c r="D24" i="13" s="1"/>
  <c r="F4" i="13"/>
  <c r="F24" i="13" s="1"/>
  <c r="C4" i="13"/>
  <c r="C24" i="13" s="1"/>
  <c r="G4" i="13"/>
  <c r="G24" i="13" s="1"/>
  <c r="B36" i="4" l="1"/>
  <c r="E24" i="53" l="1"/>
  <c r="C35" i="53" s="1"/>
  <c r="E20" i="53"/>
  <c r="C34" i="53" s="1"/>
  <c r="E16" i="53"/>
  <c r="C33" i="53" s="1"/>
  <c r="E12" i="53"/>
  <c r="C32" i="53" s="1"/>
  <c r="E8" i="53"/>
  <c r="C31" i="53" s="1"/>
  <c r="E4" i="53"/>
  <c r="C30" i="53" s="1"/>
  <c r="A17" i="4" l="1"/>
  <c r="A11" i="4" a="1"/>
  <c r="A11" i="4" s="1"/>
  <c r="M80" i="48" l="1"/>
  <c r="C157" i="48" l="1" a="1"/>
  <c r="C157" i="48" s="1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H157" i="48"/>
  <c r="E157" i="48" l="1" a="1"/>
  <c r="E157" i="48" s="1"/>
  <c r="J157" i="48" s="1" a="1"/>
  <c r="J157" i="48" s="1"/>
  <c r="K157" i="48" s="1" a="1"/>
  <c r="K157" i="48" l="1"/>
  <c r="L157" i="48" s="1" a="1"/>
  <c r="L157" i="48" s="1"/>
  <c r="G4" i="76" s="1" a="1"/>
  <c r="G4" i="76" s="1"/>
  <c r="M157" i="48" l="1" a="1"/>
  <c r="G211" i="48" s="1"/>
  <c r="M157" i="48" l="1"/>
  <c r="R157" i="48" l="1" a="1"/>
  <c r="R157" i="48" s="1"/>
  <c r="P157" i="48" a="1"/>
  <c r="P157" i="48" s="1"/>
  <c r="F8" i="48" l="1"/>
  <c r="G8" i="48" s="1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H87" i="48"/>
  <c r="E87" i="48" a="1"/>
  <c r="E87" i="48" s="1"/>
  <c r="J87" i="48" s="1" a="1"/>
  <c r="J87" i="48" s="1"/>
  <c r="E15" i="48" a="1"/>
  <c r="E15" i="48" s="1"/>
  <c r="J15" i="48" s="1" a="1"/>
  <c r="J15" i="48" s="1"/>
  <c r="K87" i="48" l="1" a="1"/>
  <c r="K15" i="48" a="1"/>
  <c r="K87" i="48" l="1"/>
  <c r="L87" i="48" s="1" a="1"/>
  <c r="L87" i="48" s="1"/>
  <c r="F4" i="76" s="1" a="1"/>
  <c r="F4" i="76" s="1"/>
  <c r="K15" i="48"/>
  <c r="M87" i="48" l="1" a="1"/>
  <c r="H78" i="48"/>
  <c r="H72" i="48"/>
  <c r="H73" i="48"/>
  <c r="H74" i="48"/>
  <c r="H75" i="48"/>
  <c r="H76" i="48"/>
  <c r="H77" i="48"/>
  <c r="G135" i="48" l="1"/>
  <c r="G136" i="48" s="1"/>
  <c r="G139" i="48"/>
  <c r="G140" i="48" s="1"/>
  <c r="M87" i="48"/>
  <c r="R87" i="48" s="1" a="1"/>
  <c r="R87" i="48" s="1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P87" i="48" l="1" a="1"/>
  <c r="P87" i="48" s="1"/>
  <c r="K79" i="48"/>
  <c r="L15" i="48" l="1" a="1"/>
  <c r="L15" i="48" s="1"/>
  <c r="M15" i="48" l="1" a="1"/>
  <c r="M15" i="48" s="1"/>
  <c r="P15" i="48" s="1" a="1"/>
  <c r="P15" i="48" s="1"/>
  <c r="E4" i="76" a="1"/>
  <c r="E4" i="76" s="1"/>
  <c r="G79" i="48"/>
  <c r="F7" i="48" l="1"/>
  <c r="R15" i="48" a="1"/>
  <c r="R15" i="48" s="1"/>
  <c r="G7" i="48"/>
  <c r="C17" i="4" s="1"/>
  <c r="A21" i="4" l="1"/>
  <c r="C21" i="4"/>
  <c r="F87" i="48" l="1" a="1"/>
  <c r="F87" i="48" s="1"/>
  <c r="N87" i="48" s="1" a="1"/>
  <c r="N87" i="48" s="1"/>
  <c r="D7" i="48" s="1"/>
  <c r="F157" i="48" a="1"/>
  <c r="F157" i="48" s="1"/>
  <c r="N157" i="48" s="1" a="1"/>
  <c r="N157" i="48" s="1"/>
  <c r="D8" i="48" l="1"/>
  <c r="H8" i="48" s="1"/>
  <c r="N80" i="48"/>
  <c r="C8" i="48" s="1"/>
  <c r="N15" i="48" a="1"/>
  <c r="N15" i="48" s="1"/>
  <c r="C7" i="48" s="1"/>
  <c r="H7" i="48"/>
  <c r="C11" i="4" l="1"/>
  <c r="E7" i="48"/>
  <c r="C12" i="4"/>
  <c r="E8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<sst xmlns="http://schemas.openxmlformats.org/spreadsheetml/2006/main" count="8019" uniqueCount="330">
  <si>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</si>
  <si>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</si>
  <si>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</si>
  <si>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</si>
  <si>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</si>
  <si>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</si>
  <si>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</si>
  <si>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</si>
  <si>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</si>
  <si>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</si>
  <si>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</si>
  <si>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</si>
  <si>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</si>
  <si>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</si>
  <si>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</si>
  <si>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</si>
  <si>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</si>
  <si>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</si>
  <si>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</si>
  <si>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</si>
  <si>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</si>
  <si>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</si>
  <si>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</si>
  <si>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</si>
  <si>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</si>
  <si>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</si>
  <si>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</si>
  <si>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</si>
  <si>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</si>
  <si>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</si>
  <si>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</si>
  <si>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</si>
  <si>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</si>
  <si>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</si>
  <si>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</si>
  <si>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</si>
  <si>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</si>
  <si>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</si>
  <si>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</si>
  <si>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</si>
  <si>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</si>
  <si>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</si>
  <si>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</si>
  <si>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</si>
  <si>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</si>
  <si>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</si>
  <si>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</si>
  <si>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</si>
  <si>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</si>
  <si>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</si>
  <si>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</si>
  <si>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</si>
  <si>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</si>
  <si>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</si>
  <si>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</si>
  <si>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</si>
  <si>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</si>
  <si>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</si>
  <si>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</si>
  <si>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</si>
  <si>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</si>
  <si>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</si>
  <si>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</si>
  <si>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</si>
  <si>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</si>
  <si>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</si>
  <si>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</si>
  <si>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</si>
  <si>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</si>
  <si>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</si>
  <si>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</si>
  <si>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</si>
  <si>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</si>
  <si>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</si>
  <si>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</si>
  <si>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</si>
  <si>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</si>
  <si>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</si>
  <si>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</si>
  <si>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</si>
  <si>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</si>
  <si>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</si>
  <si>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</si>
  <si>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</si>
  <si>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</si>
  <si>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</si>
  <si>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FGC1Screen</t>
    <phoneticPr fontId="20" type="noConversion"/>
  </si>
  <si>
    <t>BGC1Screen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</si>
  <si>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</si>
  <si>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</si>
  <si>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</si>
  <si>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</si>
  <si>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</si>
  <si>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</si>
  <si>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</si>
  <si>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</si>
  <si>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</si>
  <si>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</si>
  <si>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</si>
  <si>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Gold M1</t>
    <phoneticPr fontId="20" type="noConversion"/>
  </si>
  <si>
    <t>Gold M2</t>
    <phoneticPr fontId="20" type="noConversion"/>
  </si>
  <si>
    <t>Gold M3</t>
    <phoneticPr fontId="20" type="noConversion"/>
  </si>
  <si>
    <t>Gold M4</t>
    <phoneticPr fontId="20" type="noConversion"/>
  </si>
  <si>
    <t>Gold A</t>
    <phoneticPr fontId="20" type="noConversion"/>
  </si>
  <si>
    <t>Gold K</t>
    <phoneticPr fontId="20" type="noConversion"/>
  </si>
  <si>
    <t>Gold Q</t>
    <phoneticPr fontId="20" type="noConversion"/>
  </si>
  <si>
    <t>Gold 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</si>
  <si>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</si>
  <si>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</si>
  <si>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</si>
  <si>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</si>
  <si>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</si>
  <si>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</si>
  <si>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NB-Newbie-A</t>
  </si>
  <si>
    <t>NB-Newbie-A</t>
    <phoneticPr fontId="20" type="noConversion"/>
  </si>
  <si>
    <t>NB-Newbie-B</t>
  </si>
  <si>
    <t>NB-Newbie-B</t>
    <phoneticPr fontId="20" type="noConversion"/>
  </si>
  <si>
    <t>NB-Oldhand-B</t>
  </si>
  <si>
    <t>NB-Oldhand-B</t>
    <phoneticPr fontId="20" type="noConversion"/>
  </si>
  <si>
    <t>NB-Oldhand-A</t>
  </si>
  <si>
    <t>NB-Oldhand-A</t>
    <phoneticPr fontId="20" type="noConversion"/>
  </si>
  <si>
    <t>BF-A</t>
  </si>
  <si>
    <t>BF-A</t>
    <phoneticPr fontId="20" type="noConversion"/>
  </si>
  <si>
    <t>BF-B</t>
  </si>
  <si>
    <t>BF-B</t>
    <phoneticPr fontId="20" type="noConversion"/>
  </si>
  <si>
    <t>H026192</t>
    <phoneticPr fontId="22" type="noConversion"/>
  </si>
  <si>
    <t>M5</t>
  </si>
  <si>
    <t>G5</t>
  </si>
  <si>
    <t>Gold M5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</si>
  <si>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</si>
  <si>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</si>
  <si>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</si>
  <si>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</si>
  <si>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</si>
  <si>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</si>
  <si>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</si>
  <si>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</si>
  <si>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</si>
  <si>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</si>
  <si>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</si>
  <si>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</si>
  <si>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</si>
  <si>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</si>
  <si>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</si>
  <si>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</si>
  <si>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</si>
  <si>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</si>
  <si>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</si>
  <si>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</si>
  <si>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</si>
  <si>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</si>
  <si>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</si>
  <si>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</si>
  <si>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</si>
  <si>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</si>
  <si>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</si>
  <si>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</si>
  <si>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</si>
  <si>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</si>
  <si>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</si>
  <si>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</si>
  <si>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</si>
  <si>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</si>
  <si>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</si>
  <si>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</si>
  <si>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</si>
  <si>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</si>
  <si>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</si>
  <si>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</si>
  <si>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</si>
  <si>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</si>
  <si>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</si>
  <si>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</si>
  <si>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</si>
  <si>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</si>
  <si>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</si>
  <si>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</si>
  <si>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</si>
  <si>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</si>
  <si>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</si>
  <si>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4. </t>
    </r>
    <r>
      <rPr>
        <sz val="12"/>
        <color theme="1"/>
        <rFont val="微軟正黑體"/>
        <family val="2"/>
        <charset val="136"/>
      </rPr>
      <t>盤面上的金框會先判定是否觸發</t>
    </r>
    <r>
      <rPr>
        <sz val="12"/>
        <color theme="1"/>
        <rFont val="Courier New"/>
        <family val="3"/>
      </rPr>
      <t xml:space="preserve"> Used Special Pool Weight</t>
    </r>
    <r>
      <rPr>
        <sz val="12"/>
        <color theme="1"/>
        <rFont val="微軟正黑體"/>
        <family val="2"/>
        <charset val="136"/>
      </rPr>
      <t>。</t>
    </r>
  </si>
  <si>
    <r>
      <t xml:space="preserve">    5. </t>
    </r>
    <r>
      <rPr>
        <sz val="12"/>
        <color theme="1"/>
        <rFont val="微軟正黑體"/>
        <family val="2"/>
        <charset val="136"/>
      </rPr>
      <t>若命中特殊池，該金框用</t>
    </r>
    <r>
      <rPr>
        <sz val="12"/>
        <color theme="1"/>
        <rFont val="Courier New"/>
        <family val="3"/>
      </rPr>
      <t xml:space="preserve"> Multiple Selection Weight - Special Pool </t>
    </r>
    <r>
      <rPr>
        <sz val="12"/>
        <color theme="1"/>
        <rFont val="微軟正黑體"/>
        <family val="2"/>
        <charset val="136"/>
      </rPr>
      <t>抽倍率。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</si>
  <si>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</si>
  <si>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輪金框用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</si>
  <si>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其他輪金框用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</si>
  <si>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</si>
  <si>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</si>
  <si>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</si>
  <si>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</si>
  <si>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2. </t>
    </r>
    <r>
      <rPr>
        <sz val="12"/>
        <color theme="1"/>
        <rFont val="微軟正黑體"/>
        <family val="2"/>
        <charset val="136"/>
      </rPr>
      <t>命中的金框會把自身倍率加進最終倍率和，並轉成</t>
    </r>
    <r>
      <rPr>
        <sz val="12"/>
        <color theme="1"/>
        <rFont val="Courier New"/>
        <family val="3"/>
      </rPr>
      <t xml:space="preserve"> WW </t>
    </r>
    <r>
      <rPr>
        <sz val="12"/>
        <color theme="1"/>
        <rFont val="微軟正黑體"/>
        <family val="2"/>
        <charset val="136"/>
      </rPr>
      <t>留在盤面。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</si>
  <si>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</si>
  <si>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4. </t>
    </r>
    <r>
      <rPr>
        <sz val="12"/>
        <color theme="1"/>
        <rFont val="微軟正黑體"/>
        <family val="2"/>
        <charset val="136"/>
      </rPr>
      <t>若新補進來的是金框：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</si>
  <si>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</si>
  <si>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</si>
  <si>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</si>
  <si>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</si>
  <si>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</si>
  <si>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</si>
  <si>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</si>
  <si>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</si>
  <si>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</si>
  <si>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</si>
  <si>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</si>
  <si>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</si>
  <si>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</si>
  <si>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</si>
  <si>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</si>
  <si>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3. </t>
    </r>
    <r>
      <rPr>
        <sz val="12"/>
        <color theme="1"/>
        <rFont val="微軟正黑體"/>
        <family val="2"/>
        <charset val="136"/>
      </rPr>
      <t>初始金框倍率分配：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</si>
  <si>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</si>
  <si>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</si>
  <si>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</si>
  <si>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</si>
  <si>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</si>
  <si>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1. </t>
    </r>
    <r>
      <rPr>
        <sz val="12"/>
        <color theme="1"/>
        <rFont val="微軟正黑體"/>
        <family val="2"/>
        <charset val="136"/>
      </rPr>
      <t>命中的金框一樣會把倍率加到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</si>
  <si>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</si>
  <si>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3. </t>
    </r>
    <r>
      <rPr>
        <sz val="12"/>
        <color theme="1"/>
        <rFont val="微軟正黑體"/>
        <family val="2"/>
        <charset val="136"/>
      </rPr>
      <t>新補進來金框的倍率來源：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</si>
  <si>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</si>
  <si>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</si>
  <si>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</si>
  <si>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</si>
  <si>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</si>
  <si>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</si>
  <si>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</si>
  <si>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</si>
  <si>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3. </t>
    </r>
    <r>
      <rPr>
        <sz val="12"/>
        <color theme="1"/>
        <rFont val="微軟正黑體"/>
        <family val="2"/>
        <charset val="136"/>
      </rPr>
      <t>判定倍數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初始金框</t>
    </r>
    <r>
      <rPr>
        <sz val="12"/>
        <color theme="1"/>
        <rFont val="Courier New"/>
        <family val="3"/>
      </rPr>
      <t>/Special Pool)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</si>
  <si>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</si>
  <si>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5. </t>
    </r>
    <r>
      <rPr>
        <sz val="12"/>
        <color theme="1"/>
        <rFont val="微軟正黑體"/>
        <family val="2"/>
        <charset val="136"/>
      </rPr>
      <t>消除循環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消除中獎符號，新符號掉落並判定新金框倍數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</si>
  <si>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</si>
  <si>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</si>
  <si>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</si>
  <si>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</si>
  <si>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</si>
  <si>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</si>
  <si>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4. BG_Symbol (2): </t>
    </r>
    <r>
      <rPr>
        <sz val="12"/>
        <color theme="1"/>
        <rFont val="微軟正黑體"/>
        <family val="2"/>
        <charset val="136"/>
      </rPr>
      <t>觸發全部都是金框用的表。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</si>
  <si>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</si>
  <si>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</si>
  <si>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</si>
  <si>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</si>
  <si>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</si>
  <si>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</si>
  <si>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</si>
  <si>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</si>
  <si>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</si>
  <si>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</si>
  <si>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</si>
  <si>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t>Normal Symbol</t>
    <phoneticPr fontId="20" type="noConversion"/>
  </si>
  <si>
    <t>Golden Symbol</t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</si>
  <si>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</si>
  <si>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</si>
  <si>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</si>
  <si>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</si>
  <si>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</si>
  <si>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</si>
  <si>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r>
      <rPr>
        <sz val="12"/>
        <color theme="1"/>
        <rFont val="微軟正黑體"/>
        <family val="2"/>
        <charset val="136"/>
      </rPr>
      <t>墨西哥狂歡</t>
    </r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</si>
  <si>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</si>
  <si>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</si>
  <si>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</si>
  <si>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</si>
  <si>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</si>
  <si>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</si>
  <si>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</si>
  <si>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</si>
  <si>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</si>
  <si>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</si>
  <si>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</si>
  <si>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</si>
  <si>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</si>
  <si>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</si>
  <si>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</si>
  <si>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</si>
  <si>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</si>
  <si>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</si>
  <si>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</si>
  <si>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</si>
  <si>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</si>
  <si>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</si>
  <si>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</si>
  <si>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</si>
  <si>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</si>
  <si>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</si>
  <si>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</si>
  <si>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</si>
  <si>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</si>
  <si>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</si>
  <si>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</si>
  <si>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</si>
  <si>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</si>
  <si>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</si>
  <si>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</si>
  <si>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</si>
  <si>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</si>
  <si>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</si>
  <si>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</si>
  <si>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</si>
  <si>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</si>
  <si>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</si>
  <si>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</si>
  <si>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</si>
  <si>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</si>
  <si>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</si>
  <si>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</si>
  <si>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</si>
  <si>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</si>
  <si>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</si>
  <si>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</si>
  <si>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</si>
  <si>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</si>
  <si>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</si>
  <si>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</si>
  <si>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</si>
  <si>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</si>
  <si>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</si>
  <si>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</si>
  <si>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</si>
  <si>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</si>
  <si>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</si>
  <si>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</si>
  <si>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</si>
  <si>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</si>
  <si>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Weight_BF</t>
    <phoneticPr fontId="29" type="noConversion"/>
  </si>
  <si>
    <t>Weight_FG</t>
    <phoneticPr fontId="29" type="noConversion"/>
  </si>
  <si>
    <t>Weight_BG</t>
    <phoneticPr fontId="29" type="noConversion"/>
  </si>
  <si>
    <t>Range</t>
  </si>
  <si>
    <t>Oldhand</t>
    <phoneticPr fontId="20" type="noConversion"/>
  </si>
  <si>
    <t>Newbie</t>
    <phoneticPr fontId="20" type="noConversion"/>
  </si>
  <si>
    <t>0.1.0.3</t>
    <phoneticPr fontId="20" type="noConversion"/>
  </si>
  <si>
    <t>Fix Num A</t>
    <phoneticPr fontId="29" type="noConversion"/>
  </si>
  <si>
    <t>Fix Num B</t>
    <phoneticPr fontId="29" type="noConversion"/>
  </si>
  <si>
    <t>M5</t>
    <phoneticPr fontId="20" type="noConversion"/>
  </si>
  <si>
    <t>G1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</si>
</sst>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00000"/>
    <numFmt numFmtId="181" formatCode="0.0%"/>
    <numFmt numFmtId="182" formatCode="0.0000"/>
    <numFmt numFmtId="183" formatCode="0.000"/>
    <numFmt numFmtId="184" formatCode="0.0"/>
  </numFmts>
  <fonts count="31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0" fontId="25" fillId="0" borderId="11" xfId="0" applyFont="1" applyBorder="1"/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80" fontId="27" fillId="0" borderId="0" xfId="0" applyNumberFormat="1" applyFont="1"/>
    <xf numFmtId="1" fontId="27" fillId="0" borderId="0" xfId="0" applyNumberFormat="1" applyFont="1"/>
    <xf numFmtId="1" fontId="25" fillId="0" borderId="0" xfId="0" applyNumberFormat="1" applyFont="1"/>
    <xf numFmtId="181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79" fontId="25" fillId="35" borderId="11" xfId="0" applyNumberFormat="1" applyFont="1" applyFill="1" applyBorder="1"/>
    <xf numFmtId="10" fontId="25" fillId="0" borderId="0" xfId="0" applyNumberFormat="1" applyFont="1"/>
    <xf numFmtId="0" fontId="19" fillId="4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2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0" fontId="25" fillId="0" borderId="15" xfId="0" applyFont="1" applyBorder="1"/>
    <xf numFmtId="183" fontId="27" fillId="0" borderId="0" xfId="1" applyNumberFormat="1" applyFont="1" applyAlignment="1"/>
    <xf numFmtId="183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35" borderId="15" xfId="0" applyNumberFormat="1" applyFont="1" applyFill="1" applyBorder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43" borderId="15" xfId="0" applyNumberFormat="1" applyFont="1" applyFill="1" applyBorder="1"/>
    <xf numFmtId="0" fontId="19" fillId="0" borderId="10" xfId="0" applyNumberFormat="1" applyFont="1" applyFill="1" applyBorder="1"/>
    <xf numFmtId="0" fontId="19" fillId="35" borderId="10" xfId="0" applyNumberFormat="1" applyFont="1" applyFill="1" applyBorder="1"/>
    <xf numFmtId="0" fontId="19" fillId="43" borderId="10" xfId="0" applyNumberFormat="1" applyFont="1" applyFill="1" applyBorder="1"/>
    <xf numFmtId="2" fontId="19" fillId="0" borderId="0" xfId="0" applyNumberFormat="1" applyFont="1" applyFill="1" applyBorder="1"/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4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80" fontId="25" fillId="0" borderId="0" xfId="1" applyNumberFormat="1" applyFont="1" applyAlignment="1"/>
    <xf numFmtId="0" fontId="25" fillId="36" borderId="15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vertical="center"/>
    </xf>
    <xf numFmtId="178" fontId="25" fillId="33" borderId="0" xfId="61099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5"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2"/>
  <sheetViews>
    <sheetView tabSelected="1" workbookViewId="0">
      <selection activeCell="F16" sqref="F16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8" t="s">
        <v>39</v>
      </c>
      <c r="B2" s="38" t="s">
        <v>125</v>
      </c>
      <c r="C2" s="5"/>
    </row>
    <row r="3" spans="1:9" x14ac:dyDescent="0.3">
      <c r="A3" s="18" t="s">
        <v>40</v>
      </c>
      <c r="B3" s="38" t="s">
        <v>325</v>
      </c>
      <c r="C3" s="19"/>
    </row>
    <row r="4" spans="1:9" x14ac:dyDescent="0.3">
      <c r="C4" s="28"/>
    </row>
    <row r="5" spans="1:9" x14ac:dyDescent="0.3">
      <c r="C5" s="28"/>
    </row>
    <row r="6" spans="1:9" x14ac:dyDescent="0.3">
      <c r="A6" s="20" t="s">
        <v>56</v>
      </c>
      <c r="C6" s="28"/>
    </row>
    <row r="7" spans="1:9" x14ac:dyDescent="0.3">
      <c r="A7" s="37">
        <v>100</v>
      </c>
      <c r="C7" s="28"/>
    </row>
    <row r="8" spans="1:9" x14ac:dyDescent="0.3">
      <c r="C8" s="28"/>
    </row>
    <row r="9" spans="1:9" x14ac:dyDescent="0.3">
      <c r="C9" s="28"/>
    </row>
    <row r="10" spans="1:9" x14ac:dyDescent="0.3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 x14ac:dyDescent="0.3">
      <c r="A11" s="42" cm="1">
        <f t="array" ref="A11:A12">B11:B12*A7</f>
        <v>100</v>
      </c>
      <c r="B11" s="37">
        <v>1</v>
      </c>
      <c r="C11" s="105">
        <f>SUM(B17:B18)</f>
        <v>0</v>
      </c>
      <c r="D11" s="105" t="s">
        <v>53</v>
      </c>
      <c r="G11" s="7"/>
      <c r="H11" s="7"/>
      <c r="I11" s="7"/>
    </row>
    <row r="12" spans="1:9" x14ac:dyDescent="0.3">
      <c r="A12" s="42">
        <v>7500</v>
      </c>
      <c r="B12" s="37">
        <v>75</v>
      </c>
      <c r="C12" s="50">
        <f>SUM(B21:B22)</f>
        <v>0</v>
      </c>
      <c r="D12" s="50" t="s">
        <v>55</v>
      </c>
    </row>
    <row r="13" spans="1:9" x14ac:dyDescent="0.3">
      <c r="A13" s="23"/>
      <c r="B13" s="23"/>
      <c r="C13" s="24"/>
      <c r="D13" s="2"/>
      <c r="F13" s="3"/>
    </row>
    <row r="14" spans="1:9" x14ac:dyDescent="0.3">
      <c r="A14" s="10"/>
      <c r="B14" s="10"/>
      <c r="C14" s="24"/>
      <c r="D14" s="24"/>
      <c r="F14" s="4"/>
    </row>
    <row r="15" spans="1:9" x14ac:dyDescent="0.3">
      <c r="A15" s="27" t="s">
        <v>24</v>
      </c>
      <c r="B15" s="11"/>
      <c r="C15" s="47"/>
      <c r="D15" s="44"/>
      <c r="E15" s="48"/>
      <c r="F15" s="7"/>
      <c r="G15" s="7"/>
      <c r="H15" s="7"/>
      <c r="I15" s="12"/>
    </row>
    <row r="16" spans="1:9" x14ac:dyDescent="0.3">
      <c r="A16" s="33" t="s">
        <v>52</v>
      </c>
      <c r="B16" s="20" t="s">
        <v>0</v>
      </c>
      <c r="C16" s="20" t="s">
        <v>1</v>
      </c>
      <c r="D16" s="20" t="s">
        <v>2</v>
      </c>
      <c r="E16" s="20" t="s">
        <v>12</v>
      </c>
      <c r="F16" s="108"/>
      <c r="G16" s="7"/>
      <c r="H16" s="7"/>
      <c r="I16" s="12"/>
    </row>
    <row r="17" spans="1:9" x14ac:dyDescent="0.3">
      <c r="A17" s="198" t="str">
        <f>D11</f>
        <v>Normal Bet</v>
      </c>
      <c r="B17" s="41"/>
      <c r="C17" s="199" t="e">
        <f>1/D17</f>
        <v>#DIV/0!</v>
      </c>
      <c r="D17" s="201"/>
      <c r="E17" s="29" t="s">
        <v>49</v>
      </c>
      <c r="F17" s="108"/>
      <c r="G17" s="7"/>
      <c r="H17" s="7"/>
      <c r="I17" s="12"/>
    </row>
    <row r="18" spans="1:9" x14ac:dyDescent="0.3">
      <c r="A18" s="198"/>
      <c r="B18" s="41"/>
      <c r="C18" s="200"/>
      <c r="D18" s="202"/>
      <c r="E18" s="29" t="s">
        <v>57</v>
      </c>
      <c r="F18" s="108"/>
      <c r="G18" s="7"/>
      <c r="H18" s="7"/>
      <c r="I18" s="12"/>
    </row>
    <row r="19" spans="1:9" x14ac:dyDescent="0.3">
      <c r="A19" s="45"/>
      <c r="B19" s="46"/>
      <c r="C19" s="47"/>
      <c r="D19" s="44"/>
      <c r="E19" s="7"/>
      <c r="F19" s="108"/>
      <c r="G19" s="7"/>
      <c r="H19" s="7"/>
      <c r="I19" s="12"/>
    </row>
    <row r="20" spans="1:9" x14ac:dyDescent="0.3">
      <c r="A20" s="33" t="s">
        <v>52</v>
      </c>
      <c r="B20" s="20" t="s">
        <v>0</v>
      </c>
      <c r="C20" s="20" t="s">
        <v>1</v>
      </c>
      <c r="D20" s="20" t="s">
        <v>2</v>
      </c>
      <c r="E20" s="20" t="s">
        <v>12</v>
      </c>
      <c r="F20" s="108"/>
      <c r="G20" s="7"/>
      <c r="H20" s="7"/>
      <c r="I20" s="12"/>
    </row>
    <row r="21" spans="1:9" x14ac:dyDescent="0.3">
      <c r="A21" s="198" t="str">
        <f>D12</f>
        <v>Buy Feature</v>
      </c>
      <c r="B21" s="41"/>
      <c r="C21" s="199">
        <f>1/D21</f>
        <v>1</v>
      </c>
      <c r="D21" s="203">
        <v>1</v>
      </c>
      <c r="E21" s="29" t="s">
        <v>49</v>
      </c>
      <c r="F21" s="108"/>
      <c r="G21" s="7"/>
      <c r="H21" s="7"/>
      <c r="I21" s="12"/>
    </row>
    <row r="22" spans="1:9" x14ac:dyDescent="0.3">
      <c r="A22" s="198"/>
      <c r="B22" s="41"/>
      <c r="C22" s="200"/>
      <c r="D22" s="204"/>
      <c r="E22" s="29" t="s">
        <v>57</v>
      </c>
      <c r="F22" s="108"/>
      <c r="G22" s="7"/>
      <c r="H22" s="7"/>
      <c r="I22" s="12"/>
    </row>
    <row r="23" spans="1:9" x14ac:dyDescent="0.3">
      <c r="A23" s="45"/>
      <c r="B23" s="46"/>
      <c r="C23" s="47"/>
      <c r="D23" s="44"/>
      <c r="E23" s="7"/>
      <c r="F23" s="7"/>
      <c r="G23" s="7"/>
      <c r="H23" s="7"/>
      <c r="I23" s="12"/>
    </row>
    <row r="24" spans="1:9" x14ac:dyDescent="0.3">
      <c r="A24" s="45"/>
      <c r="B24" s="46"/>
      <c r="C24" s="47"/>
      <c r="D24" s="44"/>
      <c r="E24" s="7"/>
      <c r="F24" s="7"/>
      <c r="G24" s="7"/>
      <c r="H24" s="7"/>
      <c r="I24" s="12"/>
    </row>
    <row r="25" spans="1:9" x14ac:dyDescent="0.3">
      <c r="A25" s="20" t="s">
        <v>3</v>
      </c>
      <c r="B25" s="20">
        <v>1</v>
      </c>
      <c r="C25" s="20">
        <v>2</v>
      </c>
      <c r="D25" s="20">
        <v>3</v>
      </c>
      <c r="E25" s="20">
        <v>4</v>
      </c>
      <c r="F25" s="20">
        <v>5</v>
      </c>
      <c r="G25" s="7"/>
      <c r="H25" s="7"/>
    </row>
    <row r="26" spans="1:9" x14ac:dyDescent="0.3">
      <c r="A26" s="21" t="s">
        <v>4</v>
      </c>
      <c r="B26" s="22">
        <v>3</v>
      </c>
      <c r="C26" s="22">
        <v>3</v>
      </c>
      <c r="D26" s="22">
        <v>3</v>
      </c>
      <c r="E26" s="22">
        <v>3</v>
      </c>
      <c r="F26" s="22">
        <v>3</v>
      </c>
      <c r="G26" s="7"/>
      <c r="H26" s="7"/>
    </row>
    <row r="27" spans="1:9" x14ac:dyDescent="0.3">
      <c r="A27" s="31"/>
      <c r="B27" s="31"/>
      <c r="C27" s="31"/>
      <c r="D27" s="31"/>
      <c r="E27" s="31"/>
      <c r="F27" s="31"/>
      <c r="G27" s="31"/>
    </row>
    <row r="28" spans="1:9" x14ac:dyDescent="0.3">
      <c r="A28" s="31"/>
      <c r="B28" s="31"/>
      <c r="C28" s="31"/>
      <c r="D28" s="31"/>
      <c r="E28" s="31"/>
      <c r="F28" s="31"/>
      <c r="G28" s="31"/>
    </row>
    <row r="29" spans="1:9" x14ac:dyDescent="0.3">
      <c r="A29" s="1" t="s">
        <v>47</v>
      </c>
    </row>
    <row r="30" spans="1:9" x14ac:dyDescent="0.3">
      <c r="A30" s="20" t="s">
        <v>41</v>
      </c>
      <c r="B30" s="20" t="s">
        <v>49</v>
      </c>
      <c r="C30" s="20" t="s">
        <v>50</v>
      </c>
    </row>
    <row r="31" spans="1:9" x14ac:dyDescent="0.3">
      <c r="A31" s="22">
        <v>3</v>
      </c>
      <c r="B31" s="39">
        <v>15</v>
      </c>
      <c r="C31" s="39">
        <v>15</v>
      </c>
    </row>
    <row r="32" spans="1:9" x14ac:dyDescent="0.3">
      <c r="A32" s="22">
        <v>4</v>
      </c>
      <c r="B32" s="39">
        <v>17</v>
      </c>
      <c r="C32" s="39">
        <v>17</v>
      </c>
    </row>
    <row r="33" spans="1:6" x14ac:dyDescent="0.3">
      <c r="A33" s="8">
        <v>5</v>
      </c>
      <c r="B33" s="40">
        <v>19</v>
      </c>
      <c r="C33" s="40">
        <v>19</v>
      </c>
    </row>
    <row r="34" spans="1:6" x14ac:dyDescent="0.3">
      <c r="A34" s="155" t="s">
        <v>168</v>
      </c>
      <c r="B34" s="32"/>
    </row>
    <row r="36" spans="1:6" x14ac:dyDescent="0.3">
      <c r="A36" s="1" t="s">
        <v>46</v>
      </c>
      <c r="B36" s="1" t="str">
        <f>"All wins show for "&amp;A7&amp;" credit bet."</f>
        <v>All wins show for 100 credit bet.</v>
      </c>
    </row>
    <row r="37" spans="1:6" x14ac:dyDescent="0.3">
      <c r="A37" s="20" t="s">
        <v>42</v>
      </c>
      <c r="B37" s="20" t="s">
        <v>43</v>
      </c>
      <c r="C37" s="20">
        <v>3</v>
      </c>
      <c r="D37" s="20">
        <v>4</v>
      </c>
      <c r="E37" s="20">
        <v>5</v>
      </c>
      <c r="F37" s="20" t="s">
        <v>48</v>
      </c>
    </row>
    <row r="38" spans="1:6" x14ac:dyDescent="0.3">
      <c r="A38" s="22" t="s">
        <v>25</v>
      </c>
      <c r="B38" s="22" t="s">
        <v>44</v>
      </c>
      <c r="C38" s="34">
        <v>0</v>
      </c>
      <c r="D38" s="34">
        <v>0</v>
      </c>
      <c r="E38" s="34">
        <v>0</v>
      </c>
      <c r="F38" s="35">
        <v>0</v>
      </c>
    </row>
    <row r="39" spans="1:6" x14ac:dyDescent="0.3">
      <c r="A39" s="8" t="s">
        <v>30</v>
      </c>
      <c r="B39" s="8" t="s">
        <v>45</v>
      </c>
      <c r="C39" s="30">
        <v>0</v>
      </c>
      <c r="D39" s="30">
        <v>0</v>
      </c>
      <c r="E39" s="30">
        <v>0</v>
      </c>
      <c r="F39" s="36">
        <v>1</v>
      </c>
    </row>
    <row r="40" spans="1:6" x14ac:dyDescent="0.3">
      <c r="A40" s="145" t="s">
        <v>26</v>
      </c>
      <c r="B40" s="145" t="s">
        <v>26</v>
      </c>
      <c r="C40" s="145">
        <v>250</v>
      </c>
      <c r="D40" s="145">
        <v>1250</v>
      </c>
      <c r="E40" s="145">
        <v>5000</v>
      </c>
      <c r="F40" s="146">
        <v>2</v>
      </c>
    </row>
    <row r="41" spans="1:6" x14ac:dyDescent="0.3">
      <c r="A41" s="145" t="s">
        <v>27</v>
      </c>
      <c r="B41" s="145" t="s">
        <v>27</v>
      </c>
      <c r="C41" s="145">
        <v>100</v>
      </c>
      <c r="D41" s="145">
        <v>500</v>
      </c>
      <c r="E41" s="145">
        <v>2000</v>
      </c>
      <c r="F41" s="147">
        <v>3</v>
      </c>
    </row>
    <row r="42" spans="1:6" x14ac:dyDescent="0.3">
      <c r="A42" s="145" t="s">
        <v>28</v>
      </c>
      <c r="B42" s="145" t="s">
        <v>28</v>
      </c>
      <c r="C42" s="145">
        <v>75</v>
      </c>
      <c r="D42" s="145">
        <v>250</v>
      </c>
      <c r="E42" s="145">
        <v>1000</v>
      </c>
      <c r="F42" s="146">
        <v>4</v>
      </c>
    </row>
    <row r="43" spans="1:6" x14ac:dyDescent="0.3">
      <c r="A43" s="145" t="s">
        <v>29</v>
      </c>
      <c r="B43" s="145" t="s">
        <v>29</v>
      </c>
      <c r="C43" s="145">
        <v>50</v>
      </c>
      <c r="D43" s="145">
        <v>200</v>
      </c>
      <c r="E43" s="145">
        <v>750</v>
      </c>
      <c r="F43" s="147">
        <v>5</v>
      </c>
    </row>
    <row r="44" spans="1:6" x14ac:dyDescent="0.3">
      <c r="A44" s="145" t="s">
        <v>126</v>
      </c>
      <c r="B44" s="145" t="s">
        <v>126</v>
      </c>
      <c r="C44" s="148">
        <v>25</v>
      </c>
      <c r="D44" s="148">
        <v>100</v>
      </c>
      <c r="E44" s="148">
        <v>500</v>
      </c>
      <c r="F44" s="146">
        <v>6</v>
      </c>
    </row>
    <row r="45" spans="1:6" x14ac:dyDescent="0.3">
      <c r="A45" s="145" t="s">
        <v>23</v>
      </c>
      <c r="B45" s="145" t="s">
        <v>23</v>
      </c>
      <c r="C45" s="145">
        <v>10</v>
      </c>
      <c r="D45" s="145">
        <v>50</v>
      </c>
      <c r="E45" s="145">
        <v>250</v>
      </c>
      <c r="F45" s="147">
        <v>7</v>
      </c>
    </row>
    <row r="46" spans="1:6" x14ac:dyDescent="0.3">
      <c r="A46" s="145" t="s">
        <v>31</v>
      </c>
      <c r="B46" s="145" t="s">
        <v>31</v>
      </c>
      <c r="C46" s="145">
        <v>10</v>
      </c>
      <c r="D46" s="145">
        <v>50</v>
      </c>
      <c r="E46" s="145">
        <v>250</v>
      </c>
      <c r="F46" s="146">
        <v>8</v>
      </c>
    </row>
    <row r="47" spans="1:6" x14ac:dyDescent="0.3">
      <c r="A47" s="145" t="s">
        <v>32</v>
      </c>
      <c r="B47" s="145" t="s">
        <v>32</v>
      </c>
      <c r="C47" s="145">
        <v>10</v>
      </c>
      <c r="D47" s="145">
        <v>50</v>
      </c>
      <c r="E47" s="145">
        <v>250</v>
      </c>
      <c r="F47" s="147">
        <v>9</v>
      </c>
    </row>
    <row r="48" spans="1:6" x14ac:dyDescent="0.3">
      <c r="A48" s="145" t="s">
        <v>33</v>
      </c>
      <c r="B48" s="145" t="s">
        <v>33</v>
      </c>
      <c r="C48" s="145">
        <v>10</v>
      </c>
      <c r="D48" s="145">
        <v>50</v>
      </c>
      <c r="E48" s="145">
        <v>250</v>
      </c>
      <c r="F48" s="146">
        <v>10</v>
      </c>
    </row>
    <row r="49" spans="1:9" x14ac:dyDescent="0.3">
      <c r="A49" s="8" t="s">
        <v>88</v>
      </c>
      <c r="B49" s="8" t="s">
        <v>99</v>
      </c>
      <c r="C49" s="30">
        <v>250</v>
      </c>
      <c r="D49" s="30">
        <v>1250</v>
      </c>
      <c r="E49" s="30">
        <v>5000</v>
      </c>
      <c r="F49" s="36">
        <v>11</v>
      </c>
    </row>
    <row r="50" spans="1:9" x14ac:dyDescent="0.3">
      <c r="A50" s="8" t="s">
        <v>89</v>
      </c>
      <c r="B50" s="8" t="s">
        <v>100</v>
      </c>
      <c r="C50" s="30">
        <v>100</v>
      </c>
      <c r="D50" s="30">
        <v>500</v>
      </c>
      <c r="E50" s="30">
        <v>2000</v>
      </c>
      <c r="F50" s="35">
        <v>12</v>
      </c>
    </row>
    <row r="51" spans="1:9" x14ac:dyDescent="0.3">
      <c r="A51" s="8" t="s">
        <v>90</v>
      </c>
      <c r="B51" s="8" t="s">
        <v>101</v>
      </c>
      <c r="C51" s="30">
        <v>75</v>
      </c>
      <c r="D51" s="30">
        <v>250</v>
      </c>
      <c r="E51" s="30">
        <v>1000</v>
      </c>
      <c r="F51" s="36">
        <v>13</v>
      </c>
    </row>
    <row r="52" spans="1:9" x14ac:dyDescent="0.3">
      <c r="A52" s="8" t="s">
        <v>91</v>
      </c>
      <c r="B52" s="8" t="s">
        <v>102</v>
      </c>
      <c r="C52" s="30">
        <v>50</v>
      </c>
      <c r="D52" s="30">
        <v>200</v>
      </c>
      <c r="E52" s="30">
        <v>750</v>
      </c>
      <c r="F52" s="35">
        <v>14</v>
      </c>
    </row>
    <row r="53" spans="1:9" x14ac:dyDescent="0.3">
      <c r="A53" s="8" t="s">
        <v>127</v>
      </c>
      <c r="B53" s="8" t="s">
        <v>128</v>
      </c>
      <c r="C53" s="132">
        <v>25</v>
      </c>
      <c r="D53" s="132">
        <v>100</v>
      </c>
      <c r="E53" s="132">
        <v>500</v>
      </c>
      <c r="F53" s="36">
        <v>15</v>
      </c>
    </row>
    <row r="54" spans="1:9" x14ac:dyDescent="0.3">
      <c r="A54" s="8" t="s">
        <v>93</v>
      </c>
      <c r="B54" s="8" t="s">
        <v>103</v>
      </c>
      <c r="C54" s="30">
        <v>10</v>
      </c>
      <c r="D54" s="30">
        <v>50</v>
      </c>
      <c r="E54" s="30">
        <v>250</v>
      </c>
      <c r="F54" s="35">
        <v>16</v>
      </c>
    </row>
    <row r="55" spans="1:9" x14ac:dyDescent="0.3">
      <c r="A55" s="8" t="s">
        <v>94</v>
      </c>
      <c r="B55" s="8" t="s">
        <v>104</v>
      </c>
      <c r="C55" s="30">
        <v>10</v>
      </c>
      <c r="D55" s="30">
        <v>50</v>
      </c>
      <c r="E55" s="30">
        <v>250</v>
      </c>
      <c r="F55" s="36">
        <v>17</v>
      </c>
    </row>
    <row r="56" spans="1:9" x14ac:dyDescent="0.3">
      <c r="A56" s="8" t="s">
        <v>96</v>
      </c>
      <c r="B56" s="8" t="s">
        <v>105</v>
      </c>
      <c r="C56" s="30">
        <v>10</v>
      </c>
      <c r="D56" s="30">
        <v>50</v>
      </c>
      <c r="E56" s="30">
        <v>250</v>
      </c>
      <c r="F56" s="35">
        <v>18</v>
      </c>
    </row>
    <row r="57" spans="1:9" x14ac:dyDescent="0.3">
      <c r="A57" s="8" t="s">
        <v>98</v>
      </c>
      <c r="B57" s="8" t="s">
        <v>106</v>
      </c>
      <c r="C57" s="30">
        <v>10</v>
      </c>
      <c r="D57" s="30">
        <v>50</v>
      </c>
      <c r="E57" s="30">
        <v>250</v>
      </c>
      <c r="F57" s="36">
        <v>19</v>
      </c>
    </row>
    <row r="58" spans="1:9" x14ac:dyDescent="0.3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3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3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3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3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3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3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3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3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3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3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3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3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3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3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3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3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3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3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3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3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3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3">
      <c r="B80" s="6"/>
      <c r="C80" s="6"/>
      <c r="D80" s="6"/>
    </row>
    <row r="82" spans="6:9" x14ac:dyDescent="0.3">
      <c r="F82" s="24"/>
      <c r="G82" s="24"/>
      <c r="H82" s="24"/>
      <c r="I82" s="24"/>
    </row>
    <row r="87" spans="6:9" x14ac:dyDescent="0.3">
      <c r="F87" s="24"/>
      <c r="G87" s="24"/>
      <c r="H87" s="24"/>
      <c r="I87" s="24"/>
    </row>
    <row r="92" spans="6:9" x14ac:dyDescent="0.3">
      <c r="F92" s="24"/>
      <c r="G92" s="24"/>
    </row>
    <row r="97" spans="6:7" x14ac:dyDescent="0.3">
      <c r="F97" s="24"/>
      <c r="G97" s="24"/>
    </row>
    <row r="102" spans="6:7" x14ac:dyDescent="0.3">
      <c r="F102" s="24"/>
      <c r="G102" s="24"/>
    </row>
  </sheetData>
  <mergeCells count="6">
    <mergeCell ref="A17:A18"/>
    <mergeCell ref="C17:C18"/>
    <mergeCell ref="D17:D18"/>
    <mergeCell ref="A21:A22"/>
    <mergeCell ref="D21:D22"/>
    <mergeCell ref="C21:C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4"/>
  </cols>
  <sheetData>
    <row r="3" spans="2:2" x14ac:dyDescent="0.3">
      <c r="B3" s="24" t="s">
        <v>174</v>
      </c>
    </row>
    <row r="5" spans="2:2" x14ac:dyDescent="0.3">
      <c r="B5" s="24" t="s">
        <v>175</v>
      </c>
    </row>
    <row r="7" spans="2:2" x14ac:dyDescent="0.3">
      <c r="B7" s="24" t="s">
        <v>176</v>
      </c>
    </row>
    <row r="8" spans="2:2" x14ac:dyDescent="0.3">
      <c r="B8" s="24" t="s">
        <v>177</v>
      </c>
    </row>
    <row r="9" spans="2:2" x14ac:dyDescent="0.3">
      <c r="B9" s="24" t="s">
        <v>178</v>
      </c>
    </row>
    <row r="10" spans="2:2" x14ac:dyDescent="0.3">
      <c r="B10" s="24" t="s">
        <v>179</v>
      </c>
    </row>
    <row r="11" spans="2:2" x14ac:dyDescent="0.3">
      <c r="B11" s="24" t="s">
        <v>180</v>
      </c>
    </row>
    <row r="12" spans="2:2" x14ac:dyDescent="0.3">
      <c r="B12" s="24" t="s">
        <v>181</v>
      </c>
    </row>
    <row r="13" spans="2:2" x14ac:dyDescent="0.3">
      <c r="B13" s="24" t="s">
        <v>182</v>
      </c>
    </row>
    <row r="14" spans="2:2" x14ac:dyDescent="0.3">
      <c r="B14" s="24" t="s">
        <v>183</v>
      </c>
    </row>
    <row r="15" spans="2:2" x14ac:dyDescent="0.3">
      <c r="B15" s="24" t="s">
        <v>184</v>
      </c>
    </row>
    <row r="16" spans="2:2" x14ac:dyDescent="0.3">
      <c r="B16" s="24" t="s">
        <v>185</v>
      </c>
    </row>
    <row r="18" spans="2:2" x14ac:dyDescent="0.3">
      <c r="B18" s="24" t="s">
        <v>186</v>
      </c>
    </row>
    <row r="19" spans="2:2" x14ac:dyDescent="0.3">
      <c r="B19" s="24" t="s">
        <v>173</v>
      </c>
    </row>
    <row r="20" spans="2:2" x14ac:dyDescent="0.3">
      <c r="B20" s="24" t="s">
        <v>187</v>
      </c>
    </row>
    <row r="21" spans="2:2" x14ac:dyDescent="0.3">
      <c r="B21" s="24" t="s">
        <v>188</v>
      </c>
    </row>
    <row r="22" spans="2:2" x14ac:dyDescent="0.3">
      <c r="B22" s="24" t="s">
        <v>189</v>
      </c>
    </row>
    <row r="23" spans="2:2" x14ac:dyDescent="0.3">
      <c r="B23" s="24" t="s">
        <v>190</v>
      </c>
    </row>
    <row r="24" spans="2:2" x14ac:dyDescent="0.3">
      <c r="B24" s="24" t="s">
        <v>191</v>
      </c>
    </row>
    <row r="25" spans="2:2" x14ac:dyDescent="0.3">
      <c r="B25" s="24" t="s">
        <v>192</v>
      </c>
    </row>
    <row r="26" spans="2:2" x14ac:dyDescent="0.3">
      <c r="B26" s="24" t="s">
        <v>193</v>
      </c>
    </row>
    <row r="28" spans="2:2" x14ac:dyDescent="0.3">
      <c r="B28" s="24" t="s">
        <v>194</v>
      </c>
    </row>
    <row r="30" spans="2:2" x14ac:dyDescent="0.3">
      <c r="B30" s="24" t="s">
        <v>195</v>
      </c>
    </row>
    <row r="31" spans="2:2" x14ac:dyDescent="0.3">
      <c r="B31" s="24" t="s">
        <v>196</v>
      </c>
    </row>
    <row r="33" spans="2:2" x14ac:dyDescent="0.3">
      <c r="B33" s="24" t="s">
        <v>197</v>
      </c>
    </row>
    <row r="35" spans="2:2" x14ac:dyDescent="0.3">
      <c r="B35" s="24" t="s">
        <v>198</v>
      </c>
    </row>
    <row r="37" spans="2:2" x14ac:dyDescent="0.3">
      <c r="B37" s="24" t="s">
        <v>199</v>
      </c>
    </row>
    <row r="38" spans="2:2" x14ac:dyDescent="0.3">
      <c r="B38" s="24" t="s">
        <v>200</v>
      </c>
    </row>
    <row r="39" spans="2:2" x14ac:dyDescent="0.3">
      <c r="B39" s="24" t="s">
        <v>201</v>
      </c>
    </row>
    <row r="40" spans="2:2" x14ac:dyDescent="0.3">
      <c r="B40" s="24" t="s">
        <v>202</v>
      </c>
    </row>
    <row r="42" spans="2:2" x14ac:dyDescent="0.3">
      <c r="B42" s="24" t="s">
        <v>203</v>
      </c>
    </row>
    <row r="43" spans="2:2" x14ac:dyDescent="0.3">
      <c r="B43" s="24" t="s">
        <v>173</v>
      </c>
    </row>
    <row r="44" spans="2:2" x14ac:dyDescent="0.3">
      <c r="B44" s="24" t="s">
        <v>204</v>
      </c>
    </row>
    <row r="46" spans="2:2" x14ac:dyDescent="0.3">
      <c r="B46" s="24" t="s">
        <v>205</v>
      </c>
    </row>
    <row r="47" spans="2:2" x14ac:dyDescent="0.3">
      <c r="B47" s="24" t="s">
        <v>206</v>
      </c>
    </row>
    <row r="48" spans="2:2" x14ac:dyDescent="0.3">
      <c r="B48" s="24" t="s">
        <v>207</v>
      </c>
    </row>
    <row r="49" spans="2:2" x14ac:dyDescent="0.3">
      <c r="B49" s="24" t="s">
        <v>208</v>
      </c>
    </row>
    <row r="50" spans="2:2" x14ac:dyDescent="0.3">
      <c r="B50" s="24" t="s">
        <v>209</v>
      </c>
    </row>
    <row r="51" spans="2:2" x14ac:dyDescent="0.3">
      <c r="B51" s="24" t="s">
        <v>210</v>
      </c>
    </row>
    <row r="53" spans="2:2" x14ac:dyDescent="0.3">
      <c r="B53" s="24" t="s">
        <v>211</v>
      </c>
    </row>
    <row r="55" spans="2:2" x14ac:dyDescent="0.3">
      <c r="B55" s="24" t="s">
        <v>212</v>
      </c>
    </row>
    <row r="56" spans="2:2" x14ac:dyDescent="0.3">
      <c r="B56" s="24" t="s">
        <v>213</v>
      </c>
    </row>
    <row r="57" spans="2:2" x14ac:dyDescent="0.3">
      <c r="B57" s="24" t="s">
        <v>214</v>
      </c>
    </row>
    <row r="58" spans="2:2" x14ac:dyDescent="0.3">
      <c r="B58" s="24" t="s">
        <v>215</v>
      </c>
    </row>
    <row r="59" spans="2:2" x14ac:dyDescent="0.3">
      <c r="B59" s="24" t="s">
        <v>216</v>
      </c>
    </row>
    <row r="60" spans="2:2" x14ac:dyDescent="0.3">
      <c r="B60" s="24" t="s">
        <v>217</v>
      </c>
    </row>
    <row r="62" spans="2:2" x14ac:dyDescent="0.3">
      <c r="B62" s="24" t="s">
        <v>218</v>
      </c>
    </row>
    <row r="64" spans="2:2" x14ac:dyDescent="0.3">
      <c r="B64" s="24" t="s">
        <v>219</v>
      </c>
    </row>
    <row r="65" spans="2:2" x14ac:dyDescent="0.3">
      <c r="B65" s="24" t="s">
        <v>220</v>
      </c>
    </row>
    <row r="67" spans="2:2" x14ac:dyDescent="0.3">
      <c r="B67" s="24" t="s">
        <v>221</v>
      </c>
    </row>
    <row r="69" spans="2:2" x14ac:dyDescent="0.3">
      <c r="B69" s="24" t="s">
        <v>222</v>
      </c>
    </row>
    <row r="70" spans="2:2" x14ac:dyDescent="0.3">
      <c r="B70" s="24" t="s">
        <v>223</v>
      </c>
    </row>
    <row r="71" spans="2:2" x14ac:dyDescent="0.3">
      <c r="B71" s="24" t="s">
        <v>224</v>
      </c>
    </row>
    <row r="72" spans="2:2" x14ac:dyDescent="0.3">
      <c r="B72" s="24" t="s">
        <v>225</v>
      </c>
    </row>
    <row r="73" spans="2:2" x14ac:dyDescent="0.3">
      <c r="B73" s="24" t="s">
        <v>226</v>
      </c>
    </row>
    <row r="74" spans="2:2" x14ac:dyDescent="0.3">
      <c r="B74" s="24" t="s">
        <v>227</v>
      </c>
    </row>
    <row r="75" spans="2:2" x14ac:dyDescent="0.3">
      <c r="B75" s="24" t="s">
        <v>228</v>
      </c>
    </row>
    <row r="77" spans="2:2" x14ac:dyDescent="0.3">
      <c r="B77" s="24" t="s">
        <v>229</v>
      </c>
    </row>
    <row r="79" spans="2:2" x14ac:dyDescent="0.3">
      <c r="B79" s="24" t="s">
        <v>230</v>
      </c>
    </row>
    <row r="80" spans="2:2" x14ac:dyDescent="0.3">
      <c r="B80" s="24" t="s">
        <v>231</v>
      </c>
    </row>
    <row r="81" spans="2:2" x14ac:dyDescent="0.3">
      <c r="B81" s="24" t="s">
        <v>232</v>
      </c>
    </row>
    <row r="82" spans="2:2" x14ac:dyDescent="0.3">
      <c r="B82" s="24" t="s">
        <v>233</v>
      </c>
    </row>
    <row r="83" spans="2:2" x14ac:dyDescent="0.3">
      <c r="B83" s="24" t="s">
        <v>234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3:AL132"/>
  <sheetViews>
    <sheetView workbookViewId="0">
      <selection activeCell="K29" sqref="K29"/>
    </sheetView>
  </sheetViews>
  <sheetFormatPr defaultColWidth="8.88671875" defaultRowHeight="15.6" x14ac:dyDescent="0.3"/>
  <cols>
    <col min="1" max="8" width="8.88671875" style="114"/>
    <col min="9" max="9" width="57.6640625" style="114" customWidth="1"/>
    <col min="10" max="10" width="16.21875" style="114" bestFit="1" customWidth="1"/>
    <col min="11" max="11" width="10.5546875" style="114" customWidth="1"/>
    <col min="12" max="12" width="11" style="114" bestFit="1" customWidth="1"/>
    <col min="13" max="13" width="8.88671875" style="114"/>
    <col min="14" max="14" width="37.33203125" style="114" bestFit="1" customWidth="1"/>
    <col min="15" max="27" width="8.88671875" style="114" customWidth="1"/>
    <col min="28" max="28" width="11.6640625" style="141" bestFit="1" customWidth="1"/>
    <col min="29" max="29" width="37.33203125" style="114" customWidth="1"/>
    <col min="30" max="38" width="10.6640625" style="114" customWidth="1"/>
    <col min="39" max="16384" width="8.88671875" style="114"/>
  </cols>
  <sheetData>
    <row r="3" spans="2:38" x14ac:dyDescent="0.3">
      <c r="B3" s="114" t="s">
        <v>163</v>
      </c>
      <c r="I3" s="17" t="s">
        <v>154</v>
      </c>
      <c r="J3" s="17"/>
      <c r="K3" s="17"/>
      <c r="N3" s="114" t="s">
        <v>150</v>
      </c>
      <c r="AC3" s="114" t="s">
        <v>149</v>
      </c>
    </row>
    <row r="4" spans="2:38" x14ac:dyDescent="0.3">
      <c r="B4" s="143" t="s">
        <v>158</v>
      </c>
      <c r="C4" s="143" t="s">
        <v>162</v>
      </c>
      <c r="D4" s="143" t="s">
        <v>14</v>
      </c>
      <c r="E4" s="143" t="s">
        <v>15</v>
      </c>
      <c r="F4" s="143" t="s">
        <v>16</v>
      </c>
      <c r="G4" s="143" t="s">
        <v>17</v>
      </c>
      <c r="I4" s="134" t="s">
        <v>143</v>
      </c>
      <c r="J4" s="135" t="s">
        <v>108</v>
      </c>
      <c r="K4" s="135" t="s">
        <v>159</v>
      </c>
      <c r="N4" s="143" t="s">
        <v>147</v>
      </c>
      <c r="O4" s="143">
        <v>0</v>
      </c>
      <c r="P4" s="143">
        <v>2</v>
      </c>
      <c r="Q4" s="143">
        <v>3</v>
      </c>
      <c r="R4" s="143">
        <v>5</v>
      </c>
      <c r="S4" s="143">
        <v>8</v>
      </c>
      <c r="T4" s="143">
        <v>10</v>
      </c>
      <c r="U4" s="143">
        <v>15</v>
      </c>
      <c r="V4" s="143">
        <v>20</v>
      </c>
      <c r="W4" s="143">
        <v>25</v>
      </c>
      <c r="X4" s="143">
        <v>35</v>
      </c>
      <c r="Y4" s="143">
        <v>50</v>
      </c>
      <c r="Z4" s="143">
        <v>80</v>
      </c>
      <c r="AA4" s="143">
        <v>100</v>
      </c>
      <c r="AC4" s="143" t="s">
        <v>147</v>
      </c>
      <c r="AD4" s="143">
        <v>1</v>
      </c>
      <c r="AE4" s="143">
        <v>2</v>
      </c>
      <c r="AF4" s="143">
        <v>3</v>
      </c>
      <c r="AG4" s="143">
        <v>4</v>
      </c>
      <c r="AH4" s="143">
        <v>5</v>
      </c>
      <c r="AI4" s="143">
        <v>6</v>
      </c>
      <c r="AJ4" s="143">
        <v>7</v>
      </c>
      <c r="AK4" s="143">
        <v>8</v>
      </c>
      <c r="AL4" s="143">
        <v>9</v>
      </c>
    </row>
    <row r="5" spans="2:38" x14ac:dyDescent="0.3">
      <c r="B5" s="142" cm="1">
        <f t="array" ref="B5:B24">_xlfn.SEQUENCE(20,,0)</f>
        <v>0</v>
      </c>
      <c r="C5" s="153">
        <v>1</v>
      </c>
      <c r="D5" s="153">
        <v>1</v>
      </c>
      <c r="E5" s="153">
        <v>1</v>
      </c>
      <c r="F5" s="153">
        <v>1</v>
      </c>
      <c r="G5" s="153">
        <v>1</v>
      </c>
      <c r="I5" s="124" t="s">
        <v>129</v>
      </c>
      <c r="J5" s="136">
        <f>10000-J6-J7</f>
        <v>6500</v>
      </c>
      <c r="K5" s="149"/>
      <c r="L5" s="140" cm="1">
        <f t="array" ref="L5:L7">J5:J7/J8</f>
        <v>0.65</v>
      </c>
      <c r="N5" s="142" t="s">
        <v>145</v>
      </c>
      <c r="O5" s="159">
        <f t="shared" ref="O5:O11" si="0">10000-SUM(P5:AA5)</f>
        <v>0</v>
      </c>
      <c r="P5" s="156">
        <v>0</v>
      </c>
      <c r="Q5" s="156">
        <v>0</v>
      </c>
      <c r="R5" s="156">
        <v>0</v>
      </c>
      <c r="S5" s="156">
        <v>0</v>
      </c>
      <c r="T5" s="144">
        <f>10000-SUM(U5:AA5)</f>
        <v>4140</v>
      </c>
      <c r="U5" s="144">
        <v>3000</v>
      </c>
      <c r="V5" s="144">
        <v>2000</v>
      </c>
      <c r="W5" s="144">
        <v>500</v>
      </c>
      <c r="X5" s="144">
        <v>60</v>
      </c>
      <c r="Y5" s="144">
        <v>120</v>
      </c>
      <c r="Z5" s="144">
        <v>60</v>
      </c>
      <c r="AA5" s="144">
        <v>120</v>
      </c>
      <c r="AB5" s="161" cm="1">
        <f t="array" ref="AB5">SUMPRODUCT(O5:AA5/SUM(O5:AA5),$O$4:$AA$4)</f>
        <v>16.380000000000003</v>
      </c>
      <c r="AC5" s="142" t="s">
        <v>145</v>
      </c>
      <c r="AD5" s="144">
        <v>300</v>
      </c>
      <c r="AE5" s="144">
        <v>600</v>
      </c>
      <c r="AF5" s="144">
        <v>1080</v>
      </c>
      <c r="AG5" s="144">
        <v>1440</v>
      </c>
      <c r="AH5" s="144">
        <v>2250</v>
      </c>
      <c r="AI5" s="144">
        <v>2700</v>
      </c>
      <c r="AJ5" s="144">
        <v>3150</v>
      </c>
      <c r="AK5" s="144">
        <v>3600</v>
      </c>
      <c r="AL5" s="144">
        <v>4050</v>
      </c>
    </row>
    <row r="6" spans="2:38" x14ac:dyDescent="0.3">
      <c r="B6" s="142">
        <v>1</v>
      </c>
      <c r="C6" s="153">
        <v>0</v>
      </c>
      <c r="D6" s="153">
        <v>0</v>
      </c>
      <c r="E6" s="153">
        <v>0</v>
      </c>
      <c r="F6" s="153">
        <v>0</v>
      </c>
      <c r="G6" s="153">
        <v>0</v>
      </c>
      <c r="I6" s="124" t="s">
        <v>130</v>
      </c>
      <c r="J6" s="137">
        <v>1500</v>
      </c>
      <c r="K6" s="150"/>
      <c r="L6" s="140">
        <v>0.15</v>
      </c>
      <c r="M6" s="114">
        <f>J6+J5</f>
        <v>8000</v>
      </c>
      <c r="N6" s="142" t="s">
        <v>146</v>
      </c>
      <c r="O6" s="159">
        <f t="shared" si="0"/>
        <v>0</v>
      </c>
      <c r="P6" s="156">
        <v>0</v>
      </c>
      <c r="Q6" s="156">
        <v>0</v>
      </c>
      <c r="R6" s="156">
        <v>0</v>
      </c>
      <c r="S6" s="156">
        <v>0</v>
      </c>
      <c r="T6" s="144">
        <f>10000-SUM(U6:AA6)</f>
        <v>4970</v>
      </c>
      <c r="U6" s="144">
        <v>3000</v>
      </c>
      <c r="V6" s="144">
        <v>1350</v>
      </c>
      <c r="W6" s="144">
        <v>500</v>
      </c>
      <c r="X6" s="144">
        <v>30</v>
      </c>
      <c r="Y6" s="144">
        <v>60</v>
      </c>
      <c r="Z6" s="144">
        <v>30</v>
      </c>
      <c r="AA6" s="144">
        <v>60</v>
      </c>
      <c r="AB6" s="161" cm="1">
        <f t="array" ref="AB6">SUMPRODUCT(O6:AA6/SUM(O6:AA6),$O$4:$AA$4)</f>
        <v>14.664999999999999</v>
      </c>
      <c r="AC6" s="142" t="s">
        <v>146</v>
      </c>
      <c r="AD6" s="156">
        <v>0</v>
      </c>
      <c r="AE6" s="156">
        <v>0</v>
      </c>
      <c r="AF6" s="144">
        <v>1050</v>
      </c>
      <c r="AG6" s="144">
        <v>1400</v>
      </c>
      <c r="AH6" s="144">
        <v>1750</v>
      </c>
      <c r="AI6" s="144">
        <v>2100</v>
      </c>
      <c r="AJ6" s="144">
        <v>3675</v>
      </c>
      <c r="AK6" s="144">
        <v>4200</v>
      </c>
      <c r="AL6" s="144">
        <v>4725</v>
      </c>
    </row>
    <row r="7" spans="2:38" x14ac:dyDescent="0.3">
      <c r="B7" s="142">
        <v>2</v>
      </c>
      <c r="C7" s="153">
        <v>2</v>
      </c>
      <c r="D7" s="153">
        <v>2</v>
      </c>
      <c r="E7" s="153">
        <v>2</v>
      </c>
      <c r="F7" s="153">
        <v>2</v>
      </c>
      <c r="G7" s="153">
        <v>2</v>
      </c>
      <c r="I7" s="124" t="s">
        <v>157</v>
      </c>
      <c r="J7" s="137">
        <v>2000</v>
      </c>
      <c r="K7" s="150"/>
      <c r="L7" s="140">
        <v>0.2</v>
      </c>
      <c r="N7" s="142" t="s">
        <v>157</v>
      </c>
      <c r="O7" s="159">
        <f t="shared" si="0"/>
        <v>10000</v>
      </c>
      <c r="P7" s="156">
        <v>0</v>
      </c>
      <c r="Q7" s="156">
        <v>0</v>
      </c>
      <c r="R7" s="156">
        <v>0</v>
      </c>
      <c r="S7" s="156">
        <v>0</v>
      </c>
      <c r="T7" s="156">
        <v>0</v>
      </c>
      <c r="U7" s="156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61" cm="1">
        <f t="array" ref="AB7">SUMPRODUCT(O7:AA7/SUM(O7:AA7),$O$4:$AA$4)</f>
        <v>0</v>
      </c>
      <c r="AC7" s="142" t="s">
        <v>157</v>
      </c>
      <c r="AD7" s="156">
        <v>0</v>
      </c>
      <c r="AE7" s="156">
        <v>0</v>
      </c>
      <c r="AF7" s="156">
        <v>0</v>
      </c>
      <c r="AG7" s="156">
        <v>0</v>
      </c>
      <c r="AH7" s="156">
        <v>0</v>
      </c>
      <c r="AI7" s="156">
        <v>0</v>
      </c>
      <c r="AJ7" s="156">
        <v>0</v>
      </c>
      <c r="AK7" s="156">
        <v>0</v>
      </c>
      <c r="AL7" s="156">
        <v>0</v>
      </c>
    </row>
    <row r="8" spans="2:38" x14ac:dyDescent="0.3">
      <c r="B8" s="142">
        <v>3</v>
      </c>
      <c r="C8" s="153">
        <v>0</v>
      </c>
      <c r="D8" s="153">
        <v>1</v>
      </c>
      <c r="E8" s="153">
        <v>2</v>
      </c>
      <c r="F8" s="153">
        <v>1</v>
      </c>
      <c r="G8" s="153">
        <v>0</v>
      </c>
      <c r="I8" s="17"/>
      <c r="J8" s="51">
        <f>SUM(J5:J7)</f>
        <v>10000</v>
      </c>
      <c r="K8" s="51">
        <f>SUMPRODUCT(K5:K7,_xlfn.ANCHORARRAY(L5))</f>
        <v>0</v>
      </c>
      <c r="L8" s="141"/>
      <c r="N8" s="142" t="s">
        <v>137</v>
      </c>
      <c r="O8" s="159">
        <f t="shared" si="0"/>
        <v>0</v>
      </c>
      <c r="P8" s="156">
        <v>0</v>
      </c>
      <c r="Q8" s="156">
        <v>0</v>
      </c>
      <c r="R8" s="156">
        <v>0</v>
      </c>
      <c r="S8" s="156">
        <v>0</v>
      </c>
      <c r="T8" s="144">
        <f>10000-SUM(U8:AA8)</f>
        <v>4370</v>
      </c>
      <c r="U8" s="144">
        <v>2700</v>
      </c>
      <c r="V8" s="144">
        <v>1400</v>
      </c>
      <c r="W8" s="144">
        <v>270</v>
      </c>
      <c r="X8" s="144">
        <v>270</v>
      </c>
      <c r="Y8" s="144">
        <v>360</v>
      </c>
      <c r="Z8" s="144">
        <v>270</v>
      </c>
      <c r="AA8" s="144">
        <v>360</v>
      </c>
      <c r="AB8" s="161" cm="1">
        <f t="array" ref="AB8">SUMPRODUCT(O8:AA8/SUM(O8:AA8),$O$4:$AA$4)</f>
        <v>20.400000000000006</v>
      </c>
      <c r="AC8" s="142" t="s">
        <v>137</v>
      </c>
      <c r="AD8" s="156">
        <v>0</v>
      </c>
      <c r="AE8" s="156">
        <v>0</v>
      </c>
      <c r="AF8" s="144">
        <v>525</v>
      </c>
      <c r="AG8" s="144">
        <v>700</v>
      </c>
      <c r="AH8" s="144">
        <v>1750</v>
      </c>
      <c r="AI8" s="144">
        <v>2100</v>
      </c>
      <c r="AJ8" s="144">
        <v>3675</v>
      </c>
      <c r="AK8" s="144">
        <v>4200</v>
      </c>
      <c r="AL8" s="144">
        <v>4725</v>
      </c>
    </row>
    <row r="9" spans="2:38" x14ac:dyDescent="0.3">
      <c r="B9" s="142">
        <v>4</v>
      </c>
      <c r="C9" s="153">
        <v>2</v>
      </c>
      <c r="D9" s="153">
        <v>1</v>
      </c>
      <c r="E9" s="153">
        <v>0</v>
      </c>
      <c r="F9" s="153">
        <v>1</v>
      </c>
      <c r="G9" s="153">
        <v>2</v>
      </c>
      <c r="L9" s="141"/>
      <c r="N9" s="142" t="s">
        <v>139</v>
      </c>
      <c r="O9" s="159">
        <f t="shared" si="0"/>
        <v>0</v>
      </c>
      <c r="P9" s="156">
        <v>0</v>
      </c>
      <c r="Q9" s="156">
        <v>0</v>
      </c>
      <c r="R9" s="156">
        <v>0</v>
      </c>
      <c r="S9" s="156">
        <v>0</v>
      </c>
      <c r="T9" s="144">
        <f t="shared" ref="T9:T10" si="1">10000-SUM(U9:AA9)</f>
        <v>4370</v>
      </c>
      <c r="U9" s="144">
        <v>2700</v>
      </c>
      <c r="V9" s="144">
        <v>1400</v>
      </c>
      <c r="W9" s="144">
        <v>270</v>
      </c>
      <c r="X9" s="144">
        <v>270</v>
      </c>
      <c r="Y9" s="144">
        <v>360</v>
      </c>
      <c r="Z9" s="144">
        <v>270</v>
      </c>
      <c r="AA9" s="144">
        <v>360</v>
      </c>
      <c r="AB9" s="161" cm="1">
        <f t="array" ref="AB9">SUMPRODUCT(O9:AA9/SUM(O9:AA9),$O$4:$AA$4)</f>
        <v>20.400000000000006</v>
      </c>
      <c r="AC9" s="142" t="s">
        <v>139</v>
      </c>
      <c r="AD9" s="156">
        <v>0</v>
      </c>
      <c r="AE9" s="156">
        <v>0</v>
      </c>
      <c r="AF9" s="144">
        <v>525</v>
      </c>
      <c r="AG9" s="144">
        <v>700</v>
      </c>
      <c r="AH9" s="144">
        <v>1750</v>
      </c>
      <c r="AI9" s="144">
        <v>2100</v>
      </c>
      <c r="AJ9" s="144">
        <v>3675</v>
      </c>
      <c r="AK9" s="144">
        <v>4200</v>
      </c>
      <c r="AL9" s="144">
        <v>4725</v>
      </c>
    </row>
    <row r="10" spans="2:38" x14ac:dyDescent="0.3">
      <c r="B10" s="142">
        <v>5</v>
      </c>
      <c r="C10" s="153">
        <v>0</v>
      </c>
      <c r="D10" s="153">
        <v>0</v>
      </c>
      <c r="E10" s="153">
        <v>1</v>
      </c>
      <c r="F10" s="153">
        <v>0</v>
      </c>
      <c r="G10" s="153">
        <v>0</v>
      </c>
      <c r="I10" s="17" t="s">
        <v>153</v>
      </c>
      <c r="J10" s="17"/>
      <c r="K10" s="17"/>
      <c r="L10" s="141"/>
      <c r="N10" s="142" t="s">
        <v>141</v>
      </c>
      <c r="O10" s="159">
        <f t="shared" si="0"/>
        <v>0</v>
      </c>
      <c r="P10" s="156">
        <v>0</v>
      </c>
      <c r="Q10" s="156">
        <v>0</v>
      </c>
      <c r="R10" s="156">
        <v>0</v>
      </c>
      <c r="S10" s="156">
        <v>0</v>
      </c>
      <c r="T10" s="144">
        <f t="shared" si="1"/>
        <v>4370</v>
      </c>
      <c r="U10" s="144">
        <v>2700</v>
      </c>
      <c r="V10" s="144">
        <v>1400</v>
      </c>
      <c r="W10" s="144">
        <v>270</v>
      </c>
      <c r="X10" s="144">
        <v>270</v>
      </c>
      <c r="Y10" s="144">
        <v>360</v>
      </c>
      <c r="Z10" s="144">
        <v>270</v>
      </c>
      <c r="AA10" s="144">
        <v>360</v>
      </c>
      <c r="AB10" s="161" cm="1">
        <f t="array" ref="AB10">SUMPRODUCT(O10:AA10/SUM(O10:AA10),$O$4:$AA$4)</f>
        <v>20.400000000000006</v>
      </c>
      <c r="AC10" s="142" t="s">
        <v>141</v>
      </c>
      <c r="AD10" s="156">
        <v>0</v>
      </c>
      <c r="AE10" s="156">
        <v>0</v>
      </c>
      <c r="AF10" s="144">
        <v>525</v>
      </c>
      <c r="AG10" s="144">
        <v>700</v>
      </c>
      <c r="AH10" s="144">
        <v>1750</v>
      </c>
      <c r="AI10" s="144">
        <v>2100</v>
      </c>
      <c r="AJ10" s="144">
        <v>3675</v>
      </c>
      <c r="AK10" s="144">
        <v>4200</v>
      </c>
      <c r="AL10" s="144">
        <v>4725</v>
      </c>
    </row>
    <row r="11" spans="2:38" ht="15.6" customHeight="1" x14ac:dyDescent="0.3">
      <c r="B11" s="142">
        <v>6</v>
      </c>
      <c r="C11" s="153">
        <v>2</v>
      </c>
      <c r="D11" s="153">
        <v>2</v>
      </c>
      <c r="E11" s="153">
        <v>1</v>
      </c>
      <c r="F11" s="153">
        <v>2</v>
      </c>
      <c r="G11" s="153">
        <v>2</v>
      </c>
      <c r="I11" s="134" t="s">
        <v>144</v>
      </c>
      <c r="J11" s="135" t="s">
        <v>108</v>
      </c>
      <c r="K11" s="135" t="s">
        <v>159</v>
      </c>
      <c r="N11" s="142" t="s">
        <v>156</v>
      </c>
      <c r="O11" s="159">
        <f t="shared" si="0"/>
        <v>10000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61" cm="1">
        <f t="array" ref="AB11">SUMPRODUCT(O11:AA11/SUM(O11:AA11),$O$4:$AA$4)</f>
        <v>0</v>
      </c>
      <c r="AC11" s="142" t="s">
        <v>156</v>
      </c>
      <c r="AD11" s="156">
        <v>0</v>
      </c>
      <c r="AE11" s="156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56">
        <v>0</v>
      </c>
    </row>
    <row r="12" spans="2:38" ht="15.6" customHeight="1" x14ac:dyDescent="0.3">
      <c r="B12" s="142">
        <v>7</v>
      </c>
      <c r="C12" s="153">
        <v>1</v>
      </c>
      <c r="D12" s="153">
        <v>2</v>
      </c>
      <c r="E12" s="153">
        <v>2</v>
      </c>
      <c r="F12" s="153">
        <v>2</v>
      </c>
      <c r="G12" s="153">
        <v>1</v>
      </c>
      <c r="I12" s="124" t="s">
        <v>138</v>
      </c>
      <c r="J12" s="136">
        <f>10000-SUM(J13:J14)</f>
        <v>10000</v>
      </c>
      <c r="K12" s="149"/>
      <c r="L12" s="140" cm="1">
        <f t="array" ref="L12:L14">J12:J14/SUM(J15)</f>
        <v>1</v>
      </c>
    </row>
    <row r="13" spans="2:38" ht="15.6" customHeight="1" x14ac:dyDescent="0.3">
      <c r="B13" s="142">
        <v>8</v>
      </c>
      <c r="C13" s="153">
        <v>1</v>
      </c>
      <c r="D13" s="153">
        <v>0</v>
      </c>
      <c r="E13" s="153">
        <v>0</v>
      </c>
      <c r="F13" s="153">
        <v>0</v>
      </c>
      <c r="G13" s="153">
        <v>1</v>
      </c>
      <c r="I13" s="124" t="s">
        <v>140</v>
      </c>
      <c r="J13" s="137">
        <v>0</v>
      </c>
      <c r="K13" s="150"/>
      <c r="L13" s="140">
        <v>0</v>
      </c>
    </row>
    <row r="14" spans="2:38" ht="15.6" customHeight="1" x14ac:dyDescent="0.3">
      <c r="B14" s="142">
        <v>9</v>
      </c>
      <c r="C14" s="153">
        <v>0</v>
      </c>
      <c r="D14" s="153">
        <v>1</v>
      </c>
      <c r="E14" s="153">
        <v>1</v>
      </c>
      <c r="F14" s="153">
        <v>1</v>
      </c>
      <c r="G14" s="153">
        <v>0</v>
      </c>
      <c r="I14" s="124" t="s">
        <v>142</v>
      </c>
      <c r="J14" s="137">
        <v>0</v>
      </c>
      <c r="K14" s="150"/>
      <c r="L14" s="140">
        <v>0</v>
      </c>
      <c r="N14" s="114" t="s">
        <v>166</v>
      </c>
      <c r="AD14" s="182"/>
      <c r="AE14" s="182"/>
      <c r="AF14" s="182"/>
      <c r="AG14" s="182"/>
      <c r="AH14" s="182"/>
      <c r="AI14" s="182"/>
      <c r="AJ14" s="182"/>
      <c r="AK14" s="182"/>
      <c r="AL14" s="182"/>
    </row>
    <row r="15" spans="2:38" ht="15.6" customHeight="1" x14ac:dyDescent="0.3">
      <c r="B15" s="142">
        <v>10</v>
      </c>
      <c r="C15" s="153">
        <v>2</v>
      </c>
      <c r="D15" s="153">
        <v>1</v>
      </c>
      <c r="E15" s="153">
        <v>1</v>
      </c>
      <c r="F15" s="153">
        <v>1</v>
      </c>
      <c r="G15" s="153">
        <v>2</v>
      </c>
      <c r="J15" s="51">
        <f>SUM(J12:J14)</f>
        <v>10000</v>
      </c>
      <c r="K15" s="51">
        <f>SUMPRODUCT(K12:K14,_xlfn.ANCHORARRAY(L12))</f>
        <v>0</v>
      </c>
      <c r="L15" s="141"/>
      <c r="N15" s="143" t="s">
        <v>147</v>
      </c>
      <c r="O15" s="143">
        <v>0</v>
      </c>
      <c r="P15" s="143">
        <v>2</v>
      </c>
      <c r="Q15" s="143">
        <v>3</v>
      </c>
      <c r="R15" s="143">
        <v>5</v>
      </c>
      <c r="S15" s="143">
        <v>8</v>
      </c>
      <c r="T15" s="143">
        <v>10</v>
      </c>
      <c r="U15" s="143">
        <v>15</v>
      </c>
      <c r="V15" s="143">
        <v>20</v>
      </c>
      <c r="W15" s="143">
        <v>25</v>
      </c>
      <c r="X15" s="143">
        <v>35</v>
      </c>
      <c r="Y15" s="143">
        <v>50</v>
      </c>
      <c r="Z15" s="143">
        <v>80</v>
      </c>
      <c r="AA15" s="143">
        <v>100</v>
      </c>
    </row>
    <row r="16" spans="2:38" ht="15.6" customHeight="1" x14ac:dyDescent="0.3">
      <c r="B16" s="142">
        <v>11</v>
      </c>
      <c r="C16" s="153">
        <v>1</v>
      </c>
      <c r="D16" s="153">
        <v>1</v>
      </c>
      <c r="E16" s="153">
        <v>0</v>
      </c>
      <c r="F16" s="153">
        <v>1</v>
      </c>
      <c r="G16" s="153">
        <v>1</v>
      </c>
      <c r="L16" s="141"/>
      <c r="N16" s="157" t="s">
        <v>145</v>
      </c>
      <c r="O16" s="159">
        <f t="shared" ref="O16:O22" si="2">10000-SUM(P16:AA16)</f>
        <v>10000</v>
      </c>
      <c r="P16" s="159">
        <v>0</v>
      </c>
      <c r="Q16" s="159">
        <v>0</v>
      </c>
      <c r="R16" s="159">
        <v>0</v>
      </c>
      <c r="S16" s="159">
        <v>0</v>
      </c>
      <c r="T16" s="159">
        <v>0</v>
      </c>
      <c r="U16" s="159">
        <v>0</v>
      </c>
      <c r="V16" s="159">
        <v>0</v>
      </c>
      <c r="W16" s="159">
        <v>0</v>
      </c>
      <c r="X16" s="159">
        <v>0</v>
      </c>
      <c r="Y16" s="159">
        <v>0</v>
      </c>
      <c r="Z16" s="159">
        <v>0</v>
      </c>
      <c r="AA16" s="159">
        <v>0</v>
      </c>
      <c r="AB16" s="161" cm="1">
        <f t="array" ref="AB16">SUMPRODUCT(O16:AA16/SUM(O16:AA16),$O$4:$AA$4)</f>
        <v>0</v>
      </c>
      <c r="AD16" s="160"/>
      <c r="AE16" s="160"/>
    </row>
    <row r="17" spans="2:31" ht="15.6" customHeight="1" x14ac:dyDescent="0.3">
      <c r="B17" s="142">
        <v>12</v>
      </c>
      <c r="C17" s="153">
        <v>1</v>
      </c>
      <c r="D17" s="153">
        <v>1</v>
      </c>
      <c r="E17" s="153">
        <v>2</v>
      </c>
      <c r="F17" s="153">
        <v>1</v>
      </c>
      <c r="G17" s="153">
        <v>1</v>
      </c>
      <c r="I17" s="17" t="s">
        <v>155</v>
      </c>
      <c r="J17" s="17"/>
      <c r="K17" s="17"/>
      <c r="L17" s="141"/>
      <c r="N17" s="142" t="s">
        <v>146</v>
      </c>
      <c r="O17" s="156">
        <f t="shared" si="2"/>
        <v>0</v>
      </c>
      <c r="P17" s="158">
        <f>10000-SUM(Q17:AA17)</f>
        <v>4200</v>
      </c>
      <c r="Q17" s="158">
        <v>3400</v>
      </c>
      <c r="R17" s="158">
        <v>1200</v>
      </c>
      <c r="S17" s="158">
        <v>1200</v>
      </c>
      <c r="T17" s="159">
        <v>0</v>
      </c>
      <c r="U17" s="159">
        <v>0</v>
      </c>
      <c r="V17" s="159">
        <v>0</v>
      </c>
      <c r="W17" s="159">
        <v>0</v>
      </c>
      <c r="X17" s="159">
        <v>0</v>
      </c>
      <c r="Y17" s="159">
        <v>0</v>
      </c>
      <c r="Z17" s="159">
        <v>0</v>
      </c>
      <c r="AA17" s="159">
        <v>0</v>
      </c>
      <c r="AB17" s="161" cm="1">
        <f t="array" ref="AB17">SUMPRODUCT(O17:AA17/SUM(O17:AA17),$O$4:$AA$4)</f>
        <v>3.42</v>
      </c>
      <c r="AD17" s="160"/>
      <c r="AE17" s="160"/>
    </row>
    <row r="18" spans="2:31" ht="15.6" customHeight="1" x14ac:dyDescent="0.3">
      <c r="B18" s="142">
        <v>13</v>
      </c>
      <c r="C18" s="153">
        <v>1</v>
      </c>
      <c r="D18" s="153">
        <v>0</v>
      </c>
      <c r="E18" s="153">
        <v>1</v>
      </c>
      <c r="F18" s="153">
        <v>0</v>
      </c>
      <c r="G18" s="153">
        <v>1</v>
      </c>
      <c r="I18" s="134" t="s">
        <v>144</v>
      </c>
      <c r="J18" s="135" t="s">
        <v>108</v>
      </c>
      <c r="K18" s="135" t="s">
        <v>159</v>
      </c>
      <c r="N18" s="142" t="s">
        <v>157</v>
      </c>
      <c r="O18" s="156">
        <f t="shared" si="2"/>
        <v>10000</v>
      </c>
      <c r="P18" s="159">
        <v>0</v>
      </c>
      <c r="Q18" s="159">
        <v>0</v>
      </c>
      <c r="R18" s="159">
        <v>0</v>
      </c>
      <c r="S18" s="159">
        <v>0</v>
      </c>
      <c r="T18" s="159">
        <v>0</v>
      </c>
      <c r="U18" s="159">
        <v>0</v>
      </c>
      <c r="V18" s="159">
        <v>0</v>
      </c>
      <c r="W18" s="159">
        <v>0</v>
      </c>
      <c r="X18" s="159">
        <v>0</v>
      </c>
      <c r="Y18" s="159">
        <v>0</v>
      </c>
      <c r="Z18" s="159">
        <v>0</v>
      </c>
      <c r="AA18" s="159">
        <v>0</v>
      </c>
      <c r="AB18" s="161" cm="1">
        <f t="array" ref="AB18">SUMPRODUCT(O18:AA18/SUM(O18:AA18),$O$4:$AA$4)</f>
        <v>0</v>
      </c>
      <c r="AD18" s="160"/>
      <c r="AE18" s="160"/>
    </row>
    <row r="19" spans="2:31" ht="15.6" customHeight="1" x14ac:dyDescent="0.3">
      <c r="B19" s="142">
        <v>14</v>
      </c>
      <c r="C19" s="153">
        <v>1</v>
      </c>
      <c r="D19" s="153">
        <v>2</v>
      </c>
      <c r="E19" s="153">
        <v>1</v>
      </c>
      <c r="F19" s="153">
        <v>2</v>
      </c>
      <c r="G19" s="153">
        <v>1</v>
      </c>
      <c r="I19" s="124" t="s">
        <v>138</v>
      </c>
      <c r="J19" s="136">
        <f>10000-SUM(J20:J21)</f>
        <v>10000</v>
      </c>
      <c r="K19" s="149"/>
      <c r="L19" s="140" cm="1">
        <f t="array" ref="L19:L21">J19:J21/SUM(J22)</f>
        <v>1</v>
      </c>
      <c r="N19" s="142" t="s">
        <v>137</v>
      </c>
      <c r="O19" s="156">
        <f t="shared" si="2"/>
        <v>0</v>
      </c>
      <c r="P19" s="158">
        <f>10000-SUM(Q19:AA19)</f>
        <v>6300</v>
      </c>
      <c r="Q19" s="144">
        <v>2800</v>
      </c>
      <c r="R19" s="144">
        <v>600</v>
      </c>
      <c r="S19" s="144">
        <v>300</v>
      </c>
      <c r="T19" s="156">
        <v>0</v>
      </c>
      <c r="U19" s="156">
        <v>0</v>
      </c>
      <c r="V19" s="156">
        <v>0</v>
      </c>
      <c r="W19" s="156">
        <v>0</v>
      </c>
      <c r="X19" s="156">
        <v>0</v>
      </c>
      <c r="Y19" s="156">
        <v>0</v>
      </c>
      <c r="Z19" s="156">
        <v>0</v>
      </c>
      <c r="AA19" s="156">
        <v>0</v>
      </c>
      <c r="AB19" s="161" cm="1">
        <f t="array" ref="AB19">SUMPRODUCT(O19:AA19/SUM(O19:AA19),$O$4:$AA$4)</f>
        <v>2.6399999999999997</v>
      </c>
    </row>
    <row r="20" spans="2:31" ht="15.6" customHeight="1" x14ac:dyDescent="0.3">
      <c r="B20" s="142">
        <v>15</v>
      </c>
      <c r="C20" s="153">
        <v>0</v>
      </c>
      <c r="D20" s="153">
        <v>1</v>
      </c>
      <c r="E20" s="153">
        <v>0</v>
      </c>
      <c r="F20" s="153">
        <v>1</v>
      </c>
      <c r="G20" s="153">
        <v>0</v>
      </c>
      <c r="I20" s="124" t="s">
        <v>140</v>
      </c>
      <c r="J20" s="137">
        <v>0</v>
      </c>
      <c r="K20" s="150"/>
      <c r="L20" s="140">
        <v>0</v>
      </c>
      <c r="N20" s="142" t="s">
        <v>139</v>
      </c>
      <c r="O20" s="156">
        <f t="shared" si="2"/>
        <v>0</v>
      </c>
      <c r="P20" s="158">
        <f t="shared" ref="P20:P21" si="3">10000-SUM(Q20:AA20)</f>
        <v>6300</v>
      </c>
      <c r="Q20" s="144">
        <v>2800</v>
      </c>
      <c r="R20" s="144">
        <v>600</v>
      </c>
      <c r="S20" s="144">
        <v>300</v>
      </c>
      <c r="T20" s="156">
        <v>0</v>
      </c>
      <c r="U20" s="156">
        <v>0</v>
      </c>
      <c r="V20" s="156">
        <v>0</v>
      </c>
      <c r="W20" s="156">
        <v>0</v>
      </c>
      <c r="X20" s="156">
        <v>0</v>
      </c>
      <c r="Y20" s="156">
        <v>0</v>
      </c>
      <c r="Z20" s="156">
        <v>0</v>
      </c>
      <c r="AA20" s="156">
        <v>0</v>
      </c>
      <c r="AB20" s="161" cm="1">
        <f t="array" ref="AB20">SUMPRODUCT(O20:AA20/SUM(O20:AA20),$O$4:$AA$4)</f>
        <v>2.6399999999999997</v>
      </c>
    </row>
    <row r="21" spans="2:31" ht="15.6" customHeight="1" x14ac:dyDescent="0.3">
      <c r="B21" s="142">
        <v>16</v>
      </c>
      <c r="C21" s="153">
        <v>2</v>
      </c>
      <c r="D21" s="153">
        <v>1</v>
      </c>
      <c r="E21" s="153">
        <v>2</v>
      </c>
      <c r="F21" s="153">
        <v>1</v>
      </c>
      <c r="G21" s="153">
        <v>2</v>
      </c>
      <c r="I21" s="124" t="s">
        <v>142</v>
      </c>
      <c r="J21" s="137">
        <v>0</v>
      </c>
      <c r="K21" s="150"/>
      <c r="L21" s="140">
        <v>0</v>
      </c>
      <c r="N21" s="142" t="s">
        <v>141</v>
      </c>
      <c r="O21" s="156">
        <f t="shared" si="2"/>
        <v>0</v>
      </c>
      <c r="P21" s="158">
        <f t="shared" si="3"/>
        <v>6300</v>
      </c>
      <c r="Q21" s="144">
        <v>2800</v>
      </c>
      <c r="R21" s="144">
        <v>600</v>
      </c>
      <c r="S21" s="144">
        <v>300</v>
      </c>
      <c r="T21" s="156">
        <v>0</v>
      </c>
      <c r="U21" s="156">
        <v>0</v>
      </c>
      <c r="V21" s="156">
        <v>0</v>
      </c>
      <c r="W21" s="156">
        <v>0</v>
      </c>
      <c r="X21" s="156">
        <v>0</v>
      </c>
      <c r="Y21" s="156">
        <v>0</v>
      </c>
      <c r="Z21" s="156">
        <v>0</v>
      </c>
      <c r="AA21" s="156">
        <v>0</v>
      </c>
      <c r="AB21" s="161" cm="1">
        <f t="array" ref="AB21">SUMPRODUCT(O21:AA21/SUM(O21:AA21),$O$4:$AA$4)</f>
        <v>2.6399999999999997</v>
      </c>
    </row>
    <row r="22" spans="2:31" ht="15.6" customHeight="1" x14ac:dyDescent="0.3">
      <c r="B22" s="142">
        <v>17</v>
      </c>
      <c r="C22" s="153">
        <v>0</v>
      </c>
      <c r="D22" s="153">
        <v>0</v>
      </c>
      <c r="E22" s="153">
        <v>1</v>
      </c>
      <c r="F22" s="153">
        <v>2</v>
      </c>
      <c r="G22" s="153">
        <v>2</v>
      </c>
      <c r="J22" s="51">
        <f>SUM(J19:J21)</f>
        <v>10000</v>
      </c>
      <c r="K22" s="51">
        <f>SUMPRODUCT(K19:K21,_xlfn.ANCHORARRAY(L19))</f>
        <v>0</v>
      </c>
      <c r="N22" s="142" t="s">
        <v>156</v>
      </c>
      <c r="O22" s="156">
        <f t="shared" si="2"/>
        <v>10000</v>
      </c>
      <c r="P22" s="159">
        <v>0</v>
      </c>
      <c r="Q22" s="159">
        <v>0</v>
      </c>
      <c r="R22" s="159">
        <v>0</v>
      </c>
      <c r="S22" s="159">
        <v>0</v>
      </c>
      <c r="T22" s="159">
        <v>0</v>
      </c>
      <c r="U22" s="159">
        <v>0</v>
      </c>
      <c r="V22" s="159">
        <v>0</v>
      </c>
      <c r="W22" s="159">
        <v>0</v>
      </c>
      <c r="X22" s="159">
        <v>0</v>
      </c>
      <c r="Y22" s="159">
        <v>0</v>
      </c>
      <c r="Z22" s="159">
        <v>0</v>
      </c>
      <c r="AA22" s="159">
        <v>0</v>
      </c>
      <c r="AB22" s="161" cm="1">
        <f t="array" ref="AB22">SUMPRODUCT(O22:AA22/SUM(O22:AA22),$O$4:$AA$4)</f>
        <v>0</v>
      </c>
    </row>
    <row r="23" spans="2:31" ht="15.6" customHeight="1" x14ac:dyDescent="0.3">
      <c r="B23" s="142">
        <v>18</v>
      </c>
      <c r="C23" s="153">
        <v>2</v>
      </c>
      <c r="D23" s="153">
        <v>2</v>
      </c>
      <c r="E23" s="153">
        <v>1</v>
      </c>
      <c r="F23" s="153">
        <v>0</v>
      </c>
      <c r="G23" s="153">
        <v>0</v>
      </c>
      <c r="P23" s="182"/>
      <c r="Q23" s="182"/>
      <c r="R23" s="182"/>
      <c r="S23" s="182"/>
    </row>
    <row r="24" spans="2:31" ht="15.6" customHeight="1" x14ac:dyDescent="0.3">
      <c r="B24" s="142">
        <v>19</v>
      </c>
      <c r="C24" s="153">
        <v>0</v>
      </c>
      <c r="D24" s="153">
        <v>2</v>
      </c>
      <c r="E24" s="153">
        <v>0</v>
      </c>
      <c r="F24" s="153">
        <v>2</v>
      </c>
      <c r="G24" s="153">
        <v>0</v>
      </c>
      <c r="I24" s="114" t="s">
        <v>161</v>
      </c>
    </row>
    <row r="25" spans="2:31" ht="15.6" customHeight="1" x14ac:dyDescent="0.3">
      <c r="I25" s="143" t="s">
        <v>160</v>
      </c>
      <c r="N25" s="114" t="s">
        <v>167</v>
      </c>
    </row>
    <row r="26" spans="2:31" ht="15.6" customHeight="1" x14ac:dyDescent="0.3">
      <c r="I26" s="151">
        <v>0</v>
      </c>
      <c r="N26" s="143" t="s">
        <v>147</v>
      </c>
      <c r="O26" s="143">
        <v>0</v>
      </c>
      <c r="P26" s="143">
        <v>2</v>
      </c>
      <c r="Q26" s="143">
        <v>3</v>
      </c>
      <c r="R26" s="143">
        <v>5</v>
      </c>
      <c r="S26" s="143">
        <v>8</v>
      </c>
      <c r="T26" s="143">
        <v>10</v>
      </c>
      <c r="U26" s="143">
        <v>15</v>
      </c>
      <c r="V26" s="143">
        <v>20</v>
      </c>
      <c r="W26" s="143">
        <v>25</v>
      </c>
      <c r="X26" s="143">
        <v>35</v>
      </c>
      <c r="Y26" s="143">
        <v>50</v>
      </c>
      <c r="Z26" s="143">
        <v>80</v>
      </c>
      <c r="AA26" s="143">
        <v>100</v>
      </c>
    </row>
    <row r="27" spans="2:31" ht="15.6" customHeight="1" x14ac:dyDescent="0.3">
      <c r="I27" s="152">
        <v>2</v>
      </c>
      <c r="N27" s="157" t="s">
        <v>145</v>
      </c>
      <c r="O27" s="159">
        <f t="shared" ref="O27:O32" si="4">10000-SUM(P27:AA27)</f>
        <v>10000</v>
      </c>
      <c r="P27" s="159">
        <v>0</v>
      </c>
      <c r="Q27" s="159">
        <v>0</v>
      </c>
      <c r="R27" s="159">
        <v>0</v>
      </c>
      <c r="S27" s="159">
        <v>0</v>
      </c>
      <c r="T27" s="159">
        <v>0</v>
      </c>
      <c r="U27" s="159">
        <v>0</v>
      </c>
      <c r="V27" s="159">
        <v>0</v>
      </c>
      <c r="W27" s="159">
        <v>0</v>
      </c>
      <c r="X27" s="159">
        <v>0</v>
      </c>
      <c r="Y27" s="159">
        <v>0</v>
      </c>
      <c r="Z27" s="159">
        <v>0</v>
      </c>
      <c r="AA27" s="159">
        <v>0</v>
      </c>
      <c r="AB27" s="161" cm="1">
        <f t="array" ref="AB27">SUMPRODUCT(O27:AA27/SUM(O27:AA27),$O$4:$AA$4)</f>
        <v>0</v>
      </c>
    </row>
    <row r="28" spans="2:31" x14ac:dyDescent="0.3">
      <c r="I28" s="152">
        <v>3</v>
      </c>
      <c r="N28" s="142" t="s">
        <v>146</v>
      </c>
      <c r="O28" s="159">
        <f t="shared" si="4"/>
        <v>0</v>
      </c>
      <c r="P28" s="144">
        <v>4800</v>
      </c>
      <c r="Q28" s="144">
        <v>4000</v>
      </c>
      <c r="R28" s="144">
        <v>600</v>
      </c>
      <c r="S28" s="144">
        <v>600</v>
      </c>
      <c r="T28" s="159">
        <v>0</v>
      </c>
      <c r="U28" s="159">
        <v>0</v>
      </c>
      <c r="V28" s="159">
        <v>0</v>
      </c>
      <c r="W28" s="159">
        <v>0</v>
      </c>
      <c r="X28" s="159">
        <v>0</v>
      </c>
      <c r="Y28" s="159">
        <v>0</v>
      </c>
      <c r="Z28" s="159">
        <v>0</v>
      </c>
      <c r="AA28" s="159">
        <v>0</v>
      </c>
      <c r="AB28" s="161" cm="1">
        <f t="array" ref="AB28">SUMPRODUCT(O28:AA28/SUM(O28:AA28),$O$4:$AA$4)</f>
        <v>2.94</v>
      </c>
    </row>
    <row r="29" spans="2:31" x14ac:dyDescent="0.3">
      <c r="I29" s="152">
        <v>5</v>
      </c>
      <c r="N29" s="142" t="s">
        <v>157</v>
      </c>
      <c r="O29" s="159">
        <f t="shared" si="4"/>
        <v>10000</v>
      </c>
      <c r="P29" s="159">
        <v>0</v>
      </c>
      <c r="Q29" s="159">
        <v>0</v>
      </c>
      <c r="R29" s="159">
        <v>0</v>
      </c>
      <c r="S29" s="159">
        <v>0</v>
      </c>
      <c r="T29" s="159">
        <v>0</v>
      </c>
      <c r="U29" s="159">
        <v>0</v>
      </c>
      <c r="V29" s="159">
        <v>0</v>
      </c>
      <c r="W29" s="159">
        <v>0</v>
      </c>
      <c r="X29" s="159">
        <v>0</v>
      </c>
      <c r="Y29" s="159">
        <v>0</v>
      </c>
      <c r="Z29" s="159">
        <v>0</v>
      </c>
      <c r="AA29" s="159">
        <v>0</v>
      </c>
      <c r="AB29" s="161" cm="1">
        <f t="array" ref="AB29">SUMPRODUCT(O29:AA29/SUM(O29:AA29),$O$4:$AA$4)</f>
        <v>0</v>
      </c>
      <c r="AD29" s="160"/>
      <c r="AE29" s="160"/>
    </row>
    <row r="30" spans="2:31" x14ac:dyDescent="0.3">
      <c r="I30" s="152">
        <v>8</v>
      </c>
      <c r="N30" s="142" t="s">
        <v>137</v>
      </c>
      <c r="O30" s="159">
        <f t="shared" si="4"/>
        <v>0</v>
      </c>
      <c r="P30" s="144">
        <v>6550</v>
      </c>
      <c r="Q30" s="144">
        <v>3000</v>
      </c>
      <c r="R30" s="144">
        <v>300</v>
      </c>
      <c r="S30" s="144">
        <v>150</v>
      </c>
      <c r="T30" s="156">
        <v>0</v>
      </c>
      <c r="U30" s="156">
        <v>0</v>
      </c>
      <c r="V30" s="156">
        <v>0</v>
      </c>
      <c r="W30" s="156">
        <v>0</v>
      </c>
      <c r="X30" s="156">
        <v>0</v>
      </c>
      <c r="Y30" s="156">
        <v>0</v>
      </c>
      <c r="Z30" s="156">
        <v>0</v>
      </c>
      <c r="AA30" s="156">
        <v>0</v>
      </c>
      <c r="AB30" s="161" cm="1">
        <f t="array" ref="AB30">SUMPRODUCT(O30:AA30/SUM(O30:AA30),$O$4:$AA$4)</f>
        <v>2.48</v>
      </c>
    </row>
    <row r="31" spans="2:31" x14ac:dyDescent="0.3">
      <c r="I31" s="152">
        <v>10</v>
      </c>
      <c r="N31" s="142" t="s">
        <v>139</v>
      </c>
      <c r="O31" s="159">
        <f t="shared" si="4"/>
        <v>0</v>
      </c>
      <c r="P31" s="144">
        <v>6550</v>
      </c>
      <c r="Q31" s="144">
        <v>3000</v>
      </c>
      <c r="R31" s="144">
        <v>300</v>
      </c>
      <c r="S31" s="144">
        <v>150</v>
      </c>
      <c r="T31" s="156">
        <v>0</v>
      </c>
      <c r="U31" s="156">
        <v>0</v>
      </c>
      <c r="V31" s="156">
        <v>0</v>
      </c>
      <c r="W31" s="156">
        <v>0</v>
      </c>
      <c r="X31" s="156">
        <v>0</v>
      </c>
      <c r="Y31" s="156">
        <v>0</v>
      </c>
      <c r="Z31" s="156">
        <v>0</v>
      </c>
      <c r="AA31" s="156">
        <v>0</v>
      </c>
      <c r="AB31" s="161" cm="1">
        <f t="array" ref="AB31">SUMPRODUCT(O31:AA31/SUM(O31:AA31),$O$4:$AA$4)</f>
        <v>2.48</v>
      </c>
      <c r="AD31" s="160"/>
      <c r="AE31" s="160"/>
    </row>
    <row r="32" spans="2:31" x14ac:dyDescent="0.3">
      <c r="I32" s="152">
        <v>15</v>
      </c>
      <c r="N32" s="142" t="s">
        <v>141</v>
      </c>
      <c r="O32" s="159">
        <f t="shared" si="4"/>
        <v>0</v>
      </c>
      <c r="P32" s="144">
        <v>6550</v>
      </c>
      <c r="Q32" s="144">
        <v>3000</v>
      </c>
      <c r="R32" s="144">
        <v>300</v>
      </c>
      <c r="S32" s="144">
        <v>150</v>
      </c>
      <c r="T32" s="156">
        <v>0</v>
      </c>
      <c r="U32" s="156">
        <v>0</v>
      </c>
      <c r="V32" s="156">
        <v>0</v>
      </c>
      <c r="W32" s="156">
        <v>0</v>
      </c>
      <c r="X32" s="156">
        <v>0</v>
      </c>
      <c r="Y32" s="156">
        <v>0</v>
      </c>
      <c r="Z32" s="156">
        <v>0</v>
      </c>
      <c r="AA32" s="156">
        <v>0</v>
      </c>
      <c r="AB32" s="161" cm="1">
        <f t="array" ref="AB32">SUMPRODUCT(O32:AA32/SUM(O32:AA32),$O$4:$AA$4)</f>
        <v>2.48</v>
      </c>
      <c r="AD32" s="160"/>
      <c r="AE32" s="160"/>
    </row>
    <row r="33" spans="9:31" x14ac:dyDescent="0.3">
      <c r="I33" s="152">
        <v>20</v>
      </c>
      <c r="N33" s="142" t="s">
        <v>156</v>
      </c>
      <c r="O33" s="159">
        <f t="shared" ref="O33" si="5">10000-SUM(P33:AA33)</f>
        <v>10000</v>
      </c>
      <c r="P33" s="159">
        <v>0</v>
      </c>
      <c r="Q33" s="159">
        <v>0</v>
      </c>
      <c r="R33" s="159">
        <v>0</v>
      </c>
      <c r="S33" s="159">
        <v>0</v>
      </c>
      <c r="T33" s="159">
        <v>0</v>
      </c>
      <c r="U33" s="159">
        <v>0</v>
      </c>
      <c r="V33" s="159">
        <v>0</v>
      </c>
      <c r="W33" s="159">
        <v>0</v>
      </c>
      <c r="X33" s="159">
        <v>0</v>
      </c>
      <c r="Y33" s="159">
        <v>0</v>
      </c>
      <c r="Z33" s="159">
        <v>0</v>
      </c>
      <c r="AA33" s="159">
        <v>0</v>
      </c>
      <c r="AB33" s="161" cm="1">
        <f t="array" ref="AB33">SUMPRODUCT(O33:AA33/SUM(O33:AA33),$O$4:$AA$4)</f>
        <v>0</v>
      </c>
      <c r="AD33" s="160"/>
      <c r="AE33" s="160"/>
    </row>
    <row r="34" spans="9:31" x14ac:dyDescent="0.3">
      <c r="I34" s="152">
        <v>25</v>
      </c>
    </row>
    <row r="35" spans="9:31" x14ac:dyDescent="0.3">
      <c r="I35" s="152">
        <v>35</v>
      </c>
    </row>
    <row r="36" spans="9:31" x14ac:dyDescent="0.3">
      <c r="I36" s="152">
        <v>50</v>
      </c>
      <c r="N36" s="114" t="s">
        <v>152</v>
      </c>
    </row>
    <row r="37" spans="9:31" x14ac:dyDescent="0.3">
      <c r="I37" s="152">
        <v>80</v>
      </c>
      <c r="N37" s="143" t="s">
        <v>147</v>
      </c>
      <c r="O37" s="143">
        <v>0</v>
      </c>
      <c r="P37" s="143">
        <v>2</v>
      </c>
      <c r="Q37" s="143">
        <v>3</v>
      </c>
      <c r="R37" s="143">
        <v>5</v>
      </c>
      <c r="S37" s="143">
        <v>8</v>
      </c>
      <c r="T37" s="143">
        <v>10</v>
      </c>
      <c r="U37" s="143">
        <v>15</v>
      </c>
      <c r="V37" s="143">
        <v>20</v>
      </c>
      <c r="W37" s="143">
        <v>25</v>
      </c>
      <c r="X37" s="143">
        <v>35</v>
      </c>
      <c r="Y37" s="143">
        <v>50</v>
      </c>
      <c r="Z37" s="143">
        <v>80</v>
      </c>
      <c r="AA37" s="143">
        <v>100</v>
      </c>
    </row>
    <row r="38" spans="9:31" x14ac:dyDescent="0.3">
      <c r="I38" s="152">
        <v>100</v>
      </c>
      <c r="N38" s="142" t="s">
        <v>145</v>
      </c>
      <c r="O38" s="158">
        <f t="shared" ref="O38" si="6">10000-SUM(P38:AA38)</f>
        <v>8500</v>
      </c>
      <c r="P38" s="158">
        <v>500</v>
      </c>
      <c r="Q38" s="158">
        <v>400</v>
      </c>
      <c r="R38" s="158">
        <v>300</v>
      </c>
      <c r="S38" s="158">
        <v>300</v>
      </c>
      <c r="T38" s="159">
        <v>0</v>
      </c>
      <c r="U38" s="159">
        <v>0</v>
      </c>
      <c r="V38" s="159">
        <v>0</v>
      </c>
      <c r="W38" s="159">
        <v>0</v>
      </c>
      <c r="X38" s="159">
        <v>0</v>
      </c>
      <c r="Y38" s="159">
        <v>0</v>
      </c>
      <c r="Z38" s="159">
        <v>0</v>
      </c>
      <c r="AA38" s="159">
        <v>0</v>
      </c>
      <c r="AB38" s="161" cm="1">
        <f t="array" ref="AB38">SUMPRODUCT(P38:AA38/SUM(P38:AA38),$P$4:$AA$4)</f>
        <v>4.0666666666666664</v>
      </c>
      <c r="AC38" s="161"/>
      <c r="AD38" s="160"/>
      <c r="AE38" s="160"/>
    </row>
    <row r="39" spans="9:31" x14ac:dyDescent="0.3">
      <c r="N39" s="142" t="s">
        <v>146</v>
      </c>
      <c r="O39" s="158">
        <f t="shared" ref="O39:O44" si="7">10000-SUM(P39:AA39)</f>
        <v>9100</v>
      </c>
      <c r="P39" s="158">
        <v>350</v>
      </c>
      <c r="Q39" s="158">
        <v>250</v>
      </c>
      <c r="R39" s="158">
        <v>150</v>
      </c>
      <c r="S39" s="158">
        <v>150</v>
      </c>
      <c r="T39" s="159">
        <v>0</v>
      </c>
      <c r="U39" s="159">
        <v>0</v>
      </c>
      <c r="V39" s="159">
        <v>0</v>
      </c>
      <c r="W39" s="159">
        <v>0</v>
      </c>
      <c r="X39" s="159">
        <v>0</v>
      </c>
      <c r="Y39" s="159">
        <v>0</v>
      </c>
      <c r="Z39" s="159">
        <v>0</v>
      </c>
      <c r="AA39" s="159">
        <v>0</v>
      </c>
      <c r="AB39" s="161" cm="1">
        <f t="array" ref="AB39">SUMPRODUCT(P39:AA39/SUM(P39:AA39),$P$4:$AA$4)</f>
        <v>3.7777777777777777</v>
      </c>
      <c r="AC39" s="161"/>
      <c r="AD39" s="160"/>
      <c r="AE39" s="160"/>
    </row>
    <row r="40" spans="9:31" x14ac:dyDescent="0.3">
      <c r="N40" s="142" t="s">
        <v>157</v>
      </c>
      <c r="O40" s="144">
        <f t="shared" si="7"/>
        <v>9200</v>
      </c>
      <c r="P40" s="158">
        <v>400</v>
      </c>
      <c r="Q40" s="158">
        <v>300</v>
      </c>
      <c r="R40" s="158">
        <v>50</v>
      </c>
      <c r="S40" s="158">
        <v>50</v>
      </c>
      <c r="T40" s="159">
        <v>0</v>
      </c>
      <c r="U40" s="159">
        <v>0</v>
      </c>
      <c r="V40" s="159">
        <v>0</v>
      </c>
      <c r="W40" s="159">
        <v>0</v>
      </c>
      <c r="X40" s="159">
        <v>0</v>
      </c>
      <c r="Y40" s="159">
        <v>0</v>
      </c>
      <c r="Z40" s="159">
        <v>0</v>
      </c>
      <c r="AA40" s="159">
        <v>0</v>
      </c>
      <c r="AB40" s="161" cm="1">
        <f t="array" ref="AB40">SUMPRODUCT(P40:AA40/SUM(P40:AA40),$P$4:$AA$4)</f>
        <v>2.9375</v>
      </c>
      <c r="AC40" s="161"/>
      <c r="AD40" s="160"/>
      <c r="AE40" s="160"/>
    </row>
    <row r="41" spans="9:31" x14ac:dyDescent="0.3">
      <c r="I41" s="17" t="s">
        <v>164</v>
      </c>
      <c r="J41" s="17"/>
      <c r="K41" s="17"/>
      <c r="N41" s="142" t="s">
        <v>137</v>
      </c>
      <c r="O41" s="144">
        <f t="shared" si="7"/>
        <v>6710</v>
      </c>
      <c r="P41" s="158">
        <v>2100</v>
      </c>
      <c r="Q41" s="158">
        <v>860</v>
      </c>
      <c r="R41" s="144">
        <v>220</v>
      </c>
      <c r="S41" s="144">
        <v>110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61" cm="1">
        <f t="array" ref="AB41">SUMPRODUCT(P41:AA41/SUM(P41:AA41),$P$4:$AA$4)</f>
        <v>2.6626139817629175</v>
      </c>
      <c r="AC41" s="161"/>
      <c r="AD41" s="160"/>
      <c r="AE41" s="160"/>
    </row>
    <row r="42" spans="9:31" x14ac:dyDescent="0.3">
      <c r="I42" s="134"/>
      <c r="J42" s="135" t="s">
        <v>165</v>
      </c>
      <c r="K42" s="135" t="s">
        <v>107</v>
      </c>
      <c r="N42" s="142" t="s">
        <v>139</v>
      </c>
      <c r="O42" s="144">
        <f t="shared" si="7"/>
        <v>6710</v>
      </c>
      <c r="P42" s="158">
        <v>2100</v>
      </c>
      <c r="Q42" s="158">
        <v>860</v>
      </c>
      <c r="R42" s="144">
        <v>220</v>
      </c>
      <c r="S42" s="144">
        <v>110</v>
      </c>
      <c r="T42" s="156">
        <v>0</v>
      </c>
      <c r="U42" s="156">
        <v>0</v>
      </c>
      <c r="V42" s="156">
        <v>0</v>
      </c>
      <c r="W42" s="156">
        <v>0</v>
      </c>
      <c r="X42" s="156">
        <v>0</v>
      </c>
      <c r="Y42" s="156">
        <v>0</v>
      </c>
      <c r="Z42" s="156">
        <v>0</v>
      </c>
      <c r="AA42" s="156">
        <v>0</v>
      </c>
      <c r="AB42" s="161" cm="1">
        <f t="array" ref="AB42">SUMPRODUCT(P42:AA42/SUM(P42:AA42),$P$4:$AA$4)</f>
        <v>2.6626139817629175</v>
      </c>
      <c r="AC42" s="161"/>
      <c r="AD42" s="160"/>
      <c r="AE42" s="160"/>
    </row>
    <row r="43" spans="9:31" x14ac:dyDescent="0.3">
      <c r="I43" s="124" t="s">
        <v>49</v>
      </c>
      <c r="J43" s="136">
        <v>10</v>
      </c>
      <c r="K43" s="136">
        <v>0</v>
      </c>
      <c r="N43" s="142" t="s">
        <v>141</v>
      </c>
      <c r="O43" s="144">
        <f t="shared" si="7"/>
        <v>6710</v>
      </c>
      <c r="P43" s="158">
        <v>2100</v>
      </c>
      <c r="Q43" s="158">
        <v>860</v>
      </c>
      <c r="R43" s="144">
        <v>220</v>
      </c>
      <c r="S43" s="144">
        <v>110</v>
      </c>
      <c r="T43" s="156">
        <v>0</v>
      </c>
      <c r="U43" s="156">
        <v>0</v>
      </c>
      <c r="V43" s="156">
        <v>0</v>
      </c>
      <c r="W43" s="156">
        <v>0</v>
      </c>
      <c r="X43" s="156">
        <v>0</v>
      </c>
      <c r="Y43" s="156">
        <v>0</v>
      </c>
      <c r="Z43" s="156">
        <v>0</v>
      </c>
      <c r="AA43" s="156">
        <v>0</v>
      </c>
      <c r="AB43" s="161" cm="1">
        <f t="array" ref="AB43">SUMPRODUCT(P43:AA43/SUM(P43:AA43),$P$4:$AA$4)</f>
        <v>2.6626139817629175</v>
      </c>
      <c r="AC43" s="161"/>
      <c r="AD43" s="160"/>
      <c r="AE43" s="160"/>
    </row>
    <row r="44" spans="9:31" x14ac:dyDescent="0.3">
      <c r="I44" s="124" t="s">
        <v>50</v>
      </c>
      <c r="J44" s="137">
        <v>10</v>
      </c>
      <c r="K44" s="137">
        <v>0</v>
      </c>
      <c r="N44" s="142" t="s">
        <v>156</v>
      </c>
      <c r="O44" s="156">
        <f t="shared" si="7"/>
        <v>10000</v>
      </c>
      <c r="P44" s="159">
        <v>0</v>
      </c>
      <c r="Q44" s="159">
        <v>0</v>
      </c>
      <c r="R44" s="159">
        <v>0</v>
      </c>
      <c r="S44" s="159">
        <v>0</v>
      </c>
      <c r="T44" s="159">
        <v>0</v>
      </c>
      <c r="U44" s="159">
        <v>0</v>
      </c>
      <c r="V44" s="159">
        <v>0</v>
      </c>
      <c r="W44" s="159">
        <v>0</v>
      </c>
      <c r="X44" s="159">
        <v>0</v>
      </c>
      <c r="Y44" s="159">
        <v>0</v>
      </c>
      <c r="Z44" s="159">
        <v>0</v>
      </c>
      <c r="AA44" s="159">
        <v>0</v>
      </c>
      <c r="AB44" s="161" t="e" cm="1">
        <f t="array" ref="AB44">SUMPRODUCT(P44:AA44/SUM(P44:AA44),$P$4:$AA$4)</f>
        <v>#DIV/0!</v>
      </c>
      <c r="AC44" s="161"/>
      <c r="AD44" s="160"/>
      <c r="AE44" s="160"/>
    </row>
    <row r="46" spans="9:31" x14ac:dyDescent="0.3">
      <c r="P46" s="182"/>
      <c r="Q46" s="182"/>
      <c r="R46" s="182"/>
      <c r="S46" s="182"/>
    </row>
    <row r="47" spans="9:31" x14ac:dyDescent="0.3">
      <c r="N47" s="114" t="s">
        <v>151</v>
      </c>
    </row>
    <row r="48" spans="9:31" x14ac:dyDescent="0.3">
      <c r="N48" s="143" t="s">
        <v>147</v>
      </c>
      <c r="O48" s="143">
        <v>0</v>
      </c>
      <c r="P48" s="143">
        <v>2</v>
      </c>
      <c r="Q48" s="143">
        <v>3</v>
      </c>
      <c r="R48" s="143">
        <v>5</v>
      </c>
      <c r="S48" s="143">
        <v>8</v>
      </c>
      <c r="T48" s="143">
        <v>10</v>
      </c>
      <c r="U48" s="143">
        <v>15</v>
      </c>
      <c r="V48" s="143">
        <v>20</v>
      </c>
      <c r="W48" s="143">
        <v>25</v>
      </c>
      <c r="X48" s="143">
        <v>35</v>
      </c>
      <c r="Y48" s="143">
        <v>50</v>
      </c>
      <c r="Z48" s="143">
        <v>80</v>
      </c>
      <c r="AA48" s="143">
        <v>100</v>
      </c>
    </row>
    <row r="49" spans="14:31" x14ac:dyDescent="0.3">
      <c r="N49" s="142" t="s">
        <v>145</v>
      </c>
      <c r="O49" s="158">
        <f t="shared" ref="O49" si="8">10000-SUM(P49:AA49)</f>
        <v>8500</v>
      </c>
      <c r="P49" s="158">
        <v>600</v>
      </c>
      <c r="Q49" s="158">
        <v>500</v>
      </c>
      <c r="R49" s="158">
        <v>200</v>
      </c>
      <c r="S49" s="158">
        <v>200</v>
      </c>
      <c r="T49" s="159">
        <v>0</v>
      </c>
      <c r="U49" s="159">
        <v>0</v>
      </c>
      <c r="V49" s="159">
        <v>0</v>
      </c>
      <c r="W49" s="159">
        <v>0</v>
      </c>
      <c r="X49" s="159">
        <v>0</v>
      </c>
      <c r="Y49" s="159">
        <v>0</v>
      </c>
      <c r="Z49" s="159">
        <v>0</v>
      </c>
      <c r="AA49" s="159">
        <v>0</v>
      </c>
      <c r="AB49" s="161" cm="1">
        <f t="array" ref="AB49">SUMPRODUCT(P49:AA49/SUM(P49:AA49),$P$4:$AA$4)</f>
        <v>3.5333333333333332</v>
      </c>
      <c r="AC49" s="161"/>
      <c r="AD49" s="160"/>
      <c r="AE49" s="160"/>
    </row>
    <row r="50" spans="14:31" x14ac:dyDescent="0.3">
      <c r="N50" s="142" t="s">
        <v>146</v>
      </c>
      <c r="O50" s="158">
        <f t="shared" ref="O50:O54" si="9">10000-SUM(P50:AA50)</f>
        <v>9100</v>
      </c>
      <c r="P50" s="158">
        <v>450</v>
      </c>
      <c r="Q50" s="158">
        <v>350</v>
      </c>
      <c r="R50" s="158">
        <v>50</v>
      </c>
      <c r="S50" s="158">
        <v>50</v>
      </c>
      <c r="T50" s="159">
        <v>0</v>
      </c>
      <c r="U50" s="159">
        <v>0</v>
      </c>
      <c r="V50" s="159">
        <v>0</v>
      </c>
      <c r="W50" s="159">
        <v>0</v>
      </c>
      <c r="X50" s="159">
        <v>0</v>
      </c>
      <c r="Y50" s="159">
        <v>0</v>
      </c>
      <c r="Z50" s="159">
        <v>0</v>
      </c>
      <c r="AA50" s="159">
        <v>0</v>
      </c>
      <c r="AB50" s="161" cm="1">
        <f t="array" ref="AB50">SUMPRODUCT(P50:AA50/SUM(P50:AA50),$P$4:$AA$4)</f>
        <v>2.8888888888888893</v>
      </c>
      <c r="AC50" s="161"/>
      <c r="AD50" s="160"/>
      <c r="AE50" s="160"/>
    </row>
    <row r="51" spans="14:31" x14ac:dyDescent="0.3">
      <c r="N51" s="142" t="s">
        <v>157</v>
      </c>
      <c r="O51" s="158">
        <f t="shared" si="9"/>
        <v>8900</v>
      </c>
      <c r="P51" s="158">
        <v>550</v>
      </c>
      <c r="Q51" s="158">
        <v>450</v>
      </c>
      <c r="R51" s="158">
        <v>50</v>
      </c>
      <c r="S51" s="158">
        <v>50</v>
      </c>
      <c r="T51" s="159">
        <v>0</v>
      </c>
      <c r="U51" s="159">
        <v>0</v>
      </c>
      <c r="V51" s="159">
        <v>0</v>
      </c>
      <c r="W51" s="159">
        <v>0</v>
      </c>
      <c r="X51" s="159">
        <v>0</v>
      </c>
      <c r="Y51" s="159">
        <v>0</v>
      </c>
      <c r="Z51" s="159">
        <v>0</v>
      </c>
      <c r="AA51" s="159">
        <v>0</v>
      </c>
      <c r="AB51" s="161" cm="1">
        <f t="array" ref="AB51">SUMPRODUCT(P51:AA51/SUM(P51:AA51),$P$4:$AA$4)</f>
        <v>2.8181818181818188</v>
      </c>
      <c r="AC51" s="161"/>
      <c r="AD51" s="160"/>
      <c r="AE51" s="160"/>
    </row>
    <row r="52" spans="14:31" x14ac:dyDescent="0.3">
      <c r="N52" s="142" t="s">
        <v>137</v>
      </c>
      <c r="O52" s="158">
        <f t="shared" si="9"/>
        <v>6710</v>
      </c>
      <c r="P52" s="158">
        <v>2150</v>
      </c>
      <c r="Q52" s="158">
        <v>970</v>
      </c>
      <c r="R52" s="144">
        <v>110</v>
      </c>
      <c r="S52" s="144">
        <v>60</v>
      </c>
      <c r="T52" s="156">
        <v>0</v>
      </c>
      <c r="U52" s="156">
        <v>0</v>
      </c>
      <c r="V52" s="156">
        <v>0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61" cm="1">
        <f t="array" ref="AB52">SUMPRODUCT(P52:AA52/SUM(P52:AA52),$P$4:$AA$4)</f>
        <v>2.5045592705167175</v>
      </c>
      <c r="AC52" s="161"/>
      <c r="AD52" s="160"/>
      <c r="AE52" s="160"/>
    </row>
    <row r="53" spans="14:31" x14ac:dyDescent="0.3">
      <c r="N53" s="142" t="s">
        <v>139</v>
      </c>
      <c r="O53" s="158">
        <f t="shared" si="9"/>
        <v>6710</v>
      </c>
      <c r="P53" s="158">
        <v>2150</v>
      </c>
      <c r="Q53" s="158">
        <v>970</v>
      </c>
      <c r="R53" s="144">
        <v>110</v>
      </c>
      <c r="S53" s="144">
        <v>60</v>
      </c>
      <c r="T53" s="156">
        <v>0</v>
      </c>
      <c r="U53" s="156">
        <v>0</v>
      </c>
      <c r="V53" s="156">
        <v>0</v>
      </c>
      <c r="W53" s="156">
        <v>0</v>
      </c>
      <c r="X53" s="156">
        <v>0</v>
      </c>
      <c r="Y53" s="156">
        <v>0</v>
      </c>
      <c r="Z53" s="156">
        <v>0</v>
      </c>
      <c r="AA53" s="156">
        <v>0</v>
      </c>
      <c r="AB53" s="161" cm="1">
        <f t="array" ref="AB53">SUMPRODUCT(P53:AA53/SUM(P53:AA53),$P$4:$AA$4)</f>
        <v>2.5045592705167175</v>
      </c>
      <c r="AC53" s="161"/>
      <c r="AD53" s="160"/>
      <c r="AE53" s="160"/>
    </row>
    <row r="54" spans="14:31" x14ac:dyDescent="0.3">
      <c r="N54" s="142" t="s">
        <v>141</v>
      </c>
      <c r="O54" s="158">
        <f t="shared" si="9"/>
        <v>6710</v>
      </c>
      <c r="P54" s="158">
        <v>2150</v>
      </c>
      <c r="Q54" s="158">
        <v>970</v>
      </c>
      <c r="R54" s="144">
        <v>110</v>
      </c>
      <c r="S54" s="144">
        <v>60</v>
      </c>
      <c r="T54" s="156">
        <v>0</v>
      </c>
      <c r="U54" s="156">
        <v>0</v>
      </c>
      <c r="V54" s="156">
        <v>0</v>
      </c>
      <c r="W54" s="156">
        <v>0</v>
      </c>
      <c r="X54" s="156">
        <v>0</v>
      </c>
      <c r="Y54" s="156">
        <v>0</v>
      </c>
      <c r="Z54" s="156">
        <v>0</v>
      </c>
      <c r="AA54" s="156">
        <v>0</v>
      </c>
      <c r="AB54" s="161" cm="1">
        <f t="array" ref="AB54">SUMPRODUCT(P54:AA54/SUM(P54:AA54),$P$4:$AA$4)</f>
        <v>2.5045592705167175</v>
      </c>
      <c r="AC54" s="161"/>
      <c r="AD54" s="160"/>
      <c r="AE54" s="160"/>
    </row>
    <row r="55" spans="14:31" x14ac:dyDescent="0.3">
      <c r="N55" s="142" t="s">
        <v>156</v>
      </c>
      <c r="O55" s="156">
        <f t="shared" ref="O55" si="10">10000-SUM(P55:AA55)</f>
        <v>10000</v>
      </c>
      <c r="P55" s="159">
        <v>0</v>
      </c>
      <c r="Q55" s="159">
        <v>0</v>
      </c>
      <c r="R55" s="159">
        <v>0</v>
      </c>
      <c r="S55" s="159">
        <v>0</v>
      </c>
      <c r="T55" s="159">
        <v>0</v>
      </c>
      <c r="U55" s="159">
        <v>0</v>
      </c>
      <c r="V55" s="159">
        <v>0</v>
      </c>
      <c r="W55" s="159">
        <v>0</v>
      </c>
      <c r="X55" s="159">
        <v>0</v>
      </c>
      <c r="Y55" s="159">
        <v>0</v>
      </c>
      <c r="Z55" s="159">
        <v>0</v>
      </c>
      <c r="AA55" s="159">
        <v>0</v>
      </c>
      <c r="AB55" s="161" t="e" cm="1">
        <f t="array" ref="AB55">SUMPRODUCT(P55:AA55/SUM(P55:AA55),$P$4:$AA$4)</f>
        <v>#DIV/0!</v>
      </c>
      <c r="AC55" s="161"/>
      <c r="AD55" s="160"/>
      <c r="AE55" s="160"/>
    </row>
    <row r="70" spans="28:28" x14ac:dyDescent="0.3">
      <c r="AB70" s="114"/>
    </row>
    <row r="71" spans="28:28" x14ac:dyDescent="0.3">
      <c r="AB71" s="114"/>
    </row>
    <row r="72" spans="28:28" x14ac:dyDescent="0.3">
      <c r="AB72" s="114"/>
    </row>
    <row r="73" spans="28:28" x14ac:dyDescent="0.3">
      <c r="AB73" s="114"/>
    </row>
    <row r="74" spans="28:28" x14ac:dyDescent="0.3">
      <c r="AB74" s="114"/>
    </row>
    <row r="75" spans="28:28" x14ac:dyDescent="0.3">
      <c r="AB75" s="114"/>
    </row>
    <row r="76" spans="28:28" x14ac:dyDescent="0.3">
      <c r="AB76" s="114"/>
    </row>
    <row r="77" spans="28:28" x14ac:dyDescent="0.3">
      <c r="AB77" s="114"/>
    </row>
    <row r="78" spans="28:28" x14ac:dyDescent="0.3">
      <c r="AB78" s="114"/>
    </row>
    <row r="79" spans="28:28" x14ac:dyDescent="0.3">
      <c r="AB79" s="114"/>
    </row>
    <row r="80" spans="28:28" x14ac:dyDescent="0.3">
      <c r="AB80" s="114"/>
    </row>
    <row r="81" spans="28:28" x14ac:dyDescent="0.3">
      <c r="AB81" s="114"/>
    </row>
    <row r="82" spans="28:28" x14ac:dyDescent="0.3">
      <c r="AB82" s="114"/>
    </row>
    <row r="83" spans="28:28" x14ac:dyDescent="0.3">
      <c r="AB83" s="114"/>
    </row>
    <row r="84" spans="28:28" x14ac:dyDescent="0.3">
      <c r="AB84" s="114"/>
    </row>
    <row r="85" spans="28:28" x14ac:dyDescent="0.3">
      <c r="AB85" s="114"/>
    </row>
    <row r="86" spans="28:28" x14ac:dyDescent="0.3">
      <c r="AB86" s="114"/>
    </row>
    <row r="87" spans="28:28" x14ac:dyDescent="0.3">
      <c r="AB87" s="114"/>
    </row>
    <row r="88" spans="28:28" x14ac:dyDescent="0.3">
      <c r="AB88" s="114"/>
    </row>
    <row r="89" spans="28:28" x14ac:dyDescent="0.3">
      <c r="AB89" s="114"/>
    </row>
    <row r="90" spans="28:28" x14ac:dyDescent="0.3">
      <c r="AB90" s="114"/>
    </row>
    <row r="91" spans="28:28" x14ac:dyDescent="0.3">
      <c r="AB91" s="114"/>
    </row>
    <row r="92" spans="28:28" x14ac:dyDescent="0.3">
      <c r="AB92" s="114"/>
    </row>
    <row r="93" spans="28:28" x14ac:dyDescent="0.3">
      <c r="AB93" s="114"/>
    </row>
    <row r="94" spans="28:28" x14ac:dyDescent="0.3">
      <c r="AB94" s="114"/>
    </row>
    <row r="95" spans="28:28" x14ac:dyDescent="0.3">
      <c r="AB95" s="114"/>
    </row>
    <row r="96" spans="28:28" x14ac:dyDescent="0.3">
      <c r="AB96" s="114"/>
    </row>
    <row r="97" spans="28:28" x14ac:dyDescent="0.3">
      <c r="AB97" s="114"/>
    </row>
    <row r="98" spans="28:28" x14ac:dyDescent="0.3">
      <c r="AB98" s="114"/>
    </row>
    <row r="99" spans="28:28" x14ac:dyDescent="0.3">
      <c r="AB99" s="114"/>
    </row>
    <row r="100" spans="28:28" x14ac:dyDescent="0.3">
      <c r="AB100" s="114"/>
    </row>
    <row r="101" spans="28:28" x14ac:dyDescent="0.3">
      <c r="AB101" s="114"/>
    </row>
    <row r="102" spans="28:28" x14ac:dyDescent="0.3">
      <c r="AB102" s="114"/>
    </row>
    <row r="103" spans="28:28" x14ac:dyDescent="0.3">
      <c r="AB103" s="114"/>
    </row>
    <row r="104" spans="28:28" x14ac:dyDescent="0.3">
      <c r="AB104" s="114"/>
    </row>
    <row r="105" spans="28:28" x14ac:dyDescent="0.3">
      <c r="AB105" s="114"/>
    </row>
    <row r="106" spans="28:28" x14ac:dyDescent="0.3">
      <c r="AB106" s="114"/>
    </row>
    <row r="107" spans="28:28" x14ac:dyDescent="0.3">
      <c r="AB107" s="114"/>
    </row>
    <row r="108" spans="28:28" x14ac:dyDescent="0.3">
      <c r="AB108" s="114"/>
    </row>
    <row r="109" spans="28:28" x14ac:dyDescent="0.3">
      <c r="AB109" s="114"/>
    </row>
    <row r="110" spans="28:28" x14ac:dyDescent="0.3">
      <c r="AB110" s="114"/>
    </row>
    <row r="111" spans="28:28" x14ac:dyDescent="0.3">
      <c r="AB111" s="114"/>
    </row>
    <row r="112" spans="28:28" x14ac:dyDescent="0.3">
      <c r="AB112" s="114"/>
    </row>
    <row r="113" spans="28:28" x14ac:dyDescent="0.3">
      <c r="AB113" s="114"/>
    </row>
    <row r="114" spans="28:28" x14ac:dyDescent="0.3">
      <c r="AB114" s="114"/>
    </row>
    <row r="115" spans="28:28" x14ac:dyDescent="0.3">
      <c r="AB115" s="114"/>
    </row>
    <row r="116" spans="28:28" x14ac:dyDescent="0.3">
      <c r="AB116" s="114"/>
    </row>
    <row r="117" spans="28:28" x14ac:dyDescent="0.3">
      <c r="AB117" s="114"/>
    </row>
    <row r="118" spans="28:28" x14ac:dyDescent="0.3">
      <c r="AB118" s="114"/>
    </row>
    <row r="119" spans="28:28" x14ac:dyDescent="0.3">
      <c r="AB119" s="114"/>
    </row>
    <row r="120" spans="28:28" x14ac:dyDescent="0.3">
      <c r="AB120" s="114"/>
    </row>
    <row r="121" spans="28:28" x14ac:dyDescent="0.3">
      <c r="AB121" s="114"/>
    </row>
    <row r="122" spans="28:28" x14ac:dyDescent="0.3">
      <c r="AB122" s="114"/>
    </row>
    <row r="123" spans="28:28" x14ac:dyDescent="0.3">
      <c r="AB123" s="114"/>
    </row>
    <row r="124" spans="28:28" x14ac:dyDescent="0.3">
      <c r="AB124" s="114"/>
    </row>
    <row r="125" spans="28:28" x14ac:dyDescent="0.3">
      <c r="AB125" s="114"/>
    </row>
    <row r="126" spans="28:28" x14ac:dyDescent="0.3">
      <c r="AB126" s="114"/>
    </row>
    <row r="127" spans="28:28" x14ac:dyDescent="0.3">
      <c r="AB127" s="114"/>
    </row>
    <row r="128" spans="28:28" x14ac:dyDescent="0.3">
      <c r="AB128" s="114"/>
    </row>
    <row r="129" spans="28:28" x14ac:dyDescent="0.3">
      <c r="AB129" s="114"/>
    </row>
    <row r="130" spans="28:28" hidden="1" x14ac:dyDescent="0.3">
      <c r="AB130" s="114"/>
    </row>
    <row r="131" spans="28:28" x14ac:dyDescent="0.3">
      <c r="AB131" s="114"/>
    </row>
    <row r="132" spans="28:28" x14ac:dyDescent="0.3">
      <c r="AB132" s="11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topLeftCell="A14" workbookViewId="0">
      <selection activeCell="Q40" sqref="Q40"/>
    </sheetView>
  </sheetViews>
  <sheetFormatPr defaultRowHeight="15.6" x14ac:dyDescent="0.3"/>
  <cols>
    <col min="1" max="1" width="8.88671875" style="17"/>
    <col min="2" max="2" width="9" style="17" hidden="1" customWidth="1"/>
    <col min="3" max="5" width="9.6640625" style="17" hidden="1" customWidth="1"/>
    <col min="6" max="6" width="0" style="17" hidden="1" customWidth="1"/>
    <col min="7" max="7" width="21.21875" style="17" hidden="1" customWidth="1"/>
    <col min="8" max="8" width="11" style="17" hidden="1" customWidth="1"/>
    <col min="9" max="9" width="9.5546875" style="17" hidden="1" customWidth="1"/>
    <col min="10" max="10" width="21.21875" style="17" hidden="1" customWidth="1"/>
    <col min="11" max="11" width="9.6640625" style="17" hidden="1" customWidth="1"/>
    <col min="12" max="12" width="9.5546875" style="17" hidden="1" customWidth="1"/>
    <col min="13" max="13" width="10.44140625" style="17" bestFit="1" customWidth="1"/>
    <col min="14" max="17" width="9.77734375" style="17" customWidth="1"/>
    <col min="18" max="18" width="9.5546875" style="17" bestFit="1" customWidth="1"/>
    <col min="19" max="19" width="10.44140625" style="17" bestFit="1" customWidth="1"/>
    <col min="20" max="23" width="9.77734375" style="17" customWidth="1"/>
    <col min="24" max="24" width="9.5546875" style="17" bestFit="1" customWidth="1"/>
    <col min="25" max="28" width="11" style="17" customWidth="1"/>
    <col min="29" max="31" width="11.21875" style="17" customWidth="1"/>
    <col min="32" max="32" width="8.88671875" style="17"/>
    <col min="33" max="35" width="11.21875" style="17" customWidth="1"/>
    <col min="36" max="16384" width="8.88671875" style="17"/>
  </cols>
  <sheetData>
    <row r="2" spans="2:31" x14ac:dyDescent="0.3">
      <c r="B2" s="17" t="s">
        <v>171</v>
      </c>
      <c r="F2" s="168">
        <f>Parameter!L5+Parameter!L7</f>
        <v>0.85000000000000009</v>
      </c>
      <c r="G2" s="168">
        <f>Parameter!L6</f>
        <v>0.15</v>
      </c>
      <c r="M2" s="17" t="s">
        <v>170</v>
      </c>
      <c r="S2" s="17" t="s">
        <v>249</v>
      </c>
    </row>
    <row r="3" spans="2:31" x14ac:dyDescent="0.3">
      <c r="B3" s="135" t="s">
        <v>71</v>
      </c>
      <c r="C3" s="135" t="s">
        <v>170</v>
      </c>
      <c r="D3" s="135" t="s">
        <v>237</v>
      </c>
      <c r="E3" s="135" t="s">
        <v>238</v>
      </c>
      <c r="M3" s="143" t="s">
        <v>242</v>
      </c>
      <c r="N3" s="143" t="s">
        <v>109</v>
      </c>
      <c r="O3" s="143" t="s">
        <v>110</v>
      </c>
      <c r="P3" s="143" t="s">
        <v>240</v>
      </c>
      <c r="Q3" s="143" t="s">
        <v>241</v>
      </c>
      <c r="S3" s="143" t="s">
        <v>242</v>
      </c>
      <c r="T3" s="143" t="s">
        <v>109</v>
      </c>
      <c r="U3" s="143" t="s">
        <v>110</v>
      </c>
      <c r="V3" s="143" t="s">
        <v>240</v>
      </c>
      <c r="W3" s="143" t="s">
        <v>241</v>
      </c>
      <c r="Y3" s="17" t="s">
        <v>250</v>
      </c>
      <c r="Z3" s="17" t="s">
        <v>251</v>
      </c>
      <c r="AA3" s="17" t="s">
        <v>110</v>
      </c>
    </row>
    <row r="4" spans="2:31" x14ac:dyDescent="0.3">
      <c r="B4" s="124">
        <v>0</v>
      </c>
      <c r="C4" s="169">
        <v>0.12890728185260192</v>
      </c>
      <c r="D4" s="172">
        <v>0.17979999999999999</v>
      </c>
      <c r="E4" s="172">
        <v>0</v>
      </c>
      <c r="F4" s="163" cm="1">
        <f t="array" ref="F4:F13">D4:D13*F2+E4:E13*G2</f>
        <v>0.15282999999999999</v>
      </c>
      <c r="G4" s="17">
        <v>0</v>
      </c>
      <c r="H4" s="163" cm="1">
        <f t="array" ref="H4:H13">G4:G13/10000</f>
        <v>0</v>
      </c>
      <c r="M4" s="179">
        <v>0</v>
      </c>
      <c r="N4" s="178">
        <v>0.12890728185260192</v>
      </c>
      <c r="O4" s="178">
        <v>5.6827150749802685E-2</v>
      </c>
      <c r="P4" s="178">
        <v>0.1214574898785425</v>
      </c>
      <c r="Q4" s="178">
        <v>0.14634146341463414</v>
      </c>
      <c r="S4" s="179">
        <v>0</v>
      </c>
      <c r="T4" s="178">
        <v>0.14598406999999999</v>
      </c>
      <c r="U4" s="178">
        <v>0</v>
      </c>
      <c r="V4" s="178">
        <v>0</v>
      </c>
      <c r="W4" s="178">
        <v>0</v>
      </c>
    </row>
    <row r="5" spans="2:31" x14ac:dyDescent="0.3">
      <c r="B5" s="124">
        <v>1</v>
      </c>
      <c r="C5" s="169">
        <v>0.30351325173901561</v>
      </c>
      <c r="D5" s="172">
        <v>0.35339999999999999</v>
      </c>
      <c r="E5" s="172">
        <v>0</v>
      </c>
      <c r="F5" s="163">
        <v>0.30039000000000005</v>
      </c>
      <c r="G5" s="17" cm="1">
        <f t="array" ref="G5:G13">TRANSPOSE(Parameter!AD5:AL5)</f>
        <v>300</v>
      </c>
      <c r="H5" s="163">
        <v>0.03</v>
      </c>
      <c r="M5" s="180">
        <v>1</v>
      </c>
      <c r="N5" s="162">
        <v>0.30351325173901561</v>
      </c>
      <c r="O5" s="162">
        <v>0.14601420678768745</v>
      </c>
      <c r="P5" s="162">
        <v>0.22672064777327935</v>
      </c>
      <c r="Q5" s="162">
        <v>0.3902439024390244</v>
      </c>
      <c r="S5" s="180">
        <v>1</v>
      </c>
      <c r="T5" s="162">
        <v>0.28520793999999999</v>
      </c>
      <c r="U5" s="162">
        <v>0</v>
      </c>
      <c r="V5" s="162">
        <v>0</v>
      </c>
      <c r="W5" s="162">
        <v>0</v>
      </c>
      <c r="Y5" s="17" cm="1">
        <f t="array" ref="Y5:Y13">TRANSPOSE(Parameter!AD5:AL5)</f>
        <v>300</v>
      </c>
      <c r="Z5" s="17" cm="1">
        <f t="array" ref="Z5:Z13">TRANSPOSE(Parameter!AD6:AL6)</f>
        <v>0</v>
      </c>
      <c r="AA5" s="17" cm="1">
        <f t="array" ref="AA5:AA13">TRANSPOSE(Parameter!AD8:AL8)</f>
        <v>0</v>
      </c>
      <c r="AC5" s="163" cm="1">
        <f t="array" ref="AC5:AC13">_xlfn.ANCHORARRAY(Y5)/10000</f>
        <v>0.03</v>
      </c>
      <c r="AD5" s="163" cm="1">
        <f t="array" ref="AD5:AD13">_xlfn.ANCHORARRAY(Z5)/10000</f>
        <v>0</v>
      </c>
      <c r="AE5" s="163" cm="1">
        <f t="array" ref="AE5:AE13">_xlfn.ANCHORARRAY(AA5)/10000</f>
        <v>0</v>
      </c>
    </row>
    <row r="6" spans="2:31" x14ac:dyDescent="0.3">
      <c r="B6" s="124">
        <v>2</v>
      </c>
      <c r="C6" s="169">
        <v>0.30338117460596986</v>
      </c>
      <c r="D6" s="172">
        <v>0.29630000000000001</v>
      </c>
      <c r="E6" s="172">
        <v>0</v>
      </c>
      <c r="F6" s="163">
        <v>0.25185500000000005</v>
      </c>
      <c r="G6" s="17">
        <v>600</v>
      </c>
      <c r="H6" s="163">
        <v>0.06</v>
      </c>
      <c r="M6" s="180">
        <v>2</v>
      </c>
      <c r="N6" s="162">
        <v>0.30338117460596986</v>
      </c>
      <c r="O6" s="162">
        <v>0.23993685872138912</v>
      </c>
      <c r="P6" s="162">
        <v>0.25506072874493929</v>
      </c>
      <c r="Q6" s="162">
        <v>0.26829268292682928</v>
      </c>
      <c r="S6" s="180">
        <v>2</v>
      </c>
      <c r="T6" s="162">
        <v>0.23496146000000001</v>
      </c>
      <c r="U6" s="162">
        <v>0</v>
      </c>
      <c r="V6" s="162">
        <v>0</v>
      </c>
      <c r="W6" s="162">
        <v>0</v>
      </c>
      <c r="Y6" s="17">
        <v>600</v>
      </c>
      <c r="Z6" s="17">
        <v>0</v>
      </c>
      <c r="AA6" s="17">
        <v>0</v>
      </c>
      <c r="AC6" s="163">
        <v>0.06</v>
      </c>
      <c r="AD6" s="163">
        <v>0</v>
      </c>
      <c r="AE6" s="163">
        <v>0</v>
      </c>
    </row>
    <row r="7" spans="2:31" x14ac:dyDescent="0.3">
      <c r="B7" s="124">
        <v>3</v>
      </c>
      <c r="C7" s="169">
        <v>0.18173813507088141</v>
      </c>
      <c r="D7" s="172">
        <v>0.13270000000000001</v>
      </c>
      <c r="E7" s="172">
        <v>0.17960000000000001</v>
      </c>
      <c r="F7" s="163">
        <v>0.13973500000000003</v>
      </c>
      <c r="G7" s="17">
        <v>1080</v>
      </c>
      <c r="H7" s="163">
        <v>0.108</v>
      </c>
      <c r="M7" s="180">
        <v>3</v>
      </c>
      <c r="N7" s="162">
        <v>0.18173813507088141</v>
      </c>
      <c r="O7" s="162">
        <v>0.24072612470402527</v>
      </c>
      <c r="P7" s="162">
        <v>0.20647773279352227</v>
      </c>
      <c r="Q7" s="162">
        <v>0.12195121951219512</v>
      </c>
      <c r="S7" s="180">
        <v>3</v>
      </c>
      <c r="T7" s="162">
        <v>0.1397775</v>
      </c>
      <c r="U7" s="162">
        <v>0.15779349005216739</v>
      </c>
      <c r="V7" s="162">
        <v>0.25674906076030962</v>
      </c>
      <c r="W7" s="162">
        <v>0.33335772101950278</v>
      </c>
      <c r="Y7" s="17">
        <v>1080</v>
      </c>
      <c r="Z7" s="17">
        <v>1050</v>
      </c>
      <c r="AA7" s="17">
        <v>525</v>
      </c>
      <c r="AC7" s="163">
        <v>0.108</v>
      </c>
      <c r="AD7" s="163">
        <v>0.105</v>
      </c>
      <c r="AE7" s="163">
        <v>5.2499999999999998E-2</v>
      </c>
    </row>
    <row r="8" spans="2:31" x14ac:dyDescent="0.3">
      <c r="B8" s="124">
        <v>4</v>
      </c>
      <c r="C8" s="169">
        <v>6.3705203839042004E-2</v>
      </c>
      <c r="D8" s="172">
        <v>3.3300000000000003E-2</v>
      </c>
      <c r="E8" s="172">
        <v>0.38219999999999998</v>
      </c>
      <c r="F8" s="163">
        <v>8.5635000000000003E-2</v>
      </c>
      <c r="G8" s="17">
        <v>1440</v>
      </c>
      <c r="H8" s="163">
        <v>0.14399999999999999</v>
      </c>
      <c r="M8" s="180">
        <v>4</v>
      </c>
      <c r="N8" s="162">
        <v>6.3705203839042004E-2</v>
      </c>
      <c r="O8" s="162">
        <v>0.17363851617995266</v>
      </c>
      <c r="P8" s="162">
        <v>8.9068825910931168E-2</v>
      </c>
      <c r="Q8" s="162">
        <v>2.4390243902439025E-2</v>
      </c>
      <c r="S8" s="180">
        <v>4</v>
      </c>
      <c r="T8" s="162">
        <v>0.10258886</v>
      </c>
      <c r="U8" s="162">
        <v>0.38443020890818519</v>
      </c>
      <c r="V8" s="162">
        <v>0.40096742056011497</v>
      </c>
      <c r="W8" s="162">
        <v>0.4249225081271964</v>
      </c>
      <c r="Y8" s="17">
        <v>1440</v>
      </c>
      <c r="Z8" s="17">
        <v>1400</v>
      </c>
      <c r="AA8" s="17">
        <v>700</v>
      </c>
      <c r="AC8" s="163">
        <v>0.14399999999999999</v>
      </c>
      <c r="AD8" s="163">
        <v>0.14000000000000001</v>
      </c>
      <c r="AE8" s="163">
        <v>7.0000000000000007E-2</v>
      </c>
    </row>
    <row r="9" spans="2:31" x14ac:dyDescent="0.3">
      <c r="B9" s="124">
        <v>5</v>
      </c>
      <c r="C9" s="169">
        <v>1.4748613190103021E-2</v>
      </c>
      <c r="D9" s="172">
        <v>4.4000000000000003E-3</v>
      </c>
      <c r="E9" s="172">
        <v>0.29920000000000002</v>
      </c>
      <c r="F9" s="163">
        <v>4.8620000000000003E-2</v>
      </c>
      <c r="G9" s="17">
        <v>2250</v>
      </c>
      <c r="H9" s="163">
        <v>0.22500000000000001</v>
      </c>
      <c r="M9" s="180">
        <v>5</v>
      </c>
      <c r="N9" s="162">
        <v>1.4748613190103021E-2</v>
      </c>
      <c r="O9" s="162">
        <v>0.10023677979479084</v>
      </c>
      <c r="P9" s="162">
        <v>7.6923076923076927E-2</v>
      </c>
      <c r="Q9" s="162">
        <v>4.878048780487805E-2</v>
      </c>
      <c r="S9" s="180">
        <v>5</v>
      </c>
      <c r="T9" s="162">
        <v>6.3491859999999997E-2</v>
      </c>
      <c r="U9" s="162">
        <v>0.31827882881141678</v>
      </c>
      <c r="V9" s="162">
        <v>0.24644354481494071</v>
      </c>
      <c r="W9" s="162">
        <v>0.1950649078267401</v>
      </c>
      <c r="Y9" s="17">
        <v>2250</v>
      </c>
      <c r="Z9" s="17">
        <v>1750</v>
      </c>
      <c r="AA9" s="17">
        <v>1750</v>
      </c>
      <c r="AC9" s="163">
        <v>0.22500000000000001</v>
      </c>
      <c r="AD9" s="163">
        <v>0.17499999999999999</v>
      </c>
      <c r="AE9" s="163">
        <v>0.17499999999999999</v>
      </c>
    </row>
    <row r="10" spans="2:31" x14ac:dyDescent="0.3">
      <c r="B10" s="124">
        <v>6</v>
      </c>
      <c r="C10" s="169">
        <v>3.6101083032490976E-3</v>
      </c>
      <c r="D10" s="172">
        <v>2.0000000000000001E-4</v>
      </c>
      <c r="E10" s="172">
        <v>0.1134</v>
      </c>
      <c r="F10" s="163">
        <v>1.7180000000000001E-2</v>
      </c>
      <c r="G10" s="17">
        <v>2700</v>
      </c>
      <c r="H10" s="163">
        <v>0.27</v>
      </c>
      <c r="M10" s="180">
        <v>6</v>
      </c>
      <c r="N10" s="162">
        <v>3.6101083032490976E-3</v>
      </c>
      <c r="O10" s="162">
        <v>3.1570639305445937E-2</v>
      </c>
      <c r="P10" s="162">
        <v>1.2145748987854251E-2</v>
      </c>
      <c r="Q10" s="162">
        <v>0</v>
      </c>
      <c r="S10" s="180">
        <v>6</v>
      </c>
      <c r="T10" s="162">
        <v>2.2896389999999999E-2</v>
      </c>
      <c r="U10" s="162">
        <v>0.1131686752041504</v>
      </c>
      <c r="V10" s="162">
        <v>7.8840213733133782E-2</v>
      </c>
      <c r="W10" s="162">
        <v>4.2010228195579487E-2</v>
      </c>
      <c r="Y10" s="17">
        <v>2700</v>
      </c>
      <c r="Z10" s="17">
        <v>2100</v>
      </c>
      <c r="AA10" s="17">
        <v>2100</v>
      </c>
      <c r="AC10" s="163">
        <v>0.27</v>
      </c>
      <c r="AD10" s="163">
        <v>0.21</v>
      </c>
      <c r="AE10" s="163">
        <v>0.21</v>
      </c>
    </row>
    <row r="11" spans="2:31" x14ac:dyDescent="0.3">
      <c r="B11" s="124">
        <v>7</v>
      </c>
      <c r="C11" s="169">
        <v>3.9623139913709608E-4</v>
      </c>
      <c r="D11" s="172">
        <v>0</v>
      </c>
      <c r="E11" s="172">
        <v>2.3E-2</v>
      </c>
      <c r="F11" s="163">
        <v>3.4499999999999999E-3</v>
      </c>
      <c r="G11" s="17">
        <v>3150</v>
      </c>
      <c r="H11" s="163">
        <v>0.315</v>
      </c>
      <c r="M11" s="180">
        <v>7</v>
      </c>
      <c r="N11" s="162">
        <v>3.9623139913709608E-4</v>
      </c>
      <c r="O11" s="162">
        <v>1.0260457774269928E-2</v>
      </c>
      <c r="P11" s="162">
        <v>1.2145748987854251E-2</v>
      </c>
      <c r="Q11" s="162">
        <v>0</v>
      </c>
      <c r="S11" s="180">
        <v>7</v>
      </c>
      <c r="T11" s="162">
        <v>4.5844500000000003E-3</v>
      </c>
      <c r="U11" s="162">
        <v>2.3555526678745581E-2</v>
      </c>
      <c r="V11" s="162">
        <v>1.5353055527350159E-2</v>
      </c>
      <c r="W11" s="162">
        <v>4.321497989235275E-3</v>
      </c>
      <c r="Y11" s="17">
        <v>3150</v>
      </c>
      <c r="Z11" s="17">
        <v>3675</v>
      </c>
      <c r="AA11" s="17">
        <v>3675</v>
      </c>
      <c r="AC11" s="163">
        <v>0.315</v>
      </c>
      <c r="AD11" s="163">
        <v>0.36749999999999999</v>
      </c>
      <c r="AE11" s="163">
        <v>0.36749999999999999</v>
      </c>
    </row>
    <row r="12" spans="2:31" x14ac:dyDescent="0.3">
      <c r="B12" s="124">
        <v>8</v>
      </c>
      <c r="C12" s="169">
        <v>0</v>
      </c>
      <c r="D12" s="172">
        <v>0</v>
      </c>
      <c r="E12" s="172">
        <v>2.3999999999999998E-3</v>
      </c>
      <c r="F12" s="163">
        <v>3.5999999999999997E-4</v>
      </c>
      <c r="G12" s="17">
        <v>3600</v>
      </c>
      <c r="H12" s="163">
        <v>0.36</v>
      </c>
      <c r="M12" s="180">
        <v>8</v>
      </c>
      <c r="N12" s="162">
        <v>0</v>
      </c>
      <c r="O12" s="162">
        <v>7.8926598263614838E-4</v>
      </c>
      <c r="P12" s="162">
        <v>0</v>
      </c>
      <c r="Q12" s="162">
        <v>0</v>
      </c>
      <c r="S12" s="180">
        <v>8</v>
      </c>
      <c r="T12" s="162">
        <v>4.8207000000000002E-4</v>
      </c>
      <c r="U12" s="162">
        <v>2.640034937284777E-3</v>
      </c>
      <c r="V12" s="162">
        <v>1.646704604150755E-3</v>
      </c>
      <c r="W12" s="162">
        <v>3.2313684174586568E-4</v>
      </c>
      <c r="Y12" s="17">
        <v>3600</v>
      </c>
      <c r="Z12" s="17">
        <v>4200</v>
      </c>
      <c r="AA12" s="17">
        <v>4200</v>
      </c>
      <c r="AC12" s="163">
        <v>0.36</v>
      </c>
      <c r="AD12" s="163">
        <v>0.42</v>
      </c>
      <c r="AE12" s="163">
        <v>0.42</v>
      </c>
    </row>
    <row r="13" spans="2:31" x14ac:dyDescent="0.3">
      <c r="B13" s="124">
        <v>9</v>
      </c>
      <c r="C13" s="169">
        <v>0</v>
      </c>
      <c r="D13" s="172">
        <v>0</v>
      </c>
      <c r="E13" s="172">
        <v>1E-4</v>
      </c>
      <c r="F13" s="163">
        <v>1.5E-5</v>
      </c>
      <c r="G13" s="17">
        <v>4050</v>
      </c>
      <c r="H13" s="163">
        <v>0.40500000000000003</v>
      </c>
      <c r="M13" s="180">
        <v>9</v>
      </c>
      <c r="N13" s="162">
        <v>0</v>
      </c>
      <c r="O13" s="162">
        <v>0</v>
      </c>
      <c r="P13" s="162">
        <v>0</v>
      </c>
      <c r="Q13" s="162">
        <v>0</v>
      </c>
      <c r="S13" s="180">
        <v>9</v>
      </c>
      <c r="T13" s="162">
        <v>2.5400000000000001E-5</v>
      </c>
      <c r="U13" s="162">
        <v>1.33235408049886E-4</v>
      </c>
      <c r="V13" s="162">
        <v>0</v>
      </c>
      <c r="W13" s="162">
        <v>0</v>
      </c>
      <c r="Y13" s="17">
        <v>4050</v>
      </c>
      <c r="Z13" s="17">
        <v>4725</v>
      </c>
      <c r="AA13" s="17">
        <v>4725</v>
      </c>
      <c r="AC13" s="163">
        <v>0.40500000000000003</v>
      </c>
      <c r="AD13" s="163">
        <v>0.47249999999999998</v>
      </c>
      <c r="AE13" s="163">
        <v>0.47249999999999998</v>
      </c>
    </row>
    <row r="14" spans="2:31" x14ac:dyDescent="0.3">
      <c r="M14" s="180" t="s">
        <v>243</v>
      </c>
      <c r="N14" s="177">
        <f>SUMPRODUCT($M$4:$M$13,N4:N13)</f>
        <v>1.808488157083737</v>
      </c>
      <c r="O14" s="177">
        <f t="shared" ref="O14:Q14" si="0">SUMPRODUCT($M$4:$M$13,O4:O13)</f>
        <v>2.8113654301499604</v>
      </c>
      <c r="P14" s="177">
        <f t="shared" si="0"/>
        <v>2.2550607287449393</v>
      </c>
      <c r="Q14" s="177">
        <f t="shared" si="0"/>
        <v>1.6341463414634148</v>
      </c>
      <c r="S14" s="180" t="s">
        <v>243</v>
      </c>
      <c r="T14" s="177">
        <f>SUMPRODUCT($M$4:$M$13,T4:T13)</f>
        <v>2.0758327499999996</v>
      </c>
      <c r="U14" s="177">
        <f t="shared" ref="U14" si="1">SUMPRODUCT($M$4:$M$13,U4:U13)</f>
        <v>4.4687155859931762</v>
      </c>
      <c r="V14" s="177">
        <f t="shared" ref="V14" si="2">SUMPRODUCT($M$4:$M$13,V4:V13)</f>
        <v>4.2000208965195513</v>
      </c>
      <c r="W14" s="177">
        <f t="shared" ref="W14" si="3">SUMPRODUCT($M$4:$M$13,W4:W13)</f>
        <v>3.9599846845330848</v>
      </c>
    </row>
    <row r="15" spans="2:31" x14ac:dyDescent="0.3">
      <c r="G15" s="17" t="s">
        <v>239</v>
      </c>
      <c r="T15" s="176" cm="1">
        <f t="array" ref="T15:W15">T14:W14/N14:Q14</f>
        <v>1.1478276713447584</v>
      </c>
      <c r="U15" s="176">
        <v>1.5895178684596727</v>
      </c>
      <c r="V15" s="176">
        <v>1.8624868248479878</v>
      </c>
      <c r="W15" s="176">
        <v>2.4232742099381563</v>
      </c>
      <c r="AB15" s="17" t="s">
        <v>252</v>
      </c>
      <c r="AC15" s="163">
        <f>SUMPRODUCT(T5:T13,AC5:AC13)</f>
        <v>7.4618319389999993E-2</v>
      </c>
      <c r="AD15" s="163">
        <f>SUMPRODUCT(U5:U13,AD5:AD13)</f>
        <v>0.1596811869958952</v>
      </c>
      <c r="AE15" s="163">
        <f>SUMPRODUCT(U5:U13,AE5:AE13)</f>
        <v>0.12448691414458345</v>
      </c>
    </row>
    <row r="16" spans="2:31" x14ac:dyDescent="0.3">
      <c r="G16" s="163">
        <f>SUMPRODUCT(H4:H13,D4:D13)</f>
        <v>4.8550799999999991E-2</v>
      </c>
      <c r="H16" s="176">
        <f>1/G16</f>
        <v>20.596982953936912</v>
      </c>
      <c r="AC16" s="163" cm="1">
        <f t="array" ref="AC16:AE16">1-AC15:AE15</f>
        <v>0.92538168061000003</v>
      </c>
      <c r="AD16" s="163">
        <v>0.84031881300410483</v>
      </c>
      <c r="AE16" s="163">
        <v>0.87551308585541654</v>
      </c>
    </row>
    <row r="17" spans="2:49" x14ac:dyDescent="0.3">
      <c r="B17" s="17" t="s">
        <v>244</v>
      </c>
      <c r="M17" s="17" t="s">
        <v>170</v>
      </c>
      <c r="S17" s="17" t="s">
        <v>169</v>
      </c>
      <c r="Y17" s="17" t="s">
        <v>250</v>
      </c>
      <c r="AC17" s="17" t="s">
        <v>251</v>
      </c>
      <c r="AG17" s="17" t="s">
        <v>110</v>
      </c>
    </row>
    <row r="18" spans="2:49" x14ac:dyDescent="0.3">
      <c r="B18" s="135"/>
      <c r="C18" s="135" t="s">
        <v>170</v>
      </c>
      <c r="D18" s="135" t="s">
        <v>237</v>
      </c>
      <c r="E18" s="135" t="s">
        <v>238</v>
      </c>
      <c r="G18" s="17" t="s">
        <v>235</v>
      </c>
      <c r="H18" s="17" t="s">
        <v>236</v>
      </c>
      <c r="M18" s="143" t="s">
        <v>247</v>
      </c>
      <c r="N18" s="143" t="s">
        <v>109</v>
      </c>
      <c r="O18" s="143" t="s">
        <v>110</v>
      </c>
      <c r="S18" s="143" t="s">
        <v>247</v>
      </c>
      <c r="T18" s="143" t="s">
        <v>109</v>
      </c>
      <c r="U18" s="143" t="s">
        <v>250</v>
      </c>
      <c r="V18" s="143" t="s">
        <v>251</v>
      </c>
      <c r="W18" s="143" t="s">
        <v>110</v>
      </c>
      <c r="Y18" s="135" t="s">
        <v>235</v>
      </c>
      <c r="Z18" s="135" t="s">
        <v>236</v>
      </c>
      <c r="AA18" s="135"/>
      <c r="AC18" s="135" t="s">
        <v>235</v>
      </c>
      <c r="AD18" s="135" t="s">
        <v>236</v>
      </c>
      <c r="AE18" s="135"/>
      <c r="AG18" s="135" t="s">
        <v>235</v>
      </c>
      <c r="AH18" s="135" t="s">
        <v>236</v>
      </c>
      <c r="AI18" s="135"/>
    </row>
    <row r="19" spans="2:49" x14ac:dyDescent="0.3">
      <c r="B19" s="164">
        <v>0</v>
      </c>
      <c r="C19" s="170">
        <v>0.86973562490871026</v>
      </c>
      <c r="D19" s="165" cm="1">
        <f t="array" ref="D19:D31">K19:K31</f>
        <v>0</v>
      </c>
      <c r="E19" s="165" cm="1">
        <f t="array" ref="E19:E31">L19:L31</f>
        <v>0</v>
      </c>
      <c r="G19" s="17" cm="1">
        <f t="array" ref="G19:G31">TRANSPOSE(Parameter!O5:AA5)</f>
        <v>0</v>
      </c>
      <c r="H19" s="17" cm="1">
        <f t="array" ref="H19:H31">TRANSPOSE(Parameter!O17:AA17)</f>
        <v>0</v>
      </c>
      <c r="I19" s="163" cm="1">
        <f t="array" ref="I19:I31">_xlfn.ANCHORARRAY(G19)/SUM(_xlfn.ANCHORARRAY(G19))*G16</f>
        <v>0</v>
      </c>
      <c r="J19" s="163" cm="1">
        <f t="array" ref="J19:J31">_xlfn.ANCHORARRAY(H19)/SUM(_xlfn.ANCHORARRAY(H19))*(1-G16)</f>
        <v>0</v>
      </c>
      <c r="K19" s="163" cm="1">
        <f t="array" ref="K19:K23">J19:J23</f>
        <v>0</v>
      </c>
      <c r="M19" s="179">
        <v>0</v>
      </c>
      <c r="N19" s="178">
        <v>0.86973562490871026</v>
      </c>
      <c r="O19" s="178">
        <v>0.64345873104997198</v>
      </c>
      <c r="P19" s="185"/>
      <c r="Q19" s="163"/>
      <c r="R19" s="163"/>
      <c r="S19" s="179">
        <v>0</v>
      </c>
      <c r="T19" s="178" cm="1">
        <f t="array" ref="T19:T31">_xlfn.ANCHORARRAY(U19)*U33+_xlfn.ANCHORARRAY(V19)*V33</f>
        <v>0.63909172317128127</v>
      </c>
      <c r="U19" s="178" cm="1">
        <f t="array" ref="U19:U31">_xlfn.ANCHORARRAY(AA19)</f>
        <v>0.78657442851850001</v>
      </c>
      <c r="V19" s="178" cm="1">
        <f t="array" ref="V19:V31">_xlfn.ANCHORARRAY(AE19)</f>
        <v>0</v>
      </c>
      <c r="W19" s="178" cm="1">
        <f t="array" ref="W19:W31">_xlfn.ANCHORARRAY(AI19)</f>
        <v>0</v>
      </c>
      <c r="Y19" s="17" cm="1">
        <f t="array" ref="Y19:Y31">TRANSPOSE(Parameter!O5:AA5)</f>
        <v>0</v>
      </c>
      <c r="Z19" s="17" cm="1">
        <f t="array" ref="Z19:Z31">TRANSPOSE(Parameter!O38:AA38)</f>
        <v>8500</v>
      </c>
      <c r="AA19" s="163" cm="1">
        <f t="array" ref="AA19:AA31">_xlfn.ANCHORARRAY(Y19)*AC15/SUM(_xlfn.ANCHORARRAY(Y19))+_xlfn.ANCHORARRAY(Z19)*AC16/SUM(_xlfn.ANCHORARRAY(Z19))</f>
        <v>0.78657442851850001</v>
      </c>
      <c r="AC19" s="17" cm="1">
        <f t="array" ref="AC19:AC31">TRANSPOSE(Parameter!O6:AA6)</f>
        <v>0</v>
      </c>
      <c r="AD19" s="17" cm="1">
        <f t="array" ref="AD19:AD31">TRANSPOSE(Parameter!O17:AA17)</f>
        <v>0</v>
      </c>
      <c r="AE19" s="163" cm="1">
        <f t="array" ref="AE19:AE31">_xlfn.ANCHORARRAY(AC19)*AD15/SUM(_xlfn.ANCHORARRAY(AC19))+_xlfn.ANCHORARRAY(AD19)*AD16/SUM(_xlfn.ANCHORARRAY(AD19))</f>
        <v>0</v>
      </c>
      <c r="AG19" s="17" cm="1">
        <f t="array" ref="AG19:AG31">TRANSPOSE(Parameter!O8:AA8)</f>
        <v>0</v>
      </c>
      <c r="AH19" s="17" cm="1">
        <f t="array" ref="AH19:AH31">TRANSPOSE(Parameter!O19:AA19)</f>
        <v>0</v>
      </c>
      <c r="AI19" s="163" cm="1">
        <f t="array" ref="AI19:AI31">_xlfn.ANCHORARRAY(AG19)*AE15/SUM(_xlfn.ANCHORARRAY(AG19))+_xlfn.ANCHORARRAY(AH19)*AE16/SUM(_xlfn.ANCHORARRAY(AH19))</f>
        <v>0</v>
      </c>
      <c r="AN19" s="114"/>
      <c r="AO19" s="183">
        <v>50</v>
      </c>
      <c r="AP19" s="183">
        <v>50</v>
      </c>
      <c r="AQ19" s="183">
        <v>250</v>
      </c>
      <c r="AR19" s="183">
        <v>1500</v>
      </c>
      <c r="AS19" s="183">
        <v>4000</v>
      </c>
      <c r="AT19" s="183">
        <v>4000</v>
      </c>
      <c r="AU19" s="183">
        <v>4000</v>
      </c>
      <c r="AV19" s="183">
        <v>4000</v>
      </c>
      <c r="AW19" s="183">
        <v>4000</v>
      </c>
    </row>
    <row r="20" spans="2:49" x14ac:dyDescent="0.3">
      <c r="B20" s="166">
        <v>2</v>
      </c>
      <c r="C20" s="171">
        <v>3.4690101757631819E-2</v>
      </c>
      <c r="D20" s="167">
        <v>0.399608664</v>
      </c>
      <c r="E20" s="167">
        <v>0</v>
      </c>
      <c r="G20" s="17">
        <v>0</v>
      </c>
      <c r="H20" s="17">
        <v>4200</v>
      </c>
      <c r="I20" s="163">
        <v>0</v>
      </c>
      <c r="J20" s="163">
        <v>0.399608664</v>
      </c>
      <c r="K20" s="163">
        <v>0.399608664</v>
      </c>
      <c r="M20" s="180">
        <v>2</v>
      </c>
      <c r="N20" s="162">
        <v>3.4690101757631819E-2</v>
      </c>
      <c r="O20" s="162">
        <v>0.21617069062324537</v>
      </c>
      <c r="P20" s="163"/>
      <c r="Q20" s="163"/>
      <c r="R20" s="163"/>
      <c r="S20" s="180">
        <v>2</v>
      </c>
      <c r="T20" s="162">
        <v>0.1037687372988545</v>
      </c>
      <c r="U20" s="162">
        <v>4.62690840305E-2</v>
      </c>
      <c r="V20" s="162">
        <v>0.35293390146172399</v>
      </c>
      <c r="W20" s="162">
        <v>0.55157324408891251</v>
      </c>
      <c r="X20" s="163"/>
      <c r="Y20" s="17">
        <v>0</v>
      </c>
      <c r="Z20" s="17">
        <v>500</v>
      </c>
      <c r="AA20" s="163">
        <v>4.62690840305E-2</v>
      </c>
      <c r="AC20" s="17">
        <v>0</v>
      </c>
      <c r="AD20" s="17">
        <v>4200</v>
      </c>
      <c r="AE20" s="163">
        <v>0.35293390146172399</v>
      </c>
      <c r="AG20" s="17">
        <v>0</v>
      </c>
      <c r="AH20" s="17">
        <v>6300</v>
      </c>
      <c r="AI20" s="163">
        <v>0.55157324408891251</v>
      </c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</row>
    <row r="21" spans="2:49" x14ac:dyDescent="0.3">
      <c r="B21" s="166">
        <v>3</v>
      </c>
      <c r="C21" s="171">
        <v>2.8506743268903064E-2</v>
      </c>
      <c r="D21" s="167">
        <v>0.32349272800000001</v>
      </c>
      <c r="E21" s="167">
        <v>0</v>
      </c>
      <c r="G21" s="17">
        <v>0</v>
      </c>
      <c r="H21" s="17">
        <v>3400</v>
      </c>
      <c r="I21" s="163">
        <v>0</v>
      </c>
      <c r="J21" s="163">
        <v>0.32349272800000001</v>
      </c>
      <c r="K21" s="163">
        <v>0.32349272800000001</v>
      </c>
      <c r="M21" s="180">
        <v>3</v>
      </c>
      <c r="N21" s="162">
        <v>2.8506743268903064E-2</v>
      </c>
      <c r="O21" s="162">
        <v>8.5906793935991016E-2</v>
      </c>
      <c r="P21" s="163"/>
      <c r="Q21" s="163"/>
      <c r="R21" s="163"/>
      <c r="S21" s="180">
        <v>3</v>
      </c>
      <c r="T21" s="162">
        <v>8.3645228948836692E-2</v>
      </c>
      <c r="U21" s="162">
        <v>3.7015267224400003E-2</v>
      </c>
      <c r="V21" s="162">
        <v>0.28570839642139562</v>
      </c>
      <c r="W21" s="162">
        <v>0.24514366403951662</v>
      </c>
      <c r="X21" s="163"/>
      <c r="Y21" s="17">
        <v>0</v>
      </c>
      <c r="Z21" s="17">
        <v>400</v>
      </c>
      <c r="AA21" s="163">
        <v>3.7015267224400003E-2</v>
      </c>
      <c r="AC21" s="17">
        <v>0</v>
      </c>
      <c r="AD21" s="17">
        <v>3400</v>
      </c>
      <c r="AE21" s="163">
        <v>0.28570839642139562</v>
      </c>
      <c r="AG21" s="17">
        <v>0</v>
      </c>
      <c r="AH21" s="17">
        <v>2800</v>
      </c>
      <c r="AI21" s="163">
        <v>0.24514366403951662</v>
      </c>
      <c r="AN21" s="114">
        <v>300</v>
      </c>
      <c r="AO21" s="183" cm="1">
        <f t="array" ref="AO21:AW21">Parameter!AD4:AL4*AN21</f>
        <v>300</v>
      </c>
      <c r="AP21" s="183">
        <v>600</v>
      </c>
      <c r="AQ21" s="183">
        <v>900</v>
      </c>
      <c r="AR21" s="183">
        <v>1200</v>
      </c>
      <c r="AS21" s="183">
        <v>1500</v>
      </c>
      <c r="AT21" s="183">
        <v>1800</v>
      </c>
      <c r="AU21" s="183">
        <v>2100</v>
      </c>
      <c r="AV21" s="183">
        <v>2400</v>
      </c>
      <c r="AW21" s="183">
        <v>2700</v>
      </c>
    </row>
    <row r="22" spans="2:49" x14ac:dyDescent="0.3">
      <c r="B22" s="166">
        <v>5</v>
      </c>
      <c r="C22" s="171">
        <v>1.9109985880519986E-2</v>
      </c>
      <c r="D22" s="167">
        <v>0.11417390399999999</v>
      </c>
      <c r="E22" s="167">
        <v>0</v>
      </c>
      <c r="G22" s="17">
        <v>0</v>
      </c>
      <c r="H22" s="17">
        <v>1200</v>
      </c>
      <c r="I22" s="163">
        <v>0</v>
      </c>
      <c r="J22" s="163">
        <v>0.11417390399999999</v>
      </c>
      <c r="K22" s="163">
        <v>0.11417390399999999</v>
      </c>
      <c r="M22" s="180">
        <v>5</v>
      </c>
      <c r="N22" s="162">
        <v>1.9109985880519986E-2</v>
      </c>
      <c r="O22" s="162">
        <v>2.1897810218978103E-2</v>
      </c>
      <c r="P22" s="163"/>
      <c r="Q22" s="163"/>
      <c r="R22" s="163"/>
      <c r="S22" s="180">
        <v>5</v>
      </c>
      <c r="T22" s="162">
        <v>4.146335175746111E-2</v>
      </c>
      <c r="U22" s="162">
        <v>2.7761450418300002E-2</v>
      </c>
      <c r="V22" s="162">
        <v>0.10083825756049258</v>
      </c>
      <c r="W22" s="162">
        <v>5.2530785151324998E-2</v>
      </c>
      <c r="X22" s="163"/>
      <c r="Y22" s="17">
        <v>0</v>
      </c>
      <c r="Z22" s="17">
        <v>300</v>
      </c>
      <c r="AA22" s="163">
        <v>2.7761450418300002E-2</v>
      </c>
      <c r="AC22" s="17">
        <v>0</v>
      </c>
      <c r="AD22" s="17">
        <v>1200</v>
      </c>
      <c r="AE22" s="163">
        <v>0.10083825756049258</v>
      </c>
      <c r="AG22" s="17">
        <v>0</v>
      </c>
      <c r="AH22" s="17">
        <v>600</v>
      </c>
      <c r="AI22" s="163">
        <v>5.2530785151324998E-2</v>
      </c>
      <c r="AN22" s="114"/>
      <c r="AO22" s="184">
        <v>1</v>
      </c>
      <c r="AP22" s="184">
        <v>1</v>
      </c>
      <c r="AQ22" s="184">
        <v>1.2</v>
      </c>
      <c r="AR22" s="184">
        <v>1.2</v>
      </c>
      <c r="AS22" s="184">
        <v>1.5</v>
      </c>
      <c r="AT22" s="184">
        <v>1.5</v>
      </c>
      <c r="AU22" s="184">
        <v>1.5</v>
      </c>
      <c r="AV22" s="184">
        <v>1.5</v>
      </c>
      <c r="AW22" s="184">
        <v>1.5</v>
      </c>
    </row>
    <row r="23" spans="2:49" x14ac:dyDescent="0.3">
      <c r="B23" s="166">
        <v>8</v>
      </c>
      <c r="C23" s="171">
        <v>1.8111884707142509E-2</v>
      </c>
      <c r="D23" s="167">
        <v>0.11417390399999999</v>
      </c>
      <c r="E23" s="167">
        <v>0</v>
      </c>
      <c r="G23" s="17">
        <v>0</v>
      </c>
      <c r="H23" s="17">
        <v>1200</v>
      </c>
      <c r="I23" s="163">
        <v>0</v>
      </c>
      <c r="J23" s="163">
        <v>0.11417390399999999</v>
      </c>
      <c r="K23" s="163">
        <v>0.11417390399999999</v>
      </c>
      <c r="M23" s="180">
        <v>8</v>
      </c>
      <c r="N23" s="162">
        <v>1.8111884707142509E-2</v>
      </c>
      <c r="O23" s="162">
        <v>1.0668163952835485E-2</v>
      </c>
      <c r="P23" s="163"/>
      <c r="Q23" s="163"/>
      <c r="R23" s="163"/>
      <c r="S23" s="180">
        <v>8</v>
      </c>
      <c r="T23" s="162">
        <v>4.146335175746111E-2</v>
      </c>
      <c r="U23" s="162">
        <v>2.7761450418300002E-2</v>
      </c>
      <c r="V23" s="162">
        <v>0.10083825756049258</v>
      </c>
      <c r="W23" s="162">
        <v>2.6265392575662499E-2</v>
      </c>
      <c r="X23" s="163"/>
      <c r="Y23" s="17">
        <v>0</v>
      </c>
      <c r="Z23" s="17">
        <v>300</v>
      </c>
      <c r="AA23" s="163">
        <v>2.7761450418300002E-2</v>
      </c>
      <c r="AC23" s="17">
        <v>0</v>
      </c>
      <c r="AD23" s="17">
        <v>1200</v>
      </c>
      <c r="AE23" s="163">
        <v>0.10083825756049258</v>
      </c>
      <c r="AG23" s="17">
        <v>0</v>
      </c>
      <c r="AH23" s="17">
        <v>300</v>
      </c>
      <c r="AI23" s="163">
        <v>2.6265392575662499E-2</v>
      </c>
      <c r="AN23" s="114"/>
      <c r="AO23" s="114" cm="1">
        <f t="array" ref="AO23:AW23">INT(AO21:AW21*AO22:AW22)</f>
        <v>300</v>
      </c>
      <c r="AP23" s="114">
        <v>600</v>
      </c>
      <c r="AQ23" s="114">
        <v>1080</v>
      </c>
      <c r="AR23" s="114">
        <v>1440</v>
      </c>
      <c r="AS23" s="114">
        <v>2250</v>
      </c>
      <c r="AT23" s="114">
        <v>2700</v>
      </c>
      <c r="AU23" s="114">
        <v>3150</v>
      </c>
      <c r="AV23" s="114">
        <v>3600</v>
      </c>
      <c r="AW23" s="114">
        <v>4050</v>
      </c>
    </row>
    <row r="24" spans="2:49" x14ac:dyDescent="0.3">
      <c r="B24" s="166">
        <v>10</v>
      </c>
      <c r="C24" s="171">
        <v>1.4849797945372219E-2</v>
      </c>
      <c r="D24" s="167">
        <v>2.0100031199999997E-2</v>
      </c>
      <c r="E24" s="167">
        <v>0</v>
      </c>
      <c r="G24" s="17">
        <v>4140</v>
      </c>
      <c r="H24" s="17">
        <v>0</v>
      </c>
      <c r="I24" s="163">
        <v>2.0100031199999997E-2</v>
      </c>
      <c r="J24" s="163">
        <v>0</v>
      </c>
      <c r="K24" s="163" cm="1">
        <f t="array" ref="K24:K31">I24:I31</f>
        <v>2.0100031199999997E-2</v>
      </c>
      <c r="M24" s="180">
        <v>10</v>
      </c>
      <c r="N24" s="162">
        <v>1.4849797945372219E-2</v>
      </c>
      <c r="O24" s="162">
        <v>1.0106681639528355E-2</v>
      </c>
      <c r="P24" s="163"/>
      <c r="Q24" s="163"/>
      <c r="R24" s="163"/>
      <c r="S24" s="180">
        <v>10</v>
      </c>
      <c r="T24" s="162">
        <v>3.998002779799123E-2</v>
      </c>
      <c r="U24" s="162">
        <v>3.0891984227459996E-2</v>
      </c>
      <c r="V24" s="162">
        <v>7.9361549936959916E-2</v>
      </c>
      <c r="W24" s="162">
        <v>5.4400781481182971E-2</v>
      </c>
      <c r="X24" s="163"/>
      <c r="Y24" s="17">
        <v>4140</v>
      </c>
      <c r="Z24" s="17">
        <v>0</v>
      </c>
      <c r="AA24" s="163">
        <v>3.0891984227459996E-2</v>
      </c>
      <c r="AC24" s="17">
        <v>4970</v>
      </c>
      <c r="AD24" s="17">
        <v>0</v>
      </c>
      <c r="AE24" s="163">
        <v>7.9361549936959916E-2</v>
      </c>
      <c r="AG24" s="17">
        <v>4370</v>
      </c>
      <c r="AH24" s="17">
        <v>0</v>
      </c>
      <c r="AI24" s="163">
        <v>5.4400781481182971E-2</v>
      </c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</row>
    <row r="25" spans="2:49" x14ac:dyDescent="0.3">
      <c r="B25" s="166">
        <v>15</v>
      </c>
      <c r="C25" s="171">
        <v>8.7881591119333951E-3</v>
      </c>
      <c r="D25" s="167">
        <v>1.4565239999999997E-2</v>
      </c>
      <c r="E25" s="167">
        <v>0</v>
      </c>
      <c r="G25" s="17">
        <v>3000</v>
      </c>
      <c r="H25" s="17">
        <v>0</v>
      </c>
      <c r="I25" s="163">
        <v>1.4565239999999997E-2</v>
      </c>
      <c r="J25" s="163">
        <v>0</v>
      </c>
      <c r="K25" s="163">
        <v>1.4565239999999997E-2</v>
      </c>
      <c r="M25" s="180">
        <v>15</v>
      </c>
      <c r="N25" s="162">
        <v>8.7881591119333951E-3</v>
      </c>
      <c r="O25" s="162">
        <v>5.8955642897248733E-3</v>
      </c>
      <c r="P25" s="163"/>
      <c r="Q25" s="163"/>
      <c r="R25" s="163"/>
      <c r="S25" s="180">
        <v>15</v>
      </c>
      <c r="T25" s="162">
        <v>2.7170282119831603E-2</v>
      </c>
      <c r="U25" s="162">
        <v>2.2385495816999997E-2</v>
      </c>
      <c r="V25" s="162">
        <v>4.7904356098768565E-2</v>
      </c>
      <c r="W25" s="162">
        <v>3.3611466819037532E-2</v>
      </c>
      <c r="X25" s="163"/>
      <c r="Y25" s="17">
        <v>3000</v>
      </c>
      <c r="Z25" s="17">
        <v>0</v>
      </c>
      <c r="AA25" s="163">
        <v>2.2385495816999997E-2</v>
      </c>
      <c r="AC25" s="17">
        <v>3000</v>
      </c>
      <c r="AD25" s="17">
        <v>0</v>
      </c>
      <c r="AE25" s="163">
        <v>4.7904356098768565E-2</v>
      </c>
      <c r="AG25" s="17">
        <v>2700</v>
      </c>
      <c r="AH25" s="17">
        <v>0</v>
      </c>
      <c r="AI25" s="163">
        <v>3.3611466819037532E-2</v>
      </c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2:49" x14ac:dyDescent="0.3">
      <c r="B26" s="166">
        <v>20</v>
      </c>
      <c r="C26" s="171">
        <v>4.5523151078436146E-3</v>
      </c>
      <c r="D26" s="167">
        <v>9.7101599999999989E-3</v>
      </c>
      <c r="E26" s="167">
        <v>0</v>
      </c>
      <c r="G26" s="17">
        <v>2000</v>
      </c>
      <c r="H26" s="17">
        <v>0</v>
      </c>
      <c r="I26" s="163">
        <v>9.7101599999999989E-3</v>
      </c>
      <c r="J26" s="163">
        <v>0</v>
      </c>
      <c r="K26" s="163">
        <v>9.7101599999999989E-3</v>
      </c>
      <c r="M26" s="180">
        <v>20</v>
      </c>
      <c r="N26" s="162">
        <v>4.5523151078436146E-3</v>
      </c>
      <c r="O26" s="162">
        <v>2.807411566535654E-3</v>
      </c>
      <c r="P26" s="163"/>
      <c r="Q26" s="163"/>
      <c r="R26" s="163"/>
      <c r="S26" s="180">
        <v>20</v>
      </c>
      <c r="T26" s="162">
        <v>1.6167406946708596E-2</v>
      </c>
      <c r="U26" s="162">
        <v>1.4923663877999999E-2</v>
      </c>
      <c r="V26" s="162">
        <v>2.1556960244445852E-2</v>
      </c>
      <c r="W26" s="162">
        <v>1.7428167980241681E-2</v>
      </c>
      <c r="X26" s="163"/>
      <c r="Y26" s="17">
        <v>2000</v>
      </c>
      <c r="Z26" s="17">
        <v>0</v>
      </c>
      <c r="AA26" s="163">
        <v>1.4923663877999999E-2</v>
      </c>
      <c r="AC26" s="17">
        <v>1350</v>
      </c>
      <c r="AD26" s="17">
        <v>0</v>
      </c>
      <c r="AE26" s="163">
        <v>2.1556960244445852E-2</v>
      </c>
      <c r="AG26" s="17">
        <v>1400</v>
      </c>
      <c r="AH26" s="17">
        <v>0</v>
      </c>
      <c r="AI26" s="163">
        <v>1.7428167980241681E-2</v>
      </c>
      <c r="AN26" s="114">
        <v>350</v>
      </c>
      <c r="AO26" s="183" cm="1">
        <f t="array" ref="AO26:AW26">Parameter!AD4:AL4*AN26</f>
        <v>350</v>
      </c>
      <c r="AP26" s="183">
        <v>700</v>
      </c>
      <c r="AQ26" s="183">
        <v>1050</v>
      </c>
      <c r="AR26" s="183">
        <v>1400</v>
      </c>
      <c r="AS26" s="183">
        <v>1750</v>
      </c>
      <c r="AT26" s="183">
        <v>2100</v>
      </c>
      <c r="AU26" s="183">
        <v>2450</v>
      </c>
      <c r="AV26" s="183">
        <v>2800</v>
      </c>
      <c r="AW26" s="183">
        <v>3150</v>
      </c>
    </row>
    <row r="27" spans="2:49" x14ac:dyDescent="0.3">
      <c r="B27" s="166">
        <v>25</v>
      </c>
      <c r="C27" s="171">
        <v>1.3876040703052729E-3</v>
      </c>
      <c r="D27" s="167">
        <v>2.4275399999999997E-3</v>
      </c>
      <c r="E27" s="167">
        <v>0</v>
      </c>
      <c r="G27" s="17">
        <v>500</v>
      </c>
      <c r="H27" s="17">
        <v>0</v>
      </c>
      <c r="I27" s="163">
        <v>2.4275399999999997E-3</v>
      </c>
      <c r="J27" s="163">
        <v>0</v>
      </c>
      <c r="K27" s="163">
        <v>2.4275399999999997E-3</v>
      </c>
      <c r="M27" s="180">
        <v>25</v>
      </c>
      <c r="N27" s="162">
        <v>1.3876040703052729E-3</v>
      </c>
      <c r="O27" s="162">
        <v>5.6148231330713087E-4</v>
      </c>
      <c r="P27" s="163"/>
      <c r="Q27" s="163"/>
      <c r="R27" s="163"/>
      <c r="S27" s="180">
        <v>25</v>
      </c>
      <c r="T27" s="162">
        <v>4.5283803533052672E-3</v>
      </c>
      <c r="U27" s="162">
        <v>3.7309159694999998E-3</v>
      </c>
      <c r="V27" s="162">
        <v>7.9840593497947591E-3</v>
      </c>
      <c r="W27" s="162">
        <v>3.3611466819037533E-3</v>
      </c>
      <c r="X27" s="163"/>
      <c r="Y27" s="17">
        <v>500</v>
      </c>
      <c r="Z27" s="17">
        <v>0</v>
      </c>
      <c r="AA27" s="163">
        <v>3.7309159694999998E-3</v>
      </c>
      <c r="AC27" s="17">
        <v>500</v>
      </c>
      <c r="AD27" s="17">
        <v>0</v>
      </c>
      <c r="AE27" s="163">
        <v>7.9840593497947591E-3</v>
      </c>
      <c r="AG27" s="17">
        <v>270</v>
      </c>
      <c r="AH27" s="17">
        <v>0</v>
      </c>
      <c r="AI27" s="163">
        <v>3.3611466819037533E-3</v>
      </c>
      <c r="AN27" s="114"/>
      <c r="AO27" s="184">
        <v>0</v>
      </c>
      <c r="AP27" s="184">
        <v>0</v>
      </c>
      <c r="AQ27" s="184">
        <v>1</v>
      </c>
      <c r="AR27" s="184">
        <v>1</v>
      </c>
      <c r="AS27" s="184">
        <v>1</v>
      </c>
      <c r="AT27" s="184">
        <v>1</v>
      </c>
      <c r="AU27" s="184">
        <v>1.5</v>
      </c>
      <c r="AV27" s="184">
        <v>1.5</v>
      </c>
      <c r="AW27" s="184">
        <v>1.5</v>
      </c>
    </row>
    <row r="28" spans="2:49" x14ac:dyDescent="0.3">
      <c r="B28" s="166">
        <v>35</v>
      </c>
      <c r="C28" s="171">
        <v>1.9475144846389794E-4</v>
      </c>
      <c r="D28" s="167">
        <v>2.9130479999999994E-4</v>
      </c>
      <c r="E28" s="167">
        <v>0</v>
      </c>
      <c r="G28" s="17">
        <v>60</v>
      </c>
      <c r="H28" s="17">
        <v>0</v>
      </c>
      <c r="I28" s="163">
        <v>2.9130479999999994E-4</v>
      </c>
      <c r="J28" s="163">
        <v>0</v>
      </c>
      <c r="K28" s="163">
        <v>2.9130479999999994E-4</v>
      </c>
      <c r="M28" s="180">
        <v>35</v>
      </c>
      <c r="N28" s="162">
        <v>1.9475144846389794E-4</v>
      </c>
      <c r="O28" s="162">
        <v>5.6148231330713087E-4</v>
      </c>
      <c r="P28" s="163"/>
      <c r="Q28" s="163"/>
      <c r="R28" s="163"/>
      <c r="S28" s="180">
        <v>35</v>
      </c>
      <c r="T28" s="162">
        <v>4.5358497471144099E-4</v>
      </c>
      <c r="U28" s="162">
        <v>4.4770991633999994E-4</v>
      </c>
      <c r="V28" s="162">
        <v>4.7904356098768563E-4</v>
      </c>
      <c r="W28" s="162">
        <v>3.3611466819037533E-3</v>
      </c>
      <c r="X28" s="163"/>
      <c r="Y28" s="17">
        <v>60</v>
      </c>
      <c r="Z28" s="17">
        <v>0</v>
      </c>
      <c r="AA28" s="163">
        <v>4.4770991633999994E-4</v>
      </c>
      <c r="AC28" s="17">
        <v>30</v>
      </c>
      <c r="AD28" s="17">
        <v>0</v>
      </c>
      <c r="AE28" s="163">
        <v>4.7904356098768563E-4</v>
      </c>
      <c r="AG28" s="17">
        <v>270</v>
      </c>
      <c r="AH28" s="17">
        <v>0</v>
      </c>
      <c r="AI28" s="163">
        <v>3.3611466819037533E-3</v>
      </c>
      <c r="AN28" s="114"/>
      <c r="AO28" s="114" cm="1">
        <f t="array" ref="AO28:AW28">INT(_xlfn.ANCHORARRAY(AO26)*AO27:AW27)</f>
        <v>0</v>
      </c>
      <c r="AP28" s="114">
        <v>0</v>
      </c>
      <c r="AQ28" s="114">
        <v>1050</v>
      </c>
      <c r="AR28" s="114">
        <v>1400</v>
      </c>
      <c r="AS28" s="114">
        <v>1750</v>
      </c>
      <c r="AT28" s="114">
        <v>2100</v>
      </c>
      <c r="AU28" s="114">
        <v>3675</v>
      </c>
      <c r="AV28" s="114">
        <v>4200</v>
      </c>
      <c r="AW28" s="114">
        <v>4725</v>
      </c>
    </row>
    <row r="29" spans="2:49" x14ac:dyDescent="0.3">
      <c r="B29" s="166">
        <v>50</v>
      </c>
      <c r="C29" s="171">
        <v>2.4343931057987243E-5</v>
      </c>
      <c r="D29" s="167">
        <v>5.8260959999999987E-4</v>
      </c>
      <c r="E29" s="167">
        <v>0</v>
      </c>
      <c r="G29" s="17">
        <v>120</v>
      </c>
      <c r="H29" s="17">
        <v>0</v>
      </c>
      <c r="I29" s="163">
        <v>5.8260959999999987E-4</v>
      </c>
      <c r="J29" s="163">
        <v>0</v>
      </c>
      <c r="K29" s="163">
        <v>5.8260959999999987E-4</v>
      </c>
      <c r="M29" s="180">
        <v>50</v>
      </c>
      <c r="N29" s="162">
        <v>2.4343931057987243E-5</v>
      </c>
      <c r="O29" s="162">
        <v>8.4222346996069624E-4</v>
      </c>
      <c r="P29" s="163"/>
      <c r="Q29" s="163"/>
      <c r="R29" s="163"/>
      <c r="S29" s="180">
        <v>50</v>
      </c>
      <c r="T29" s="162">
        <v>9.0716994942288199E-4</v>
      </c>
      <c r="U29" s="162">
        <v>8.9541983267999988E-4</v>
      </c>
      <c r="V29" s="162">
        <v>9.5808712197537125E-4</v>
      </c>
      <c r="W29" s="162">
        <v>4.4815289092050041E-3</v>
      </c>
      <c r="X29" s="163"/>
      <c r="Y29" s="17">
        <v>120</v>
      </c>
      <c r="Z29" s="17">
        <v>0</v>
      </c>
      <c r="AA29" s="163">
        <v>8.9541983267999988E-4</v>
      </c>
      <c r="AC29" s="17">
        <v>60</v>
      </c>
      <c r="AD29" s="17">
        <v>0</v>
      </c>
      <c r="AE29" s="163">
        <v>9.5808712197537125E-4</v>
      </c>
      <c r="AG29" s="17">
        <v>360</v>
      </c>
      <c r="AH29" s="17">
        <v>0</v>
      </c>
      <c r="AI29" s="163">
        <v>4.4815289092050041E-3</v>
      </c>
    </row>
    <row r="30" spans="2:49" x14ac:dyDescent="0.3">
      <c r="B30" s="166">
        <v>80</v>
      </c>
      <c r="C30" s="171">
        <v>4.8687862115974485E-5</v>
      </c>
      <c r="D30" s="167">
        <v>2.9130479999999994E-4</v>
      </c>
      <c r="E30" s="167">
        <v>0</v>
      </c>
      <c r="G30" s="17">
        <v>60</v>
      </c>
      <c r="H30" s="17">
        <v>0</v>
      </c>
      <c r="I30" s="163">
        <v>2.9130479999999994E-4</v>
      </c>
      <c r="J30" s="163">
        <v>0</v>
      </c>
      <c r="K30" s="163">
        <v>2.9130479999999994E-4</v>
      </c>
      <c r="M30" s="180">
        <v>80</v>
      </c>
      <c r="N30" s="162">
        <v>4.8687862115974485E-5</v>
      </c>
      <c r="O30" s="162">
        <v>8.4222346996069624E-4</v>
      </c>
      <c r="P30" s="163"/>
      <c r="Q30" s="163"/>
      <c r="R30" s="163"/>
      <c r="S30" s="180">
        <v>80</v>
      </c>
      <c r="T30" s="162">
        <v>4.5358497471144099E-4</v>
      </c>
      <c r="U30" s="162">
        <v>4.4770991633999994E-4</v>
      </c>
      <c r="V30" s="162">
        <v>4.7904356098768563E-4</v>
      </c>
      <c r="W30" s="162">
        <v>3.3611466819037533E-3</v>
      </c>
      <c r="X30" s="163"/>
      <c r="Y30" s="17">
        <v>60</v>
      </c>
      <c r="Z30" s="17">
        <v>0</v>
      </c>
      <c r="AA30" s="163">
        <v>4.4770991633999994E-4</v>
      </c>
      <c r="AC30" s="17">
        <v>30</v>
      </c>
      <c r="AD30" s="17">
        <v>0</v>
      </c>
      <c r="AE30" s="163">
        <v>4.7904356098768563E-4</v>
      </c>
      <c r="AG30" s="17">
        <v>270</v>
      </c>
      <c r="AH30" s="17">
        <v>0</v>
      </c>
      <c r="AI30" s="163">
        <v>3.3611466819037533E-3</v>
      </c>
    </row>
    <row r="31" spans="2:49" x14ac:dyDescent="0.3">
      <c r="B31" s="166">
        <v>100</v>
      </c>
      <c r="C31" s="171">
        <v>0</v>
      </c>
      <c r="D31" s="167">
        <v>5.8260959999999987E-4</v>
      </c>
      <c r="E31" s="167">
        <v>0</v>
      </c>
      <c r="G31" s="17">
        <v>120</v>
      </c>
      <c r="H31" s="17">
        <v>0</v>
      </c>
      <c r="I31" s="163">
        <v>5.8260959999999987E-4</v>
      </c>
      <c r="J31" s="163">
        <v>0</v>
      </c>
      <c r="K31" s="163">
        <v>5.8260959999999987E-4</v>
      </c>
      <c r="M31" s="180">
        <v>100</v>
      </c>
      <c r="N31" s="162">
        <v>0</v>
      </c>
      <c r="O31" s="162">
        <v>2.8074115665356543E-4</v>
      </c>
      <c r="P31" s="163"/>
      <c r="Q31" s="163"/>
      <c r="R31" s="163"/>
      <c r="S31" s="180">
        <v>100</v>
      </c>
      <c r="T31" s="162">
        <v>9.0716994942288199E-4</v>
      </c>
      <c r="U31" s="162">
        <v>8.9541983267999988E-4</v>
      </c>
      <c r="V31" s="162">
        <v>9.5808712197537125E-4</v>
      </c>
      <c r="W31" s="162">
        <v>4.4815289092050041E-3</v>
      </c>
      <c r="X31" s="163"/>
      <c r="Y31" s="17">
        <v>120</v>
      </c>
      <c r="Z31" s="17">
        <v>0</v>
      </c>
      <c r="AA31" s="163">
        <v>8.9541983267999988E-4</v>
      </c>
      <c r="AC31" s="17">
        <v>60</v>
      </c>
      <c r="AD31" s="17">
        <v>0</v>
      </c>
      <c r="AE31" s="163">
        <v>9.5808712197537125E-4</v>
      </c>
      <c r="AG31" s="17">
        <v>360</v>
      </c>
      <c r="AH31" s="17">
        <v>0</v>
      </c>
      <c r="AI31" s="163">
        <v>4.4815289092050041E-3</v>
      </c>
    </row>
    <row r="32" spans="2:49" x14ac:dyDescent="0.3">
      <c r="C32" s="17">
        <f>SUMPRODUCT(C19:C31,B19:B31)</f>
        <v>0.81333073664735367</v>
      </c>
      <c r="D32" s="17">
        <f>SUMPRODUCT(D19:D31,B19:B31)</f>
        <v>4.049218368</v>
      </c>
      <c r="M32" s="180" t="s">
        <v>248</v>
      </c>
      <c r="N32" s="177">
        <f>SUMPRODUCT($M$19:$M$31, N19:N31)</f>
        <v>0.81333073664735367</v>
      </c>
      <c r="O32" s="177">
        <f>SUMPRODUCT($M$19:$M$31, O19:O31)</f>
        <v>1.301796743402583</v>
      </c>
      <c r="S32" s="180" t="s">
        <v>248</v>
      </c>
      <c r="T32" s="177"/>
      <c r="U32" s="177">
        <f>SUMPRODUCT($M$20:$M$31, U20:U31)</f>
        <v>1.7867308967802997</v>
      </c>
      <c r="V32" s="177">
        <f>SUMPRODUCT($M$20:$M$31, V20:V31)</f>
        <v>5.2156149477688416</v>
      </c>
      <c r="W32" s="177">
        <f>SUMPRODUCT($M$19:$M$31, W19:W31)</f>
        <v>4.8508875952078023</v>
      </c>
    </row>
    <row r="33" spans="3:29" x14ac:dyDescent="0.3">
      <c r="U33" s="17">
        <f>Parameter!J5/SUM(Parameter!J5:J6)</f>
        <v>0.8125</v>
      </c>
      <c r="V33" s="17">
        <f>Parameter!J6/SUM(Parameter!J5:J6)</f>
        <v>0.1875</v>
      </c>
    </row>
    <row r="34" spans="3:29" x14ac:dyDescent="0.3">
      <c r="C34" s="17">
        <f>1/SUM(C24:C31)</f>
        <v>33.50570962479609</v>
      </c>
      <c r="D34" s="17">
        <f>1/SUM(D24:D31)</f>
        <v>20.596982953936909</v>
      </c>
    </row>
    <row r="37" spans="3:29" x14ac:dyDescent="0.3">
      <c r="Q37" s="17" cm="1">
        <f t="array" ref="Q37:AC37">TRANSPOSE(M19:M31)</f>
        <v>0</v>
      </c>
      <c r="R37" s="17">
        <v>2</v>
      </c>
      <c r="S37" s="17">
        <v>3</v>
      </c>
      <c r="T37" s="17">
        <v>5</v>
      </c>
      <c r="U37" s="17">
        <v>8</v>
      </c>
      <c r="V37" s="17">
        <v>10</v>
      </c>
      <c r="W37" s="17">
        <v>15</v>
      </c>
      <c r="X37" s="17">
        <v>20</v>
      </c>
      <c r="Y37" s="17">
        <v>25</v>
      </c>
      <c r="Z37" s="17">
        <v>35</v>
      </c>
      <c r="AA37" s="17">
        <v>50</v>
      </c>
      <c r="AB37" s="17">
        <v>80</v>
      </c>
      <c r="AC37" s="17">
        <v>100</v>
      </c>
    </row>
    <row r="38" spans="3:29" x14ac:dyDescent="0.3">
      <c r="Q38" s="17" cm="1">
        <f t="array" ref="Q38:AC38">TRANSPOSE(Q19:Q31)</f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</row>
    <row r="39" spans="3:29" x14ac:dyDescent="0.3">
      <c r="V39" s="17">
        <v>5000</v>
      </c>
      <c r="W39" s="17">
        <v>3000</v>
      </c>
      <c r="X39" s="17">
        <v>1500</v>
      </c>
      <c r="Y39" s="17">
        <v>500</v>
      </c>
      <c r="Z39" s="17">
        <v>65</v>
      </c>
      <c r="AA39" s="17">
        <v>30</v>
      </c>
      <c r="AB39" s="17">
        <v>30</v>
      </c>
      <c r="AC39" s="17">
        <v>30</v>
      </c>
    </row>
    <row r="42" spans="3:29" x14ac:dyDescent="0.3">
      <c r="Q42" s="17" cm="1">
        <f t="array" ref="Q42:AC42">TRANSPOSE(Q19:Q31)</f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</row>
    <row r="67" spans="2:8" x14ac:dyDescent="0.3">
      <c r="B67" s="17" t="s">
        <v>172</v>
      </c>
    </row>
    <row r="68" spans="2:8" x14ac:dyDescent="0.3">
      <c r="B68" s="135" t="s">
        <v>71</v>
      </c>
      <c r="C68" s="135" t="s">
        <v>170</v>
      </c>
      <c r="D68" s="135" t="s">
        <v>169</v>
      </c>
      <c r="E68" s="173"/>
    </row>
    <row r="69" spans="2:8" x14ac:dyDescent="0.3">
      <c r="B69" s="124">
        <v>0</v>
      </c>
      <c r="C69" s="162">
        <v>5.6827150749802685E-2</v>
      </c>
      <c r="D69" s="162">
        <v>0</v>
      </c>
      <c r="E69" s="175"/>
      <c r="H69" s="17">
        <v>0</v>
      </c>
    </row>
    <row r="70" spans="2:8" x14ac:dyDescent="0.3">
      <c r="B70" s="124">
        <v>1</v>
      </c>
      <c r="C70" s="162">
        <v>0.14601420678768745</v>
      </c>
      <c r="D70" s="162">
        <v>0</v>
      </c>
      <c r="E70" s="175"/>
      <c r="H70" s="17" cm="1">
        <f t="array" ref="H70:H78">TRANSPOSE(Parameter!AD8:AL8)</f>
        <v>0</v>
      </c>
    </row>
    <row r="71" spans="2:8" x14ac:dyDescent="0.3">
      <c r="B71" s="124">
        <v>2</v>
      </c>
      <c r="C71" s="162">
        <v>0.23993685872138912</v>
      </c>
      <c r="D71" s="162">
        <v>1.18E-2</v>
      </c>
      <c r="E71" s="175"/>
      <c r="H71" s="17">
        <v>0</v>
      </c>
    </row>
    <row r="72" spans="2:8" x14ac:dyDescent="0.3">
      <c r="B72" s="124">
        <v>3</v>
      </c>
      <c r="C72" s="162">
        <v>0.24072612470402527</v>
      </c>
      <c r="D72" s="162">
        <v>0.23769999999999999</v>
      </c>
      <c r="E72" s="175"/>
      <c r="H72" s="17">
        <v>525</v>
      </c>
    </row>
    <row r="73" spans="2:8" x14ac:dyDescent="0.3">
      <c r="B73" s="124">
        <v>4</v>
      </c>
      <c r="C73" s="162">
        <v>0.17363851617995266</v>
      </c>
      <c r="D73" s="162">
        <v>0.39269999999999999</v>
      </c>
      <c r="E73" s="175"/>
      <c r="H73" s="17">
        <v>700</v>
      </c>
    </row>
    <row r="74" spans="2:8" x14ac:dyDescent="0.3">
      <c r="B74" s="124">
        <v>5</v>
      </c>
      <c r="C74" s="162">
        <v>0.10023677979479084</v>
      </c>
      <c r="D74" s="162">
        <v>0.25750000000000001</v>
      </c>
      <c r="E74" s="175"/>
      <c r="H74" s="17">
        <v>1750</v>
      </c>
    </row>
    <row r="75" spans="2:8" x14ac:dyDescent="0.3">
      <c r="B75" s="124">
        <v>6</v>
      </c>
      <c r="C75" s="162">
        <v>3.1570639305445937E-2</v>
      </c>
      <c r="D75" s="162">
        <v>8.2699999999999996E-2</v>
      </c>
      <c r="E75" s="175"/>
      <c r="H75" s="17">
        <v>2100</v>
      </c>
    </row>
    <row r="76" spans="2:8" x14ac:dyDescent="0.3">
      <c r="B76" s="124">
        <v>7</v>
      </c>
      <c r="C76" s="162">
        <v>1.0260457774269928E-2</v>
      </c>
      <c r="D76" s="162">
        <v>1.5800000000000002E-2</v>
      </c>
      <c r="E76" s="175"/>
      <c r="H76" s="17">
        <v>3675</v>
      </c>
    </row>
    <row r="77" spans="2:8" x14ac:dyDescent="0.3">
      <c r="B77" s="124">
        <v>8</v>
      </c>
      <c r="C77" s="162">
        <v>7.8926598263614838E-4</v>
      </c>
      <c r="D77" s="162">
        <v>1.6999999999999999E-3</v>
      </c>
      <c r="E77" s="175"/>
      <c r="H77" s="17">
        <v>4200</v>
      </c>
    </row>
    <row r="78" spans="2:8" x14ac:dyDescent="0.3">
      <c r="B78" s="124">
        <v>9</v>
      </c>
      <c r="C78" s="162">
        <v>0</v>
      </c>
      <c r="D78" s="162">
        <v>1E-4</v>
      </c>
      <c r="E78" s="175"/>
      <c r="H78" s="17">
        <v>4725</v>
      </c>
    </row>
    <row r="81" spans="2:12" x14ac:dyDescent="0.3">
      <c r="B81" s="17" t="s">
        <v>244</v>
      </c>
      <c r="I81" s="17" t="e">
        <f>1/I82</f>
        <v>#REF!</v>
      </c>
    </row>
    <row r="82" spans="2:12" x14ac:dyDescent="0.3">
      <c r="B82" s="135"/>
      <c r="C82" s="135" t="s">
        <v>170</v>
      </c>
      <c r="D82" s="135" t="s">
        <v>169</v>
      </c>
      <c r="E82" s="173"/>
      <c r="I82" s="163" t="e">
        <f>SUMPRODUCT(#REF!,D69:D78)</f>
        <v>#REF!</v>
      </c>
    </row>
    <row r="83" spans="2:12" x14ac:dyDescent="0.3">
      <c r="B83" s="164">
        <v>0</v>
      </c>
      <c r="C83" s="165">
        <v>0.64345873104997198</v>
      </c>
      <c r="D83" s="165" t="e" cm="1">
        <f t="array" ref="D83:D95">J83:J95</f>
        <v>#REF!</v>
      </c>
      <c r="E83" s="174"/>
      <c r="G83" s="17" cm="1">
        <f t="array" ref="G83:G95">TRANSPOSE(Parameter!O19:AA19)</f>
        <v>0</v>
      </c>
      <c r="H83" s="17" cm="1">
        <f t="array" ref="H83:H95">TRANSPOSE(Parameter!O8:AA8)</f>
        <v>0</v>
      </c>
      <c r="I83" s="163" t="e" cm="1">
        <f t="array" ref="I83:I95">_xlfn.ANCHORARRAY(H83)/SUM(_xlfn.ANCHORARRAY(H83))*I82</f>
        <v>#REF!</v>
      </c>
      <c r="J83" s="163" t="e" cm="1">
        <f t="array" ref="J83">#REF!</f>
        <v>#REF!</v>
      </c>
      <c r="K83" s="163"/>
      <c r="L83" s="168"/>
    </row>
    <row r="84" spans="2:12" x14ac:dyDescent="0.3">
      <c r="B84" s="166">
        <v>2</v>
      </c>
      <c r="C84" s="167">
        <v>0.21617069062324537</v>
      </c>
      <c r="D84" s="167">
        <v>0</v>
      </c>
      <c r="E84" s="174"/>
      <c r="G84" s="17">
        <v>6300</v>
      </c>
      <c r="H84" s="17">
        <v>0</v>
      </c>
      <c r="I84" s="163" t="e">
        <v>#REF!</v>
      </c>
      <c r="J84" s="163"/>
      <c r="K84" s="163"/>
      <c r="L84" s="163"/>
    </row>
    <row r="85" spans="2:12" x14ac:dyDescent="0.3">
      <c r="B85" s="166">
        <v>3</v>
      </c>
      <c r="C85" s="167">
        <v>8.5906793935991016E-2</v>
      </c>
      <c r="D85" s="167">
        <v>0</v>
      </c>
      <c r="E85" s="174"/>
      <c r="G85" s="17">
        <v>2800</v>
      </c>
      <c r="H85" s="17">
        <v>0</v>
      </c>
      <c r="I85" s="163" t="e">
        <v>#REF!</v>
      </c>
      <c r="J85" s="163"/>
      <c r="K85" s="163"/>
      <c r="L85" s="163"/>
    </row>
    <row r="86" spans="2:12" x14ac:dyDescent="0.3">
      <c r="B86" s="166">
        <v>5</v>
      </c>
      <c r="C86" s="167">
        <v>2.1897810218978103E-2</v>
      </c>
      <c r="D86" s="167">
        <v>0</v>
      </c>
      <c r="E86" s="174"/>
      <c r="G86" s="17">
        <v>600</v>
      </c>
      <c r="H86" s="17">
        <v>0</v>
      </c>
      <c r="I86" s="163" t="e">
        <v>#REF!</v>
      </c>
      <c r="J86" s="163"/>
      <c r="K86" s="163"/>
      <c r="L86" s="163"/>
    </row>
    <row r="87" spans="2:12" x14ac:dyDescent="0.3">
      <c r="B87" s="166">
        <v>8</v>
      </c>
      <c r="C87" s="167">
        <v>1.0668163952835485E-2</v>
      </c>
      <c r="D87" s="167">
        <v>0</v>
      </c>
      <c r="E87" s="174"/>
      <c r="G87" s="17">
        <v>300</v>
      </c>
      <c r="H87" s="17">
        <v>0</v>
      </c>
      <c r="I87" s="163" t="e">
        <v>#REF!</v>
      </c>
      <c r="J87" s="163"/>
      <c r="K87" s="163"/>
      <c r="L87" s="163"/>
    </row>
    <row r="88" spans="2:12" x14ac:dyDescent="0.3">
      <c r="B88" s="166">
        <v>10</v>
      </c>
      <c r="C88" s="167">
        <v>1.0106681639528355E-2</v>
      </c>
      <c r="D88" s="167" t="e">
        <v>#REF!</v>
      </c>
      <c r="E88" s="174"/>
      <c r="G88" s="17">
        <v>0</v>
      </c>
      <c r="H88" s="17">
        <v>4370</v>
      </c>
      <c r="I88" s="163" t="e">
        <v>#REF!</v>
      </c>
      <c r="J88" s="163" t="e" cm="1">
        <f t="array" ref="J88:J95">I88:I95</f>
        <v>#REF!</v>
      </c>
      <c r="K88" s="163"/>
      <c r="L88" s="163"/>
    </row>
    <row r="89" spans="2:12" x14ac:dyDescent="0.3">
      <c r="B89" s="166">
        <v>15</v>
      </c>
      <c r="C89" s="167">
        <v>5.8955642897248733E-3</v>
      </c>
      <c r="D89" s="167" t="e">
        <v>#REF!</v>
      </c>
      <c r="E89" s="174"/>
      <c r="G89" s="17">
        <v>0</v>
      </c>
      <c r="H89" s="17">
        <v>2700</v>
      </c>
      <c r="I89" s="163" t="e">
        <v>#REF!</v>
      </c>
      <c r="J89" s="163" t="e">
        <v>#REF!</v>
      </c>
      <c r="K89" s="163"/>
      <c r="L89" s="163"/>
    </row>
    <row r="90" spans="2:12" x14ac:dyDescent="0.3">
      <c r="B90" s="166">
        <v>20</v>
      </c>
      <c r="C90" s="167">
        <v>2.807411566535654E-3</v>
      </c>
      <c r="D90" s="167" t="e">
        <v>#REF!</v>
      </c>
      <c r="E90" s="174"/>
      <c r="G90" s="17">
        <v>0</v>
      </c>
      <c r="H90" s="17">
        <v>1400</v>
      </c>
      <c r="I90" s="163" t="e">
        <v>#REF!</v>
      </c>
      <c r="J90" s="163" t="e">
        <v>#REF!</v>
      </c>
      <c r="K90" s="163"/>
      <c r="L90" s="163"/>
    </row>
    <row r="91" spans="2:12" x14ac:dyDescent="0.3">
      <c r="B91" s="166">
        <v>25</v>
      </c>
      <c r="C91" s="167">
        <v>5.6148231330713087E-4</v>
      </c>
      <c r="D91" s="167" t="e">
        <v>#REF!</v>
      </c>
      <c r="E91" s="174"/>
      <c r="G91" s="17">
        <v>0</v>
      </c>
      <c r="H91" s="17">
        <v>270</v>
      </c>
      <c r="I91" s="163" t="e">
        <v>#REF!</v>
      </c>
      <c r="J91" s="163" t="e">
        <v>#REF!</v>
      </c>
      <c r="K91" s="163"/>
      <c r="L91" s="163"/>
    </row>
    <row r="92" spans="2:12" x14ac:dyDescent="0.3">
      <c r="B92" s="166">
        <v>35</v>
      </c>
      <c r="C92" s="167">
        <v>5.6148231330713087E-4</v>
      </c>
      <c r="D92" s="167" t="e">
        <v>#REF!</v>
      </c>
      <c r="E92" s="174"/>
      <c r="G92" s="17">
        <v>0</v>
      </c>
      <c r="H92" s="17">
        <v>270</v>
      </c>
      <c r="I92" s="163" t="e">
        <v>#REF!</v>
      </c>
      <c r="J92" s="163" t="e">
        <v>#REF!</v>
      </c>
      <c r="K92" s="163"/>
      <c r="L92" s="163"/>
    </row>
    <row r="93" spans="2:12" x14ac:dyDescent="0.3">
      <c r="B93" s="166">
        <v>50</v>
      </c>
      <c r="C93" s="167">
        <v>8.4222346996069624E-4</v>
      </c>
      <c r="D93" s="167" t="e">
        <v>#REF!</v>
      </c>
      <c r="E93" s="174"/>
      <c r="G93" s="17">
        <v>0</v>
      </c>
      <c r="H93" s="17">
        <v>360</v>
      </c>
      <c r="I93" s="163" t="e">
        <v>#REF!</v>
      </c>
      <c r="J93" s="163" t="e">
        <v>#REF!</v>
      </c>
      <c r="K93" s="163"/>
      <c r="L93" s="163"/>
    </row>
    <row r="94" spans="2:12" x14ac:dyDescent="0.3">
      <c r="B94" s="166">
        <v>80</v>
      </c>
      <c r="C94" s="167">
        <v>8.4222346996069624E-4</v>
      </c>
      <c r="D94" s="167" t="e">
        <v>#REF!</v>
      </c>
      <c r="E94" s="174"/>
      <c r="G94" s="17">
        <v>0</v>
      </c>
      <c r="H94" s="17">
        <v>270</v>
      </c>
      <c r="I94" s="163" t="e">
        <v>#REF!</v>
      </c>
      <c r="J94" s="163" t="e">
        <v>#REF!</v>
      </c>
      <c r="K94" s="163"/>
      <c r="L94" s="163"/>
    </row>
    <row r="95" spans="2:12" x14ac:dyDescent="0.3">
      <c r="B95" s="166">
        <v>100</v>
      </c>
      <c r="C95" s="167">
        <v>2.8074115665356543E-4</v>
      </c>
      <c r="D95" s="167" t="e">
        <v>#REF!</v>
      </c>
      <c r="E95" s="174"/>
      <c r="G95" s="17">
        <v>0</v>
      </c>
      <c r="H95" s="17">
        <v>360</v>
      </c>
      <c r="I95" s="163" t="e">
        <v>#REF!</v>
      </c>
      <c r="J95" s="163" t="e">
        <v>#REF!</v>
      </c>
      <c r="K95" s="163"/>
      <c r="L95" s="163"/>
    </row>
    <row r="96" spans="2:12" x14ac:dyDescent="0.3">
      <c r="C96" s="17">
        <f>SUMPRODUCT(C83:C95,B83:B95)</f>
        <v>1.301796743402583</v>
      </c>
      <c r="D96" s="17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54" priority="55" operator="equal">
      <formula>0</formula>
    </cfRule>
  </conditionalFormatting>
  <conditionalFormatting sqref="C19:C31">
    <cfRule type="cellIs" dxfId="153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52" priority="52" operator="equal">
      <formula>0</formula>
    </cfRule>
  </conditionalFormatting>
  <conditionalFormatting sqref="D19:D31">
    <cfRule type="cellIs" dxfId="151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0" priority="39" operator="equal">
      <formula>0</formula>
    </cfRule>
  </conditionalFormatting>
  <conditionalFormatting sqref="C83:C95">
    <cfRule type="cellIs" dxfId="149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48" priority="36" operator="equal">
      <formula>0</formula>
    </cfRule>
  </conditionalFormatting>
  <conditionalFormatting sqref="D83:E95">
    <cfRule type="cellIs" dxfId="147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46" priority="33" operator="equal">
      <formula>0</formula>
    </cfRule>
  </conditionalFormatting>
  <conditionalFormatting sqref="C96:E96">
    <cfRule type="cellIs" dxfId="145" priority="30" operator="equal">
      <formula>0</formula>
    </cfRule>
  </conditionalFormatting>
  <conditionalFormatting sqref="N89">
    <cfRule type="cellIs" dxfId="144" priority="27" operator="equal">
      <formula>0</formula>
    </cfRule>
  </conditionalFormatting>
  <conditionalFormatting sqref="E19:E31">
    <cfRule type="cellIs" dxfId="143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142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141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140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139" priority="7" operator="equal">
      <formula>0</formula>
    </cfRule>
  </conditionalFormatting>
  <conditionalFormatting sqref="AE19:AE31">
    <cfRule type="cellIs" dxfId="138" priority="6" operator="equal">
      <formula>0</formula>
    </cfRule>
  </conditionalFormatting>
  <conditionalFormatting sqref="T32 T18">
    <cfRule type="cellIs" dxfId="137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36" priority="3" operator="equal">
      <formula>0</formula>
    </cfRule>
  </conditionalFormatting>
  <conditionalFormatting sqref="AI19:AI31">
    <cfRule type="cellIs" dxfId="135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G68"/>
  <sheetViews>
    <sheetView topLeftCell="A30" workbookViewId="0">
      <selection activeCell="P59" sqref="P59"/>
    </sheetView>
  </sheetViews>
  <sheetFormatPr defaultRowHeight="16.2" x14ac:dyDescent="0.3"/>
  <cols>
    <col min="1" max="1" width="8.88671875" style="24"/>
    <col min="2" max="2" width="27.109375" style="17" bestFit="1" customWidth="1"/>
    <col min="3" max="7" width="16.33203125" style="17" bestFit="1" customWidth="1"/>
  </cols>
  <sheetData>
    <row r="2" spans="2:7" x14ac:dyDescent="0.3">
      <c r="C2" s="17" t="s">
        <v>324</v>
      </c>
      <c r="D2" s="17" t="s">
        <v>324</v>
      </c>
      <c r="E2" s="17" t="s">
        <v>323</v>
      </c>
      <c r="F2" s="17" t="s">
        <v>323</v>
      </c>
      <c r="G2" s="17" t="s">
        <v>323</v>
      </c>
    </row>
    <row r="3" spans="2:7" x14ac:dyDescent="0.3">
      <c r="B3" s="135" t="s">
        <v>322</v>
      </c>
      <c r="C3" s="135" t="s">
        <v>321</v>
      </c>
      <c r="D3" s="135" t="s">
        <v>320</v>
      </c>
      <c r="E3" s="135" t="s">
        <v>321</v>
      </c>
      <c r="F3" s="135" t="s">
        <v>320</v>
      </c>
      <c r="G3" s="135" t="s">
        <v>319</v>
      </c>
    </row>
    <row r="4" spans="2:7" x14ac:dyDescent="0.3">
      <c r="B4" s="193" t="s">
        <v>318</v>
      </c>
      <c r="C4" s="137" cm="1">
        <f t="array" ref="C4:C68">IFERROR(Multiplier_Weight_Newbie!$L$15:$L$79, 0)</f>
        <v>722907411</v>
      </c>
      <c r="D4" s="137" cm="1">
        <f t="array" ref="D4:D67">IFERROR(Multiplier_Weight_Newbie!$L$87:$L$150, 0)</f>
        <v>0</v>
      </c>
      <c r="E4" s="137" cm="1">
        <f t="array" ref="E4:E68">_xlfn.ANCHORARRAY(Multiplier_Weight_Oldhand!L15)</f>
        <v>722907411</v>
      </c>
      <c r="F4" s="137" cm="1">
        <f t="array" ref="F4:F67">_xlfn.ANCHORARRAY(Multiplier_Weight_Oldhand!L87)</f>
        <v>0</v>
      </c>
      <c r="G4" s="137" cm="1">
        <f t="array" ref="G4:G67">_xlfn.ANCHORARRAY(Multiplier_Weight_Oldhand!L157)</f>
        <v>0</v>
      </c>
    </row>
    <row r="5" spans="2:7" x14ac:dyDescent="0.3">
      <c r="B5" s="193" t="s">
        <v>317</v>
      </c>
      <c r="C5" s="137">
        <v>161351627</v>
      </c>
      <c r="D5" s="137">
        <v>0</v>
      </c>
      <c r="E5" s="137">
        <v>161351627</v>
      </c>
      <c r="F5" s="137">
        <v>0</v>
      </c>
      <c r="G5" s="137">
        <v>0</v>
      </c>
    </row>
    <row r="6" spans="2:7" x14ac:dyDescent="0.3">
      <c r="B6" s="193" t="s">
        <v>316</v>
      </c>
      <c r="C6" s="137">
        <v>45754318</v>
      </c>
      <c r="D6" s="137">
        <v>0</v>
      </c>
      <c r="E6" s="137">
        <v>45754318</v>
      </c>
      <c r="F6" s="137">
        <v>0</v>
      </c>
      <c r="G6" s="137">
        <v>0</v>
      </c>
    </row>
    <row r="7" spans="2:7" x14ac:dyDescent="0.3">
      <c r="B7" s="193" t="s">
        <v>315</v>
      </c>
      <c r="C7" s="137">
        <v>21756756</v>
      </c>
      <c r="D7" s="137">
        <v>0</v>
      </c>
      <c r="E7" s="137">
        <v>21756756</v>
      </c>
      <c r="F7" s="137">
        <v>0</v>
      </c>
      <c r="G7" s="137">
        <v>0</v>
      </c>
    </row>
    <row r="8" spans="2:7" x14ac:dyDescent="0.3">
      <c r="B8" s="193" t="s">
        <v>314</v>
      </c>
      <c r="C8" s="137">
        <v>8506399</v>
      </c>
      <c r="D8" s="137">
        <v>0</v>
      </c>
      <c r="E8" s="137">
        <v>8506399</v>
      </c>
      <c r="F8" s="137">
        <v>0</v>
      </c>
      <c r="G8" s="137">
        <v>0</v>
      </c>
    </row>
    <row r="9" spans="2:7" x14ac:dyDescent="0.3">
      <c r="B9" s="193" t="s">
        <v>313</v>
      </c>
      <c r="C9" s="137">
        <v>6669454</v>
      </c>
      <c r="D9" s="137">
        <v>0</v>
      </c>
      <c r="E9" s="137">
        <v>6669454</v>
      </c>
      <c r="F9" s="137">
        <v>0</v>
      </c>
      <c r="G9" s="137">
        <v>0</v>
      </c>
    </row>
    <row r="10" spans="2:7" x14ac:dyDescent="0.3">
      <c r="B10" s="193" t="s">
        <v>312</v>
      </c>
      <c r="C10" s="137">
        <v>5453883</v>
      </c>
      <c r="D10" s="137">
        <v>0</v>
      </c>
      <c r="E10" s="137">
        <v>5453883</v>
      </c>
      <c r="F10" s="137">
        <v>0</v>
      </c>
      <c r="G10" s="137">
        <v>0</v>
      </c>
    </row>
    <row r="11" spans="2:7" x14ac:dyDescent="0.3">
      <c r="B11" s="193" t="s">
        <v>311</v>
      </c>
      <c r="C11" s="137">
        <v>3331650</v>
      </c>
      <c r="D11" s="137">
        <v>0</v>
      </c>
      <c r="E11" s="137">
        <v>3331650</v>
      </c>
      <c r="F11" s="137">
        <v>0</v>
      </c>
      <c r="G11" s="137">
        <v>0</v>
      </c>
    </row>
    <row r="12" spans="2:7" x14ac:dyDescent="0.3">
      <c r="B12" s="193" t="s">
        <v>310</v>
      </c>
      <c r="C12" s="137">
        <v>2815459</v>
      </c>
      <c r="D12" s="137">
        <v>0</v>
      </c>
      <c r="E12" s="137">
        <v>2815459</v>
      </c>
      <c r="F12" s="137">
        <v>0</v>
      </c>
      <c r="G12" s="137">
        <v>0</v>
      </c>
    </row>
    <row r="13" spans="2:7" x14ac:dyDescent="0.3">
      <c r="B13" s="193" t="s">
        <v>309</v>
      </c>
      <c r="C13" s="137">
        <v>2544451</v>
      </c>
      <c r="D13" s="137">
        <v>0</v>
      </c>
      <c r="E13" s="137">
        <v>2544451</v>
      </c>
      <c r="F13" s="137">
        <v>0</v>
      </c>
      <c r="G13" s="137">
        <v>0</v>
      </c>
    </row>
    <row r="14" spans="2:7" x14ac:dyDescent="0.3">
      <c r="B14" s="193" t="s">
        <v>308</v>
      </c>
      <c r="C14" s="137">
        <v>2271743</v>
      </c>
      <c r="D14" s="137">
        <v>0</v>
      </c>
      <c r="E14" s="137">
        <v>2271743</v>
      </c>
      <c r="F14" s="137">
        <v>0</v>
      </c>
      <c r="G14" s="137">
        <v>0</v>
      </c>
    </row>
    <row r="15" spans="2:7" x14ac:dyDescent="0.3">
      <c r="B15" s="193" t="s">
        <v>307</v>
      </c>
      <c r="C15" s="137">
        <v>3023686</v>
      </c>
      <c r="D15" s="137">
        <v>131266259</v>
      </c>
      <c r="E15" s="137">
        <v>3023686</v>
      </c>
      <c r="F15" s="137">
        <v>131266259</v>
      </c>
      <c r="G15" s="137">
        <v>117561927</v>
      </c>
    </row>
    <row r="16" spans="2:7" x14ac:dyDescent="0.3">
      <c r="B16" s="195" t="s">
        <v>306</v>
      </c>
      <c r="C16" s="137">
        <v>3964399</v>
      </c>
      <c r="D16" s="137">
        <v>131252488</v>
      </c>
      <c r="E16" s="137">
        <v>3964399</v>
      </c>
      <c r="F16" s="137">
        <v>131252488</v>
      </c>
      <c r="G16" s="137">
        <v>117549593</v>
      </c>
    </row>
    <row r="17" spans="2:7" x14ac:dyDescent="0.3">
      <c r="B17" s="193" t="s">
        <v>305</v>
      </c>
      <c r="C17" s="137">
        <v>1655752</v>
      </c>
      <c r="D17" s="137">
        <v>131278183</v>
      </c>
      <c r="E17" s="137">
        <v>1655752</v>
      </c>
      <c r="F17" s="137">
        <v>131278183</v>
      </c>
      <c r="G17" s="137">
        <v>117572606</v>
      </c>
    </row>
    <row r="18" spans="2:7" x14ac:dyDescent="0.3">
      <c r="B18" s="193" t="s">
        <v>304</v>
      </c>
      <c r="C18" s="137">
        <v>670871</v>
      </c>
      <c r="D18" s="137">
        <v>132249710</v>
      </c>
      <c r="E18" s="137">
        <v>670871</v>
      </c>
      <c r="F18" s="137">
        <v>132249710</v>
      </c>
      <c r="G18" s="137">
        <v>118442704</v>
      </c>
    </row>
    <row r="19" spans="2:7" x14ac:dyDescent="0.3">
      <c r="B19" s="193" t="s">
        <v>303</v>
      </c>
      <c r="C19" s="137">
        <v>567834</v>
      </c>
      <c r="D19" s="137">
        <v>36550552</v>
      </c>
      <c r="E19" s="137">
        <v>567834</v>
      </c>
      <c r="F19" s="137">
        <v>36550552</v>
      </c>
      <c r="G19" s="137">
        <v>32734637</v>
      </c>
    </row>
    <row r="20" spans="2:7" x14ac:dyDescent="0.3">
      <c r="B20" s="195" t="s">
        <v>302</v>
      </c>
      <c r="C20" s="137">
        <v>972126</v>
      </c>
      <c r="D20" s="137">
        <v>29855874</v>
      </c>
      <c r="E20" s="137">
        <v>972126</v>
      </c>
      <c r="F20" s="137">
        <v>29855874</v>
      </c>
      <c r="G20" s="137">
        <v>26738890</v>
      </c>
    </row>
    <row r="21" spans="2:7" x14ac:dyDescent="0.3">
      <c r="B21" s="193" t="s">
        <v>301</v>
      </c>
      <c r="C21" s="137">
        <v>222591</v>
      </c>
      <c r="D21" s="137">
        <v>29391089</v>
      </c>
      <c r="E21" s="137">
        <v>222591</v>
      </c>
      <c r="F21" s="137">
        <v>29391089</v>
      </c>
      <c r="G21" s="137">
        <v>26322629</v>
      </c>
    </row>
    <row r="22" spans="2:7" x14ac:dyDescent="0.3">
      <c r="B22" s="193" t="s">
        <v>300</v>
      </c>
      <c r="C22" s="137">
        <v>212140</v>
      </c>
      <c r="D22" s="137">
        <v>27000172</v>
      </c>
      <c r="E22" s="137">
        <v>212140</v>
      </c>
      <c r="F22" s="137">
        <v>27000172</v>
      </c>
      <c r="G22" s="137">
        <v>24181326</v>
      </c>
    </row>
    <row r="23" spans="2:7" x14ac:dyDescent="0.3">
      <c r="B23" s="195" t="s">
        <v>299</v>
      </c>
      <c r="C23" s="137">
        <v>622768</v>
      </c>
      <c r="D23" s="137">
        <v>22800440</v>
      </c>
      <c r="E23" s="137">
        <v>622768</v>
      </c>
      <c r="F23" s="137">
        <v>22800440</v>
      </c>
      <c r="G23" s="137">
        <v>20420051</v>
      </c>
    </row>
    <row r="24" spans="2:7" x14ac:dyDescent="0.3">
      <c r="B24" s="193" t="s">
        <v>298</v>
      </c>
      <c r="C24" s="137">
        <v>150790</v>
      </c>
      <c r="D24" s="137">
        <v>67250439</v>
      </c>
      <c r="E24" s="137">
        <v>150790</v>
      </c>
      <c r="F24" s="137">
        <v>67250439</v>
      </c>
      <c r="G24" s="137">
        <v>66921582</v>
      </c>
    </row>
    <row r="25" spans="2:7" x14ac:dyDescent="0.3">
      <c r="B25" s="193" t="s">
        <v>297</v>
      </c>
      <c r="C25" s="137">
        <v>129822</v>
      </c>
      <c r="D25" s="137">
        <v>60642210</v>
      </c>
      <c r="E25" s="137">
        <v>129822</v>
      </c>
      <c r="F25" s="137">
        <v>60642210</v>
      </c>
      <c r="G25" s="137">
        <v>60345668</v>
      </c>
    </row>
    <row r="26" spans="2:7" x14ac:dyDescent="0.3">
      <c r="B26" s="193" t="s">
        <v>296</v>
      </c>
      <c r="C26" s="137">
        <v>112006</v>
      </c>
      <c r="D26" s="137">
        <v>30830899</v>
      </c>
      <c r="E26" s="137">
        <v>112006</v>
      </c>
      <c r="F26" s="137">
        <v>30830899</v>
      </c>
      <c r="G26" s="137">
        <v>27612121</v>
      </c>
    </row>
    <row r="27" spans="2:7" x14ac:dyDescent="0.3">
      <c r="B27" s="193" t="s">
        <v>295</v>
      </c>
      <c r="C27" s="137">
        <v>101279</v>
      </c>
      <c r="D27" s="137">
        <v>27035605</v>
      </c>
      <c r="E27" s="137">
        <v>101279</v>
      </c>
      <c r="F27" s="137">
        <v>27035605</v>
      </c>
      <c r="G27" s="137">
        <v>24213060</v>
      </c>
    </row>
    <row r="28" spans="2:7" x14ac:dyDescent="0.3">
      <c r="B28" s="193" t="s">
        <v>294</v>
      </c>
      <c r="C28" s="137">
        <v>0</v>
      </c>
      <c r="D28" s="137">
        <v>42740282</v>
      </c>
      <c r="E28" s="137">
        <v>0</v>
      </c>
      <c r="F28" s="137">
        <v>42740282</v>
      </c>
      <c r="G28" s="137">
        <v>54230772</v>
      </c>
    </row>
    <row r="29" spans="2:7" x14ac:dyDescent="0.3">
      <c r="B29" s="193" t="s">
        <v>293</v>
      </c>
      <c r="C29" s="137">
        <v>0</v>
      </c>
      <c r="D29" s="137">
        <v>18780093</v>
      </c>
      <c r="E29" s="137">
        <v>0</v>
      </c>
      <c r="F29" s="137">
        <v>18780093</v>
      </c>
      <c r="G29" s="137">
        <v>25644264</v>
      </c>
    </row>
    <row r="30" spans="2:7" x14ac:dyDescent="0.3">
      <c r="B30" s="193" t="s">
        <v>292</v>
      </c>
      <c r="C30" s="137">
        <v>0</v>
      </c>
      <c r="D30" s="137">
        <v>28816647</v>
      </c>
      <c r="E30" s="137">
        <v>0</v>
      </c>
      <c r="F30" s="137">
        <v>28816647</v>
      </c>
      <c r="G30" s="137">
        <v>39335711</v>
      </c>
    </row>
    <row r="31" spans="2:7" x14ac:dyDescent="0.3">
      <c r="B31" s="193" t="s">
        <v>291</v>
      </c>
      <c r="C31" s="137">
        <v>0</v>
      </c>
      <c r="D31" s="137">
        <v>8508099</v>
      </c>
      <c r="E31" s="137">
        <v>0</v>
      </c>
      <c r="F31" s="137">
        <v>8508099</v>
      </c>
      <c r="G31" s="137">
        <v>19668153</v>
      </c>
    </row>
    <row r="32" spans="2:7" x14ac:dyDescent="0.3">
      <c r="B32" s="193" t="s">
        <v>290</v>
      </c>
      <c r="C32" s="137">
        <v>0</v>
      </c>
      <c r="D32" s="137">
        <v>7487067</v>
      </c>
      <c r="E32" s="137">
        <v>0</v>
      </c>
      <c r="F32" s="137">
        <v>7487067</v>
      </c>
      <c r="G32" s="137">
        <v>17307835</v>
      </c>
    </row>
    <row r="33" spans="2:7" x14ac:dyDescent="0.3">
      <c r="B33" s="193" t="s">
        <v>289</v>
      </c>
      <c r="C33" s="137">
        <v>0</v>
      </c>
      <c r="D33" s="137">
        <v>20060522</v>
      </c>
      <c r="E33" s="137">
        <v>0</v>
      </c>
      <c r="F33" s="137">
        <v>20060522</v>
      </c>
      <c r="G33" s="137">
        <v>33806543</v>
      </c>
    </row>
    <row r="34" spans="2:7" x14ac:dyDescent="0.3">
      <c r="B34" s="193" t="s">
        <v>288</v>
      </c>
      <c r="C34" s="137">
        <v>0</v>
      </c>
      <c r="D34" s="137">
        <v>5653002</v>
      </c>
      <c r="E34" s="137">
        <v>0</v>
      </c>
      <c r="F34" s="137">
        <v>5653002</v>
      </c>
      <c r="G34" s="137">
        <v>13068031</v>
      </c>
    </row>
    <row r="35" spans="2:7" x14ac:dyDescent="0.3">
      <c r="B35" s="193" t="s">
        <v>287</v>
      </c>
      <c r="C35" s="137">
        <v>0</v>
      </c>
      <c r="D35" s="137">
        <v>4853474</v>
      </c>
      <c r="E35" s="137">
        <v>0</v>
      </c>
      <c r="F35" s="137">
        <v>4853474</v>
      </c>
      <c r="G35" s="137">
        <v>11219765</v>
      </c>
    </row>
    <row r="36" spans="2:7" x14ac:dyDescent="0.3">
      <c r="B36" s="193" t="s">
        <v>286</v>
      </c>
      <c r="C36" s="137">
        <v>0</v>
      </c>
      <c r="D36" s="137">
        <v>684156</v>
      </c>
      <c r="E36" s="137">
        <v>0</v>
      </c>
      <c r="F36" s="137">
        <v>684156</v>
      </c>
      <c r="G36" s="137">
        <v>612729</v>
      </c>
    </row>
    <row r="37" spans="2:7" x14ac:dyDescent="0.3">
      <c r="B37" s="193" t="s">
        <v>285</v>
      </c>
      <c r="C37" s="137">
        <v>0</v>
      </c>
      <c r="D37" s="137">
        <v>618493</v>
      </c>
      <c r="E37" s="137">
        <v>0</v>
      </c>
      <c r="F37" s="137">
        <v>618493</v>
      </c>
      <c r="G37" s="137">
        <v>553922</v>
      </c>
    </row>
    <row r="38" spans="2:7" x14ac:dyDescent="0.3">
      <c r="B38" s="193" t="s">
        <v>284</v>
      </c>
      <c r="C38" s="137">
        <v>0</v>
      </c>
      <c r="D38" s="137">
        <v>550345</v>
      </c>
      <c r="E38" s="137">
        <v>0</v>
      </c>
      <c r="F38" s="137">
        <v>550345</v>
      </c>
      <c r="G38" s="137">
        <v>492888</v>
      </c>
    </row>
    <row r="39" spans="2:7" x14ac:dyDescent="0.3">
      <c r="B39" s="193" t="s">
        <v>283</v>
      </c>
      <c r="C39" s="137">
        <v>0</v>
      </c>
      <c r="D39" s="137">
        <v>495462</v>
      </c>
      <c r="E39" s="137">
        <v>0</v>
      </c>
      <c r="F39" s="137">
        <v>495462</v>
      </c>
      <c r="G39" s="137">
        <v>443735</v>
      </c>
    </row>
    <row r="40" spans="2:7" x14ac:dyDescent="0.3">
      <c r="B40" s="193" t="s">
        <v>282</v>
      </c>
      <c r="C40" s="137">
        <v>0</v>
      </c>
      <c r="D40" s="137">
        <v>441559</v>
      </c>
      <c r="E40" s="137">
        <v>0</v>
      </c>
      <c r="F40" s="137">
        <v>441559</v>
      </c>
      <c r="G40" s="137">
        <v>395460</v>
      </c>
    </row>
    <row r="41" spans="2:7" x14ac:dyDescent="0.3">
      <c r="B41" s="193" t="s">
        <v>281</v>
      </c>
      <c r="C41" s="137">
        <v>0</v>
      </c>
      <c r="D41" s="137">
        <v>392307</v>
      </c>
      <c r="E41" s="137">
        <v>0</v>
      </c>
      <c r="F41" s="137">
        <v>392307</v>
      </c>
      <c r="G41" s="137">
        <v>351350</v>
      </c>
    </row>
    <row r="42" spans="2:7" x14ac:dyDescent="0.3">
      <c r="B42" s="193" t="s">
        <v>280</v>
      </c>
      <c r="C42" s="137">
        <v>0</v>
      </c>
      <c r="D42" s="137">
        <v>349538</v>
      </c>
      <c r="E42" s="137">
        <v>0</v>
      </c>
      <c r="F42" s="137">
        <v>349538</v>
      </c>
      <c r="G42" s="137">
        <v>313046</v>
      </c>
    </row>
    <row r="43" spans="2:7" x14ac:dyDescent="0.3">
      <c r="B43" s="193" t="s">
        <v>279</v>
      </c>
      <c r="C43" s="137">
        <v>0</v>
      </c>
      <c r="D43" s="137">
        <v>308518</v>
      </c>
      <c r="E43" s="137">
        <v>0</v>
      </c>
      <c r="F43" s="137">
        <v>308518</v>
      </c>
      <c r="G43" s="137">
        <v>276309</v>
      </c>
    </row>
    <row r="44" spans="2:7" x14ac:dyDescent="0.3">
      <c r="B44" s="193" t="s">
        <v>278</v>
      </c>
      <c r="C44" s="137">
        <v>0</v>
      </c>
      <c r="D44" s="137">
        <v>278217</v>
      </c>
      <c r="E44" s="137">
        <v>0</v>
      </c>
      <c r="F44" s="137">
        <v>278217</v>
      </c>
      <c r="G44" s="137">
        <v>249171</v>
      </c>
    </row>
    <row r="45" spans="2:7" x14ac:dyDescent="0.3">
      <c r="B45" s="193" t="s">
        <v>277</v>
      </c>
      <c r="C45" s="137">
        <v>0</v>
      </c>
      <c r="D45" s="137">
        <v>248702</v>
      </c>
      <c r="E45" s="137">
        <v>0</v>
      </c>
      <c r="F45" s="137">
        <v>248702</v>
      </c>
      <c r="G45" s="137">
        <v>222738</v>
      </c>
    </row>
    <row r="46" spans="2:7" x14ac:dyDescent="0.3">
      <c r="B46" s="193" t="s">
        <v>276</v>
      </c>
      <c r="C46" s="137">
        <v>0</v>
      </c>
      <c r="D46" s="137">
        <v>221873</v>
      </c>
      <c r="E46" s="137">
        <v>0</v>
      </c>
      <c r="F46" s="137">
        <v>221873</v>
      </c>
      <c r="G46" s="137">
        <v>198709</v>
      </c>
    </row>
    <row r="47" spans="2:7" x14ac:dyDescent="0.3">
      <c r="B47" s="193" t="s">
        <v>275</v>
      </c>
      <c r="C47" s="137">
        <v>0</v>
      </c>
      <c r="D47" s="137">
        <v>199434</v>
      </c>
      <c r="E47" s="137">
        <v>0</v>
      </c>
      <c r="F47" s="137">
        <v>199434</v>
      </c>
      <c r="G47" s="137">
        <v>178612</v>
      </c>
    </row>
    <row r="48" spans="2:7" x14ac:dyDescent="0.3">
      <c r="B48" s="193" t="s">
        <v>274</v>
      </c>
      <c r="C48" s="137">
        <v>0</v>
      </c>
      <c r="D48" s="137">
        <v>179929</v>
      </c>
      <c r="E48" s="137">
        <v>0</v>
      </c>
      <c r="F48" s="137">
        <v>179929</v>
      </c>
      <c r="G48" s="137">
        <v>161144</v>
      </c>
    </row>
    <row r="49" spans="2:7" x14ac:dyDescent="0.3">
      <c r="B49" s="193" t="s">
        <v>273</v>
      </c>
      <c r="C49" s="137">
        <v>0</v>
      </c>
      <c r="D49" s="137">
        <v>147662</v>
      </c>
      <c r="E49" s="137">
        <v>0</v>
      </c>
      <c r="F49" s="137">
        <v>147662</v>
      </c>
      <c r="G49" s="137">
        <v>132246</v>
      </c>
    </row>
    <row r="50" spans="2:7" x14ac:dyDescent="0.3">
      <c r="B50" s="193" t="s">
        <v>272</v>
      </c>
      <c r="C50" s="137">
        <v>0</v>
      </c>
      <c r="D50" s="137">
        <v>471720</v>
      </c>
      <c r="E50" s="137">
        <v>0</v>
      </c>
      <c r="F50" s="137">
        <v>471720</v>
      </c>
      <c r="G50" s="137">
        <v>422472</v>
      </c>
    </row>
    <row r="51" spans="2:7" x14ac:dyDescent="0.3">
      <c r="B51" s="193" t="s">
        <v>271</v>
      </c>
      <c r="C51" s="137">
        <v>0</v>
      </c>
      <c r="D51" s="137">
        <v>63183</v>
      </c>
      <c r="E51" s="137">
        <v>0</v>
      </c>
      <c r="F51" s="137">
        <v>63183</v>
      </c>
      <c r="G51" s="137">
        <v>56587</v>
      </c>
    </row>
    <row r="52" spans="2:7" x14ac:dyDescent="0.3">
      <c r="B52" s="193" t="s">
        <v>270</v>
      </c>
      <c r="C52" s="137">
        <v>0</v>
      </c>
      <c r="D52" s="137">
        <v>32266</v>
      </c>
      <c r="E52" s="137">
        <v>0</v>
      </c>
      <c r="F52" s="137">
        <v>32266</v>
      </c>
      <c r="G52" s="137">
        <v>28897</v>
      </c>
    </row>
    <row r="53" spans="2:7" x14ac:dyDescent="0.3">
      <c r="B53" s="193" t="s">
        <v>269</v>
      </c>
      <c r="C53" s="137">
        <v>0</v>
      </c>
      <c r="D53" s="137">
        <v>13508</v>
      </c>
      <c r="E53" s="137">
        <v>0</v>
      </c>
      <c r="F53" s="137">
        <v>13508</v>
      </c>
      <c r="G53" s="137">
        <v>12098</v>
      </c>
    </row>
    <row r="54" spans="2:7" x14ac:dyDescent="0.3">
      <c r="B54" s="193" t="s">
        <v>268</v>
      </c>
      <c r="C54" s="137">
        <v>0</v>
      </c>
      <c r="D54" s="137">
        <v>0</v>
      </c>
      <c r="E54" s="137">
        <v>0</v>
      </c>
      <c r="F54" s="137">
        <v>0</v>
      </c>
      <c r="G54" s="137">
        <v>0</v>
      </c>
    </row>
    <row r="55" spans="2:7" x14ac:dyDescent="0.3">
      <c r="B55" s="193" t="s">
        <v>267</v>
      </c>
      <c r="C55" s="137">
        <v>0</v>
      </c>
      <c r="D55" s="137">
        <v>0</v>
      </c>
      <c r="E55" s="137">
        <v>0</v>
      </c>
      <c r="F55" s="137">
        <v>0</v>
      </c>
      <c r="G55" s="137">
        <v>0</v>
      </c>
    </row>
    <row r="56" spans="2:7" x14ac:dyDescent="0.3">
      <c r="B56" s="193" t="s">
        <v>266</v>
      </c>
      <c r="C56" s="137">
        <v>0</v>
      </c>
      <c r="D56" s="137">
        <v>0</v>
      </c>
      <c r="E56" s="137">
        <v>0</v>
      </c>
      <c r="F56" s="137">
        <v>0</v>
      </c>
      <c r="G56" s="137">
        <v>0</v>
      </c>
    </row>
    <row r="57" spans="2:7" x14ac:dyDescent="0.3">
      <c r="B57" s="193" t="s">
        <v>265</v>
      </c>
      <c r="C57" s="137">
        <v>0</v>
      </c>
      <c r="D57" s="137">
        <v>0</v>
      </c>
      <c r="E57" s="137">
        <v>0</v>
      </c>
      <c r="F57" s="137">
        <v>0</v>
      </c>
      <c r="G57" s="137">
        <v>0</v>
      </c>
    </row>
    <row r="58" spans="2:7" x14ac:dyDescent="0.3">
      <c r="B58" s="193" t="s">
        <v>264</v>
      </c>
      <c r="C58" s="137">
        <v>0</v>
      </c>
      <c r="D58" s="137">
        <v>0</v>
      </c>
      <c r="E58" s="137">
        <v>0</v>
      </c>
      <c r="F58" s="137">
        <v>0</v>
      </c>
      <c r="G58" s="137">
        <v>0</v>
      </c>
    </row>
    <row r="59" spans="2:7" x14ac:dyDescent="0.3">
      <c r="B59" s="193" t="s">
        <v>263</v>
      </c>
      <c r="C59" s="137">
        <v>0</v>
      </c>
      <c r="D59" s="137">
        <v>0</v>
      </c>
      <c r="E59" s="137">
        <v>0</v>
      </c>
      <c r="F59" s="137">
        <v>0</v>
      </c>
      <c r="G59" s="137">
        <v>0</v>
      </c>
    </row>
    <row r="60" spans="2:7" x14ac:dyDescent="0.3">
      <c r="B60" s="193" t="s">
        <v>262</v>
      </c>
      <c r="C60" s="137">
        <v>0</v>
      </c>
      <c r="D60" s="137">
        <v>0</v>
      </c>
      <c r="E60" s="137">
        <v>0</v>
      </c>
      <c r="F60" s="137">
        <v>0</v>
      </c>
      <c r="G60" s="137">
        <v>0</v>
      </c>
    </row>
    <row r="61" spans="2:7" x14ac:dyDescent="0.3">
      <c r="B61" s="193" t="s">
        <v>261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</row>
    <row r="62" spans="2:7" x14ac:dyDescent="0.3">
      <c r="B62" s="193" t="s">
        <v>260</v>
      </c>
      <c r="C62" s="137">
        <v>0</v>
      </c>
      <c r="D62" s="137">
        <v>0</v>
      </c>
      <c r="E62" s="137">
        <v>0</v>
      </c>
      <c r="F62" s="137">
        <v>0</v>
      </c>
      <c r="G62" s="137">
        <v>0</v>
      </c>
    </row>
    <row r="63" spans="2:7" x14ac:dyDescent="0.3">
      <c r="B63" s="193" t="s">
        <v>259</v>
      </c>
      <c r="C63" s="137">
        <v>0</v>
      </c>
      <c r="D63" s="137">
        <v>0</v>
      </c>
      <c r="E63" s="137">
        <v>0</v>
      </c>
      <c r="F63" s="137">
        <v>0</v>
      </c>
      <c r="G63" s="137">
        <v>0</v>
      </c>
    </row>
    <row r="64" spans="2:7" x14ac:dyDescent="0.3">
      <c r="B64" s="193" t="s">
        <v>258</v>
      </c>
      <c r="C64" s="137">
        <v>0</v>
      </c>
      <c r="D64" s="137">
        <v>0</v>
      </c>
      <c r="E64" s="137">
        <v>0</v>
      </c>
      <c r="F64" s="137">
        <v>0</v>
      </c>
      <c r="G64" s="137">
        <v>0</v>
      </c>
    </row>
    <row r="65" spans="2:7" x14ac:dyDescent="0.3">
      <c r="B65" s="193" t="s">
        <v>257</v>
      </c>
      <c r="C65" s="137">
        <v>0</v>
      </c>
      <c r="D65" s="137">
        <v>0</v>
      </c>
      <c r="E65" s="137">
        <v>0</v>
      </c>
      <c r="F65" s="137">
        <v>0</v>
      </c>
      <c r="G65" s="137">
        <v>0</v>
      </c>
    </row>
    <row r="66" spans="2:7" x14ac:dyDescent="0.3">
      <c r="B66" s="193" t="s">
        <v>256</v>
      </c>
      <c r="C66" s="137">
        <v>0</v>
      </c>
      <c r="D66" s="137">
        <v>0</v>
      </c>
      <c r="E66" s="137">
        <v>0</v>
      </c>
      <c r="F66" s="137">
        <v>0</v>
      </c>
      <c r="G66" s="137">
        <v>0</v>
      </c>
    </row>
    <row r="67" spans="2:7" x14ac:dyDescent="0.3">
      <c r="B67" s="193" t="s">
        <v>255</v>
      </c>
      <c r="C67" s="137">
        <v>0</v>
      </c>
      <c r="D67" s="137">
        <v>0</v>
      </c>
      <c r="E67" s="137">
        <v>0</v>
      </c>
      <c r="F67" s="137">
        <v>0</v>
      </c>
      <c r="G67" s="137">
        <v>0</v>
      </c>
    </row>
    <row r="68" spans="2:7" x14ac:dyDescent="0.3">
      <c r="B68" s="193" t="s">
        <v>254</v>
      </c>
      <c r="C68" s="137">
        <v>4173600</v>
      </c>
      <c r="D68" s="150"/>
      <c r="E68" s="137">
        <v>4173600</v>
      </c>
      <c r="F68" s="150"/>
      <c r="G68" s="150"/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E3C5-9CD9-4E40-8469-4E70BBA8CA72}">
  <sheetPr codeName="工作表6"/>
  <dimension ref="A1:P150"/>
  <sheetViews>
    <sheetView workbookViewId="0">
      <selection activeCell="H81" sqref="H81"/>
    </sheetView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19.88671875" style="24" bestFit="1" customWidth="1"/>
    <col min="4" max="4" width="25.5546875" style="24" bestFit="1" customWidth="1"/>
    <col min="5" max="5" width="16.88671875" style="24" bestFit="1" customWidth="1"/>
    <col min="6" max="6" width="19.88671875" style="24" bestFit="1" customWidth="1"/>
    <col min="7" max="7" width="14" style="51" bestFit="1" customWidth="1"/>
    <col min="8" max="8" width="25.77734375" style="24" customWidth="1"/>
    <col min="9" max="9" width="14" style="24" bestFit="1" customWidth="1"/>
    <col min="10" max="10" width="12.44140625" style="24" customWidth="1"/>
    <col min="11" max="11" width="15.5546875" style="24" customWidth="1"/>
    <col min="12" max="12" width="18.77734375" style="24" customWidth="1"/>
    <col min="13" max="13" width="12.44140625" style="24" customWidth="1"/>
    <col min="14" max="14" width="19.88671875" style="24" customWidth="1"/>
    <col min="15" max="15" width="8.88671875" style="51" customWidth="1"/>
    <col min="16" max="16" width="11" style="24" bestFit="1" customWidth="1"/>
    <col min="17" max="16384" width="8.88671875" style="24"/>
  </cols>
  <sheetData>
    <row r="1" spans="1:15" x14ac:dyDescent="0.3">
      <c r="A1" s="52"/>
      <c r="B1" s="52"/>
      <c r="C1" s="1"/>
      <c r="D1" s="1"/>
      <c r="E1" s="1"/>
      <c r="F1" s="1"/>
      <c r="H1" s="13"/>
      <c r="I1" s="52"/>
      <c r="J1" s="52"/>
      <c r="K1" s="52"/>
      <c r="L1" s="52"/>
      <c r="M1" s="52"/>
      <c r="N1" s="52"/>
    </row>
    <row r="2" spans="1:15" x14ac:dyDescent="0.3">
      <c r="A2" s="52" t="s">
        <v>62</v>
      </c>
      <c r="B2" s="68">
        <v>1000000000</v>
      </c>
      <c r="C2" s="1"/>
      <c r="D2" s="107"/>
      <c r="E2" s="107"/>
      <c r="F2" s="107"/>
      <c r="G2" s="107"/>
      <c r="K2" s="52"/>
      <c r="L2" s="52"/>
      <c r="M2" s="52"/>
      <c r="N2" s="52"/>
    </row>
    <row r="3" spans="1:15" x14ac:dyDescent="0.3">
      <c r="A3" s="52" t="s">
        <v>74</v>
      </c>
      <c r="B3" s="68">
        <f>Overview!A7</f>
        <v>100</v>
      </c>
      <c r="C3" s="1"/>
      <c r="D3" s="104"/>
      <c r="E3" s="104"/>
      <c r="F3" s="107"/>
      <c r="G3" s="104"/>
    </row>
    <row r="4" spans="1:15" x14ac:dyDescent="0.3">
      <c r="D4" s="107"/>
      <c r="E4" s="107"/>
      <c r="F4" s="107"/>
      <c r="G4" s="107"/>
    </row>
    <row r="5" spans="1:15" x14ac:dyDescent="0.3">
      <c r="A5" s="52"/>
      <c r="B5" s="52"/>
      <c r="C5" s="1" t="s">
        <v>82</v>
      </c>
    </row>
    <row r="6" spans="1:15" x14ac:dyDescent="0.3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</row>
    <row r="7" spans="1:15" x14ac:dyDescent="0.3">
      <c r="A7" s="58" t="s">
        <v>53</v>
      </c>
      <c r="B7" s="58" cm="1">
        <f t="array" ref="B7:B8">Overview!B11:B12</f>
        <v>1</v>
      </c>
      <c r="C7" s="82">
        <f>SUM(N15:N79)</f>
        <v>0.67999968584427595</v>
      </c>
      <c r="D7" s="82">
        <f>SUM(_xlfn.ANCHORARRAY(N87))*M79</f>
        <v>0.2400002180547936</v>
      </c>
      <c r="E7" s="98">
        <f>SUM(C7:D7)</f>
        <v>0.9199999038990696</v>
      </c>
      <c r="F7" s="74">
        <f>M79</f>
        <v>4.1738386809649711E-3</v>
      </c>
      <c r="G7" s="75">
        <f>1/F7</f>
        <v>239.58760183055395</v>
      </c>
      <c r="H7" s="95">
        <f>D7*G7</f>
        <v>57.501076682558015</v>
      </c>
      <c r="I7" s="104"/>
    </row>
    <row r="8" spans="1:15" x14ac:dyDescent="0.3">
      <c r="A8" s="58"/>
      <c r="B8" s="58">
        <v>75</v>
      </c>
      <c r="C8" s="82"/>
      <c r="D8" s="82"/>
      <c r="E8" s="98"/>
      <c r="F8" s="65"/>
      <c r="G8" s="75"/>
      <c r="H8" s="95"/>
    </row>
    <row r="9" spans="1:15" x14ac:dyDescent="0.3">
      <c r="A9" s="52"/>
      <c r="B9" s="52"/>
      <c r="C9" s="1"/>
      <c r="D9" s="106"/>
      <c r="E9" s="52"/>
      <c r="F9" s="1"/>
      <c r="H9" s="13"/>
      <c r="I9" s="52"/>
      <c r="J9" s="52"/>
      <c r="K9" s="52"/>
      <c r="L9" s="52"/>
      <c r="M9" s="52"/>
      <c r="N9" s="52"/>
    </row>
    <row r="10" spans="1:15" x14ac:dyDescent="0.3">
      <c r="A10" s="52"/>
      <c r="B10" s="52"/>
      <c r="C10" s="1"/>
      <c r="D10" s="1"/>
      <c r="E10" s="106"/>
      <c r="F10" s="1"/>
      <c r="H10" s="13"/>
      <c r="I10" s="52"/>
      <c r="J10" s="52"/>
      <c r="K10" s="52"/>
      <c r="L10" s="52"/>
      <c r="M10" s="52"/>
      <c r="N10" s="52"/>
    </row>
    <row r="11" spans="1:15" s="57" customFormat="1" x14ac:dyDescent="0.3">
      <c r="A11" s="205" t="s">
        <v>49</v>
      </c>
      <c r="B11" s="205"/>
      <c r="C11" s="205"/>
      <c r="D11" s="205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</row>
    <row r="12" spans="1:15" x14ac:dyDescent="0.3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</row>
    <row r="13" spans="1:15" x14ac:dyDescent="0.3">
      <c r="A13" s="70" t="s">
        <v>75</v>
      </c>
      <c r="B13" s="68">
        <f>Multiplier_Weight_Oldhand!B13</f>
        <v>1000000000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</row>
    <row r="14" spans="1:15" x14ac:dyDescent="0.3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1.1000000000000001</v>
      </c>
    </row>
    <row r="15" spans="1:15" x14ac:dyDescent="0.3">
      <c r="A15" s="64">
        <v>-1</v>
      </c>
      <c r="B15" s="64">
        <v>0</v>
      </c>
      <c r="C15" s="71" cm="1">
        <f t="array" ref="C15:D78">Multiplier_Weight_Oldhand!C15:D78</f>
        <v>711529928</v>
      </c>
      <c r="D15" s="71">
        <v>0</v>
      </c>
      <c r="E15" s="69" cm="1">
        <f t="array" ref="E15:E78">_xlfn.LET(_xlpm.x, C15:C78, _xlpm.x/SUM(_xlpm.x))</f>
        <v>0.71313897634092827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1</v>
      </c>
      <c r="J15" s="59" cm="1">
        <f t="array" ref="J15:J79">E15:E79*I15:I79</f>
        <v>0.71313897634092827</v>
      </c>
      <c r="K15" s="59" cm="1">
        <f t="array" ref="K15:K78">J15:J78/SUM(_xlfn.ANCHORARRAY(J15))</f>
        <v>0.72290741186125751</v>
      </c>
      <c r="L15" s="119" cm="1">
        <f t="array" ref="L15:L79">INT(K15:K79*$B$2)</f>
        <v>722907411</v>
      </c>
      <c r="M15" s="59" cm="1">
        <f t="array" ref="M15:M79">_xlfn.LET(_xlpm.x, L15:L79, _xlpm.x/SUM(_xlpm.x))</f>
        <v>0.72294875282443027</v>
      </c>
      <c r="N15" s="59" cm="1">
        <f t="array" ref="N15:N79">M15:M79*F15:F79</f>
        <v>0</v>
      </c>
      <c r="O15" s="51" cm="1">
        <f t="array" ref="O15:O78">I15:I78*O14</f>
        <v>1.1000000000000001</v>
      </c>
    </row>
    <row r="16" spans="1:15" x14ac:dyDescent="0.3">
      <c r="A16" s="58">
        <v>0</v>
      </c>
      <c r="B16" s="58">
        <v>1</v>
      </c>
      <c r="C16" s="72">
        <v>170765800</v>
      </c>
      <c r="D16" s="72">
        <v>7155857500</v>
      </c>
      <c r="E16" s="59">
        <v>0.17115196847495034</v>
      </c>
      <c r="F16" s="93">
        <v>0.41904511910464509</v>
      </c>
      <c r="G16" s="90"/>
      <c r="H16" s="61" t="str">
        <f t="shared" ref="H16:H78" si="0">"("&amp;$A16&amp;", "&amp;$B16&amp;"]"</f>
        <v>(0, 1]</v>
      </c>
      <c r="I16" s="62">
        <v>0.93</v>
      </c>
      <c r="J16" s="59">
        <v>0.15917133068170383</v>
      </c>
      <c r="K16" s="59">
        <v>0.16135162783560095</v>
      </c>
      <c r="L16" s="119">
        <v>161351627</v>
      </c>
      <c r="M16" s="59">
        <v>0.16136085442046003</v>
      </c>
      <c r="N16" s="59">
        <v>6.7617478459448974E-2</v>
      </c>
      <c r="O16" s="51">
        <v>1.0230000000000001</v>
      </c>
    </row>
    <row r="17" spans="1:15" x14ac:dyDescent="0.3">
      <c r="A17" s="58">
        <v>1</v>
      </c>
      <c r="B17" s="58">
        <v>2</v>
      </c>
      <c r="C17" s="72">
        <v>39160186</v>
      </c>
      <c r="D17" s="72">
        <v>5836620540</v>
      </c>
      <c r="E17" s="59">
        <v>3.9248742545317572E-2</v>
      </c>
      <c r="F17" s="93">
        <v>1.4904476041048427</v>
      </c>
      <c r="G17" s="90"/>
      <c r="H17" s="61" t="str">
        <f t="shared" si="0"/>
        <v>(1, 2]</v>
      </c>
      <c r="I17" s="62">
        <v>1.1499999999999999</v>
      </c>
      <c r="J17" s="59">
        <v>4.5136053927115206E-2</v>
      </c>
      <c r="K17" s="59">
        <v>4.5754318595092554E-2</v>
      </c>
      <c r="L17" s="119">
        <v>45754318</v>
      </c>
      <c r="M17" s="59">
        <v>4.5756934610305687E-2</v>
      </c>
      <c r="N17" s="59">
        <v>6.819831356111207E-2</v>
      </c>
      <c r="O17" s="51">
        <v>1.2649999999999999</v>
      </c>
    </row>
    <row r="18" spans="1:15" x14ac:dyDescent="0.3">
      <c r="A18" s="58">
        <v>2</v>
      </c>
      <c r="B18" s="58">
        <v>3</v>
      </c>
      <c r="C18" s="72">
        <v>17995242</v>
      </c>
      <c r="D18" s="72">
        <v>4540935295</v>
      </c>
      <c r="E18" s="59">
        <v>1.8035936302720466E-2</v>
      </c>
      <c r="F18" s="93">
        <v>2.5234088516286697</v>
      </c>
      <c r="G18" s="90"/>
      <c r="H18" s="61" t="str">
        <f t="shared" si="0"/>
        <v>(2, 3]</v>
      </c>
      <c r="I18" s="62">
        <v>1.19</v>
      </c>
      <c r="J18" s="59">
        <v>2.1462764200237353E-2</v>
      </c>
      <c r="K18" s="59">
        <v>2.1756756865248864E-2</v>
      </c>
      <c r="L18" s="119">
        <v>21756756</v>
      </c>
      <c r="M18" s="59">
        <v>2.1758000231243222E-2</v>
      </c>
      <c r="N18" s="59">
        <v>5.4904330377257789E-2</v>
      </c>
      <c r="O18" s="51">
        <v>1.3089999999999999</v>
      </c>
    </row>
    <row r="19" spans="1:15" x14ac:dyDescent="0.3">
      <c r="A19" s="58">
        <v>3</v>
      </c>
      <c r="B19" s="58">
        <v>4</v>
      </c>
      <c r="C19" s="72">
        <v>8813181</v>
      </c>
      <c r="D19" s="72">
        <v>3144768180</v>
      </c>
      <c r="E19" s="59">
        <v>8.8331110601539142E-3</v>
      </c>
      <c r="F19" s="93">
        <v>3.5682555254453532</v>
      </c>
      <c r="G19" s="90"/>
      <c r="H19" s="61" t="str">
        <f t="shared" si="0"/>
        <v>(3, 4]</v>
      </c>
      <c r="I19" s="62">
        <v>0.95</v>
      </c>
      <c r="J19" s="59">
        <v>8.3914555071462182E-3</v>
      </c>
      <c r="K19" s="59">
        <v>8.506399991689553E-3</v>
      </c>
      <c r="L19" s="119">
        <v>8506399</v>
      </c>
      <c r="M19" s="59">
        <v>8.5068854662453865E-3</v>
      </c>
      <c r="N19" s="59">
        <v>3.0354741069260869E-2</v>
      </c>
      <c r="O19" s="51">
        <v>1.0449999999999999</v>
      </c>
    </row>
    <row r="20" spans="1:15" x14ac:dyDescent="0.3">
      <c r="A20" s="58">
        <v>4</v>
      </c>
      <c r="B20" s="58">
        <v>5</v>
      </c>
      <c r="C20" s="72">
        <v>5967716</v>
      </c>
      <c r="D20" s="72">
        <v>2740547905</v>
      </c>
      <c r="E20" s="59">
        <v>5.9812113473509147E-3</v>
      </c>
      <c r="F20" s="93">
        <v>4.592289420274021</v>
      </c>
      <c r="G20" s="90"/>
      <c r="H20" s="61" t="str">
        <f t="shared" si="0"/>
        <v>(4, 5]</v>
      </c>
      <c r="I20" s="62">
        <v>1.1000000000000001</v>
      </c>
      <c r="J20" s="59">
        <v>6.5793324820860068E-3</v>
      </c>
      <c r="K20" s="59">
        <v>6.6694548667126739E-3</v>
      </c>
      <c r="L20" s="119">
        <v>6669454</v>
      </c>
      <c r="M20" s="59">
        <v>6.6698354145381805E-3</v>
      </c>
      <c r="N20" s="59">
        <v>3.0629814609152674E-2</v>
      </c>
      <c r="O20" s="51">
        <v>1.2100000000000002</v>
      </c>
    </row>
    <row r="21" spans="1:15" x14ac:dyDescent="0.3">
      <c r="A21" s="58">
        <v>5</v>
      </c>
      <c r="B21" s="58">
        <v>6</v>
      </c>
      <c r="C21" s="72">
        <v>4588075</v>
      </c>
      <c r="D21" s="72">
        <v>2565747500</v>
      </c>
      <c r="E21" s="59">
        <v>4.5984504377381639E-3</v>
      </c>
      <c r="F21" s="93">
        <v>5.5922091508966174</v>
      </c>
      <c r="G21" s="90"/>
      <c r="H21" s="61" t="str">
        <f t="shared" si="0"/>
        <v>(5, 6]</v>
      </c>
      <c r="I21" s="62">
        <v>1.17</v>
      </c>
      <c r="J21" s="59">
        <v>5.3801870121536512E-3</v>
      </c>
      <c r="K21" s="59">
        <v>5.4538837412052557E-3</v>
      </c>
      <c r="L21" s="119">
        <v>5453883</v>
      </c>
      <c r="M21" s="59">
        <v>5.4541948981352501E-3</v>
      </c>
      <c r="N21" s="59">
        <v>3.0500998620125591E-2</v>
      </c>
      <c r="O21" s="51">
        <v>1.2869999999999999</v>
      </c>
    </row>
    <row r="22" spans="1:15" x14ac:dyDescent="0.3">
      <c r="A22" s="58">
        <v>6</v>
      </c>
      <c r="B22" s="58">
        <v>7</v>
      </c>
      <c r="C22" s="72">
        <v>2981105</v>
      </c>
      <c r="D22" s="72">
        <v>1957208220</v>
      </c>
      <c r="E22" s="59">
        <v>2.9878464480622984E-3</v>
      </c>
      <c r="F22" s="93">
        <v>6.5653783412526563</v>
      </c>
      <c r="G22" s="90"/>
      <c r="H22" s="61" t="str">
        <f t="shared" si="0"/>
        <v>(6, 7]</v>
      </c>
      <c r="I22" s="62">
        <v>1.1000000000000001</v>
      </c>
      <c r="J22" s="59">
        <v>3.2866310928685283E-3</v>
      </c>
      <c r="K22" s="59">
        <v>3.3316507103272816E-3</v>
      </c>
      <c r="L22" s="119">
        <v>3331650</v>
      </c>
      <c r="M22" s="59">
        <v>3.3318405313007824E-3</v>
      </c>
      <c r="N22" s="59">
        <v>2.18747936607099E-2</v>
      </c>
      <c r="O22" s="51">
        <v>1.2100000000000002</v>
      </c>
    </row>
    <row r="23" spans="1:15" x14ac:dyDescent="0.3">
      <c r="A23" s="58">
        <v>7</v>
      </c>
      <c r="B23" s="58">
        <v>8</v>
      </c>
      <c r="C23" s="72">
        <v>3079054</v>
      </c>
      <c r="D23" s="72">
        <v>2346593790</v>
      </c>
      <c r="E23" s="59">
        <v>3.0860169491822706E-3</v>
      </c>
      <c r="F23" s="93">
        <v>7.6211517888286471</v>
      </c>
      <c r="G23" s="90"/>
      <c r="H23" s="61" t="str">
        <f t="shared" si="0"/>
        <v>(7, 8]</v>
      </c>
      <c r="I23" s="62">
        <v>0.9</v>
      </c>
      <c r="J23" s="59">
        <v>2.7774152542640435E-3</v>
      </c>
      <c r="K23" s="59">
        <v>2.8154597346872908E-3</v>
      </c>
      <c r="L23" s="119">
        <v>2815459</v>
      </c>
      <c r="M23" s="59">
        <v>2.8156200112303422E-3</v>
      </c>
      <c r="N23" s="59">
        <v>2.1458267485249857E-2</v>
      </c>
      <c r="O23" s="51">
        <v>0.9900000000000001</v>
      </c>
    </row>
    <row r="24" spans="1:15" x14ac:dyDescent="0.3">
      <c r="A24" s="58">
        <v>8</v>
      </c>
      <c r="B24" s="58">
        <v>9</v>
      </c>
      <c r="C24" s="72">
        <v>2276732</v>
      </c>
      <c r="D24" s="72">
        <v>1957651370</v>
      </c>
      <c r="E24" s="59">
        <v>2.2818805843436486E-3</v>
      </c>
      <c r="F24" s="93">
        <v>8.5985147571167797</v>
      </c>
      <c r="G24" s="90"/>
      <c r="H24" s="61" t="str">
        <f t="shared" si="0"/>
        <v>(8, 9]</v>
      </c>
      <c r="I24" s="62">
        <v>1.1000000000000001</v>
      </c>
      <c r="J24" s="59">
        <v>2.5100686427780138E-3</v>
      </c>
      <c r="K24" s="59">
        <v>2.5444510626176711E-3</v>
      </c>
      <c r="L24" s="119">
        <v>2544451</v>
      </c>
      <c r="M24" s="59">
        <v>2.5445965127515817E-3</v>
      </c>
      <c r="N24" s="59">
        <v>2.1879750665802371E-2</v>
      </c>
      <c r="O24" s="51">
        <v>1.2100000000000002</v>
      </c>
    </row>
    <row r="25" spans="1:15" x14ac:dyDescent="0.3">
      <c r="A25" s="58">
        <v>9</v>
      </c>
      <c r="B25" s="58">
        <v>10</v>
      </c>
      <c r="C25" s="72">
        <v>2032718</v>
      </c>
      <c r="D25" s="72">
        <v>1959914600</v>
      </c>
      <c r="E25" s="59">
        <v>2.0373147729490573E-3</v>
      </c>
      <c r="F25" s="93">
        <v>9.6418421050042351</v>
      </c>
      <c r="G25" s="90"/>
      <c r="H25" s="61" t="str">
        <f t="shared" si="0"/>
        <v>(9, 10]</v>
      </c>
      <c r="I25" s="62">
        <v>1.1000000000000001</v>
      </c>
      <c r="J25" s="59">
        <v>2.2410462502439631E-3</v>
      </c>
      <c r="K25" s="59">
        <v>2.271743654985333E-3</v>
      </c>
      <c r="L25" s="119">
        <v>2271743</v>
      </c>
      <c r="M25" s="59">
        <v>2.2718729170527617E-3</v>
      </c>
      <c r="N25" s="59">
        <v>2.1905039948858111E-2</v>
      </c>
      <c r="O25" s="51">
        <v>1.2100000000000002</v>
      </c>
    </row>
    <row r="26" spans="1:15" x14ac:dyDescent="0.3">
      <c r="A26" s="58">
        <v>10</v>
      </c>
      <c r="B26" s="58">
        <v>15</v>
      </c>
      <c r="C26" s="72">
        <v>6889116</v>
      </c>
      <c r="D26" s="72">
        <v>8548091680</v>
      </c>
      <c r="E26" s="59">
        <v>6.9046949942686182E-3</v>
      </c>
      <c r="F26" s="93">
        <v>12.408111113240073</v>
      </c>
      <c r="G26" s="101">
        <f>SUM($L$15:L25)-1000</f>
        <v>983362151</v>
      </c>
      <c r="H26" s="61" t="str">
        <f t="shared" si="0"/>
        <v>(10, 15]</v>
      </c>
      <c r="I26" s="62">
        <v>0.432</v>
      </c>
      <c r="J26" s="59">
        <v>2.9828282375240428E-3</v>
      </c>
      <c r="K26" s="59">
        <v>3.0236864240390667E-3</v>
      </c>
      <c r="L26" s="119">
        <v>3023686</v>
      </c>
      <c r="M26" s="59">
        <v>3.0238589193723043E-3</v>
      </c>
      <c r="N26" s="59">
        <v>3.7520377462333609E-2</v>
      </c>
      <c r="O26" s="51">
        <v>0.47520000000000001</v>
      </c>
    </row>
    <row r="27" spans="1:15" x14ac:dyDescent="0.3">
      <c r="A27" s="58">
        <v>15</v>
      </c>
      <c r="B27" s="58">
        <v>20</v>
      </c>
      <c r="C27" s="72">
        <v>4433090</v>
      </c>
      <c r="D27" s="72">
        <v>7740661305</v>
      </c>
      <c r="E27" s="59">
        <v>4.4431149558437208E-3</v>
      </c>
      <c r="F27" s="93">
        <v>17.461096672975284</v>
      </c>
      <c r="G27" s="101">
        <f>SUM($L$15:L26)-1000</f>
        <v>986385837</v>
      </c>
      <c r="H27" s="115" t="str">
        <f t="shared" si="0"/>
        <v>(15, 20]</v>
      </c>
      <c r="I27" s="62">
        <v>0.88019999999999998</v>
      </c>
      <c r="J27" s="59">
        <v>3.9108297841336428E-3</v>
      </c>
      <c r="K27" s="59">
        <v>3.9643995508196654E-3</v>
      </c>
      <c r="L27" s="119">
        <v>3964399</v>
      </c>
      <c r="M27" s="59">
        <v>3.9646257171216332E-3</v>
      </c>
      <c r="N27" s="59">
        <v>6.9226712918824804E-2</v>
      </c>
      <c r="O27" s="51">
        <v>0.96822000000000008</v>
      </c>
    </row>
    <row r="28" spans="1:15" x14ac:dyDescent="0.3">
      <c r="A28" s="58">
        <v>20</v>
      </c>
      <c r="B28" s="58">
        <v>25</v>
      </c>
      <c r="C28" s="72">
        <v>2968477</v>
      </c>
      <c r="D28" s="72">
        <v>6681354435</v>
      </c>
      <c r="E28" s="59">
        <v>2.9751898911996146E-3</v>
      </c>
      <c r="F28" s="93">
        <v>22.507684698247623</v>
      </c>
      <c r="G28" s="101">
        <f>SUM($L$15:L27)-1000</f>
        <v>990350236</v>
      </c>
      <c r="H28" s="61" t="str">
        <f t="shared" si="0"/>
        <v>(20, 25]</v>
      </c>
      <c r="I28" s="62">
        <v>0.54900000000000004</v>
      </c>
      <c r="J28" s="59">
        <v>1.6333792502685885E-3</v>
      </c>
      <c r="K28" s="59">
        <v>1.6557529535940741E-3</v>
      </c>
      <c r="L28" s="119">
        <v>1655752</v>
      </c>
      <c r="M28" s="59">
        <v>1.6558466895929445E-3</v>
      </c>
      <c r="N28" s="59">
        <v>3.7269275197995097E-2</v>
      </c>
      <c r="O28" s="51">
        <v>0.6039000000000001</v>
      </c>
    </row>
    <row r="29" spans="1:15" x14ac:dyDescent="0.3">
      <c r="A29" s="58">
        <v>25</v>
      </c>
      <c r="B29" s="58">
        <v>30</v>
      </c>
      <c r="C29" s="72">
        <v>2276941</v>
      </c>
      <c r="D29" s="72">
        <v>6265204430</v>
      </c>
      <c r="E29" s="59">
        <v>2.2820900569746512E-3</v>
      </c>
      <c r="F29" s="93">
        <v>27.515883942535183</v>
      </c>
      <c r="G29" s="101">
        <f>SUM($L$15:L28)-1000</f>
        <v>992005988</v>
      </c>
      <c r="H29" s="61" t="str">
        <f t="shared" si="0"/>
        <v>(25, 30]</v>
      </c>
      <c r="I29" s="62">
        <v>0.28999999999999998</v>
      </c>
      <c r="J29" s="59">
        <v>6.6180611652264876E-4</v>
      </c>
      <c r="K29" s="59">
        <v>6.7087140476335258E-4</v>
      </c>
      <c r="L29" s="119">
        <v>670871</v>
      </c>
      <c r="M29" s="59">
        <v>6.70909365952092E-4</v>
      </c>
      <c r="N29" s="59">
        <v>1.8460664249497629E-2</v>
      </c>
      <c r="O29" s="51">
        <v>0.31900000000000001</v>
      </c>
    </row>
    <row r="30" spans="1:15" x14ac:dyDescent="0.3">
      <c r="A30" s="58">
        <v>30</v>
      </c>
      <c r="B30" s="58">
        <v>35</v>
      </c>
      <c r="C30" s="72">
        <v>1643818</v>
      </c>
      <c r="D30" s="72">
        <v>5344731840</v>
      </c>
      <c r="E30" s="59">
        <v>1.6475353174614351E-3</v>
      </c>
      <c r="F30" s="93">
        <v>32.514133803133923</v>
      </c>
      <c r="G30" s="101">
        <f>SUM($L$15:L29)-1000</f>
        <v>992676859</v>
      </c>
      <c r="H30" s="61" t="str">
        <f t="shared" si="0"/>
        <v>(30, 35]</v>
      </c>
      <c r="I30" s="62">
        <v>0.34</v>
      </c>
      <c r="J30" s="59">
        <v>5.6016200793688792E-4</v>
      </c>
      <c r="K30" s="59">
        <v>5.6783499544283756E-4</v>
      </c>
      <c r="L30" s="119">
        <v>567834</v>
      </c>
      <c r="M30" s="59">
        <v>5.6786647344428387E-4</v>
      </c>
      <c r="N30" s="59">
        <v>1.8463686499881244E-2</v>
      </c>
      <c r="O30" s="51">
        <v>0.37400000000000005</v>
      </c>
    </row>
    <row r="31" spans="1:15" x14ac:dyDescent="0.3">
      <c r="A31" s="58">
        <v>35</v>
      </c>
      <c r="B31" s="58">
        <v>40</v>
      </c>
      <c r="C31" s="72">
        <v>1366895</v>
      </c>
      <c r="D31" s="72">
        <v>5130263290</v>
      </c>
      <c r="E31" s="59">
        <v>1.3699860859057683E-3</v>
      </c>
      <c r="F31" s="93">
        <v>37.532241247498888</v>
      </c>
      <c r="G31" s="101">
        <f>SUM($L$15:L30)-1000</f>
        <v>993244693</v>
      </c>
      <c r="H31" s="115" t="str">
        <f t="shared" si="0"/>
        <v>(35, 40]</v>
      </c>
      <c r="I31" s="62">
        <v>0.7</v>
      </c>
      <c r="J31" s="59">
        <v>9.5899026013403774E-4</v>
      </c>
      <c r="K31" s="59">
        <v>9.7212631752471477E-4</v>
      </c>
      <c r="L31" s="119">
        <v>972126</v>
      </c>
      <c r="M31" s="59">
        <v>9.7218159420446463E-4</v>
      </c>
      <c r="N31" s="59">
        <v>3.6488154130060034E-2</v>
      </c>
      <c r="O31" s="51">
        <v>0.77</v>
      </c>
    </row>
    <row r="32" spans="1:15" x14ac:dyDescent="0.3">
      <c r="A32" s="58">
        <v>40</v>
      </c>
      <c r="B32" s="58">
        <v>45</v>
      </c>
      <c r="C32" s="72">
        <v>1095439</v>
      </c>
      <c r="D32" s="72">
        <v>4665871255</v>
      </c>
      <c r="E32" s="59">
        <v>1.0979162173821171E-3</v>
      </c>
      <c r="F32" s="93">
        <v>42.59362004639236</v>
      </c>
      <c r="G32" s="101">
        <f>SUM($L$15:L31)-1000</f>
        <v>994216819</v>
      </c>
      <c r="H32" s="61" t="str">
        <f t="shared" si="0"/>
        <v>(40, 45]</v>
      </c>
      <c r="I32" s="62">
        <v>0.2</v>
      </c>
      <c r="J32" s="59">
        <v>2.1958324347642343E-4</v>
      </c>
      <c r="K32" s="59">
        <v>2.2259105096753825E-4</v>
      </c>
      <c r="L32" s="119">
        <v>222591</v>
      </c>
      <c r="M32" s="59">
        <v>2.2260372959427685E-4</v>
      </c>
      <c r="N32" s="59">
        <v>9.4814986792484939E-3</v>
      </c>
      <c r="O32" s="51">
        <v>0.22000000000000003</v>
      </c>
    </row>
    <row r="33" spans="1:15" x14ac:dyDescent="0.3">
      <c r="A33" s="58">
        <v>45</v>
      </c>
      <c r="B33" s="58">
        <v>50</v>
      </c>
      <c r="C33" s="72">
        <v>870009</v>
      </c>
      <c r="D33" s="72">
        <v>4140550785</v>
      </c>
      <c r="E33" s="59">
        <v>8.7197643170308734E-4</v>
      </c>
      <c r="F33" s="93">
        <v>47.592045427116275</v>
      </c>
      <c r="G33" s="101">
        <f>SUM($L$15:L32)-1000</f>
        <v>994439410</v>
      </c>
      <c r="H33" s="61" t="str">
        <f t="shared" si="0"/>
        <v>(45, 50]</v>
      </c>
      <c r="I33" s="62">
        <v>0.24</v>
      </c>
      <c r="J33" s="59">
        <v>2.0927434360874095E-4</v>
      </c>
      <c r="K33" s="59">
        <v>2.121409418447402E-4</v>
      </c>
      <c r="L33" s="119">
        <v>212140</v>
      </c>
      <c r="M33" s="59">
        <v>2.1215213191966382E-4</v>
      </c>
      <c r="N33" s="59">
        <v>1.0096753899780205E-2</v>
      </c>
      <c r="O33" s="51">
        <v>0.26400000000000001</v>
      </c>
    </row>
    <row r="34" spans="1:15" x14ac:dyDescent="0.3">
      <c r="A34" s="58">
        <v>50</v>
      </c>
      <c r="B34" s="58">
        <v>60</v>
      </c>
      <c r="C34" s="72">
        <v>1399811</v>
      </c>
      <c r="D34" s="72">
        <v>7676767230</v>
      </c>
      <c r="E34" s="59">
        <v>1.40297652189659E-3</v>
      </c>
      <c r="F34" s="93">
        <v>54.841455239314449</v>
      </c>
      <c r="G34" s="101">
        <f>SUM($L$15:L33)-1000</f>
        <v>994651550</v>
      </c>
      <c r="H34" s="115" t="str">
        <f t="shared" si="0"/>
        <v>(50, 60]</v>
      </c>
      <c r="I34" s="62">
        <v>0.43789299999999998</v>
      </c>
      <c r="J34" s="59">
        <v>6.1435359810286345E-4</v>
      </c>
      <c r="K34" s="59">
        <v>6.2276889120679987E-4</v>
      </c>
      <c r="L34" s="119">
        <v>622768</v>
      </c>
      <c r="M34" s="59">
        <v>6.2280361502472517E-4</v>
      </c>
      <c r="N34" s="59">
        <v>3.4155456576261692E-2</v>
      </c>
      <c r="O34" s="51">
        <v>0.48168230000000001</v>
      </c>
    </row>
    <row r="35" spans="1:15" x14ac:dyDescent="0.3">
      <c r="A35" s="58">
        <v>60</v>
      </c>
      <c r="B35" s="58">
        <v>70</v>
      </c>
      <c r="C35" s="72">
        <v>989448</v>
      </c>
      <c r="D35" s="72">
        <v>6424961185</v>
      </c>
      <c r="E35" s="59">
        <v>9.9168553014481039E-4</v>
      </c>
      <c r="F35" s="93">
        <v>64.934803900760826</v>
      </c>
      <c r="G35" s="90"/>
      <c r="H35" s="61" t="str">
        <f t="shared" si="0"/>
        <v>(60, 70]</v>
      </c>
      <c r="I35" s="62">
        <v>0.15</v>
      </c>
      <c r="J35" s="59">
        <v>1.4875282952172156E-4</v>
      </c>
      <c r="K35" s="59">
        <v>1.5079041612385224E-4</v>
      </c>
      <c r="L35" s="119">
        <v>150790</v>
      </c>
      <c r="M35" s="59">
        <v>1.5079862341928023E-4</v>
      </c>
      <c r="N35" s="59">
        <v>9.7920790402356416E-3</v>
      </c>
      <c r="O35" s="51">
        <v>0.16500000000000001</v>
      </c>
    </row>
    <row r="36" spans="1:15" x14ac:dyDescent="0.3">
      <c r="A36" s="58">
        <v>70</v>
      </c>
      <c r="B36" s="58">
        <v>80</v>
      </c>
      <c r="C36" s="72">
        <v>751643</v>
      </c>
      <c r="D36" s="72">
        <v>5635089920</v>
      </c>
      <c r="E36" s="59">
        <v>7.5334275973536332E-4</v>
      </c>
      <c r="F36" s="93">
        <v>74.970297335304124</v>
      </c>
      <c r="G36" s="90"/>
      <c r="H36" s="61" t="str">
        <f t="shared" si="0"/>
        <v>(70, 80]</v>
      </c>
      <c r="I36" s="62">
        <v>0.17</v>
      </c>
      <c r="J36" s="59">
        <v>1.2806826915501176E-4</v>
      </c>
      <c r="K36" s="59">
        <v>1.298225227730931E-4</v>
      </c>
      <c r="L36" s="119">
        <v>129822</v>
      </c>
      <c r="M36" s="59">
        <v>1.2982942429562834E-4</v>
      </c>
      <c r="N36" s="59">
        <v>9.7333505423146133E-3</v>
      </c>
      <c r="O36" s="51">
        <v>0.18700000000000003</v>
      </c>
    </row>
    <row r="37" spans="1:15" x14ac:dyDescent="0.3">
      <c r="A37" s="58">
        <v>80</v>
      </c>
      <c r="B37" s="58">
        <v>90</v>
      </c>
      <c r="C37" s="72">
        <v>580230</v>
      </c>
      <c r="D37" s="72">
        <v>4930863345</v>
      </c>
      <c r="E37" s="59">
        <v>5.8154212768727958E-4</v>
      </c>
      <c r="F37" s="93">
        <v>84.981185822863353</v>
      </c>
      <c r="G37" s="90"/>
      <c r="H37" s="61" t="str">
        <f t="shared" si="0"/>
        <v>(80, 90]</v>
      </c>
      <c r="I37" s="62">
        <v>0.19</v>
      </c>
      <c r="J37" s="59">
        <v>1.1049300426058313E-4</v>
      </c>
      <c r="K37" s="59">
        <v>1.1200651540409826E-4</v>
      </c>
      <c r="L37" s="119">
        <v>112006</v>
      </c>
      <c r="M37" s="59">
        <v>1.1201240542940448E-4</v>
      </c>
      <c r="N37" s="59">
        <v>9.5189470402621303E-3</v>
      </c>
      <c r="O37" s="51">
        <v>0.20900000000000002</v>
      </c>
    </row>
    <row r="38" spans="1:15" x14ac:dyDescent="0.3">
      <c r="A38" s="58">
        <v>90</v>
      </c>
      <c r="B38" s="58">
        <v>100</v>
      </c>
      <c r="C38" s="72">
        <v>453118</v>
      </c>
      <c r="D38" s="72">
        <v>4304879505</v>
      </c>
      <c r="E38" s="59">
        <v>4.5414267758200151E-4</v>
      </c>
      <c r="F38" s="93">
        <v>95.005705026063836</v>
      </c>
      <c r="G38" s="90"/>
      <c r="H38" s="61" t="str">
        <f t="shared" si="0"/>
        <v>(90, 100]</v>
      </c>
      <c r="I38" s="62">
        <v>0.22</v>
      </c>
      <c r="J38" s="59">
        <v>9.9911389068040331E-5</v>
      </c>
      <c r="K38" s="59">
        <v>1.0127995535629085E-4</v>
      </c>
      <c r="L38" s="119">
        <v>101279</v>
      </c>
      <c r="M38" s="59">
        <v>1.0128479197082886E-4</v>
      </c>
      <c r="N38" s="59">
        <v>9.6226330696068049E-3</v>
      </c>
      <c r="O38" s="51">
        <v>0.24200000000000002</v>
      </c>
    </row>
    <row r="39" spans="1:15" x14ac:dyDescent="0.3">
      <c r="A39" s="58">
        <v>100</v>
      </c>
      <c r="B39" s="58">
        <v>120</v>
      </c>
      <c r="C39" s="72">
        <v>690338</v>
      </c>
      <c r="D39" s="72">
        <v>7554624580</v>
      </c>
      <c r="E39" s="59">
        <v>6.9189912507691979E-4</v>
      </c>
      <c r="F39" s="93">
        <v>109.43370609759276</v>
      </c>
      <c r="G39" s="90"/>
      <c r="H39" s="61" t="str">
        <f t="shared" si="0"/>
        <v>(100, 120]</v>
      </c>
      <c r="I39" s="62">
        <v>0</v>
      </c>
      <c r="J39" s="59">
        <v>0</v>
      </c>
      <c r="K39" s="59">
        <v>0</v>
      </c>
      <c r="L39" s="119">
        <v>0</v>
      </c>
      <c r="M39" s="59">
        <v>0</v>
      </c>
      <c r="N39" s="59">
        <v>0</v>
      </c>
      <c r="O39" s="51">
        <v>0</v>
      </c>
    </row>
    <row r="40" spans="1:15" x14ac:dyDescent="0.3">
      <c r="A40" s="58">
        <v>120</v>
      </c>
      <c r="B40" s="58">
        <v>140</v>
      </c>
      <c r="C40" s="72">
        <v>464085</v>
      </c>
      <c r="D40" s="72">
        <v>6016167965</v>
      </c>
      <c r="E40" s="59">
        <v>4.6513447827198031E-4</v>
      </c>
      <c r="F40" s="93">
        <v>129.63504455002854</v>
      </c>
      <c r="G40" s="90"/>
      <c r="H40" s="61" t="str">
        <f t="shared" si="0"/>
        <v>(120, 140]</v>
      </c>
      <c r="I40" s="62">
        <v>0</v>
      </c>
      <c r="J40" s="59">
        <v>0</v>
      </c>
      <c r="K40" s="59">
        <v>0</v>
      </c>
      <c r="L40" s="119">
        <v>0</v>
      </c>
      <c r="M40" s="59">
        <v>0</v>
      </c>
      <c r="N40" s="59">
        <v>0</v>
      </c>
      <c r="O40" s="51">
        <v>0</v>
      </c>
    </row>
    <row r="41" spans="1:15" x14ac:dyDescent="0.3">
      <c r="A41" s="58">
        <v>140</v>
      </c>
      <c r="B41" s="58">
        <v>160</v>
      </c>
      <c r="C41" s="72">
        <v>337004</v>
      </c>
      <c r="D41" s="72">
        <v>5047742710</v>
      </c>
      <c r="E41" s="59">
        <v>3.3776609826986531E-4</v>
      </c>
      <c r="F41" s="93">
        <v>149.78287231012095</v>
      </c>
      <c r="G41" s="90"/>
      <c r="H41" s="61" t="str">
        <f t="shared" si="0"/>
        <v>(140, 160]</v>
      </c>
      <c r="I41" s="62">
        <v>0</v>
      </c>
      <c r="J41" s="59">
        <v>0</v>
      </c>
      <c r="K41" s="59">
        <v>0</v>
      </c>
      <c r="L41" s="119">
        <v>0</v>
      </c>
      <c r="M41" s="59">
        <v>0</v>
      </c>
      <c r="N41" s="59">
        <v>0</v>
      </c>
      <c r="O41" s="51">
        <v>0</v>
      </c>
    </row>
    <row r="42" spans="1:15" x14ac:dyDescent="0.3">
      <c r="A42" s="58">
        <v>160</v>
      </c>
      <c r="B42" s="58">
        <v>180</v>
      </c>
      <c r="C42" s="72">
        <v>247756</v>
      </c>
      <c r="D42" s="72">
        <v>4204937895</v>
      </c>
      <c r="E42" s="59">
        <v>2.4831627352479125E-4</v>
      </c>
      <c r="F42" s="93">
        <v>169.72093087553884</v>
      </c>
      <c r="G42" s="90"/>
      <c r="H42" s="61" t="str">
        <f t="shared" si="0"/>
        <v>(160, 180]</v>
      </c>
      <c r="I42" s="62">
        <v>0</v>
      </c>
      <c r="J42" s="59">
        <v>0</v>
      </c>
      <c r="K42" s="59">
        <v>0</v>
      </c>
      <c r="L42" s="119">
        <v>0</v>
      </c>
      <c r="M42" s="59">
        <v>0</v>
      </c>
      <c r="N42" s="59">
        <v>0</v>
      </c>
      <c r="O42" s="51">
        <v>0</v>
      </c>
    </row>
    <row r="43" spans="1:15" x14ac:dyDescent="0.3">
      <c r="A43" s="58">
        <v>180</v>
      </c>
      <c r="B43" s="58">
        <v>200</v>
      </c>
      <c r="C43" s="72">
        <v>183724</v>
      </c>
      <c r="D43" s="72">
        <v>3486545350</v>
      </c>
      <c r="E43" s="59">
        <v>1.8413947204939032E-4</v>
      </c>
      <c r="F43" s="93">
        <v>189.77081655091334</v>
      </c>
      <c r="G43" s="90"/>
      <c r="H43" s="61" t="str">
        <f t="shared" si="0"/>
        <v>(180, 200]</v>
      </c>
      <c r="I43" s="62">
        <v>0</v>
      </c>
      <c r="J43" s="59">
        <v>0</v>
      </c>
      <c r="K43" s="59">
        <v>0</v>
      </c>
      <c r="L43" s="119">
        <v>0</v>
      </c>
      <c r="M43" s="59">
        <v>0</v>
      </c>
      <c r="N43" s="59">
        <v>0</v>
      </c>
      <c r="O43" s="51">
        <v>0</v>
      </c>
    </row>
    <row r="44" spans="1:15" x14ac:dyDescent="0.3">
      <c r="A44" s="58">
        <v>200</v>
      </c>
      <c r="B44" s="58">
        <v>250</v>
      </c>
      <c r="C44" s="72">
        <v>309801</v>
      </c>
      <c r="D44" s="72">
        <v>6896112120</v>
      </c>
      <c r="E44" s="59">
        <v>3.1050158161357889E-4</v>
      </c>
      <c r="F44" s="93">
        <v>222.59812331141603</v>
      </c>
      <c r="G44" s="90"/>
      <c r="H44" s="61" t="str">
        <f t="shared" si="0"/>
        <v>(200, 250]</v>
      </c>
      <c r="I44" s="62">
        <v>0</v>
      </c>
      <c r="J44" s="59">
        <v>0</v>
      </c>
      <c r="K44" s="59">
        <v>0</v>
      </c>
      <c r="L44" s="119">
        <v>0</v>
      </c>
      <c r="M44" s="59">
        <v>0</v>
      </c>
      <c r="N44" s="59">
        <v>0</v>
      </c>
      <c r="O44" s="51">
        <v>0</v>
      </c>
    </row>
    <row r="45" spans="1:15" x14ac:dyDescent="0.3">
      <c r="A45" s="58">
        <v>250</v>
      </c>
      <c r="B45" s="58">
        <v>300</v>
      </c>
      <c r="C45" s="72">
        <v>182313</v>
      </c>
      <c r="D45" s="72">
        <v>4972314355</v>
      </c>
      <c r="E45" s="59">
        <v>1.8272528122477465E-4</v>
      </c>
      <c r="F45" s="93">
        <v>272.73504111061743</v>
      </c>
      <c r="G45" s="90"/>
      <c r="H45" s="61" t="str">
        <f t="shared" si="0"/>
        <v>(250, 300]</v>
      </c>
      <c r="I45" s="62">
        <v>0</v>
      </c>
      <c r="J45" s="59">
        <v>0</v>
      </c>
      <c r="K45" s="59">
        <v>0</v>
      </c>
      <c r="L45" s="119">
        <v>0</v>
      </c>
      <c r="M45" s="59">
        <v>0</v>
      </c>
      <c r="N45" s="59">
        <v>0</v>
      </c>
      <c r="O45" s="51">
        <v>0</v>
      </c>
    </row>
    <row r="46" spans="1:15" x14ac:dyDescent="0.3">
      <c r="A46" s="58">
        <v>300</v>
      </c>
      <c r="B46" s="58">
        <v>350</v>
      </c>
      <c r="C46" s="72">
        <v>113071</v>
      </c>
      <c r="D46" s="72">
        <v>3654775350</v>
      </c>
      <c r="E46" s="59">
        <v>1.1332669789519395E-4</v>
      </c>
      <c r="F46" s="93">
        <v>323.22835651935509</v>
      </c>
      <c r="G46" s="90"/>
      <c r="H46" s="61" t="str">
        <f t="shared" si="0"/>
        <v>(300, 350]</v>
      </c>
      <c r="I46" s="62">
        <v>0</v>
      </c>
      <c r="J46" s="59">
        <v>0</v>
      </c>
      <c r="K46" s="59">
        <v>0</v>
      </c>
      <c r="L46" s="119">
        <v>0</v>
      </c>
      <c r="M46" s="59">
        <v>0</v>
      </c>
      <c r="N46" s="59">
        <v>0</v>
      </c>
      <c r="O46" s="51">
        <v>0</v>
      </c>
    </row>
    <row r="47" spans="1:15" x14ac:dyDescent="0.3">
      <c r="A47" s="58">
        <v>350</v>
      </c>
      <c r="B47" s="58">
        <v>400</v>
      </c>
      <c r="C47" s="72">
        <v>74664</v>
      </c>
      <c r="D47" s="72">
        <v>2788064655</v>
      </c>
      <c r="E47" s="59">
        <v>7.4832844598940148E-5</v>
      </c>
      <c r="F47" s="93">
        <v>373.4148525393764</v>
      </c>
      <c r="G47" s="90"/>
      <c r="H47" s="61" t="str">
        <f t="shared" si="0"/>
        <v>(350, 400]</v>
      </c>
      <c r="I47" s="62">
        <v>0</v>
      </c>
      <c r="J47" s="59">
        <v>0</v>
      </c>
      <c r="K47" s="59">
        <v>0</v>
      </c>
      <c r="L47" s="119">
        <v>0</v>
      </c>
      <c r="M47" s="59">
        <v>0</v>
      </c>
      <c r="N47" s="59">
        <v>0</v>
      </c>
      <c r="O47" s="51">
        <v>0</v>
      </c>
    </row>
    <row r="48" spans="1:15" x14ac:dyDescent="0.3">
      <c r="A48" s="58">
        <v>400</v>
      </c>
      <c r="B48" s="58">
        <v>450</v>
      </c>
      <c r="C48" s="72">
        <v>53848</v>
      </c>
      <c r="D48" s="72">
        <v>2278490765</v>
      </c>
      <c r="E48" s="59">
        <v>5.3969771455637644E-5</v>
      </c>
      <c r="F48" s="93">
        <v>423.13377748477194</v>
      </c>
      <c r="G48" s="90"/>
      <c r="H48" s="61" t="str">
        <f t="shared" si="0"/>
        <v>(400, 450]</v>
      </c>
      <c r="I48" s="62">
        <v>0</v>
      </c>
      <c r="J48" s="59">
        <v>0</v>
      </c>
      <c r="K48" s="59">
        <v>0</v>
      </c>
      <c r="L48" s="119">
        <v>0</v>
      </c>
      <c r="M48" s="59">
        <v>0</v>
      </c>
      <c r="N48" s="59">
        <v>0</v>
      </c>
      <c r="O48" s="51">
        <v>0</v>
      </c>
    </row>
    <row r="49" spans="1:15" x14ac:dyDescent="0.3">
      <c r="A49" s="58">
        <v>450</v>
      </c>
      <c r="B49" s="58">
        <v>500</v>
      </c>
      <c r="C49" s="72">
        <v>35716</v>
      </c>
      <c r="D49" s="72">
        <v>1692193365</v>
      </c>
      <c r="E49" s="59">
        <v>3.5796767889421219E-5</v>
      </c>
      <c r="F49" s="93">
        <v>473.79140021278982</v>
      </c>
      <c r="G49" s="90"/>
      <c r="H49" s="61" t="str">
        <f t="shared" si="0"/>
        <v>(450, 500]</v>
      </c>
      <c r="I49" s="62">
        <v>0</v>
      </c>
      <c r="J49" s="59">
        <v>0</v>
      </c>
      <c r="K49" s="59">
        <v>0</v>
      </c>
      <c r="L49" s="119">
        <v>0</v>
      </c>
      <c r="M49" s="59">
        <v>0</v>
      </c>
      <c r="N49" s="59">
        <v>0</v>
      </c>
      <c r="O49" s="51">
        <v>0</v>
      </c>
    </row>
    <row r="50" spans="1:15" x14ac:dyDescent="0.3">
      <c r="A50" s="58">
        <v>500</v>
      </c>
      <c r="B50" s="58">
        <v>550</v>
      </c>
      <c r="C50" s="72">
        <v>28751</v>
      </c>
      <c r="D50" s="72">
        <v>1504820855</v>
      </c>
      <c r="E50" s="59">
        <v>2.8816017291654989E-5</v>
      </c>
      <c r="F50" s="93">
        <v>523.39774442628084</v>
      </c>
      <c r="G50" s="90"/>
      <c r="H50" s="61" t="str">
        <f t="shared" si="0"/>
        <v>(500, 550]</v>
      </c>
      <c r="I50" s="62">
        <v>0</v>
      </c>
      <c r="J50" s="59">
        <v>0</v>
      </c>
      <c r="K50" s="59">
        <v>0</v>
      </c>
      <c r="L50" s="119">
        <v>0</v>
      </c>
      <c r="M50" s="59">
        <v>0</v>
      </c>
      <c r="N50" s="59">
        <v>0</v>
      </c>
      <c r="O50" s="51">
        <v>0</v>
      </c>
    </row>
    <row r="51" spans="1:15" x14ac:dyDescent="0.3">
      <c r="A51" s="58">
        <v>550</v>
      </c>
      <c r="B51" s="58">
        <v>600</v>
      </c>
      <c r="C51" s="72">
        <v>20322</v>
      </c>
      <c r="D51" s="72">
        <v>1166243190</v>
      </c>
      <c r="E51" s="59">
        <v>2.0367956015478164E-5</v>
      </c>
      <c r="F51" s="93">
        <v>573.88209329790379</v>
      </c>
      <c r="G51" s="90"/>
      <c r="H51" s="61" t="str">
        <f t="shared" si="0"/>
        <v>(550, 600]</v>
      </c>
      <c r="I51" s="62">
        <v>0</v>
      </c>
      <c r="J51" s="59">
        <v>0</v>
      </c>
      <c r="K51" s="59">
        <v>0</v>
      </c>
      <c r="L51" s="119">
        <v>0</v>
      </c>
      <c r="M51" s="59">
        <v>0</v>
      </c>
      <c r="N51" s="59">
        <v>0</v>
      </c>
      <c r="O51" s="51">
        <v>0</v>
      </c>
    </row>
    <row r="52" spans="1:15" x14ac:dyDescent="0.3">
      <c r="A52" s="58">
        <v>600</v>
      </c>
      <c r="B52" s="58">
        <v>650</v>
      </c>
      <c r="C52" s="72">
        <v>15717</v>
      </c>
      <c r="D52" s="72">
        <v>980622530</v>
      </c>
      <c r="E52" s="59">
        <v>1.5752542303674356E-5</v>
      </c>
      <c r="F52" s="93">
        <v>623.9247502704078</v>
      </c>
      <c r="G52" s="90"/>
      <c r="H52" s="61" t="str">
        <f t="shared" si="0"/>
        <v>(600, 650]</v>
      </c>
      <c r="I52" s="62">
        <v>0</v>
      </c>
      <c r="J52" s="59">
        <v>0</v>
      </c>
      <c r="K52" s="59">
        <v>0</v>
      </c>
      <c r="L52" s="119">
        <v>0</v>
      </c>
      <c r="M52" s="59">
        <v>0</v>
      </c>
      <c r="N52" s="59">
        <v>0</v>
      </c>
      <c r="O52" s="51">
        <v>0</v>
      </c>
    </row>
    <row r="53" spans="1:15" x14ac:dyDescent="0.3">
      <c r="A53" s="58">
        <v>650</v>
      </c>
      <c r="B53" s="58">
        <v>700</v>
      </c>
      <c r="C53" s="72">
        <v>12454</v>
      </c>
      <c r="D53" s="72">
        <v>839528115</v>
      </c>
      <c r="E53" s="59">
        <v>1.2482163380413594E-5</v>
      </c>
      <c r="F53" s="93">
        <v>674.10319174562392</v>
      </c>
      <c r="G53" s="90"/>
      <c r="H53" s="61" t="str">
        <f t="shared" si="0"/>
        <v>(650, 700]</v>
      </c>
      <c r="I53" s="62">
        <v>0</v>
      </c>
      <c r="J53" s="59">
        <v>0</v>
      </c>
      <c r="K53" s="59">
        <v>0</v>
      </c>
      <c r="L53" s="119">
        <v>0</v>
      </c>
      <c r="M53" s="59">
        <v>0</v>
      </c>
      <c r="N53" s="59">
        <v>0</v>
      </c>
      <c r="O53" s="51">
        <v>0</v>
      </c>
    </row>
    <row r="54" spans="1:15" x14ac:dyDescent="0.3">
      <c r="A54" s="58">
        <v>700</v>
      </c>
      <c r="B54" s="58">
        <v>750</v>
      </c>
      <c r="C54" s="72">
        <v>10012</v>
      </c>
      <c r="D54" s="72">
        <v>724705595</v>
      </c>
      <c r="E54" s="59">
        <v>1.0034641060277894E-5</v>
      </c>
      <c r="F54" s="93">
        <v>723.83699061126651</v>
      </c>
      <c r="G54" s="90"/>
      <c r="H54" s="61" t="str">
        <f t="shared" si="0"/>
        <v>(700, 750]</v>
      </c>
      <c r="I54" s="62">
        <v>0</v>
      </c>
      <c r="J54" s="59">
        <v>0</v>
      </c>
      <c r="K54" s="59">
        <v>0</v>
      </c>
      <c r="L54" s="119">
        <v>0</v>
      </c>
      <c r="M54" s="59">
        <v>0</v>
      </c>
      <c r="N54" s="59">
        <v>0</v>
      </c>
      <c r="O54" s="51">
        <v>0</v>
      </c>
    </row>
    <row r="55" spans="1:15" x14ac:dyDescent="0.3">
      <c r="A55" s="58">
        <v>750</v>
      </c>
      <c r="B55" s="58">
        <v>800</v>
      </c>
      <c r="C55" s="72">
        <v>7944</v>
      </c>
      <c r="D55" s="72">
        <v>615116165</v>
      </c>
      <c r="E55" s="59">
        <v>7.9619645008836982E-6</v>
      </c>
      <c r="F55" s="93">
        <v>774.31541414904336</v>
      </c>
      <c r="G55" s="90"/>
      <c r="H55" s="61" t="str">
        <f t="shared" si="0"/>
        <v>(750, 800]</v>
      </c>
      <c r="I55" s="62">
        <v>0</v>
      </c>
      <c r="J55" s="59">
        <v>0</v>
      </c>
      <c r="K55" s="59">
        <v>0</v>
      </c>
      <c r="L55" s="119">
        <v>0</v>
      </c>
      <c r="M55" s="59">
        <v>0</v>
      </c>
      <c r="N55" s="59">
        <v>0</v>
      </c>
      <c r="O55" s="51">
        <v>0</v>
      </c>
    </row>
    <row r="56" spans="1:15" x14ac:dyDescent="0.3">
      <c r="A56" s="58">
        <v>800</v>
      </c>
      <c r="B56" s="58">
        <v>850</v>
      </c>
      <c r="C56" s="72">
        <v>6888</v>
      </c>
      <c r="D56" s="72">
        <v>567306570</v>
      </c>
      <c r="E56" s="59">
        <v>6.903576470554748E-6</v>
      </c>
      <c r="F56" s="93">
        <v>823.61581010452971</v>
      </c>
      <c r="G56" s="90"/>
      <c r="H56" s="61" t="str">
        <f t="shared" si="0"/>
        <v>(800, 850]</v>
      </c>
      <c r="I56" s="62">
        <v>0</v>
      </c>
      <c r="J56" s="59">
        <v>0</v>
      </c>
      <c r="K56" s="59">
        <v>0</v>
      </c>
      <c r="L56" s="119">
        <v>0</v>
      </c>
      <c r="M56" s="59">
        <v>0</v>
      </c>
      <c r="N56" s="59">
        <v>0</v>
      </c>
      <c r="O56" s="51">
        <v>0</v>
      </c>
    </row>
    <row r="57" spans="1:15" x14ac:dyDescent="0.3">
      <c r="A57" s="58">
        <v>850</v>
      </c>
      <c r="B57" s="58">
        <v>900</v>
      </c>
      <c r="C57" s="72">
        <v>5088</v>
      </c>
      <c r="D57" s="72">
        <v>444740110</v>
      </c>
      <c r="E57" s="59">
        <v>5.0995059643122181E-6</v>
      </c>
      <c r="F57" s="93">
        <v>874.09612814465402</v>
      </c>
      <c r="G57" s="90"/>
      <c r="H57" s="61" t="str">
        <f t="shared" si="0"/>
        <v>(850, 900]</v>
      </c>
      <c r="I57" s="62">
        <v>0</v>
      </c>
      <c r="J57" s="59">
        <v>0</v>
      </c>
      <c r="K57" s="59">
        <v>0</v>
      </c>
      <c r="L57" s="84">
        <v>0</v>
      </c>
      <c r="M57" s="59">
        <v>0</v>
      </c>
      <c r="N57" s="59">
        <v>0</v>
      </c>
      <c r="O57" s="51">
        <v>0</v>
      </c>
    </row>
    <row r="58" spans="1:15" x14ac:dyDescent="0.3">
      <c r="A58" s="58">
        <v>900</v>
      </c>
      <c r="B58" s="58">
        <v>950</v>
      </c>
      <c r="C58" s="72">
        <v>4606</v>
      </c>
      <c r="D58" s="72">
        <v>425928710</v>
      </c>
      <c r="E58" s="59">
        <v>4.6164159731961624E-6</v>
      </c>
      <c r="F58" s="93">
        <v>924.72581415544948</v>
      </c>
      <c r="G58" s="90"/>
      <c r="H58" s="61" t="str">
        <f t="shared" si="0"/>
        <v>(900, 950]</v>
      </c>
      <c r="I58" s="62">
        <v>0</v>
      </c>
      <c r="J58" s="59">
        <v>0</v>
      </c>
      <c r="K58" s="59">
        <v>0</v>
      </c>
      <c r="L58" s="84">
        <v>0</v>
      </c>
      <c r="M58" s="59">
        <v>0</v>
      </c>
      <c r="N58" s="59">
        <v>0</v>
      </c>
      <c r="O58" s="51">
        <v>0</v>
      </c>
    </row>
    <row r="59" spans="1:15" x14ac:dyDescent="0.3">
      <c r="A59" s="58">
        <v>950</v>
      </c>
      <c r="B59" s="58">
        <v>1000</v>
      </c>
      <c r="C59" s="72">
        <v>3540</v>
      </c>
      <c r="D59" s="72">
        <v>344790250</v>
      </c>
      <c r="E59" s="59">
        <v>3.5480053289436421E-6</v>
      </c>
      <c r="F59" s="93">
        <v>973.98375706214688</v>
      </c>
      <c r="G59" s="90"/>
      <c r="H59" s="61" t="str">
        <f t="shared" si="0"/>
        <v>(950, 1000]</v>
      </c>
      <c r="I59" s="62">
        <v>0</v>
      </c>
      <c r="J59" s="59">
        <v>0</v>
      </c>
      <c r="K59" s="59">
        <v>0</v>
      </c>
      <c r="L59" s="84">
        <v>0</v>
      </c>
      <c r="M59" s="59">
        <v>0</v>
      </c>
      <c r="N59" s="59">
        <v>0</v>
      </c>
      <c r="O59" s="51">
        <v>0</v>
      </c>
    </row>
    <row r="60" spans="1:15" x14ac:dyDescent="0.3">
      <c r="A60" s="58">
        <v>1000</v>
      </c>
      <c r="B60" s="58">
        <v>2000</v>
      </c>
      <c r="C60" s="72">
        <v>24115</v>
      </c>
      <c r="D60" s="72">
        <v>3153428415</v>
      </c>
      <c r="E60" s="59">
        <v>2.4169533476688116E-5</v>
      </c>
      <c r="F60" s="93">
        <v>1307.6626228488492</v>
      </c>
      <c r="G60" s="90"/>
      <c r="H60" s="61" t="str">
        <f t="shared" si="0"/>
        <v>(1000, 2000]</v>
      </c>
      <c r="I60" s="62">
        <v>0</v>
      </c>
      <c r="J60" s="59">
        <v>0</v>
      </c>
      <c r="K60" s="59">
        <v>0</v>
      </c>
      <c r="L60" s="84">
        <v>0</v>
      </c>
      <c r="M60" s="59">
        <v>0</v>
      </c>
      <c r="N60" s="59">
        <v>0</v>
      </c>
      <c r="O60" s="51">
        <v>0</v>
      </c>
    </row>
    <row r="61" spans="1:15" x14ac:dyDescent="0.3">
      <c r="A61" s="58">
        <v>2000</v>
      </c>
      <c r="B61" s="58">
        <v>3000</v>
      </c>
      <c r="C61" s="72">
        <v>3049</v>
      </c>
      <c r="D61" s="72">
        <v>724429645</v>
      </c>
      <c r="E61" s="59">
        <v>3.0558949852963745E-6</v>
      </c>
      <c r="F61" s="93">
        <v>2375.9581666120039</v>
      </c>
      <c r="G61" s="90"/>
      <c r="H61" s="61" t="str">
        <f t="shared" si="0"/>
        <v>(2000, 3000]</v>
      </c>
      <c r="I61" s="62">
        <v>0</v>
      </c>
      <c r="J61" s="59">
        <v>0</v>
      </c>
      <c r="K61" s="59">
        <v>0</v>
      </c>
      <c r="L61" s="84">
        <v>0</v>
      </c>
      <c r="M61" s="59">
        <v>0</v>
      </c>
      <c r="N61" s="59">
        <v>0</v>
      </c>
      <c r="O61" s="51">
        <v>0</v>
      </c>
    </row>
    <row r="62" spans="1:15" x14ac:dyDescent="0.3">
      <c r="A62" s="58">
        <v>3000</v>
      </c>
      <c r="B62" s="58">
        <v>4000</v>
      </c>
      <c r="C62" s="72">
        <v>753</v>
      </c>
      <c r="D62" s="72">
        <v>254415475</v>
      </c>
      <c r="E62" s="59">
        <v>7.5470282844479165E-7</v>
      </c>
      <c r="F62" s="93">
        <v>3378.6915670650733</v>
      </c>
      <c r="G62" s="90"/>
      <c r="H62" s="61" t="str">
        <f t="shared" si="0"/>
        <v>(3000, 4000]</v>
      </c>
      <c r="I62" s="62">
        <v>0</v>
      </c>
      <c r="J62" s="59">
        <v>0</v>
      </c>
      <c r="K62" s="59">
        <v>0</v>
      </c>
      <c r="L62" s="84">
        <v>0</v>
      </c>
      <c r="M62" s="59">
        <v>0</v>
      </c>
      <c r="N62" s="59">
        <v>0</v>
      </c>
      <c r="O62" s="51">
        <v>0</v>
      </c>
    </row>
    <row r="63" spans="1:15" x14ac:dyDescent="0.3">
      <c r="A63" s="58">
        <v>4000</v>
      </c>
      <c r="B63" s="58">
        <v>5000</v>
      </c>
      <c r="C63" s="72">
        <v>204</v>
      </c>
      <c r="D63" s="72">
        <v>90110100</v>
      </c>
      <c r="E63" s="59">
        <v>2.0446132404082006E-7</v>
      </c>
      <c r="F63" s="93">
        <v>4417.1617647058829</v>
      </c>
      <c r="G63" s="90"/>
      <c r="H63" s="61" t="str">
        <f t="shared" si="0"/>
        <v>(4000, 5000]</v>
      </c>
      <c r="I63" s="62">
        <v>0</v>
      </c>
      <c r="J63" s="59">
        <v>0</v>
      </c>
      <c r="K63" s="59">
        <v>0</v>
      </c>
      <c r="L63" s="84">
        <v>0</v>
      </c>
      <c r="M63" s="59">
        <v>0</v>
      </c>
      <c r="N63" s="59">
        <v>0</v>
      </c>
      <c r="O63" s="51">
        <v>0</v>
      </c>
    </row>
    <row r="64" spans="1:15" x14ac:dyDescent="0.3">
      <c r="A64" s="58">
        <v>5000</v>
      </c>
      <c r="B64" s="58">
        <v>6000</v>
      </c>
      <c r="C64" s="72">
        <v>115</v>
      </c>
      <c r="D64" s="72">
        <v>62789715</v>
      </c>
      <c r="E64" s="59">
        <v>1.1526006012105053E-7</v>
      </c>
      <c r="F64" s="93">
        <v>5459.9752173913048</v>
      </c>
      <c r="G64" s="90"/>
      <c r="H64" s="61" t="str">
        <f t="shared" si="0"/>
        <v>(5000, 6000]</v>
      </c>
      <c r="I64" s="62">
        <v>0</v>
      </c>
      <c r="J64" s="59">
        <v>0</v>
      </c>
      <c r="K64" s="59">
        <v>0</v>
      </c>
      <c r="L64" s="84">
        <v>0</v>
      </c>
      <c r="M64" s="59">
        <v>0</v>
      </c>
      <c r="N64" s="59">
        <v>0</v>
      </c>
      <c r="O64" s="51">
        <v>0</v>
      </c>
    </row>
    <row r="65" spans="1:16" x14ac:dyDescent="0.3">
      <c r="A65" s="58">
        <v>6000</v>
      </c>
      <c r="B65" s="58">
        <v>7000</v>
      </c>
      <c r="C65" s="72">
        <v>31</v>
      </c>
      <c r="D65" s="72">
        <v>19989990</v>
      </c>
      <c r="E65" s="59">
        <v>3.1070103163065796E-8</v>
      </c>
      <c r="F65" s="93">
        <v>6448.383870967742</v>
      </c>
      <c r="G65" s="90"/>
      <c r="H65" s="61" t="str">
        <f t="shared" si="0"/>
        <v>(6000, 7000]</v>
      </c>
      <c r="I65" s="62">
        <v>0</v>
      </c>
      <c r="J65" s="59">
        <v>0</v>
      </c>
      <c r="K65" s="59">
        <v>0</v>
      </c>
      <c r="L65" s="84">
        <v>0</v>
      </c>
      <c r="M65" s="59">
        <v>0</v>
      </c>
      <c r="N65" s="59">
        <v>0</v>
      </c>
      <c r="O65" s="51">
        <v>0</v>
      </c>
    </row>
    <row r="66" spans="1:16" x14ac:dyDescent="0.3">
      <c r="A66" s="58">
        <v>7000</v>
      </c>
      <c r="B66" s="58">
        <v>8000</v>
      </c>
      <c r="C66" s="72">
        <v>8</v>
      </c>
      <c r="D66" s="72">
        <v>5852065</v>
      </c>
      <c r="E66" s="59">
        <v>8.0180911388556879E-9</v>
      </c>
      <c r="F66" s="93">
        <v>7315.0812500000002</v>
      </c>
      <c r="G66" s="90"/>
      <c r="H66" s="61" t="str">
        <f t="shared" si="0"/>
        <v>(7000, 8000]</v>
      </c>
      <c r="I66" s="62">
        <v>0</v>
      </c>
      <c r="J66" s="59">
        <v>0</v>
      </c>
      <c r="K66" s="59">
        <v>0</v>
      </c>
      <c r="L66" s="84">
        <v>0</v>
      </c>
      <c r="M66" s="59">
        <v>0</v>
      </c>
      <c r="N66" s="59">
        <v>0</v>
      </c>
      <c r="O66" s="51">
        <v>0</v>
      </c>
    </row>
    <row r="67" spans="1:16" x14ac:dyDescent="0.3">
      <c r="A67" s="58">
        <v>8000</v>
      </c>
      <c r="B67" s="58">
        <v>9000</v>
      </c>
      <c r="C67" s="72">
        <v>6</v>
      </c>
      <c r="D67" s="72">
        <v>5021785</v>
      </c>
      <c r="E67" s="59">
        <v>6.0135683541417668E-9</v>
      </c>
      <c r="F67" s="93">
        <v>8369.6416666666664</v>
      </c>
      <c r="G67" s="90"/>
      <c r="H67" s="61" t="str">
        <f t="shared" si="0"/>
        <v>(8000, 9000]</v>
      </c>
      <c r="I67" s="62">
        <v>0</v>
      </c>
      <c r="J67" s="59">
        <v>0</v>
      </c>
      <c r="K67" s="59">
        <v>0</v>
      </c>
      <c r="L67" s="84">
        <v>0</v>
      </c>
      <c r="M67" s="59">
        <v>0</v>
      </c>
      <c r="N67" s="59">
        <v>0</v>
      </c>
      <c r="O67" s="51">
        <v>0</v>
      </c>
    </row>
    <row r="68" spans="1:16" x14ac:dyDescent="0.3">
      <c r="A68" s="58">
        <v>9000</v>
      </c>
      <c r="B68" s="58">
        <v>10000</v>
      </c>
      <c r="C68" s="72">
        <v>1</v>
      </c>
      <c r="D68" s="72">
        <v>941640</v>
      </c>
      <c r="E68" s="59">
        <v>1.002261392356961E-9</v>
      </c>
      <c r="F68" s="93">
        <v>9416.4</v>
      </c>
      <c r="G68" s="90"/>
      <c r="H68" s="61" t="str">
        <f t="shared" si="0"/>
        <v>(9000, 10000]</v>
      </c>
      <c r="I68" s="62">
        <v>0</v>
      </c>
      <c r="J68" s="59">
        <v>0</v>
      </c>
      <c r="K68" s="59">
        <v>0</v>
      </c>
      <c r="L68" s="84">
        <v>0</v>
      </c>
      <c r="M68" s="59">
        <v>0</v>
      </c>
      <c r="N68" s="59">
        <v>0</v>
      </c>
      <c r="O68" s="51">
        <v>0</v>
      </c>
    </row>
    <row r="69" spans="1:16" x14ac:dyDescent="0.3">
      <c r="A69" s="58">
        <v>10000</v>
      </c>
      <c r="B69" s="58">
        <v>20000</v>
      </c>
      <c r="C69" s="72">
        <v>14</v>
      </c>
      <c r="D69" s="72">
        <v>17453135</v>
      </c>
      <c r="E69" s="59">
        <v>1.4031659492997455E-8</v>
      </c>
      <c r="F69" s="93">
        <v>12466.525</v>
      </c>
      <c r="G69" s="90"/>
      <c r="H69" s="61" t="str">
        <f t="shared" si="0"/>
        <v>(10000, 20000]</v>
      </c>
      <c r="I69" s="62">
        <v>0</v>
      </c>
      <c r="J69" s="59">
        <v>0</v>
      </c>
      <c r="K69" s="59">
        <v>0</v>
      </c>
      <c r="L69" s="84">
        <v>0</v>
      </c>
      <c r="M69" s="59">
        <v>0</v>
      </c>
      <c r="N69" s="59">
        <v>0</v>
      </c>
      <c r="O69" s="51">
        <v>0</v>
      </c>
    </row>
    <row r="70" spans="1:16" x14ac:dyDescent="0.3">
      <c r="A70" s="58">
        <v>20000</v>
      </c>
      <c r="B70" s="58">
        <v>30000</v>
      </c>
      <c r="C70" s="72">
        <v>0</v>
      </c>
      <c r="D70" s="72">
        <v>0</v>
      </c>
      <c r="E70" s="59">
        <v>0</v>
      </c>
      <c r="F70" s="93">
        <v>0</v>
      </c>
      <c r="G70" s="90"/>
      <c r="H70" s="61" t="str">
        <f t="shared" si="0"/>
        <v>(20000, 30000]</v>
      </c>
      <c r="I70" s="62">
        <v>0</v>
      </c>
      <c r="J70" s="59">
        <v>0</v>
      </c>
      <c r="K70" s="59">
        <v>0</v>
      </c>
      <c r="L70" s="84">
        <v>0</v>
      </c>
      <c r="M70" s="59">
        <v>0</v>
      </c>
      <c r="N70" s="59">
        <v>0</v>
      </c>
      <c r="O70" s="51">
        <v>0</v>
      </c>
    </row>
    <row r="71" spans="1:16" x14ac:dyDescent="0.3">
      <c r="A71" s="58">
        <v>30000</v>
      </c>
      <c r="B71" s="58">
        <v>40000</v>
      </c>
      <c r="C71" s="72">
        <v>0</v>
      </c>
      <c r="D71" s="72">
        <v>0</v>
      </c>
      <c r="E71" s="59">
        <v>0</v>
      </c>
      <c r="F71" s="93">
        <v>0</v>
      </c>
      <c r="G71" s="90"/>
      <c r="H71" s="61" t="str">
        <f t="shared" si="0"/>
        <v>(30000, 40000]</v>
      </c>
      <c r="I71" s="62">
        <v>0</v>
      </c>
      <c r="J71" s="59">
        <v>0</v>
      </c>
      <c r="K71" s="59">
        <v>0</v>
      </c>
      <c r="L71" s="84">
        <v>0</v>
      </c>
      <c r="M71" s="59">
        <v>0</v>
      </c>
      <c r="N71" s="59">
        <v>0</v>
      </c>
      <c r="O71" s="51">
        <v>0</v>
      </c>
    </row>
    <row r="72" spans="1:16" x14ac:dyDescent="0.3">
      <c r="A72" s="58">
        <v>40000</v>
      </c>
      <c r="B72" s="58">
        <v>50000</v>
      </c>
      <c r="C72" s="72">
        <v>0</v>
      </c>
      <c r="D72" s="72">
        <v>0</v>
      </c>
      <c r="E72" s="59">
        <v>0</v>
      </c>
      <c r="F72" s="93">
        <v>0</v>
      </c>
      <c r="G72" s="90"/>
      <c r="H72" s="61" t="str">
        <f t="shared" si="0"/>
        <v>(40000, 50000]</v>
      </c>
      <c r="I72" s="62">
        <v>0</v>
      </c>
      <c r="J72" s="59">
        <v>0</v>
      </c>
      <c r="K72" s="59">
        <v>0</v>
      </c>
      <c r="L72" s="84">
        <v>0</v>
      </c>
      <c r="M72" s="59">
        <v>0</v>
      </c>
      <c r="N72" s="59">
        <v>0</v>
      </c>
      <c r="O72" s="51">
        <v>0</v>
      </c>
    </row>
    <row r="73" spans="1:16" x14ac:dyDescent="0.3">
      <c r="A73" s="58">
        <v>50000</v>
      </c>
      <c r="B73" s="58">
        <v>60000</v>
      </c>
      <c r="C73" s="72">
        <v>0</v>
      </c>
      <c r="D73" s="72">
        <v>0</v>
      </c>
      <c r="E73" s="59">
        <v>0</v>
      </c>
      <c r="F73" s="93">
        <v>0</v>
      </c>
      <c r="G73" s="90"/>
      <c r="H73" s="61" t="str">
        <f t="shared" si="0"/>
        <v>(50000, 60000]</v>
      </c>
      <c r="I73" s="62">
        <v>0</v>
      </c>
      <c r="J73" s="59">
        <v>0</v>
      </c>
      <c r="K73" s="59">
        <v>0</v>
      </c>
      <c r="L73" s="84">
        <v>0</v>
      </c>
      <c r="M73" s="59">
        <v>0</v>
      </c>
      <c r="N73" s="59">
        <v>0</v>
      </c>
      <c r="O73" s="51">
        <v>0</v>
      </c>
    </row>
    <row r="74" spans="1:16" x14ac:dyDescent="0.3">
      <c r="A74" s="58">
        <v>60000</v>
      </c>
      <c r="B74" s="58">
        <v>70000</v>
      </c>
      <c r="C74" s="72">
        <v>0</v>
      </c>
      <c r="D74" s="72">
        <v>0</v>
      </c>
      <c r="E74" s="59">
        <v>0</v>
      </c>
      <c r="F74" s="93">
        <v>0</v>
      </c>
      <c r="G74" s="90"/>
      <c r="H74" s="61" t="str">
        <f t="shared" si="0"/>
        <v>(60000, 70000]</v>
      </c>
      <c r="I74" s="62">
        <v>0</v>
      </c>
      <c r="J74" s="59">
        <v>0</v>
      </c>
      <c r="K74" s="59">
        <v>0</v>
      </c>
      <c r="L74" s="84">
        <v>0</v>
      </c>
      <c r="M74" s="59">
        <v>0</v>
      </c>
      <c r="N74" s="59">
        <v>0</v>
      </c>
      <c r="O74" s="51">
        <v>0</v>
      </c>
    </row>
    <row r="75" spans="1:16" x14ac:dyDescent="0.3">
      <c r="A75" s="58">
        <v>70000</v>
      </c>
      <c r="B75" s="58">
        <v>80000</v>
      </c>
      <c r="C75" s="72">
        <v>0</v>
      </c>
      <c r="D75" s="72">
        <v>0</v>
      </c>
      <c r="E75" s="59">
        <v>0</v>
      </c>
      <c r="F75" s="93">
        <v>0</v>
      </c>
      <c r="G75" s="90"/>
      <c r="H75" s="61" t="str">
        <f t="shared" si="0"/>
        <v>(70000, 80000]</v>
      </c>
      <c r="I75" s="62">
        <v>0</v>
      </c>
      <c r="J75" s="59">
        <v>0</v>
      </c>
      <c r="K75" s="59">
        <v>0</v>
      </c>
      <c r="L75" s="84">
        <v>0</v>
      </c>
      <c r="M75" s="59">
        <v>0</v>
      </c>
      <c r="N75" s="59">
        <v>0</v>
      </c>
      <c r="O75" s="51">
        <v>0</v>
      </c>
    </row>
    <row r="76" spans="1:16" x14ac:dyDescent="0.3">
      <c r="A76" s="58">
        <v>80000</v>
      </c>
      <c r="B76" s="58">
        <v>90000</v>
      </c>
      <c r="C76" s="72">
        <v>0</v>
      </c>
      <c r="D76" s="72">
        <v>0</v>
      </c>
      <c r="E76" s="59">
        <v>0</v>
      </c>
      <c r="F76" s="93">
        <v>0</v>
      </c>
      <c r="G76" s="90"/>
      <c r="H76" s="61" t="str">
        <f t="shared" si="0"/>
        <v>(80000, 90000]</v>
      </c>
      <c r="I76" s="62">
        <v>0</v>
      </c>
      <c r="J76" s="59">
        <v>0</v>
      </c>
      <c r="K76" s="59">
        <v>0</v>
      </c>
      <c r="L76" s="84">
        <v>0</v>
      </c>
      <c r="M76" s="59">
        <v>0</v>
      </c>
      <c r="N76" s="59">
        <v>0</v>
      </c>
      <c r="O76" s="51">
        <v>0</v>
      </c>
    </row>
    <row r="77" spans="1:16" x14ac:dyDescent="0.3">
      <c r="A77" s="58">
        <v>90000</v>
      </c>
      <c r="B77" s="58">
        <v>100000</v>
      </c>
      <c r="C77" s="72">
        <v>0</v>
      </c>
      <c r="D77" s="72">
        <v>0</v>
      </c>
      <c r="E77" s="59">
        <v>0</v>
      </c>
      <c r="F77" s="93">
        <v>0</v>
      </c>
      <c r="G77" s="90"/>
      <c r="H77" s="61" t="str">
        <f t="shared" si="0"/>
        <v>(90000, 100000]</v>
      </c>
      <c r="I77" s="62">
        <v>0</v>
      </c>
      <c r="J77" s="59">
        <v>0</v>
      </c>
      <c r="K77" s="59">
        <v>0</v>
      </c>
      <c r="L77" s="84">
        <v>0</v>
      </c>
      <c r="M77" s="59">
        <v>0</v>
      </c>
      <c r="N77" s="59">
        <v>0</v>
      </c>
      <c r="O77" s="51">
        <v>0</v>
      </c>
    </row>
    <row r="78" spans="1:16" x14ac:dyDescent="0.3">
      <c r="A78" s="58">
        <v>100000</v>
      </c>
      <c r="B78" s="58">
        <v>9999999</v>
      </c>
      <c r="C78" s="72">
        <v>0</v>
      </c>
      <c r="D78" s="72">
        <v>0</v>
      </c>
      <c r="E78" s="59">
        <v>0</v>
      </c>
      <c r="F78" s="93">
        <v>0</v>
      </c>
      <c r="G78" s="90"/>
      <c r="H78" s="61" t="str">
        <f t="shared" si="0"/>
        <v>(100000, 9999999]</v>
      </c>
      <c r="I78" s="62">
        <v>0</v>
      </c>
      <c r="J78" s="59">
        <v>0</v>
      </c>
      <c r="K78" s="59">
        <v>0</v>
      </c>
      <c r="L78" s="84">
        <v>0</v>
      </c>
      <c r="M78" s="59">
        <v>0</v>
      </c>
      <c r="N78" s="59">
        <v>0</v>
      </c>
      <c r="O78" s="51">
        <v>0</v>
      </c>
    </row>
    <row r="79" spans="1:16" x14ac:dyDescent="0.3">
      <c r="A79" s="206" t="s">
        <v>78</v>
      </c>
      <c r="B79" s="207"/>
      <c r="C79" s="73">
        <f>E79*B13</f>
        <v>2256000</v>
      </c>
      <c r="D79" s="72">
        <f>Multiplier_Weight_Oldhand!D79</f>
        <v>45757820</v>
      </c>
      <c r="E79" s="196">
        <f>Multiplier_Weight_Oldhand!E79</f>
        <v>2.2560000000000002E-3</v>
      </c>
      <c r="F79" s="93">
        <v>0.20282721631205675</v>
      </c>
      <c r="G79" s="101"/>
      <c r="H79" s="61" t="s">
        <v>78</v>
      </c>
      <c r="I79" s="62">
        <v>1.85</v>
      </c>
      <c r="J79" s="59">
        <v>4.1736000000000004E-3</v>
      </c>
      <c r="K79" s="59">
        <f>J79</f>
        <v>4.1736000000000004E-3</v>
      </c>
      <c r="L79" s="84">
        <v>4173600</v>
      </c>
      <c r="M79" s="63">
        <v>4.1738386809649711E-3</v>
      </c>
      <c r="N79" s="59">
        <v>8.4656808099571178E-4</v>
      </c>
      <c r="P79" s="51"/>
    </row>
    <row r="80" spans="1:16" s="66" customFormat="1" x14ac:dyDescent="0.3">
      <c r="D80" s="1"/>
      <c r="F80" s="66">
        <v>0</v>
      </c>
    </row>
    <row r="81" spans="1:15" x14ac:dyDescent="0.3">
      <c r="A81" s="66"/>
      <c r="B81" s="52"/>
      <c r="C81" s="1"/>
      <c r="E81" s="1"/>
      <c r="F81" s="1"/>
      <c r="H81" s="13"/>
      <c r="I81" s="52"/>
      <c r="J81" s="52"/>
      <c r="K81" s="52"/>
      <c r="L81" s="68"/>
      <c r="M81" s="52"/>
      <c r="N81" s="52"/>
    </row>
    <row r="82" spans="1:15" x14ac:dyDescent="0.3">
      <c r="A82" s="52"/>
      <c r="D82" s="116"/>
      <c r="E82" s="1"/>
      <c r="F82" s="1"/>
      <c r="H82" s="13"/>
      <c r="I82" s="52"/>
      <c r="J82" s="52"/>
      <c r="K82" s="52"/>
      <c r="L82" s="52"/>
      <c r="M82" s="52"/>
      <c r="N82" s="52"/>
    </row>
    <row r="83" spans="1:15" s="80" customFormat="1" x14ac:dyDescent="0.3">
      <c r="A83" s="205" t="s">
        <v>50</v>
      </c>
      <c r="B83" s="205"/>
      <c r="C83" s="205"/>
      <c r="D83" s="205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</row>
    <row r="84" spans="1:15" x14ac:dyDescent="0.3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</row>
    <row r="85" spans="1:15" x14ac:dyDescent="0.3">
      <c r="A85" s="70" t="s">
        <v>75</v>
      </c>
      <c r="B85" s="68">
        <v>10000000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</row>
    <row r="86" spans="1:15" x14ac:dyDescent="0.3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1.1000000000000001</v>
      </c>
    </row>
    <row r="87" spans="1:15" x14ac:dyDescent="0.3">
      <c r="A87" s="64">
        <v>-1</v>
      </c>
      <c r="B87" s="64">
        <v>0</v>
      </c>
      <c r="C87" s="71" cm="1">
        <f t="array" ref="C87:D150">Multiplier_Weight_Oldhand!C87:D150</f>
        <v>0</v>
      </c>
      <c r="D87" s="71">
        <v>0</v>
      </c>
      <c r="E87" s="59" cm="1">
        <f t="array" ref="E87:E150">_xlfn.LET(_xlpm.x, C87:C150, _xlpm.x/SUM(_xlpm.x))</f>
        <v>0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0</v>
      </c>
      <c r="J87" s="59" cm="1">
        <f t="array" ref="J87:J150">_xlfn.ANCHORARRAY(E87)*I87:I150</f>
        <v>0</v>
      </c>
      <c r="K87" s="59" cm="1">
        <f t="array" ref="K87:K150">J87:J150/SUM(_xlfn.ANCHORARRAY(J87))</f>
        <v>0</v>
      </c>
      <c r="L87" s="119" cm="1">
        <f t="array" ref="L87:L150">INT(_xlfn.ANCHORARRAY(K87)*$B$2)</f>
        <v>0</v>
      </c>
      <c r="M87" s="59" cm="1">
        <f t="array" ref="M87:M150">_xlfn.LET(_xlpm.x, L87:L150, _xlpm.x/SUM(_xlpm.x))</f>
        <v>0</v>
      </c>
      <c r="N87" s="60" cm="1">
        <f t="array" ref="N87:N150">M87:M150*_xlfn.ANCHORARRAY(F87)</f>
        <v>0</v>
      </c>
      <c r="O87" s="51" cm="1">
        <f t="array" ref="O87:O150">I87:I150*O86</f>
        <v>0</v>
      </c>
    </row>
    <row r="88" spans="1:15" x14ac:dyDescent="0.3">
      <c r="A88" s="58">
        <v>0</v>
      </c>
      <c r="B88" s="58">
        <v>1</v>
      </c>
      <c r="C88" s="72">
        <v>1569</v>
      </c>
      <c r="D88" s="72">
        <v>93610</v>
      </c>
      <c r="E88" s="59">
        <v>6.9557152793878966E-4</v>
      </c>
      <c r="F88" s="93">
        <v>0.59662205226258758</v>
      </c>
      <c r="G88" s="101"/>
      <c r="H88" s="61" t="str">
        <f t="shared" ref="H88:H150" si="1">"("&amp;$A88&amp;", "&amp;$B88&amp;"]"</f>
        <v>(0, 1]</v>
      </c>
      <c r="I88" s="62">
        <v>0</v>
      </c>
      <c r="J88" s="59">
        <v>0</v>
      </c>
      <c r="K88" s="59">
        <v>0</v>
      </c>
      <c r="L88" s="119">
        <v>0</v>
      </c>
      <c r="M88" s="59">
        <v>0</v>
      </c>
      <c r="N88" s="59">
        <v>0</v>
      </c>
      <c r="O88" s="51">
        <v>0</v>
      </c>
    </row>
    <row r="89" spans="1:15" x14ac:dyDescent="0.3">
      <c r="A89" s="58">
        <v>1</v>
      </c>
      <c r="B89" s="58">
        <v>2</v>
      </c>
      <c r="C89" s="72">
        <v>1451</v>
      </c>
      <c r="D89" s="72">
        <v>227480</v>
      </c>
      <c r="E89" s="59">
        <v>6.4325958383631857E-4</v>
      </c>
      <c r="F89" s="93">
        <v>1.5677463818056512</v>
      </c>
      <c r="G89" s="101"/>
      <c r="H89" s="61" t="str">
        <f t="shared" si="1"/>
        <v>(1, 2]</v>
      </c>
      <c r="I89" s="62">
        <v>0</v>
      </c>
      <c r="J89" s="59">
        <v>0</v>
      </c>
      <c r="K89" s="59">
        <v>0</v>
      </c>
      <c r="L89" s="119">
        <v>0</v>
      </c>
      <c r="M89" s="59">
        <v>0</v>
      </c>
      <c r="N89" s="59">
        <v>0</v>
      </c>
      <c r="O89" s="51">
        <v>0</v>
      </c>
    </row>
    <row r="90" spans="1:15" x14ac:dyDescent="0.3">
      <c r="A90" s="58">
        <v>2</v>
      </c>
      <c r="B90" s="58">
        <v>3</v>
      </c>
      <c r="C90" s="72">
        <v>1515</v>
      </c>
      <c r="D90" s="72">
        <v>392500</v>
      </c>
      <c r="E90" s="59">
        <v>6.7163216368850635E-4</v>
      </c>
      <c r="F90" s="93">
        <v>2.5907590759075907</v>
      </c>
      <c r="G90" s="101"/>
      <c r="H90" s="61" t="str">
        <f t="shared" si="1"/>
        <v>(2, 3]</v>
      </c>
      <c r="I90" s="62">
        <v>0</v>
      </c>
      <c r="J90" s="59">
        <v>0</v>
      </c>
      <c r="K90" s="59">
        <v>0</v>
      </c>
      <c r="L90" s="119">
        <v>0</v>
      </c>
      <c r="M90" s="59">
        <v>0</v>
      </c>
      <c r="N90" s="59">
        <v>0</v>
      </c>
      <c r="O90" s="51">
        <v>0</v>
      </c>
    </row>
    <row r="91" spans="1:15" x14ac:dyDescent="0.3">
      <c r="A91" s="58">
        <v>3</v>
      </c>
      <c r="B91" s="58">
        <v>4</v>
      </c>
      <c r="C91" s="72">
        <v>1475</v>
      </c>
      <c r="D91" s="72">
        <v>531360</v>
      </c>
      <c r="E91" s="59">
        <v>6.5389930128088901E-4</v>
      </c>
      <c r="F91" s="93">
        <v>3.602440677966102</v>
      </c>
      <c r="G91" s="101"/>
      <c r="H91" s="61" t="str">
        <f t="shared" si="1"/>
        <v>(3, 4]</v>
      </c>
      <c r="I91" s="62">
        <v>0</v>
      </c>
      <c r="J91" s="59">
        <v>0</v>
      </c>
      <c r="K91" s="59">
        <v>0</v>
      </c>
      <c r="L91" s="119">
        <v>0</v>
      </c>
      <c r="M91" s="59">
        <v>0</v>
      </c>
      <c r="N91" s="59">
        <v>0</v>
      </c>
      <c r="O91" s="51">
        <v>0</v>
      </c>
    </row>
    <row r="92" spans="1:15" x14ac:dyDescent="0.3">
      <c r="A92" s="58">
        <v>4</v>
      </c>
      <c r="B92" s="58">
        <v>5</v>
      </c>
      <c r="C92" s="72">
        <v>1501</v>
      </c>
      <c r="D92" s="72">
        <v>685345</v>
      </c>
      <c r="E92" s="59">
        <v>6.6542566184584026E-4</v>
      </c>
      <c r="F92" s="93">
        <v>4.565922718187875</v>
      </c>
      <c r="G92" s="101"/>
      <c r="H92" s="61" t="str">
        <f t="shared" si="1"/>
        <v>(4, 5]</v>
      </c>
      <c r="I92" s="62">
        <v>0</v>
      </c>
      <c r="J92" s="59">
        <v>0</v>
      </c>
      <c r="K92" s="59">
        <v>0</v>
      </c>
      <c r="L92" s="119">
        <v>0</v>
      </c>
      <c r="M92" s="59">
        <v>0</v>
      </c>
      <c r="N92" s="59">
        <v>0</v>
      </c>
      <c r="O92" s="51">
        <v>0</v>
      </c>
    </row>
    <row r="93" spans="1:15" x14ac:dyDescent="0.3">
      <c r="A93" s="58">
        <v>5</v>
      </c>
      <c r="B93" s="58">
        <v>6</v>
      </c>
      <c r="C93" s="72">
        <v>1569</v>
      </c>
      <c r="D93" s="72">
        <v>876000</v>
      </c>
      <c r="E93" s="59">
        <v>6.9557152793878966E-4</v>
      </c>
      <c r="F93" s="93">
        <v>5.5831739961759084</v>
      </c>
      <c r="G93" s="101"/>
      <c r="H93" s="61" t="str">
        <f t="shared" si="1"/>
        <v>(5, 6]</v>
      </c>
      <c r="I93" s="62">
        <v>0</v>
      </c>
      <c r="J93" s="59">
        <v>0</v>
      </c>
      <c r="K93" s="59">
        <v>0</v>
      </c>
      <c r="L93" s="119">
        <v>0</v>
      </c>
      <c r="M93" s="59">
        <v>0</v>
      </c>
      <c r="N93" s="59">
        <v>0</v>
      </c>
      <c r="O93" s="51">
        <v>0</v>
      </c>
    </row>
    <row r="94" spans="1:15" x14ac:dyDescent="0.3">
      <c r="A94" s="58">
        <v>6</v>
      </c>
      <c r="B94" s="58">
        <v>7</v>
      </c>
      <c r="C94" s="72">
        <v>1661</v>
      </c>
      <c r="D94" s="72">
        <v>1089245</v>
      </c>
      <c r="E94" s="59">
        <v>7.3635711147630961E-4</v>
      </c>
      <c r="F94" s="93">
        <v>6.5577664057796508</v>
      </c>
      <c r="G94" s="101"/>
      <c r="H94" s="61" t="str">
        <f t="shared" si="1"/>
        <v>(6, 7]</v>
      </c>
      <c r="I94" s="62">
        <v>0</v>
      </c>
      <c r="J94" s="59">
        <v>0</v>
      </c>
      <c r="K94" s="59">
        <v>0</v>
      </c>
      <c r="L94" s="119">
        <v>0</v>
      </c>
      <c r="M94" s="59">
        <v>0</v>
      </c>
      <c r="N94" s="59">
        <v>0</v>
      </c>
      <c r="O94" s="51">
        <v>0</v>
      </c>
    </row>
    <row r="95" spans="1:15" x14ac:dyDescent="0.3">
      <c r="A95" s="58">
        <v>7</v>
      </c>
      <c r="B95" s="58">
        <v>8</v>
      </c>
      <c r="C95" s="72">
        <v>1679</v>
      </c>
      <c r="D95" s="72">
        <v>1266615</v>
      </c>
      <c r="E95" s="59">
        <v>7.4433689955973731E-4</v>
      </c>
      <c r="F95" s="93">
        <v>7.5438653960690889</v>
      </c>
      <c r="G95" s="101"/>
      <c r="H95" s="61" t="str">
        <f t="shared" si="1"/>
        <v>(7, 8]</v>
      </c>
      <c r="I95" s="62">
        <v>0</v>
      </c>
      <c r="J95" s="59">
        <v>0</v>
      </c>
      <c r="K95" s="59">
        <v>0</v>
      </c>
      <c r="L95" s="119">
        <v>0</v>
      </c>
      <c r="M95" s="59">
        <v>0</v>
      </c>
      <c r="N95" s="59">
        <v>0</v>
      </c>
      <c r="O95" s="51">
        <v>0</v>
      </c>
    </row>
    <row r="96" spans="1:15" x14ac:dyDescent="0.3">
      <c r="A96" s="58">
        <v>8</v>
      </c>
      <c r="B96" s="58">
        <v>9</v>
      </c>
      <c r="C96" s="72">
        <v>1731</v>
      </c>
      <c r="D96" s="72">
        <v>1482575</v>
      </c>
      <c r="E96" s="59">
        <v>7.6738962068963992E-4</v>
      </c>
      <c r="F96" s="93">
        <v>8.5648469093009822</v>
      </c>
      <c r="G96" s="101"/>
      <c r="H96" s="61" t="str">
        <f t="shared" si="1"/>
        <v>(8, 9]</v>
      </c>
      <c r="I96" s="62">
        <v>0</v>
      </c>
      <c r="J96" s="59">
        <v>0</v>
      </c>
      <c r="K96" s="59">
        <v>0</v>
      </c>
      <c r="L96" s="119">
        <v>0</v>
      </c>
      <c r="M96" s="59">
        <v>0</v>
      </c>
      <c r="N96" s="59">
        <v>0</v>
      </c>
      <c r="O96" s="51">
        <v>0</v>
      </c>
    </row>
    <row r="97" spans="1:15" x14ac:dyDescent="0.3">
      <c r="A97" s="58">
        <v>9</v>
      </c>
      <c r="B97" s="58">
        <v>10</v>
      </c>
      <c r="C97" s="72">
        <v>1671</v>
      </c>
      <c r="D97" s="72">
        <v>1596910</v>
      </c>
      <c r="E97" s="59">
        <v>7.4079032707821387E-4</v>
      </c>
      <c r="F97" s="93">
        <v>9.5566128067025744</v>
      </c>
      <c r="G97" s="101"/>
      <c r="H97" s="61" t="str">
        <f t="shared" si="1"/>
        <v>(9, 10]</v>
      </c>
      <c r="I97" s="62">
        <v>0</v>
      </c>
      <c r="J97" s="59">
        <v>0</v>
      </c>
      <c r="K97" s="59">
        <v>0</v>
      </c>
      <c r="L97" s="119">
        <v>0</v>
      </c>
      <c r="M97" s="59">
        <v>0</v>
      </c>
      <c r="N97" s="59">
        <v>0</v>
      </c>
      <c r="O97" s="51">
        <v>0</v>
      </c>
    </row>
    <row r="98" spans="1:15" x14ac:dyDescent="0.3">
      <c r="A98" s="58">
        <v>10</v>
      </c>
      <c r="B98" s="58">
        <v>15</v>
      </c>
      <c r="C98" s="72">
        <v>8825</v>
      </c>
      <c r="D98" s="72">
        <v>11116765</v>
      </c>
      <c r="E98" s="59">
        <v>3.9123127686805734E-3</v>
      </c>
      <c r="F98" s="93">
        <v>12.596900849858358</v>
      </c>
      <c r="G98" s="102"/>
      <c r="H98" s="61" t="str">
        <f t="shared" si="1"/>
        <v>(10, 15]</v>
      </c>
      <c r="I98" s="62">
        <v>26.86623500000001</v>
      </c>
      <c r="J98" s="59">
        <v>0.10510911423687297</v>
      </c>
      <c r="K98" s="59">
        <v>0.13126625998774358</v>
      </c>
      <c r="L98" s="119">
        <v>131266259</v>
      </c>
      <c r="M98" s="59">
        <v>0.13126626188785775</v>
      </c>
      <c r="N98" s="59">
        <v>1.653548085932885</v>
      </c>
      <c r="O98" s="51">
        <v>29.552858500000013</v>
      </c>
    </row>
    <row r="99" spans="1:15" x14ac:dyDescent="0.3">
      <c r="A99" s="58">
        <v>15</v>
      </c>
      <c r="B99" s="58">
        <v>20</v>
      </c>
      <c r="C99" s="72">
        <v>9436</v>
      </c>
      <c r="D99" s="72">
        <v>16588125</v>
      </c>
      <c r="E99" s="59">
        <v>4.1831822419569282E-3</v>
      </c>
      <c r="F99" s="93">
        <v>17.579615303094531</v>
      </c>
      <c r="G99" s="102"/>
      <c r="H99" s="115" t="str">
        <f t="shared" si="1"/>
        <v>(15, 20]</v>
      </c>
      <c r="I99" s="62">
        <v>25.123956000000007</v>
      </c>
      <c r="J99" s="59">
        <v>0.10509808658690725</v>
      </c>
      <c r="K99" s="59">
        <v>0.13125248802916545</v>
      </c>
      <c r="L99" s="119">
        <v>131252488</v>
      </c>
      <c r="M99" s="59">
        <v>0.13125249088755481</v>
      </c>
      <c r="N99" s="59">
        <v>2.3073682973761338</v>
      </c>
      <c r="O99" s="51">
        <v>27.636351600000008</v>
      </c>
    </row>
    <row r="100" spans="1:15" x14ac:dyDescent="0.3">
      <c r="A100" s="58">
        <v>20</v>
      </c>
      <c r="B100" s="58">
        <v>25</v>
      </c>
      <c r="C100" s="72">
        <v>10078</v>
      </c>
      <c r="D100" s="72">
        <v>22742885</v>
      </c>
      <c r="E100" s="59">
        <v>4.4677946835991857E-3</v>
      </c>
      <c r="F100" s="93">
        <v>22.566863464973206</v>
      </c>
      <c r="G100" s="102"/>
      <c r="H100" s="61" t="str">
        <f t="shared" si="1"/>
        <v>(20, 25]</v>
      </c>
      <c r="I100" s="62">
        <v>23.52808700000001</v>
      </c>
      <c r="J100" s="59">
        <v>0.10511866201385917</v>
      </c>
      <c r="K100" s="59">
        <v>0.13127818379649484</v>
      </c>
      <c r="L100" s="119">
        <v>131278183</v>
      </c>
      <c r="M100" s="59">
        <v>0.1312781858881201</v>
      </c>
      <c r="N100" s="59">
        <v>2.9625368968665784</v>
      </c>
      <c r="O100" s="51">
        <v>25.880895700000014</v>
      </c>
    </row>
    <row r="101" spans="1:15" x14ac:dyDescent="0.3">
      <c r="A101" s="58">
        <v>25</v>
      </c>
      <c r="B101" s="58">
        <v>30</v>
      </c>
      <c r="C101" s="72">
        <v>10197</v>
      </c>
      <c r="D101" s="72">
        <v>28081770</v>
      </c>
      <c r="E101" s="59">
        <v>4.5205499492618475E-3</v>
      </c>
      <c r="F101" s="93">
        <v>27.53924683730509</v>
      </c>
      <c r="G101" s="102"/>
      <c r="H101" s="61" t="str">
        <f t="shared" si="1"/>
        <v>(25, 30]</v>
      </c>
      <c r="I101" s="62">
        <v>23.42560000000001</v>
      </c>
      <c r="J101" s="59">
        <v>0.10589659489142839</v>
      </c>
      <c r="K101" s="59">
        <v>0.13224971076731382</v>
      </c>
      <c r="L101" s="119">
        <v>132249710</v>
      </c>
      <c r="M101" s="59">
        <v>0.13224971290949369</v>
      </c>
      <c r="N101" s="59">
        <v>3.6420574879772802</v>
      </c>
      <c r="O101" s="51">
        <v>25.768160000000012</v>
      </c>
    </row>
    <row r="102" spans="1:15" x14ac:dyDescent="0.3">
      <c r="A102" s="58">
        <v>30</v>
      </c>
      <c r="B102" s="58">
        <v>35</v>
      </c>
      <c r="C102" s="72">
        <v>11003</v>
      </c>
      <c r="D102" s="72">
        <v>35815785</v>
      </c>
      <c r="E102" s="59">
        <v>4.8778671267753369E-3</v>
      </c>
      <c r="F102" s="93">
        <v>32.550927019903661</v>
      </c>
      <c r="G102" s="102"/>
      <c r="H102" s="61" t="str">
        <f t="shared" si="1"/>
        <v>(30, 35]</v>
      </c>
      <c r="I102" s="62">
        <v>6</v>
      </c>
      <c r="J102" s="59">
        <v>2.926720276065202E-2</v>
      </c>
      <c r="K102" s="59">
        <v>3.6550552961905056E-2</v>
      </c>
      <c r="L102" s="119">
        <v>36550552</v>
      </c>
      <c r="M102" s="59">
        <v>3.6550552804112159E-2</v>
      </c>
      <c r="N102" s="59">
        <v>1.1897543768637899</v>
      </c>
      <c r="O102" s="51">
        <v>6.6000000000000005</v>
      </c>
    </row>
    <row r="103" spans="1:15" x14ac:dyDescent="0.3">
      <c r="A103" s="58">
        <v>35</v>
      </c>
      <c r="B103" s="58">
        <v>40</v>
      </c>
      <c r="C103" s="72">
        <v>11425</v>
      </c>
      <c r="D103" s="72">
        <v>42891815</v>
      </c>
      <c r="E103" s="59">
        <v>5.0649488251756991E-3</v>
      </c>
      <c r="F103" s="93">
        <v>37.542070021881834</v>
      </c>
      <c r="G103" s="102"/>
      <c r="H103" s="115" t="str">
        <f t="shared" si="1"/>
        <v>(35, 40]</v>
      </c>
      <c r="I103" s="62">
        <v>4.72</v>
      </c>
      <c r="J103" s="59">
        <v>2.3906558454829297E-2</v>
      </c>
      <c r="K103" s="59">
        <v>2.9855874443692504E-2</v>
      </c>
      <c r="L103" s="119">
        <v>29855874</v>
      </c>
      <c r="M103" s="59">
        <v>2.9855874656829241E-2</v>
      </c>
      <c r="N103" s="59">
        <v>1.1208513369312108</v>
      </c>
      <c r="O103" s="51">
        <v>5.1920000000000002</v>
      </c>
    </row>
    <row r="104" spans="1:15" x14ac:dyDescent="0.3">
      <c r="A104" s="58">
        <v>40</v>
      </c>
      <c r="B104" s="58">
        <v>45</v>
      </c>
      <c r="C104" s="72">
        <v>11797</v>
      </c>
      <c r="D104" s="72">
        <v>50196555</v>
      </c>
      <c r="E104" s="59">
        <v>5.229864445566541E-3</v>
      </c>
      <c r="F104" s="93">
        <v>42.550271255403914</v>
      </c>
      <c r="G104" s="102"/>
      <c r="H104" s="61" t="str">
        <f t="shared" si="1"/>
        <v>(40, 45]</v>
      </c>
      <c r="I104" s="62">
        <v>4.5</v>
      </c>
      <c r="J104" s="59">
        <v>2.3534390005049435E-2</v>
      </c>
      <c r="K104" s="59">
        <v>2.9391089245541718E-2</v>
      </c>
      <c r="L104" s="119">
        <v>29391089</v>
      </c>
      <c r="M104" s="59">
        <v>2.9391089646603974E-2</v>
      </c>
      <c r="N104" s="59">
        <v>1.2505988369548926</v>
      </c>
      <c r="O104" s="51">
        <v>4.95</v>
      </c>
    </row>
    <row r="105" spans="1:15" x14ac:dyDescent="0.3">
      <c r="A105" s="58">
        <v>45</v>
      </c>
      <c r="B105" s="58">
        <v>50</v>
      </c>
      <c r="C105" s="72">
        <v>12192</v>
      </c>
      <c r="D105" s="72">
        <v>57985980</v>
      </c>
      <c r="E105" s="59">
        <v>5.4049764618417616E-3</v>
      </c>
      <c r="F105" s="93">
        <v>47.560679133858265</v>
      </c>
      <c r="G105" s="102"/>
      <c r="H105" s="61" t="str">
        <f t="shared" si="1"/>
        <v>(45, 50]</v>
      </c>
      <c r="I105" s="62">
        <v>4</v>
      </c>
      <c r="J105" s="59">
        <v>2.1619905847367046E-2</v>
      </c>
      <c r="K105" s="59">
        <v>2.7000172177984578E-2</v>
      </c>
      <c r="L105" s="119">
        <v>27000172</v>
      </c>
      <c r="M105" s="59">
        <v>2.7000172594003797E-2</v>
      </c>
      <c r="N105" s="59">
        <v>1.2841465453022081</v>
      </c>
      <c r="O105" s="51">
        <v>4.4000000000000004</v>
      </c>
    </row>
    <row r="106" spans="1:15" x14ac:dyDescent="0.3">
      <c r="A106" s="58">
        <v>50</v>
      </c>
      <c r="B106" s="58">
        <v>60</v>
      </c>
      <c r="C106" s="72">
        <v>25739</v>
      </c>
      <c r="D106" s="72">
        <v>141851425</v>
      </c>
      <c r="E106" s="59">
        <v>1.1410653637741561E-2</v>
      </c>
      <c r="F106" s="93">
        <v>55.111474804770971</v>
      </c>
      <c r="G106" s="102"/>
      <c r="H106" s="115" t="str">
        <f t="shared" si="1"/>
        <v>(50, 60]</v>
      </c>
      <c r="I106" s="62">
        <v>1.6</v>
      </c>
      <c r="J106" s="59">
        <v>1.8257045820386498E-2</v>
      </c>
      <c r="K106" s="59">
        <v>2.2800440672216045E-2</v>
      </c>
      <c r="L106" s="119">
        <v>22800440</v>
      </c>
      <c r="M106" s="59">
        <v>2.2800440501609689E-2</v>
      </c>
      <c r="N106" s="59">
        <v>1.256565902242142</v>
      </c>
      <c r="O106" s="51">
        <v>1.7600000000000002</v>
      </c>
    </row>
    <row r="107" spans="1:15" x14ac:dyDescent="0.3">
      <c r="A107" s="58">
        <v>60</v>
      </c>
      <c r="B107" s="58">
        <v>70</v>
      </c>
      <c r="C107" s="72">
        <v>26832</v>
      </c>
      <c r="D107" s="72">
        <v>174673430</v>
      </c>
      <c r="E107" s="59">
        <v>1.1895204103029704E-2</v>
      </c>
      <c r="F107" s="93">
        <v>65.09892292784734</v>
      </c>
      <c r="G107" s="102"/>
      <c r="H107" s="61" t="str">
        <f t="shared" si="1"/>
        <v>(60, 70]</v>
      </c>
      <c r="I107" s="62">
        <v>4.5270000000000001</v>
      </c>
      <c r="J107" s="59">
        <v>5.3849588974415469E-2</v>
      </c>
      <c r="K107" s="59">
        <v>6.7250439677561544E-2</v>
      </c>
      <c r="L107" s="119">
        <v>67250439</v>
      </c>
      <c r="M107" s="59">
        <v>6.7250440479509691E-2</v>
      </c>
      <c r="N107" s="59">
        <v>4.3779312416393861</v>
      </c>
      <c r="O107" s="51">
        <v>4.9797000000000002</v>
      </c>
    </row>
    <row r="108" spans="1:15" x14ac:dyDescent="0.3">
      <c r="A108" s="58">
        <v>70</v>
      </c>
      <c r="B108" s="58">
        <v>80</v>
      </c>
      <c r="C108" s="72">
        <v>28303</v>
      </c>
      <c r="D108" s="72">
        <v>212519325</v>
      </c>
      <c r="E108" s="59">
        <v>1.2547330118069831E-2</v>
      </c>
      <c r="F108" s="93">
        <v>75.087208069815929</v>
      </c>
      <c r="G108" s="102"/>
      <c r="H108" s="61" t="str">
        <f t="shared" si="1"/>
        <v>(70, 80]</v>
      </c>
      <c r="I108" s="62">
        <v>3.87</v>
      </c>
      <c r="J108" s="59">
        <v>4.8558167556930244E-2</v>
      </c>
      <c r="K108" s="59">
        <v>6.0642210652559779E-2</v>
      </c>
      <c r="L108" s="119">
        <v>60642210</v>
      </c>
      <c r="M108" s="59">
        <v>6.064221133412865E-2</v>
      </c>
      <c r="N108" s="59">
        <v>4.553454340259468</v>
      </c>
      <c r="O108" s="51">
        <v>4.2570000000000006</v>
      </c>
    </row>
    <row r="109" spans="1:15" x14ac:dyDescent="0.3">
      <c r="A109" s="58">
        <v>80</v>
      </c>
      <c r="B109" s="58">
        <v>90</v>
      </c>
      <c r="C109" s="72">
        <v>29309</v>
      </c>
      <c r="D109" s="72">
        <v>249325845</v>
      </c>
      <c r="E109" s="59">
        <v>1.2993311607621407E-2</v>
      </c>
      <c r="F109" s="93">
        <v>85.068014944215079</v>
      </c>
      <c r="H109" s="61" t="str">
        <f t="shared" si="1"/>
        <v>(80, 90]</v>
      </c>
      <c r="I109" s="62">
        <v>1.9</v>
      </c>
      <c r="J109" s="59">
        <v>2.4687292054480673E-2</v>
      </c>
      <c r="K109" s="59">
        <v>3.0830899116072938E-2</v>
      </c>
      <c r="L109" s="119">
        <v>30830899</v>
      </c>
      <c r="M109" s="59">
        <v>3.0830899678279792E-2</v>
      </c>
      <c r="N109" s="59">
        <v>2.6227234345755011</v>
      </c>
      <c r="O109" s="51">
        <v>2.09</v>
      </c>
    </row>
    <row r="110" spans="1:15" x14ac:dyDescent="0.3">
      <c r="A110" s="58">
        <v>90</v>
      </c>
      <c r="B110" s="58">
        <v>100</v>
      </c>
      <c r="C110" s="72">
        <v>30520</v>
      </c>
      <c r="D110" s="72">
        <v>290091375</v>
      </c>
      <c r="E110" s="59">
        <v>1.3530174017012021E-2</v>
      </c>
      <c r="F110" s="93">
        <v>95.049598623853214</v>
      </c>
      <c r="G110" s="102"/>
      <c r="H110" s="61" t="str">
        <f t="shared" si="1"/>
        <v>(90, 100]</v>
      </c>
      <c r="I110" s="117">
        <v>1.6</v>
      </c>
      <c r="J110" s="118">
        <v>2.1648278427219236E-2</v>
      </c>
      <c r="K110" s="118">
        <v>2.7035605474806081E-2</v>
      </c>
      <c r="L110" s="119">
        <v>27035605</v>
      </c>
      <c r="M110" s="118">
        <v>2.7035605594783324E-2</v>
      </c>
      <c r="N110" s="118">
        <v>2.5697234603369554</v>
      </c>
      <c r="O110" s="51">
        <v>1.7600000000000002</v>
      </c>
    </row>
    <row r="111" spans="1:15" x14ac:dyDescent="0.3">
      <c r="A111" s="58">
        <v>100</v>
      </c>
      <c r="B111" s="58">
        <v>120</v>
      </c>
      <c r="C111" s="72">
        <v>63096</v>
      </c>
      <c r="D111" s="72">
        <v>694686090</v>
      </c>
      <c r="E111" s="59">
        <v>2.7971817161775575E-2</v>
      </c>
      <c r="F111" s="93">
        <v>110.09986211487258</v>
      </c>
      <c r="G111" s="102"/>
      <c r="H111" s="61" t="str">
        <f t="shared" si="1"/>
        <v>(100, 120]</v>
      </c>
      <c r="I111" s="117">
        <v>1.2235</v>
      </c>
      <c r="J111" s="118">
        <v>3.422351829743242E-2</v>
      </c>
      <c r="K111" s="118">
        <v>4.2740282640019646E-2</v>
      </c>
      <c r="L111" s="119">
        <v>42740282</v>
      </c>
      <c r="M111" s="118">
        <v>4.2740282940286221E-2</v>
      </c>
      <c r="N111" s="118">
        <v>4.7056992584761534</v>
      </c>
      <c r="O111" s="51">
        <v>1.3458500000000002</v>
      </c>
    </row>
    <row r="112" spans="1:15" x14ac:dyDescent="0.3">
      <c r="A112" s="58">
        <v>120</v>
      </c>
      <c r="B112" s="58">
        <v>140</v>
      </c>
      <c r="C112" s="72">
        <v>64648</v>
      </c>
      <c r="D112" s="72">
        <v>840872730</v>
      </c>
      <c r="E112" s="59">
        <v>2.8659852223191125E-2</v>
      </c>
      <c r="F112" s="93">
        <v>130.06941127335725</v>
      </c>
      <c r="G112" s="102"/>
      <c r="H112" s="61" t="str">
        <f t="shared" si="1"/>
        <v>(120, 140]</v>
      </c>
      <c r="I112" s="117">
        <v>0.52470000000000006</v>
      </c>
      <c r="J112" s="118">
        <v>1.5037824461508385E-2</v>
      </c>
      <c r="K112" s="118">
        <v>1.878009333201984E-2</v>
      </c>
      <c r="L112" s="119">
        <v>18780093</v>
      </c>
      <c r="M112" s="118">
        <v>1.8780093413162054E-2</v>
      </c>
      <c r="N112" s="118">
        <v>2.4427156939086427</v>
      </c>
      <c r="O112" s="51">
        <v>0.57717000000000007</v>
      </c>
    </row>
    <row r="113" spans="1:15" x14ac:dyDescent="0.3">
      <c r="A113" s="58">
        <v>140</v>
      </c>
      <c r="B113" s="58">
        <v>160</v>
      </c>
      <c r="C113" s="72">
        <v>66109</v>
      </c>
      <c r="D113" s="72">
        <v>991686405</v>
      </c>
      <c r="E113" s="59">
        <v>2.9307545022629351E-2</v>
      </c>
      <c r="F113" s="93">
        <v>150.00777579452117</v>
      </c>
      <c r="G113" s="102"/>
      <c r="H113" s="61" t="str">
        <f t="shared" si="1"/>
        <v>(140, 160]</v>
      </c>
      <c r="I113" s="117">
        <v>0.78732000000000013</v>
      </c>
      <c r="J113" s="118">
        <v>2.3074416347216544E-2</v>
      </c>
      <c r="K113" s="118">
        <v>2.8816647892905674E-2</v>
      </c>
      <c r="L113" s="119">
        <v>28816647</v>
      </c>
      <c r="M113" s="118">
        <v>2.8816647633966248E-2</v>
      </c>
      <c r="N113" s="118">
        <v>4.3227212174257277</v>
      </c>
      <c r="O113" s="51">
        <v>0.86605200000000027</v>
      </c>
    </row>
    <row r="114" spans="1:15" x14ac:dyDescent="0.3">
      <c r="A114" s="58">
        <v>160</v>
      </c>
      <c r="B114" s="58">
        <v>180</v>
      </c>
      <c r="C114" s="72">
        <v>66110</v>
      </c>
      <c r="D114" s="72">
        <v>1124215945</v>
      </c>
      <c r="E114" s="59">
        <v>2.9307988344189538E-2</v>
      </c>
      <c r="F114" s="93">
        <v>170.05232869459988</v>
      </c>
      <c r="G114" s="102"/>
      <c r="H114" s="61" t="str">
        <f t="shared" si="1"/>
        <v>(160, 180]</v>
      </c>
      <c r="I114" s="117">
        <v>0.23245229340000007</v>
      </c>
      <c r="J114" s="118">
        <v>6.8127091055473288E-3</v>
      </c>
      <c r="K114" s="118">
        <v>8.508099903252013E-3</v>
      </c>
      <c r="L114" s="119">
        <v>8508099</v>
      </c>
      <c r="M114" s="118">
        <v>8.5080991871781825E-3</v>
      </c>
      <c r="N114" s="118">
        <v>1.4468220795442823</v>
      </c>
      <c r="O114" s="51">
        <v>0.25569752274000007</v>
      </c>
    </row>
    <row r="115" spans="1:15" x14ac:dyDescent="0.3">
      <c r="A115" s="58">
        <v>180</v>
      </c>
      <c r="B115" s="58">
        <v>200</v>
      </c>
      <c r="C115" s="72">
        <v>65860</v>
      </c>
      <c r="D115" s="72">
        <v>1251563885</v>
      </c>
      <c r="E115" s="59">
        <v>2.919715795414193E-2</v>
      </c>
      <c r="F115" s="93">
        <v>190.033994078348</v>
      </c>
      <c r="G115" s="102"/>
      <c r="H115" s="61" t="str">
        <f t="shared" si="1"/>
        <v>(180, 200]</v>
      </c>
      <c r="I115" s="117">
        <v>0.20533285917000005</v>
      </c>
      <c r="J115" s="118">
        <v>5.9951359223620717E-3</v>
      </c>
      <c r="K115" s="118">
        <v>7.4870678566766012E-3</v>
      </c>
      <c r="L115" s="119">
        <v>7487067</v>
      </c>
      <c r="M115" s="118">
        <v>7.4870671647154774E-3</v>
      </c>
      <c r="N115" s="118">
        <v>1.4227972772437347</v>
      </c>
      <c r="O115" s="51">
        <v>0.22586614508700006</v>
      </c>
    </row>
    <row r="116" spans="1:15" x14ac:dyDescent="0.3">
      <c r="A116" s="58">
        <v>200</v>
      </c>
      <c r="B116" s="58">
        <v>250</v>
      </c>
      <c r="C116" s="72">
        <v>159483</v>
      </c>
      <c r="D116" s="72">
        <v>3584931735</v>
      </c>
      <c r="E116" s="59">
        <v>7.0702252383850861E-2</v>
      </c>
      <c r="F116" s="93">
        <v>224.78456857470701</v>
      </c>
      <c r="G116" s="102"/>
      <c r="H116" s="61" t="str">
        <f t="shared" si="1"/>
        <v>(200, 250]</v>
      </c>
      <c r="I116" s="117">
        <v>0.22719368470500004</v>
      </c>
      <c r="J116" s="118">
        <v>1.606310523602995E-2</v>
      </c>
      <c r="K116" s="118">
        <v>2.0060522471642153E-2</v>
      </c>
      <c r="L116" s="119">
        <v>20060522</v>
      </c>
      <c r="M116" s="118">
        <v>2.0060522441331493E-2</v>
      </c>
      <c r="N116" s="118">
        <v>4.5092958823579279</v>
      </c>
      <c r="O116" s="51">
        <v>0.24991305317550006</v>
      </c>
    </row>
    <row r="117" spans="1:15" x14ac:dyDescent="0.3">
      <c r="A117" s="58">
        <v>250</v>
      </c>
      <c r="B117" s="58">
        <v>300</v>
      </c>
      <c r="C117" s="72">
        <v>149745</v>
      </c>
      <c r="D117" s="72">
        <v>4113244610</v>
      </c>
      <c r="E117" s="59">
        <v>6.6385187030716428E-2</v>
      </c>
      <c r="F117" s="93">
        <v>274.6832688904471</v>
      </c>
      <c r="G117" s="102"/>
      <c r="H117" s="61" t="str">
        <f t="shared" si="1"/>
        <v>(250, 300]</v>
      </c>
      <c r="I117" s="117">
        <v>6.8186006064000007E-2</v>
      </c>
      <c r="J117" s="118">
        <v>4.5265407654362048E-3</v>
      </c>
      <c r="K117" s="118">
        <v>5.6530024182472431E-3</v>
      </c>
      <c r="L117" s="119">
        <v>5653002</v>
      </c>
      <c r="M117" s="118">
        <v>5.6530021243660468E-3</v>
      </c>
      <c r="N117" s="118">
        <v>1.5527851025655075</v>
      </c>
      <c r="O117" s="51">
        <v>7.5004606670400015E-2</v>
      </c>
    </row>
    <row r="118" spans="1:15" x14ac:dyDescent="0.3">
      <c r="A118" s="58">
        <v>300</v>
      </c>
      <c r="B118" s="58">
        <v>350</v>
      </c>
      <c r="C118" s="72">
        <v>137137</v>
      </c>
      <c r="D118" s="72">
        <v>4452780540</v>
      </c>
      <c r="E118" s="59">
        <v>6.0795788799835437E-2</v>
      </c>
      <c r="F118" s="93">
        <v>324.69578159067208</v>
      </c>
      <c r="G118" s="102"/>
      <c r="H118" s="61" t="str">
        <f t="shared" si="1"/>
        <v>(300, 350]</v>
      </c>
      <c r="I118" s="117">
        <v>6.3924380685000018E-2</v>
      </c>
      <c r="J118" s="118">
        <v>3.886333147285541E-3</v>
      </c>
      <c r="K118" s="118">
        <v>4.8534746107831584E-3</v>
      </c>
      <c r="L118" s="119">
        <v>4853474</v>
      </c>
      <c r="M118" s="118">
        <v>4.8534741067764306E-3</v>
      </c>
      <c r="N118" s="118">
        <v>1.5759025685298622</v>
      </c>
      <c r="O118" s="51">
        <v>7.0316818753500029E-2</v>
      </c>
    </row>
    <row r="119" spans="1:15" x14ac:dyDescent="0.3">
      <c r="A119" s="58">
        <v>350</v>
      </c>
      <c r="B119" s="58">
        <v>400</v>
      </c>
      <c r="C119" s="72">
        <v>123573</v>
      </c>
      <c r="D119" s="72">
        <v>4628657055</v>
      </c>
      <c r="E119" s="59">
        <v>5.4782575157412403E-2</v>
      </c>
      <c r="F119" s="93">
        <v>374.56863999417351</v>
      </c>
      <c r="G119" s="102"/>
      <c r="H119" s="61" t="str">
        <f t="shared" si="1"/>
        <v>(350, 400]</v>
      </c>
      <c r="I119" s="117">
        <v>0.01</v>
      </c>
      <c r="J119" s="118">
        <v>5.4782575157412406E-4</v>
      </c>
      <c r="K119" s="118">
        <v>6.8415606064429308E-4</v>
      </c>
      <c r="L119" s="119">
        <v>684156</v>
      </c>
      <c r="M119" s="118">
        <v>6.8415601505143232E-4</v>
      </c>
      <c r="N119" s="118">
        <v>0.25626338810164828</v>
      </c>
      <c r="O119" s="51">
        <v>1.1000000000000001E-2</v>
      </c>
    </row>
    <row r="120" spans="1:15" x14ac:dyDescent="0.3">
      <c r="A120" s="58">
        <v>400</v>
      </c>
      <c r="B120" s="58">
        <v>450</v>
      </c>
      <c r="C120" s="72">
        <v>111713</v>
      </c>
      <c r="D120" s="72">
        <v>4742266710</v>
      </c>
      <c r="E120" s="59">
        <v>4.9524781453553865E-2</v>
      </c>
      <c r="F120" s="93">
        <v>424.50446322272251</v>
      </c>
      <c r="G120" s="102"/>
      <c r="H120" s="61" t="str">
        <f t="shared" si="1"/>
        <v>(400, 450]</v>
      </c>
      <c r="I120" s="117">
        <v>0.01</v>
      </c>
      <c r="J120" s="118">
        <v>4.9524781453553861E-4</v>
      </c>
      <c r="K120" s="118">
        <v>6.1849373247194694E-4</v>
      </c>
      <c r="L120" s="119">
        <v>618493</v>
      </c>
      <c r="M120" s="118">
        <v>6.1849301360684635E-4</v>
      </c>
      <c r="N120" s="118">
        <v>0.26255304474817831</v>
      </c>
      <c r="O120" s="51">
        <v>1.1000000000000001E-2</v>
      </c>
    </row>
    <row r="121" spans="1:15" x14ac:dyDescent="0.3">
      <c r="A121" s="58">
        <v>450</v>
      </c>
      <c r="B121" s="58">
        <v>500</v>
      </c>
      <c r="C121" s="72">
        <v>99404</v>
      </c>
      <c r="D121" s="72">
        <v>4718001905</v>
      </c>
      <c r="E121" s="59">
        <v>4.4067936369169822E-2</v>
      </c>
      <c r="F121" s="93">
        <v>474.62897921612813</v>
      </c>
      <c r="G121" s="102"/>
      <c r="H121" s="61" t="str">
        <f t="shared" si="1"/>
        <v>(450, 500]</v>
      </c>
      <c r="I121" s="117">
        <v>0.01</v>
      </c>
      <c r="J121" s="118">
        <v>4.406793636916982E-4</v>
      </c>
      <c r="K121" s="118">
        <v>5.5034553706946739E-4</v>
      </c>
      <c r="L121" s="119">
        <v>550345</v>
      </c>
      <c r="M121" s="118">
        <v>5.5034501210759026E-4</v>
      </c>
      <c r="N121" s="118">
        <v>0.26120969131331323</v>
      </c>
      <c r="O121" s="51">
        <v>1.1000000000000001E-2</v>
      </c>
    </row>
    <row r="122" spans="1:15" x14ac:dyDescent="0.3">
      <c r="A122" s="58">
        <v>500</v>
      </c>
      <c r="B122" s="58">
        <v>550</v>
      </c>
      <c r="C122" s="72">
        <v>89491</v>
      </c>
      <c r="D122" s="72">
        <v>4694103960</v>
      </c>
      <c r="E122" s="59">
        <v>3.9673289743002056E-2</v>
      </c>
      <c r="F122" s="93">
        <v>524.53363578460403</v>
      </c>
      <c r="G122" s="102"/>
      <c r="H122" s="61" t="str">
        <f t="shared" si="1"/>
        <v>(500, 550]</v>
      </c>
      <c r="I122" s="117">
        <v>0.01</v>
      </c>
      <c r="J122" s="118">
        <v>3.9673289743002055E-4</v>
      </c>
      <c r="K122" s="118">
        <v>4.9546268216453776E-4</v>
      </c>
      <c r="L122" s="119">
        <v>495462</v>
      </c>
      <c r="M122" s="118">
        <v>4.9546201090016424E-4</v>
      </c>
      <c r="N122" s="118">
        <v>0.25988648997061425</v>
      </c>
      <c r="O122" s="51">
        <v>1.1000000000000001E-2</v>
      </c>
    </row>
    <row r="123" spans="1:15" x14ac:dyDescent="0.3">
      <c r="A123" s="58">
        <v>550</v>
      </c>
      <c r="B123" s="58">
        <v>600</v>
      </c>
      <c r="C123" s="72">
        <v>79755</v>
      </c>
      <c r="D123" s="72">
        <v>4582506320</v>
      </c>
      <c r="E123" s="59">
        <v>3.5357111032987998E-2</v>
      </c>
      <c r="F123" s="93">
        <v>574.57291956617144</v>
      </c>
      <c r="G123" s="102"/>
      <c r="H123" s="61" t="str">
        <f t="shared" si="1"/>
        <v>(550, 600]</v>
      </c>
      <c r="I123" s="62">
        <v>0.01</v>
      </c>
      <c r="J123" s="59">
        <v>3.5357111032988E-4</v>
      </c>
      <c r="K123" s="59">
        <v>4.4155977937482776E-4</v>
      </c>
      <c r="L123" s="119">
        <v>441559</v>
      </c>
      <c r="M123" s="59">
        <v>4.4155900971429822E-4</v>
      </c>
      <c r="N123" s="59">
        <v>0.25370784937229179</v>
      </c>
      <c r="O123" s="51">
        <v>1.1000000000000001E-2</v>
      </c>
    </row>
    <row r="124" spans="1:15" x14ac:dyDescent="0.3">
      <c r="A124" s="58">
        <v>600</v>
      </c>
      <c r="B124" s="58">
        <v>650</v>
      </c>
      <c r="C124" s="72">
        <v>70859</v>
      </c>
      <c r="D124" s="72">
        <v>4425761675</v>
      </c>
      <c r="E124" s="59">
        <v>3.1413322433533904E-2</v>
      </c>
      <c r="F124" s="93">
        <v>624.58709197137978</v>
      </c>
      <c r="G124" s="102"/>
      <c r="H124" s="61" t="str">
        <f t="shared" si="1"/>
        <v>(600, 650]</v>
      </c>
      <c r="I124" s="62">
        <v>0.01</v>
      </c>
      <c r="J124" s="59">
        <v>3.1413322433533907E-4</v>
      </c>
      <c r="K124" s="59">
        <v>3.9230749679293984E-4</v>
      </c>
      <c r="L124" s="119">
        <v>392307</v>
      </c>
      <c r="M124" s="59">
        <v>3.923070086307542E-4</v>
      </c>
      <c r="N124" s="59">
        <v>0.24502989368067377</v>
      </c>
      <c r="O124" s="51">
        <v>1.1000000000000001E-2</v>
      </c>
    </row>
    <row r="125" spans="1:15" x14ac:dyDescent="0.3">
      <c r="A125" s="58">
        <v>650</v>
      </c>
      <c r="B125" s="58">
        <v>700</v>
      </c>
      <c r="C125" s="72">
        <v>63134</v>
      </c>
      <c r="D125" s="72">
        <v>4258522095</v>
      </c>
      <c r="E125" s="59">
        <v>2.798866338106281E-2</v>
      </c>
      <c r="F125" s="93">
        <v>674.52119222605893</v>
      </c>
      <c r="G125" s="102"/>
      <c r="H125" s="61" t="str">
        <f t="shared" si="1"/>
        <v>(650, 700]</v>
      </c>
      <c r="I125" s="62">
        <v>0.01</v>
      </c>
      <c r="J125" s="59">
        <v>2.7988663381062808E-4</v>
      </c>
      <c r="K125" s="59">
        <v>3.4953840023886119E-4</v>
      </c>
      <c r="L125" s="119">
        <v>349538</v>
      </c>
      <c r="M125" s="59">
        <v>3.4953800768983617E-4</v>
      </c>
      <c r="N125" s="59">
        <v>0.23577079367526965</v>
      </c>
      <c r="O125" s="51">
        <v>1.1000000000000001E-2</v>
      </c>
    </row>
    <row r="126" spans="1:15" x14ac:dyDescent="0.3">
      <c r="A126" s="58">
        <v>700</v>
      </c>
      <c r="B126" s="58">
        <v>750</v>
      </c>
      <c r="C126" s="72">
        <v>55725</v>
      </c>
      <c r="D126" s="72">
        <v>4038067140</v>
      </c>
      <c r="E126" s="59">
        <v>2.4704093941611889E-2</v>
      </c>
      <c r="F126" s="93">
        <v>724.64192732166896</v>
      </c>
      <c r="G126" s="101"/>
      <c r="H126" s="61" t="str">
        <f t="shared" si="1"/>
        <v>(700, 750]</v>
      </c>
      <c r="I126" s="62">
        <v>0.01</v>
      </c>
      <c r="J126" s="59">
        <v>2.4704093941611892E-4</v>
      </c>
      <c r="K126" s="59">
        <v>3.0851882271534423E-4</v>
      </c>
      <c r="L126" s="119">
        <v>308518</v>
      </c>
      <c r="M126" s="59">
        <v>3.0851800678739614E-4</v>
      </c>
      <c r="N126" s="59">
        <v>0.22356508305185849</v>
      </c>
      <c r="O126" s="51">
        <v>1.1000000000000001E-2</v>
      </c>
    </row>
    <row r="127" spans="1:15" x14ac:dyDescent="0.3">
      <c r="A127" s="58">
        <v>750</v>
      </c>
      <c r="B127" s="58">
        <v>800</v>
      </c>
      <c r="C127" s="72">
        <v>50252</v>
      </c>
      <c r="D127" s="72">
        <v>3892244955</v>
      </c>
      <c r="E127" s="59">
        <v>2.227779504268965E-2</v>
      </c>
      <c r="F127" s="93">
        <v>774.54528277481495</v>
      </c>
      <c r="G127" s="101"/>
      <c r="H127" s="61" t="str">
        <f t="shared" si="1"/>
        <v>(750, 800]</v>
      </c>
      <c r="I127" s="62">
        <v>0.01</v>
      </c>
      <c r="J127" s="59">
        <v>2.2277795042689651E-4</v>
      </c>
      <c r="K127" s="59">
        <v>2.7821781748033157E-4</v>
      </c>
      <c r="L127" s="119">
        <v>278217</v>
      </c>
      <c r="M127" s="59">
        <v>2.7821700612077412E-4</v>
      </c>
      <c r="N127" s="59">
        <v>0.21549166967857741</v>
      </c>
      <c r="O127" s="51">
        <v>1.1000000000000001E-2</v>
      </c>
    </row>
    <row r="128" spans="1:15" x14ac:dyDescent="0.3">
      <c r="A128" s="58">
        <v>800</v>
      </c>
      <c r="B128" s="58">
        <v>850</v>
      </c>
      <c r="C128" s="72">
        <v>44921</v>
      </c>
      <c r="D128" s="72">
        <v>3703775110</v>
      </c>
      <c r="E128" s="59">
        <v>1.9914447805314449E-2</v>
      </c>
      <c r="F128" s="93">
        <v>824.50860621980814</v>
      </c>
      <c r="G128" s="101"/>
      <c r="H128" s="61" t="str">
        <f t="shared" si="1"/>
        <v>(800, 850]</v>
      </c>
      <c r="I128" s="62">
        <v>0.01</v>
      </c>
      <c r="J128" s="59">
        <v>1.9914447805314449E-4</v>
      </c>
      <c r="K128" s="59">
        <v>2.48702988518546E-4</v>
      </c>
      <c r="L128" s="119">
        <v>248702</v>
      </c>
      <c r="M128" s="59">
        <v>2.487020054714441E-4</v>
      </c>
      <c r="N128" s="59">
        <v>0.20505694389533147</v>
      </c>
      <c r="O128" s="51">
        <v>1.1000000000000001E-2</v>
      </c>
    </row>
    <row r="129" spans="1:15" x14ac:dyDescent="0.3">
      <c r="A129" s="58">
        <v>850</v>
      </c>
      <c r="B129" s="58">
        <v>900</v>
      </c>
      <c r="C129" s="72">
        <v>40075</v>
      </c>
      <c r="D129" s="72">
        <v>3504818215</v>
      </c>
      <c r="E129" s="59">
        <v>1.776611152463161E-2</v>
      </c>
      <c r="F129" s="93">
        <v>874.56474485339993</v>
      </c>
      <c r="G129" s="101"/>
      <c r="H129" s="61" t="str">
        <f t="shared" si="1"/>
        <v>(850, 900]</v>
      </c>
      <c r="I129" s="62">
        <v>0.01</v>
      </c>
      <c r="J129" s="59">
        <v>1.7766111524631612E-4</v>
      </c>
      <c r="K129" s="59">
        <v>2.2187333908151494E-4</v>
      </c>
      <c r="L129" s="84">
        <v>221873</v>
      </c>
      <c r="M129" s="59">
        <v>2.218730048812061E-4</v>
      </c>
      <c r="N129" s="59">
        <v>0.19404230790378918</v>
      </c>
      <c r="O129" s="51">
        <v>1.1000000000000001E-2</v>
      </c>
    </row>
    <row r="130" spans="1:15" x14ac:dyDescent="0.3">
      <c r="A130" s="58">
        <v>900</v>
      </c>
      <c r="B130" s="58">
        <v>950</v>
      </c>
      <c r="C130" s="72">
        <v>36022</v>
      </c>
      <c r="D130" s="72">
        <v>3330614055</v>
      </c>
      <c r="E130" s="59">
        <v>1.5969329241179785E-2</v>
      </c>
      <c r="F130" s="93">
        <v>924.60553411803892</v>
      </c>
      <c r="G130" s="101"/>
      <c r="H130" s="61" t="str">
        <f t="shared" si="1"/>
        <v>(900, 950]</v>
      </c>
      <c r="I130" s="62">
        <v>0.01</v>
      </c>
      <c r="J130" s="59">
        <v>1.5969329241179785E-4</v>
      </c>
      <c r="K130" s="59">
        <v>1.9943409657877307E-4</v>
      </c>
      <c r="L130" s="84">
        <v>199434</v>
      </c>
      <c r="M130" s="59">
        <v>1.9943400438754809E-4</v>
      </c>
      <c r="N130" s="59">
        <v>0.18439778414804822</v>
      </c>
      <c r="O130" s="51">
        <v>1.1000000000000001E-2</v>
      </c>
    </row>
    <row r="131" spans="1:15" x14ac:dyDescent="0.3">
      <c r="A131" s="58">
        <v>950</v>
      </c>
      <c r="B131" s="58">
        <v>1000</v>
      </c>
      <c r="C131" s="72">
        <v>32499</v>
      </c>
      <c r="D131" s="72">
        <v>3167230605</v>
      </c>
      <c r="E131" s="59">
        <v>1.4407507384628889E-2</v>
      </c>
      <c r="F131" s="93">
        <v>974.56248038401191</v>
      </c>
      <c r="G131" s="101"/>
      <c r="H131" s="61" t="str">
        <f t="shared" si="1"/>
        <v>(950, 1000]</v>
      </c>
      <c r="I131" s="62">
        <v>0.01</v>
      </c>
      <c r="J131" s="59">
        <v>1.4407507384628888E-4</v>
      </c>
      <c r="K131" s="59">
        <v>1.7992917396906184E-4</v>
      </c>
      <c r="L131" s="84">
        <v>179929</v>
      </c>
      <c r="M131" s="59">
        <v>1.7992900395843807E-4</v>
      </c>
      <c r="N131" s="59">
        <v>0.1753520563907601</v>
      </c>
      <c r="O131" s="51">
        <v>1.1000000000000001E-2</v>
      </c>
    </row>
    <row r="132" spans="1:15" x14ac:dyDescent="0.3">
      <c r="A132" s="58">
        <v>1000</v>
      </c>
      <c r="B132" s="58">
        <v>2000</v>
      </c>
      <c r="C132" s="72">
        <v>266709</v>
      </c>
      <c r="D132" s="72">
        <v>36056287645</v>
      </c>
      <c r="E132" s="59">
        <v>0.11823784999683025</v>
      </c>
      <c r="F132" s="93">
        <v>1351.8961731700092</v>
      </c>
      <c r="G132" s="101"/>
      <c r="H132" s="61" t="str">
        <f t="shared" si="1"/>
        <v>(1000, 2000]</v>
      </c>
      <c r="I132" s="62">
        <v>1E-3</v>
      </c>
      <c r="J132" s="59">
        <v>1.1823784999683025E-4</v>
      </c>
      <c r="K132" s="59">
        <v>1.4766217440571866E-4</v>
      </c>
      <c r="L132" s="84">
        <v>147662</v>
      </c>
      <c r="M132" s="59">
        <v>1.4766200324856408E-4</v>
      </c>
      <c r="N132" s="59">
        <v>0.19962369711435124</v>
      </c>
      <c r="O132" s="51">
        <v>1.1000000000000001E-3</v>
      </c>
    </row>
    <row r="133" spans="1:15" x14ac:dyDescent="0.3">
      <c r="A133" s="58">
        <v>2000</v>
      </c>
      <c r="B133" s="58">
        <v>3000</v>
      </c>
      <c r="C133" s="72">
        <v>51638</v>
      </c>
      <c r="D133" s="72">
        <v>12342976850</v>
      </c>
      <c r="E133" s="59">
        <v>2.2892238725113589E-2</v>
      </c>
      <c r="F133" s="93">
        <v>2390.289486424726</v>
      </c>
      <c r="G133" s="101"/>
      <c r="H133" s="61" t="str">
        <f t="shared" si="1"/>
        <v>(2000, 3000]</v>
      </c>
      <c r="I133" s="62">
        <v>1.6500000000000001E-2</v>
      </c>
      <c r="J133" s="59">
        <v>3.7772193896437427E-4</v>
      </c>
      <c r="K133" s="59">
        <v>4.717207123583429E-4</v>
      </c>
      <c r="L133" s="84">
        <v>471720</v>
      </c>
      <c r="M133" s="59">
        <v>4.7172001037784021E-4</v>
      </c>
      <c r="N133" s="59">
        <v>1.127547381342314</v>
      </c>
      <c r="O133" s="51">
        <v>1.8150000000000003E-2</v>
      </c>
    </row>
    <row r="134" spans="1:15" x14ac:dyDescent="0.3">
      <c r="A134" s="58">
        <v>3000</v>
      </c>
      <c r="B134" s="58">
        <v>4000</v>
      </c>
      <c r="C134" s="72">
        <v>15525</v>
      </c>
      <c r="D134" s="72">
        <v>5296872700</v>
      </c>
      <c r="E134" s="59">
        <v>6.8825672219564758E-3</v>
      </c>
      <c r="F134" s="93">
        <v>3411.8342673107891</v>
      </c>
      <c r="G134" s="101"/>
      <c r="H134" s="61" t="str">
        <f t="shared" si="1"/>
        <v>(3000, 4000]</v>
      </c>
      <c r="I134" s="62">
        <v>7.3509189062499983E-3</v>
      </c>
      <c r="J134" s="59">
        <v>5.0593193515416387E-5</v>
      </c>
      <c r="K134" s="59">
        <v>6.318366719976696E-5</v>
      </c>
      <c r="L134" s="84">
        <v>63183</v>
      </c>
      <c r="M134" s="59">
        <v>6.3183001390026028E-5</v>
      </c>
      <c r="N134" s="59">
        <v>0.21556992925403604</v>
      </c>
      <c r="O134" s="51">
        <v>8.0860107968749994E-3</v>
      </c>
    </row>
    <row r="135" spans="1:15" x14ac:dyDescent="0.3">
      <c r="A135" s="58">
        <v>4000</v>
      </c>
      <c r="B135" s="58">
        <v>5000</v>
      </c>
      <c r="C135" s="72">
        <v>5828</v>
      </c>
      <c r="D135" s="72">
        <v>2578188680</v>
      </c>
      <c r="E135" s="59">
        <v>2.5836780527898448E-3</v>
      </c>
      <c r="F135" s="93">
        <v>4423.796636925189</v>
      </c>
      <c r="G135" s="101"/>
      <c r="H135" s="61" t="str">
        <f t="shared" si="1"/>
        <v>(4000, 5000]</v>
      </c>
      <c r="I135" s="62">
        <v>0.01</v>
      </c>
      <c r="J135" s="59">
        <v>2.5836780527898449E-5</v>
      </c>
      <c r="K135" s="59">
        <v>3.2266445918080326E-5</v>
      </c>
      <c r="L135" s="84">
        <v>32266</v>
      </c>
      <c r="M135" s="59">
        <v>3.2266000709852017E-5</v>
      </c>
      <c r="N135" s="59">
        <v>0.14273822542726911</v>
      </c>
      <c r="O135" s="51">
        <v>1.1000000000000001E-2</v>
      </c>
    </row>
    <row r="136" spans="1:15" x14ac:dyDescent="0.3">
      <c r="A136" s="58">
        <v>5000</v>
      </c>
      <c r="B136" s="58">
        <v>6000</v>
      </c>
      <c r="C136" s="72">
        <v>2440</v>
      </c>
      <c r="D136" s="72">
        <v>1323523495</v>
      </c>
      <c r="E136" s="59">
        <v>1.081704606864657E-3</v>
      </c>
      <c r="F136" s="93">
        <v>5424.2766188524593</v>
      </c>
      <c r="G136" s="101"/>
      <c r="H136" s="61" t="str">
        <f t="shared" si="1"/>
        <v>(5000, 6000]</v>
      </c>
      <c r="I136" s="62">
        <v>0.01</v>
      </c>
      <c r="J136" s="59">
        <v>1.081704606864657E-5</v>
      </c>
      <c r="K136" s="59">
        <v>1.3508944413197663E-5</v>
      </c>
      <c r="L136" s="84">
        <v>13508</v>
      </c>
      <c r="M136" s="59">
        <v>1.3508000297176007E-5</v>
      </c>
      <c r="N136" s="59">
        <v>7.3271130179423882E-2</v>
      </c>
      <c r="O136" s="51">
        <v>1.1000000000000001E-2</v>
      </c>
    </row>
    <row r="137" spans="1:15" x14ac:dyDescent="0.3">
      <c r="A137" s="58">
        <v>6000</v>
      </c>
      <c r="B137" s="58">
        <v>7000</v>
      </c>
      <c r="C137" s="72">
        <v>1152</v>
      </c>
      <c r="D137" s="72">
        <v>743579095</v>
      </c>
      <c r="E137" s="59">
        <v>5.1070643733937911E-4</v>
      </c>
      <c r="F137" s="93">
        <v>6454.6796440972221</v>
      </c>
      <c r="G137" s="101"/>
      <c r="H137" s="61" t="str">
        <f t="shared" si="1"/>
        <v>(6000, 7000]</v>
      </c>
      <c r="I137" s="62">
        <v>0</v>
      </c>
      <c r="J137" s="59">
        <v>0</v>
      </c>
      <c r="K137" s="59">
        <v>0</v>
      </c>
      <c r="L137" s="84">
        <v>0</v>
      </c>
      <c r="M137" s="59">
        <v>0</v>
      </c>
      <c r="N137" s="59">
        <v>0</v>
      </c>
      <c r="O137" s="51">
        <v>0</v>
      </c>
    </row>
    <row r="138" spans="1:15" x14ac:dyDescent="0.3">
      <c r="A138" s="58">
        <v>7000</v>
      </c>
      <c r="B138" s="58">
        <v>8000</v>
      </c>
      <c r="C138" s="72">
        <v>571</v>
      </c>
      <c r="D138" s="72">
        <v>424387235</v>
      </c>
      <c r="E138" s="59">
        <v>2.5313661086873737E-4</v>
      </c>
      <c r="F138" s="93">
        <v>7432.3508756567426</v>
      </c>
      <c r="G138" s="101"/>
      <c r="H138" s="61" t="str">
        <f t="shared" si="1"/>
        <v>(7000, 8000]</v>
      </c>
      <c r="I138" s="62">
        <v>0</v>
      </c>
      <c r="J138" s="59">
        <v>0</v>
      </c>
      <c r="K138" s="59">
        <v>0</v>
      </c>
      <c r="L138" s="84">
        <v>0</v>
      </c>
      <c r="M138" s="59">
        <v>0</v>
      </c>
      <c r="N138" s="59">
        <v>0</v>
      </c>
      <c r="O138" s="51">
        <v>0</v>
      </c>
    </row>
    <row r="139" spans="1:15" x14ac:dyDescent="0.3">
      <c r="A139" s="58">
        <v>8000</v>
      </c>
      <c r="B139" s="58">
        <v>9000</v>
      </c>
      <c r="C139" s="72">
        <v>315</v>
      </c>
      <c r="D139" s="72">
        <v>267049600</v>
      </c>
      <c r="E139" s="59">
        <v>1.3964629145998646E-4</v>
      </c>
      <c r="F139" s="93">
        <v>8477.7650793650791</v>
      </c>
      <c r="G139" s="101"/>
      <c r="H139" s="61" t="str">
        <f t="shared" si="1"/>
        <v>(8000, 9000]</v>
      </c>
      <c r="I139" s="62">
        <v>0</v>
      </c>
      <c r="J139" s="59">
        <v>0</v>
      </c>
      <c r="K139" s="59">
        <v>0</v>
      </c>
      <c r="L139" s="84">
        <v>0</v>
      </c>
      <c r="M139" s="59">
        <v>0</v>
      </c>
      <c r="N139" s="59">
        <v>0</v>
      </c>
      <c r="O139" s="51">
        <v>0</v>
      </c>
    </row>
    <row r="140" spans="1:15" x14ac:dyDescent="0.3">
      <c r="A140" s="58">
        <v>9000</v>
      </c>
      <c r="B140" s="58">
        <v>10000</v>
      </c>
      <c r="C140" s="72">
        <v>164</v>
      </c>
      <c r="D140" s="72">
        <v>154942415</v>
      </c>
      <c r="E140" s="59">
        <v>7.2704735871231043E-5</v>
      </c>
      <c r="F140" s="93">
        <v>9447.7082317073164</v>
      </c>
      <c r="G140" s="101"/>
      <c r="H140" s="61" t="str">
        <f t="shared" si="1"/>
        <v>(9000, 10000]</v>
      </c>
      <c r="I140" s="62">
        <v>0</v>
      </c>
      <c r="J140" s="59">
        <v>0</v>
      </c>
      <c r="K140" s="59">
        <v>0</v>
      </c>
      <c r="L140" s="84">
        <v>0</v>
      </c>
      <c r="M140" s="59">
        <v>0</v>
      </c>
      <c r="N140" s="59">
        <v>0</v>
      </c>
      <c r="O140" s="51">
        <v>0</v>
      </c>
    </row>
    <row r="141" spans="1:15" x14ac:dyDescent="0.3">
      <c r="A141" s="58">
        <v>10000</v>
      </c>
      <c r="B141" s="58">
        <v>20000</v>
      </c>
      <c r="C141" s="72">
        <v>263</v>
      </c>
      <c r="D141" s="72">
        <v>322577335</v>
      </c>
      <c r="E141" s="59">
        <v>1.1659357033008393E-4</v>
      </c>
      <c r="F141" s="93">
        <v>12265.297908745248</v>
      </c>
      <c r="G141" s="101"/>
      <c r="H141" s="61" t="str">
        <f t="shared" si="1"/>
        <v>(10000, 20000]</v>
      </c>
      <c r="I141" s="62">
        <v>0</v>
      </c>
      <c r="J141" s="59">
        <v>0</v>
      </c>
      <c r="K141" s="59">
        <v>0</v>
      </c>
      <c r="L141" s="84">
        <v>0</v>
      </c>
      <c r="M141" s="59">
        <v>0</v>
      </c>
      <c r="N141" s="59">
        <v>0</v>
      </c>
      <c r="O141" s="51">
        <v>0</v>
      </c>
    </row>
    <row r="142" spans="1:15" x14ac:dyDescent="0.3">
      <c r="A142" s="58">
        <v>20000</v>
      </c>
      <c r="B142" s="58">
        <v>30000</v>
      </c>
      <c r="C142" s="72">
        <v>5</v>
      </c>
      <c r="D142" s="72">
        <v>11270920</v>
      </c>
      <c r="E142" s="59">
        <v>2.2166078009521658E-6</v>
      </c>
      <c r="F142" s="93">
        <v>22541.84</v>
      </c>
      <c r="G142" s="101"/>
      <c r="H142" s="61" t="str">
        <f t="shared" si="1"/>
        <v>(20000, 30000]</v>
      </c>
      <c r="I142" s="62">
        <v>0</v>
      </c>
      <c r="J142" s="59">
        <v>0</v>
      </c>
      <c r="K142" s="59">
        <v>0</v>
      </c>
      <c r="L142" s="84">
        <v>0</v>
      </c>
      <c r="M142" s="59">
        <v>0</v>
      </c>
      <c r="N142" s="59">
        <v>0</v>
      </c>
      <c r="O142" s="51">
        <v>0</v>
      </c>
    </row>
    <row r="143" spans="1:15" x14ac:dyDescent="0.3">
      <c r="A143" s="58">
        <v>30000</v>
      </c>
      <c r="B143" s="58">
        <v>40000</v>
      </c>
      <c r="C143" s="72">
        <v>0</v>
      </c>
      <c r="D143" s="72">
        <v>0</v>
      </c>
      <c r="E143" s="59">
        <v>0</v>
      </c>
      <c r="F143" s="93">
        <v>0</v>
      </c>
      <c r="G143" s="101"/>
      <c r="H143" s="61" t="str">
        <f t="shared" si="1"/>
        <v>(30000, 40000]</v>
      </c>
      <c r="I143" s="62">
        <v>0</v>
      </c>
      <c r="J143" s="59">
        <v>0</v>
      </c>
      <c r="K143" s="59">
        <v>0</v>
      </c>
      <c r="L143" s="84">
        <v>0</v>
      </c>
      <c r="M143" s="59">
        <v>0</v>
      </c>
      <c r="N143" s="59">
        <v>0</v>
      </c>
      <c r="O143" s="51">
        <v>0</v>
      </c>
    </row>
    <row r="144" spans="1:15" x14ac:dyDescent="0.3">
      <c r="A144" s="58">
        <v>40000</v>
      </c>
      <c r="B144" s="58">
        <v>50000</v>
      </c>
      <c r="C144" s="72">
        <v>0</v>
      </c>
      <c r="D144" s="72">
        <v>0</v>
      </c>
      <c r="E144" s="59">
        <v>0</v>
      </c>
      <c r="F144" s="93">
        <v>0</v>
      </c>
      <c r="G144" s="101"/>
      <c r="H144" s="61" t="str">
        <f t="shared" si="1"/>
        <v>(40000, 50000]</v>
      </c>
      <c r="I144" s="62">
        <v>0</v>
      </c>
      <c r="J144" s="59">
        <v>0</v>
      </c>
      <c r="K144" s="59">
        <v>0</v>
      </c>
      <c r="L144" s="84">
        <v>0</v>
      </c>
      <c r="M144" s="59">
        <v>0</v>
      </c>
      <c r="N144" s="59">
        <v>0</v>
      </c>
      <c r="O144" s="51">
        <v>0</v>
      </c>
    </row>
    <row r="145" spans="1:15" x14ac:dyDescent="0.3">
      <c r="A145" s="58">
        <v>50000</v>
      </c>
      <c r="B145" s="58">
        <v>60000</v>
      </c>
      <c r="C145" s="72">
        <v>0</v>
      </c>
      <c r="D145" s="72">
        <v>0</v>
      </c>
      <c r="E145" s="59">
        <v>0</v>
      </c>
      <c r="F145" s="93">
        <v>0</v>
      </c>
      <c r="G145" s="101"/>
      <c r="H145" s="61" t="str">
        <f t="shared" si="1"/>
        <v>(50000, 60000]</v>
      </c>
      <c r="I145" s="62">
        <v>0</v>
      </c>
      <c r="J145" s="59">
        <v>0</v>
      </c>
      <c r="K145" s="59">
        <v>0</v>
      </c>
      <c r="L145" s="84">
        <v>0</v>
      </c>
      <c r="M145" s="59">
        <v>0</v>
      </c>
      <c r="N145" s="59">
        <v>0</v>
      </c>
      <c r="O145" s="51">
        <v>0</v>
      </c>
    </row>
    <row r="146" spans="1:15" x14ac:dyDescent="0.3">
      <c r="A146" s="58">
        <v>60000</v>
      </c>
      <c r="B146" s="58">
        <v>70000</v>
      </c>
      <c r="C146" s="72">
        <v>0</v>
      </c>
      <c r="D146" s="72">
        <v>0</v>
      </c>
      <c r="E146" s="59">
        <v>0</v>
      </c>
      <c r="F146" s="93">
        <v>0</v>
      </c>
      <c r="G146" s="101"/>
      <c r="H146" s="61" t="str">
        <f t="shared" si="1"/>
        <v>(60000, 70000]</v>
      </c>
      <c r="I146" s="62">
        <v>0</v>
      </c>
      <c r="J146" s="59">
        <v>0</v>
      </c>
      <c r="K146" s="59">
        <v>0</v>
      </c>
      <c r="L146" s="84">
        <v>0</v>
      </c>
      <c r="M146" s="59">
        <v>0</v>
      </c>
      <c r="N146" s="59">
        <v>0</v>
      </c>
      <c r="O146" s="51">
        <v>0</v>
      </c>
    </row>
    <row r="147" spans="1:15" x14ac:dyDescent="0.3">
      <c r="A147" s="58">
        <v>70000</v>
      </c>
      <c r="B147" s="58">
        <v>80000</v>
      </c>
      <c r="C147" s="72">
        <v>0</v>
      </c>
      <c r="D147" s="72">
        <v>0</v>
      </c>
      <c r="E147" s="59">
        <v>0</v>
      </c>
      <c r="F147" s="93">
        <v>0</v>
      </c>
      <c r="G147" s="101"/>
      <c r="H147" s="61" t="str">
        <f t="shared" si="1"/>
        <v>(70000, 80000]</v>
      </c>
      <c r="I147" s="62">
        <v>0</v>
      </c>
      <c r="J147" s="59">
        <v>0</v>
      </c>
      <c r="K147" s="59">
        <v>0</v>
      </c>
      <c r="L147" s="84">
        <v>0</v>
      </c>
      <c r="M147" s="59">
        <v>0</v>
      </c>
      <c r="N147" s="59">
        <v>0</v>
      </c>
      <c r="O147" s="51">
        <v>0</v>
      </c>
    </row>
    <row r="148" spans="1:15" x14ac:dyDescent="0.3">
      <c r="A148" s="58">
        <v>80000</v>
      </c>
      <c r="B148" s="58">
        <v>90000</v>
      </c>
      <c r="C148" s="72">
        <v>0</v>
      </c>
      <c r="D148" s="72">
        <v>0</v>
      </c>
      <c r="E148" s="59">
        <v>0</v>
      </c>
      <c r="F148" s="93">
        <v>0</v>
      </c>
      <c r="G148" s="101"/>
      <c r="H148" s="61" t="str">
        <f t="shared" si="1"/>
        <v>(80000, 90000]</v>
      </c>
      <c r="I148" s="62">
        <v>0</v>
      </c>
      <c r="J148" s="59">
        <v>0</v>
      </c>
      <c r="K148" s="59">
        <v>0</v>
      </c>
      <c r="L148" s="84">
        <v>0</v>
      </c>
      <c r="M148" s="59">
        <v>0</v>
      </c>
      <c r="N148" s="59">
        <v>0</v>
      </c>
      <c r="O148" s="51">
        <v>0</v>
      </c>
    </row>
    <row r="149" spans="1:15" x14ac:dyDescent="0.3">
      <c r="A149" s="58">
        <v>90000</v>
      </c>
      <c r="B149" s="58">
        <v>100000</v>
      </c>
      <c r="C149" s="72">
        <v>0</v>
      </c>
      <c r="D149" s="72">
        <v>0</v>
      </c>
      <c r="E149" s="59">
        <v>0</v>
      </c>
      <c r="F149" s="93">
        <v>0</v>
      </c>
      <c r="G149" s="101"/>
      <c r="H149" s="61" t="str">
        <f t="shared" si="1"/>
        <v>(90000, 100000]</v>
      </c>
      <c r="I149" s="62">
        <v>0</v>
      </c>
      <c r="J149" s="59">
        <v>0</v>
      </c>
      <c r="K149" s="59">
        <v>0</v>
      </c>
      <c r="L149" s="84">
        <v>0</v>
      </c>
      <c r="M149" s="59">
        <v>0</v>
      </c>
      <c r="N149" s="59">
        <v>0</v>
      </c>
      <c r="O149" s="51">
        <v>0</v>
      </c>
    </row>
    <row r="150" spans="1:15" x14ac:dyDescent="0.3">
      <c r="A150" s="58">
        <v>100000</v>
      </c>
      <c r="B150" s="58">
        <v>9999999</v>
      </c>
      <c r="C150" s="72">
        <v>0</v>
      </c>
      <c r="D150" s="72">
        <v>0</v>
      </c>
      <c r="E150" s="59">
        <v>0</v>
      </c>
      <c r="F150" s="93">
        <v>0</v>
      </c>
      <c r="G150" s="101"/>
      <c r="H150" s="61" t="str">
        <f t="shared" si="1"/>
        <v>(100000, 9999999]</v>
      </c>
      <c r="I150" s="62">
        <v>0</v>
      </c>
      <c r="J150" s="59">
        <v>0</v>
      </c>
      <c r="K150" s="59">
        <v>0</v>
      </c>
      <c r="L150" s="84">
        <v>0</v>
      </c>
      <c r="M150" s="59">
        <v>0</v>
      </c>
      <c r="N150" s="59">
        <v>0</v>
      </c>
      <c r="O150" s="51">
        <v>0</v>
      </c>
    </row>
  </sheetData>
  <mergeCells count="3">
    <mergeCell ref="A11:D11"/>
    <mergeCell ref="A79:B79"/>
    <mergeCell ref="A83:D83"/>
  </mergeCells>
  <phoneticPr fontId="20" type="noConversion"/>
  <conditionalFormatting sqref="N15:N79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{C537C520-4BD7-4E2B-AB18-25A916962D15}</x14:id>
        </ext>
      </extLst>
    </cfRule>
  </conditionalFormatting>
  <conditionalFormatting sqref="M17:M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{64FFF1C0-5E26-430D-9128-427EB0437F12}</x14:id>
        </ext>
      </extLst>
    </cfRule>
  </conditionalFormatting>
  <conditionalFormatting sqref="M87:M150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{3EE935DF-9626-487F-9D33-2EEE388DFF9C}</x14:id>
        </ext>
      </extLst>
    </cfRule>
  </conditionalFormatting>
  <conditionalFormatting sqref="N87:N15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{F4486DC4-71E6-48D9-BC4F-F29269CBC43F}</x14:id>
        </ext>
      </extLst>
    </cfRule>
  </conditionalFormatting>
  <conditionalFormatting sqref="E15:E78">
    <cfRule type="cellIs" dxfId="134" priority="20" operator="lessThan">
      <formula>0.001</formula>
    </cfRule>
  </conditionalFormatting>
  <conditionalFormatting sqref="E87:E150">
    <cfRule type="cellIs" dxfId="133" priority="19" operator="lessThan">
      <formula>0.001</formula>
    </cfRule>
  </conditionalFormatting>
  <conditionalFormatting sqref="P98:P12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{0C6A81AD-70ED-4611-BE8B-08F4E5307CAE}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37C520-4BD7-4E2B-AB18-25A916962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4FFF1C0-5E26-430D-9128-427EB0437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3EE935DF-9626-487F-9D33-2EEE388DF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F4486DC4-71E6-48D9-BC4F-F29269CB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0C6A81AD-70ED-4611-BE8B-08F4E5307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P98:P126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U220"/>
  <sheetViews>
    <sheetView zoomScale="70" zoomScaleNormal="70" workbookViewId="0">
      <selection activeCell="H81" sqref="H81"/>
    </sheetView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18.33203125" style="24" bestFit="1" customWidth="1"/>
    <col min="4" max="4" width="22.6640625" style="24" bestFit="1" customWidth="1"/>
    <col min="5" max="5" width="13.88671875" style="24" bestFit="1" customWidth="1"/>
    <col min="6" max="6" width="16.77734375" style="24" bestFit="1" customWidth="1"/>
    <col min="7" max="7" width="15.5546875" style="51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1" customWidth="1"/>
    <col min="16" max="18" width="15.21875" style="24" customWidth="1"/>
    <col min="19" max="19" width="8.88671875" style="24" customWidth="1"/>
    <col min="20" max="21" width="14" style="24" customWidth="1"/>
    <col min="22" max="16384" width="8.88671875" style="24"/>
  </cols>
  <sheetData>
    <row r="1" spans="1:21" x14ac:dyDescent="0.3">
      <c r="A1" s="52"/>
      <c r="B1" s="52"/>
      <c r="C1" s="1"/>
      <c r="F1" s="1"/>
      <c r="H1" s="13"/>
      <c r="I1" s="52"/>
      <c r="J1" s="52"/>
      <c r="K1" s="52"/>
      <c r="L1" s="52"/>
      <c r="M1" s="52"/>
      <c r="N1" s="52"/>
      <c r="T1" s="52"/>
      <c r="U1" s="52"/>
    </row>
    <row r="2" spans="1:21" x14ac:dyDescent="0.3">
      <c r="A2" s="52" t="s">
        <v>62</v>
      </c>
      <c r="B2" s="68">
        <v>1000000000</v>
      </c>
      <c r="C2" s="1"/>
      <c r="F2" s="107"/>
      <c r="G2" s="107"/>
      <c r="K2" s="52"/>
      <c r="L2" s="52"/>
      <c r="M2" s="52"/>
      <c r="N2" s="52"/>
    </row>
    <row r="3" spans="1:21" x14ac:dyDescent="0.3">
      <c r="A3" s="52" t="s">
        <v>74</v>
      </c>
      <c r="B3" s="68">
        <f>Overview!A7</f>
        <v>100</v>
      </c>
      <c r="C3" s="1"/>
      <c r="F3" s="107"/>
      <c r="G3" s="104"/>
    </row>
    <row r="4" spans="1:21" x14ac:dyDescent="0.3">
      <c r="F4" s="107"/>
      <c r="G4" s="107"/>
      <c r="I4" s="1"/>
      <c r="L4" s="129"/>
      <c r="M4" s="130"/>
      <c r="N4" s="127"/>
      <c r="O4" s="128"/>
      <c r="T4" s="1"/>
      <c r="U4" s="1"/>
    </row>
    <row r="5" spans="1:21" x14ac:dyDescent="0.3">
      <c r="A5" s="52"/>
      <c r="B5" s="52"/>
      <c r="C5" s="1" t="s">
        <v>82</v>
      </c>
      <c r="I5" s="107"/>
      <c r="L5" s="131"/>
      <c r="M5" s="130"/>
      <c r="N5" s="127"/>
      <c r="O5" s="128"/>
      <c r="T5" s="107"/>
      <c r="U5" s="107"/>
    </row>
    <row r="6" spans="1:21" x14ac:dyDescent="0.3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  <c r="I6" s="107"/>
      <c r="L6" s="104"/>
      <c r="M6" s="104"/>
      <c r="N6" s="120"/>
      <c r="T6" s="107"/>
      <c r="U6" s="107"/>
    </row>
    <row r="7" spans="1:21" x14ac:dyDescent="0.3">
      <c r="A7" s="58" t="s">
        <v>53</v>
      </c>
      <c r="B7" s="58" cm="1">
        <f t="array" ref="B7:B8">Overview!B11:B12</f>
        <v>1</v>
      </c>
      <c r="C7" s="82">
        <f>SUM(N15:N79)</f>
        <v>0.67999968584427595</v>
      </c>
      <c r="D7" s="82">
        <f>SUM(_xlfn.ANCHORARRAY(N87))*M79</f>
        <v>0.2400002180547936</v>
      </c>
      <c r="E7" s="98">
        <f>SUM(C7:D7)</f>
        <v>0.9199999038990696</v>
      </c>
      <c r="F7" s="74">
        <f>M79</f>
        <v>4.1738386809649711E-3</v>
      </c>
      <c r="G7" s="75">
        <f>1/F7</f>
        <v>239.58760183055395</v>
      </c>
      <c r="H7" s="95">
        <f>D7*G7</f>
        <v>57.501076682558015</v>
      </c>
      <c r="I7" s="107"/>
      <c r="L7" s="107"/>
      <c r="M7" s="104"/>
      <c r="N7" s="120"/>
      <c r="T7" s="107"/>
      <c r="U7" s="107"/>
    </row>
    <row r="8" spans="1:21" x14ac:dyDescent="0.3">
      <c r="A8" s="58" t="s">
        <v>55</v>
      </c>
      <c r="B8" s="58">
        <v>75</v>
      </c>
      <c r="C8" s="82">
        <f>N80</f>
        <v>0</v>
      </c>
      <c r="D8" s="82">
        <f>SUM(_xlfn.ANCHORARRAY(N157))/B8</f>
        <v>0.92500000394388204</v>
      </c>
      <c r="E8" s="98">
        <f>SUM(C8:D8)</f>
        <v>0.92500000394388204</v>
      </c>
      <c r="F8" s="65">
        <f>E80</f>
        <v>1</v>
      </c>
      <c r="G8" s="75">
        <f>1/F8</f>
        <v>1</v>
      </c>
      <c r="H8" s="95">
        <f>D8*G8*B8</f>
        <v>69.375000295791153</v>
      </c>
      <c r="I8" s="107"/>
      <c r="L8" s="111"/>
      <c r="M8" s="104"/>
      <c r="N8" s="120"/>
      <c r="T8" s="107"/>
      <c r="U8" s="107"/>
    </row>
    <row r="9" spans="1:21" x14ac:dyDescent="0.3">
      <c r="A9" s="52"/>
      <c r="B9" s="52"/>
      <c r="C9" s="1"/>
      <c r="D9" s="106"/>
      <c r="E9" s="52"/>
      <c r="F9" s="1"/>
      <c r="H9" s="13"/>
      <c r="I9" s="52"/>
      <c r="J9" s="52"/>
      <c r="K9" s="52"/>
      <c r="L9" s="122"/>
      <c r="M9" s="107"/>
      <c r="N9" s="107"/>
      <c r="T9" s="52"/>
      <c r="U9" s="52"/>
    </row>
    <row r="10" spans="1:21" x14ac:dyDescent="0.3">
      <c r="A10" s="52"/>
      <c r="B10" s="52"/>
      <c r="C10" s="1"/>
      <c r="D10" s="1"/>
      <c r="E10" s="106"/>
      <c r="F10" s="1"/>
      <c r="H10" s="13"/>
      <c r="I10" s="52"/>
      <c r="J10" s="52"/>
      <c r="K10" s="52"/>
      <c r="L10" s="122"/>
      <c r="M10" s="107"/>
      <c r="N10" s="107"/>
      <c r="T10" s="52"/>
      <c r="U10" s="52"/>
    </row>
    <row r="11" spans="1:21" s="57" customFormat="1" hidden="1" x14ac:dyDescent="0.3">
      <c r="A11" s="205" t="s">
        <v>49</v>
      </c>
      <c r="B11" s="205"/>
      <c r="C11" s="205"/>
      <c r="D11" s="205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  <c r="T11" s="56"/>
      <c r="U11" s="56"/>
    </row>
    <row r="12" spans="1:21" hidden="1" x14ac:dyDescent="0.3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  <c r="T12" s="52"/>
      <c r="U12" s="52"/>
    </row>
    <row r="13" spans="1:21" hidden="1" x14ac:dyDescent="0.3">
      <c r="A13" s="70" t="s">
        <v>75</v>
      </c>
      <c r="B13" s="197">
        <v>1000000000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  <c r="P13" s="24" t="s">
        <v>81</v>
      </c>
      <c r="T13" s="52"/>
      <c r="U13" s="52"/>
    </row>
    <row r="14" spans="1:21" hidden="1" x14ac:dyDescent="0.3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0.9</v>
      </c>
      <c r="P14" s="86" t="s">
        <v>84</v>
      </c>
      <c r="Q14" s="86" t="s">
        <v>253</v>
      </c>
      <c r="R14" s="86" t="s">
        <v>80</v>
      </c>
      <c r="T14" s="20" t="s">
        <v>326</v>
      </c>
      <c r="U14" s="20" t="s">
        <v>327</v>
      </c>
    </row>
    <row r="15" spans="1:21" hidden="1" x14ac:dyDescent="0.3">
      <c r="A15" s="64">
        <v>-1</v>
      </c>
      <c r="B15" s="64">
        <v>0</v>
      </c>
      <c r="C15" s="71">
        <v>711529928</v>
      </c>
      <c r="D15" s="71">
        <v>0</v>
      </c>
      <c r="E15" s="69" cm="1">
        <f t="array" ref="E15:E78">_xlfn.LET(_xlpm.x, C15:C78, _xlpm.x/SUM(_xlpm.x))</f>
        <v>0.71313897634092827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1</v>
      </c>
      <c r="J15" s="59" cm="1">
        <f t="array" ref="J15:J79">E15:E79*I15:I79</f>
        <v>0.71313897634092827</v>
      </c>
      <c r="K15" s="59" cm="1">
        <f t="array" ref="K15:K78">J15:J78/SUM(_xlfn.ANCHORARRAY(J15))</f>
        <v>0.72290741186125751</v>
      </c>
      <c r="L15" s="119" cm="1">
        <f t="array" ref="L15:L79">INT(K15:K79*$B$2)</f>
        <v>722907411</v>
      </c>
      <c r="M15" s="59" cm="1">
        <f t="array" ref="M15:M79">_xlfn.LET(_xlpm.x, L15:L79, _xlpm.x/SUM(_xlpm.x))</f>
        <v>0.72294875282443027</v>
      </c>
      <c r="N15" s="59" cm="1">
        <f t="array" ref="N15:N79">M15:M79*F15:F79</f>
        <v>0</v>
      </c>
      <c r="O15" s="121" cm="1">
        <f t="array" ref="O15:O78">I15:I78*O14</f>
        <v>0.9</v>
      </c>
      <c r="P15" s="59" cm="1">
        <f t="array" ref="P15:P78">M15:M78</f>
        <v>0.72294875282443027</v>
      </c>
      <c r="Q15" s="59">
        <v>0.72554635178004934</v>
      </c>
      <c r="R15" s="83" cm="1">
        <f t="array" ref="R15:R78">_xlfn.LET(_xlpm.x, Q15:Q78/M15:M78, IF(ISERR(_xlpm.x), 0, ROUND(_xlpm.x,2)))</f>
        <v>1</v>
      </c>
      <c r="T15" s="62"/>
      <c r="U15" s="62"/>
    </row>
    <row r="16" spans="1:21" hidden="1" x14ac:dyDescent="0.3">
      <c r="A16" s="58">
        <v>0</v>
      </c>
      <c r="B16" s="58">
        <v>1</v>
      </c>
      <c r="C16" s="72">
        <v>170765800</v>
      </c>
      <c r="D16" s="72">
        <v>7155857500</v>
      </c>
      <c r="E16" s="59">
        <v>0.17115196847495034</v>
      </c>
      <c r="F16" s="93">
        <v>0.41904511910464509</v>
      </c>
      <c r="G16" s="90"/>
      <c r="H16" s="61" t="str">
        <f t="shared" ref="H16:H78" si="0">"("&amp;$A16&amp;", "&amp;$B16&amp;"]"</f>
        <v>(0, 1]</v>
      </c>
      <c r="I16" s="62">
        <v>0.93</v>
      </c>
      <c r="J16" s="59">
        <v>0.15917133068170383</v>
      </c>
      <c r="K16" s="59">
        <v>0.16135162783560095</v>
      </c>
      <c r="L16" s="119">
        <v>161351627</v>
      </c>
      <c r="M16" s="59">
        <v>0.16136085442046003</v>
      </c>
      <c r="N16" s="59">
        <v>6.7617478459448974E-2</v>
      </c>
      <c r="O16" s="121">
        <v>0.83700000000000008</v>
      </c>
      <c r="P16" s="59">
        <v>0.16136085442046003</v>
      </c>
      <c r="Q16" s="59">
        <v>0.15905886499823757</v>
      </c>
      <c r="R16" s="83">
        <v>0.99</v>
      </c>
      <c r="T16" s="62"/>
      <c r="U16" s="62"/>
    </row>
    <row r="17" spans="1:21" hidden="1" x14ac:dyDescent="0.3">
      <c r="A17" s="58">
        <v>1</v>
      </c>
      <c r="B17" s="58">
        <v>2</v>
      </c>
      <c r="C17" s="72">
        <v>39160186</v>
      </c>
      <c r="D17" s="72">
        <v>5836620540</v>
      </c>
      <c r="E17" s="59">
        <v>3.9248742545317572E-2</v>
      </c>
      <c r="F17" s="93">
        <v>1.4904476041048427</v>
      </c>
      <c r="G17" s="90"/>
      <c r="H17" s="61" t="str">
        <f t="shared" si="0"/>
        <v>(1, 2]</v>
      </c>
      <c r="I17" s="62">
        <v>1.1499999999999999</v>
      </c>
      <c r="J17" s="59">
        <v>4.5136053927115206E-2</v>
      </c>
      <c r="K17" s="59">
        <v>4.5754318595092554E-2</v>
      </c>
      <c r="L17" s="119">
        <v>45754318</v>
      </c>
      <c r="M17" s="59">
        <v>4.5756934610305687E-2</v>
      </c>
      <c r="N17" s="59">
        <v>6.819831356111207E-2</v>
      </c>
      <c r="O17" s="121">
        <v>1.0349999999999999</v>
      </c>
      <c r="P17" s="59">
        <v>4.5756934610305687E-2</v>
      </c>
      <c r="Q17" s="59">
        <v>4.9788508988367994E-2</v>
      </c>
      <c r="R17" s="83">
        <v>1.0900000000000001</v>
      </c>
      <c r="T17" s="62"/>
      <c r="U17" s="62"/>
    </row>
    <row r="18" spans="1:21" hidden="1" x14ac:dyDescent="0.3">
      <c r="A18" s="58">
        <v>2</v>
      </c>
      <c r="B18" s="58">
        <v>3</v>
      </c>
      <c r="C18" s="72">
        <v>17995242</v>
      </c>
      <c r="D18" s="72">
        <v>4540935295</v>
      </c>
      <c r="E18" s="59">
        <v>1.8035936302720466E-2</v>
      </c>
      <c r="F18" s="93">
        <v>2.5234088516286697</v>
      </c>
      <c r="G18" s="90"/>
      <c r="H18" s="61" t="str">
        <f t="shared" si="0"/>
        <v>(2, 3]</v>
      </c>
      <c r="I18" s="62">
        <v>1.19</v>
      </c>
      <c r="J18" s="59">
        <v>2.1462764200237353E-2</v>
      </c>
      <c r="K18" s="59">
        <v>2.1756756865248864E-2</v>
      </c>
      <c r="L18" s="119">
        <v>21756756</v>
      </c>
      <c r="M18" s="59">
        <v>2.1758000231243222E-2</v>
      </c>
      <c r="N18" s="59">
        <v>5.4904330377257789E-2</v>
      </c>
      <c r="O18" s="121">
        <v>1.071</v>
      </c>
      <c r="P18" s="59">
        <v>2.1758000231243222E-2</v>
      </c>
      <c r="Q18" s="59">
        <v>2.1457525555163906E-2</v>
      </c>
      <c r="R18" s="83">
        <v>0.99</v>
      </c>
      <c r="T18" s="62"/>
      <c r="U18" s="62"/>
    </row>
    <row r="19" spans="1:21" hidden="1" x14ac:dyDescent="0.3">
      <c r="A19" s="58">
        <v>3</v>
      </c>
      <c r="B19" s="58">
        <v>4</v>
      </c>
      <c r="C19" s="72">
        <v>8813181</v>
      </c>
      <c r="D19" s="72">
        <v>3144768180</v>
      </c>
      <c r="E19" s="59">
        <v>8.8331110601539142E-3</v>
      </c>
      <c r="F19" s="93">
        <v>3.5682555254453532</v>
      </c>
      <c r="G19" s="90"/>
      <c r="H19" s="61" t="str">
        <f t="shared" si="0"/>
        <v>(3, 4]</v>
      </c>
      <c r="I19" s="62">
        <v>0.95</v>
      </c>
      <c r="J19" s="59">
        <v>8.3914555071462182E-3</v>
      </c>
      <c r="K19" s="59">
        <v>8.506399991689553E-3</v>
      </c>
      <c r="L19" s="119">
        <v>8506399</v>
      </c>
      <c r="M19" s="59">
        <v>8.5068854662453865E-3</v>
      </c>
      <c r="N19" s="59">
        <v>3.0354741069260869E-2</v>
      </c>
      <c r="O19" s="121">
        <v>0.85499999999999998</v>
      </c>
      <c r="P19" s="59">
        <v>8.5068854662453865E-3</v>
      </c>
      <c r="Q19" s="59">
        <v>9.4289742685935846E-3</v>
      </c>
      <c r="R19" s="83">
        <v>1.1100000000000001</v>
      </c>
      <c r="T19" s="62"/>
      <c r="U19" s="62"/>
    </row>
    <row r="20" spans="1:21" hidden="1" x14ac:dyDescent="0.3">
      <c r="A20" s="58">
        <v>4</v>
      </c>
      <c r="B20" s="58">
        <v>5</v>
      </c>
      <c r="C20" s="72">
        <v>5967716</v>
      </c>
      <c r="D20" s="72">
        <v>2740547905</v>
      </c>
      <c r="E20" s="59">
        <v>5.9812113473509147E-3</v>
      </c>
      <c r="F20" s="93">
        <v>4.592289420274021</v>
      </c>
      <c r="G20" s="90"/>
      <c r="H20" s="61" t="str">
        <f t="shared" si="0"/>
        <v>(4, 5]</v>
      </c>
      <c r="I20" s="62">
        <v>1.1000000000000001</v>
      </c>
      <c r="J20" s="59">
        <v>6.5793324820860068E-3</v>
      </c>
      <c r="K20" s="59">
        <v>6.6694548667126739E-3</v>
      </c>
      <c r="L20" s="119">
        <v>6669454</v>
      </c>
      <c r="M20" s="59">
        <v>6.6698354145381805E-3</v>
      </c>
      <c r="N20" s="59">
        <v>3.0629814609152674E-2</v>
      </c>
      <c r="O20" s="121">
        <v>0.9900000000000001</v>
      </c>
      <c r="P20" s="59">
        <v>6.6698354145381805E-3</v>
      </c>
      <c r="Q20" s="59">
        <v>6.2566090941134998E-3</v>
      </c>
      <c r="R20" s="83">
        <v>0.94</v>
      </c>
      <c r="T20" s="62"/>
      <c r="U20" s="62"/>
    </row>
    <row r="21" spans="1:21" hidden="1" x14ac:dyDescent="0.3">
      <c r="A21" s="58">
        <v>5</v>
      </c>
      <c r="B21" s="58">
        <v>6</v>
      </c>
      <c r="C21" s="72">
        <v>4588075</v>
      </c>
      <c r="D21" s="72">
        <v>2565747500</v>
      </c>
      <c r="E21" s="59">
        <v>4.5984504377381639E-3</v>
      </c>
      <c r="F21" s="93">
        <v>5.5922091508966174</v>
      </c>
      <c r="G21" s="90"/>
      <c r="H21" s="61" t="str">
        <f t="shared" si="0"/>
        <v>(5, 6]</v>
      </c>
      <c r="I21" s="62">
        <v>1.17</v>
      </c>
      <c r="J21" s="59">
        <v>5.3801870121536512E-3</v>
      </c>
      <c r="K21" s="59">
        <v>5.4538837412052557E-3</v>
      </c>
      <c r="L21" s="119">
        <v>5453883</v>
      </c>
      <c r="M21" s="59">
        <v>5.4541948981352501E-3</v>
      </c>
      <c r="N21" s="59">
        <v>3.0500998620125591E-2</v>
      </c>
      <c r="O21" s="121">
        <v>1.0529999999999999</v>
      </c>
      <c r="P21" s="59">
        <v>5.4541948981352501E-3</v>
      </c>
      <c r="Q21" s="59">
        <v>5.37539654564681E-3</v>
      </c>
      <c r="R21" s="83">
        <v>0.99</v>
      </c>
      <c r="T21" s="62"/>
      <c r="U21" s="62"/>
    </row>
    <row r="22" spans="1:21" hidden="1" x14ac:dyDescent="0.3">
      <c r="A22" s="58">
        <v>6</v>
      </c>
      <c r="B22" s="58">
        <v>7</v>
      </c>
      <c r="C22" s="72">
        <v>2981105</v>
      </c>
      <c r="D22" s="72">
        <v>1957208220</v>
      </c>
      <c r="E22" s="59">
        <v>2.9878464480622984E-3</v>
      </c>
      <c r="F22" s="93">
        <v>6.5653783412526563</v>
      </c>
      <c r="G22" s="90"/>
      <c r="H22" s="61" t="str">
        <f t="shared" si="0"/>
        <v>(6, 7]</v>
      </c>
      <c r="I22" s="62">
        <v>1.1000000000000001</v>
      </c>
      <c r="J22" s="59">
        <v>3.2866310928685283E-3</v>
      </c>
      <c r="K22" s="59">
        <v>3.3316507103272816E-3</v>
      </c>
      <c r="L22" s="119">
        <v>3331650</v>
      </c>
      <c r="M22" s="59">
        <v>3.3318405313007824E-3</v>
      </c>
      <c r="N22" s="59">
        <v>2.18747936607099E-2</v>
      </c>
      <c r="O22" s="121">
        <v>0.9900000000000001</v>
      </c>
      <c r="P22" s="59">
        <v>3.3318405313007824E-3</v>
      </c>
      <c r="Q22" s="59">
        <v>2.5114557631300671E-3</v>
      </c>
      <c r="R22" s="83">
        <v>0.75</v>
      </c>
      <c r="T22" s="62"/>
      <c r="U22" s="62"/>
    </row>
    <row r="23" spans="1:21" hidden="1" x14ac:dyDescent="0.3">
      <c r="A23" s="58">
        <v>7</v>
      </c>
      <c r="B23" s="58">
        <v>8</v>
      </c>
      <c r="C23" s="72">
        <v>3079054</v>
      </c>
      <c r="D23" s="72">
        <v>2346593790</v>
      </c>
      <c r="E23" s="59">
        <v>3.0860169491822706E-3</v>
      </c>
      <c r="F23" s="93">
        <v>7.6211517888286471</v>
      </c>
      <c r="G23" s="90"/>
      <c r="H23" s="61" t="str">
        <f t="shared" si="0"/>
        <v>(7, 8]</v>
      </c>
      <c r="I23" s="62">
        <v>0.9</v>
      </c>
      <c r="J23" s="59">
        <v>2.7774152542640435E-3</v>
      </c>
      <c r="K23" s="59">
        <v>2.8154597346872908E-3</v>
      </c>
      <c r="L23" s="119">
        <v>2815459</v>
      </c>
      <c r="M23" s="59">
        <v>2.8156200112303422E-3</v>
      </c>
      <c r="N23" s="59">
        <v>2.1458267485249857E-2</v>
      </c>
      <c r="O23" s="121">
        <v>0.81</v>
      </c>
      <c r="P23" s="59">
        <v>2.8156200112303422E-3</v>
      </c>
      <c r="Q23" s="59">
        <v>3.0842439196334154E-3</v>
      </c>
      <c r="R23" s="83">
        <v>1.1000000000000001</v>
      </c>
      <c r="T23" s="62"/>
      <c r="U23" s="62"/>
    </row>
    <row r="24" spans="1:21" hidden="1" x14ac:dyDescent="0.3">
      <c r="A24" s="58">
        <v>8</v>
      </c>
      <c r="B24" s="58">
        <v>9</v>
      </c>
      <c r="C24" s="72">
        <v>2276732</v>
      </c>
      <c r="D24" s="72">
        <v>1957651370</v>
      </c>
      <c r="E24" s="59">
        <v>2.2818805843436486E-3</v>
      </c>
      <c r="F24" s="93">
        <v>8.5985147571167797</v>
      </c>
      <c r="G24" s="90"/>
      <c r="H24" s="61" t="str">
        <f t="shared" si="0"/>
        <v>(8, 9]</v>
      </c>
      <c r="I24" s="62">
        <v>1.1000000000000001</v>
      </c>
      <c r="J24" s="59">
        <v>2.5100686427780138E-3</v>
      </c>
      <c r="K24" s="59">
        <v>2.5444510626176711E-3</v>
      </c>
      <c r="L24" s="119">
        <v>2544451</v>
      </c>
      <c r="M24" s="59">
        <v>2.5445965127515817E-3</v>
      </c>
      <c r="N24" s="59">
        <v>2.1879750665802371E-2</v>
      </c>
      <c r="O24" s="121">
        <v>0.9900000000000001</v>
      </c>
      <c r="P24" s="59">
        <v>2.5445965127515817E-3</v>
      </c>
      <c r="Q24" s="59">
        <v>2.687698272823405E-3</v>
      </c>
      <c r="R24" s="83">
        <v>1.06</v>
      </c>
      <c r="T24" s="62"/>
      <c r="U24" s="62"/>
    </row>
    <row r="25" spans="1:21" hidden="1" x14ac:dyDescent="0.3">
      <c r="A25" s="58">
        <v>9</v>
      </c>
      <c r="B25" s="58">
        <v>10</v>
      </c>
      <c r="C25" s="72">
        <v>2032718</v>
      </c>
      <c r="D25" s="72">
        <v>1959914600</v>
      </c>
      <c r="E25" s="59">
        <v>2.0373147729490573E-3</v>
      </c>
      <c r="F25" s="93">
        <v>9.6418421050042351</v>
      </c>
      <c r="G25" s="90"/>
      <c r="H25" s="61" t="str">
        <f t="shared" si="0"/>
        <v>(9, 10]</v>
      </c>
      <c r="I25" s="62">
        <v>1.1000000000000001</v>
      </c>
      <c r="J25" s="59">
        <v>2.2410462502439631E-3</v>
      </c>
      <c r="K25" s="59">
        <v>2.271743654985333E-3</v>
      </c>
      <c r="L25" s="119">
        <v>2271743</v>
      </c>
      <c r="M25" s="59">
        <v>2.2718729170527617E-3</v>
      </c>
      <c r="N25" s="59">
        <v>2.1905039948858111E-2</v>
      </c>
      <c r="O25" s="121">
        <v>0.9900000000000001</v>
      </c>
      <c r="P25" s="59">
        <v>2.2718729170527617E-3</v>
      </c>
      <c r="Q25" s="59">
        <v>2.2470919985900597E-3</v>
      </c>
      <c r="R25" s="83">
        <v>0.99</v>
      </c>
      <c r="T25" s="62"/>
      <c r="U25" s="62"/>
    </row>
    <row r="26" spans="1:21" hidden="1" x14ac:dyDescent="0.3">
      <c r="A26" s="58">
        <v>10</v>
      </c>
      <c r="B26" s="58">
        <v>15</v>
      </c>
      <c r="C26" s="72">
        <v>6889116</v>
      </c>
      <c r="D26" s="72">
        <v>8548091680</v>
      </c>
      <c r="E26" s="59">
        <v>6.9046949942686182E-3</v>
      </c>
      <c r="F26" s="93">
        <v>12.408111113240073</v>
      </c>
      <c r="G26" s="101"/>
      <c r="H26" s="61" t="str">
        <f t="shared" si="0"/>
        <v>(10, 15]</v>
      </c>
      <c r="I26" s="62">
        <v>0.432</v>
      </c>
      <c r="J26" s="59">
        <v>2.9828282375240428E-3</v>
      </c>
      <c r="K26" s="59">
        <v>3.0236864240390667E-3</v>
      </c>
      <c r="L26" s="119">
        <v>3023686</v>
      </c>
      <c r="M26" s="59">
        <v>3.0238589193723043E-3</v>
      </c>
      <c r="N26" s="59">
        <v>3.7520377462333609E-2</v>
      </c>
      <c r="O26" s="121">
        <v>0.38879999999999998</v>
      </c>
      <c r="P26" s="59">
        <v>3.0238589193723043E-3</v>
      </c>
      <c r="Q26" s="59">
        <v>4.9788508988367992E-3</v>
      </c>
      <c r="R26" s="83">
        <v>1.65</v>
      </c>
      <c r="T26" s="62"/>
      <c r="U26" s="62"/>
    </row>
    <row r="27" spans="1:21" hidden="1" x14ac:dyDescent="0.3">
      <c r="A27" s="58">
        <v>15</v>
      </c>
      <c r="B27" s="58">
        <v>20</v>
      </c>
      <c r="C27" s="72">
        <v>4433090</v>
      </c>
      <c r="D27" s="72">
        <v>7740661305</v>
      </c>
      <c r="E27" s="59">
        <v>4.4431149558437208E-3</v>
      </c>
      <c r="F27" s="93">
        <v>17.461096672975284</v>
      </c>
      <c r="G27" s="101"/>
      <c r="H27" s="115" t="str">
        <f t="shared" si="0"/>
        <v>(15, 20]</v>
      </c>
      <c r="I27" s="62">
        <v>0.88019999999999998</v>
      </c>
      <c r="J27" s="59">
        <v>3.9108297841336428E-3</v>
      </c>
      <c r="K27" s="59">
        <v>3.9643995508196654E-3</v>
      </c>
      <c r="L27" s="119">
        <v>3964399</v>
      </c>
      <c r="M27" s="59">
        <v>3.9646257171216332E-3</v>
      </c>
      <c r="N27" s="59">
        <v>6.9226712918824804E-2</v>
      </c>
      <c r="O27" s="121">
        <v>0.79218</v>
      </c>
      <c r="P27" s="59">
        <v>3.9646257171216332E-3</v>
      </c>
      <c r="Q27" s="59">
        <v>2.3352132534367291E-3</v>
      </c>
      <c r="R27" s="83">
        <v>0.59</v>
      </c>
      <c r="T27" s="62"/>
      <c r="U27" s="62"/>
    </row>
    <row r="28" spans="1:21" hidden="1" x14ac:dyDescent="0.3">
      <c r="A28" s="58">
        <v>20</v>
      </c>
      <c r="B28" s="58">
        <v>25</v>
      </c>
      <c r="C28" s="72">
        <v>2968477</v>
      </c>
      <c r="D28" s="72">
        <v>6681354435</v>
      </c>
      <c r="E28" s="59">
        <v>2.9751898911996146E-3</v>
      </c>
      <c r="F28" s="93">
        <v>22.507684698247623</v>
      </c>
      <c r="G28" s="101"/>
      <c r="H28" s="61" t="str">
        <f t="shared" si="0"/>
        <v>(20, 25]</v>
      </c>
      <c r="I28" s="62">
        <v>0.54900000000000004</v>
      </c>
      <c r="J28" s="59">
        <v>1.6333792502685885E-3</v>
      </c>
      <c r="K28" s="59">
        <v>1.6557529535940741E-3</v>
      </c>
      <c r="L28" s="119">
        <v>1655752</v>
      </c>
      <c r="M28" s="59">
        <v>1.6558466895929445E-3</v>
      </c>
      <c r="N28" s="59">
        <v>3.7269275197995097E-2</v>
      </c>
      <c r="O28" s="121">
        <v>0.49410000000000004</v>
      </c>
      <c r="P28" s="59">
        <v>1.6558466895929445E-3</v>
      </c>
      <c r="Q28" s="59">
        <v>1.8064857243567148E-3</v>
      </c>
      <c r="R28" s="83">
        <v>1.0900000000000001</v>
      </c>
      <c r="T28" s="62"/>
      <c r="U28" s="62"/>
    </row>
    <row r="29" spans="1:21" hidden="1" x14ac:dyDescent="0.3">
      <c r="A29" s="58">
        <v>25</v>
      </c>
      <c r="B29" s="58">
        <v>30</v>
      </c>
      <c r="C29" s="72">
        <v>2276941</v>
      </c>
      <c r="D29" s="72">
        <v>6265204430</v>
      </c>
      <c r="E29" s="59">
        <v>2.2820900569746512E-3</v>
      </c>
      <c r="F29" s="93">
        <v>27.515883942535183</v>
      </c>
      <c r="G29" s="101"/>
      <c r="H29" s="61" t="str">
        <f t="shared" si="0"/>
        <v>(25, 30]</v>
      </c>
      <c r="I29" s="62">
        <v>0.28999999999999998</v>
      </c>
      <c r="J29" s="59">
        <v>6.6180611652264876E-4</v>
      </c>
      <c r="K29" s="59">
        <v>6.7087140476335258E-4</v>
      </c>
      <c r="L29" s="119">
        <v>670871</v>
      </c>
      <c r="M29" s="59">
        <v>6.70909365952092E-4</v>
      </c>
      <c r="N29" s="59">
        <v>1.8460664249497629E-2</v>
      </c>
      <c r="O29" s="121">
        <v>0.26100000000000001</v>
      </c>
      <c r="P29" s="59">
        <v>6.70909365952092E-4</v>
      </c>
      <c r="Q29" s="59">
        <v>8.8121254846669017E-4</v>
      </c>
      <c r="R29" s="83">
        <v>1.31</v>
      </c>
      <c r="T29" s="62"/>
      <c r="U29" s="62"/>
    </row>
    <row r="30" spans="1:21" hidden="1" x14ac:dyDescent="0.3">
      <c r="A30" s="58">
        <v>30</v>
      </c>
      <c r="B30" s="58">
        <v>35</v>
      </c>
      <c r="C30" s="72">
        <v>1643818</v>
      </c>
      <c r="D30" s="72">
        <v>5344731840</v>
      </c>
      <c r="E30" s="59">
        <v>1.6475353174614351E-3</v>
      </c>
      <c r="F30" s="93">
        <v>32.514133803133923</v>
      </c>
      <c r="G30" s="101"/>
      <c r="H30" s="61" t="str">
        <f t="shared" si="0"/>
        <v>(30, 35]</v>
      </c>
      <c r="I30" s="62">
        <v>0.34</v>
      </c>
      <c r="J30" s="59">
        <v>5.6016200793688792E-4</v>
      </c>
      <c r="K30" s="59">
        <v>5.6783499544283756E-4</v>
      </c>
      <c r="L30" s="119">
        <v>567834</v>
      </c>
      <c r="M30" s="59">
        <v>5.6786647344428387E-4</v>
      </c>
      <c r="N30" s="59">
        <v>1.8463686499881244E-2</v>
      </c>
      <c r="O30" s="121">
        <v>0.30600000000000005</v>
      </c>
      <c r="P30" s="59">
        <v>5.6786647344428387E-4</v>
      </c>
      <c r="Q30" s="59">
        <v>4.8466690165667957E-4</v>
      </c>
      <c r="R30" s="83">
        <v>0.85</v>
      </c>
      <c r="T30" s="62"/>
      <c r="U30" s="62"/>
    </row>
    <row r="31" spans="1:21" hidden="1" x14ac:dyDescent="0.3">
      <c r="A31" s="58">
        <v>35</v>
      </c>
      <c r="B31" s="58">
        <v>40</v>
      </c>
      <c r="C31" s="72">
        <v>1366895</v>
      </c>
      <c r="D31" s="72">
        <v>5130263290</v>
      </c>
      <c r="E31" s="59">
        <v>1.3699860859057683E-3</v>
      </c>
      <c r="F31" s="93">
        <v>37.532241247498888</v>
      </c>
      <c r="G31" s="101"/>
      <c r="H31" s="115" t="str">
        <f t="shared" si="0"/>
        <v>(35, 40]</v>
      </c>
      <c r="I31" s="62">
        <v>0.7</v>
      </c>
      <c r="J31" s="59">
        <v>9.5899026013403774E-4</v>
      </c>
      <c r="K31" s="59">
        <v>9.7212631752471477E-4</v>
      </c>
      <c r="L31" s="119">
        <v>972126</v>
      </c>
      <c r="M31" s="59">
        <v>9.7218159420446463E-4</v>
      </c>
      <c r="N31" s="59">
        <v>3.6488154130060034E-2</v>
      </c>
      <c r="O31" s="121">
        <v>0.63</v>
      </c>
      <c r="P31" s="59">
        <v>9.7218159420446463E-4</v>
      </c>
      <c r="Q31" s="59">
        <v>7.0497003877335212E-4</v>
      </c>
      <c r="R31" s="83">
        <v>0.73</v>
      </c>
      <c r="T31" s="62"/>
      <c r="U31" s="62"/>
    </row>
    <row r="32" spans="1:21" hidden="1" x14ac:dyDescent="0.3">
      <c r="A32" s="58">
        <v>40</v>
      </c>
      <c r="B32" s="58">
        <v>45</v>
      </c>
      <c r="C32" s="72">
        <v>1095439</v>
      </c>
      <c r="D32" s="72">
        <v>4665871255</v>
      </c>
      <c r="E32" s="59">
        <v>1.0979162173821171E-3</v>
      </c>
      <c r="F32" s="93">
        <v>42.59362004639236</v>
      </c>
      <c r="G32" s="101"/>
      <c r="H32" s="61" t="str">
        <f t="shared" si="0"/>
        <v>(40, 45]</v>
      </c>
      <c r="I32" s="62">
        <v>0.2</v>
      </c>
      <c r="J32" s="59">
        <v>2.1958324347642343E-4</v>
      </c>
      <c r="K32" s="59">
        <v>2.2259105096753825E-4</v>
      </c>
      <c r="L32" s="119">
        <v>222591</v>
      </c>
      <c r="M32" s="59">
        <v>2.2260372959427685E-4</v>
      </c>
      <c r="N32" s="59">
        <v>9.4814986792484939E-3</v>
      </c>
      <c r="O32" s="121">
        <v>0.18000000000000002</v>
      </c>
      <c r="P32" s="59">
        <v>2.2260372959427685E-4</v>
      </c>
      <c r="Q32" s="59">
        <v>3.5248501938667606E-4</v>
      </c>
      <c r="R32" s="83">
        <v>1.58</v>
      </c>
      <c r="T32" s="62"/>
      <c r="U32" s="62"/>
    </row>
    <row r="33" spans="1:21" hidden="1" x14ac:dyDescent="0.3">
      <c r="A33" s="58">
        <v>45</v>
      </c>
      <c r="B33" s="58">
        <v>50</v>
      </c>
      <c r="C33" s="72">
        <v>870009</v>
      </c>
      <c r="D33" s="72">
        <v>4140550785</v>
      </c>
      <c r="E33" s="59">
        <v>8.7197643170308734E-4</v>
      </c>
      <c r="F33" s="93">
        <v>47.592045427116275</v>
      </c>
      <c r="G33" s="101"/>
      <c r="H33" s="61" t="str">
        <f t="shared" si="0"/>
        <v>(45, 50]</v>
      </c>
      <c r="I33" s="62">
        <v>0.24</v>
      </c>
      <c r="J33" s="59">
        <v>2.0927434360874095E-4</v>
      </c>
      <c r="K33" s="59">
        <v>2.121409418447402E-4</v>
      </c>
      <c r="L33" s="119">
        <v>212140</v>
      </c>
      <c r="M33" s="59">
        <v>2.1215213191966382E-4</v>
      </c>
      <c r="N33" s="59">
        <v>1.0096753899780205E-2</v>
      </c>
      <c r="O33" s="121">
        <v>0.216</v>
      </c>
      <c r="P33" s="59">
        <v>2.1215213191966382E-4</v>
      </c>
      <c r="Q33" s="59">
        <v>1.3218188227000352E-4</v>
      </c>
      <c r="R33" s="83">
        <v>0.62</v>
      </c>
      <c r="T33" s="62"/>
      <c r="U33" s="62"/>
    </row>
    <row r="34" spans="1:21" hidden="1" x14ac:dyDescent="0.3">
      <c r="A34" s="58">
        <v>50</v>
      </c>
      <c r="B34" s="58">
        <v>60</v>
      </c>
      <c r="C34" s="72">
        <v>1399811</v>
      </c>
      <c r="D34" s="72">
        <v>7676767230</v>
      </c>
      <c r="E34" s="59">
        <v>1.40297652189659E-3</v>
      </c>
      <c r="F34" s="93">
        <v>54.841455239314449</v>
      </c>
      <c r="G34" s="101"/>
      <c r="H34" s="115" t="str">
        <f t="shared" si="0"/>
        <v>(50, 60]</v>
      </c>
      <c r="I34" s="62">
        <v>0.43789299999999998</v>
      </c>
      <c r="J34" s="59">
        <v>6.1435359810286345E-4</v>
      </c>
      <c r="K34" s="59">
        <v>6.2276889120679987E-4</v>
      </c>
      <c r="L34" s="119">
        <v>622768</v>
      </c>
      <c r="M34" s="59">
        <v>6.2280361502472517E-4</v>
      </c>
      <c r="N34" s="59">
        <v>3.4155456576261692E-2</v>
      </c>
      <c r="O34" s="121">
        <v>0.3941037</v>
      </c>
      <c r="P34" s="59">
        <v>6.2280361502472517E-4</v>
      </c>
      <c r="Q34" s="59">
        <v>3.0842439196334157E-4</v>
      </c>
      <c r="R34" s="83">
        <v>0.5</v>
      </c>
      <c r="T34" s="62"/>
      <c r="U34" s="62"/>
    </row>
    <row r="35" spans="1:21" hidden="1" x14ac:dyDescent="0.3">
      <c r="A35" s="58">
        <v>60</v>
      </c>
      <c r="B35" s="58">
        <v>70</v>
      </c>
      <c r="C35" s="72">
        <v>989448</v>
      </c>
      <c r="D35" s="72">
        <v>6424961185</v>
      </c>
      <c r="E35" s="59">
        <v>9.9168553014481039E-4</v>
      </c>
      <c r="F35" s="93">
        <v>64.934803900760826</v>
      </c>
      <c r="G35" s="90"/>
      <c r="H35" s="61" t="str">
        <f t="shared" si="0"/>
        <v>(60, 70]</v>
      </c>
      <c r="I35" s="62">
        <v>0.15</v>
      </c>
      <c r="J35" s="59">
        <v>1.4875282952172156E-4</v>
      </c>
      <c r="K35" s="59">
        <v>1.5079041612385224E-4</v>
      </c>
      <c r="L35" s="119">
        <v>150790</v>
      </c>
      <c r="M35" s="59">
        <v>1.5079862341928023E-4</v>
      </c>
      <c r="N35" s="59">
        <v>9.7920790402356416E-3</v>
      </c>
      <c r="O35" s="121">
        <v>0.13500000000000001</v>
      </c>
      <c r="P35" s="59">
        <v>1.5079862341928023E-4</v>
      </c>
      <c r="Q35" s="59">
        <v>1.7624250969333803E-4</v>
      </c>
      <c r="R35" s="83">
        <v>1.17</v>
      </c>
      <c r="T35" s="62"/>
      <c r="U35" s="62"/>
    </row>
    <row r="36" spans="1:21" hidden="1" x14ac:dyDescent="0.3">
      <c r="A36" s="58">
        <v>70</v>
      </c>
      <c r="B36" s="58">
        <v>80</v>
      </c>
      <c r="C36" s="72">
        <v>751643</v>
      </c>
      <c r="D36" s="72">
        <v>5635089920</v>
      </c>
      <c r="E36" s="59">
        <v>7.5334275973536332E-4</v>
      </c>
      <c r="F36" s="93">
        <v>74.970297335304124</v>
      </c>
      <c r="G36" s="90"/>
      <c r="H36" s="61" t="str">
        <f t="shared" si="0"/>
        <v>(70, 80]</v>
      </c>
      <c r="I36" s="62">
        <v>0.17</v>
      </c>
      <c r="J36" s="59">
        <v>1.2806826915501176E-4</v>
      </c>
      <c r="K36" s="59">
        <v>1.298225227730931E-4</v>
      </c>
      <c r="L36" s="119">
        <v>129822</v>
      </c>
      <c r="M36" s="59">
        <v>1.2982942429562834E-4</v>
      </c>
      <c r="N36" s="59">
        <v>9.7333505423146133E-3</v>
      </c>
      <c r="O36" s="121">
        <v>0.15300000000000002</v>
      </c>
      <c r="P36" s="59">
        <v>1.2982942429562834E-4</v>
      </c>
      <c r="Q36" s="59">
        <v>1.3218188227000352E-4</v>
      </c>
      <c r="R36" s="83">
        <v>1.02</v>
      </c>
      <c r="T36" s="62"/>
      <c r="U36" s="62"/>
    </row>
    <row r="37" spans="1:21" hidden="1" x14ac:dyDescent="0.3">
      <c r="A37" s="58">
        <v>80</v>
      </c>
      <c r="B37" s="58">
        <v>90</v>
      </c>
      <c r="C37" s="72">
        <v>580230</v>
      </c>
      <c r="D37" s="72">
        <v>4930863345</v>
      </c>
      <c r="E37" s="59">
        <v>5.8154212768727958E-4</v>
      </c>
      <c r="F37" s="93">
        <v>84.981185822863353</v>
      </c>
      <c r="G37" s="90"/>
      <c r="H37" s="61" t="str">
        <f t="shared" si="0"/>
        <v>(80, 90]</v>
      </c>
      <c r="I37" s="62">
        <v>0.19</v>
      </c>
      <c r="J37" s="59">
        <v>1.1049300426058313E-4</v>
      </c>
      <c r="K37" s="59">
        <v>1.1200651540409826E-4</v>
      </c>
      <c r="L37" s="119">
        <v>112006</v>
      </c>
      <c r="M37" s="59">
        <v>1.1201240542940448E-4</v>
      </c>
      <c r="N37" s="59">
        <v>9.5189470402621303E-3</v>
      </c>
      <c r="O37" s="121">
        <v>0.17100000000000001</v>
      </c>
      <c r="P37" s="59">
        <v>1.1201240542940448E-4</v>
      </c>
      <c r="Q37" s="59">
        <v>0</v>
      </c>
      <c r="R37" s="83">
        <v>0</v>
      </c>
      <c r="T37" s="62"/>
      <c r="U37" s="62"/>
    </row>
    <row r="38" spans="1:21" hidden="1" x14ac:dyDescent="0.3">
      <c r="A38" s="58">
        <v>90</v>
      </c>
      <c r="B38" s="58">
        <v>100</v>
      </c>
      <c r="C38" s="72">
        <v>453118</v>
      </c>
      <c r="D38" s="72">
        <v>4304879505</v>
      </c>
      <c r="E38" s="59">
        <v>4.5414267758200151E-4</v>
      </c>
      <c r="F38" s="93">
        <v>95.005705026063836</v>
      </c>
      <c r="G38" s="90"/>
      <c r="H38" s="61" t="str">
        <f t="shared" si="0"/>
        <v>(90, 100]</v>
      </c>
      <c r="I38" s="62">
        <v>0.22</v>
      </c>
      <c r="J38" s="59">
        <v>9.9911389068040331E-5</v>
      </c>
      <c r="K38" s="59">
        <v>1.0127995535629085E-4</v>
      </c>
      <c r="L38" s="119">
        <v>101279</v>
      </c>
      <c r="M38" s="59">
        <v>1.0128479197082886E-4</v>
      </c>
      <c r="N38" s="59">
        <v>9.6226330696068049E-3</v>
      </c>
      <c r="O38" s="121">
        <v>0.19800000000000001</v>
      </c>
      <c r="P38" s="59">
        <v>1.0128479197082886E-4</v>
      </c>
      <c r="Q38" s="59">
        <v>8.8121254846669015E-5</v>
      </c>
      <c r="R38" s="83">
        <v>0.87</v>
      </c>
      <c r="T38" s="62"/>
      <c r="U38" s="62"/>
    </row>
    <row r="39" spans="1:21" hidden="1" x14ac:dyDescent="0.3">
      <c r="A39" s="58">
        <v>100</v>
      </c>
      <c r="B39" s="58">
        <v>120</v>
      </c>
      <c r="C39" s="72">
        <v>690338</v>
      </c>
      <c r="D39" s="72">
        <v>7554624580</v>
      </c>
      <c r="E39" s="59">
        <v>6.9189912507691979E-4</v>
      </c>
      <c r="F39" s="93">
        <v>109.43370609759276</v>
      </c>
      <c r="G39" s="90"/>
      <c r="H39" s="61" t="str">
        <f t="shared" si="0"/>
        <v>(100, 120]</v>
      </c>
      <c r="I39" s="62">
        <v>0</v>
      </c>
      <c r="J39" s="59">
        <v>0</v>
      </c>
      <c r="K39" s="59">
        <v>0</v>
      </c>
      <c r="L39" s="119">
        <v>0</v>
      </c>
      <c r="M39" s="59">
        <v>0</v>
      </c>
      <c r="N39" s="59">
        <v>0</v>
      </c>
      <c r="O39" s="121">
        <v>0</v>
      </c>
      <c r="P39" s="59">
        <v>0</v>
      </c>
      <c r="Q39" s="59">
        <v>0</v>
      </c>
      <c r="R39" s="83">
        <v>0</v>
      </c>
      <c r="T39" s="62"/>
      <c r="U39" s="62"/>
    </row>
    <row r="40" spans="1:21" hidden="1" x14ac:dyDescent="0.3">
      <c r="A40" s="58">
        <v>120</v>
      </c>
      <c r="B40" s="58">
        <v>140</v>
      </c>
      <c r="C40" s="72">
        <v>464085</v>
      </c>
      <c r="D40" s="72">
        <v>6016167965</v>
      </c>
      <c r="E40" s="59">
        <v>4.6513447827198031E-4</v>
      </c>
      <c r="F40" s="93">
        <v>129.63504455002854</v>
      </c>
      <c r="G40" s="90"/>
      <c r="H40" s="61" t="str">
        <f t="shared" si="0"/>
        <v>(120, 140]</v>
      </c>
      <c r="I40" s="62">
        <v>0</v>
      </c>
      <c r="J40" s="59">
        <v>0</v>
      </c>
      <c r="K40" s="59">
        <v>0</v>
      </c>
      <c r="L40" s="119">
        <v>0</v>
      </c>
      <c r="M40" s="59">
        <v>0</v>
      </c>
      <c r="N40" s="59">
        <v>0</v>
      </c>
      <c r="O40" s="121">
        <v>0</v>
      </c>
      <c r="P40" s="59">
        <v>0</v>
      </c>
      <c r="Q40" s="59">
        <v>4.4060627423334507E-5</v>
      </c>
      <c r="R40" s="83">
        <v>0</v>
      </c>
      <c r="T40" s="62"/>
      <c r="U40" s="62"/>
    </row>
    <row r="41" spans="1:21" hidden="1" x14ac:dyDescent="0.3">
      <c r="A41" s="58">
        <v>140</v>
      </c>
      <c r="B41" s="58">
        <v>160</v>
      </c>
      <c r="C41" s="72">
        <v>337004</v>
      </c>
      <c r="D41" s="72">
        <v>5047742710</v>
      </c>
      <c r="E41" s="59">
        <v>3.3776609826986531E-4</v>
      </c>
      <c r="F41" s="93">
        <v>149.78287231012095</v>
      </c>
      <c r="G41" s="90"/>
      <c r="H41" s="61" t="str">
        <f t="shared" si="0"/>
        <v>(140, 160]</v>
      </c>
      <c r="I41" s="62">
        <v>0</v>
      </c>
      <c r="J41" s="59">
        <v>0</v>
      </c>
      <c r="K41" s="59">
        <v>0</v>
      </c>
      <c r="L41" s="119">
        <v>0</v>
      </c>
      <c r="M41" s="59">
        <v>0</v>
      </c>
      <c r="N41" s="59">
        <v>0</v>
      </c>
      <c r="O41" s="121">
        <v>0</v>
      </c>
      <c r="P41" s="59">
        <v>0</v>
      </c>
      <c r="Q41" s="59">
        <v>8.8121254846669015E-5</v>
      </c>
      <c r="R41" s="83">
        <v>0</v>
      </c>
      <c r="T41" s="62"/>
      <c r="U41" s="62"/>
    </row>
    <row r="42" spans="1:21" hidden="1" x14ac:dyDescent="0.3">
      <c r="A42" s="58">
        <v>160</v>
      </c>
      <c r="B42" s="58">
        <v>180</v>
      </c>
      <c r="C42" s="72">
        <v>247756</v>
      </c>
      <c r="D42" s="72">
        <v>4204937895</v>
      </c>
      <c r="E42" s="59">
        <v>2.4831627352479125E-4</v>
      </c>
      <c r="F42" s="93">
        <v>169.72093087553884</v>
      </c>
      <c r="G42" s="90"/>
      <c r="H42" s="61" t="str">
        <f t="shared" si="0"/>
        <v>(160, 180]</v>
      </c>
      <c r="I42" s="62">
        <v>0</v>
      </c>
      <c r="J42" s="59">
        <v>0</v>
      </c>
      <c r="K42" s="59">
        <v>0</v>
      </c>
      <c r="L42" s="119">
        <v>0</v>
      </c>
      <c r="M42" s="59">
        <v>0</v>
      </c>
      <c r="N42" s="59">
        <v>0</v>
      </c>
      <c r="O42" s="121">
        <v>0</v>
      </c>
      <c r="P42" s="59">
        <v>0</v>
      </c>
      <c r="Q42" s="59">
        <v>0</v>
      </c>
      <c r="R42" s="83">
        <v>0</v>
      </c>
      <c r="T42" s="62"/>
      <c r="U42" s="62"/>
    </row>
    <row r="43" spans="1:21" hidden="1" x14ac:dyDescent="0.3">
      <c r="A43" s="58">
        <v>180</v>
      </c>
      <c r="B43" s="58">
        <v>200</v>
      </c>
      <c r="C43" s="72">
        <v>183724</v>
      </c>
      <c r="D43" s="72">
        <v>3486545350</v>
      </c>
      <c r="E43" s="59">
        <v>1.8413947204939032E-4</v>
      </c>
      <c r="F43" s="93">
        <v>189.77081655091334</v>
      </c>
      <c r="G43" s="90"/>
      <c r="H43" s="61" t="str">
        <f t="shared" si="0"/>
        <v>(180, 200]</v>
      </c>
      <c r="I43" s="62">
        <v>0</v>
      </c>
      <c r="J43" s="59">
        <v>0</v>
      </c>
      <c r="K43" s="59">
        <v>0</v>
      </c>
      <c r="L43" s="119">
        <v>0</v>
      </c>
      <c r="M43" s="59">
        <v>0</v>
      </c>
      <c r="N43" s="59">
        <v>0</v>
      </c>
      <c r="O43" s="121">
        <v>0</v>
      </c>
      <c r="P43" s="59">
        <v>0</v>
      </c>
      <c r="Q43" s="59">
        <v>0</v>
      </c>
      <c r="R43" s="83">
        <v>0</v>
      </c>
      <c r="T43" s="62"/>
      <c r="U43" s="62"/>
    </row>
    <row r="44" spans="1:21" hidden="1" x14ac:dyDescent="0.3">
      <c r="A44" s="58">
        <v>200</v>
      </c>
      <c r="B44" s="58">
        <v>250</v>
      </c>
      <c r="C44" s="72">
        <v>309801</v>
      </c>
      <c r="D44" s="72">
        <v>6896112120</v>
      </c>
      <c r="E44" s="59">
        <v>3.1050158161357889E-4</v>
      </c>
      <c r="F44" s="93">
        <v>222.59812331141603</v>
      </c>
      <c r="G44" s="90"/>
      <c r="H44" s="61" t="str">
        <f t="shared" si="0"/>
        <v>(200, 250]</v>
      </c>
      <c r="I44" s="62">
        <v>0</v>
      </c>
      <c r="J44" s="59">
        <v>0</v>
      </c>
      <c r="K44" s="59">
        <v>0</v>
      </c>
      <c r="L44" s="119">
        <v>0</v>
      </c>
      <c r="M44" s="59">
        <v>0</v>
      </c>
      <c r="N44" s="59">
        <v>0</v>
      </c>
      <c r="O44" s="121">
        <v>0</v>
      </c>
      <c r="P44" s="59">
        <v>0</v>
      </c>
      <c r="Q44" s="59">
        <v>4.4060627423334507E-5</v>
      </c>
      <c r="R44" s="83">
        <v>0</v>
      </c>
      <c r="T44" s="62"/>
      <c r="U44" s="62"/>
    </row>
    <row r="45" spans="1:21" hidden="1" x14ac:dyDescent="0.3">
      <c r="A45" s="58">
        <v>250</v>
      </c>
      <c r="B45" s="58">
        <v>300</v>
      </c>
      <c r="C45" s="72">
        <v>182313</v>
      </c>
      <c r="D45" s="72">
        <v>4972314355</v>
      </c>
      <c r="E45" s="59">
        <v>1.8272528122477465E-4</v>
      </c>
      <c r="F45" s="93">
        <v>272.73504111061743</v>
      </c>
      <c r="G45" s="90"/>
      <c r="H45" s="61" t="str">
        <f t="shared" si="0"/>
        <v>(250, 300]</v>
      </c>
      <c r="I45" s="62">
        <v>0</v>
      </c>
      <c r="J45" s="59">
        <v>0</v>
      </c>
      <c r="K45" s="59">
        <v>0</v>
      </c>
      <c r="L45" s="119">
        <v>0</v>
      </c>
      <c r="M45" s="59">
        <v>0</v>
      </c>
      <c r="N45" s="59">
        <v>0</v>
      </c>
      <c r="O45" s="121">
        <v>0</v>
      </c>
      <c r="P45" s="59">
        <v>0</v>
      </c>
      <c r="Q45" s="59">
        <v>0</v>
      </c>
      <c r="R45" s="83">
        <v>0</v>
      </c>
      <c r="T45" s="62"/>
      <c r="U45" s="62"/>
    </row>
    <row r="46" spans="1:21" hidden="1" x14ac:dyDescent="0.3">
      <c r="A46" s="58">
        <v>300</v>
      </c>
      <c r="B46" s="58">
        <v>350</v>
      </c>
      <c r="C46" s="72">
        <v>113071</v>
      </c>
      <c r="D46" s="72">
        <v>3654775350</v>
      </c>
      <c r="E46" s="59">
        <v>1.1332669789519395E-4</v>
      </c>
      <c r="F46" s="93">
        <v>323.22835651935509</v>
      </c>
      <c r="G46" s="90"/>
      <c r="H46" s="61" t="str">
        <f t="shared" si="0"/>
        <v>(300, 350]</v>
      </c>
      <c r="I46" s="62">
        <v>0</v>
      </c>
      <c r="J46" s="59">
        <v>0</v>
      </c>
      <c r="K46" s="59">
        <v>0</v>
      </c>
      <c r="L46" s="119">
        <v>0</v>
      </c>
      <c r="M46" s="59">
        <v>0</v>
      </c>
      <c r="N46" s="59">
        <v>0</v>
      </c>
      <c r="O46" s="121">
        <v>0</v>
      </c>
      <c r="P46" s="59">
        <v>0</v>
      </c>
      <c r="Q46" s="59">
        <v>0</v>
      </c>
      <c r="R46" s="83">
        <v>0</v>
      </c>
      <c r="T46" s="62"/>
      <c r="U46" s="62"/>
    </row>
    <row r="47" spans="1:21" hidden="1" x14ac:dyDescent="0.3">
      <c r="A47" s="58">
        <v>350</v>
      </c>
      <c r="B47" s="58">
        <v>400</v>
      </c>
      <c r="C47" s="72">
        <v>74664</v>
      </c>
      <c r="D47" s="72">
        <v>2788064655</v>
      </c>
      <c r="E47" s="59">
        <v>7.4832844598940148E-5</v>
      </c>
      <c r="F47" s="93">
        <v>373.4148525393764</v>
      </c>
      <c r="G47" s="90"/>
      <c r="H47" s="61" t="str">
        <f t="shared" si="0"/>
        <v>(350, 400]</v>
      </c>
      <c r="I47" s="62">
        <v>0</v>
      </c>
      <c r="J47" s="59">
        <v>0</v>
      </c>
      <c r="K47" s="59">
        <v>0</v>
      </c>
      <c r="L47" s="119">
        <v>0</v>
      </c>
      <c r="M47" s="59">
        <v>0</v>
      </c>
      <c r="N47" s="59">
        <v>0</v>
      </c>
      <c r="O47" s="121">
        <v>0</v>
      </c>
      <c r="P47" s="59">
        <v>0</v>
      </c>
      <c r="Q47" s="59">
        <v>0</v>
      </c>
      <c r="R47" s="83">
        <v>0</v>
      </c>
      <c r="T47" s="62"/>
      <c r="U47" s="62"/>
    </row>
    <row r="48" spans="1:21" hidden="1" x14ac:dyDescent="0.3">
      <c r="A48" s="58">
        <v>400</v>
      </c>
      <c r="B48" s="58">
        <v>450</v>
      </c>
      <c r="C48" s="72">
        <v>53848</v>
      </c>
      <c r="D48" s="72">
        <v>2278490765</v>
      </c>
      <c r="E48" s="59">
        <v>5.3969771455637644E-5</v>
      </c>
      <c r="F48" s="93">
        <v>423.13377748477194</v>
      </c>
      <c r="G48" s="90"/>
      <c r="H48" s="61" t="str">
        <f t="shared" si="0"/>
        <v>(400, 450]</v>
      </c>
      <c r="I48" s="62">
        <v>0</v>
      </c>
      <c r="J48" s="59">
        <v>0</v>
      </c>
      <c r="K48" s="59">
        <v>0</v>
      </c>
      <c r="L48" s="119">
        <v>0</v>
      </c>
      <c r="M48" s="59">
        <v>0</v>
      </c>
      <c r="N48" s="59">
        <v>0</v>
      </c>
      <c r="O48" s="121">
        <v>0</v>
      </c>
      <c r="P48" s="59">
        <v>0</v>
      </c>
      <c r="Q48" s="59">
        <v>0</v>
      </c>
      <c r="R48" s="83">
        <v>0</v>
      </c>
      <c r="T48" s="62"/>
      <c r="U48" s="62"/>
    </row>
    <row r="49" spans="1:21" hidden="1" x14ac:dyDescent="0.3">
      <c r="A49" s="58">
        <v>450</v>
      </c>
      <c r="B49" s="58">
        <v>500</v>
      </c>
      <c r="C49" s="72">
        <v>35716</v>
      </c>
      <c r="D49" s="72">
        <v>1692193365</v>
      </c>
      <c r="E49" s="59">
        <v>3.5796767889421219E-5</v>
      </c>
      <c r="F49" s="93">
        <v>473.79140021278982</v>
      </c>
      <c r="G49" s="90"/>
      <c r="H49" s="61" t="str">
        <f t="shared" si="0"/>
        <v>(450, 500]</v>
      </c>
      <c r="I49" s="62">
        <v>0</v>
      </c>
      <c r="J49" s="59">
        <v>0</v>
      </c>
      <c r="K49" s="59">
        <v>0</v>
      </c>
      <c r="L49" s="119">
        <v>0</v>
      </c>
      <c r="M49" s="59">
        <v>0</v>
      </c>
      <c r="N49" s="59">
        <v>0</v>
      </c>
      <c r="O49" s="121">
        <v>0</v>
      </c>
      <c r="P49" s="59">
        <v>0</v>
      </c>
      <c r="Q49" s="59">
        <v>0</v>
      </c>
      <c r="R49" s="83">
        <v>0</v>
      </c>
      <c r="T49" s="62"/>
      <c r="U49" s="62"/>
    </row>
    <row r="50" spans="1:21" hidden="1" x14ac:dyDescent="0.3">
      <c r="A50" s="58">
        <v>500</v>
      </c>
      <c r="B50" s="58">
        <v>550</v>
      </c>
      <c r="C50" s="72">
        <v>28751</v>
      </c>
      <c r="D50" s="72">
        <v>1504820855</v>
      </c>
      <c r="E50" s="59">
        <v>2.8816017291654989E-5</v>
      </c>
      <c r="F50" s="93">
        <v>523.39774442628084</v>
      </c>
      <c r="G50" s="90"/>
      <c r="H50" s="61" t="str">
        <f t="shared" si="0"/>
        <v>(500, 550]</v>
      </c>
      <c r="I50" s="62">
        <v>0</v>
      </c>
      <c r="J50" s="59">
        <v>0</v>
      </c>
      <c r="K50" s="59">
        <v>0</v>
      </c>
      <c r="L50" s="119">
        <v>0</v>
      </c>
      <c r="M50" s="59">
        <v>0</v>
      </c>
      <c r="N50" s="59">
        <v>0</v>
      </c>
      <c r="O50" s="121">
        <v>0</v>
      </c>
      <c r="P50" s="59">
        <v>0</v>
      </c>
      <c r="Q50" s="59">
        <v>0</v>
      </c>
      <c r="R50" s="83">
        <v>0</v>
      </c>
      <c r="T50" s="62"/>
      <c r="U50" s="62"/>
    </row>
    <row r="51" spans="1:21" hidden="1" x14ac:dyDescent="0.3">
      <c r="A51" s="58">
        <v>550</v>
      </c>
      <c r="B51" s="58">
        <v>600</v>
      </c>
      <c r="C51" s="72">
        <v>20322</v>
      </c>
      <c r="D51" s="72">
        <v>1166243190</v>
      </c>
      <c r="E51" s="59">
        <v>2.0367956015478164E-5</v>
      </c>
      <c r="F51" s="93">
        <v>573.88209329790379</v>
      </c>
      <c r="G51" s="90"/>
      <c r="H51" s="61" t="str">
        <f t="shared" si="0"/>
        <v>(550, 600]</v>
      </c>
      <c r="I51" s="62">
        <v>0</v>
      </c>
      <c r="J51" s="59">
        <v>0</v>
      </c>
      <c r="K51" s="59">
        <v>0</v>
      </c>
      <c r="L51" s="119">
        <v>0</v>
      </c>
      <c r="M51" s="59">
        <v>0</v>
      </c>
      <c r="N51" s="59">
        <v>0</v>
      </c>
      <c r="O51" s="121">
        <v>0</v>
      </c>
      <c r="P51" s="59">
        <v>0</v>
      </c>
      <c r="Q51" s="59">
        <v>0</v>
      </c>
      <c r="R51" s="83">
        <v>0</v>
      </c>
      <c r="T51" s="62"/>
      <c r="U51" s="62"/>
    </row>
    <row r="52" spans="1:21" hidden="1" x14ac:dyDescent="0.3">
      <c r="A52" s="58">
        <v>600</v>
      </c>
      <c r="B52" s="58">
        <v>650</v>
      </c>
      <c r="C52" s="72">
        <v>15717</v>
      </c>
      <c r="D52" s="72">
        <v>980622530</v>
      </c>
      <c r="E52" s="59">
        <v>1.5752542303674356E-5</v>
      </c>
      <c r="F52" s="93">
        <v>623.9247502704078</v>
      </c>
      <c r="G52" s="90"/>
      <c r="H52" s="61" t="str">
        <f t="shared" si="0"/>
        <v>(600, 650]</v>
      </c>
      <c r="I52" s="62">
        <v>0</v>
      </c>
      <c r="J52" s="59">
        <v>0</v>
      </c>
      <c r="K52" s="59">
        <v>0</v>
      </c>
      <c r="L52" s="119">
        <v>0</v>
      </c>
      <c r="M52" s="59">
        <v>0</v>
      </c>
      <c r="N52" s="59">
        <v>0</v>
      </c>
      <c r="O52" s="121">
        <v>0</v>
      </c>
      <c r="P52" s="59">
        <v>0</v>
      </c>
      <c r="Q52" s="59">
        <v>0</v>
      </c>
      <c r="R52" s="83">
        <v>0</v>
      </c>
      <c r="T52" s="62"/>
      <c r="U52" s="62"/>
    </row>
    <row r="53" spans="1:21" hidden="1" x14ac:dyDescent="0.3">
      <c r="A53" s="58">
        <v>650</v>
      </c>
      <c r="B53" s="58">
        <v>700</v>
      </c>
      <c r="C53" s="72">
        <v>12454</v>
      </c>
      <c r="D53" s="72">
        <v>839528115</v>
      </c>
      <c r="E53" s="59">
        <v>1.2482163380413594E-5</v>
      </c>
      <c r="F53" s="93">
        <v>674.10319174562392</v>
      </c>
      <c r="G53" s="90"/>
      <c r="H53" s="61" t="str">
        <f t="shared" si="0"/>
        <v>(650, 700]</v>
      </c>
      <c r="I53" s="62">
        <v>0</v>
      </c>
      <c r="J53" s="59">
        <v>0</v>
      </c>
      <c r="K53" s="59">
        <v>0</v>
      </c>
      <c r="L53" s="119">
        <v>0</v>
      </c>
      <c r="M53" s="59">
        <v>0</v>
      </c>
      <c r="N53" s="59">
        <v>0</v>
      </c>
      <c r="O53" s="121">
        <v>0</v>
      </c>
      <c r="P53" s="59">
        <v>0</v>
      </c>
      <c r="Q53" s="59">
        <v>0</v>
      </c>
      <c r="R53" s="83">
        <v>0</v>
      </c>
      <c r="T53" s="62"/>
      <c r="U53" s="62"/>
    </row>
    <row r="54" spans="1:21" hidden="1" x14ac:dyDescent="0.3">
      <c r="A54" s="58">
        <v>700</v>
      </c>
      <c r="B54" s="58">
        <v>750</v>
      </c>
      <c r="C54" s="72">
        <v>10012</v>
      </c>
      <c r="D54" s="72">
        <v>724705595</v>
      </c>
      <c r="E54" s="59">
        <v>1.0034641060277894E-5</v>
      </c>
      <c r="F54" s="93">
        <v>723.83699061126651</v>
      </c>
      <c r="G54" s="90"/>
      <c r="H54" s="61" t="str">
        <f t="shared" si="0"/>
        <v>(700, 750]</v>
      </c>
      <c r="I54" s="62">
        <v>0</v>
      </c>
      <c r="J54" s="59">
        <v>0</v>
      </c>
      <c r="K54" s="59">
        <v>0</v>
      </c>
      <c r="L54" s="119">
        <v>0</v>
      </c>
      <c r="M54" s="59">
        <v>0</v>
      </c>
      <c r="N54" s="59">
        <v>0</v>
      </c>
      <c r="O54" s="121">
        <v>0</v>
      </c>
      <c r="P54" s="59">
        <v>0</v>
      </c>
      <c r="Q54" s="59">
        <v>0</v>
      </c>
      <c r="R54" s="83">
        <v>0</v>
      </c>
      <c r="T54" s="62"/>
      <c r="U54" s="62"/>
    </row>
    <row r="55" spans="1:21" hidden="1" x14ac:dyDescent="0.3">
      <c r="A55" s="58">
        <v>750</v>
      </c>
      <c r="B55" s="58">
        <v>800</v>
      </c>
      <c r="C55" s="72">
        <v>7944</v>
      </c>
      <c r="D55" s="72">
        <v>615116165</v>
      </c>
      <c r="E55" s="59">
        <v>7.9619645008836982E-6</v>
      </c>
      <c r="F55" s="93">
        <v>774.31541414904336</v>
      </c>
      <c r="G55" s="90"/>
      <c r="H55" s="61" t="str">
        <f t="shared" si="0"/>
        <v>(750, 800]</v>
      </c>
      <c r="I55" s="62">
        <v>0</v>
      </c>
      <c r="J55" s="59">
        <v>0</v>
      </c>
      <c r="K55" s="59">
        <v>0</v>
      </c>
      <c r="L55" s="119">
        <v>0</v>
      </c>
      <c r="M55" s="59">
        <v>0</v>
      </c>
      <c r="N55" s="59">
        <v>0</v>
      </c>
      <c r="O55" s="121">
        <v>0</v>
      </c>
      <c r="P55" s="59">
        <v>0</v>
      </c>
      <c r="Q55" s="59">
        <v>0</v>
      </c>
      <c r="R55" s="83">
        <v>0</v>
      </c>
      <c r="T55" s="62"/>
      <c r="U55" s="62"/>
    </row>
    <row r="56" spans="1:21" hidden="1" x14ac:dyDescent="0.3">
      <c r="A56" s="58">
        <v>800</v>
      </c>
      <c r="B56" s="58">
        <v>850</v>
      </c>
      <c r="C56" s="72">
        <v>6888</v>
      </c>
      <c r="D56" s="72">
        <v>567306570</v>
      </c>
      <c r="E56" s="59">
        <v>6.903576470554748E-6</v>
      </c>
      <c r="F56" s="93">
        <v>823.61581010452971</v>
      </c>
      <c r="G56" s="90"/>
      <c r="H56" s="61" t="str">
        <f t="shared" si="0"/>
        <v>(800, 850]</v>
      </c>
      <c r="I56" s="62">
        <v>0</v>
      </c>
      <c r="J56" s="59">
        <v>0</v>
      </c>
      <c r="K56" s="59">
        <v>0</v>
      </c>
      <c r="L56" s="119">
        <v>0</v>
      </c>
      <c r="M56" s="59">
        <v>0</v>
      </c>
      <c r="N56" s="59">
        <v>0</v>
      </c>
      <c r="O56" s="121">
        <v>0</v>
      </c>
      <c r="P56" s="59">
        <v>0</v>
      </c>
      <c r="Q56" s="59">
        <v>0</v>
      </c>
      <c r="R56" s="83">
        <v>0</v>
      </c>
      <c r="T56" s="62"/>
      <c r="U56" s="62"/>
    </row>
    <row r="57" spans="1:21" hidden="1" x14ac:dyDescent="0.3">
      <c r="A57" s="58">
        <v>850</v>
      </c>
      <c r="B57" s="58">
        <v>900</v>
      </c>
      <c r="C57" s="72">
        <v>5088</v>
      </c>
      <c r="D57" s="72">
        <v>444740110</v>
      </c>
      <c r="E57" s="59">
        <v>5.0995059643122181E-6</v>
      </c>
      <c r="F57" s="93">
        <v>874.09612814465402</v>
      </c>
      <c r="G57" s="90"/>
      <c r="H57" s="61" t="str">
        <f t="shared" si="0"/>
        <v>(850, 900]</v>
      </c>
      <c r="I57" s="62">
        <v>0</v>
      </c>
      <c r="J57" s="59">
        <v>0</v>
      </c>
      <c r="K57" s="59">
        <v>0</v>
      </c>
      <c r="L57" s="84">
        <v>0</v>
      </c>
      <c r="M57" s="59">
        <v>0</v>
      </c>
      <c r="N57" s="59">
        <v>0</v>
      </c>
      <c r="O57" s="121">
        <v>0</v>
      </c>
      <c r="P57" s="59">
        <v>0</v>
      </c>
      <c r="Q57" s="59">
        <v>0</v>
      </c>
      <c r="R57" s="83">
        <v>0</v>
      </c>
      <c r="T57" s="62"/>
      <c r="U57" s="62"/>
    </row>
    <row r="58" spans="1:21" hidden="1" x14ac:dyDescent="0.3">
      <c r="A58" s="58">
        <v>900</v>
      </c>
      <c r="B58" s="58">
        <v>950</v>
      </c>
      <c r="C58" s="72">
        <v>4606</v>
      </c>
      <c r="D58" s="72">
        <v>425928710</v>
      </c>
      <c r="E58" s="59">
        <v>4.6164159731961624E-6</v>
      </c>
      <c r="F58" s="93">
        <v>924.72581415544948</v>
      </c>
      <c r="G58" s="90"/>
      <c r="H58" s="61" t="str">
        <f t="shared" si="0"/>
        <v>(900, 950]</v>
      </c>
      <c r="I58" s="62">
        <v>0</v>
      </c>
      <c r="J58" s="59">
        <v>0</v>
      </c>
      <c r="K58" s="59">
        <v>0</v>
      </c>
      <c r="L58" s="84">
        <v>0</v>
      </c>
      <c r="M58" s="59">
        <v>0</v>
      </c>
      <c r="N58" s="59">
        <v>0</v>
      </c>
      <c r="O58" s="121">
        <v>0</v>
      </c>
      <c r="P58" s="59">
        <v>0</v>
      </c>
      <c r="Q58" s="59">
        <v>0</v>
      </c>
      <c r="R58" s="83">
        <v>0</v>
      </c>
      <c r="T58" s="62"/>
      <c r="U58" s="62"/>
    </row>
    <row r="59" spans="1:21" hidden="1" x14ac:dyDescent="0.3">
      <c r="A59" s="58">
        <v>950</v>
      </c>
      <c r="B59" s="58">
        <v>1000</v>
      </c>
      <c r="C59" s="72">
        <v>3540</v>
      </c>
      <c r="D59" s="72">
        <v>344790250</v>
      </c>
      <c r="E59" s="59">
        <v>3.5480053289436421E-6</v>
      </c>
      <c r="F59" s="93">
        <v>973.98375706214688</v>
      </c>
      <c r="G59" s="90"/>
      <c r="H59" s="61" t="str">
        <f t="shared" si="0"/>
        <v>(950, 1000]</v>
      </c>
      <c r="I59" s="62">
        <v>0</v>
      </c>
      <c r="J59" s="59">
        <v>0</v>
      </c>
      <c r="K59" s="59">
        <v>0</v>
      </c>
      <c r="L59" s="84">
        <v>0</v>
      </c>
      <c r="M59" s="59">
        <v>0</v>
      </c>
      <c r="N59" s="59">
        <v>0</v>
      </c>
      <c r="O59" s="121">
        <v>0</v>
      </c>
      <c r="P59" s="59">
        <v>0</v>
      </c>
      <c r="Q59" s="59">
        <v>0</v>
      </c>
      <c r="R59" s="83">
        <v>0</v>
      </c>
      <c r="T59" s="62"/>
      <c r="U59" s="62"/>
    </row>
    <row r="60" spans="1:21" hidden="1" x14ac:dyDescent="0.3">
      <c r="A60" s="58">
        <v>1000</v>
      </c>
      <c r="B60" s="58">
        <v>2000</v>
      </c>
      <c r="C60" s="72">
        <v>24115</v>
      </c>
      <c r="D60" s="72">
        <v>3153428415</v>
      </c>
      <c r="E60" s="59">
        <v>2.4169533476688116E-5</v>
      </c>
      <c r="F60" s="93">
        <v>1307.6626228488492</v>
      </c>
      <c r="G60" s="90"/>
      <c r="H60" s="61" t="str">
        <f t="shared" si="0"/>
        <v>(1000, 2000]</v>
      </c>
      <c r="I60" s="62">
        <v>0</v>
      </c>
      <c r="J60" s="59">
        <v>0</v>
      </c>
      <c r="K60" s="59">
        <v>0</v>
      </c>
      <c r="L60" s="84">
        <v>0</v>
      </c>
      <c r="M60" s="59">
        <v>0</v>
      </c>
      <c r="N60" s="59">
        <v>0</v>
      </c>
      <c r="O60" s="121">
        <v>0</v>
      </c>
      <c r="P60" s="59">
        <v>0</v>
      </c>
      <c r="Q60" s="59">
        <v>0</v>
      </c>
      <c r="R60" s="83">
        <v>0</v>
      </c>
      <c r="T60" s="62"/>
      <c r="U60" s="62"/>
    </row>
    <row r="61" spans="1:21" hidden="1" x14ac:dyDescent="0.3">
      <c r="A61" s="58">
        <v>2000</v>
      </c>
      <c r="B61" s="58">
        <v>3000</v>
      </c>
      <c r="C61" s="72">
        <v>3049</v>
      </c>
      <c r="D61" s="72">
        <v>724429645</v>
      </c>
      <c r="E61" s="59">
        <v>3.0558949852963745E-6</v>
      </c>
      <c r="F61" s="93">
        <v>2375.9581666120039</v>
      </c>
      <c r="G61" s="90"/>
      <c r="H61" s="61" t="str">
        <f t="shared" si="0"/>
        <v>(2000, 3000]</v>
      </c>
      <c r="I61" s="62">
        <v>0</v>
      </c>
      <c r="J61" s="59">
        <v>0</v>
      </c>
      <c r="K61" s="59">
        <v>0</v>
      </c>
      <c r="L61" s="84">
        <v>0</v>
      </c>
      <c r="M61" s="59">
        <v>0</v>
      </c>
      <c r="N61" s="59">
        <v>0</v>
      </c>
      <c r="O61" s="121">
        <v>0</v>
      </c>
      <c r="P61" s="59">
        <v>0</v>
      </c>
      <c r="Q61" s="59">
        <v>0</v>
      </c>
      <c r="R61" s="83">
        <v>0</v>
      </c>
      <c r="T61" s="62"/>
      <c r="U61" s="62"/>
    </row>
    <row r="62" spans="1:21" hidden="1" x14ac:dyDescent="0.3">
      <c r="A62" s="58">
        <v>3000</v>
      </c>
      <c r="B62" s="58">
        <v>4000</v>
      </c>
      <c r="C62" s="72">
        <v>753</v>
      </c>
      <c r="D62" s="72">
        <v>254415475</v>
      </c>
      <c r="E62" s="59">
        <v>7.5470282844479165E-7</v>
      </c>
      <c r="F62" s="93">
        <v>3378.6915670650733</v>
      </c>
      <c r="G62" s="90"/>
      <c r="H62" s="61" t="str">
        <f t="shared" si="0"/>
        <v>(3000, 4000]</v>
      </c>
      <c r="I62" s="62">
        <v>0</v>
      </c>
      <c r="J62" s="59">
        <v>0</v>
      </c>
      <c r="K62" s="59">
        <v>0</v>
      </c>
      <c r="L62" s="84">
        <v>0</v>
      </c>
      <c r="M62" s="59">
        <v>0</v>
      </c>
      <c r="N62" s="59">
        <v>0</v>
      </c>
      <c r="O62" s="121">
        <v>0</v>
      </c>
      <c r="P62" s="59">
        <v>0</v>
      </c>
      <c r="Q62" s="59">
        <v>0</v>
      </c>
      <c r="R62" s="83">
        <v>0</v>
      </c>
      <c r="T62" s="62"/>
      <c r="U62" s="62"/>
    </row>
    <row r="63" spans="1:21" hidden="1" x14ac:dyDescent="0.3">
      <c r="A63" s="58">
        <v>4000</v>
      </c>
      <c r="B63" s="58">
        <v>5000</v>
      </c>
      <c r="C63" s="72">
        <v>204</v>
      </c>
      <c r="D63" s="72">
        <v>90110100</v>
      </c>
      <c r="E63" s="59">
        <v>2.0446132404082006E-7</v>
      </c>
      <c r="F63" s="93">
        <v>4417.1617647058829</v>
      </c>
      <c r="G63" s="90"/>
      <c r="H63" s="61" t="str">
        <f t="shared" si="0"/>
        <v>(4000, 5000]</v>
      </c>
      <c r="I63" s="62">
        <v>0</v>
      </c>
      <c r="J63" s="59">
        <v>0</v>
      </c>
      <c r="K63" s="59">
        <v>0</v>
      </c>
      <c r="L63" s="84">
        <v>0</v>
      </c>
      <c r="M63" s="59">
        <v>0</v>
      </c>
      <c r="N63" s="59">
        <v>0</v>
      </c>
      <c r="O63" s="121">
        <v>0</v>
      </c>
      <c r="P63" s="59">
        <v>0</v>
      </c>
      <c r="Q63" s="59">
        <v>0</v>
      </c>
      <c r="R63" s="83">
        <v>0</v>
      </c>
      <c r="T63" s="62"/>
      <c r="U63" s="62"/>
    </row>
    <row r="64" spans="1:21" hidden="1" x14ac:dyDescent="0.3">
      <c r="A64" s="58">
        <v>5000</v>
      </c>
      <c r="B64" s="58">
        <v>6000</v>
      </c>
      <c r="C64" s="72">
        <v>115</v>
      </c>
      <c r="D64" s="72">
        <v>62789715</v>
      </c>
      <c r="E64" s="59">
        <v>1.1526006012105053E-7</v>
      </c>
      <c r="F64" s="93">
        <v>5459.9752173913048</v>
      </c>
      <c r="G64" s="90"/>
      <c r="H64" s="61" t="str">
        <f t="shared" si="0"/>
        <v>(5000, 6000]</v>
      </c>
      <c r="I64" s="62">
        <v>0</v>
      </c>
      <c r="J64" s="59">
        <v>0</v>
      </c>
      <c r="K64" s="59">
        <v>0</v>
      </c>
      <c r="L64" s="84">
        <v>0</v>
      </c>
      <c r="M64" s="59">
        <v>0</v>
      </c>
      <c r="N64" s="59">
        <v>0</v>
      </c>
      <c r="O64" s="121">
        <v>0</v>
      </c>
      <c r="P64" s="59">
        <v>0</v>
      </c>
      <c r="Q64" s="59">
        <v>0</v>
      </c>
      <c r="R64" s="83">
        <v>0</v>
      </c>
      <c r="T64" s="62"/>
      <c r="U64" s="62"/>
    </row>
    <row r="65" spans="1:21" hidden="1" x14ac:dyDescent="0.3">
      <c r="A65" s="58">
        <v>6000</v>
      </c>
      <c r="B65" s="58">
        <v>7000</v>
      </c>
      <c r="C65" s="72">
        <v>31</v>
      </c>
      <c r="D65" s="72">
        <v>19989990</v>
      </c>
      <c r="E65" s="59">
        <v>3.1070103163065796E-8</v>
      </c>
      <c r="F65" s="93">
        <v>6448.383870967742</v>
      </c>
      <c r="G65" s="90"/>
      <c r="H65" s="61" t="str">
        <f t="shared" si="0"/>
        <v>(6000, 7000]</v>
      </c>
      <c r="I65" s="62">
        <v>0</v>
      </c>
      <c r="J65" s="59">
        <v>0</v>
      </c>
      <c r="K65" s="59">
        <v>0</v>
      </c>
      <c r="L65" s="84">
        <v>0</v>
      </c>
      <c r="M65" s="59">
        <v>0</v>
      </c>
      <c r="N65" s="59">
        <v>0</v>
      </c>
      <c r="O65" s="121">
        <v>0</v>
      </c>
      <c r="P65" s="59">
        <v>0</v>
      </c>
      <c r="Q65" s="59">
        <v>0</v>
      </c>
      <c r="R65" s="83">
        <v>0</v>
      </c>
      <c r="T65" s="62"/>
      <c r="U65" s="62"/>
    </row>
    <row r="66" spans="1:21" hidden="1" x14ac:dyDescent="0.3">
      <c r="A66" s="58">
        <v>7000</v>
      </c>
      <c r="B66" s="58">
        <v>8000</v>
      </c>
      <c r="C66" s="72">
        <v>8</v>
      </c>
      <c r="D66" s="72">
        <v>5852065</v>
      </c>
      <c r="E66" s="59">
        <v>8.0180911388556879E-9</v>
      </c>
      <c r="F66" s="93">
        <v>7315.0812500000002</v>
      </c>
      <c r="G66" s="121"/>
      <c r="H66" s="61" t="str">
        <f t="shared" si="0"/>
        <v>(7000, 8000]</v>
      </c>
      <c r="I66" s="62">
        <v>0</v>
      </c>
      <c r="J66" s="59">
        <v>0</v>
      </c>
      <c r="K66" s="59">
        <v>0</v>
      </c>
      <c r="L66" s="84">
        <v>0</v>
      </c>
      <c r="M66" s="59">
        <v>0</v>
      </c>
      <c r="N66" s="59">
        <v>0</v>
      </c>
      <c r="O66" s="121">
        <v>0</v>
      </c>
      <c r="P66" s="59">
        <v>0</v>
      </c>
      <c r="Q66" s="59">
        <v>0</v>
      </c>
      <c r="R66" s="83">
        <v>0</v>
      </c>
      <c r="T66" s="62"/>
      <c r="U66" s="62"/>
    </row>
    <row r="67" spans="1:21" hidden="1" x14ac:dyDescent="0.3">
      <c r="A67" s="58">
        <v>8000</v>
      </c>
      <c r="B67" s="58">
        <v>9000</v>
      </c>
      <c r="C67" s="72">
        <v>6</v>
      </c>
      <c r="D67" s="72">
        <v>5021785</v>
      </c>
      <c r="E67" s="59">
        <v>6.0135683541417668E-9</v>
      </c>
      <c r="F67" s="93">
        <v>8369.6416666666664</v>
      </c>
      <c r="G67" s="90"/>
      <c r="H67" s="61" t="str">
        <f t="shared" si="0"/>
        <v>(8000, 9000]</v>
      </c>
      <c r="I67" s="62">
        <v>0</v>
      </c>
      <c r="J67" s="59">
        <v>0</v>
      </c>
      <c r="K67" s="59">
        <v>0</v>
      </c>
      <c r="L67" s="84">
        <v>0</v>
      </c>
      <c r="M67" s="59">
        <v>0</v>
      </c>
      <c r="N67" s="59">
        <v>0</v>
      </c>
      <c r="O67" s="121">
        <v>0</v>
      </c>
      <c r="P67" s="59">
        <v>0</v>
      </c>
      <c r="Q67" s="59">
        <v>0</v>
      </c>
      <c r="R67" s="83">
        <v>0</v>
      </c>
      <c r="T67" s="62"/>
      <c r="U67" s="62"/>
    </row>
    <row r="68" spans="1:21" hidden="1" x14ac:dyDescent="0.3">
      <c r="A68" s="58">
        <v>9000</v>
      </c>
      <c r="B68" s="58">
        <v>10000</v>
      </c>
      <c r="C68" s="72">
        <v>1</v>
      </c>
      <c r="D68" s="72">
        <v>941640</v>
      </c>
      <c r="E68" s="59">
        <v>1.002261392356961E-9</v>
      </c>
      <c r="F68" s="93">
        <v>9416.4</v>
      </c>
      <c r="G68" s="90"/>
      <c r="H68" s="61" t="str">
        <f t="shared" si="0"/>
        <v>(9000, 10000]</v>
      </c>
      <c r="I68" s="62">
        <v>0</v>
      </c>
      <c r="J68" s="59">
        <v>0</v>
      </c>
      <c r="K68" s="59">
        <v>0</v>
      </c>
      <c r="L68" s="84">
        <v>0</v>
      </c>
      <c r="M68" s="59">
        <v>0</v>
      </c>
      <c r="N68" s="59">
        <v>0</v>
      </c>
      <c r="O68" s="121">
        <v>0</v>
      </c>
      <c r="P68" s="59">
        <v>0</v>
      </c>
      <c r="Q68" s="59">
        <v>0</v>
      </c>
      <c r="R68" s="83">
        <v>0</v>
      </c>
      <c r="T68" s="62"/>
      <c r="U68" s="62"/>
    </row>
    <row r="69" spans="1:21" hidden="1" x14ac:dyDescent="0.3">
      <c r="A69" s="58">
        <v>10000</v>
      </c>
      <c r="B69" s="58">
        <v>20000</v>
      </c>
      <c r="C69" s="72">
        <v>14</v>
      </c>
      <c r="D69" s="72">
        <v>17453135</v>
      </c>
      <c r="E69" s="59">
        <v>1.4031659492997455E-8</v>
      </c>
      <c r="F69" s="93">
        <v>12466.525</v>
      </c>
      <c r="G69" s="90"/>
      <c r="H69" s="61" t="str">
        <f t="shared" si="0"/>
        <v>(10000, 20000]</v>
      </c>
      <c r="I69" s="62">
        <v>0</v>
      </c>
      <c r="J69" s="59">
        <v>0</v>
      </c>
      <c r="K69" s="59">
        <v>0</v>
      </c>
      <c r="L69" s="84">
        <v>0</v>
      </c>
      <c r="M69" s="59">
        <v>0</v>
      </c>
      <c r="N69" s="59">
        <v>0</v>
      </c>
      <c r="O69" s="121">
        <v>0</v>
      </c>
      <c r="P69" s="59">
        <v>0</v>
      </c>
      <c r="Q69" s="59">
        <v>0</v>
      </c>
      <c r="R69" s="83">
        <v>0</v>
      </c>
      <c r="T69" s="62"/>
      <c r="U69" s="62"/>
    </row>
    <row r="70" spans="1:21" hidden="1" x14ac:dyDescent="0.3">
      <c r="A70" s="58">
        <v>20000</v>
      </c>
      <c r="B70" s="58">
        <v>30000</v>
      </c>
      <c r="C70" s="72">
        <v>0</v>
      </c>
      <c r="D70" s="72">
        <v>0</v>
      </c>
      <c r="E70" s="59">
        <v>0</v>
      </c>
      <c r="F70" s="93">
        <v>0</v>
      </c>
      <c r="G70" s="90"/>
      <c r="H70" s="61" t="str">
        <f t="shared" si="0"/>
        <v>(20000, 30000]</v>
      </c>
      <c r="I70" s="62">
        <v>0</v>
      </c>
      <c r="J70" s="59">
        <v>0</v>
      </c>
      <c r="K70" s="59">
        <v>0</v>
      </c>
      <c r="L70" s="84">
        <v>0</v>
      </c>
      <c r="M70" s="59">
        <v>0</v>
      </c>
      <c r="N70" s="59">
        <v>0</v>
      </c>
      <c r="O70" s="121">
        <v>0</v>
      </c>
      <c r="P70" s="59">
        <v>0</v>
      </c>
      <c r="Q70" s="59">
        <v>0</v>
      </c>
      <c r="R70" s="83">
        <v>0</v>
      </c>
      <c r="T70" s="62"/>
      <c r="U70" s="62"/>
    </row>
    <row r="71" spans="1:21" hidden="1" x14ac:dyDescent="0.3">
      <c r="A71" s="58">
        <v>30000</v>
      </c>
      <c r="B71" s="58">
        <v>40000</v>
      </c>
      <c r="C71" s="72">
        <v>0</v>
      </c>
      <c r="D71" s="72">
        <v>0</v>
      </c>
      <c r="E71" s="59">
        <v>0</v>
      </c>
      <c r="F71" s="93">
        <v>0</v>
      </c>
      <c r="G71" s="90"/>
      <c r="H71" s="61" t="str">
        <f t="shared" si="0"/>
        <v>(30000, 40000]</v>
      </c>
      <c r="I71" s="62">
        <v>0</v>
      </c>
      <c r="J71" s="59">
        <v>0</v>
      </c>
      <c r="K71" s="59">
        <v>0</v>
      </c>
      <c r="L71" s="84">
        <v>0</v>
      </c>
      <c r="M71" s="59">
        <v>0</v>
      </c>
      <c r="N71" s="59">
        <v>0</v>
      </c>
      <c r="O71" s="121">
        <v>0</v>
      </c>
      <c r="P71" s="59">
        <v>0</v>
      </c>
      <c r="Q71" s="59">
        <v>0</v>
      </c>
      <c r="R71" s="83">
        <v>0</v>
      </c>
      <c r="T71" s="62"/>
      <c r="U71" s="62"/>
    </row>
    <row r="72" spans="1:21" hidden="1" x14ac:dyDescent="0.3">
      <c r="A72" s="58">
        <v>40000</v>
      </c>
      <c r="B72" s="58">
        <v>50000</v>
      </c>
      <c r="C72" s="72">
        <v>0</v>
      </c>
      <c r="D72" s="72">
        <v>0</v>
      </c>
      <c r="E72" s="59">
        <v>0</v>
      </c>
      <c r="F72" s="93">
        <v>0</v>
      </c>
      <c r="G72" s="90"/>
      <c r="H72" s="61" t="str">
        <f t="shared" si="0"/>
        <v>(40000, 50000]</v>
      </c>
      <c r="I72" s="62">
        <v>0</v>
      </c>
      <c r="J72" s="59">
        <v>0</v>
      </c>
      <c r="K72" s="59">
        <v>0</v>
      </c>
      <c r="L72" s="84">
        <v>0</v>
      </c>
      <c r="M72" s="59">
        <v>0</v>
      </c>
      <c r="N72" s="59">
        <v>0</v>
      </c>
      <c r="O72" s="121">
        <v>0</v>
      </c>
      <c r="P72" s="59">
        <v>0</v>
      </c>
      <c r="Q72" s="59">
        <v>0</v>
      </c>
      <c r="R72" s="83">
        <v>0</v>
      </c>
      <c r="T72" s="62"/>
      <c r="U72" s="62"/>
    </row>
    <row r="73" spans="1:21" hidden="1" x14ac:dyDescent="0.3">
      <c r="A73" s="58">
        <v>50000</v>
      </c>
      <c r="B73" s="58">
        <v>60000</v>
      </c>
      <c r="C73" s="72">
        <v>0</v>
      </c>
      <c r="D73" s="72">
        <v>0</v>
      </c>
      <c r="E73" s="59">
        <v>0</v>
      </c>
      <c r="F73" s="93">
        <v>0</v>
      </c>
      <c r="G73" s="90"/>
      <c r="H73" s="61" t="str">
        <f t="shared" si="0"/>
        <v>(50000, 60000]</v>
      </c>
      <c r="I73" s="62">
        <v>0</v>
      </c>
      <c r="J73" s="59">
        <v>0</v>
      </c>
      <c r="K73" s="59">
        <v>0</v>
      </c>
      <c r="L73" s="84">
        <v>0</v>
      </c>
      <c r="M73" s="59">
        <v>0</v>
      </c>
      <c r="N73" s="59">
        <v>0</v>
      </c>
      <c r="O73" s="121">
        <v>0</v>
      </c>
      <c r="P73" s="59">
        <v>0</v>
      </c>
      <c r="Q73" s="59">
        <v>0</v>
      </c>
      <c r="R73" s="83">
        <v>0</v>
      </c>
      <c r="T73" s="62"/>
      <c r="U73" s="62"/>
    </row>
    <row r="74" spans="1:21" hidden="1" x14ac:dyDescent="0.3">
      <c r="A74" s="58">
        <v>60000</v>
      </c>
      <c r="B74" s="58">
        <v>70000</v>
      </c>
      <c r="C74" s="72">
        <v>0</v>
      </c>
      <c r="D74" s="72">
        <v>0</v>
      </c>
      <c r="E74" s="59">
        <v>0</v>
      </c>
      <c r="F74" s="93">
        <v>0</v>
      </c>
      <c r="G74" s="90"/>
      <c r="H74" s="61" t="str">
        <f t="shared" si="0"/>
        <v>(60000, 70000]</v>
      </c>
      <c r="I74" s="62">
        <v>0</v>
      </c>
      <c r="J74" s="59">
        <v>0</v>
      </c>
      <c r="K74" s="59">
        <v>0</v>
      </c>
      <c r="L74" s="84">
        <v>0</v>
      </c>
      <c r="M74" s="59">
        <v>0</v>
      </c>
      <c r="N74" s="59">
        <v>0</v>
      </c>
      <c r="O74" s="121">
        <v>0</v>
      </c>
      <c r="P74" s="59">
        <v>0</v>
      </c>
      <c r="Q74" s="59">
        <v>0</v>
      </c>
      <c r="R74" s="83">
        <v>0</v>
      </c>
      <c r="T74" s="62"/>
      <c r="U74" s="62"/>
    </row>
    <row r="75" spans="1:21" hidden="1" x14ac:dyDescent="0.3">
      <c r="A75" s="58">
        <v>70000</v>
      </c>
      <c r="B75" s="58">
        <v>80000</v>
      </c>
      <c r="C75" s="72">
        <v>0</v>
      </c>
      <c r="D75" s="72">
        <v>0</v>
      </c>
      <c r="E75" s="59">
        <v>0</v>
      </c>
      <c r="F75" s="93">
        <v>0</v>
      </c>
      <c r="G75" s="90"/>
      <c r="H75" s="61" t="str">
        <f t="shared" si="0"/>
        <v>(70000, 80000]</v>
      </c>
      <c r="I75" s="62">
        <v>0</v>
      </c>
      <c r="J75" s="59">
        <v>0</v>
      </c>
      <c r="K75" s="59">
        <v>0</v>
      </c>
      <c r="L75" s="84">
        <v>0</v>
      </c>
      <c r="M75" s="59">
        <v>0</v>
      </c>
      <c r="N75" s="59">
        <v>0</v>
      </c>
      <c r="O75" s="121">
        <v>0</v>
      </c>
      <c r="P75" s="59">
        <v>0</v>
      </c>
      <c r="Q75" s="59">
        <v>0</v>
      </c>
      <c r="R75" s="83">
        <v>0</v>
      </c>
      <c r="T75" s="62"/>
      <c r="U75" s="62"/>
    </row>
    <row r="76" spans="1:21" hidden="1" x14ac:dyDescent="0.3">
      <c r="A76" s="58">
        <v>80000</v>
      </c>
      <c r="B76" s="58">
        <v>90000</v>
      </c>
      <c r="C76" s="72">
        <v>0</v>
      </c>
      <c r="D76" s="72">
        <v>0</v>
      </c>
      <c r="E76" s="59">
        <v>0</v>
      </c>
      <c r="F76" s="93">
        <v>0</v>
      </c>
      <c r="G76" s="90"/>
      <c r="H76" s="61" t="str">
        <f t="shared" si="0"/>
        <v>(80000, 90000]</v>
      </c>
      <c r="I76" s="62">
        <v>0</v>
      </c>
      <c r="J76" s="59">
        <v>0</v>
      </c>
      <c r="K76" s="59">
        <v>0</v>
      </c>
      <c r="L76" s="84">
        <v>0</v>
      </c>
      <c r="M76" s="59">
        <v>0</v>
      </c>
      <c r="N76" s="59">
        <v>0</v>
      </c>
      <c r="O76" s="121">
        <v>0</v>
      </c>
      <c r="P76" s="59">
        <v>0</v>
      </c>
      <c r="Q76" s="59">
        <v>0</v>
      </c>
      <c r="R76" s="83">
        <v>0</v>
      </c>
      <c r="T76" s="62"/>
      <c r="U76" s="62"/>
    </row>
    <row r="77" spans="1:21" hidden="1" x14ac:dyDescent="0.3">
      <c r="A77" s="58">
        <v>90000</v>
      </c>
      <c r="B77" s="58">
        <v>100000</v>
      </c>
      <c r="C77" s="72">
        <v>0</v>
      </c>
      <c r="D77" s="72">
        <v>0</v>
      </c>
      <c r="E77" s="59">
        <v>0</v>
      </c>
      <c r="F77" s="93">
        <v>0</v>
      </c>
      <c r="G77" s="90"/>
      <c r="H77" s="61" t="str">
        <f t="shared" si="0"/>
        <v>(90000, 100000]</v>
      </c>
      <c r="I77" s="62">
        <v>0</v>
      </c>
      <c r="J77" s="59">
        <v>0</v>
      </c>
      <c r="K77" s="59">
        <v>0</v>
      </c>
      <c r="L77" s="84">
        <v>0</v>
      </c>
      <c r="M77" s="59">
        <v>0</v>
      </c>
      <c r="N77" s="59">
        <v>0</v>
      </c>
      <c r="O77" s="121">
        <v>0</v>
      </c>
      <c r="P77" s="59">
        <v>0</v>
      </c>
      <c r="Q77" s="59">
        <v>0</v>
      </c>
      <c r="R77" s="83">
        <v>0</v>
      </c>
      <c r="T77" s="62"/>
      <c r="U77" s="62"/>
    </row>
    <row r="78" spans="1:21" hidden="1" x14ac:dyDescent="0.3">
      <c r="A78" s="58">
        <v>100000</v>
      </c>
      <c r="B78" s="58">
        <v>9999999</v>
      </c>
      <c r="C78" s="72">
        <v>0</v>
      </c>
      <c r="D78" s="72">
        <v>0</v>
      </c>
      <c r="E78" s="59">
        <v>0</v>
      </c>
      <c r="F78" s="93">
        <v>0</v>
      </c>
      <c r="G78" s="90"/>
      <c r="H78" s="61" t="str">
        <f t="shared" si="0"/>
        <v>(100000, 9999999]</v>
      </c>
      <c r="I78" s="62">
        <v>0</v>
      </c>
      <c r="J78" s="59">
        <v>0</v>
      </c>
      <c r="K78" s="59">
        <v>0</v>
      </c>
      <c r="L78" s="84">
        <v>0</v>
      </c>
      <c r="M78" s="59">
        <v>0</v>
      </c>
      <c r="N78" s="59">
        <v>0</v>
      </c>
      <c r="O78" s="121">
        <v>0</v>
      </c>
      <c r="P78" s="59">
        <v>0</v>
      </c>
      <c r="Q78" s="59">
        <v>0</v>
      </c>
      <c r="R78" s="83">
        <v>0</v>
      </c>
      <c r="T78" s="62"/>
      <c r="U78" s="62"/>
    </row>
    <row r="79" spans="1:21" hidden="1" x14ac:dyDescent="0.3">
      <c r="A79" s="206" t="s">
        <v>78</v>
      </c>
      <c r="B79" s="207"/>
      <c r="C79" s="73">
        <f>E79*B13</f>
        <v>2256000</v>
      </c>
      <c r="D79" s="72">
        <v>45757820</v>
      </c>
      <c r="E79" s="67">
        <v>2.2560000000000002E-3</v>
      </c>
      <c r="F79" s="93">
        <v>0.20282721631205675</v>
      </c>
      <c r="G79" s="101">
        <f>SUM($L$15:L79)-1000</f>
        <v>999941815</v>
      </c>
      <c r="H79" s="61" t="s">
        <v>78</v>
      </c>
      <c r="I79" s="62">
        <v>1.85</v>
      </c>
      <c r="J79" s="59">
        <v>4.1736000000000004E-3</v>
      </c>
      <c r="K79" s="59">
        <f>J79</f>
        <v>4.1736000000000004E-3</v>
      </c>
      <c r="L79" s="84">
        <v>4173600</v>
      </c>
      <c r="M79" s="63">
        <v>4.1738386809649711E-3</v>
      </c>
      <c r="N79" s="59">
        <v>8.4656808099571178E-4</v>
      </c>
      <c r="P79" s="51"/>
      <c r="Q79" s="51"/>
      <c r="R79" s="51"/>
      <c r="S79" s="51"/>
      <c r="T79" s="62"/>
      <c r="U79" s="62"/>
    </row>
    <row r="80" spans="1:21" hidden="1" x14ac:dyDescent="0.3">
      <c r="A80" s="206" t="s">
        <v>79</v>
      </c>
      <c r="B80" s="207"/>
      <c r="C80" s="73">
        <v>10000000</v>
      </c>
      <c r="D80" s="72">
        <v>0</v>
      </c>
      <c r="E80" s="59">
        <v>1</v>
      </c>
      <c r="F80" s="93">
        <v>0</v>
      </c>
      <c r="G80" s="90"/>
      <c r="H80" s="61" t="s">
        <v>79</v>
      </c>
      <c r="I80" s="81"/>
      <c r="J80" s="59"/>
      <c r="K80" s="59"/>
      <c r="L80" s="85"/>
      <c r="M80" s="63">
        <f>E80</f>
        <v>1</v>
      </c>
      <c r="N80" s="59">
        <f>F80/B8</f>
        <v>0</v>
      </c>
      <c r="P80" s="51"/>
      <c r="Q80" s="51"/>
      <c r="R80" s="51"/>
      <c r="S80" s="51"/>
      <c r="T80" s="52"/>
      <c r="U80" s="52"/>
    </row>
    <row r="81" spans="1:21" hidden="1" x14ac:dyDescent="0.3">
      <c r="A81" s="66"/>
      <c r="B81" s="52"/>
      <c r="C81" s="1"/>
      <c r="D81" s="1"/>
      <c r="E81" s="1"/>
      <c r="F81" s="1"/>
      <c r="H81" s="13"/>
      <c r="I81" s="52"/>
      <c r="J81" s="52"/>
      <c r="K81" s="52"/>
      <c r="L81" s="68"/>
      <c r="M81" s="52"/>
      <c r="N81" s="52"/>
      <c r="T81" s="52"/>
      <c r="U81" s="52"/>
    </row>
    <row r="82" spans="1:21" hidden="1" x14ac:dyDescent="0.3">
      <c r="A82" s="52"/>
      <c r="D82" s="116"/>
      <c r="E82" s="1"/>
      <c r="F82" s="1"/>
      <c r="H82" s="13"/>
      <c r="I82" s="52"/>
      <c r="J82" s="52"/>
      <c r="K82" s="52"/>
      <c r="L82" s="52"/>
      <c r="M82" s="52"/>
      <c r="N82" s="52"/>
      <c r="T82" s="52"/>
      <c r="U82" s="52"/>
    </row>
    <row r="83" spans="1:21" s="80" customFormat="1" hidden="1" x14ac:dyDescent="0.3">
      <c r="A83" s="205" t="s">
        <v>50</v>
      </c>
      <c r="B83" s="205"/>
      <c r="C83" s="205"/>
      <c r="D83" s="205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  <c r="T83" s="79"/>
      <c r="U83" s="79"/>
    </row>
    <row r="84" spans="1:21" hidden="1" x14ac:dyDescent="0.3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  <c r="T84" s="52"/>
      <c r="U84" s="52"/>
    </row>
    <row r="85" spans="1:21" hidden="1" x14ac:dyDescent="0.3">
      <c r="A85" s="70" t="s">
        <v>75</v>
      </c>
      <c r="B85" s="68">
        <v>10000000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  <c r="P85" s="24" t="s">
        <v>81</v>
      </c>
      <c r="T85" s="52"/>
      <c r="U85" s="52"/>
    </row>
    <row r="86" spans="1:21" hidden="1" x14ac:dyDescent="0.3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0.9</v>
      </c>
      <c r="P86" s="86" t="s">
        <v>84</v>
      </c>
      <c r="Q86" s="86" t="s">
        <v>253</v>
      </c>
      <c r="R86" s="86" t="s">
        <v>80</v>
      </c>
      <c r="T86" s="20" t="s">
        <v>326</v>
      </c>
      <c r="U86" s="20" t="s">
        <v>327</v>
      </c>
    </row>
    <row r="87" spans="1:21" hidden="1" x14ac:dyDescent="0.3">
      <c r="A87" s="64">
        <v>-1</v>
      </c>
      <c r="B87" s="64">
        <v>0</v>
      </c>
      <c r="C87" s="71">
        <v>0</v>
      </c>
      <c r="D87" s="71">
        <v>0</v>
      </c>
      <c r="E87" s="59" cm="1">
        <f t="array" ref="E87:E150">_xlfn.LET(_xlpm.x, C87:C150, _xlpm.x/SUM(_xlpm.x))</f>
        <v>0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0</v>
      </c>
      <c r="J87" s="59" cm="1">
        <f t="array" ref="J87:J150">_xlfn.ANCHORARRAY(E87)*I87:I150</f>
        <v>0</v>
      </c>
      <c r="K87" s="59" cm="1">
        <f t="array" ref="K87:K150">J87:J150/SUM(_xlfn.ANCHORARRAY(J87))</f>
        <v>0</v>
      </c>
      <c r="L87" s="119" cm="1">
        <f t="array" ref="L87:L150">INT(_xlfn.ANCHORARRAY(K87)*$B$2)</f>
        <v>0</v>
      </c>
      <c r="M87" s="59" cm="1">
        <f t="array" ref="M87:M150">_xlfn.LET(_xlpm.x, L87:L150, _xlpm.x/SUM(_xlpm.x))</f>
        <v>0</v>
      </c>
      <c r="N87" s="60" cm="1">
        <f t="array" ref="N87:N150">M87:M150*_xlfn.ANCHORARRAY(F87)</f>
        <v>0</v>
      </c>
      <c r="O87" s="121" cm="1">
        <f t="array" ref="O87:O150">I87:I150*O86</f>
        <v>0</v>
      </c>
      <c r="P87" s="59" cm="1">
        <f t="array" ref="P87:P150">_xlfn.ANCHORARRAY(M87)</f>
        <v>0</v>
      </c>
      <c r="Q87" s="59">
        <v>0</v>
      </c>
      <c r="R87" s="83" cm="1">
        <f t="array" ref="R87:R150">_xlfn.LET(_xlpm.x, Q87:Q150/M87:M150, IF(ISERR(_xlpm.x), 0, ROUND(_xlpm.x,2)))</f>
        <v>0</v>
      </c>
      <c r="T87" s="62"/>
      <c r="U87" s="62"/>
    </row>
    <row r="88" spans="1:21" hidden="1" x14ac:dyDescent="0.3">
      <c r="A88" s="58">
        <v>0</v>
      </c>
      <c r="B88" s="58">
        <v>1</v>
      </c>
      <c r="C88" s="72">
        <v>1569</v>
      </c>
      <c r="D88" s="72">
        <v>93610</v>
      </c>
      <c r="E88" s="59">
        <v>6.9557152793878966E-4</v>
      </c>
      <c r="F88" s="93">
        <v>0.59662205226258758</v>
      </c>
      <c r="G88" s="101"/>
      <c r="H88" s="61" t="str">
        <f t="shared" ref="H88:H150" si="1">"("&amp;$A88&amp;", "&amp;$B88&amp;"]"</f>
        <v>(0, 1]</v>
      </c>
      <c r="I88" s="62">
        <v>0</v>
      </c>
      <c r="J88" s="59">
        <v>0</v>
      </c>
      <c r="K88" s="59">
        <v>0</v>
      </c>
      <c r="L88" s="119">
        <v>0</v>
      </c>
      <c r="M88" s="59">
        <v>0</v>
      </c>
      <c r="N88" s="59">
        <v>0</v>
      </c>
      <c r="O88" s="121">
        <v>0</v>
      </c>
      <c r="P88" s="59">
        <v>0</v>
      </c>
      <c r="Q88" s="59">
        <v>0</v>
      </c>
      <c r="R88" s="83">
        <v>0</v>
      </c>
      <c r="T88" s="62"/>
      <c r="U88" s="62"/>
    </row>
    <row r="89" spans="1:21" hidden="1" x14ac:dyDescent="0.3">
      <c r="A89" s="58">
        <v>1</v>
      </c>
      <c r="B89" s="58">
        <v>2</v>
      </c>
      <c r="C89" s="72">
        <v>1451</v>
      </c>
      <c r="D89" s="72">
        <v>227480</v>
      </c>
      <c r="E89" s="59">
        <v>6.4325958383631857E-4</v>
      </c>
      <c r="F89" s="93">
        <v>1.5677463818056512</v>
      </c>
      <c r="G89" s="101"/>
      <c r="H89" s="61" t="str">
        <f t="shared" si="1"/>
        <v>(1, 2]</v>
      </c>
      <c r="I89" s="62">
        <v>0</v>
      </c>
      <c r="J89" s="59">
        <v>0</v>
      </c>
      <c r="K89" s="59">
        <v>0</v>
      </c>
      <c r="L89" s="119">
        <v>0</v>
      </c>
      <c r="M89" s="59">
        <v>0</v>
      </c>
      <c r="N89" s="59">
        <v>0</v>
      </c>
      <c r="O89" s="121">
        <v>0</v>
      </c>
      <c r="P89" s="59">
        <v>0</v>
      </c>
      <c r="Q89" s="59">
        <v>0</v>
      </c>
      <c r="R89" s="83">
        <v>0</v>
      </c>
      <c r="T89" s="62"/>
      <c r="U89" s="62"/>
    </row>
    <row r="90" spans="1:21" hidden="1" x14ac:dyDescent="0.3">
      <c r="A90" s="58">
        <v>2</v>
      </c>
      <c r="B90" s="58">
        <v>3</v>
      </c>
      <c r="C90" s="72">
        <v>1515</v>
      </c>
      <c r="D90" s="72">
        <v>392500</v>
      </c>
      <c r="E90" s="59">
        <v>6.7163216368850635E-4</v>
      </c>
      <c r="F90" s="93">
        <v>2.5907590759075907</v>
      </c>
      <c r="G90" s="101"/>
      <c r="H90" s="61" t="str">
        <f t="shared" si="1"/>
        <v>(2, 3]</v>
      </c>
      <c r="I90" s="62">
        <v>0</v>
      </c>
      <c r="J90" s="59">
        <v>0</v>
      </c>
      <c r="K90" s="59">
        <v>0</v>
      </c>
      <c r="L90" s="119">
        <v>0</v>
      </c>
      <c r="M90" s="59">
        <v>0</v>
      </c>
      <c r="N90" s="59">
        <v>0</v>
      </c>
      <c r="O90" s="121">
        <v>0</v>
      </c>
      <c r="P90" s="59">
        <v>0</v>
      </c>
      <c r="Q90" s="59">
        <v>0</v>
      </c>
      <c r="R90" s="83">
        <v>0</v>
      </c>
      <c r="T90" s="62"/>
      <c r="U90" s="62"/>
    </row>
    <row r="91" spans="1:21" hidden="1" x14ac:dyDescent="0.3">
      <c r="A91" s="58">
        <v>3</v>
      </c>
      <c r="B91" s="58">
        <v>4</v>
      </c>
      <c r="C91" s="72">
        <v>1475</v>
      </c>
      <c r="D91" s="72">
        <v>531360</v>
      </c>
      <c r="E91" s="59">
        <v>6.5389930128088901E-4</v>
      </c>
      <c r="F91" s="93">
        <v>3.602440677966102</v>
      </c>
      <c r="G91" s="101"/>
      <c r="H91" s="61" t="str">
        <f t="shared" si="1"/>
        <v>(3, 4]</v>
      </c>
      <c r="I91" s="62">
        <v>0</v>
      </c>
      <c r="J91" s="59">
        <v>0</v>
      </c>
      <c r="K91" s="59">
        <v>0</v>
      </c>
      <c r="L91" s="119">
        <v>0</v>
      </c>
      <c r="M91" s="59">
        <v>0</v>
      </c>
      <c r="N91" s="59">
        <v>0</v>
      </c>
      <c r="O91" s="121">
        <v>0</v>
      </c>
      <c r="P91" s="59">
        <v>0</v>
      </c>
      <c r="Q91" s="59">
        <v>3.614457831325301E-2</v>
      </c>
      <c r="R91" s="83">
        <v>0</v>
      </c>
      <c r="T91" s="62"/>
      <c r="U91" s="62"/>
    </row>
    <row r="92" spans="1:21" hidden="1" x14ac:dyDescent="0.3">
      <c r="A92" s="58">
        <v>4</v>
      </c>
      <c r="B92" s="58">
        <v>5</v>
      </c>
      <c r="C92" s="72">
        <v>1501</v>
      </c>
      <c r="D92" s="72">
        <v>685345</v>
      </c>
      <c r="E92" s="59">
        <v>6.6542566184584026E-4</v>
      </c>
      <c r="F92" s="93">
        <v>4.565922718187875</v>
      </c>
      <c r="G92" s="101"/>
      <c r="H92" s="61" t="str">
        <f t="shared" si="1"/>
        <v>(4, 5]</v>
      </c>
      <c r="I92" s="62">
        <v>0</v>
      </c>
      <c r="J92" s="59">
        <v>0</v>
      </c>
      <c r="K92" s="59">
        <v>0</v>
      </c>
      <c r="L92" s="119">
        <v>0</v>
      </c>
      <c r="M92" s="59">
        <v>0</v>
      </c>
      <c r="N92" s="59">
        <v>0</v>
      </c>
      <c r="O92" s="121">
        <v>0</v>
      </c>
      <c r="P92" s="59">
        <v>0</v>
      </c>
      <c r="Q92" s="59">
        <v>0</v>
      </c>
      <c r="R92" s="83">
        <v>0</v>
      </c>
      <c r="T92" s="62"/>
      <c r="U92" s="62"/>
    </row>
    <row r="93" spans="1:21" hidden="1" x14ac:dyDescent="0.3">
      <c r="A93" s="58">
        <v>5</v>
      </c>
      <c r="B93" s="58">
        <v>6</v>
      </c>
      <c r="C93" s="72">
        <v>1569</v>
      </c>
      <c r="D93" s="72">
        <v>876000</v>
      </c>
      <c r="E93" s="59">
        <v>6.9557152793878966E-4</v>
      </c>
      <c r="F93" s="93">
        <v>5.5831739961759084</v>
      </c>
      <c r="G93" s="101"/>
      <c r="H93" s="61" t="str">
        <f t="shared" si="1"/>
        <v>(5, 6]</v>
      </c>
      <c r="I93" s="62">
        <v>0</v>
      </c>
      <c r="J93" s="59">
        <v>0</v>
      </c>
      <c r="K93" s="59">
        <v>0</v>
      </c>
      <c r="L93" s="119">
        <v>0</v>
      </c>
      <c r="M93" s="59">
        <v>0</v>
      </c>
      <c r="N93" s="59">
        <v>0</v>
      </c>
      <c r="O93" s="121">
        <v>0</v>
      </c>
      <c r="P93" s="59">
        <v>0</v>
      </c>
      <c r="Q93" s="59">
        <v>0</v>
      </c>
      <c r="R93" s="83">
        <v>0</v>
      </c>
      <c r="T93" s="62"/>
      <c r="U93" s="62"/>
    </row>
    <row r="94" spans="1:21" hidden="1" x14ac:dyDescent="0.3">
      <c r="A94" s="58">
        <v>6</v>
      </c>
      <c r="B94" s="58">
        <v>7</v>
      </c>
      <c r="C94" s="72">
        <v>1661</v>
      </c>
      <c r="D94" s="72">
        <v>1089245</v>
      </c>
      <c r="E94" s="59">
        <v>7.3635711147630961E-4</v>
      </c>
      <c r="F94" s="93">
        <v>6.5577664057796508</v>
      </c>
      <c r="G94" s="101"/>
      <c r="H94" s="61" t="str">
        <f t="shared" si="1"/>
        <v>(6, 7]</v>
      </c>
      <c r="I94" s="62">
        <v>0</v>
      </c>
      <c r="J94" s="59">
        <v>0</v>
      </c>
      <c r="K94" s="59">
        <v>0</v>
      </c>
      <c r="L94" s="119">
        <v>0</v>
      </c>
      <c r="M94" s="59">
        <v>0</v>
      </c>
      <c r="N94" s="59">
        <v>0</v>
      </c>
      <c r="O94" s="121">
        <v>0</v>
      </c>
      <c r="P94" s="59">
        <v>0</v>
      </c>
      <c r="Q94" s="59">
        <v>1.2048192771084338E-2</v>
      </c>
      <c r="R94" s="83">
        <v>0</v>
      </c>
      <c r="T94" s="62"/>
      <c r="U94" s="62"/>
    </row>
    <row r="95" spans="1:21" hidden="1" x14ac:dyDescent="0.3">
      <c r="A95" s="58">
        <v>7</v>
      </c>
      <c r="B95" s="58">
        <v>8</v>
      </c>
      <c r="C95" s="72">
        <v>1679</v>
      </c>
      <c r="D95" s="72">
        <v>1266615</v>
      </c>
      <c r="E95" s="59">
        <v>7.4433689955973731E-4</v>
      </c>
      <c r="F95" s="93">
        <v>7.5438653960690889</v>
      </c>
      <c r="G95" s="101"/>
      <c r="H95" s="61" t="str">
        <f t="shared" si="1"/>
        <v>(7, 8]</v>
      </c>
      <c r="I95" s="62">
        <v>0</v>
      </c>
      <c r="J95" s="59">
        <v>0</v>
      </c>
      <c r="K95" s="59">
        <v>0</v>
      </c>
      <c r="L95" s="119">
        <v>0</v>
      </c>
      <c r="M95" s="59">
        <v>0</v>
      </c>
      <c r="N95" s="59">
        <v>0</v>
      </c>
      <c r="O95" s="121">
        <v>0</v>
      </c>
      <c r="P95" s="59">
        <v>0</v>
      </c>
      <c r="Q95" s="59">
        <v>3.614457831325301E-2</v>
      </c>
      <c r="R95" s="83">
        <v>0</v>
      </c>
      <c r="T95" s="62"/>
      <c r="U95" s="62"/>
    </row>
    <row r="96" spans="1:21" hidden="1" x14ac:dyDescent="0.3">
      <c r="A96" s="58">
        <v>8</v>
      </c>
      <c r="B96" s="58">
        <v>9</v>
      </c>
      <c r="C96" s="72">
        <v>1731</v>
      </c>
      <c r="D96" s="72">
        <v>1482575</v>
      </c>
      <c r="E96" s="59">
        <v>7.6738962068963992E-4</v>
      </c>
      <c r="F96" s="93">
        <v>8.5648469093009822</v>
      </c>
      <c r="G96" s="101"/>
      <c r="H96" s="61" t="str">
        <f t="shared" si="1"/>
        <v>(8, 9]</v>
      </c>
      <c r="I96" s="62">
        <v>0</v>
      </c>
      <c r="J96" s="59">
        <v>0</v>
      </c>
      <c r="K96" s="59">
        <v>0</v>
      </c>
      <c r="L96" s="119">
        <v>0</v>
      </c>
      <c r="M96" s="59">
        <v>0</v>
      </c>
      <c r="N96" s="59">
        <v>0</v>
      </c>
      <c r="O96" s="121">
        <v>0</v>
      </c>
      <c r="P96" s="59">
        <v>0</v>
      </c>
      <c r="Q96" s="59">
        <v>2.4096385542168676E-2</v>
      </c>
      <c r="R96" s="83">
        <v>0</v>
      </c>
      <c r="T96" s="62"/>
      <c r="U96" s="62"/>
    </row>
    <row r="97" spans="1:21" hidden="1" x14ac:dyDescent="0.3">
      <c r="A97" s="58">
        <v>9</v>
      </c>
      <c r="B97" s="58">
        <v>10</v>
      </c>
      <c r="C97" s="72">
        <v>1671</v>
      </c>
      <c r="D97" s="72">
        <v>1596910</v>
      </c>
      <c r="E97" s="59">
        <v>7.4079032707821387E-4</v>
      </c>
      <c r="F97" s="93">
        <v>9.5566128067025744</v>
      </c>
      <c r="G97" s="101"/>
      <c r="H97" s="61" t="str">
        <f t="shared" si="1"/>
        <v>(9, 10]</v>
      </c>
      <c r="I97" s="62">
        <v>0</v>
      </c>
      <c r="J97" s="59">
        <v>0</v>
      </c>
      <c r="K97" s="59">
        <v>0</v>
      </c>
      <c r="L97" s="119">
        <v>0</v>
      </c>
      <c r="M97" s="59">
        <v>0</v>
      </c>
      <c r="N97" s="59">
        <v>0</v>
      </c>
      <c r="O97" s="121">
        <v>0</v>
      </c>
      <c r="P97" s="59">
        <v>0</v>
      </c>
      <c r="Q97" s="59">
        <v>1.2048192771084338E-2</v>
      </c>
      <c r="R97" s="83">
        <v>0</v>
      </c>
      <c r="T97" s="62"/>
      <c r="U97" s="62"/>
    </row>
    <row r="98" spans="1:21" hidden="1" x14ac:dyDescent="0.3">
      <c r="A98" s="58">
        <v>10</v>
      </c>
      <c r="B98" s="58">
        <v>15</v>
      </c>
      <c r="C98" s="72">
        <v>8825</v>
      </c>
      <c r="D98" s="72">
        <v>11116765</v>
      </c>
      <c r="E98" s="59">
        <v>3.9123127686805734E-3</v>
      </c>
      <c r="F98" s="93">
        <v>12.596900849858358</v>
      </c>
      <c r="G98" s="102"/>
      <c r="H98" s="61" t="str">
        <f t="shared" si="1"/>
        <v>(10, 15]</v>
      </c>
      <c r="I98" s="62">
        <v>26.86623500000001</v>
      </c>
      <c r="J98" s="59">
        <v>0.10510911423687297</v>
      </c>
      <c r="K98" s="59">
        <v>0.13126625998774358</v>
      </c>
      <c r="L98" s="119">
        <v>131266259</v>
      </c>
      <c r="M98" s="59">
        <v>0.13126626188785775</v>
      </c>
      <c r="N98" s="59">
        <v>1.653548085932885</v>
      </c>
      <c r="O98" s="121">
        <v>24.179611500000011</v>
      </c>
      <c r="P98" s="59">
        <v>0.13126626188785775</v>
      </c>
      <c r="Q98" s="59">
        <v>7.2289156626506021E-2</v>
      </c>
      <c r="R98" s="83">
        <v>0.55000000000000004</v>
      </c>
      <c r="S98" s="103"/>
      <c r="T98" s="62"/>
      <c r="U98" s="62"/>
    </row>
    <row r="99" spans="1:21" hidden="1" x14ac:dyDescent="0.3">
      <c r="A99" s="58">
        <v>15</v>
      </c>
      <c r="B99" s="58">
        <v>20</v>
      </c>
      <c r="C99" s="72">
        <v>9436</v>
      </c>
      <c r="D99" s="72">
        <v>16588125</v>
      </c>
      <c r="E99" s="59">
        <v>4.1831822419569282E-3</v>
      </c>
      <c r="F99" s="93">
        <v>17.579615303094531</v>
      </c>
      <c r="G99" s="102"/>
      <c r="H99" s="115" t="str">
        <f t="shared" si="1"/>
        <v>(15, 20]</v>
      </c>
      <c r="I99" s="62">
        <v>25.123956000000007</v>
      </c>
      <c r="J99" s="59">
        <v>0.10509808658690725</v>
      </c>
      <c r="K99" s="59">
        <v>0.13125248802916545</v>
      </c>
      <c r="L99" s="119">
        <v>131252488</v>
      </c>
      <c r="M99" s="59">
        <v>0.13125249088755481</v>
      </c>
      <c r="N99" s="59">
        <v>2.3073682973761338</v>
      </c>
      <c r="O99" s="121">
        <v>22.611560400000005</v>
      </c>
      <c r="P99" s="59">
        <v>0.13125249088755481</v>
      </c>
      <c r="Q99" s="59">
        <v>7.2289156626506021E-2</v>
      </c>
      <c r="R99" s="83">
        <v>0.55000000000000004</v>
      </c>
      <c r="S99" s="103"/>
      <c r="T99" s="62"/>
      <c r="U99" s="62"/>
    </row>
    <row r="100" spans="1:21" hidden="1" x14ac:dyDescent="0.3">
      <c r="A100" s="58">
        <v>20</v>
      </c>
      <c r="B100" s="58">
        <v>25</v>
      </c>
      <c r="C100" s="72">
        <v>10078</v>
      </c>
      <c r="D100" s="72">
        <v>22742885</v>
      </c>
      <c r="E100" s="59">
        <v>4.4677946835991857E-3</v>
      </c>
      <c r="F100" s="93">
        <v>22.566863464973206</v>
      </c>
      <c r="G100" s="102"/>
      <c r="H100" s="61" t="str">
        <f t="shared" si="1"/>
        <v>(20, 25]</v>
      </c>
      <c r="I100" s="62">
        <v>23.52808700000001</v>
      </c>
      <c r="J100" s="59">
        <v>0.10511866201385917</v>
      </c>
      <c r="K100" s="59">
        <v>0.13127818379649484</v>
      </c>
      <c r="L100" s="119">
        <v>131278183</v>
      </c>
      <c r="M100" s="59">
        <v>0.1312781858881201</v>
      </c>
      <c r="N100" s="59">
        <v>2.9625368968665784</v>
      </c>
      <c r="O100" s="121">
        <v>21.175278300000009</v>
      </c>
      <c r="P100" s="59">
        <v>0.1312781858881201</v>
      </c>
      <c r="Q100" s="59">
        <v>7.2289156626506021E-2</v>
      </c>
      <c r="R100" s="83">
        <v>0.55000000000000004</v>
      </c>
      <c r="S100" s="103"/>
      <c r="T100" s="62"/>
      <c r="U100" s="62"/>
    </row>
    <row r="101" spans="1:21" hidden="1" x14ac:dyDescent="0.3">
      <c r="A101" s="58">
        <v>25</v>
      </c>
      <c r="B101" s="58">
        <v>30</v>
      </c>
      <c r="C101" s="72">
        <v>10197</v>
      </c>
      <c r="D101" s="72">
        <v>28081770</v>
      </c>
      <c r="E101" s="59">
        <v>4.5205499492618475E-3</v>
      </c>
      <c r="F101" s="93">
        <v>27.53924683730509</v>
      </c>
      <c r="G101" s="102"/>
      <c r="H101" s="61" t="str">
        <f t="shared" si="1"/>
        <v>(25, 30]</v>
      </c>
      <c r="I101" s="62">
        <v>23.42560000000001</v>
      </c>
      <c r="J101" s="59">
        <v>0.10589659489142839</v>
      </c>
      <c r="K101" s="59">
        <v>0.13224971076731382</v>
      </c>
      <c r="L101" s="119">
        <v>132249710</v>
      </c>
      <c r="M101" s="59">
        <v>0.13224971290949369</v>
      </c>
      <c r="N101" s="59">
        <v>3.6420574879772802</v>
      </c>
      <c r="O101" s="121">
        <v>21.083040000000011</v>
      </c>
      <c r="P101" s="59">
        <v>0.13224971290949369</v>
      </c>
      <c r="Q101" s="59">
        <v>8.4337349397590355E-2</v>
      </c>
      <c r="R101" s="83">
        <v>0.64</v>
      </c>
      <c r="S101" s="103"/>
      <c r="T101" s="62"/>
      <c r="U101" s="62"/>
    </row>
    <row r="102" spans="1:21" hidden="1" x14ac:dyDescent="0.3">
      <c r="A102" s="58">
        <v>30</v>
      </c>
      <c r="B102" s="58">
        <v>35</v>
      </c>
      <c r="C102" s="72">
        <v>11003</v>
      </c>
      <c r="D102" s="72">
        <v>35815785</v>
      </c>
      <c r="E102" s="59">
        <v>4.8778671267753369E-3</v>
      </c>
      <c r="F102" s="93">
        <v>32.550927019903661</v>
      </c>
      <c r="G102" s="102"/>
      <c r="H102" s="61" t="str">
        <f t="shared" si="1"/>
        <v>(30, 35]</v>
      </c>
      <c r="I102" s="62">
        <v>6</v>
      </c>
      <c r="J102" s="59">
        <v>2.926720276065202E-2</v>
      </c>
      <c r="K102" s="59">
        <v>3.6550552961905056E-2</v>
      </c>
      <c r="L102" s="119">
        <v>36550552</v>
      </c>
      <c r="M102" s="59">
        <v>3.6550552804112159E-2</v>
      </c>
      <c r="N102" s="59">
        <v>1.1897543768637899</v>
      </c>
      <c r="O102" s="121">
        <v>5.4</v>
      </c>
      <c r="P102" s="59">
        <v>3.6550552804112159E-2</v>
      </c>
      <c r="Q102" s="59">
        <v>3.614457831325301E-2</v>
      </c>
      <c r="R102" s="83">
        <v>0.99</v>
      </c>
      <c r="S102" s="103"/>
      <c r="T102" s="62"/>
      <c r="U102" s="62"/>
    </row>
    <row r="103" spans="1:21" hidden="1" x14ac:dyDescent="0.3">
      <c r="A103" s="58">
        <v>35</v>
      </c>
      <c r="B103" s="58">
        <v>40</v>
      </c>
      <c r="C103" s="72">
        <v>11425</v>
      </c>
      <c r="D103" s="72">
        <v>42891815</v>
      </c>
      <c r="E103" s="59">
        <v>5.0649488251756991E-3</v>
      </c>
      <c r="F103" s="93">
        <v>37.542070021881834</v>
      </c>
      <c r="G103" s="102"/>
      <c r="H103" s="115" t="str">
        <f t="shared" si="1"/>
        <v>(35, 40]</v>
      </c>
      <c r="I103" s="62">
        <v>4.72</v>
      </c>
      <c r="J103" s="59">
        <v>2.3906558454829297E-2</v>
      </c>
      <c r="K103" s="59">
        <v>2.9855874443692504E-2</v>
      </c>
      <c r="L103" s="119">
        <v>29855874</v>
      </c>
      <c r="M103" s="59">
        <v>2.9855874656829241E-2</v>
      </c>
      <c r="N103" s="59">
        <v>1.1208513369312108</v>
      </c>
      <c r="O103" s="121">
        <v>4.2480000000000002</v>
      </c>
      <c r="P103" s="59">
        <v>2.9855874656829241E-2</v>
      </c>
      <c r="Q103" s="59">
        <v>2.4096385542168676E-2</v>
      </c>
      <c r="R103" s="83">
        <v>0.81</v>
      </c>
      <c r="S103" s="103"/>
      <c r="T103" s="62"/>
      <c r="U103" s="62"/>
    </row>
    <row r="104" spans="1:21" hidden="1" x14ac:dyDescent="0.3">
      <c r="A104" s="58">
        <v>40</v>
      </c>
      <c r="B104" s="58">
        <v>45</v>
      </c>
      <c r="C104" s="72">
        <v>11797</v>
      </c>
      <c r="D104" s="72">
        <v>50196555</v>
      </c>
      <c r="E104" s="59">
        <v>5.229864445566541E-3</v>
      </c>
      <c r="F104" s="93">
        <v>42.550271255403914</v>
      </c>
      <c r="G104" s="194"/>
      <c r="H104" s="61" t="str">
        <f t="shared" si="1"/>
        <v>(40, 45]</v>
      </c>
      <c r="I104" s="62">
        <v>4.5</v>
      </c>
      <c r="J104" s="59">
        <v>2.3534390005049435E-2</v>
      </c>
      <c r="K104" s="59">
        <v>2.9391089245541718E-2</v>
      </c>
      <c r="L104" s="119">
        <v>29391089</v>
      </c>
      <c r="M104" s="59">
        <v>2.9391089646603974E-2</v>
      </c>
      <c r="N104" s="59">
        <v>1.2505988369548926</v>
      </c>
      <c r="O104" s="121">
        <v>4.05</v>
      </c>
      <c r="P104" s="59">
        <v>2.9391089646603974E-2</v>
      </c>
      <c r="Q104" s="59">
        <v>3.614457831325301E-2</v>
      </c>
      <c r="R104" s="83">
        <v>1.23</v>
      </c>
      <c r="S104" s="103"/>
      <c r="T104" s="62"/>
      <c r="U104" s="62"/>
    </row>
    <row r="105" spans="1:21" hidden="1" x14ac:dyDescent="0.3">
      <c r="A105" s="58">
        <v>45</v>
      </c>
      <c r="B105" s="58">
        <v>50</v>
      </c>
      <c r="C105" s="72">
        <v>12192</v>
      </c>
      <c r="D105" s="72">
        <v>57985980</v>
      </c>
      <c r="E105" s="59">
        <v>5.4049764618417616E-3</v>
      </c>
      <c r="F105" s="93">
        <v>47.560679133858265</v>
      </c>
      <c r="G105" s="102"/>
      <c r="H105" s="61" t="str">
        <f t="shared" si="1"/>
        <v>(45, 50]</v>
      </c>
      <c r="I105" s="62">
        <v>4</v>
      </c>
      <c r="J105" s="59">
        <v>2.1619905847367046E-2</v>
      </c>
      <c r="K105" s="59">
        <v>2.7000172177984578E-2</v>
      </c>
      <c r="L105" s="119">
        <v>27000172</v>
      </c>
      <c r="M105" s="59">
        <v>2.7000172594003797E-2</v>
      </c>
      <c r="N105" s="59">
        <v>1.2841465453022081</v>
      </c>
      <c r="O105" s="121">
        <v>3.6</v>
      </c>
      <c r="P105" s="59">
        <v>2.7000172594003797E-2</v>
      </c>
      <c r="Q105" s="59">
        <v>2.4096385542168676E-2</v>
      </c>
      <c r="R105" s="83">
        <v>0.89</v>
      </c>
      <c r="S105" s="103"/>
      <c r="T105" s="62"/>
      <c r="U105" s="62"/>
    </row>
    <row r="106" spans="1:21" hidden="1" x14ac:dyDescent="0.3">
      <c r="A106" s="58">
        <v>50</v>
      </c>
      <c r="B106" s="58">
        <v>60</v>
      </c>
      <c r="C106" s="72">
        <v>25739</v>
      </c>
      <c r="D106" s="72">
        <v>141851425</v>
      </c>
      <c r="E106" s="59">
        <v>1.1410653637741561E-2</v>
      </c>
      <c r="F106" s="93">
        <v>55.111474804770971</v>
      </c>
      <c r="G106" s="102"/>
      <c r="H106" s="115" t="str">
        <f t="shared" si="1"/>
        <v>(50, 60]</v>
      </c>
      <c r="I106" s="62">
        <v>1.6</v>
      </c>
      <c r="J106" s="59">
        <v>1.8257045820386498E-2</v>
      </c>
      <c r="K106" s="59">
        <v>2.2800440672216045E-2</v>
      </c>
      <c r="L106" s="119">
        <v>22800440</v>
      </c>
      <c r="M106" s="59">
        <v>2.2800440501609689E-2</v>
      </c>
      <c r="N106" s="59">
        <v>1.256565902242142</v>
      </c>
      <c r="O106" s="121">
        <v>1.4400000000000002</v>
      </c>
      <c r="P106" s="59">
        <v>2.2800440501609689E-2</v>
      </c>
      <c r="Q106" s="59">
        <v>2.4096385542168676E-2</v>
      </c>
      <c r="R106" s="83">
        <v>1.06</v>
      </c>
      <c r="S106" s="103"/>
      <c r="T106" s="62"/>
      <c r="U106" s="62"/>
    </row>
    <row r="107" spans="1:21" hidden="1" x14ac:dyDescent="0.3">
      <c r="A107" s="58">
        <v>60</v>
      </c>
      <c r="B107" s="58">
        <v>70</v>
      </c>
      <c r="C107" s="72">
        <v>26832</v>
      </c>
      <c r="D107" s="72">
        <v>174673430</v>
      </c>
      <c r="E107" s="59">
        <v>1.1895204103029704E-2</v>
      </c>
      <c r="F107" s="93">
        <v>65.09892292784734</v>
      </c>
      <c r="G107" s="102"/>
      <c r="H107" s="61" t="str">
        <f t="shared" si="1"/>
        <v>(60, 70]</v>
      </c>
      <c r="I107" s="62">
        <v>4.5270000000000001</v>
      </c>
      <c r="J107" s="59">
        <v>5.3849588974415469E-2</v>
      </c>
      <c r="K107" s="59">
        <v>6.7250439677561544E-2</v>
      </c>
      <c r="L107" s="119">
        <v>67250439</v>
      </c>
      <c r="M107" s="59">
        <v>6.7250440479509691E-2</v>
      </c>
      <c r="N107" s="59">
        <v>4.3779312416393861</v>
      </c>
      <c r="O107" s="121">
        <v>4.0743</v>
      </c>
      <c r="P107" s="59">
        <v>6.7250440479509691E-2</v>
      </c>
      <c r="Q107" s="59">
        <v>6.0240963855421686E-2</v>
      </c>
      <c r="R107" s="83">
        <v>0.9</v>
      </c>
      <c r="S107" s="103"/>
      <c r="T107" s="62"/>
      <c r="U107" s="62"/>
    </row>
    <row r="108" spans="1:21" hidden="1" x14ac:dyDescent="0.3">
      <c r="A108" s="58">
        <v>70</v>
      </c>
      <c r="B108" s="58">
        <v>80</v>
      </c>
      <c r="C108" s="72">
        <v>28303</v>
      </c>
      <c r="D108" s="72">
        <v>212519325</v>
      </c>
      <c r="E108" s="59">
        <v>1.2547330118069831E-2</v>
      </c>
      <c r="F108" s="93">
        <v>75.087208069815929</v>
      </c>
      <c r="G108" s="102"/>
      <c r="H108" s="61" t="str">
        <f t="shared" si="1"/>
        <v>(70, 80]</v>
      </c>
      <c r="I108" s="62">
        <v>3.87</v>
      </c>
      <c r="J108" s="59">
        <v>4.8558167556930244E-2</v>
      </c>
      <c r="K108" s="59">
        <v>6.0642210652559779E-2</v>
      </c>
      <c r="L108" s="119">
        <v>60642210</v>
      </c>
      <c r="M108" s="59">
        <v>6.064221133412865E-2</v>
      </c>
      <c r="N108" s="59">
        <v>4.553454340259468</v>
      </c>
      <c r="O108" s="121">
        <v>3.4830000000000001</v>
      </c>
      <c r="P108" s="59">
        <v>6.064221133412865E-2</v>
      </c>
      <c r="Q108" s="59">
        <v>4.8192771084337352E-2</v>
      </c>
      <c r="R108" s="83">
        <v>0.79</v>
      </c>
      <c r="S108" s="103"/>
      <c r="T108" s="62"/>
      <c r="U108" s="62"/>
    </row>
    <row r="109" spans="1:21" hidden="1" x14ac:dyDescent="0.3">
      <c r="A109" s="58">
        <v>80</v>
      </c>
      <c r="B109" s="58">
        <v>90</v>
      </c>
      <c r="C109" s="72">
        <v>29309</v>
      </c>
      <c r="D109" s="72">
        <v>249325845</v>
      </c>
      <c r="E109" s="59">
        <v>1.2993311607621407E-2</v>
      </c>
      <c r="F109" s="93">
        <v>85.068014944215079</v>
      </c>
      <c r="H109" s="61" t="str">
        <f t="shared" si="1"/>
        <v>(80, 90]</v>
      </c>
      <c r="I109" s="62">
        <v>1.9</v>
      </c>
      <c r="J109" s="59">
        <v>2.4687292054480673E-2</v>
      </c>
      <c r="K109" s="59">
        <v>3.0830899116072938E-2</v>
      </c>
      <c r="L109" s="119">
        <v>30830899</v>
      </c>
      <c r="M109" s="59">
        <v>3.0830899678279792E-2</v>
      </c>
      <c r="N109" s="59">
        <v>2.6227234345755011</v>
      </c>
      <c r="O109" s="121">
        <v>1.71</v>
      </c>
      <c r="P109" s="59">
        <v>3.0830899678279792E-2</v>
      </c>
      <c r="Q109" s="59">
        <v>2.4096385542168676E-2</v>
      </c>
      <c r="R109" s="83">
        <v>0.78</v>
      </c>
      <c r="S109" s="103"/>
      <c r="T109" s="62"/>
      <c r="U109" s="62"/>
    </row>
    <row r="110" spans="1:21" hidden="1" x14ac:dyDescent="0.3">
      <c r="A110" s="58">
        <v>90</v>
      </c>
      <c r="B110" s="58">
        <v>100</v>
      </c>
      <c r="C110" s="72">
        <v>30520</v>
      </c>
      <c r="D110" s="72">
        <v>290091375</v>
      </c>
      <c r="E110" s="59">
        <v>1.3530174017012021E-2</v>
      </c>
      <c r="F110" s="93">
        <v>95.049598623853214</v>
      </c>
      <c r="G110" s="102"/>
      <c r="H110" s="61" t="str">
        <f t="shared" si="1"/>
        <v>(90, 100]</v>
      </c>
      <c r="I110" s="117">
        <v>1.6</v>
      </c>
      <c r="J110" s="118">
        <v>2.1648278427219236E-2</v>
      </c>
      <c r="K110" s="118">
        <v>2.7035605474806081E-2</v>
      </c>
      <c r="L110" s="119">
        <v>27035605</v>
      </c>
      <c r="M110" s="118">
        <v>2.7035605594783324E-2</v>
      </c>
      <c r="N110" s="118">
        <v>2.5697234603369554</v>
      </c>
      <c r="O110" s="121">
        <v>1.4400000000000002</v>
      </c>
      <c r="P110" s="59">
        <v>2.7035605594783324E-2</v>
      </c>
      <c r="Q110" s="59">
        <v>1.2048192771084338E-2</v>
      </c>
      <c r="R110" s="83">
        <v>0.45</v>
      </c>
      <c r="S110" s="103"/>
      <c r="T110" s="62"/>
      <c r="U110" s="62"/>
    </row>
    <row r="111" spans="1:21" hidden="1" x14ac:dyDescent="0.3">
      <c r="A111" s="58">
        <v>100</v>
      </c>
      <c r="B111" s="58">
        <v>120</v>
      </c>
      <c r="C111" s="72">
        <v>63096</v>
      </c>
      <c r="D111" s="72">
        <v>694686090</v>
      </c>
      <c r="E111" s="59">
        <v>2.7971817161775575E-2</v>
      </c>
      <c r="F111" s="93">
        <v>110.09986211487258</v>
      </c>
      <c r="G111" s="102"/>
      <c r="H111" s="61" t="str">
        <f t="shared" si="1"/>
        <v>(100, 120]</v>
      </c>
      <c r="I111" s="117">
        <v>1.2235</v>
      </c>
      <c r="J111" s="118">
        <v>3.422351829743242E-2</v>
      </c>
      <c r="K111" s="118">
        <v>4.2740282640019646E-2</v>
      </c>
      <c r="L111" s="119">
        <v>42740282</v>
      </c>
      <c r="M111" s="118">
        <v>4.2740282940286221E-2</v>
      </c>
      <c r="N111" s="118">
        <v>4.7056992584761534</v>
      </c>
      <c r="O111" s="121">
        <v>1.1011500000000001</v>
      </c>
      <c r="P111" s="59">
        <v>4.2740282940286221E-2</v>
      </c>
      <c r="Q111" s="59">
        <v>6.0240963855421686E-2</v>
      </c>
      <c r="R111" s="83">
        <v>1.41</v>
      </c>
      <c r="S111" s="103"/>
      <c r="T111" s="62"/>
      <c r="U111" s="62"/>
    </row>
    <row r="112" spans="1:21" hidden="1" x14ac:dyDescent="0.3">
      <c r="A112" s="58">
        <v>120</v>
      </c>
      <c r="B112" s="58">
        <v>140</v>
      </c>
      <c r="C112" s="72">
        <v>64648</v>
      </c>
      <c r="D112" s="72">
        <v>840872730</v>
      </c>
      <c r="E112" s="59">
        <v>2.8659852223191125E-2</v>
      </c>
      <c r="F112" s="93">
        <v>130.06941127335725</v>
      </c>
      <c r="G112" s="102"/>
      <c r="H112" s="61" t="str">
        <f t="shared" si="1"/>
        <v>(120, 140]</v>
      </c>
      <c r="I112" s="117">
        <v>0.52470000000000006</v>
      </c>
      <c r="J112" s="118">
        <v>1.5037824461508385E-2</v>
      </c>
      <c r="K112" s="118">
        <v>1.878009333201984E-2</v>
      </c>
      <c r="L112" s="119">
        <v>18780093</v>
      </c>
      <c r="M112" s="118">
        <v>1.8780093413162054E-2</v>
      </c>
      <c r="N112" s="118">
        <v>2.4427156939086427</v>
      </c>
      <c r="O112" s="121">
        <v>0.47223000000000004</v>
      </c>
      <c r="P112" s="59">
        <v>1.8780093413162054E-2</v>
      </c>
      <c r="Q112" s="59">
        <v>7.2289156626506021E-2</v>
      </c>
      <c r="R112" s="83">
        <v>3.85</v>
      </c>
      <c r="S112" s="103"/>
      <c r="T112" s="62"/>
      <c r="U112" s="62"/>
    </row>
    <row r="113" spans="1:21" hidden="1" x14ac:dyDescent="0.3">
      <c r="A113" s="58">
        <v>140</v>
      </c>
      <c r="B113" s="58">
        <v>160</v>
      </c>
      <c r="C113" s="72">
        <v>66109</v>
      </c>
      <c r="D113" s="72">
        <v>991686405</v>
      </c>
      <c r="E113" s="59">
        <v>2.9307545022629351E-2</v>
      </c>
      <c r="F113" s="93">
        <v>150.00777579452117</v>
      </c>
      <c r="G113" s="102"/>
      <c r="H113" s="61" t="str">
        <f t="shared" si="1"/>
        <v>(140, 160]</v>
      </c>
      <c r="I113" s="117">
        <v>0.78732000000000013</v>
      </c>
      <c r="J113" s="118">
        <v>2.3074416347216544E-2</v>
      </c>
      <c r="K113" s="118">
        <v>2.8816647892905674E-2</v>
      </c>
      <c r="L113" s="119">
        <v>28816647</v>
      </c>
      <c r="M113" s="118">
        <v>2.8816647633966248E-2</v>
      </c>
      <c r="N113" s="118">
        <v>4.3227212174257277</v>
      </c>
      <c r="O113" s="121">
        <v>0.70858800000000011</v>
      </c>
      <c r="P113" s="59">
        <v>2.8816647633966248E-2</v>
      </c>
      <c r="Q113" s="59">
        <v>2.4096385542168676E-2</v>
      </c>
      <c r="R113" s="83">
        <v>0.84</v>
      </c>
      <c r="S113" s="103"/>
      <c r="T113" s="62"/>
      <c r="U113" s="62"/>
    </row>
    <row r="114" spans="1:21" hidden="1" x14ac:dyDescent="0.3">
      <c r="A114" s="58">
        <v>160</v>
      </c>
      <c r="B114" s="58">
        <v>180</v>
      </c>
      <c r="C114" s="72">
        <v>66110</v>
      </c>
      <c r="D114" s="72">
        <v>1124215945</v>
      </c>
      <c r="E114" s="59">
        <v>2.9307988344189538E-2</v>
      </c>
      <c r="F114" s="93">
        <v>170.05232869459988</v>
      </c>
      <c r="G114" s="102"/>
      <c r="H114" s="61" t="str">
        <f t="shared" si="1"/>
        <v>(160, 180]</v>
      </c>
      <c r="I114" s="117">
        <v>0.23245229340000007</v>
      </c>
      <c r="J114" s="118">
        <v>6.8127091055473288E-3</v>
      </c>
      <c r="K114" s="118">
        <v>8.508099903252013E-3</v>
      </c>
      <c r="L114" s="119">
        <v>8508099</v>
      </c>
      <c r="M114" s="118">
        <v>8.5080991871781825E-3</v>
      </c>
      <c r="N114" s="118">
        <v>1.4468220795442823</v>
      </c>
      <c r="O114" s="121">
        <v>0.20920706406000006</v>
      </c>
      <c r="P114" s="59">
        <v>8.5080991871781825E-3</v>
      </c>
      <c r="Q114" s="59">
        <v>3.614457831325301E-2</v>
      </c>
      <c r="R114" s="83">
        <v>4.25</v>
      </c>
      <c r="S114" s="103"/>
      <c r="T114" s="62"/>
      <c r="U114" s="62"/>
    </row>
    <row r="115" spans="1:21" hidden="1" x14ac:dyDescent="0.3">
      <c r="A115" s="58">
        <v>180</v>
      </c>
      <c r="B115" s="58">
        <v>200</v>
      </c>
      <c r="C115" s="72">
        <v>65860</v>
      </c>
      <c r="D115" s="72">
        <v>1251563885</v>
      </c>
      <c r="E115" s="59">
        <v>2.919715795414193E-2</v>
      </c>
      <c r="F115" s="93">
        <v>190.033994078348</v>
      </c>
      <c r="G115" s="102"/>
      <c r="H115" s="61" t="str">
        <f t="shared" si="1"/>
        <v>(180, 200]</v>
      </c>
      <c r="I115" s="117">
        <v>0.20533285917000005</v>
      </c>
      <c r="J115" s="118">
        <v>5.9951359223620717E-3</v>
      </c>
      <c r="K115" s="118">
        <v>7.4870678566766012E-3</v>
      </c>
      <c r="L115" s="119">
        <v>7487067</v>
      </c>
      <c r="M115" s="118">
        <v>7.4870671647154774E-3</v>
      </c>
      <c r="N115" s="118">
        <v>1.4227972772437347</v>
      </c>
      <c r="O115" s="121">
        <v>0.18479957325300006</v>
      </c>
      <c r="P115" s="59">
        <v>7.4870671647154774E-3</v>
      </c>
      <c r="Q115" s="59">
        <v>0</v>
      </c>
      <c r="R115" s="83">
        <v>0</v>
      </c>
      <c r="S115" s="103"/>
      <c r="T115" s="62"/>
      <c r="U115" s="62"/>
    </row>
    <row r="116" spans="1:21" hidden="1" x14ac:dyDescent="0.3">
      <c r="A116" s="58">
        <v>200</v>
      </c>
      <c r="B116" s="58">
        <v>250</v>
      </c>
      <c r="C116" s="72">
        <v>159483</v>
      </c>
      <c r="D116" s="72">
        <v>3584931735</v>
      </c>
      <c r="E116" s="59">
        <v>7.0702252383850861E-2</v>
      </c>
      <c r="F116" s="93">
        <v>224.78456857470701</v>
      </c>
      <c r="G116" s="102"/>
      <c r="H116" s="61" t="str">
        <f t="shared" si="1"/>
        <v>(200, 250]</v>
      </c>
      <c r="I116" s="117">
        <v>0.22719368470500004</v>
      </c>
      <c r="J116" s="118">
        <v>1.606310523602995E-2</v>
      </c>
      <c r="K116" s="118">
        <v>2.0060522471642153E-2</v>
      </c>
      <c r="L116" s="119">
        <v>20060522</v>
      </c>
      <c r="M116" s="118">
        <v>2.0060522441331493E-2</v>
      </c>
      <c r="N116" s="118">
        <v>4.5092958823579279</v>
      </c>
      <c r="O116" s="121">
        <v>0.20447431623450005</v>
      </c>
      <c r="P116" s="59">
        <v>2.0060522441331493E-2</v>
      </c>
      <c r="Q116" s="59">
        <v>6.0240963855421686E-2</v>
      </c>
      <c r="R116" s="83">
        <v>3</v>
      </c>
      <c r="S116" s="103"/>
      <c r="T116" s="62"/>
      <c r="U116" s="62"/>
    </row>
    <row r="117" spans="1:21" hidden="1" x14ac:dyDescent="0.3">
      <c r="A117" s="58">
        <v>250</v>
      </c>
      <c r="B117" s="58">
        <v>300</v>
      </c>
      <c r="C117" s="72">
        <v>149745</v>
      </c>
      <c r="D117" s="72">
        <v>4113244610</v>
      </c>
      <c r="E117" s="59">
        <v>6.6385187030716428E-2</v>
      </c>
      <c r="F117" s="93">
        <v>274.6832688904471</v>
      </c>
      <c r="G117" s="102"/>
      <c r="H117" s="61" t="str">
        <f t="shared" si="1"/>
        <v>(250, 300]</v>
      </c>
      <c r="I117" s="117">
        <v>6.8186006064000007E-2</v>
      </c>
      <c r="J117" s="118">
        <v>4.5265407654362048E-3</v>
      </c>
      <c r="K117" s="118">
        <v>5.6530024182472431E-3</v>
      </c>
      <c r="L117" s="119">
        <v>5653002</v>
      </c>
      <c r="M117" s="118">
        <v>5.6530021243660468E-3</v>
      </c>
      <c r="N117" s="118">
        <v>1.5527851025655075</v>
      </c>
      <c r="O117" s="121">
        <v>6.1367405457600006E-2</v>
      </c>
      <c r="P117" s="59">
        <v>5.6530021243660468E-3</v>
      </c>
      <c r="Q117" s="59">
        <v>2.4096385542168676E-2</v>
      </c>
      <c r="R117" s="83">
        <v>4.26</v>
      </c>
      <c r="S117" s="103"/>
      <c r="T117" s="62"/>
      <c r="U117" s="62"/>
    </row>
    <row r="118" spans="1:21" hidden="1" x14ac:dyDescent="0.3">
      <c r="A118" s="58">
        <v>300</v>
      </c>
      <c r="B118" s="58">
        <v>350</v>
      </c>
      <c r="C118" s="72">
        <v>137137</v>
      </c>
      <c r="D118" s="72">
        <v>4452780540</v>
      </c>
      <c r="E118" s="59">
        <v>6.0795788799835437E-2</v>
      </c>
      <c r="F118" s="93">
        <v>324.69578159067208</v>
      </c>
      <c r="G118" s="102"/>
      <c r="H118" s="61" t="str">
        <f t="shared" si="1"/>
        <v>(300, 350]</v>
      </c>
      <c r="I118" s="117">
        <v>6.3924380685000018E-2</v>
      </c>
      <c r="J118" s="118">
        <v>3.886333147285541E-3</v>
      </c>
      <c r="K118" s="118">
        <v>4.8534746107831584E-3</v>
      </c>
      <c r="L118" s="119">
        <v>4853474</v>
      </c>
      <c r="M118" s="118">
        <v>4.8534741067764306E-3</v>
      </c>
      <c r="N118" s="118">
        <v>1.5759025685298622</v>
      </c>
      <c r="O118" s="121">
        <v>5.753194261650002E-2</v>
      </c>
      <c r="P118" s="59">
        <v>4.8534741067764306E-3</v>
      </c>
      <c r="Q118" s="59">
        <v>1.2048192771084338E-2</v>
      </c>
      <c r="R118" s="83">
        <v>2.48</v>
      </c>
      <c r="S118" s="103"/>
      <c r="T118" s="62"/>
      <c r="U118" s="62"/>
    </row>
    <row r="119" spans="1:21" hidden="1" x14ac:dyDescent="0.3">
      <c r="A119" s="58">
        <v>350</v>
      </c>
      <c r="B119" s="58">
        <v>400</v>
      </c>
      <c r="C119" s="72">
        <v>123573</v>
      </c>
      <c r="D119" s="72">
        <v>4628657055</v>
      </c>
      <c r="E119" s="59">
        <v>5.4782575157412403E-2</v>
      </c>
      <c r="F119" s="93">
        <v>374.56863999417351</v>
      </c>
      <c r="G119" s="102"/>
      <c r="H119" s="61" t="str">
        <f t="shared" si="1"/>
        <v>(350, 400]</v>
      </c>
      <c r="I119" s="117">
        <v>0.01</v>
      </c>
      <c r="J119" s="118">
        <v>5.4782575157412406E-4</v>
      </c>
      <c r="K119" s="118">
        <v>6.8415606064429308E-4</v>
      </c>
      <c r="L119" s="119">
        <v>684156</v>
      </c>
      <c r="M119" s="118">
        <v>6.8415601505143232E-4</v>
      </c>
      <c r="N119" s="118">
        <v>0.25626338810164828</v>
      </c>
      <c r="O119" s="121">
        <v>9.0000000000000011E-3</v>
      </c>
      <c r="P119" s="59">
        <v>6.8415601505143232E-4</v>
      </c>
      <c r="Q119" s="59">
        <v>0</v>
      </c>
      <c r="R119" s="83">
        <v>0</v>
      </c>
      <c r="S119" s="103"/>
      <c r="T119" s="62"/>
      <c r="U119" s="62"/>
    </row>
    <row r="120" spans="1:21" hidden="1" x14ac:dyDescent="0.3">
      <c r="A120" s="58">
        <v>400</v>
      </c>
      <c r="B120" s="58">
        <v>450</v>
      </c>
      <c r="C120" s="72">
        <v>111713</v>
      </c>
      <c r="D120" s="72">
        <v>4742266710</v>
      </c>
      <c r="E120" s="59">
        <v>4.9524781453553865E-2</v>
      </c>
      <c r="F120" s="93">
        <v>424.50446322272251</v>
      </c>
      <c r="G120" s="102"/>
      <c r="H120" s="61" t="str">
        <f t="shared" si="1"/>
        <v>(400, 450]</v>
      </c>
      <c r="I120" s="117">
        <v>0.01</v>
      </c>
      <c r="J120" s="118">
        <v>4.9524781453553861E-4</v>
      </c>
      <c r="K120" s="118">
        <v>6.1849373247194694E-4</v>
      </c>
      <c r="L120" s="119">
        <v>618493</v>
      </c>
      <c r="M120" s="118">
        <v>6.1849301360684635E-4</v>
      </c>
      <c r="N120" s="118">
        <v>0.26255304474817831</v>
      </c>
      <c r="O120" s="121">
        <v>9.0000000000000011E-3</v>
      </c>
      <c r="P120" s="59">
        <v>6.1849301360684635E-4</v>
      </c>
      <c r="Q120" s="59">
        <v>0</v>
      </c>
      <c r="R120" s="83">
        <v>0</v>
      </c>
      <c r="S120" s="103"/>
      <c r="T120" s="62"/>
      <c r="U120" s="62"/>
    </row>
    <row r="121" spans="1:21" hidden="1" x14ac:dyDescent="0.3">
      <c r="A121" s="58">
        <v>450</v>
      </c>
      <c r="B121" s="58">
        <v>500</v>
      </c>
      <c r="C121" s="72">
        <v>99404</v>
      </c>
      <c r="D121" s="72">
        <v>4718001905</v>
      </c>
      <c r="E121" s="59">
        <v>4.4067936369169822E-2</v>
      </c>
      <c r="F121" s="93">
        <v>474.62897921612813</v>
      </c>
      <c r="G121" s="102"/>
      <c r="H121" s="61" t="str">
        <f t="shared" si="1"/>
        <v>(450, 500]</v>
      </c>
      <c r="I121" s="117">
        <v>0.01</v>
      </c>
      <c r="J121" s="118">
        <v>4.406793636916982E-4</v>
      </c>
      <c r="K121" s="118">
        <v>5.5034553706946739E-4</v>
      </c>
      <c r="L121" s="119">
        <v>550345</v>
      </c>
      <c r="M121" s="118">
        <v>5.5034501210759026E-4</v>
      </c>
      <c r="N121" s="118">
        <v>0.26120969131331323</v>
      </c>
      <c r="O121" s="121">
        <v>9.0000000000000011E-3</v>
      </c>
      <c r="P121" s="59">
        <v>5.5034501210759026E-4</v>
      </c>
      <c r="Q121" s="59">
        <v>0</v>
      </c>
      <c r="R121" s="83">
        <v>0</v>
      </c>
      <c r="S121" s="103"/>
      <c r="T121" s="62"/>
      <c r="U121" s="62"/>
    </row>
    <row r="122" spans="1:21" hidden="1" x14ac:dyDescent="0.3">
      <c r="A122" s="58">
        <v>500</v>
      </c>
      <c r="B122" s="58">
        <v>550</v>
      </c>
      <c r="C122" s="72">
        <v>89491</v>
      </c>
      <c r="D122" s="72">
        <v>4694103960</v>
      </c>
      <c r="E122" s="59">
        <v>3.9673289743002056E-2</v>
      </c>
      <c r="F122" s="93">
        <v>524.53363578460403</v>
      </c>
      <c r="G122" s="102"/>
      <c r="H122" s="61" t="str">
        <f t="shared" si="1"/>
        <v>(500, 550]</v>
      </c>
      <c r="I122" s="117">
        <v>0.01</v>
      </c>
      <c r="J122" s="118">
        <v>3.9673289743002055E-4</v>
      </c>
      <c r="K122" s="118">
        <v>4.9546268216453776E-4</v>
      </c>
      <c r="L122" s="119">
        <v>495462</v>
      </c>
      <c r="M122" s="118">
        <v>4.9546201090016424E-4</v>
      </c>
      <c r="N122" s="118">
        <v>0.25988648997061425</v>
      </c>
      <c r="O122" s="121">
        <v>9.0000000000000011E-3</v>
      </c>
      <c r="P122" s="59">
        <v>4.9546201090016424E-4</v>
      </c>
      <c r="Q122" s="59">
        <v>0</v>
      </c>
      <c r="R122" s="83">
        <v>0</v>
      </c>
      <c r="S122" s="103"/>
      <c r="T122" s="62"/>
      <c r="U122" s="62"/>
    </row>
    <row r="123" spans="1:21" hidden="1" x14ac:dyDescent="0.3">
      <c r="A123" s="58">
        <v>550</v>
      </c>
      <c r="B123" s="58">
        <v>600</v>
      </c>
      <c r="C123" s="72">
        <v>79755</v>
      </c>
      <c r="D123" s="72">
        <v>4582506320</v>
      </c>
      <c r="E123" s="59">
        <v>3.5357111032987998E-2</v>
      </c>
      <c r="F123" s="93">
        <v>574.57291956617144</v>
      </c>
      <c r="G123" s="102"/>
      <c r="H123" s="61" t="str">
        <f t="shared" si="1"/>
        <v>(550, 600]</v>
      </c>
      <c r="I123" s="62">
        <v>0.01</v>
      </c>
      <c r="J123" s="59">
        <v>3.5357111032988E-4</v>
      </c>
      <c r="K123" s="59">
        <v>4.4155977937482776E-4</v>
      </c>
      <c r="L123" s="119">
        <v>441559</v>
      </c>
      <c r="M123" s="59">
        <v>4.4155900971429822E-4</v>
      </c>
      <c r="N123" s="59">
        <v>0.25370784937229179</v>
      </c>
      <c r="O123" s="121">
        <v>9.0000000000000011E-3</v>
      </c>
      <c r="P123" s="59">
        <v>4.4155900971429822E-4</v>
      </c>
      <c r="Q123" s="59">
        <v>0</v>
      </c>
      <c r="R123" s="83">
        <v>0</v>
      </c>
      <c r="S123" s="103"/>
      <c r="T123" s="62"/>
      <c r="U123" s="62"/>
    </row>
    <row r="124" spans="1:21" hidden="1" x14ac:dyDescent="0.3">
      <c r="A124" s="58">
        <v>600</v>
      </c>
      <c r="B124" s="58">
        <v>650</v>
      </c>
      <c r="C124" s="72">
        <v>70859</v>
      </c>
      <c r="D124" s="72">
        <v>4425761675</v>
      </c>
      <c r="E124" s="59">
        <v>3.1413322433533904E-2</v>
      </c>
      <c r="F124" s="93">
        <v>624.58709197137978</v>
      </c>
      <c r="G124" s="102"/>
      <c r="H124" s="61" t="str">
        <f t="shared" si="1"/>
        <v>(600, 650]</v>
      </c>
      <c r="I124" s="62">
        <v>0.01</v>
      </c>
      <c r="J124" s="59">
        <v>3.1413322433533907E-4</v>
      </c>
      <c r="K124" s="59">
        <v>3.9230749679293984E-4</v>
      </c>
      <c r="L124" s="119">
        <v>392307</v>
      </c>
      <c r="M124" s="59">
        <v>3.923070086307542E-4</v>
      </c>
      <c r="N124" s="59">
        <v>0.24502989368067377</v>
      </c>
      <c r="O124" s="121">
        <v>9.0000000000000011E-3</v>
      </c>
      <c r="P124" s="59">
        <v>3.923070086307542E-4</v>
      </c>
      <c r="Q124" s="59">
        <v>0</v>
      </c>
      <c r="R124" s="83">
        <v>0</v>
      </c>
      <c r="S124" s="103"/>
      <c r="T124" s="62"/>
      <c r="U124" s="62"/>
    </row>
    <row r="125" spans="1:21" hidden="1" x14ac:dyDescent="0.3">
      <c r="A125" s="58">
        <v>650</v>
      </c>
      <c r="B125" s="58">
        <v>700</v>
      </c>
      <c r="C125" s="72">
        <v>63134</v>
      </c>
      <c r="D125" s="72">
        <v>4258522095</v>
      </c>
      <c r="E125" s="59">
        <v>2.798866338106281E-2</v>
      </c>
      <c r="F125" s="93">
        <v>674.52119222605893</v>
      </c>
      <c r="G125" s="102"/>
      <c r="H125" s="61" t="str">
        <f t="shared" si="1"/>
        <v>(650, 700]</v>
      </c>
      <c r="I125" s="62">
        <v>0.01</v>
      </c>
      <c r="J125" s="59">
        <v>2.7988663381062808E-4</v>
      </c>
      <c r="K125" s="59">
        <v>3.4953840023886119E-4</v>
      </c>
      <c r="L125" s="119">
        <v>349538</v>
      </c>
      <c r="M125" s="59">
        <v>3.4953800768983617E-4</v>
      </c>
      <c r="N125" s="59">
        <v>0.23577079367526965</v>
      </c>
      <c r="O125" s="121">
        <v>9.0000000000000011E-3</v>
      </c>
      <c r="P125" s="59">
        <v>3.4953800768983617E-4</v>
      </c>
      <c r="Q125" s="59">
        <v>0</v>
      </c>
      <c r="R125" s="83">
        <v>0</v>
      </c>
      <c r="S125" s="103"/>
      <c r="T125" s="62"/>
      <c r="U125" s="62"/>
    </row>
    <row r="126" spans="1:21" hidden="1" x14ac:dyDescent="0.3">
      <c r="A126" s="58">
        <v>700</v>
      </c>
      <c r="B126" s="58">
        <v>750</v>
      </c>
      <c r="C126" s="72">
        <v>55725</v>
      </c>
      <c r="D126" s="72">
        <v>4038067140</v>
      </c>
      <c r="E126" s="59">
        <v>2.4704093941611889E-2</v>
      </c>
      <c r="F126" s="93">
        <v>724.64192732166896</v>
      </c>
      <c r="G126" s="101"/>
      <c r="H126" s="61" t="str">
        <f t="shared" si="1"/>
        <v>(700, 750]</v>
      </c>
      <c r="I126" s="62">
        <v>0.01</v>
      </c>
      <c r="J126" s="59">
        <v>2.4704093941611892E-4</v>
      </c>
      <c r="K126" s="59">
        <v>3.0851882271534423E-4</v>
      </c>
      <c r="L126" s="119">
        <v>308518</v>
      </c>
      <c r="M126" s="59">
        <v>3.0851800678739614E-4</v>
      </c>
      <c r="N126" s="59">
        <v>0.22356508305185849</v>
      </c>
      <c r="O126" s="121">
        <v>9.0000000000000011E-3</v>
      </c>
      <c r="P126" s="59">
        <v>3.0851800678739614E-4</v>
      </c>
      <c r="Q126" s="59">
        <v>0</v>
      </c>
      <c r="R126" s="83">
        <v>0</v>
      </c>
      <c r="S126" s="103"/>
      <c r="T126" s="62"/>
      <c r="U126" s="62"/>
    </row>
    <row r="127" spans="1:21" hidden="1" x14ac:dyDescent="0.3">
      <c r="A127" s="58">
        <v>750</v>
      </c>
      <c r="B127" s="58">
        <v>800</v>
      </c>
      <c r="C127" s="72">
        <v>50252</v>
      </c>
      <c r="D127" s="72">
        <v>3892244955</v>
      </c>
      <c r="E127" s="59">
        <v>2.227779504268965E-2</v>
      </c>
      <c r="F127" s="93">
        <v>774.54528277481495</v>
      </c>
      <c r="G127" s="101"/>
      <c r="H127" s="61" t="str">
        <f t="shared" si="1"/>
        <v>(750, 800]</v>
      </c>
      <c r="I127" s="62">
        <v>0.01</v>
      </c>
      <c r="J127" s="59">
        <v>2.2277795042689651E-4</v>
      </c>
      <c r="K127" s="59">
        <v>2.7821781748033157E-4</v>
      </c>
      <c r="L127" s="119">
        <v>278217</v>
      </c>
      <c r="M127" s="59">
        <v>2.7821700612077412E-4</v>
      </c>
      <c r="N127" s="59">
        <v>0.21549166967857741</v>
      </c>
      <c r="O127" s="121">
        <v>9.0000000000000011E-3</v>
      </c>
      <c r="P127" s="59">
        <v>2.7821700612077412E-4</v>
      </c>
      <c r="Q127" s="59">
        <v>0</v>
      </c>
      <c r="R127" s="83">
        <v>0</v>
      </c>
      <c r="S127" s="103"/>
      <c r="T127" s="62"/>
      <c r="U127" s="62"/>
    </row>
    <row r="128" spans="1:21" hidden="1" x14ac:dyDescent="0.3">
      <c r="A128" s="58">
        <v>800</v>
      </c>
      <c r="B128" s="58">
        <v>850</v>
      </c>
      <c r="C128" s="72">
        <v>44921</v>
      </c>
      <c r="D128" s="72">
        <v>3703775110</v>
      </c>
      <c r="E128" s="59">
        <v>1.9914447805314449E-2</v>
      </c>
      <c r="F128" s="93">
        <v>824.50860621980814</v>
      </c>
      <c r="G128" s="101"/>
      <c r="H128" s="61" t="str">
        <f t="shared" si="1"/>
        <v>(800, 850]</v>
      </c>
      <c r="I128" s="62">
        <v>0.01</v>
      </c>
      <c r="J128" s="59">
        <v>1.9914447805314449E-4</v>
      </c>
      <c r="K128" s="59">
        <v>2.48702988518546E-4</v>
      </c>
      <c r="L128" s="119">
        <v>248702</v>
      </c>
      <c r="M128" s="59">
        <v>2.487020054714441E-4</v>
      </c>
      <c r="N128" s="59">
        <v>0.20505694389533147</v>
      </c>
      <c r="O128" s="121">
        <v>9.0000000000000011E-3</v>
      </c>
      <c r="P128" s="59">
        <v>2.487020054714441E-4</v>
      </c>
      <c r="Q128" s="59">
        <v>0</v>
      </c>
      <c r="R128" s="83">
        <v>0</v>
      </c>
      <c r="S128" s="103"/>
      <c r="T128" s="62"/>
      <c r="U128" s="62"/>
    </row>
    <row r="129" spans="1:21" hidden="1" x14ac:dyDescent="0.3">
      <c r="A129" s="58">
        <v>850</v>
      </c>
      <c r="B129" s="58">
        <v>900</v>
      </c>
      <c r="C129" s="72">
        <v>40075</v>
      </c>
      <c r="D129" s="72">
        <v>3504818215</v>
      </c>
      <c r="E129" s="59">
        <v>1.776611152463161E-2</v>
      </c>
      <c r="F129" s="93">
        <v>874.56474485339993</v>
      </c>
      <c r="G129" s="101"/>
      <c r="H129" s="61" t="str">
        <f t="shared" si="1"/>
        <v>(850, 900]</v>
      </c>
      <c r="I129" s="62">
        <v>0.01</v>
      </c>
      <c r="J129" s="59">
        <v>1.7766111524631612E-4</v>
      </c>
      <c r="K129" s="59">
        <v>2.2187333908151494E-4</v>
      </c>
      <c r="L129" s="84">
        <v>221873</v>
      </c>
      <c r="M129" s="59">
        <v>2.218730048812061E-4</v>
      </c>
      <c r="N129" s="59">
        <v>0.19404230790378918</v>
      </c>
      <c r="O129" s="121">
        <v>9.0000000000000011E-3</v>
      </c>
      <c r="P129" s="59">
        <v>2.218730048812061E-4</v>
      </c>
      <c r="Q129" s="59">
        <v>0</v>
      </c>
      <c r="R129" s="83">
        <v>0</v>
      </c>
      <c r="S129" s="103"/>
      <c r="T129" s="62"/>
      <c r="U129" s="62"/>
    </row>
    <row r="130" spans="1:21" hidden="1" x14ac:dyDescent="0.3">
      <c r="A130" s="58">
        <v>900</v>
      </c>
      <c r="B130" s="58">
        <v>950</v>
      </c>
      <c r="C130" s="72">
        <v>36022</v>
      </c>
      <c r="D130" s="72">
        <v>3330614055</v>
      </c>
      <c r="E130" s="59">
        <v>1.5969329241179785E-2</v>
      </c>
      <c r="F130" s="93">
        <v>924.60553411803892</v>
      </c>
      <c r="G130" s="101"/>
      <c r="H130" s="61" t="str">
        <f t="shared" si="1"/>
        <v>(900, 950]</v>
      </c>
      <c r="I130" s="62">
        <v>0.01</v>
      </c>
      <c r="J130" s="59">
        <v>1.5969329241179785E-4</v>
      </c>
      <c r="K130" s="59">
        <v>1.9943409657877307E-4</v>
      </c>
      <c r="L130" s="84">
        <v>199434</v>
      </c>
      <c r="M130" s="59">
        <v>1.9943400438754809E-4</v>
      </c>
      <c r="N130" s="59">
        <v>0.18439778414804822</v>
      </c>
      <c r="O130" s="121">
        <v>9.0000000000000011E-3</v>
      </c>
      <c r="P130" s="59">
        <v>1.9943400438754809E-4</v>
      </c>
      <c r="Q130" s="59">
        <v>0</v>
      </c>
      <c r="R130" s="83">
        <v>0</v>
      </c>
      <c r="S130" s="103"/>
      <c r="T130" s="62"/>
      <c r="U130" s="62"/>
    </row>
    <row r="131" spans="1:21" hidden="1" x14ac:dyDescent="0.3">
      <c r="A131" s="58">
        <v>950</v>
      </c>
      <c r="B131" s="58">
        <v>1000</v>
      </c>
      <c r="C131" s="72">
        <v>32499</v>
      </c>
      <c r="D131" s="72">
        <v>3167230605</v>
      </c>
      <c r="E131" s="59">
        <v>1.4407507384628889E-2</v>
      </c>
      <c r="F131" s="93">
        <v>974.56248038401191</v>
      </c>
      <c r="G131" s="101"/>
      <c r="H131" s="61" t="str">
        <f t="shared" si="1"/>
        <v>(950, 1000]</v>
      </c>
      <c r="I131" s="62">
        <v>0.01</v>
      </c>
      <c r="J131" s="59">
        <v>1.4407507384628888E-4</v>
      </c>
      <c r="K131" s="59">
        <v>1.7992917396906184E-4</v>
      </c>
      <c r="L131" s="84">
        <v>179929</v>
      </c>
      <c r="M131" s="59">
        <v>1.7992900395843807E-4</v>
      </c>
      <c r="N131" s="59">
        <v>0.1753520563907601</v>
      </c>
      <c r="O131" s="121">
        <v>9.0000000000000011E-3</v>
      </c>
      <c r="P131" s="59">
        <v>1.7992900395843807E-4</v>
      </c>
      <c r="Q131" s="59">
        <v>0</v>
      </c>
      <c r="R131" s="83">
        <v>0</v>
      </c>
      <c r="S131" s="103"/>
      <c r="T131" s="62"/>
      <c r="U131" s="62"/>
    </row>
    <row r="132" spans="1:21" hidden="1" x14ac:dyDescent="0.3">
      <c r="A132" s="58">
        <v>1000</v>
      </c>
      <c r="B132" s="58">
        <v>2000</v>
      </c>
      <c r="C132" s="72">
        <v>266709</v>
      </c>
      <c r="D132" s="72">
        <v>36056287645</v>
      </c>
      <c r="E132" s="59">
        <v>0.11823784999683025</v>
      </c>
      <c r="F132" s="93">
        <v>1351.8961731700092</v>
      </c>
      <c r="G132" s="101"/>
      <c r="H132" s="61" t="str">
        <f t="shared" si="1"/>
        <v>(1000, 2000]</v>
      </c>
      <c r="I132" s="62">
        <v>1E-3</v>
      </c>
      <c r="J132" s="59">
        <v>1.1823784999683025E-4</v>
      </c>
      <c r="K132" s="59">
        <v>1.4766217440571866E-4</v>
      </c>
      <c r="L132" s="84">
        <v>147662</v>
      </c>
      <c r="M132" s="59">
        <v>1.4766200324856408E-4</v>
      </c>
      <c r="N132" s="59">
        <v>0.19962369711435124</v>
      </c>
      <c r="O132" s="121">
        <v>9.0000000000000008E-4</v>
      </c>
      <c r="P132" s="59">
        <v>1.4766200324856408E-4</v>
      </c>
      <c r="Q132" s="59">
        <v>0</v>
      </c>
      <c r="R132" s="83">
        <v>0</v>
      </c>
      <c r="S132" s="103"/>
      <c r="T132" s="62"/>
      <c r="U132" s="62"/>
    </row>
    <row r="133" spans="1:21" hidden="1" x14ac:dyDescent="0.3">
      <c r="A133" s="58">
        <v>2000</v>
      </c>
      <c r="B133" s="58">
        <v>3000</v>
      </c>
      <c r="C133" s="72">
        <v>51638</v>
      </c>
      <c r="D133" s="72">
        <v>12342976850</v>
      </c>
      <c r="E133" s="59">
        <v>2.2892238725113589E-2</v>
      </c>
      <c r="F133" s="93">
        <v>2390.289486424726</v>
      </c>
      <c r="G133" s="101"/>
      <c r="H133" s="61" t="str">
        <f t="shared" si="1"/>
        <v>(2000, 3000]</v>
      </c>
      <c r="I133" s="62">
        <v>1.6500000000000001E-2</v>
      </c>
      <c r="J133" s="59">
        <v>3.7772193896437427E-4</v>
      </c>
      <c r="K133" s="59">
        <v>4.717207123583429E-4</v>
      </c>
      <c r="L133" s="84">
        <v>471720</v>
      </c>
      <c r="M133" s="59">
        <v>4.7172001037784021E-4</v>
      </c>
      <c r="N133" s="59">
        <v>1.127547381342314</v>
      </c>
      <c r="O133" s="121">
        <v>1.485E-2</v>
      </c>
      <c r="P133" s="59">
        <v>4.7172001037784021E-4</v>
      </c>
      <c r="Q133" s="59">
        <v>0</v>
      </c>
      <c r="R133" s="83">
        <v>0</v>
      </c>
      <c r="S133" s="103"/>
      <c r="T133" s="62"/>
      <c r="U133" s="62"/>
    </row>
    <row r="134" spans="1:21" hidden="1" x14ac:dyDescent="0.3">
      <c r="A134" s="58">
        <v>3000</v>
      </c>
      <c r="B134" s="58">
        <v>4000</v>
      </c>
      <c r="C134" s="72">
        <v>15525</v>
      </c>
      <c r="D134" s="72">
        <v>5296872700</v>
      </c>
      <c r="E134" s="59">
        <v>6.8825672219564758E-3</v>
      </c>
      <c r="F134" s="93">
        <v>3411.8342673107891</v>
      </c>
      <c r="G134" s="101"/>
      <c r="H134" s="61" t="str">
        <f t="shared" si="1"/>
        <v>(3000, 4000]</v>
      </c>
      <c r="I134" s="62">
        <v>7.3509189062499983E-3</v>
      </c>
      <c r="J134" s="59">
        <v>5.0593193515416387E-5</v>
      </c>
      <c r="K134" s="59">
        <v>6.318366719976696E-5</v>
      </c>
      <c r="L134" s="84">
        <v>63183</v>
      </c>
      <c r="M134" s="59">
        <v>6.3183001390026028E-5</v>
      </c>
      <c r="N134" s="59">
        <v>0.21556992925403604</v>
      </c>
      <c r="O134" s="121">
        <v>6.615827015624999E-3</v>
      </c>
      <c r="P134" s="59">
        <v>6.3183001390026028E-5</v>
      </c>
      <c r="Q134" s="59">
        <v>0</v>
      </c>
      <c r="R134" s="83">
        <v>0</v>
      </c>
      <c r="T134" s="62"/>
      <c r="U134" s="62"/>
    </row>
    <row r="135" spans="1:21" hidden="1" x14ac:dyDescent="0.3">
      <c r="A135" s="58">
        <v>4000</v>
      </c>
      <c r="B135" s="58">
        <v>5000</v>
      </c>
      <c r="C135" s="72">
        <v>5828</v>
      </c>
      <c r="D135" s="72">
        <v>2578188680</v>
      </c>
      <c r="E135" s="59">
        <v>2.5836780527898448E-3</v>
      </c>
      <c r="F135" s="93">
        <v>4423.796636925189</v>
      </c>
      <c r="G135" s="101">
        <f>1/SUM(M135:M141)</f>
        <v>21846.46257700878</v>
      </c>
      <c r="H135" s="61" t="str">
        <f t="shared" si="1"/>
        <v>(4000, 5000]</v>
      </c>
      <c r="I135" s="62">
        <v>0.01</v>
      </c>
      <c r="J135" s="59">
        <v>2.5836780527898449E-5</v>
      </c>
      <c r="K135" s="59">
        <v>3.2266445918080326E-5</v>
      </c>
      <c r="L135" s="84">
        <v>32266</v>
      </c>
      <c r="M135" s="59">
        <v>3.2266000709852017E-5</v>
      </c>
      <c r="N135" s="59">
        <v>0.14273822542726911</v>
      </c>
      <c r="O135" s="121">
        <v>9.0000000000000011E-3</v>
      </c>
      <c r="P135" s="59">
        <v>3.2266000709852017E-5</v>
      </c>
      <c r="Q135" s="59">
        <v>0</v>
      </c>
      <c r="R135" s="83">
        <v>0</v>
      </c>
      <c r="T135" s="62"/>
      <c r="U135" s="62"/>
    </row>
    <row r="136" spans="1:21" hidden="1" x14ac:dyDescent="0.3">
      <c r="A136" s="58">
        <v>5000</v>
      </c>
      <c r="B136" s="58">
        <v>6000</v>
      </c>
      <c r="C136" s="72">
        <v>2440</v>
      </c>
      <c r="D136" s="72">
        <v>1323523495</v>
      </c>
      <c r="E136" s="59">
        <v>1.081704606864657E-3</v>
      </c>
      <c r="F136" s="93">
        <v>5424.2766188524593</v>
      </c>
      <c r="G136" s="101">
        <f>G135/E79</f>
        <v>9683715.6812982168</v>
      </c>
      <c r="H136" s="61" t="str">
        <f t="shared" si="1"/>
        <v>(5000, 6000]</v>
      </c>
      <c r="I136" s="62">
        <v>0.01</v>
      </c>
      <c r="J136" s="59">
        <v>1.081704606864657E-5</v>
      </c>
      <c r="K136" s="59">
        <v>1.3508944413197663E-5</v>
      </c>
      <c r="L136" s="84">
        <v>13508</v>
      </c>
      <c r="M136" s="59">
        <v>1.3508000297176007E-5</v>
      </c>
      <c r="N136" s="59">
        <v>7.3271130179423882E-2</v>
      </c>
      <c r="O136" s="121">
        <v>9.0000000000000011E-3</v>
      </c>
      <c r="P136" s="59">
        <v>1.3508000297176007E-5</v>
      </c>
      <c r="Q136" s="59">
        <v>0</v>
      </c>
      <c r="R136" s="83">
        <v>0</v>
      </c>
      <c r="T136" s="62"/>
      <c r="U136" s="62"/>
    </row>
    <row r="137" spans="1:21" hidden="1" x14ac:dyDescent="0.3">
      <c r="A137" s="58">
        <v>6000</v>
      </c>
      <c r="B137" s="58">
        <v>7000</v>
      </c>
      <c r="C137" s="72">
        <v>1152</v>
      </c>
      <c r="D137" s="72">
        <v>743579095</v>
      </c>
      <c r="E137" s="59">
        <v>5.1070643733937911E-4</v>
      </c>
      <c r="F137" s="93">
        <v>6454.6796440972221</v>
      </c>
      <c r="G137" s="101"/>
      <c r="H137" s="61" t="str">
        <f t="shared" si="1"/>
        <v>(6000, 7000]</v>
      </c>
      <c r="I137" s="62">
        <v>0</v>
      </c>
      <c r="J137" s="59">
        <v>0</v>
      </c>
      <c r="K137" s="59">
        <v>0</v>
      </c>
      <c r="L137" s="84">
        <v>0</v>
      </c>
      <c r="M137" s="59">
        <v>0</v>
      </c>
      <c r="N137" s="59">
        <v>0</v>
      </c>
      <c r="O137" s="121">
        <v>0</v>
      </c>
      <c r="P137" s="59">
        <v>0</v>
      </c>
      <c r="Q137" s="59">
        <v>0</v>
      </c>
      <c r="R137" s="83">
        <v>0</v>
      </c>
      <c r="T137" s="62"/>
      <c r="U137" s="62"/>
    </row>
    <row r="138" spans="1:21" hidden="1" x14ac:dyDescent="0.3">
      <c r="A138" s="58">
        <v>7000</v>
      </c>
      <c r="B138" s="58">
        <v>8000</v>
      </c>
      <c r="C138" s="72">
        <v>571</v>
      </c>
      <c r="D138" s="72">
        <v>424387235</v>
      </c>
      <c r="E138" s="59">
        <v>2.5313661086873737E-4</v>
      </c>
      <c r="F138" s="93">
        <v>7432.3508756567426</v>
      </c>
      <c r="G138" s="101"/>
      <c r="H138" s="61" t="str">
        <f t="shared" si="1"/>
        <v>(7000, 8000]</v>
      </c>
      <c r="I138" s="62">
        <v>0</v>
      </c>
      <c r="J138" s="59">
        <v>0</v>
      </c>
      <c r="K138" s="59">
        <v>0</v>
      </c>
      <c r="L138" s="84">
        <v>0</v>
      </c>
      <c r="M138" s="59">
        <v>0</v>
      </c>
      <c r="N138" s="59">
        <v>0</v>
      </c>
      <c r="O138" s="121">
        <v>0</v>
      </c>
      <c r="P138" s="59">
        <v>0</v>
      </c>
      <c r="Q138" s="59">
        <v>0</v>
      </c>
      <c r="R138" s="83">
        <v>0</v>
      </c>
      <c r="T138" s="62"/>
      <c r="U138" s="62"/>
    </row>
    <row r="139" spans="1:21" hidden="1" x14ac:dyDescent="0.3">
      <c r="A139" s="58">
        <v>8000</v>
      </c>
      <c r="B139" s="58">
        <v>9000</v>
      </c>
      <c r="C139" s="72">
        <v>315</v>
      </c>
      <c r="D139" s="72">
        <v>267049600</v>
      </c>
      <c r="E139" s="59">
        <v>1.3964629145998646E-4</v>
      </c>
      <c r="F139" s="93">
        <v>8477.7650793650791</v>
      </c>
      <c r="G139" s="101">
        <f>SUM(M134:M148)</f>
        <v>1.0895700239705407E-4</v>
      </c>
      <c r="H139" s="61" t="str">
        <f t="shared" si="1"/>
        <v>(8000, 9000]</v>
      </c>
      <c r="I139" s="62">
        <v>0</v>
      </c>
      <c r="J139" s="59">
        <v>0</v>
      </c>
      <c r="K139" s="59">
        <v>0</v>
      </c>
      <c r="L139" s="84">
        <v>0</v>
      </c>
      <c r="M139" s="59">
        <v>0</v>
      </c>
      <c r="N139" s="59">
        <v>0</v>
      </c>
      <c r="O139" s="121">
        <v>0</v>
      </c>
      <c r="P139" s="59">
        <v>0</v>
      </c>
      <c r="Q139" s="59">
        <v>0</v>
      </c>
      <c r="R139" s="83">
        <v>0</v>
      </c>
      <c r="T139" s="62"/>
      <c r="U139" s="62"/>
    </row>
    <row r="140" spans="1:21" hidden="1" x14ac:dyDescent="0.3">
      <c r="A140" s="58">
        <v>9000</v>
      </c>
      <c r="B140" s="58">
        <v>10000</v>
      </c>
      <c r="C140" s="72">
        <v>164</v>
      </c>
      <c r="D140" s="72">
        <v>154942415</v>
      </c>
      <c r="E140" s="59">
        <v>7.2704735871231043E-5</v>
      </c>
      <c r="F140" s="93">
        <v>9447.7082317073164</v>
      </c>
      <c r="G140" s="101">
        <f>1/G139/E79</f>
        <v>4068232.4366102647</v>
      </c>
      <c r="H140" s="61" t="str">
        <f t="shared" si="1"/>
        <v>(9000, 10000]</v>
      </c>
      <c r="I140" s="62">
        <v>0</v>
      </c>
      <c r="J140" s="59">
        <v>0</v>
      </c>
      <c r="K140" s="59">
        <v>0</v>
      </c>
      <c r="L140" s="84">
        <v>0</v>
      </c>
      <c r="M140" s="59">
        <v>0</v>
      </c>
      <c r="N140" s="59">
        <v>0</v>
      </c>
      <c r="O140" s="121">
        <v>0</v>
      </c>
      <c r="P140" s="59">
        <v>0</v>
      </c>
      <c r="Q140" s="59">
        <v>0</v>
      </c>
      <c r="R140" s="83">
        <v>0</v>
      </c>
      <c r="T140" s="62"/>
      <c r="U140" s="62"/>
    </row>
    <row r="141" spans="1:21" hidden="1" x14ac:dyDescent="0.3">
      <c r="A141" s="58">
        <v>10000</v>
      </c>
      <c r="B141" s="58">
        <v>20000</v>
      </c>
      <c r="C141" s="72">
        <v>263</v>
      </c>
      <c r="D141" s="72">
        <v>322577335</v>
      </c>
      <c r="E141" s="59">
        <v>1.1659357033008393E-4</v>
      </c>
      <c r="F141" s="93">
        <v>12265.297908745248</v>
      </c>
      <c r="G141" s="101"/>
      <c r="H141" s="61" t="str">
        <f t="shared" si="1"/>
        <v>(10000, 20000]</v>
      </c>
      <c r="I141" s="62">
        <v>0</v>
      </c>
      <c r="J141" s="59">
        <v>0</v>
      </c>
      <c r="K141" s="59">
        <v>0</v>
      </c>
      <c r="L141" s="84">
        <v>0</v>
      </c>
      <c r="M141" s="59">
        <v>0</v>
      </c>
      <c r="N141" s="59">
        <v>0</v>
      </c>
      <c r="O141" s="121">
        <v>0</v>
      </c>
      <c r="P141" s="59">
        <v>0</v>
      </c>
      <c r="Q141" s="59">
        <v>0</v>
      </c>
      <c r="R141" s="83">
        <v>0</v>
      </c>
      <c r="T141" s="62"/>
      <c r="U141" s="62"/>
    </row>
    <row r="142" spans="1:21" hidden="1" x14ac:dyDescent="0.3">
      <c r="A142" s="58">
        <v>20000</v>
      </c>
      <c r="B142" s="58">
        <v>30000</v>
      </c>
      <c r="C142" s="72">
        <v>5</v>
      </c>
      <c r="D142" s="72">
        <v>11270920</v>
      </c>
      <c r="E142" s="59">
        <v>2.2166078009521658E-6</v>
      </c>
      <c r="F142" s="93">
        <v>22541.84</v>
      </c>
      <c r="G142" s="101"/>
      <c r="H142" s="61" t="str">
        <f t="shared" si="1"/>
        <v>(20000, 30000]</v>
      </c>
      <c r="I142" s="62">
        <v>0</v>
      </c>
      <c r="J142" s="59">
        <v>0</v>
      </c>
      <c r="K142" s="59">
        <v>0</v>
      </c>
      <c r="L142" s="84">
        <v>0</v>
      </c>
      <c r="M142" s="59">
        <v>0</v>
      </c>
      <c r="N142" s="59">
        <v>0</v>
      </c>
      <c r="O142" s="121">
        <v>0</v>
      </c>
      <c r="P142" s="59">
        <v>0</v>
      </c>
      <c r="Q142" s="59">
        <v>0</v>
      </c>
      <c r="R142" s="83">
        <v>0</v>
      </c>
      <c r="T142" s="62"/>
      <c r="U142" s="62"/>
    </row>
    <row r="143" spans="1:21" hidden="1" x14ac:dyDescent="0.3">
      <c r="A143" s="58">
        <v>30000</v>
      </c>
      <c r="B143" s="58">
        <v>40000</v>
      </c>
      <c r="C143" s="72">
        <v>0</v>
      </c>
      <c r="D143" s="72">
        <v>0</v>
      </c>
      <c r="E143" s="59">
        <v>0</v>
      </c>
      <c r="F143" s="93">
        <v>0</v>
      </c>
      <c r="G143" s="101"/>
      <c r="H143" s="61" t="str">
        <f t="shared" si="1"/>
        <v>(30000, 40000]</v>
      </c>
      <c r="I143" s="62">
        <v>0</v>
      </c>
      <c r="J143" s="59">
        <v>0</v>
      </c>
      <c r="K143" s="59">
        <v>0</v>
      </c>
      <c r="L143" s="84">
        <v>0</v>
      </c>
      <c r="M143" s="59">
        <v>0</v>
      </c>
      <c r="N143" s="59">
        <v>0</v>
      </c>
      <c r="O143" s="121">
        <v>0</v>
      </c>
      <c r="P143" s="59">
        <v>0</v>
      </c>
      <c r="Q143" s="59">
        <v>0</v>
      </c>
      <c r="R143" s="83">
        <v>0</v>
      </c>
      <c r="T143" s="62"/>
      <c r="U143" s="62"/>
    </row>
    <row r="144" spans="1:21" hidden="1" x14ac:dyDescent="0.3">
      <c r="A144" s="58">
        <v>40000</v>
      </c>
      <c r="B144" s="58">
        <v>50000</v>
      </c>
      <c r="C144" s="72">
        <v>0</v>
      </c>
      <c r="D144" s="72">
        <v>0</v>
      </c>
      <c r="E144" s="59">
        <v>0</v>
      </c>
      <c r="F144" s="93">
        <v>0</v>
      </c>
      <c r="G144" s="121"/>
      <c r="H144" s="61" t="str">
        <f t="shared" si="1"/>
        <v>(40000, 50000]</v>
      </c>
      <c r="I144" s="62">
        <v>0</v>
      </c>
      <c r="J144" s="59">
        <v>0</v>
      </c>
      <c r="K144" s="59">
        <v>0</v>
      </c>
      <c r="L144" s="84">
        <v>0</v>
      </c>
      <c r="M144" s="59">
        <v>0</v>
      </c>
      <c r="N144" s="59">
        <v>0</v>
      </c>
      <c r="O144" s="121">
        <v>0</v>
      </c>
      <c r="P144" s="59">
        <v>0</v>
      </c>
      <c r="Q144" s="59">
        <v>0</v>
      </c>
      <c r="R144" s="83">
        <v>0</v>
      </c>
      <c r="T144" s="62"/>
      <c r="U144" s="62"/>
    </row>
    <row r="145" spans="1:21" hidden="1" x14ac:dyDescent="0.3">
      <c r="A145" s="58">
        <v>50000</v>
      </c>
      <c r="B145" s="58">
        <v>60000</v>
      </c>
      <c r="C145" s="72">
        <v>0</v>
      </c>
      <c r="D145" s="72">
        <v>0</v>
      </c>
      <c r="E145" s="59">
        <v>0</v>
      </c>
      <c r="F145" s="93">
        <v>0</v>
      </c>
      <c r="G145" s="101"/>
      <c r="H145" s="61" t="str">
        <f t="shared" si="1"/>
        <v>(50000, 60000]</v>
      </c>
      <c r="I145" s="62">
        <v>0</v>
      </c>
      <c r="J145" s="59">
        <v>0</v>
      </c>
      <c r="K145" s="59">
        <v>0</v>
      </c>
      <c r="L145" s="84">
        <v>0</v>
      </c>
      <c r="M145" s="59">
        <v>0</v>
      </c>
      <c r="N145" s="59">
        <v>0</v>
      </c>
      <c r="O145" s="121">
        <v>0</v>
      </c>
      <c r="P145" s="59">
        <v>0</v>
      </c>
      <c r="Q145" s="59">
        <v>0</v>
      </c>
      <c r="R145" s="83">
        <v>0</v>
      </c>
      <c r="T145" s="62"/>
      <c r="U145" s="62"/>
    </row>
    <row r="146" spans="1:21" hidden="1" x14ac:dyDescent="0.3">
      <c r="A146" s="58">
        <v>60000</v>
      </c>
      <c r="B146" s="58">
        <v>70000</v>
      </c>
      <c r="C146" s="72">
        <v>0</v>
      </c>
      <c r="D146" s="72">
        <v>0</v>
      </c>
      <c r="E146" s="59">
        <v>0</v>
      </c>
      <c r="F146" s="93">
        <v>0</v>
      </c>
      <c r="G146" s="101"/>
      <c r="H146" s="61" t="str">
        <f t="shared" si="1"/>
        <v>(60000, 70000]</v>
      </c>
      <c r="I146" s="62">
        <v>0</v>
      </c>
      <c r="J146" s="59">
        <v>0</v>
      </c>
      <c r="K146" s="59">
        <v>0</v>
      </c>
      <c r="L146" s="84">
        <v>0</v>
      </c>
      <c r="M146" s="59">
        <v>0</v>
      </c>
      <c r="N146" s="59">
        <v>0</v>
      </c>
      <c r="O146" s="121">
        <v>0</v>
      </c>
      <c r="P146" s="59">
        <v>0</v>
      </c>
      <c r="Q146" s="59">
        <v>0</v>
      </c>
      <c r="R146" s="83">
        <v>0</v>
      </c>
      <c r="T146" s="62"/>
      <c r="U146" s="62"/>
    </row>
    <row r="147" spans="1:21" hidden="1" x14ac:dyDescent="0.3">
      <c r="A147" s="58">
        <v>70000</v>
      </c>
      <c r="B147" s="58">
        <v>80000</v>
      </c>
      <c r="C147" s="72">
        <v>0</v>
      </c>
      <c r="D147" s="72">
        <v>0</v>
      </c>
      <c r="E147" s="59">
        <v>0</v>
      </c>
      <c r="F147" s="93">
        <v>0</v>
      </c>
      <c r="G147" s="101"/>
      <c r="H147" s="61" t="str">
        <f t="shared" si="1"/>
        <v>(70000, 80000]</v>
      </c>
      <c r="I147" s="62">
        <v>0</v>
      </c>
      <c r="J147" s="59">
        <v>0</v>
      </c>
      <c r="K147" s="59">
        <v>0</v>
      </c>
      <c r="L147" s="84">
        <v>0</v>
      </c>
      <c r="M147" s="59">
        <v>0</v>
      </c>
      <c r="N147" s="59">
        <v>0</v>
      </c>
      <c r="O147" s="121">
        <v>0</v>
      </c>
      <c r="P147" s="59">
        <v>0</v>
      </c>
      <c r="Q147" s="59">
        <v>0</v>
      </c>
      <c r="R147" s="83">
        <v>0</v>
      </c>
      <c r="T147" s="62"/>
      <c r="U147" s="62"/>
    </row>
    <row r="148" spans="1:21" hidden="1" x14ac:dyDescent="0.3">
      <c r="A148" s="58">
        <v>80000</v>
      </c>
      <c r="B148" s="58">
        <v>90000</v>
      </c>
      <c r="C148" s="72">
        <v>0</v>
      </c>
      <c r="D148" s="72">
        <v>0</v>
      </c>
      <c r="E148" s="59">
        <v>0</v>
      </c>
      <c r="F148" s="93">
        <v>0</v>
      </c>
      <c r="G148" s="101"/>
      <c r="H148" s="61" t="str">
        <f t="shared" si="1"/>
        <v>(80000, 90000]</v>
      </c>
      <c r="I148" s="62">
        <v>0</v>
      </c>
      <c r="J148" s="59">
        <v>0</v>
      </c>
      <c r="K148" s="59">
        <v>0</v>
      </c>
      <c r="L148" s="84">
        <v>0</v>
      </c>
      <c r="M148" s="59">
        <v>0</v>
      </c>
      <c r="N148" s="59">
        <v>0</v>
      </c>
      <c r="O148" s="121">
        <v>0</v>
      </c>
      <c r="P148" s="59">
        <v>0</v>
      </c>
      <c r="Q148" s="59">
        <v>0</v>
      </c>
      <c r="R148" s="83">
        <v>0</v>
      </c>
      <c r="T148" s="62"/>
      <c r="U148" s="62"/>
    </row>
    <row r="149" spans="1:21" hidden="1" x14ac:dyDescent="0.3">
      <c r="A149" s="58">
        <v>90000</v>
      </c>
      <c r="B149" s="58">
        <v>100000</v>
      </c>
      <c r="C149" s="72">
        <v>0</v>
      </c>
      <c r="D149" s="72">
        <v>0</v>
      </c>
      <c r="E149" s="59">
        <v>0</v>
      </c>
      <c r="F149" s="93">
        <v>0</v>
      </c>
      <c r="G149" s="101"/>
      <c r="H149" s="61" t="str">
        <f t="shared" si="1"/>
        <v>(90000, 100000]</v>
      </c>
      <c r="I149" s="62">
        <v>0</v>
      </c>
      <c r="J149" s="59">
        <v>0</v>
      </c>
      <c r="K149" s="59">
        <v>0</v>
      </c>
      <c r="L149" s="84">
        <v>0</v>
      </c>
      <c r="M149" s="59">
        <v>0</v>
      </c>
      <c r="N149" s="59">
        <v>0</v>
      </c>
      <c r="O149" s="121">
        <v>0</v>
      </c>
      <c r="P149" s="59">
        <v>0</v>
      </c>
      <c r="Q149" s="59">
        <v>0</v>
      </c>
      <c r="R149" s="83">
        <v>0</v>
      </c>
      <c r="T149" s="62"/>
      <c r="U149" s="62"/>
    </row>
    <row r="150" spans="1:21" hidden="1" x14ac:dyDescent="0.3">
      <c r="A150" s="58">
        <v>100000</v>
      </c>
      <c r="B150" s="58">
        <v>9999999</v>
      </c>
      <c r="C150" s="72">
        <v>0</v>
      </c>
      <c r="D150" s="72">
        <v>0</v>
      </c>
      <c r="E150" s="59">
        <v>0</v>
      </c>
      <c r="F150" s="93">
        <v>0</v>
      </c>
      <c r="G150" s="101"/>
      <c r="H150" s="61" t="str">
        <f t="shared" si="1"/>
        <v>(100000, 9999999]</v>
      </c>
      <c r="I150" s="62">
        <v>0</v>
      </c>
      <c r="J150" s="59">
        <v>0</v>
      </c>
      <c r="K150" s="59">
        <v>0</v>
      </c>
      <c r="L150" s="84">
        <v>0</v>
      </c>
      <c r="M150" s="59">
        <v>0</v>
      </c>
      <c r="N150" s="59">
        <v>0</v>
      </c>
      <c r="O150" s="121">
        <v>0</v>
      </c>
      <c r="P150" s="59">
        <v>0</v>
      </c>
      <c r="Q150" s="59">
        <v>0</v>
      </c>
      <c r="R150" s="83">
        <v>0</v>
      </c>
      <c r="T150" s="62"/>
      <c r="U150" s="62"/>
    </row>
    <row r="151" spans="1:21" hidden="1" x14ac:dyDescent="0.3"/>
    <row r="152" spans="1:21" hidden="1" x14ac:dyDescent="0.3"/>
    <row r="153" spans="1:21" s="191" customFormat="1" x14ac:dyDescent="0.3">
      <c r="A153" s="208" t="s">
        <v>55</v>
      </c>
      <c r="B153" s="208"/>
      <c r="C153" s="208"/>
      <c r="D153" s="208"/>
      <c r="E153" s="186"/>
      <c r="F153" s="186"/>
      <c r="G153" s="187"/>
      <c r="H153" s="188"/>
      <c r="I153" s="189"/>
      <c r="J153" s="190"/>
      <c r="K153" s="190"/>
      <c r="L153" s="190"/>
      <c r="M153" s="190"/>
      <c r="N153" s="190"/>
      <c r="O153" s="187"/>
      <c r="T153" s="189"/>
      <c r="U153" s="189"/>
    </row>
    <row r="154" spans="1:21" x14ac:dyDescent="0.3">
      <c r="A154" s="52"/>
      <c r="B154" s="52"/>
      <c r="C154" s="1"/>
      <c r="D154" s="1"/>
      <c r="E154" s="1"/>
      <c r="F154" s="1"/>
      <c r="H154" s="13"/>
      <c r="I154" s="52"/>
      <c r="J154" s="52"/>
      <c r="K154" s="52"/>
      <c r="L154" s="52"/>
      <c r="M154" s="52"/>
      <c r="N154" s="52"/>
      <c r="T154" s="52"/>
      <c r="U154" s="52"/>
    </row>
    <row r="155" spans="1:21" x14ac:dyDescent="0.3">
      <c r="A155" s="70" t="s">
        <v>75</v>
      </c>
      <c r="B155" s="68">
        <v>10000000</v>
      </c>
      <c r="C155" s="1"/>
      <c r="D155" s="1"/>
      <c r="E155" s="1"/>
      <c r="F155" s="1"/>
      <c r="H155" s="70" t="s">
        <v>76</v>
      </c>
      <c r="I155" s="52"/>
      <c r="J155" s="52"/>
      <c r="K155" s="52"/>
      <c r="M155" s="52"/>
      <c r="N155" s="52"/>
      <c r="P155" s="24" t="s">
        <v>81</v>
      </c>
      <c r="T155" s="52"/>
      <c r="U155" s="52"/>
    </row>
    <row r="156" spans="1:21" x14ac:dyDescent="0.3">
      <c r="A156" s="20" t="s">
        <v>58</v>
      </c>
      <c r="B156" s="20" t="s">
        <v>59</v>
      </c>
      <c r="C156" s="20" t="s">
        <v>71</v>
      </c>
      <c r="D156" s="20" t="s">
        <v>72</v>
      </c>
      <c r="E156" s="20" t="s">
        <v>73</v>
      </c>
      <c r="F156" s="20" t="s">
        <v>85</v>
      </c>
      <c r="H156" s="20" t="s">
        <v>61</v>
      </c>
      <c r="I156" s="20" t="s">
        <v>63</v>
      </c>
      <c r="J156" s="20" t="s">
        <v>64</v>
      </c>
      <c r="K156" s="20" t="s">
        <v>65</v>
      </c>
      <c r="L156" s="20" t="s">
        <v>66</v>
      </c>
      <c r="M156" s="20" t="s">
        <v>67</v>
      </c>
      <c r="N156" s="20" t="s">
        <v>60</v>
      </c>
      <c r="O156" s="51">
        <v>0.95</v>
      </c>
      <c r="P156" s="86" t="s">
        <v>84</v>
      </c>
      <c r="Q156" s="86" t="s">
        <v>253</v>
      </c>
      <c r="R156" s="86" t="s">
        <v>80</v>
      </c>
      <c r="T156" s="20" t="s">
        <v>326</v>
      </c>
      <c r="U156" s="20" t="s">
        <v>327</v>
      </c>
    </row>
    <row r="157" spans="1:21" x14ac:dyDescent="0.3">
      <c r="A157" s="64">
        <v>-1</v>
      </c>
      <c r="B157" s="64">
        <v>0</v>
      </c>
      <c r="C157" s="96" cm="1">
        <f t="array" ref="C157:D220">C87:D150</f>
        <v>0</v>
      </c>
      <c r="D157" s="96">
        <v>0</v>
      </c>
      <c r="E157" s="59" cm="1">
        <f t="array" ref="E157:E220">_xlfn.LET(_xlpm.x, C157:C220, _xlpm.x/SUM(_xlpm.x))</f>
        <v>0</v>
      </c>
      <c r="F157" s="92" cm="1">
        <f t="array" ref="F157:F220">_xlfn.LET(_xlpm.x, D157:D220/C157:C220/B3, IF(ISERR(_xlpm.x), 0, _xlpm.x))</f>
        <v>0</v>
      </c>
      <c r="H157" s="61" t="str">
        <f>"("&amp;$A157&amp;", "&amp;$B157&amp;"]"</f>
        <v>(-1, 0]</v>
      </c>
      <c r="I157" s="62">
        <v>0</v>
      </c>
      <c r="J157" s="59" cm="1">
        <f t="array" ref="J157:J220">_xlfn.ANCHORARRAY(E157)*I157:I220</f>
        <v>0</v>
      </c>
      <c r="K157" s="59" cm="1">
        <f t="array" ref="K157:K220">J157:J220/SUM(_xlfn.ANCHORARRAY(J157))</f>
        <v>0</v>
      </c>
      <c r="L157" s="119" cm="1">
        <f t="array" ref="L157:L220">INT(_xlfn.ANCHORARRAY(K157)*$B$2)</f>
        <v>0</v>
      </c>
      <c r="M157" s="59" cm="1">
        <f t="array" ref="M157:M220">_xlfn.LET(_xlpm.x, L157:L220, _xlpm.x/SUM(_xlpm.x))</f>
        <v>0</v>
      </c>
      <c r="N157" s="60" cm="1">
        <f t="array" ref="N157:N220">M157:M220*_xlfn.ANCHORARRAY(F157)</f>
        <v>0</v>
      </c>
      <c r="O157" s="121" cm="1">
        <f t="array" ref="O157:O220">I157:I220*O156</f>
        <v>0</v>
      </c>
      <c r="P157" s="59" cm="1">
        <f t="array" ref="P157:P220">_xlfn.ANCHORARRAY(M157)</f>
        <v>0</v>
      </c>
      <c r="Q157" s="59">
        <v>0</v>
      </c>
      <c r="R157" s="83" cm="1">
        <f t="array" ref="R157:R220">_xlfn.LET(_xlpm.x, Q157:Q220/M157:M220, IF(ISERR(_xlpm.x), 0, ROUND(_xlpm.x,2)))</f>
        <v>0</v>
      </c>
      <c r="T157" s="62"/>
      <c r="U157" s="62"/>
    </row>
    <row r="158" spans="1:21" x14ac:dyDescent="0.3">
      <c r="A158" s="58">
        <v>0</v>
      </c>
      <c r="B158" s="58">
        <v>1</v>
      </c>
      <c r="C158" s="94">
        <v>1569</v>
      </c>
      <c r="D158" s="94">
        <v>93610</v>
      </c>
      <c r="E158" s="59">
        <v>6.9557152793878966E-4</v>
      </c>
      <c r="F158" s="93">
        <v>0.59662205226258758</v>
      </c>
      <c r="H158" s="61" t="str">
        <f t="shared" ref="H158:H220" si="2">"("&amp;$A158&amp;", "&amp;$B158&amp;"]"</f>
        <v>(0, 1]</v>
      </c>
      <c r="I158" s="62">
        <v>0</v>
      </c>
      <c r="J158" s="59">
        <v>0</v>
      </c>
      <c r="K158" s="59">
        <v>0</v>
      </c>
      <c r="L158" s="119">
        <v>0</v>
      </c>
      <c r="M158" s="59">
        <v>0</v>
      </c>
      <c r="N158" s="59">
        <v>0</v>
      </c>
      <c r="O158" s="121">
        <v>0</v>
      </c>
      <c r="P158" s="59">
        <v>0</v>
      </c>
      <c r="Q158" s="59">
        <v>0</v>
      </c>
      <c r="R158" s="83">
        <v>0</v>
      </c>
      <c r="T158" s="62"/>
      <c r="U158" s="62"/>
    </row>
    <row r="159" spans="1:21" x14ac:dyDescent="0.3">
      <c r="A159" s="58">
        <v>1</v>
      </c>
      <c r="B159" s="58">
        <v>2</v>
      </c>
      <c r="C159" s="94">
        <v>1451</v>
      </c>
      <c r="D159" s="94">
        <v>227480</v>
      </c>
      <c r="E159" s="59">
        <v>6.4325958383631857E-4</v>
      </c>
      <c r="F159" s="93">
        <v>1.5677463818056512</v>
      </c>
      <c r="H159" s="61" t="str">
        <f t="shared" si="2"/>
        <v>(1, 2]</v>
      </c>
      <c r="I159" s="62">
        <v>0</v>
      </c>
      <c r="J159" s="59">
        <v>0</v>
      </c>
      <c r="K159" s="59">
        <v>0</v>
      </c>
      <c r="L159" s="119">
        <v>0</v>
      </c>
      <c r="M159" s="59">
        <v>0</v>
      </c>
      <c r="N159" s="59">
        <v>0</v>
      </c>
      <c r="O159" s="121">
        <v>0</v>
      </c>
      <c r="P159" s="59">
        <v>0</v>
      </c>
      <c r="Q159" s="59">
        <v>0</v>
      </c>
      <c r="R159" s="83">
        <v>0</v>
      </c>
      <c r="T159" s="62"/>
      <c r="U159" s="62"/>
    </row>
    <row r="160" spans="1:21" ht="16.2" customHeight="1" x14ac:dyDescent="0.3">
      <c r="A160" s="58">
        <v>2</v>
      </c>
      <c r="B160" s="58">
        <v>3</v>
      </c>
      <c r="C160" s="94">
        <v>1515</v>
      </c>
      <c r="D160" s="94">
        <v>392500</v>
      </c>
      <c r="E160" s="59">
        <v>6.7163216368850635E-4</v>
      </c>
      <c r="F160" s="93">
        <v>2.5907590759075907</v>
      </c>
      <c r="H160" s="61" t="str">
        <f t="shared" si="2"/>
        <v>(2, 3]</v>
      </c>
      <c r="I160" s="62">
        <v>0</v>
      </c>
      <c r="J160" s="59">
        <v>0</v>
      </c>
      <c r="K160" s="59">
        <v>0</v>
      </c>
      <c r="L160" s="119">
        <v>0</v>
      </c>
      <c r="M160" s="59">
        <v>0</v>
      </c>
      <c r="N160" s="59">
        <v>0</v>
      </c>
      <c r="O160" s="121">
        <v>0</v>
      </c>
      <c r="P160" s="59">
        <v>0</v>
      </c>
      <c r="Q160" s="59">
        <v>0</v>
      </c>
      <c r="R160" s="83">
        <v>0</v>
      </c>
      <c r="T160" s="62"/>
      <c r="U160" s="62"/>
    </row>
    <row r="161" spans="1:21" x14ac:dyDescent="0.3">
      <c r="A161" s="58">
        <v>3</v>
      </c>
      <c r="B161" s="58">
        <v>4</v>
      </c>
      <c r="C161" s="94">
        <v>1475</v>
      </c>
      <c r="D161" s="94">
        <v>531360</v>
      </c>
      <c r="E161" s="59">
        <v>6.5389930128088901E-4</v>
      </c>
      <c r="F161" s="93">
        <v>3.602440677966102</v>
      </c>
      <c r="H161" s="61" t="str">
        <f t="shared" si="2"/>
        <v>(3, 4]</v>
      </c>
      <c r="I161" s="62">
        <v>0</v>
      </c>
      <c r="J161" s="59">
        <v>0</v>
      </c>
      <c r="K161" s="59">
        <v>0</v>
      </c>
      <c r="L161" s="119">
        <v>0</v>
      </c>
      <c r="M161" s="59">
        <v>0</v>
      </c>
      <c r="N161" s="59">
        <v>0</v>
      </c>
      <c r="O161" s="121">
        <v>0</v>
      </c>
      <c r="P161" s="59">
        <v>0</v>
      </c>
      <c r="Q161" s="59">
        <v>3.614457831325301E-2</v>
      </c>
      <c r="R161" s="83">
        <v>0</v>
      </c>
      <c r="T161" s="62"/>
      <c r="U161" s="62"/>
    </row>
    <row r="162" spans="1:21" x14ac:dyDescent="0.3">
      <c r="A162" s="58">
        <v>4</v>
      </c>
      <c r="B162" s="58">
        <v>5</v>
      </c>
      <c r="C162" s="94">
        <v>1501</v>
      </c>
      <c r="D162" s="94">
        <v>685345</v>
      </c>
      <c r="E162" s="59">
        <v>6.6542566184584026E-4</v>
      </c>
      <c r="F162" s="93">
        <v>4.565922718187875</v>
      </c>
      <c r="H162" s="61" t="str">
        <f t="shared" si="2"/>
        <v>(4, 5]</v>
      </c>
      <c r="I162" s="62">
        <v>0</v>
      </c>
      <c r="J162" s="59">
        <v>0</v>
      </c>
      <c r="K162" s="59">
        <v>0</v>
      </c>
      <c r="L162" s="119">
        <v>0</v>
      </c>
      <c r="M162" s="59">
        <v>0</v>
      </c>
      <c r="N162" s="59">
        <v>0</v>
      </c>
      <c r="O162" s="121">
        <v>0</v>
      </c>
      <c r="P162" s="59">
        <v>0</v>
      </c>
      <c r="Q162" s="59">
        <v>0</v>
      </c>
      <c r="R162" s="83">
        <v>0</v>
      </c>
      <c r="T162" s="62"/>
      <c r="U162" s="62"/>
    </row>
    <row r="163" spans="1:21" x14ac:dyDescent="0.3">
      <c r="A163" s="58">
        <v>5</v>
      </c>
      <c r="B163" s="58">
        <v>6</v>
      </c>
      <c r="C163" s="94">
        <v>1569</v>
      </c>
      <c r="D163" s="94">
        <v>876000</v>
      </c>
      <c r="E163" s="59">
        <v>6.9557152793878966E-4</v>
      </c>
      <c r="F163" s="93">
        <v>5.5831739961759084</v>
      </c>
      <c r="H163" s="61" t="str">
        <f t="shared" si="2"/>
        <v>(5, 6]</v>
      </c>
      <c r="I163" s="62">
        <v>0</v>
      </c>
      <c r="J163" s="59">
        <v>0</v>
      </c>
      <c r="K163" s="59">
        <v>0</v>
      </c>
      <c r="L163" s="119">
        <v>0</v>
      </c>
      <c r="M163" s="59">
        <v>0</v>
      </c>
      <c r="N163" s="59">
        <v>0</v>
      </c>
      <c r="O163" s="121">
        <v>0</v>
      </c>
      <c r="P163" s="59">
        <v>0</v>
      </c>
      <c r="Q163" s="59">
        <v>0</v>
      </c>
      <c r="R163" s="83">
        <v>0</v>
      </c>
      <c r="T163" s="62"/>
      <c r="U163" s="62"/>
    </row>
    <row r="164" spans="1:21" x14ac:dyDescent="0.3">
      <c r="A164" s="58">
        <v>6</v>
      </c>
      <c r="B164" s="58">
        <v>7</v>
      </c>
      <c r="C164" s="94">
        <v>1661</v>
      </c>
      <c r="D164" s="94">
        <v>1089245</v>
      </c>
      <c r="E164" s="59">
        <v>7.3635711147630961E-4</v>
      </c>
      <c r="F164" s="93">
        <v>6.5577664057796508</v>
      </c>
      <c r="H164" s="61" t="str">
        <f t="shared" si="2"/>
        <v>(6, 7]</v>
      </c>
      <c r="I164" s="62">
        <v>0</v>
      </c>
      <c r="J164" s="59">
        <v>0</v>
      </c>
      <c r="K164" s="59">
        <v>0</v>
      </c>
      <c r="L164" s="119">
        <v>0</v>
      </c>
      <c r="M164" s="59">
        <v>0</v>
      </c>
      <c r="N164" s="59">
        <v>0</v>
      </c>
      <c r="O164" s="121">
        <v>0</v>
      </c>
      <c r="P164" s="59">
        <v>0</v>
      </c>
      <c r="Q164" s="59">
        <v>1.2048192771084338E-2</v>
      </c>
      <c r="R164" s="83">
        <v>0</v>
      </c>
      <c r="T164" s="62"/>
      <c r="U164" s="62"/>
    </row>
    <row r="165" spans="1:21" x14ac:dyDescent="0.3">
      <c r="A165" s="58">
        <v>7</v>
      </c>
      <c r="B165" s="58">
        <v>8</v>
      </c>
      <c r="C165" s="94">
        <v>1679</v>
      </c>
      <c r="D165" s="94">
        <v>1266615</v>
      </c>
      <c r="E165" s="59">
        <v>7.4433689955973731E-4</v>
      </c>
      <c r="F165" s="93">
        <v>7.5438653960690889</v>
      </c>
      <c r="H165" s="61" t="str">
        <f t="shared" si="2"/>
        <v>(7, 8]</v>
      </c>
      <c r="I165" s="62">
        <v>0</v>
      </c>
      <c r="J165" s="59">
        <v>0</v>
      </c>
      <c r="K165" s="59">
        <v>0</v>
      </c>
      <c r="L165" s="119">
        <v>0</v>
      </c>
      <c r="M165" s="59">
        <v>0</v>
      </c>
      <c r="N165" s="59">
        <v>0</v>
      </c>
      <c r="O165" s="121">
        <v>0</v>
      </c>
      <c r="P165" s="59">
        <v>0</v>
      </c>
      <c r="Q165" s="59">
        <v>3.614457831325301E-2</v>
      </c>
      <c r="R165" s="83">
        <v>0</v>
      </c>
      <c r="T165" s="62"/>
      <c r="U165" s="62"/>
    </row>
    <row r="166" spans="1:21" x14ac:dyDescent="0.3">
      <c r="A166" s="58">
        <v>8</v>
      </c>
      <c r="B166" s="58">
        <v>9</v>
      </c>
      <c r="C166" s="94">
        <v>1731</v>
      </c>
      <c r="D166" s="94">
        <v>1482575</v>
      </c>
      <c r="E166" s="59">
        <v>7.6738962068963992E-4</v>
      </c>
      <c r="F166" s="93">
        <v>8.5648469093009822</v>
      </c>
      <c r="H166" s="61" t="str">
        <f t="shared" si="2"/>
        <v>(8, 9]</v>
      </c>
      <c r="I166" s="62">
        <v>0</v>
      </c>
      <c r="J166" s="59">
        <v>0</v>
      </c>
      <c r="K166" s="59">
        <v>0</v>
      </c>
      <c r="L166" s="119">
        <v>0</v>
      </c>
      <c r="M166" s="59">
        <v>0</v>
      </c>
      <c r="N166" s="59">
        <v>0</v>
      </c>
      <c r="O166" s="121">
        <v>0</v>
      </c>
      <c r="P166" s="59">
        <v>0</v>
      </c>
      <c r="Q166" s="59">
        <v>2.4096385542168676E-2</v>
      </c>
      <c r="R166" s="83">
        <v>0</v>
      </c>
      <c r="T166" s="62"/>
      <c r="U166" s="62"/>
    </row>
    <row r="167" spans="1:21" x14ac:dyDescent="0.3">
      <c r="A167" s="58">
        <v>9</v>
      </c>
      <c r="B167" s="58">
        <v>10</v>
      </c>
      <c r="C167" s="94">
        <v>1671</v>
      </c>
      <c r="D167" s="94">
        <v>1596910</v>
      </c>
      <c r="E167" s="59">
        <v>7.4079032707821387E-4</v>
      </c>
      <c r="F167" s="93">
        <v>9.5566128067025744</v>
      </c>
      <c r="H167" s="61" t="str">
        <f t="shared" si="2"/>
        <v>(9, 10]</v>
      </c>
      <c r="I167" s="62">
        <v>0</v>
      </c>
      <c r="J167" s="59">
        <v>0</v>
      </c>
      <c r="K167" s="59">
        <v>0</v>
      </c>
      <c r="L167" s="119">
        <v>0</v>
      </c>
      <c r="M167" s="59">
        <v>0</v>
      </c>
      <c r="N167" s="59">
        <v>0</v>
      </c>
      <c r="O167" s="121">
        <v>0</v>
      </c>
      <c r="P167" s="59">
        <v>0</v>
      </c>
      <c r="Q167" s="59">
        <v>1.2048192771084338E-2</v>
      </c>
      <c r="R167" s="83">
        <v>0</v>
      </c>
      <c r="T167" s="62"/>
      <c r="U167" s="62"/>
    </row>
    <row r="168" spans="1:21" x14ac:dyDescent="0.3">
      <c r="A168" s="58">
        <v>10</v>
      </c>
      <c r="B168" s="58">
        <v>15</v>
      </c>
      <c r="C168" s="94">
        <v>8825</v>
      </c>
      <c r="D168" s="94">
        <v>11116765</v>
      </c>
      <c r="E168" s="59">
        <v>3.9123127686805734E-3</v>
      </c>
      <c r="F168" s="93">
        <v>12.596900849858358</v>
      </c>
      <c r="H168" s="61" t="str">
        <f t="shared" si="2"/>
        <v>(10, 15]</v>
      </c>
      <c r="I168" s="62">
        <v>26.86623500000001</v>
      </c>
      <c r="J168" s="59">
        <v>0.10510911423687297</v>
      </c>
      <c r="K168" s="59">
        <v>0.11756192739944654</v>
      </c>
      <c r="L168" s="119">
        <v>117561927</v>
      </c>
      <c r="M168" s="59">
        <v>0.11756192923367666</v>
      </c>
      <c r="N168" s="59">
        <v>1.4809159662746896</v>
      </c>
      <c r="O168" s="121">
        <v>25.522923250000009</v>
      </c>
      <c r="P168" s="59">
        <v>0.11756192923367666</v>
      </c>
      <c r="Q168" s="59">
        <v>7.2289156626506021E-2</v>
      </c>
      <c r="R168" s="83">
        <v>0.61</v>
      </c>
      <c r="S168" s="104"/>
      <c r="T168" s="62"/>
      <c r="U168" s="62"/>
    </row>
    <row r="169" spans="1:21" x14ac:dyDescent="0.3">
      <c r="A169" s="58">
        <v>15</v>
      </c>
      <c r="B169" s="58">
        <v>20</v>
      </c>
      <c r="C169" s="94">
        <v>9436</v>
      </c>
      <c r="D169" s="94">
        <v>16588125</v>
      </c>
      <c r="E169" s="59">
        <v>4.1831822419569282E-3</v>
      </c>
      <c r="F169" s="93">
        <v>17.579615303094531</v>
      </c>
      <c r="H169" s="115" t="str">
        <f t="shared" si="2"/>
        <v>(15, 20]</v>
      </c>
      <c r="I169" s="62">
        <v>25.123956000000007</v>
      </c>
      <c r="J169" s="59">
        <v>0.10509808658690725</v>
      </c>
      <c r="K169" s="59">
        <v>0.11754959324751243</v>
      </c>
      <c r="L169" s="119">
        <v>117549593</v>
      </c>
      <c r="M169" s="59">
        <v>0.11754959523344231</v>
      </c>
      <c r="N169" s="59">
        <v>2.0664766632383906</v>
      </c>
      <c r="O169" s="121">
        <v>23.867758200000004</v>
      </c>
      <c r="P169" s="59">
        <v>0.11754959523344231</v>
      </c>
      <c r="Q169" s="59">
        <v>7.2289156626506021E-2</v>
      </c>
      <c r="R169" s="83">
        <v>0.61</v>
      </c>
      <c r="S169" s="104"/>
      <c r="T169" s="62"/>
      <c r="U169" s="62"/>
    </row>
    <row r="170" spans="1:21" x14ac:dyDescent="0.3">
      <c r="A170" s="58">
        <v>20</v>
      </c>
      <c r="B170" s="58">
        <v>25</v>
      </c>
      <c r="C170" s="94">
        <v>10078</v>
      </c>
      <c r="D170" s="94">
        <v>22742885</v>
      </c>
      <c r="E170" s="59">
        <v>4.4677946835991857E-3</v>
      </c>
      <c r="F170" s="93">
        <v>22.566863464973206</v>
      </c>
      <c r="H170" s="61" t="str">
        <f t="shared" si="2"/>
        <v>(20, 25]</v>
      </c>
      <c r="I170" s="62">
        <v>23.52808700000001</v>
      </c>
      <c r="J170" s="59">
        <v>0.10511866201385917</v>
      </c>
      <c r="K170" s="59">
        <v>0.11757260635029705</v>
      </c>
      <c r="L170" s="119">
        <v>117572606</v>
      </c>
      <c r="M170" s="59">
        <v>0.11757260823387955</v>
      </c>
      <c r="N170" s="59">
        <v>2.6532449972347445</v>
      </c>
      <c r="O170" s="121">
        <v>22.351682650000008</v>
      </c>
      <c r="P170" s="59">
        <v>0.11757260823387955</v>
      </c>
      <c r="Q170" s="59">
        <v>7.2289156626506021E-2</v>
      </c>
      <c r="R170" s="83">
        <v>0.61</v>
      </c>
      <c r="S170" s="104"/>
      <c r="T170" s="62"/>
      <c r="U170" s="62"/>
    </row>
    <row r="171" spans="1:21" x14ac:dyDescent="0.3">
      <c r="A171" s="58">
        <v>25</v>
      </c>
      <c r="B171" s="58">
        <v>30</v>
      </c>
      <c r="C171" s="94">
        <v>10197</v>
      </c>
      <c r="D171" s="94">
        <v>28081770</v>
      </c>
      <c r="E171" s="59">
        <v>4.5205499492618475E-3</v>
      </c>
      <c r="F171" s="93">
        <v>27.53924683730509</v>
      </c>
      <c r="H171" s="61" t="str">
        <f t="shared" si="2"/>
        <v>(25, 30]</v>
      </c>
      <c r="I171" s="62">
        <v>23.42560000000001</v>
      </c>
      <c r="J171" s="59">
        <v>0.10589659489142839</v>
      </c>
      <c r="K171" s="59">
        <v>0.1184427049058641</v>
      </c>
      <c r="L171" s="119">
        <v>118442704</v>
      </c>
      <c r="M171" s="59">
        <v>0.11844270625041142</v>
      </c>
      <c r="N171" s="59">
        <v>3.2618229235084986</v>
      </c>
      <c r="O171" s="121">
        <v>22.254320000000007</v>
      </c>
      <c r="P171" s="59">
        <v>0.11844270625041142</v>
      </c>
      <c r="Q171" s="59">
        <v>8.4337349397590355E-2</v>
      </c>
      <c r="R171" s="83">
        <v>0.71</v>
      </c>
      <c r="S171" s="104"/>
      <c r="T171" s="62"/>
      <c r="U171" s="62"/>
    </row>
    <row r="172" spans="1:21" x14ac:dyDescent="0.3">
      <c r="A172" s="58">
        <v>30</v>
      </c>
      <c r="B172" s="58">
        <v>35</v>
      </c>
      <c r="C172" s="94">
        <v>11003</v>
      </c>
      <c r="D172" s="94">
        <v>35815785</v>
      </c>
      <c r="E172" s="59">
        <v>4.8778671267753369E-3</v>
      </c>
      <c r="F172" s="93">
        <v>32.550927019903661</v>
      </c>
      <c r="H172" s="61" t="str">
        <f t="shared" si="2"/>
        <v>(30, 35]</v>
      </c>
      <c r="I172" s="62">
        <v>6</v>
      </c>
      <c r="J172" s="59">
        <v>2.926720276065202E-2</v>
      </c>
      <c r="K172" s="59">
        <v>3.2734637629793964E-2</v>
      </c>
      <c r="L172" s="119">
        <v>32734637</v>
      </c>
      <c r="M172" s="59">
        <v>3.2734637621958114E-2</v>
      </c>
      <c r="N172" s="59">
        <v>1.0655428002553513</v>
      </c>
      <c r="O172" s="121">
        <v>5.6999999999999993</v>
      </c>
      <c r="P172" s="59">
        <v>3.2734637621958114E-2</v>
      </c>
      <c r="Q172" s="59">
        <v>3.614457831325301E-2</v>
      </c>
      <c r="R172" s="83">
        <v>1.1000000000000001</v>
      </c>
      <c r="S172" s="104"/>
      <c r="T172" s="62"/>
      <c r="U172" s="62"/>
    </row>
    <row r="173" spans="1:21" x14ac:dyDescent="0.3">
      <c r="A173" s="58">
        <v>35</v>
      </c>
      <c r="B173" s="58">
        <v>40</v>
      </c>
      <c r="C173" s="94">
        <v>11425</v>
      </c>
      <c r="D173" s="94">
        <v>42891815</v>
      </c>
      <c r="E173" s="59">
        <v>5.0649488251756991E-3</v>
      </c>
      <c r="F173" s="93">
        <v>37.542070021881834</v>
      </c>
      <c r="H173" s="115" t="str">
        <f t="shared" si="2"/>
        <v>(35, 40]</v>
      </c>
      <c r="I173" s="62">
        <v>4.72</v>
      </c>
      <c r="J173" s="59">
        <v>2.3906558454829297E-2</v>
      </c>
      <c r="K173" s="59">
        <v>2.6738890436309323E-2</v>
      </c>
      <c r="L173" s="119">
        <v>26738890</v>
      </c>
      <c r="M173" s="59">
        <v>2.6738890508038921E-2</v>
      </c>
      <c r="N173" s="59">
        <v>1.0038332997602286</v>
      </c>
      <c r="O173" s="121">
        <v>4.484</v>
      </c>
      <c r="P173" s="59">
        <v>2.6738890508038921E-2</v>
      </c>
      <c r="Q173" s="59">
        <v>2.4096385542168676E-2</v>
      </c>
      <c r="R173" s="83">
        <v>0.9</v>
      </c>
      <c r="S173" s="104"/>
      <c r="T173" s="62"/>
      <c r="U173" s="62"/>
    </row>
    <row r="174" spans="1:21" x14ac:dyDescent="0.3">
      <c r="A174" s="58">
        <v>40</v>
      </c>
      <c r="B174" s="58">
        <v>45</v>
      </c>
      <c r="C174" s="94">
        <v>11797</v>
      </c>
      <c r="D174" s="94">
        <v>50196555</v>
      </c>
      <c r="E174" s="59">
        <v>5.229864445566541E-3</v>
      </c>
      <c r="F174" s="93">
        <v>42.550271255403914</v>
      </c>
      <c r="H174" s="61" t="str">
        <f t="shared" si="2"/>
        <v>(40, 45]</v>
      </c>
      <c r="I174" s="62">
        <v>4.5</v>
      </c>
      <c r="J174" s="59">
        <v>2.3534390005049435E-2</v>
      </c>
      <c r="K174" s="59">
        <v>2.6322629291012409E-2</v>
      </c>
      <c r="L174" s="119">
        <v>26322629</v>
      </c>
      <c r="M174" s="59">
        <v>2.6322629500129962E-2</v>
      </c>
      <c r="N174" s="59">
        <v>1.120035025386027</v>
      </c>
      <c r="O174" s="121">
        <v>4.2749999999999995</v>
      </c>
      <c r="P174" s="59">
        <v>2.6322629500129962E-2</v>
      </c>
      <c r="Q174" s="59">
        <v>3.614457831325301E-2</v>
      </c>
      <c r="R174" s="83">
        <v>1.37</v>
      </c>
      <c r="S174" s="104"/>
      <c r="T174" s="62"/>
      <c r="U174" s="62"/>
    </row>
    <row r="175" spans="1:21" x14ac:dyDescent="0.3">
      <c r="A175" s="58">
        <v>45</v>
      </c>
      <c r="B175" s="58">
        <v>50</v>
      </c>
      <c r="C175" s="94">
        <v>12192</v>
      </c>
      <c r="D175" s="94">
        <v>57985980</v>
      </c>
      <c r="E175" s="59">
        <v>5.4049764618417616E-3</v>
      </c>
      <c r="F175" s="93">
        <v>47.560679133858265</v>
      </c>
      <c r="H175" s="61" t="str">
        <f t="shared" si="2"/>
        <v>(45, 50]</v>
      </c>
      <c r="I175" s="62">
        <v>4</v>
      </c>
      <c r="J175" s="59">
        <v>2.1619905847367046E-2</v>
      </c>
      <c r="K175" s="59">
        <v>2.4181326425062738E-2</v>
      </c>
      <c r="L175" s="119">
        <v>24181326</v>
      </c>
      <c r="M175" s="59">
        <v>2.4181326459445204E-2</v>
      </c>
      <c r="N175" s="59">
        <v>1.1500803087687503</v>
      </c>
      <c r="O175" s="121">
        <v>3.8</v>
      </c>
      <c r="P175" s="59">
        <v>2.4181326459445204E-2</v>
      </c>
      <c r="Q175" s="59">
        <v>2.4096385542168676E-2</v>
      </c>
      <c r="R175" s="83">
        <v>1</v>
      </c>
      <c r="S175" s="104"/>
      <c r="T175" s="62"/>
      <c r="U175" s="62"/>
    </row>
    <row r="176" spans="1:21" x14ac:dyDescent="0.3">
      <c r="A176" s="58">
        <v>50</v>
      </c>
      <c r="B176" s="58">
        <v>60</v>
      </c>
      <c r="C176" s="94">
        <v>25739</v>
      </c>
      <c r="D176" s="94">
        <v>141851425</v>
      </c>
      <c r="E176" s="59">
        <v>1.1410653637741561E-2</v>
      </c>
      <c r="F176" s="93">
        <v>55.111474804770971</v>
      </c>
      <c r="H176" s="115" t="str">
        <f t="shared" si="2"/>
        <v>(50, 60]</v>
      </c>
      <c r="I176" s="62">
        <v>1.6</v>
      </c>
      <c r="J176" s="59">
        <v>1.8257045820386498E-2</v>
      </c>
      <c r="K176" s="59">
        <v>2.0420051209143367E-2</v>
      </c>
      <c r="L176" s="119">
        <v>20420051</v>
      </c>
      <c r="M176" s="59">
        <v>2.0420051387980975E-2</v>
      </c>
      <c r="N176" s="59">
        <v>1.1253791475808421</v>
      </c>
      <c r="O176" s="121">
        <v>1.52</v>
      </c>
      <c r="P176" s="59">
        <v>2.0420051387980975E-2</v>
      </c>
      <c r="Q176" s="59">
        <v>2.4096385542168676E-2</v>
      </c>
      <c r="R176" s="83">
        <v>1.18</v>
      </c>
      <c r="S176" s="104"/>
      <c r="T176" s="62"/>
      <c r="U176" s="62"/>
    </row>
    <row r="177" spans="1:21" x14ac:dyDescent="0.3">
      <c r="A177" s="58">
        <v>60</v>
      </c>
      <c r="B177" s="58">
        <v>70</v>
      </c>
      <c r="C177" s="94">
        <v>26832</v>
      </c>
      <c r="D177" s="94">
        <v>174673430</v>
      </c>
      <c r="E177" s="59">
        <v>1.1895204103029704E-2</v>
      </c>
      <c r="F177" s="93">
        <v>65.09892292784734</v>
      </c>
      <c r="H177" s="61" t="str">
        <f t="shared" si="2"/>
        <v>(60, 70]</v>
      </c>
      <c r="I177" s="62">
        <v>5.03</v>
      </c>
      <c r="J177" s="59">
        <v>5.9832876638239413E-2</v>
      </c>
      <c r="K177" s="59">
        <v>6.6921582876179789E-2</v>
      </c>
      <c r="L177" s="119">
        <v>66921582</v>
      </c>
      <c r="M177" s="59">
        <v>6.6921583271510085E-2</v>
      </c>
      <c r="N177" s="59">
        <v>4.3565229916015529</v>
      </c>
      <c r="O177" s="121">
        <v>4.7785000000000002</v>
      </c>
      <c r="P177" s="59">
        <v>6.6921583271510085E-2</v>
      </c>
      <c r="Q177" s="59">
        <v>6.0240963855421686E-2</v>
      </c>
      <c r="R177" s="83">
        <v>0.9</v>
      </c>
      <c r="S177" s="104"/>
      <c r="T177" s="62"/>
      <c r="U177" s="62"/>
    </row>
    <row r="178" spans="1:21" x14ac:dyDescent="0.3">
      <c r="A178" s="58">
        <v>70</v>
      </c>
      <c r="B178" s="58">
        <v>80</v>
      </c>
      <c r="C178" s="94">
        <v>28303</v>
      </c>
      <c r="D178" s="94">
        <v>212519325</v>
      </c>
      <c r="E178" s="59">
        <v>1.2547330118069831E-2</v>
      </c>
      <c r="F178" s="93">
        <v>75.087208069815929</v>
      </c>
      <c r="H178" s="61" t="str">
        <f t="shared" si="2"/>
        <v>(70, 80]</v>
      </c>
      <c r="I178" s="62">
        <v>4.3</v>
      </c>
      <c r="J178" s="59">
        <v>5.3953519507700269E-2</v>
      </c>
      <c r="K178" s="59">
        <v>6.0345668302509183E-2</v>
      </c>
      <c r="L178" s="119">
        <v>60345668</v>
      </c>
      <c r="M178" s="59">
        <v>6.0345669146567714E-2</v>
      </c>
      <c r="N178" s="59">
        <v>4.5311878153206013</v>
      </c>
      <c r="O178" s="121">
        <v>4.085</v>
      </c>
      <c r="P178" s="59">
        <v>6.0345669146567714E-2</v>
      </c>
      <c r="Q178" s="59">
        <v>4.8192771084337352E-2</v>
      </c>
      <c r="R178" s="83">
        <v>0.8</v>
      </c>
      <c r="S178" s="104"/>
      <c r="T178" s="62"/>
      <c r="U178" s="62"/>
    </row>
    <row r="179" spans="1:21" x14ac:dyDescent="0.3">
      <c r="A179" s="58">
        <v>80</v>
      </c>
      <c r="B179" s="58">
        <v>90</v>
      </c>
      <c r="C179" s="94">
        <v>29309</v>
      </c>
      <c r="D179" s="94">
        <v>249325845</v>
      </c>
      <c r="E179" s="59">
        <v>1.2993311607621407E-2</v>
      </c>
      <c r="F179" s="93">
        <v>85.068014944215079</v>
      </c>
      <c r="H179" s="61" t="str">
        <f t="shared" si="2"/>
        <v>(80, 90]</v>
      </c>
      <c r="I179" s="62">
        <v>1.9</v>
      </c>
      <c r="J179" s="59">
        <v>2.4687292054480673E-2</v>
      </c>
      <c r="K179" s="59">
        <v>2.7612121529796408E-2</v>
      </c>
      <c r="L179" s="119">
        <v>27612121</v>
      </c>
      <c r="M179" s="59">
        <v>2.7612121524630308E-2</v>
      </c>
      <c r="N179" s="59">
        <v>2.3489083664987338</v>
      </c>
      <c r="O179" s="121">
        <v>1.8049999999999999</v>
      </c>
      <c r="P179" s="59">
        <v>2.7612121524630308E-2</v>
      </c>
      <c r="Q179" s="59">
        <v>2.4096385542168676E-2</v>
      </c>
      <c r="R179" s="83">
        <v>0.87</v>
      </c>
      <c r="S179" s="104"/>
      <c r="T179" s="62"/>
      <c r="U179" s="62"/>
    </row>
    <row r="180" spans="1:21" x14ac:dyDescent="0.3">
      <c r="A180" s="58">
        <v>90</v>
      </c>
      <c r="B180" s="58">
        <v>100</v>
      </c>
      <c r="C180" s="94">
        <v>30520</v>
      </c>
      <c r="D180" s="94">
        <v>290091375</v>
      </c>
      <c r="E180" s="59">
        <v>1.3530174017012021E-2</v>
      </c>
      <c r="F180" s="93">
        <v>95.049598623853214</v>
      </c>
      <c r="H180" s="61" t="str">
        <f t="shared" si="2"/>
        <v>(90, 100]</v>
      </c>
      <c r="I180" s="62">
        <v>1.6</v>
      </c>
      <c r="J180" s="59">
        <v>2.1648278427219236E-2</v>
      </c>
      <c r="K180" s="59">
        <v>2.4213060449242613E-2</v>
      </c>
      <c r="L180" s="119">
        <v>24213060</v>
      </c>
      <c r="M180" s="59">
        <v>2.421306046004815E-2</v>
      </c>
      <c r="N180" s="59">
        <v>2.3014416781826674</v>
      </c>
      <c r="O180" s="121">
        <v>1.52</v>
      </c>
      <c r="P180" s="59">
        <v>2.421306046004815E-2</v>
      </c>
      <c r="Q180" s="59">
        <v>1.2048192771084338E-2</v>
      </c>
      <c r="R180" s="83">
        <v>0.5</v>
      </c>
      <c r="S180" s="104"/>
      <c r="T180" s="62"/>
      <c r="U180" s="62"/>
    </row>
    <row r="181" spans="1:21" x14ac:dyDescent="0.3">
      <c r="A181" s="58">
        <v>100</v>
      </c>
      <c r="B181" s="58">
        <v>120</v>
      </c>
      <c r="C181" s="94">
        <v>63096</v>
      </c>
      <c r="D181" s="94">
        <v>694686090</v>
      </c>
      <c r="E181" s="59">
        <v>2.7971817161775575E-2</v>
      </c>
      <c r="F181" s="93">
        <v>110.09986211487258</v>
      </c>
      <c r="H181" s="192" t="str">
        <f t="shared" si="2"/>
        <v>(100, 120]</v>
      </c>
      <c r="I181" s="62">
        <v>1.7334000000000003</v>
      </c>
      <c r="J181" s="59">
        <v>4.8486347868221792E-2</v>
      </c>
      <c r="K181" s="59">
        <v>5.4230772938514117E-2</v>
      </c>
      <c r="L181" s="119">
        <v>54230772</v>
      </c>
      <c r="M181" s="59">
        <v>5.4230773030384691E-2</v>
      </c>
      <c r="N181" s="59">
        <v>5.970800633028305</v>
      </c>
      <c r="O181" s="121">
        <v>1.6467300000000002</v>
      </c>
      <c r="P181" s="59">
        <v>5.4230773030384691E-2</v>
      </c>
      <c r="Q181" s="59">
        <v>6.0240963855421686E-2</v>
      </c>
      <c r="R181" s="83">
        <v>1.1100000000000001</v>
      </c>
      <c r="S181" s="104"/>
      <c r="T181" s="62"/>
      <c r="U181" s="62"/>
    </row>
    <row r="182" spans="1:21" x14ac:dyDescent="0.3">
      <c r="A182" s="58">
        <v>120</v>
      </c>
      <c r="B182" s="58">
        <v>140</v>
      </c>
      <c r="C182" s="94">
        <v>64648</v>
      </c>
      <c r="D182" s="94">
        <v>840872730</v>
      </c>
      <c r="E182" s="59">
        <v>2.8659852223191125E-2</v>
      </c>
      <c r="F182" s="93">
        <v>130.06941127335725</v>
      </c>
      <c r="G182" s="90"/>
      <c r="H182" s="193" t="str">
        <f t="shared" si="2"/>
        <v>(120, 140]</v>
      </c>
      <c r="I182" s="62">
        <v>0.8</v>
      </c>
      <c r="J182" s="59">
        <v>2.29278817785529E-2</v>
      </c>
      <c r="K182" s="59">
        <v>2.5644264939754854E-2</v>
      </c>
      <c r="L182" s="119">
        <v>25644264</v>
      </c>
      <c r="M182" s="59">
        <v>2.5644264487241025E-2</v>
      </c>
      <c r="N182" s="59">
        <v>3.3355343843937026</v>
      </c>
      <c r="O182" s="121">
        <v>0.76</v>
      </c>
      <c r="P182" s="59">
        <v>2.5644264487241025E-2</v>
      </c>
      <c r="Q182" s="59">
        <v>7.2289156626506021E-2</v>
      </c>
      <c r="R182" s="83">
        <v>2.82</v>
      </c>
      <c r="S182" s="104"/>
      <c r="T182" s="62"/>
      <c r="U182" s="62"/>
    </row>
    <row r="183" spans="1:21" x14ac:dyDescent="0.3">
      <c r="A183" s="58">
        <v>140</v>
      </c>
      <c r="B183" s="58">
        <v>160</v>
      </c>
      <c r="C183" s="94">
        <v>66109</v>
      </c>
      <c r="D183" s="94">
        <v>991686405</v>
      </c>
      <c r="E183" s="59">
        <v>2.9307545022629351E-2</v>
      </c>
      <c r="F183" s="93">
        <v>150.00777579452117</v>
      </c>
      <c r="G183" s="90"/>
      <c r="H183" s="192" t="str">
        <f t="shared" si="2"/>
        <v>(140, 160]</v>
      </c>
      <c r="I183" s="62">
        <v>1.2</v>
      </c>
      <c r="J183" s="59">
        <v>3.5169054027155221E-2</v>
      </c>
      <c r="K183" s="59">
        <v>3.9335711334509665E-2</v>
      </c>
      <c r="L183" s="119">
        <v>39335711</v>
      </c>
      <c r="M183" s="59">
        <v>3.9335711747378523E-2</v>
      </c>
      <c r="N183" s="59">
        <v>5.9006626285186696</v>
      </c>
      <c r="O183" s="121">
        <v>1.1399999999999999</v>
      </c>
      <c r="P183" s="59">
        <v>3.9335711747378523E-2</v>
      </c>
      <c r="Q183" s="59">
        <v>2.4096385542168676E-2</v>
      </c>
      <c r="R183" s="83">
        <v>0.61</v>
      </c>
      <c r="S183" s="104"/>
      <c r="T183" s="62"/>
      <c r="U183" s="62"/>
    </row>
    <row r="184" spans="1:21" x14ac:dyDescent="0.3">
      <c r="A184" s="58">
        <v>160</v>
      </c>
      <c r="B184" s="58">
        <v>180</v>
      </c>
      <c r="C184" s="94">
        <v>66110</v>
      </c>
      <c r="D184" s="94">
        <v>1124215945</v>
      </c>
      <c r="E184" s="59">
        <v>2.9307988344189538E-2</v>
      </c>
      <c r="F184" s="93">
        <v>170.05232869459988</v>
      </c>
      <c r="G184" s="90"/>
      <c r="H184" s="193" t="str">
        <f t="shared" si="2"/>
        <v>(160, 180]</v>
      </c>
      <c r="I184" s="62">
        <v>0.6</v>
      </c>
      <c r="J184" s="59">
        <v>1.7584793006513721E-2</v>
      </c>
      <c r="K184" s="59">
        <v>1.9668153173731513E-2</v>
      </c>
      <c r="L184" s="119">
        <v>19668153</v>
      </c>
      <c r="M184" s="59">
        <v>1.9668153373694913E-2</v>
      </c>
      <c r="N184" s="59">
        <v>3.3446152823193707</v>
      </c>
      <c r="O184" s="121">
        <v>0.56999999999999995</v>
      </c>
      <c r="P184" s="59">
        <v>1.9668153373694913E-2</v>
      </c>
      <c r="Q184" s="59">
        <v>3.614457831325301E-2</v>
      </c>
      <c r="R184" s="83">
        <v>1.84</v>
      </c>
      <c r="S184" s="104"/>
      <c r="T184" s="62"/>
      <c r="U184" s="62"/>
    </row>
    <row r="185" spans="1:21" x14ac:dyDescent="0.3">
      <c r="A185" s="58">
        <v>180</v>
      </c>
      <c r="B185" s="58">
        <v>200</v>
      </c>
      <c r="C185" s="94">
        <v>65860</v>
      </c>
      <c r="D185" s="94">
        <v>1251563885</v>
      </c>
      <c r="E185" s="59">
        <v>2.919715795414193E-2</v>
      </c>
      <c r="F185" s="93">
        <v>190.033994078348</v>
      </c>
      <c r="G185" s="100"/>
      <c r="H185" s="193" t="str">
        <f t="shared" si="2"/>
        <v>(180, 200]</v>
      </c>
      <c r="I185" s="62">
        <v>0.53</v>
      </c>
      <c r="J185" s="59">
        <v>1.5474493715695224E-2</v>
      </c>
      <c r="K185" s="59">
        <v>1.7307835956527948E-2</v>
      </c>
      <c r="L185" s="119">
        <v>17307835</v>
      </c>
      <c r="M185" s="59">
        <v>1.7307835328848872E-2</v>
      </c>
      <c r="N185" s="59">
        <v>3.2890770763914889</v>
      </c>
      <c r="O185" s="121">
        <v>0.50349999999999995</v>
      </c>
      <c r="P185" s="59">
        <v>1.7307835328848872E-2</v>
      </c>
      <c r="Q185" s="59">
        <v>0</v>
      </c>
      <c r="R185" s="83">
        <v>0</v>
      </c>
      <c r="S185" s="104"/>
      <c r="T185" s="62"/>
      <c r="U185" s="62"/>
    </row>
    <row r="186" spans="1:21" x14ac:dyDescent="0.3">
      <c r="A186" s="58">
        <v>200</v>
      </c>
      <c r="B186" s="58">
        <v>250</v>
      </c>
      <c r="C186" s="94">
        <v>159483</v>
      </c>
      <c r="D186" s="94">
        <v>3584931735</v>
      </c>
      <c r="E186" s="59">
        <v>7.0702252383850861E-2</v>
      </c>
      <c r="F186" s="93">
        <v>224.78456857470701</v>
      </c>
      <c r="G186" s="100"/>
      <c r="H186" s="193" t="str">
        <f t="shared" si="2"/>
        <v>(200, 250]</v>
      </c>
      <c r="I186" s="62">
        <v>0.42750500000000002</v>
      </c>
      <c r="J186" s="59">
        <v>3.0225566405358163E-2</v>
      </c>
      <c r="K186" s="59">
        <v>3.3806543506265406E-2</v>
      </c>
      <c r="L186" s="119">
        <v>33806543</v>
      </c>
      <c r="M186" s="59">
        <v>3.3806543642324327E-2</v>
      </c>
      <c r="N186" s="59">
        <v>7.599189327641878</v>
      </c>
      <c r="O186" s="121">
        <v>0.40612975000000001</v>
      </c>
      <c r="P186" s="59">
        <v>3.3806543642324327E-2</v>
      </c>
      <c r="Q186" s="59">
        <v>6.0240963855421686E-2</v>
      </c>
      <c r="R186" s="83">
        <v>1.78</v>
      </c>
      <c r="S186" s="104"/>
      <c r="T186" s="62"/>
      <c r="U186" s="62"/>
    </row>
    <row r="187" spans="1:21" x14ac:dyDescent="0.3">
      <c r="A187" s="58">
        <v>250</v>
      </c>
      <c r="B187" s="58">
        <v>300</v>
      </c>
      <c r="C187" s="94">
        <v>149745</v>
      </c>
      <c r="D187" s="94">
        <v>4113244610</v>
      </c>
      <c r="E187" s="59">
        <v>6.6385187030716428E-2</v>
      </c>
      <c r="F187" s="93">
        <v>274.6832688904471</v>
      </c>
      <c r="G187" s="100"/>
      <c r="H187" s="193" t="str">
        <f t="shared" si="2"/>
        <v>(250, 300]</v>
      </c>
      <c r="I187" s="62">
        <v>0.17600000000000002</v>
      </c>
      <c r="J187" s="59">
        <v>1.1683792917406092E-2</v>
      </c>
      <c r="K187" s="59">
        <v>1.3068031489741215E-2</v>
      </c>
      <c r="L187" s="119">
        <v>13068031</v>
      </c>
      <c r="M187" s="59">
        <v>1.3068031248292594E-2</v>
      </c>
      <c r="N187" s="59">
        <v>3.5895695412435198</v>
      </c>
      <c r="O187" s="121">
        <v>0.16720000000000002</v>
      </c>
      <c r="P187" s="59">
        <v>1.3068031248292594E-2</v>
      </c>
      <c r="Q187" s="59">
        <v>2.4096385542168676E-2</v>
      </c>
      <c r="R187" s="83">
        <v>1.84</v>
      </c>
      <c r="S187" s="104"/>
      <c r="T187" s="62"/>
      <c r="U187" s="62"/>
    </row>
    <row r="188" spans="1:21" x14ac:dyDescent="0.3">
      <c r="A188" s="58">
        <v>300</v>
      </c>
      <c r="B188" s="58">
        <v>350</v>
      </c>
      <c r="C188" s="94">
        <v>137137</v>
      </c>
      <c r="D188" s="94">
        <v>4452780540</v>
      </c>
      <c r="E188" s="59">
        <v>6.0795788799835437E-2</v>
      </c>
      <c r="F188" s="93">
        <v>324.69578159067208</v>
      </c>
      <c r="G188" s="100"/>
      <c r="H188" s="193" t="str">
        <f t="shared" si="2"/>
        <v>(300, 350]</v>
      </c>
      <c r="I188" s="62">
        <v>0.16500000000000001</v>
      </c>
      <c r="J188" s="59">
        <v>1.0031305151972848E-2</v>
      </c>
      <c r="K188" s="59">
        <v>1.1219765065665637E-2</v>
      </c>
      <c r="L188" s="119">
        <v>11219765</v>
      </c>
      <c r="M188" s="59">
        <v>1.1219765213175539E-2</v>
      </c>
      <c r="N188" s="59">
        <v>3.6430104351558654</v>
      </c>
      <c r="O188" s="121">
        <v>0.15675</v>
      </c>
      <c r="P188" s="59">
        <v>1.1219765213175539E-2</v>
      </c>
      <c r="Q188" s="59">
        <v>1.2048192771084338E-2</v>
      </c>
      <c r="R188" s="83">
        <v>1.07</v>
      </c>
      <c r="S188" s="104"/>
      <c r="T188" s="62"/>
      <c r="U188" s="62"/>
    </row>
    <row r="189" spans="1:21" x14ac:dyDescent="0.3">
      <c r="A189" s="58">
        <v>350</v>
      </c>
      <c r="B189" s="58">
        <v>400</v>
      </c>
      <c r="C189" s="94">
        <v>123573</v>
      </c>
      <c r="D189" s="94">
        <v>4628657055</v>
      </c>
      <c r="E189" s="59">
        <v>5.4782575157412403E-2</v>
      </c>
      <c r="F189" s="93">
        <v>374.56863999417351</v>
      </c>
      <c r="G189" s="100"/>
      <c r="H189" s="193" t="str">
        <f t="shared" si="2"/>
        <v>(350, 400]</v>
      </c>
      <c r="I189" s="62">
        <v>0.01</v>
      </c>
      <c r="J189" s="59">
        <v>5.4782575157412406E-4</v>
      </c>
      <c r="K189" s="59">
        <v>6.1272946405927615E-4</v>
      </c>
      <c r="L189" s="119">
        <v>612729</v>
      </c>
      <c r="M189" s="59">
        <v>6.1272901164185123E-4</v>
      </c>
      <c r="N189" s="59">
        <v>0.22950907257566233</v>
      </c>
      <c r="O189" s="121">
        <v>9.4999999999999998E-3</v>
      </c>
      <c r="P189" s="59">
        <v>6.1272901164185123E-4</v>
      </c>
      <c r="Q189" s="59">
        <v>0</v>
      </c>
      <c r="R189" s="83">
        <v>0</v>
      </c>
      <c r="S189" s="104"/>
      <c r="T189" s="62"/>
      <c r="U189" s="62"/>
    </row>
    <row r="190" spans="1:21" x14ac:dyDescent="0.3">
      <c r="A190" s="58">
        <v>400</v>
      </c>
      <c r="B190" s="58">
        <v>450</v>
      </c>
      <c r="C190" s="94">
        <v>111713</v>
      </c>
      <c r="D190" s="94">
        <v>4742266710</v>
      </c>
      <c r="E190" s="59">
        <v>4.9524781453553865E-2</v>
      </c>
      <c r="F190" s="93">
        <v>424.50446322272251</v>
      </c>
      <c r="G190" s="100"/>
      <c r="H190" s="193" t="str">
        <f t="shared" si="2"/>
        <v>(400, 450]</v>
      </c>
      <c r="I190" s="62">
        <v>0.01</v>
      </c>
      <c r="J190" s="59">
        <v>4.9524781453553861E-4</v>
      </c>
      <c r="K190" s="59">
        <v>5.5392235050095008E-4</v>
      </c>
      <c r="L190" s="119">
        <v>553922</v>
      </c>
      <c r="M190" s="59">
        <v>5.539220105245182E-4</v>
      </c>
      <c r="N190" s="59">
        <v>0.23514236574496183</v>
      </c>
      <c r="O190" s="121">
        <v>9.4999999999999998E-3</v>
      </c>
      <c r="P190" s="59">
        <v>5.539220105245182E-4</v>
      </c>
      <c r="Q190" s="59">
        <v>0</v>
      </c>
      <c r="R190" s="83">
        <v>0</v>
      </c>
      <c r="S190" s="104"/>
      <c r="T190" s="62"/>
      <c r="U190" s="62"/>
    </row>
    <row r="191" spans="1:21" x14ac:dyDescent="0.3">
      <c r="A191" s="58">
        <v>450</v>
      </c>
      <c r="B191" s="58">
        <v>500</v>
      </c>
      <c r="C191" s="94">
        <v>99404</v>
      </c>
      <c r="D191" s="94">
        <v>4718001905</v>
      </c>
      <c r="E191" s="59">
        <v>4.4067936369169822E-2</v>
      </c>
      <c r="F191" s="93">
        <v>474.62897921612813</v>
      </c>
      <c r="G191" s="100"/>
      <c r="H191" s="193" t="str">
        <f t="shared" si="2"/>
        <v>(450, 500]</v>
      </c>
      <c r="I191" s="62">
        <v>0.01</v>
      </c>
      <c r="J191" s="59">
        <v>4.406793636916982E-4</v>
      </c>
      <c r="K191" s="59">
        <v>4.92888896808755E-4</v>
      </c>
      <c r="L191" s="119">
        <v>492888</v>
      </c>
      <c r="M191" s="59">
        <v>4.9288800936487219E-4</v>
      </c>
      <c r="N191" s="59">
        <v>0.23393893275271868</v>
      </c>
      <c r="O191" s="121">
        <v>9.4999999999999998E-3</v>
      </c>
      <c r="P191" s="59">
        <v>4.9288800936487219E-4</v>
      </c>
      <c r="Q191" s="59">
        <v>0</v>
      </c>
      <c r="R191" s="83">
        <v>0</v>
      </c>
      <c r="S191" s="104"/>
      <c r="T191" s="62"/>
      <c r="U191" s="62"/>
    </row>
    <row r="192" spans="1:21" x14ac:dyDescent="0.3">
      <c r="A192" s="58">
        <v>500</v>
      </c>
      <c r="B192" s="58">
        <v>550</v>
      </c>
      <c r="C192" s="94">
        <v>89491</v>
      </c>
      <c r="D192" s="94">
        <v>4694103960</v>
      </c>
      <c r="E192" s="59">
        <v>3.9673289743002056E-2</v>
      </c>
      <c r="F192" s="93">
        <v>524.53363578460403</v>
      </c>
      <c r="G192" s="100"/>
      <c r="H192" s="193" t="str">
        <f t="shared" si="2"/>
        <v>(500, 550]</v>
      </c>
      <c r="I192" s="62">
        <v>0.01</v>
      </c>
      <c r="J192" s="59">
        <v>3.9673289743002055E-4</v>
      </c>
      <c r="K192" s="59">
        <v>4.4373586841889957E-4</v>
      </c>
      <c r="L192" s="119">
        <v>443735</v>
      </c>
      <c r="M192" s="59">
        <v>4.4373500843096513E-4</v>
      </c>
      <c r="N192" s="59">
        <v>0.23275393729720606</v>
      </c>
      <c r="O192" s="121">
        <v>9.4999999999999998E-3</v>
      </c>
      <c r="P192" s="59">
        <v>4.4373500843096513E-4</v>
      </c>
      <c r="Q192" s="59">
        <v>0</v>
      </c>
      <c r="R192" s="83">
        <v>0</v>
      </c>
      <c r="S192" s="104"/>
      <c r="T192" s="62"/>
      <c r="U192" s="62"/>
    </row>
    <row r="193" spans="1:21" x14ac:dyDescent="0.3">
      <c r="A193" s="58">
        <v>550</v>
      </c>
      <c r="B193" s="58">
        <v>600</v>
      </c>
      <c r="C193" s="94">
        <v>79755</v>
      </c>
      <c r="D193" s="94">
        <v>4582506320</v>
      </c>
      <c r="E193" s="59">
        <v>3.5357111032987998E-2</v>
      </c>
      <c r="F193" s="93">
        <v>574.57291956617144</v>
      </c>
      <c r="G193" s="100"/>
      <c r="H193" s="193" t="str">
        <f t="shared" si="2"/>
        <v>(550, 600]</v>
      </c>
      <c r="I193" s="62">
        <v>0.01</v>
      </c>
      <c r="J193" s="59">
        <v>3.5357111032988E-4</v>
      </c>
      <c r="K193" s="59">
        <v>3.9546048413526875E-4</v>
      </c>
      <c r="L193" s="119">
        <v>395460</v>
      </c>
      <c r="M193" s="59">
        <v>3.9546000751374016E-4</v>
      </c>
      <c r="N193" s="59">
        <v>0.22722061108882977</v>
      </c>
      <c r="O193" s="121">
        <v>9.4999999999999998E-3</v>
      </c>
      <c r="P193" s="59">
        <v>3.9546000751374016E-4</v>
      </c>
      <c r="Q193" s="59">
        <v>0</v>
      </c>
      <c r="R193" s="83">
        <v>0</v>
      </c>
      <c r="S193" s="104"/>
      <c r="T193" s="62"/>
      <c r="U193" s="62"/>
    </row>
    <row r="194" spans="1:21" x14ac:dyDescent="0.3">
      <c r="A194" s="58">
        <v>600</v>
      </c>
      <c r="B194" s="58">
        <v>650</v>
      </c>
      <c r="C194" s="94">
        <v>70859</v>
      </c>
      <c r="D194" s="94">
        <v>4425761675</v>
      </c>
      <c r="E194" s="59">
        <v>3.1413322433533904E-2</v>
      </c>
      <c r="F194" s="93">
        <v>624.58709197137978</v>
      </c>
      <c r="G194" s="100"/>
      <c r="H194" s="193" t="str">
        <f t="shared" si="2"/>
        <v>(600, 650]</v>
      </c>
      <c r="I194" s="62">
        <v>0.01</v>
      </c>
      <c r="J194" s="59">
        <v>3.1413322433533907E-4</v>
      </c>
      <c r="K194" s="59">
        <v>3.5135019052524619E-4</v>
      </c>
      <c r="L194" s="119">
        <v>351350</v>
      </c>
      <c r="M194" s="59">
        <v>3.5135000667565011E-4</v>
      </c>
      <c r="N194" s="59">
        <v>0.21944867893366918</v>
      </c>
      <c r="O194" s="121">
        <v>9.4999999999999998E-3</v>
      </c>
      <c r="P194" s="59">
        <v>3.5135000667565011E-4</v>
      </c>
      <c r="Q194" s="59">
        <v>0</v>
      </c>
      <c r="R194" s="83">
        <v>0</v>
      </c>
      <c r="S194" s="104"/>
      <c r="T194" s="62"/>
      <c r="U194" s="62"/>
    </row>
    <row r="195" spans="1:21" x14ac:dyDescent="0.3">
      <c r="A195" s="58">
        <v>650</v>
      </c>
      <c r="B195" s="58">
        <v>700</v>
      </c>
      <c r="C195" s="94">
        <v>63134</v>
      </c>
      <c r="D195" s="94">
        <v>4258522095</v>
      </c>
      <c r="E195" s="59">
        <v>2.798866338106281E-2</v>
      </c>
      <c r="F195" s="93">
        <v>674.52119222605893</v>
      </c>
      <c r="G195" s="100"/>
      <c r="H195" s="193" t="str">
        <f t="shared" si="2"/>
        <v>(650, 700]</v>
      </c>
      <c r="I195" s="62">
        <v>0.01</v>
      </c>
      <c r="J195" s="59">
        <v>2.7988663381062808E-4</v>
      </c>
      <c r="K195" s="59">
        <v>3.1304623165188462E-4</v>
      </c>
      <c r="L195" s="119">
        <v>313046</v>
      </c>
      <c r="M195" s="59">
        <v>3.1304600594787412E-4</v>
      </c>
      <c r="N195" s="59">
        <v>0.211156165153566</v>
      </c>
      <c r="O195" s="121">
        <v>9.4999999999999998E-3</v>
      </c>
      <c r="P195" s="59">
        <v>3.1304600594787412E-4</v>
      </c>
      <c r="Q195" s="59">
        <v>0</v>
      </c>
      <c r="R195" s="83">
        <v>0</v>
      </c>
      <c r="S195" s="104"/>
      <c r="T195" s="62"/>
      <c r="U195" s="62"/>
    </row>
    <row r="196" spans="1:21" x14ac:dyDescent="0.3">
      <c r="A196" s="58">
        <v>700</v>
      </c>
      <c r="B196" s="58">
        <v>750</v>
      </c>
      <c r="C196" s="94">
        <v>55725</v>
      </c>
      <c r="D196" s="94">
        <v>4038067140</v>
      </c>
      <c r="E196" s="59">
        <v>2.4704093941611889E-2</v>
      </c>
      <c r="F196" s="93">
        <v>724.64192732166896</v>
      </c>
      <c r="G196" s="100"/>
      <c r="H196" s="193" t="str">
        <f t="shared" si="2"/>
        <v>(700, 750]</v>
      </c>
      <c r="I196" s="62">
        <v>0.01</v>
      </c>
      <c r="J196" s="59">
        <v>2.4704093941611892E-4</v>
      </c>
      <c r="K196" s="59">
        <v>2.763091402224043E-4</v>
      </c>
      <c r="L196" s="119">
        <v>276309</v>
      </c>
      <c r="M196" s="59">
        <v>2.7630900524987109E-4</v>
      </c>
      <c r="N196" s="59">
        <v>0.20022509010059975</v>
      </c>
      <c r="O196" s="121">
        <v>9.4999999999999998E-3</v>
      </c>
      <c r="P196" s="59">
        <v>2.7630900524987109E-4</v>
      </c>
      <c r="Q196" s="59">
        <v>0</v>
      </c>
      <c r="R196" s="83">
        <v>0</v>
      </c>
      <c r="S196" s="104"/>
      <c r="T196" s="62"/>
      <c r="U196" s="62"/>
    </row>
    <row r="197" spans="1:21" x14ac:dyDescent="0.3">
      <c r="A197" s="58">
        <v>750</v>
      </c>
      <c r="B197" s="58">
        <v>800</v>
      </c>
      <c r="C197" s="94">
        <v>50252</v>
      </c>
      <c r="D197" s="94">
        <v>3892244955</v>
      </c>
      <c r="E197" s="59">
        <v>2.227779504268965E-2</v>
      </c>
      <c r="F197" s="93">
        <v>774.54528277481495</v>
      </c>
      <c r="G197" s="100"/>
      <c r="H197" s="193" t="str">
        <f t="shared" si="2"/>
        <v>(750, 800]</v>
      </c>
      <c r="I197" s="62">
        <v>0.01</v>
      </c>
      <c r="J197" s="59">
        <v>2.2277795042689651E-4</v>
      </c>
      <c r="K197" s="59">
        <v>2.491715911073353E-4</v>
      </c>
      <c r="L197" s="119">
        <v>249171</v>
      </c>
      <c r="M197" s="59">
        <v>2.4917100473424909E-4</v>
      </c>
      <c r="N197" s="59">
        <v>0.19299422632117372</v>
      </c>
      <c r="O197" s="121">
        <v>9.4999999999999998E-3</v>
      </c>
      <c r="P197" s="59">
        <v>2.4917100473424909E-4</v>
      </c>
      <c r="Q197" s="59">
        <v>0</v>
      </c>
      <c r="R197" s="83">
        <v>0</v>
      </c>
      <c r="S197" s="104"/>
      <c r="T197" s="62"/>
      <c r="U197" s="62"/>
    </row>
    <row r="198" spans="1:21" x14ac:dyDescent="0.3">
      <c r="A198" s="58">
        <v>800</v>
      </c>
      <c r="B198" s="58">
        <v>850</v>
      </c>
      <c r="C198" s="94">
        <v>44921</v>
      </c>
      <c r="D198" s="94">
        <v>3703775110</v>
      </c>
      <c r="E198" s="59">
        <v>1.9914447805314449E-2</v>
      </c>
      <c r="F198" s="93">
        <v>824.50860621980814</v>
      </c>
      <c r="G198" s="100"/>
      <c r="H198" s="61" t="str">
        <f t="shared" si="2"/>
        <v>(800, 850]</v>
      </c>
      <c r="I198" s="62">
        <v>0.01</v>
      </c>
      <c r="J198" s="59">
        <v>1.9914447805314449E-4</v>
      </c>
      <c r="K198" s="59">
        <v>2.2273814065375722E-4</v>
      </c>
      <c r="L198" s="119">
        <v>222738</v>
      </c>
      <c r="M198" s="59">
        <v>2.2273800423202209E-4</v>
      </c>
      <c r="N198" s="59">
        <v>0.18364940142152625</v>
      </c>
      <c r="O198" s="121">
        <v>9.4999999999999998E-3</v>
      </c>
      <c r="P198" s="59">
        <v>2.2273800423202209E-4</v>
      </c>
      <c r="Q198" s="59">
        <v>0</v>
      </c>
      <c r="R198" s="83">
        <v>0</v>
      </c>
      <c r="S198" s="104"/>
      <c r="T198" s="62"/>
      <c r="U198" s="62"/>
    </row>
    <row r="199" spans="1:21" x14ac:dyDescent="0.3">
      <c r="A199" s="58">
        <v>850</v>
      </c>
      <c r="B199" s="58">
        <v>900</v>
      </c>
      <c r="C199" s="94">
        <v>40075</v>
      </c>
      <c r="D199" s="94">
        <v>3504818215</v>
      </c>
      <c r="E199" s="59">
        <v>1.776611152463161E-2</v>
      </c>
      <c r="F199" s="93">
        <v>874.56474485339993</v>
      </c>
      <c r="G199" s="100"/>
      <c r="H199" s="61" t="str">
        <f t="shared" si="2"/>
        <v>(850, 900]</v>
      </c>
      <c r="I199" s="62">
        <v>0.01</v>
      </c>
      <c r="J199" s="59">
        <v>1.7766111524631612E-4</v>
      </c>
      <c r="K199" s="59">
        <v>1.9870953422006013E-4</v>
      </c>
      <c r="L199" s="84">
        <v>198709</v>
      </c>
      <c r="M199" s="59">
        <v>1.9870900377547108E-4</v>
      </c>
      <c r="N199" s="59">
        <v>0.17378388918696813</v>
      </c>
      <c r="O199" s="121">
        <v>9.4999999999999998E-3</v>
      </c>
      <c r="P199" s="59">
        <v>1.9870900377547108E-4</v>
      </c>
      <c r="Q199" s="59">
        <v>0</v>
      </c>
      <c r="R199" s="83">
        <v>0</v>
      </c>
      <c r="S199" s="104"/>
      <c r="T199" s="62"/>
      <c r="U199" s="62"/>
    </row>
    <row r="200" spans="1:21" x14ac:dyDescent="0.3">
      <c r="A200" s="58">
        <v>900</v>
      </c>
      <c r="B200" s="58">
        <v>950</v>
      </c>
      <c r="C200" s="94">
        <v>36022</v>
      </c>
      <c r="D200" s="94">
        <v>3330614055</v>
      </c>
      <c r="E200" s="59">
        <v>1.5969329241179785E-2</v>
      </c>
      <c r="F200" s="93">
        <v>924.60553411803892</v>
      </c>
      <c r="G200" s="100"/>
      <c r="H200" s="61" t="str">
        <f t="shared" si="2"/>
        <v>(900, 950]</v>
      </c>
      <c r="I200" s="62">
        <v>0.01</v>
      </c>
      <c r="J200" s="59">
        <v>1.5969329241179785E-4</v>
      </c>
      <c r="K200" s="59">
        <v>1.7861297171990035E-4</v>
      </c>
      <c r="L200" s="84">
        <v>178612</v>
      </c>
      <c r="M200" s="59">
        <v>1.7861200339362807E-4</v>
      </c>
      <c r="N200" s="59">
        <v>0.16514564679765847</v>
      </c>
      <c r="O200" s="121">
        <v>9.4999999999999998E-3</v>
      </c>
      <c r="P200" s="59">
        <v>1.7861200339362807E-4</v>
      </c>
      <c r="Q200" s="59">
        <v>0</v>
      </c>
      <c r="R200" s="83">
        <v>0</v>
      </c>
      <c r="S200" s="104"/>
      <c r="T200" s="62"/>
      <c r="U200" s="62"/>
    </row>
    <row r="201" spans="1:21" x14ac:dyDescent="0.3">
      <c r="A201" s="58">
        <v>950</v>
      </c>
      <c r="B201" s="58">
        <v>1000</v>
      </c>
      <c r="C201" s="94">
        <v>32499</v>
      </c>
      <c r="D201" s="94">
        <v>3167230605</v>
      </c>
      <c r="E201" s="59">
        <v>1.4407507384628889E-2</v>
      </c>
      <c r="F201" s="93">
        <v>974.56248038401191</v>
      </c>
      <c r="G201" s="100"/>
      <c r="H201" s="61" t="str">
        <f t="shared" si="2"/>
        <v>(950, 1000]</v>
      </c>
      <c r="I201" s="62">
        <v>0.01</v>
      </c>
      <c r="J201" s="59">
        <v>1.4407507384628888E-4</v>
      </c>
      <c r="K201" s="59">
        <v>1.6114438309713621E-4</v>
      </c>
      <c r="L201" s="84">
        <v>161144</v>
      </c>
      <c r="M201" s="59">
        <v>1.6114400306173606E-4</v>
      </c>
      <c r="N201" s="59">
        <v>0.15704489932285431</v>
      </c>
      <c r="O201" s="121">
        <v>9.4999999999999998E-3</v>
      </c>
      <c r="P201" s="59">
        <v>1.6114400306173606E-4</v>
      </c>
      <c r="Q201" s="59">
        <v>0</v>
      </c>
      <c r="R201" s="83">
        <v>0</v>
      </c>
      <c r="S201" s="104"/>
      <c r="T201" s="62"/>
      <c r="U201" s="62"/>
    </row>
    <row r="202" spans="1:21" x14ac:dyDescent="0.3">
      <c r="A202" s="58">
        <v>1000</v>
      </c>
      <c r="B202" s="58">
        <v>2000</v>
      </c>
      <c r="C202" s="94">
        <v>266709</v>
      </c>
      <c r="D202" s="94">
        <v>36056287645</v>
      </c>
      <c r="E202" s="59">
        <v>0.11823784999683025</v>
      </c>
      <c r="F202" s="93">
        <v>1351.8961731700092</v>
      </c>
      <c r="G202" s="100"/>
      <c r="H202" s="61" t="str">
        <f t="shared" si="2"/>
        <v>(1000, 2000]</v>
      </c>
      <c r="I202" s="62">
        <v>1E-3</v>
      </c>
      <c r="J202" s="59">
        <v>1.1823784999683025E-4</v>
      </c>
      <c r="K202" s="59">
        <v>1.3224609148421214E-4</v>
      </c>
      <c r="L202" s="84">
        <v>132246</v>
      </c>
      <c r="M202" s="59">
        <v>1.3224600251267405E-4</v>
      </c>
      <c r="N202" s="59">
        <v>0.17878286471391547</v>
      </c>
      <c r="O202" s="121">
        <v>9.5E-4</v>
      </c>
      <c r="P202" s="59">
        <v>1.3224600251267405E-4</v>
      </c>
      <c r="Q202" s="59">
        <v>0</v>
      </c>
      <c r="R202" s="83">
        <v>0</v>
      </c>
      <c r="S202" s="104"/>
      <c r="T202" s="62"/>
      <c r="U202" s="62"/>
    </row>
    <row r="203" spans="1:21" x14ac:dyDescent="0.3">
      <c r="A203" s="58">
        <v>2000</v>
      </c>
      <c r="B203" s="58">
        <v>3000</v>
      </c>
      <c r="C203" s="94">
        <v>51638</v>
      </c>
      <c r="D203" s="94">
        <v>12342976850</v>
      </c>
      <c r="E203" s="59">
        <v>2.2892238725113589E-2</v>
      </c>
      <c r="F203" s="93">
        <v>2390.289486424726</v>
      </c>
      <c r="H203" s="61" t="str">
        <f t="shared" si="2"/>
        <v>(2000, 3000]</v>
      </c>
      <c r="I203" s="62">
        <v>1.6500000000000001E-2</v>
      </c>
      <c r="J203" s="59">
        <v>3.7772193896437427E-4</v>
      </c>
      <c r="K203" s="59">
        <v>4.2247258468600173E-4</v>
      </c>
      <c r="L203" s="84">
        <v>422472</v>
      </c>
      <c r="M203" s="59">
        <v>4.2247200802696816E-4</v>
      </c>
      <c r="N203" s="59">
        <v>1.0098303990956043</v>
      </c>
      <c r="O203" s="121">
        <v>1.5675000000000001E-2</v>
      </c>
      <c r="P203" s="59">
        <v>4.2247200802696816E-4</v>
      </c>
      <c r="Q203" s="59">
        <v>0</v>
      </c>
      <c r="R203" s="83">
        <v>0</v>
      </c>
      <c r="T203" s="62"/>
      <c r="U203" s="62"/>
    </row>
    <row r="204" spans="1:21" x14ac:dyDescent="0.3">
      <c r="A204" s="58">
        <v>3000</v>
      </c>
      <c r="B204" s="58">
        <v>4000</v>
      </c>
      <c r="C204" s="94">
        <v>15525</v>
      </c>
      <c r="D204" s="94">
        <v>5296872700</v>
      </c>
      <c r="E204" s="59">
        <v>6.8825672219564758E-3</v>
      </c>
      <c r="F204" s="93">
        <v>3411.8342673107891</v>
      </c>
      <c r="H204" s="61" t="str">
        <f t="shared" si="2"/>
        <v>(3000, 4000]</v>
      </c>
      <c r="I204" s="62">
        <v>7.3509189062499983E-3</v>
      </c>
      <c r="J204" s="59">
        <v>5.0593193515416387E-5</v>
      </c>
      <c r="K204" s="59">
        <v>5.6587227341308822E-5</v>
      </c>
      <c r="L204" s="84">
        <v>56587</v>
      </c>
      <c r="M204" s="59">
        <v>5.658700107515302E-5</v>
      </c>
      <c r="N204" s="59">
        <v>0.19306546935255953</v>
      </c>
      <c r="O204" s="121">
        <v>6.9833729609374978E-3</v>
      </c>
      <c r="P204" s="59">
        <v>5.658700107515302E-5</v>
      </c>
      <c r="Q204" s="59">
        <v>0</v>
      </c>
      <c r="R204" s="83">
        <v>0</v>
      </c>
      <c r="T204" s="62"/>
      <c r="U204" s="62"/>
    </row>
    <row r="205" spans="1:21" x14ac:dyDescent="0.3">
      <c r="A205" s="58">
        <v>4000</v>
      </c>
      <c r="B205" s="58">
        <v>5000</v>
      </c>
      <c r="C205" s="94">
        <v>5828</v>
      </c>
      <c r="D205" s="94">
        <v>2578188680</v>
      </c>
      <c r="E205" s="59">
        <v>2.5836780527898448E-3</v>
      </c>
      <c r="F205" s="93">
        <v>4423.796636925189</v>
      </c>
      <c r="H205" s="61" t="str">
        <f t="shared" si="2"/>
        <v>(4000, 5000]</v>
      </c>
      <c r="I205" s="62">
        <v>0.01</v>
      </c>
      <c r="J205" s="59">
        <v>2.5836780527898449E-5</v>
      </c>
      <c r="K205" s="59">
        <v>2.8897795768796271E-5</v>
      </c>
      <c r="L205" s="84">
        <v>28897</v>
      </c>
      <c r="M205" s="59">
        <v>2.889700054904301E-5</v>
      </c>
      <c r="N205" s="59">
        <v>0.1278344538460818</v>
      </c>
      <c r="O205" s="121">
        <v>9.4999999999999998E-3</v>
      </c>
      <c r="P205" s="59">
        <v>2.889700054904301E-5</v>
      </c>
      <c r="Q205" s="59">
        <v>0</v>
      </c>
      <c r="R205" s="83">
        <v>0</v>
      </c>
      <c r="T205" s="62"/>
      <c r="U205" s="62"/>
    </row>
    <row r="206" spans="1:21" x14ac:dyDescent="0.3">
      <c r="A206" s="58">
        <v>5000</v>
      </c>
      <c r="B206" s="58">
        <v>6000</v>
      </c>
      <c r="C206" s="94">
        <v>2440</v>
      </c>
      <c r="D206" s="94">
        <v>1323523495</v>
      </c>
      <c r="E206" s="59">
        <v>1.081704606864657E-3</v>
      </c>
      <c r="F206" s="93">
        <v>5424.2766188524593</v>
      </c>
      <c r="H206" s="61" t="str">
        <f t="shared" si="2"/>
        <v>(5000, 6000]</v>
      </c>
      <c r="I206" s="62">
        <v>0.01</v>
      </c>
      <c r="J206" s="59">
        <v>1.081704606864657E-5</v>
      </c>
      <c r="K206" s="59">
        <v>1.2098596718576337E-5</v>
      </c>
      <c r="L206" s="84">
        <v>12098</v>
      </c>
      <c r="M206" s="59">
        <v>1.2098000229862004E-5</v>
      </c>
      <c r="N206" s="59">
        <v>6.5622899781712152E-2</v>
      </c>
      <c r="O206" s="121">
        <v>9.4999999999999998E-3</v>
      </c>
      <c r="P206" s="59">
        <v>1.2098000229862004E-5</v>
      </c>
      <c r="Q206" s="59">
        <v>0</v>
      </c>
      <c r="R206" s="83">
        <v>0</v>
      </c>
      <c r="T206" s="62"/>
      <c r="U206" s="62"/>
    </row>
    <row r="207" spans="1:21" x14ac:dyDescent="0.3">
      <c r="A207" s="58">
        <v>6000</v>
      </c>
      <c r="B207" s="58">
        <v>7000</v>
      </c>
      <c r="C207" s="94">
        <v>1152</v>
      </c>
      <c r="D207" s="94">
        <v>743579095</v>
      </c>
      <c r="E207" s="59">
        <v>5.1070643733937911E-4</v>
      </c>
      <c r="F207" s="93">
        <v>6454.6796440972221</v>
      </c>
      <c r="H207" s="61" t="str">
        <f t="shared" si="2"/>
        <v>(6000, 7000]</v>
      </c>
      <c r="I207" s="62">
        <v>0</v>
      </c>
      <c r="J207" s="59">
        <v>0</v>
      </c>
      <c r="K207" s="59">
        <v>0</v>
      </c>
      <c r="L207" s="84">
        <v>0</v>
      </c>
      <c r="M207" s="59">
        <v>0</v>
      </c>
      <c r="N207" s="59">
        <v>0</v>
      </c>
      <c r="O207" s="121">
        <v>0</v>
      </c>
      <c r="P207" s="59">
        <v>0</v>
      </c>
      <c r="Q207" s="59">
        <v>0</v>
      </c>
      <c r="R207" s="83">
        <v>0</v>
      </c>
      <c r="T207" s="62"/>
      <c r="U207" s="62"/>
    </row>
    <row r="208" spans="1:21" x14ac:dyDescent="0.3">
      <c r="A208" s="58">
        <v>7000</v>
      </c>
      <c r="B208" s="58">
        <v>8000</v>
      </c>
      <c r="C208" s="94">
        <v>571</v>
      </c>
      <c r="D208" s="94">
        <v>424387235</v>
      </c>
      <c r="E208" s="59">
        <v>2.5313661086873737E-4</v>
      </c>
      <c r="F208" s="93">
        <v>7432.3508756567426</v>
      </c>
      <c r="H208" s="61" t="str">
        <f t="shared" si="2"/>
        <v>(7000, 8000]</v>
      </c>
      <c r="I208" s="62">
        <v>0</v>
      </c>
      <c r="J208" s="59">
        <v>0</v>
      </c>
      <c r="K208" s="59">
        <v>0</v>
      </c>
      <c r="L208" s="84">
        <v>0</v>
      </c>
      <c r="M208" s="59">
        <v>0</v>
      </c>
      <c r="N208" s="59">
        <v>0</v>
      </c>
      <c r="O208" s="121">
        <v>0</v>
      </c>
      <c r="P208" s="59">
        <v>0</v>
      </c>
      <c r="Q208" s="59">
        <v>0</v>
      </c>
      <c r="R208" s="83">
        <v>0</v>
      </c>
      <c r="T208" s="62"/>
      <c r="U208" s="62"/>
    </row>
    <row r="209" spans="1:21" x14ac:dyDescent="0.3">
      <c r="A209" s="58">
        <v>8000</v>
      </c>
      <c r="B209" s="58">
        <v>9000</v>
      </c>
      <c r="C209" s="94">
        <v>315</v>
      </c>
      <c r="D209" s="94">
        <v>267049600</v>
      </c>
      <c r="E209" s="59">
        <v>1.3964629145998646E-4</v>
      </c>
      <c r="F209" s="93">
        <v>8477.7650793650791</v>
      </c>
      <c r="H209" s="61" t="str">
        <f t="shared" si="2"/>
        <v>(8000, 9000]</v>
      </c>
      <c r="I209" s="62">
        <v>0</v>
      </c>
      <c r="J209" s="59">
        <v>0</v>
      </c>
      <c r="K209" s="59">
        <v>0</v>
      </c>
      <c r="L209" s="84">
        <v>0</v>
      </c>
      <c r="M209" s="59">
        <v>0</v>
      </c>
      <c r="N209" s="59">
        <v>0</v>
      </c>
      <c r="O209" s="121">
        <v>0</v>
      </c>
      <c r="P209" s="59">
        <v>0</v>
      </c>
      <c r="Q209" s="59">
        <v>0</v>
      </c>
      <c r="R209" s="83">
        <v>0</v>
      </c>
      <c r="T209" s="62"/>
      <c r="U209" s="62"/>
    </row>
    <row r="210" spans="1:21" x14ac:dyDescent="0.3">
      <c r="A210" s="58">
        <v>9000</v>
      </c>
      <c r="B210" s="58">
        <v>10000</v>
      </c>
      <c r="C210" s="94">
        <v>164</v>
      </c>
      <c r="D210" s="94">
        <v>154942415</v>
      </c>
      <c r="E210" s="59">
        <v>7.2704735871231043E-5</v>
      </c>
      <c r="F210" s="93">
        <v>9447.7082317073164</v>
      </c>
      <c r="H210" s="61" t="str">
        <f t="shared" si="2"/>
        <v>(9000, 10000]</v>
      </c>
      <c r="I210" s="62">
        <v>0</v>
      </c>
      <c r="J210" s="59">
        <v>0</v>
      </c>
      <c r="K210" s="59">
        <v>0</v>
      </c>
      <c r="L210" s="84">
        <v>0</v>
      </c>
      <c r="M210" s="59">
        <v>0</v>
      </c>
      <c r="N210" s="59">
        <v>0</v>
      </c>
      <c r="O210" s="121">
        <v>0</v>
      </c>
      <c r="P210" s="59">
        <v>0</v>
      </c>
      <c r="Q210" s="59">
        <v>0</v>
      </c>
      <c r="R210" s="83">
        <v>0</v>
      </c>
      <c r="T210" s="62"/>
      <c r="U210" s="62"/>
    </row>
    <row r="211" spans="1:21" x14ac:dyDescent="0.3">
      <c r="A211" s="58">
        <v>10000</v>
      </c>
      <c r="B211" s="58">
        <v>20000</v>
      </c>
      <c r="C211" s="94">
        <v>263</v>
      </c>
      <c r="D211" s="94">
        <v>322577335</v>
      </c>
      <c r="E211" s="59">
        <v>1.1659357033008393E-4</v>
      </c>
      <c r="F211" s="93">
        <v>12265.297908745248</v>
      </c>
      <c r="G211" s="51">
        <f>1/SUM(M205:M211)</f>
        <v>24393.218221734358</v>
      </c>
      <c r="H211" s="61" t="str">
        <f t="shared" si="2"/>
        <v>(10000, 20000]</v>
      </c>
      <c r="I211" s="62">
        <v>0</v>
      </c>
      <c r="J211" s="59">
        <v>0</v>
      </c>
      <c r="K211" s="59">
        <v>0</v>
      </c>
      <c r="L211" s="84">
        <v>0</v>
      </c>
      <c r="M211" s="59">
        <v>0</v>
      </c>
      <c r="N211" s="59">
        <v>0</v>
      </c>
      <c r="O211" s="121">
        <v>0</v>
      </c>
      <c r="P211" s="59">
        <v>0</v>
      </c>
      <c r="Q211" s="59">
        <v>0</v>
      </c>
      <c r="R211" s="83">
        <v>0</v>
      </c>
      <c r="T211" s="62"/>
      <c r="U211" s="62"/>
    </row>
    <row r="212" spans="1:21" x14ac:dyDescent="0.3">
      <c r="A212" s="58">
        <v>20000</v>
      </c>
      <c r="B212" s="58">
        <v>30000</v>
      </c>
      <c r="C212" s="94">
        <v>5</v>
      </c>
      <c r="D212" s="94">
        <v>11270920</v>
      </c>
      <c r="E212" s="59">
        <v>2.2166078009521658E-6</v>
      </c>
      <c r="F212" s="93">
        <v>22541.84</v>
      </c>
      <c r="H212" s="61" t="str">
        <f t="shared" si="2"/>
        <v>(20000, 30000]</v>
      </c>
      <c r="I212" s="62">
        <v>0</v>
      </c>
      <c r="J212" s="59">
        <v>0</v>
      </c>
      <c r="K212" s="59">
        <v>0</v>
      </c>
      <c r="L212" s="84">
        <v>0</v>
      </c>
      <c r="M212" s="59">
        <v>0</v>
      </c>
      <c r="N212" s="59">
        <v>0</v>
      </c>
      <c r="O212" s="121">
        <v>0</v>
      </c>
      <c r="P212" s="59">
        <v>0</v>
      </c>
      <c r="Q212" s="59">
        <v>0</v>
      </c>
      <c r="R212" s="83">
        <v>0</v>
      </c>
      <c r="T212" s="62"/>
      <c r="U212" s="62"/>
    </row>
    <row r="213" spans="1:21" x14ac:dyDescent="0.3">
      <c r="A213" s="58">
        <v>30000</v>
      </c>
      <c r="B213" s="58">
        <v>40000</v>
      </c>
      <c r="C213" s="94">
        <v>0</v>
      </c>
      <c r="D213" s="94">
        <v>0</v>
      </c>
      <c r="E213" s="59">
        <v>0</v>
      </c>
      <c r="F213" s="93">
        <v>0</v>
      </c>
      <c r="H213" s="61" t="str">
        <f t="shared" si="2"/>
        <v>(30000, 40000]</v>
      </c>
      <c r="I213" s="62">
        <v>0</v>
      </c>
      <c r="J213" s="59">
        <v>0</v>
      </c>
      <c r="K213" s="59">
        <v>0</v>
      </c>
      <c r="L213" s="84">
        <v>0</v>
      </c>
      <c r="M213" s="59">
        <v>0</v>
      </c>
      <c r="N213" s="59">
        <v>0</v>
      </c>
      <c r="O213" s="121">
        <v>0</v>
      </c>
      <c r="P213" s="59">
        <v>0</v>
      </c>
      <c r="Q213" s="59">
        <v>0</v>
      </c>
      <c r="R213" s="83">
        <v>0</v>
      </c>
      <c r="T213" s="62"/>
      <c r="U213" s="62"/>
    </row>
    <row r="214" spans="1:21" x14ac:dyDescent="0.3">
      <c r="A214" s="58">
        <v>40000</v>
      </c>
      <c r="B214" s="58">
        <v>50000</v>
      </c>
      <c r="C214" s="94">
        <v>0</v>
      </c>
      <c r="D214" s="94">
        <v>0</v>
      </c>
      <c r="E214" s="59">
        <v>0</v>
      </c>
      <c r="F214" s="93">
        <v>0</v>
      </c>
      <c r="H214" s="61" t="str">
        <f t="shared" si="2"/>
        <v>(40000, 50000]</v>
      </c>
      <c r="I214" s="62">
        <v>0</v>
      </c>
      <c r="J214" s="59">
        <v>0</v>
      </c>
      <c r="K214" s="59">
        <v>0</v>
      </c>
      <c r="L214" s="84">
        <v>0</v>
      </c>
      <c r="M214" s="59">
        <v>0</v>
      </c>
      <c r="N214" s="59">
        <v>0</v>
      </c>
      <c r="O214" s="121">
        <v>0</v>
      </c>
      <c r="P214" s="59">
        <v>0</v>
      </c>
      <c r="Q214" s="59">
        <v>0</v>
      </c>
      <c r="R214" s="83">
        <v>0</v>
      </c>
      <c r="T214" s="62"/>
      <c r="U214" s="62"/>
    </row>
    <row r="215" spans="1:21" x14ac:dyDescent="0.3">
      <c r="A215" s="58">
        <v>50000</v>
      </c>
      <c r="B215" s="58">
        <v>60000</v>
      </c>
      <c r="C215" s="94">
        <v>0</v>
      </c>
      <c r="D215" s="94">
        <v>0</v>
      </c>
      <c r="E215" s="59">
        <v>0</v>
      </c>
      <c r="F215" s="93">
        <v>0</v>
      </c>
      <c r="H215" s="61" t="str">
        <f t="shared" si="2"/>
        <v>(50000, 60000]</v>
      </c>
      <c r="I215" s="62">
        <v>0</v>
      </c>
      <c r="J215" s="59">
        <v>0</v>
      </c>
      <c r="K215" s="59">
        <v>0</v>
      </c>
      <c r="L215" s="84">
        <v>0</v>
      </c>
      <c r="M215" s="59">
        <v>0</v>
      </c>
      <c r="N215" s="59">
        <v>0</v>
      </c>
      <c r="O215" s="121">
        <v>0</v>
      </c>
      <c r="P215" s="59">
        <v>0</v>
      </c>
      <c r="Q215" s="59">
        <v>0</v>
      </c>
      <c r="R215" s="83">
        <v>0</v>
      </c>
      <c r="T215" s="62"/>
      <c r="U215" s="62"/>
    </row>
    <row r="216" spans="1:21" x14ac:dyDescent="0.3">
      <c r="A216" s="58">
        <v>60000</v>
      </c>
      <c r="B216" s="58">
        <v>70000</v>
      </c>
      <c r="C216" s="94">
        <v>0</v>
      </c>
      <c r="D216" s="94">
        <v>0</v>
      </c>
      <c r="E216" s="59">
        <v>0</v>
      </c>
      <c r="F216" s="93">
        <v>0</v>
      </c>
      <c r="H216" s="61" t="str">
        <f t="shared" si="2"/>
        <v>(60000, 70000]</v>
      </c>
      <c r="I216" s="62">
        <v>0</v>
      </c>
      <c r="J216" s="59">
        <v>0</v>
      </c>
      <c r="K216" s="59">
        <v>0</v>
      </c>
      <c r="L216" s="84">
        <v>0</v>
      </c>
      <c r="M216" s="59">
        <v>0</v>
      </c>
      <c r="N216" s="59">
        <v>0</v>
      </c>
      <c r="O216" s="121">
        <v>0</v>
      </c>
      <c r="P216" s="59">
        <v>0</v>
      </c>
      <c r="Q216" s="59">
        <v>0</v>
      </c>
      <c r="R216" s="83">
        <v>0</v>
      </c>
      <c r="T216" s="62"/>
      <c r="U216" s="62"/>
    </row>
    <row r="217" spans="1:21" x14ac:dyDescent="0.3">
      <c r="A217" s="58">
        <v>70000</v>
      </c>
      <c r="B217" s="58">
        <v>80000</v>
      </c>
      <c r="C217" s="94">
        <v>0</v>
      </c>
      <c r="D217" s="94">
        <v>0</v>
      </c>
      <c r="E217" s="59">
        <v>0</v>
      </c>
      <c r="F217" s="93">
        <v>0</v>
      </c>
      <c r="H217" s="61" t="str">
        <f t="shared" si="2"/>
        <v>(70000, 80000]</v>
      </c>
      <c r="I217" s="62">
        <v>0</v>
      </c>
      <c r="J217" s="59">
        <v>0</v>
      </c>
      <c r="K217" s="59">
        <v>0</v>
      </c>
      <c r="L217" s="84">
        <v>0</v>
      </c>
      <c r="M217" s="59">
        <v>0</v>
      </c>
      <c r="N217" s="59">
        <v>0</v>
      </c>
      <c r="O217" s="121">
        <v>0</v>
      </c>
      <c r="P217" s="59">
        <v>0</v>
      </c>
      <c r="Q217" s="59">
        <v>0</v>
      </c>
      <c r="R217" s="83">
        <v>0</v>
      </c>
      <c r="T217" s="62"/>
      <c r="U217" s="62"/>
    </row>
    <row r="218" spans="1:21" x14ac:dyDescent="0.3">
      <c r="A218" s="58">
        <v>80000</v>
      </c>
      <c r="B218" s="58">
        <v>90000</v>
      </c>
      <c r="C218" s="94">
        <v>0</v>
      </c>
      <c r="D218" s="94">
        <v>0</v>
      </c>
      <c r="E218" s="59">
        <v>0</v>
      </c>
      <c r="F218" s="93">
        <v>0</v>
      </c>
      <c r="H218" s="61" t="str">
        <f t="shared" si="2"/>
        <v>(80000, 90000]</v>
      </c>
      <c r="I218" s="62">
        <v>0</v>
      </c>
      <c r="J218" s="59">
        <v>0</v>
      </c>
      <c r="K218" s="59">
        <v>0</v>
      </c>
      <c r="L218" s="84">
        <v>0</v>
      </c>
      <c r="M218" s="59">
        <v>0</v>
      </c>
      <c r="N218" s="59">
        <v>0</v>
      </c>
      <c r="O218" s="121">
        <v>0</v>
      </c>
      <c r="P218" s="59">
        <v>0</v>
      </c>
      <c r="Q218" s="59">
        <v>0</v>
      </c>
      <c r="R218" s="83">
        <v>0</v>
      </c>
      <c r="T218" s="62"/>
      <c r="U218" s="62"/>
    </row>
    <row r="219" spans="1:21" x14ac:dyDescent="0.3">
      <c r="A219" s="58">
        <v>90000</v>
      </c>
      <c r="B219" s="58">
        <v>100000</v>
      </c>
      <c r="C219" s="94">
        <v>0</v>
      </c>
      <c r="D219" s="94">
        <v>0</v>
      </c>
      <c r="E219" s="59">
        <v>0</v>
      </c>
      <c r="F219" s="93">
        <v>0</v>
      </c>
      <c r="H219" s="61" t="str">
        <f t="shared" si="2"/>
        <v>(90000, 100000]</v>
      </c>
      <c r="I219" s="62">
        <v>0</v>
      </c>
      <c r="J219" s="59">
        <v>0</v>
      </c>
      <c r="K219" s="59">
        <v>0</v>
      </c>
      <c r="L219" s="84">
        <v>0</v>
      </c>
      <c r="M219" s="59">
        <v>0</v>
      </c>
      <c r="N219" s="59">
        <v>0</v>
      </c>
      <c r="O219" s="121">
        <v>0</v>
      </c>
      <c r="P219" s="59">
        <v>0</v>
      </c>
      <c r="Q219" s="59">
        <v>0</v>
      </c>
      <c r="R219" s="83">
        <v>0</v>
      </c>
      <c r="T219" s="62"/>
      <c r="U219" s="62"/>
    </row>
    <row r="220" spans="1:21" x14ac:dyDescent="0.3">
      <c r="A220" s="58">
        <v>100000</v>
      </c>
      <c r="B220" s="58">
        <v>9999999</v>
      </c>
      <c r="C220" s="94">
        <v>0</v>
      </c>
      <c r="D220" s="94">
        <v>0</v>
      </c>
      <c r="E220" s="59">
        <v>0</v>
      </c>
      <c r="F220" s="93">
        <v>0</v>
      </c>
      <c r="H220" s="61" t="str">
        <f t="shared" si="2"/>
        <v>(100000, 9999999]</v>
      </c>
      <c r="I220" s="62">
        <v>0</v>
      </c>
      <c r="J220" s="59">
        <v>0</v>
      </c>
      <c r="K220" s="59">
        <v>0</v>
      </c>
      <c r="L220" s="84">
        <v>0</v>
      </c>
      <c r="M220" s="59">
        <v>0</v>
      </c>
      <c r="N220" s="59">
        <v>0</v>
      </c>
      <c r="O220" s="121">
        <v>0</v>
      </c>
      <c r="P220" s="59">
        <v>0</v>
      </c>
      <c r="Q220" s="59">
        <v>0</v>
      </c>
      <c r="R220" s="83">
        <v>0</v>
      </c>
      <c r="T220" s="62"/>
      <c r="U220" s="62"/>
    </row>
  </sheetData>
  <mergeCells count="5">
    <mergeCell ref="A11:D11"/>
    <mergeCell ref="A80:B80"/>
    <mergeCell ref="A83:D83"/>
    <mergeCell ref="A79:B79"/>
    <mergeCell ref="A153:D153"/>
  </mergeCells>
  <phoneticPr fontId="20" type="noConversion"/>
  <conditionalFormatting sqref="M17:M78"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87:M150">
    <cfRule type="dataBar" priority="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19:P78"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89:P150"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89:Q150"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5:E78">
    <cfRule type="cellIs" dxfId="132" priority="85" operator="lessThan">
      <formula>0.001</formula>
    </cfRule>
  </conditionalFormatting>
  <conditionalFormatting sqref="E87:E150">
    <cfRule type="cellIs" dxfId="131" priority="83" operator="lessThan">
      <formula>0.001</formula>
    </cfRule>
  </conditionalFormatting>
  <conditionalFormatting sqref="Q19:Q78"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157:M220"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157:N220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159:P220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157:E220">
    <cfRule type="cellIs" dxfId="130" priority="57" operator="lessThan">
      <formula>0.001</formula>
    </cfRule>
  </conditionalFormatting>
  <conditionalFormatting sqref="N15:N79">
    <cfRule type="dataBar" priority="1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87:N150">
    <cfRule type="dataBar" priority="1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Q159:Q22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{0EF251BC-1772-4581-A537-6A26532FCD98}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P19:P78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0EF251BC-1772-4581-A537-6A26532FC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B3:E55"/>
  <sheetViews>
    <sheetView topLeftCell="A16" workbookViewId="0">
      <selection activeCell="H40" sqref="H40"/>
    </sheetView>
  </sheetViews>
  <sheetFormatPr defaultRowHeight="15.6" x14ac:dyDescent="0.3"/>
  <cols>
    <col min="1" max="1" width="8.88671875" style="24"/>
    <col min="2" max="2" width="20.33203125" style="17" customWidth="1"/>
    <col min="3" max="3" width="24.109375" style="24" bestFit="1" customWidth="1"/>
    <col min="4" max="5" width="20.5546875" style="24" customWidth="1"/>
    <col min="6" max="9" width="16.5546875" style="24" customWidth="1"/>
    <col min="10" max="10" width="8.88671875" style="24"/>
    <col min="11" max="11" width="12.44140625" style="24" bestFit="1" customWidth="1"/>
    <col min="12" max="12" width="11" style="24" bestFit="1" customWidth="1"/>
    <col min="13" max="16384" width="8.88671875" style="24"/>
  </cols>
  <sheetData>
    <row r="3" spans="2:5" x14ac:dyDescent="0.3">
      <c r="B3" s="17" t="s">
        <v>114</v>
      </c>
    </row>
    <row r="4" spans="2:5" x14ac:dyDescent="0.3">
      <c r="B4" s="97" t="s">
        <v>87</v>
      </c>
      <c r="C4" s="109"/>
      <c r="D4" s="109"/>
      <c r="E4" s="24" t="e">
        <f>SUM(D4:D5)/C4</f>
        <v>#DIV/0!</v>
      </c>
    </row>
    <row r="5" spans="2:5" x14ac:dyDescent="0.3">
      <c r="B5" s="97" t="s">
        <v>86</v>
      </c>
      <c r="C5" s="49"/>
      <c r="D5" s="109"/>
    </row>
    <row r="7" spans="2:5" x14ac:dyDescent="0.3">
      <c r="B7" s="17" t="s">
        <v>116</v>
      </c>
    </row>
    <row r="8" spans="2:5" x14ac:dyDescent="0.3">
      <c r="B8" s="97" t="s">
        <v>87</v>
      </c>
      <c r="C8" s="125"/>
      <c r="D8" s="125"/>
      <c r="E8" s="24" t="e">
        <f>SUM(D8:D9)/C8</f>
        <v>#DIV/0!</v>
      </c>
    </row>
    <row r="9" spans="2:5" x14ac:dyDescent="0.3">
      <c r="B9" s="97" t="s">
        <v>86</v>
      </c>
      <c r="C9" s="126"/>
      <c r="D9" s="125"/>
    </row>
    <row r="11" spans="2:5" x14ac:dyDescent="0.3">
      <c r="B11" s="17" t="s">
        <v>120</v>
      </c>
    </row>
    <row r="12" spans="2:5" x14ac:dyDescent="0.3">
      <c r="B12" s="97" t="s">
        <v>87</v>
      </c>
      <c r="C12" s="109">
        <v>100000000</v>
      </c>
      <c r="D12" s="109">
        <v>27348674</v>
      </c>
      <c r="E12" s="24">
        <f>SUM(D12:D13)/C12</f>
        <v>0.28590684</v>
      </c>
    </row>
    <row r="13" spans="2:5" x14ac:dyDescent="0.3">
      <c r="B13" s="97" t="s">
        <v>86</v>
      </c>
      <c r="C13" s="49"/>
      <c r="D13" s="109">
        <v>1242010</v>
      </c>
    </row>
    <row r="15" spans="2:5" x14ac:dyDescent="0.3">
      <c r="B15" s="17" t="s">
        <v>118</v>
      </c>
    </row>
    <row r="16" spans="2:5" x14ac:dyDescent="0.3">
      <c r="B16" s="97" t="s">
        <v>87</v>
      </c>
      <c r="C16" s="109"/>
      <c r="D16" s="109"/>
      <c r="E16" s="24" t="e">
        <f>SUM(D16:D17)/C16</f>
        <v>#DIV/0!</v>
      </c>
    </row>
    <row r="17" spans="2:5" x14ac:dyDescent="0.3">
      <c r="B17" s="97" t="s">
        <v>86</v>
      </c>
      <c r="C17" s="49"/>
      <c r="D17" s="109"/>
    </row>
    <row r="19" spans="2:5" x14ac:dyDescent="0.3">
      <c r="B19" s="17" t="s">
        <v>122</v>
      </c>
    </row>
    <row r="20" spans="2:5" x14ac:dyDescent="0.3">
      <c r="B20" s="97" t="s">
        <v>87</v>
      </c>
      <c r="C20" s="109">
        <v>1000000000</v>
      </c>
      <c r="D20" s="109">
        <v>1000000000</v>
      </c>
      <c r="E20" s="24">
        <f>SUM(D20:D21)/C20</f>
        <v>5.4156458589999996</v>
      </c>
    </row>
    <row r="21" spans="2:5" x14ac:dyDescent="0.3">
      <c r="B21" s="97" t="s">
        <v>86</v>
      </c>
      <c r="C21" s="49"/>
      <c r="D21" s="109">
        <v>4415645859</v>
      </c>
    </row>
    <row r="23" spans="2:5" x14ac:dyDescent="0.3">
      <c r="B23" s="17" t="s">
        <v>124</v>
      </c>
    </row>
    <row r="24" spans="2:5" x14ac:dyDescent="0.3">
      <c r="B24" s="97" t="s">
        <v>87</v>
      </c>
      <c r="C24" s="109"/>
      <c r="D24" s="109"/>
      <c r="E24" s="24" t="e">
        <f>SUM(D24:D25)/C24</f>
        <v>#DIV/0!</v>
      </c>
    </row>
    <row r="25" spans="2:5" x14ac:dyDescent="0.3">
      <c r="B25" s="97" t="s">
        <v>86</v>
      </c>
      <c r="C25" s="49"/>
      <c r="D25" s="109"/>
    </row>
    <row r="28" spans="2:5" x14ac:dyDescent="0.3">
      <c r="B28" s="97" t="s">
        <v>62</v>
      </c>
      <c r="C28" s="123">
        <v>10000000000</v>
      </c>
    </row>
    <row r="30" spans="2:5" x14ac:dyDescent="0.3">
      <c r="B30" s="124" t="s">
        <v>113</v>
      </c>
      <c r="C30" s="110" t="e">
        <f>ROUND(E4*$C$28, 0)</f>
        <v>#DIV/0!</v>
      </c>
    </row>
    <row r="31" spans="2:5" x14ac:dyDescent="0.3">
      <c r="B31" s="124" t="s">
        <v>115</v>
      </c>
      <c r="C31" s="110" t="e">
        <f>ROUND(E8*$C$28, 0)</f>
        <v>#DIV/0!</v>
      </c>
    </row>
    <row r="32" spans="2:5" x14ac:dyDescent="0.3">
      <c r="B32" s="124" t="s">
        <v>119</v>
      </c>
      <c r="C32" s="110">
        <f>ROUND(E12*$C$28, 0)</f>
        <v>2859068400</v>
      </c>
    </row>
    <row r="33" spans="2:3" x14ac:dyDescent="0.3">
      <c r="B33" s="124" t="s">
        <v>117</v>
      </c>
      <c r="C33" s="110" t="e">
        <f>ROUND(E16*$C$28, 0)</f>
        <v>#DIV/0!</v>
      </c>
    </row>
    <row r="34" spans="2:3" x14ac:dyDescent="0.3">
      <c r="B34" s="124" t="s">
        <v>121</v>
      </c>
      <c r="C34" s="110">
        <f>ROUND(E20*$C$28, 0)</f>
        <v>54156458590</v>
      </c>
    </row>
    <row r="35" spans="2:3" x14ac:dyDescent="0.3">
      <c r="B35" s="124" t="s">
        <v>123</v>
      </c>
      <c r="C35" s="110" t="e">
        <f>ROUND(E24*$C$28, 0)</f>
        <v>#DIV/0!</v>
      </c>
    </row>
    <row r="38" spans="2:3" x14ac:dyDescent="0.3">
      <c r="B38" s="24"/>
    </row>
    <row r="39" spans="2:3" x14ac:dyDescent="0.3">
      <c r="B39" s="24"/>
    </row>
    <row r="40" spans="2:3" x14ac:dyDescent="0.3">
      <c r="B40" s="24"/>
    </row>
    <row r="41" spans="2:3" x14ac:dyDescent="0.3">
      <c r="B41" s="24"/>
    </row>
    <row r="42" spans="2:3" x14ac:dyDescent="0.3">
      <c r="B42" s="24"/>
    </row>
    <row r="43" spans="2:3" x14ac:dyDescent="0.3">
      <c r="B43" s="24"/>
    </row>
    <row r="44" spans="2:3" x14ac:dyDescent="0.3">
      <c r="B44" s="24"/>
    </row>
    <row r="45" spans="2:3" x14ac:dyDescent="0.3">
      <c r="B45" s="24"/>
    </row>
    <row r="46" spans="2:3" x14ac:dyDescent="0.3">
      <c r="B46" s="24"/>
    </row>
    <row r="47" spans="2:3" x14ac:dyDescent="0.3">
      <c r="B47" s="24"/>
    </row>
    <row r="48" spans="2:3" x14ac:dyDescent="0.3">
      <c r="B48" s="24"/>
    </row>
    <row r="49" spans="2:2" x14ac:dyDescent="0.3">
      <c r="B49" s="24"/>
    </row>
    <row r="50" spans="2:2" x14ac:dyDescent="0.3">
      <c r="B50" s="24"/>
    </row>
    <row r="51" spans="2:2" x14ac:dyDescent="0.3">
      <c r="B51" s="24"/>
    </row>
    <row r="52" spans="2:2" x14ac:dyDescent="0.3">
      <c r="B52" s="24"/>
    </row>
    <row r="53" spans="2:2" x14ac:dyDescent="0.3">
      <c r="B53" s="24"/>
    </row>
    <row r="54" spans="2:2" x14ac:dyDescent="0.3">
      <c r="B54" s="24"/>
    </row>
    <row r="55" spans="2:2" x14ac:dyDescent="0.3">
      <c r="B55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P20" sqref="P20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C23" si="0">COUNTIF(K:K, $A4)</f>
        <v>0</v>
      </c>
      <c r="D4" s="99">
        <f t="shared" ref="D4:D23" si="1">COUNTIF(L:L, $A4)</f>
        <v>0</v>
      </c>
      <c r="E4" s="99">
        <f t="shared" ref="E4:E23" si="2">COUNTIF(M:M, $A4)</f>
        <v>0</v>
      </c>
      <c r="F4" s="99">
        <f t="shared" ref="F4:F23" si="3">COUNTIF(N:N, $A4)</f>
        <v>0</v>
      </c>
      <c r="G4" s="99">
        <f t="shared" ref="G4:G23" si="4">COUNTIF(O:O, $A4)</f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126</v>
      </c>
      <c r="L4" s="26" t="s">
        <v>126</v>
      </c>
      <c r="M4" s="26" t="s">
        <v>126</v>
      </c>
      <c r="N4" s="26" t="s">
        <v>112</v>
      </c>
      <c r="O4" s="26" t="s">
        <v>19</v>
      </c>
      <c r="Q4" s="25" cm="1">
        <f t="array" ref="Q4:U304">_xlfn.LET(_xlpm.x, K4:O304, IF(_xlpm.x="", "", _xlfn.XLOOKUP(_xlpm.x, $A$4:$A$23,_xlfn.ANCHORARRAY( H4))))</f>
        <v>6</v>
      </c>
      <c r="R4" s="25">
        <v>6</v>
      </c>
      <c r="S4" s="25">
        <v>6</v>
      </c>
      <c r="T4" s="25">
        <v>17</v>
      </c>
      <c r="U4" s="25">
        <v>5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0</v>
      </c>
      <c r="D5" s="99">
        <f t="shared" si="1"/>
        <v>6</v>
      </c>
      <c r="E5" s="99">
        <f t="shared" si="2"/>
        <v>0</v>
      </c>
      <c r="F5" s="99">
        <f t="shared" si="3"/>
        <v>9</v>
      </c>
      <c r="G5" s="99">
        <f t="shared" si="4"/>
        <v>0</v>
      </c>
      <c r="H5" s="8">
        <v>1</v>
      </c>
      <c r="I5" s="87"/>
      <c r="J5" s="9">
        <v>1</v>
      </c>
      <c r="K5" s="16" t="s">
        <v>35</v>
      </c>
      <c r="L5" s="16" t="s">
        <v>21</v>
      </c>
      <c r="M5" s="16" t="s">
        <v>35</v>
      </c>
      <c r="N5" s="16" t="s">
        <v>34</v>
      </c>
      <c r="O5" s="16" t="s">
        <v>22</v>
      </c>
      <c r="Q5" s="9">
        <v>8</v>
      </c>
      <c r="R5" s="9">
        <v>2</v>
      </c>
      <c r="S5" s="9">
        <v>8</v>
      </c>
      <c r="T5" s="9">
        <v>9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1"/>
        <v>11</v>
      </c>
      <c r="E6" s="133">
        <f t="shared" si="2"/>
        <v>5</v>
      </c>
      <c r="F6" s="133">
        <f t="shared" si="3"/>
        <v>21</v>
      </c>
      <c r="G6" s="133">
        <f t="shared" si="4"/>
        <v>23</v>
      </c>
      <c r="H6" s="112">
        <v>2</v>
      </c>
      <c r="I6" s="87"/>
      <c r="J6" s="25">
        <v>2</v>
      </c>
      <c r="K6" s="16" t="s">
        <v>19</v>
      </c>
      <c r="L6" s="16" t="s">
        <v>91</v>
      </c>
      <c r="M6" s="16" t="s">
        <v>112</v>
      </c>
      <c r="N6" s="16" t="s">
        <v>18</v>
      </c>
      <c r="O6" s="16" t="s">
        <v>22</v>
      </c>
      <c r="Q6" s="9">
        <v>5</v>
      </c>
      <c r="R6" s="9">
        <v>14</v>
      </c>
      <c r="S6" s="9">
        <v>17</v>
      </c>
      <c r="T6" s="9">
        <v>4</v>
      </c>
      <c r="U6" s="9">
        <v>3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1"/>
        <v>11</v>
      </c>
      <c r="E7" s="133">
        <f t="shared" si="2"/>
        <v>5</v>
      </c>
      <c r="F7" s="133">
        <f t="shared" si="3"/>
        <v>21</v>
      </c>
      <c r="G7" s="133">
        <f t="shared" si="4"/>
        <v>23</v>
      </c>
      <c r="H7" s="112">
        <v>3</v>
      </c>
      <c r="I7" s="87"/>
      <c r="J7" s="9">
        <v>3</v>
      </c>
      <c r="K7" s="16" t="s">
        <v>37</v>
      </c>
      <c r="L7" s="26" t="s">
        <v>37</v>
      </c>
      <c r="M7" s="16" t="s">
        <v>19</v>
      </c>
      <c r="N7" s="16" t="s">
        <v>18</v>
      </c>
      <c r="O7" s="16" t="s">
        <v>36</v>
      </c>
      <c r="Q7" s="9">
        <v>7</v>
      </c>
      <c r="R7" s="9">
        <v>7</v>
      </c>
      <c r="S7" s="9">
        <v>5</v>
      </c>
      <c r="T7" s="9">
        <v>4</v>
      </c>
      <c r="U7" s="9">
        <v>10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0</v>
      </c>
      <c r="AE7" s="138">
        <v>6</v>
      </c>
      <c r="AF7" s="138">
        <v>0</v>
      </c>
      <c r="AG7" s="138">
        <v>9</v>
      </c>
      <c r="AH7" s="138">
        <v>0</v>
      </c>
      <c r="AI7" s="5"/>
      <c r="AJ7" s="138" t="str">
        <v>C1</v>
      </c>
      <c r="AK7" s="138">
        <v>0</v>
      </c>
      <c r="AL7" s="138">
        <v>6</v>
      </c>
      <c r="AM7" s="138">
        <v>0</v>
      </c>
      <c r="AN7" s="138">
        <v>9</v>
      </c>
      <c r="AO7" s="138">
        <v>0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1"/>
        <v>11</v>
      </c>
      <c r="E8" s="133">
        <f t="shared" si="2"/>
        <v>5</v>
      </c>
      <c r="F8" s="133">
        <f t="shared" si="3"/>
        <v>21</v>
      </c>
      <c r="G8" s="133">
        <f t="shared" si="4"/>
        <v>22</v>
      </c>
      <c r="H8" s="112">
        <v>4</v>
      </c>
      <c r="I8" s="87"/>
      <c r="J8" s="25">
        <v>4</v>
      </c>
      <c r="K8" s="16" t="s">
        <v>35</v>
      </c>
      <c r="L8" s="16" t="s">
        <v>126</v>
      </c>
      <c r="M8" s="16" t="s">
        <v>22</v>
      </c>
      <c r="N8" s="16" t="s">
        <v>112</v>
      </c>
      <c r="O8" s="16" t="s">
        <v>35</v>
      </c>
      <c r="Q8" s="9">
        <v>8</v>
      </c>
      <c r="R8" s="9">
        <v>6</v>
      </c>
      <c r="S8" s="9">
        <v>3</v>
      </c>
      <c r="T8" s="9">
        <v>17</v>
      </c>
      <c r="U8" s="9">
        <v>8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4</v>
      </c>
      <c r="AE8" s="133">
        <v>11</v>
      </c>
      <c r="AF8" s="133">
        <v>5</v>
      </c>
      <c r="AG8" s="133">
        <v>21</v>
      </c>
      <c r="AH8" s="133">
        <v>23</v>
      </c>
      <c r="AI8" s="5"/>
      <c r="AJ8" s="154" t="str">
        <v>M1</v>
      </c>
      <c r="AK8" s="133">
        <v>4</v>
      </c>
      <c r="AL8" s="133">
        <v>11</v>
      </c>
      <c r="AM8" s="133">
        <v>5</v>
      </c>
      <c r="AN8" s="133">
        <v>21</v>
      </c>
      <c r="AO8" s="133">
        <v>23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1"/>
        <v>20</v>
      </c>
      <c r="E9" s="133">
        <f t="shared" si="2"/>
        <v>41</v>
      </c>
      <c r="F9" s="133">
        <f t="shared" si="3"/>
        <v>14</v>
      </c>
      <c r="G9" s="133">
        <f t="shared" si="4"/>
        <v>22</v>
      </c>
      <c r="H9" s="112">
        <v>5</v>
      </c>
      <c r="I9" s="87"/>
      <c r="J9" s="9">
        <v>5</v>
      </c>
      <c r="K9" s="16" t="s">
        <v>37</v>
      </c>
      <c r="L9" s="16" t="s">
        <v>89</v>
      </c>
      <c r="M9" s="16" t="s">
        <v>37</v>
      </c>
      <c r="N9" s="16" t="s">
        <v>95</v>
      </c>
      <c r="O9" s="16" t="s">
        <v>36</v>
      </c>
      <c r="Q9" s="9">
        <v>7</v>
      </c>
      <c r="R9" s="9">
        <v>12</v>
      </c>
      <c r="S9" s="9">
        <v>7</v>
      </c>
      <c r="T9" s="9">
        <v>18</v>
      </c>
      <c r="U9" s="9">
        <v>10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4</v>
      </c>
      <c r="AE9" s="133">
        <v>11</v>
      </c>
      <c r="AF9" s="133">
        <v>5</v>
      </c>
      <c r="AG9" s="133">
        <v>21</v>
      </c>
      <c r="AH9" s="133">
        <v>23</v>
      </c>
      <c r="AI9" s="5"/>
      <c r="AJ9" s="154" t="str">
        <v>M2</v>
      </c>
      <c r="AK9" s="133">
        <v>4</v>
      </c>
      <c r="AL9" s="133">
        <v>11</v>
      </c>
      <c r="AM9" s="133">
        <v>5</v>
      </c>
      <c r="AN9" s="133">
        <v>21</v>
      </c>
      <c r="AO9" s="133">
        <v>23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1"/>
        <v>21</v>
      </c>
      <c r="E10" s="133">
        <f t="shared" si="2"/>
        <v>41</v>
      </c>
      <c r="F10" s="133">
        <f t="shared" si="3"/>
        <v>14</v>
      </c>
      <c r="G10" s="133">
        <f t="shared" si="4"/>
        <v>22</v>
      </c>
      <c r="H10" s="112">
        <v>6</v>
      </c>
      <c r="I10" s="87"/>
      <c r="J10" s="25">
        <v>6</v>
      </c>
      <c r="K10" s="16" t="s">
        <v>35</v>
      </c>
      <c r="L10" s="16" t="s">
        <v>37</v>
      </c>
      <c r="M10" s="16" t="s">
        <v>127</v>
      </c>
      <c r="N10" s="16" t="s">
        <v>126</v>
      </c>
      <c r="O10" s="16" t="s">
        <v>37</v>
      </c>
      <c r="Q10" s="9">
        <v>8</v>
      </c>
      <c r="R10" s="9">
        <v>7</v>
      </c>
      <c r="S10" s="9">
        <v>15</v>
      </c>
      <c r="T10" s="9">
        <v>6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11</v>
      </c>
      <c r="AF10" s="133">
        <v>5</v>
      </c>
      <c r="AG10" s="133">
        <v>21</v>
      </c>
      <c r="AH10" s="133">
        <v>22</v>
      </c>
      <c r="AI10" s="5"/>
      <c r="AJ10" s="154" t="str">
        <v>M3</v>
      </c>
      <c r="AK10" s="133">
        <v>4</v>
      </c>
      <c r="AL10" s="133">
        <v>11</v>
      </c>
      <c r="AM10" s="133">
        <v>5</v>
      </c>
      <c r="AN10" s="133">
        <v>21</v>
      </c>
      <c r="AO10" s="133">
        <v>22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1"/>
        <v>21</v>
      </c>
      <c r="E11" s="133">
        <f t="shared" si="2"/>
        <v>41</v>
      </c>
      <c r="F11" s="133">
        <f t="shared" si="3"/>
        <v>14</v>
      </c>
      <c r="G11" s="133">
        <f t="shared" si="4"/>
        <v>22</v>
      </c>
      <c r="H11" s="112">
        <v>7</v>
      </c>
      <c r="I11" s="87"/>
      <c r="J11" s="9">
        <v>7</v>
      </c>
      <c r="K11" s="16" t="s">
        <v>35</v>
      </c>
      <c r="L11" s="16" t="s">
        <v>37</v>
      </c>
      <c r="M11" s="16" t="s">
        <v>34</v>
      </c>
      <c r="N11" s="16" t="s">
        <v>21</v>
      </c>
      <c r="O11" s="16" t="s">
        <v>37</v>
      </c>
      <c r="Q11" s="9">
        <v>8</v>
      </c>
      <c r="R11" s="9">
        <v>7</v>
      </c>
      <c r="S11" s="9">
        <v>9</v>
      </c>
      <c r="T11" s="9">
        <v>2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20</v>
      </c>
      <c r="AF11" s="133">
        <v>41</v>
      </c>
      <c r="AG11" s="133">
        <v>14</v>
      </c>
      <c r="AH11" s="133">
        <v>22</v>
      </c>
      <c r="AI11" s="5"/>
      <c r="AJ11" s="154" t="str">
        <v>M4</v>
      </c>
      <c r="AK11" s="133">
        <v>43</v>
      </c>
      <c r="AL11" s="133">
        <v>20</v>
      </c>
      <c r="AM11" s="133">
        <v>41</v>
      </c>
      <c r="AN11" s="133">
        <v>14</v>
      </c>
      <c r="AO11" s="133">
        <v>22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1"/>
        <v>21</v>
      </c>
      <c r="E12" s="133">
        <f t="shared" si="2"/>
        <v>41</v>
      </c>
      <c r="F12" s="133">
        <f t="shared" si="3"/>
        <v>14</v>
      </c>
      <c r="G12" s="133">
        <f t="shared" si="4"/>
        <v>22</v>
      </c>
      <c r="H12" s="112">
        <v>8</v>
      </c>
      <c r="I12" s="87"/>
      <c r="J12" s="25">
        <v>8</v>
      </c>
      <c r="K12" s="16" t="s">
        <v>37</v>
      </c>
      <c r="L12" s="16" t="s">
        <v>37</v>
      </c>
      <c r="M12" s="16" t="s">
        <v>35</v>
      </c>
      <c r="N12" s="16" t="s">
        <v>89</v>
      </c>
      <c r="O12" s="16" t="s">
        <v>19</v>
      </c>
      <c r="Q12" s="9">
        <v>7</v>
      </c>
      <c r="R12" s="9">
        <v>7</v>
      </c>
      <c r="S12" s="9">
        <v>8</v>
      </c>
      <c r="T12" s="9">
        <v>12</v>
      </c>
      <c r="U12" s="9">
        <v>5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43</v>
      </c>
      <c r="AE12" s="133">
        <v>21</v>
      </c>
      <c r="AF12" s="133">
        <v>41</v>
      </c>
      <c r="AG12" s="133">
        <v>14</v>
      </c>
      <c r="AH12" s="133">
        <v>22</v>
      </c>
      <c r="AI12" s="5"/>
      <c r="AJ12" s="154" t="str">
        <v>M5</v>
      </c>
      <c r="AK12" s="133">
        <v>43</v>
      </c>
      <c r="AL12" s="133">
        <v>21</v>
      </c>
      <c r="AM12" s="133">
        <v>41</v>
      </c>
      <c r="AN12" s="133">
        <v>14</v>
      </c>
      <c r="AO12" s="133">
        <v>22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1"/>
        <v>11</v>
      </c>
      <c r="E13" s="133">
        <f t="shared" si="2"/>
        <v>5</v>
      </c>
      <c r="F13" s="133">
        <f t="shared" si="3"/>
        <v>20</v>
      </c>
      <c r="G13" s="133">
        <f t="shared" si="4"/>
        <v>22</v>
      </c>
      <c r="H13" s="112">
        <v>9</v>
      </c>
      <c r="I13" s="87"/>
      <c r="J13" s="9">
        <v>9</v>
      </c>
      <c r="K13" s="16" t="s">
        <v>126</v>
      </c>
      <c r="L13" s="16" t="s">
        <v>19</v>
      </c>
      <c r="M13" s="16" t="s">
        <v>35</v>
      </c>
      <c r="N13" s="16" t="s">
        <v>37</v>
      </c>
      <c r="O13" s="16" t="s">
        <v>34</v>
      </c>
      <c r="Q13" s="9">
        <v>6</v>
      </c>
      <c r="R13" s="9">
        <v>5</v>
      </c>
      <c r="S13" s="9">
        <v>8</v>
      </c>
      <c r="T13" s="9">
        <v>7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21</v>
      </c>
      <c r="AF13" s="133">
        <v>41</v>
      </c>
      <c r="AG13" s="133">
        <v>14</v>
      </c>
      <c r="AH13" s="133">
        <v>22</v>
      </c>
      <c r="AI13" s="5"/>
      <c r="AJ13" s="154" t="str">
        <v>A</v>
      </c>
      <c r="AK13" s="133">
        <v>47</v>
      </c>
      <c r="AL13" s="133">
        <v>21</v>
      </c>
      <c r="AM13" s="133">
        <v>41</v>
      </c>
      <c r="AN13" s="133">
        <v>14</v>
      </c>
      <c r="AO13" s="133">
        <v>22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1"/>
        <v>11</v>
      </c>
      <c r="E14" s="133">
        <f t="shared" si="2"/>
        <v>4</v>
      </c>
      <c r="F14" s="133">
        <f t="shared" si="3"/>
        <v>20</v>
      </c>
      <c r="G14" s="133">
        <f t="shared" si="4"/>
        <v>22</v>
      </c>
      <c r="H14" s="112">
        <v>10</v>
      </c>
      <c r="I14" s="87"/>
      <c r="J14" s="25">
        <v>10</v>
      </c>
      <c r="K14" s="16" t="s">
        <v>37</v>
      </c>
      <c r="L14" s="16" t="s">
        <v>36</v>
      </c>
      <c r="M14" s="16" t="s">
        <v>126</v>
      </c>
      <c r="N14" s="16" t="s">
        <v>127</v>
      </c>
      <c r="O14" s="16" t="s">
        <v>35</v>
      </c>
      <c r="Q14" s="9">
        <v>7</v>
      </c>
      <c r="R14" s="9">
        <v>10</v>
      </c>
      <c r="S14" s="9">
        <v>6</v>
      </c>
      <c r="T14" s="9">
        <v>15</v>
      </c>
      <c r="U14" s="9">
        <v>8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21</v>
      </c>
      <c r="AF14" s="133">
        <v>41</v>
      </c>
      <c r="AG14" s="133">
        <v>14</v>
      </c>
      <c r="AH14" s="133">
        <v>22</v>
      </c>
      <c r="AI14" s="5"/>
      <c r="AJ14" s="154" t="str">
        <v>K</v>
      </c>
      <c r="AK14" s="133">
        <v>47</v>
      </c>
      <c r="AL14" s="133">
        <v>21</v>
      </c>
      <c r="AM14" s="133">
        <v>41</v>
      </c>
      <c r="AN14" s="133">
        <v>14</v>
      </c>
      <c r="AO14" s="133">
        <v>22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1"/>
        <v>4</v>
      </c>
      <c r="E15" s="99">
        <f t="shared" si="2"/>
        <v>0</v>
      </c>
      <c r="F15" s="99">
        <f t="shared" si="3"/>
        <v>4</v>
      </c>
      <c r="G15" s="99">
        <f t="shared" si="4"/>
        <v>0</v>
      </c>
      <c r="H15" s="8">
        <v>11</v>
      </c>
      <c r="I15" s="87"/>
      <c r="J15" s="9">
        <v>11</v>
      </c>
      <c r="K15" s="16" t="s">
        <v>126</v>
      </c>
      <c r="L15" s="16" t="s">
        <v>37</v>
      </c>
      <c r="M15" s="16" t="s">
        <v>37</v>
      </c>
      <c r="N15" s="16" t="s">
        <v>35</v>
      </c>
      <c r="O15" s="16" t="s">
        <v>21</v>
      </c>
      <c r="Q15" s="9">
        <v>6</v>
      </c>
      <c r="R15" s="9">
        <v>7</v>
      </c>
      <c r="S15" s="9">
        <v>7</v>
      </c>
      <c r="T15" s="9">
        <v>8</v>
      </c>
      <c r="U15" s="9">
        <v>2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11</v>
      </c>
      <c r="AF15" s="133">
        <v>5</v>
      </c>
      <c r="AG15" s="133">
        <v>20</v>
      </c>
      <c r="AH15" s="133">
        <v>22</v>
      </c>
      <c r="AI15" s="5"/>
      <c r="AJ15" s="154" t="str">
        <v>Q</v>
      </c>
      <c r="AK15" s="133">
        <v>4</v>
      </c>
      <c r="AL15" s="133">
        <v>11</v>
      </c>
      <c r="AM15" s="133">
        <v>5</v>
      </c>
      <c r="AN15" s="133">
        <v>20</v>
      </c>
      <c r="AO15" s="133">
        <v>22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1"/>
        <v>5</v>
      </c>
      <c r="E16" s="99">
        <f t="shared" si="2"/>
        <v>0</v>
      </c>
      <c r="F16" s="99">
        <f t="shared" si="3"/>
        <v>4</v>
      </c>
      <c r="G16" s="99">
        <f t="shared" si="4"/>
        <v>0</v>
      </c>
      <c r="H16" s="8">
        <v>12</v>
      </c>
      <c r="I16" s="87"/>
      <c r="J16" s="25">
        <v>12</v>
      </c>
      <c r="K16" s="16" t="s">
        <v>37</v>
      </c>
      <c r="L16" s="16" t="s">
        <v>88</v>
      </c>
      <c r="M16" s="16" t="s">
        <v>37</v>
      </c>
      <c r="N16" s="16" t="s">
        <v>35</v>
      </c>
      <c r="O16" s="16" t="s">
        <v>22</v>
      </c>
      <c r="Q16" s="9">
        <v>7</v>
      </c>
      <c r="R16" s="9">
        <v>11</v>
      </c>
      <c r="S16" s="9">
        <v>7</v>
      </c>
      <c r="T16" s="9">
        <v>8</v>
      </c>
      <c r="U16" s="9">
        <v>3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11</v>
      </c>
      <c r="AF16" s="133">
        <v>4</v>
      </c>
      <c r="AG16" s="133">
        <v>20</v>
      </c>
      <c r="AH16" s="133">
        <v>22</v>
      </c>
      <c r="AI16" s="5"/>
      <c r="AJ16" s="154" t="str">
        <v>J</v>
      </c>
      <c r="AK16" s="133">
        <v>4</v>
      </c>
      <c r="AL16" s="133">
        <v>11</v>
      </c>
      <c r="AM16" s="133">
        <v>4</v>
      </c>
      <c r="AN16" s="133">
        <v>20</v>
      </c>
      <c r="AO16" s="133">
        <v>22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1"/>
        <v>5</v>
      </c>
      <c r="E17" s="99">
        <f t="shared" si="2"/>
        <v>0</v>
      </c>
      <c r="F17" s="99">
        <f t="shared" si="3"/>
        <v>4</v>
      </c>
      <c r="G17" s="99">
        <f t="shared" si="4"/>
        <v>0</v>
      </c>
      <c r="H17" s="8">
        <v>13</v>
      </c>
      <c r="I17" s="87"/>
      <c r="J17" s="9">
        <v>13</v>
      </c>
      <c r="K17" s="16" t="s">
        <v>35</v>
      </c>
      <c r="L17" s="16" t="s">
        <v>21</v>
      </c>
      <c r="M17" s="16" t="s">
        <v>37</v>
      </c>
      <c r="N17" s="16" t="s">
        <v>18</v>
      </c>
      <c r="O17" s="16" t="s">
        <v>34</v>
      </c>
      <c r="Q17" s="9">
        <v>8</v>
      </c>
      <c r="R17" s="9">
        <v>2</v>
      </c>
      <c r="S17" s="9">
        <v>7</v>
      </c>
      <c r="T17" s="9">
        <v>4</v>
      </c>
      <c r="U17" s="9">
        <v>9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5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5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1"/>
        <v>8</v>
      </c>
      <c r="E18" s="99">
        <f t="shared" si="2"/>
        <v>3</v>
      </c>
      <c r="F18" s="99">
        <f t="shared" si="3"/>
        <v>3</v>
      </c>
      <c r="G18" s="99">
        <f t="shared" si="4"/>
        <v>0</v>
      </c>
      <c r="H18" s="8">
        <v>14</v>
      </c>
      <c r="I18" s="87"/>
      <c r="J18" s="25">
        <v>14</v>
      </c>
      <c r="K18" s="16" t="s">
        <v>126</v>
      </c>
      <c r="L18" s="16" t="s">
        <v>37</v>
      </c>
      <c r="M18" s="16" t="s">
        <v>91</v>
      </c>
      <c r="N18" s="16" t="s">
        <v>35</v>
      </c>
      <c r="O18" s="16" t="s">
        <v>34</v>
      </c>
      <c r="Q18" s="9">
        <v>6</v>
      </c>
      <c r="R18" s="9">
        <v>7</v>
      </c>
      <c r="S18" s="9">
        <v>14</v>
      </c>
      <c r="T18" s="9">
        <v>8</v>
      </c>
      <c r="U18" s="9">
        <v>9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6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6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1"/>
        <v>8</v>
      </c>
      <c r="E19" s="99">
        <f t="shared" si="2"/>
        <v>3</v>
      </c>
      <c r="F19" s="99">
        <f t="shared" si="3"/>
        <v>3</v>
      </c>
      <c r="G19" s="99">
        <f t="shared" si="4"/>
        <v>0</v>
      </c>
      <c r="H19" s="8">
        <v>15</v>
      </c>
      <c r="I19" s="87"/>
      <c r="J19" s="9">
        <v>15</v>
      </c>
      <c r="K19" s="16" t="s">
        <v>35</v>
      </c>
      <c r="L19" s="16" t="s">
        <v>37</v>
      </c>
      <c r="M19" s="16" t="s">
        <v>35</v>
      </c>
      <c r="N19" s="16" t="s">
        <v>37</v>
      </c>
      <c r="O19" s="16" t="s">
        <v>22</v>
      </c>
      <c r="Q19" s="9">
        <v>8</v>
      </c>
      <c r="R19" s="9">
        <v>7</v>
      </c>
      <c r="S19" s="9">
        <v>8</v>
      </c>
      <c r="T19" s="9">
        <v>7</v>
      </c>
      <c r="U19" s="9">
        <v>3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6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6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1"/>
        <v>8</v>
      </c>
      <c r="E20" s="99">
        <f t="shared" si="2"/>
        <v>3</v>
      </c>
      <c r="F20" s="99">
        <f t="shared" si="3"/>
        <v>3</v>
      </c>
      <c r="G20" s="99">
        <f t="shared" si="4"/>
        <v>0</v>
      </c>
      <c r="H20" s="8">
        <v>16</v>
      </c>
      <c r="I20" s="87"/>
      <c r="J20" s="25">
        <v>16</v>
      </c>
      <c r="K20" s="16" t="s">
        <v>34</v>
      </c>
      <c r="L20" s="16" t="s">
        <v>34</v>
      </c>
      <c r="M20" s="16" t="s">
        <v>126</v>
      </c>
      <c r="N20" s="16" t="s">
        <v>21</v>
      </c>
      <c r="O20" s="16" t="s">
        <v>126</v>
      </c>
      <c r="Q20" s="9">
        <v>9</v>
      </c>
      <c r="R20" s="9">
        <v>9</v>
      </c>
      <c r="S20" s="9">
        <v>6</v>
      </c>
      <c r="T20" s="9">
        <v>2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9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9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1"/>
        <v>8</v>
      </c>
      <c r="E21" s="99">
        <f t="shared" si="2"/>
        <v>3</v>
      </c>
      <c r="F21" s="99">
        <f t="shared" si="3"/>
        <v>3</v>
      </c>
      <c r="G21" s="99">
        <f t="shared" si="4"/>
        <v>0</v>
      </c>
      <c r="H21" s="8">
        <v>17</v>
      </c>
      <c r="I21" s="87"/>
      <c r="J21" s="9">
        <v>17</v>
      </c>
      <c r="K21" s="16" t="s">
        <v>19</v>
      </c>
      <c r="L21" s="16" t="s">
        <v>112</v>
      </c>
      <c r="M21" s="16" t="s">
        <v>35</v>
      </c>
      <c r="N21" s="16" t="s">
        <v>34</v>
      </c>
      <c r="O21" s="16" t="s">
        <v>36</v>
      </c>
      <c r="Q21" s="9">
        <v>5</v>
      </c>
      <c r="R21" s="9">
        <v>17</v>
      </c>
      <c r="S21" s="9">
        <v>8</v>
      </c>
      <c r="T21" s="9">
        <v>9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9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9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1"/>
        <v>5</v>
      </c>
      <c r="E22" s="99">
        <f t="shared" si="2"/>
        <v>0</v>
      </c>
      <c r="F22" s="99">
        <f t="shared" si="3"/>
        <v>4</v>
      </c>
      <c r="G22" s="99">
        <f t="shared" si="4"/>
        <v>0</v>
      </c>
      <c r="H22" s="8">
        <v>18</v>
      </c>
      <c r="I22" s="87"/>
      <c r="J22" s="25">
        <v>18</v>
      </c>
      <c r="K22" s="16" t="s">
        <v>37</v>
      </c>
      <c r="L22" s="16" t="s">
        <v>90</v>
      </c>
      <c r="M22" s="16" t="s">
        <v>37</v>
      </c>
      <c r="N22" s="16" t="s">
        <v>19</v>
      </c>
      <c r="O22" s="16" t="s">
        <v>34</v>
      </c>
      <c r="Q22" s="9">
        <v>7</v>
      </c>
      <c r="R22" s="9">
        <v>13</v>
      </c>
      <c r="S22" s="9">
        <v>7</v>
      </c>
      <c r="T22" s="9">
        <v>5</v>
      </c>
      <c r="U22" s="9">
        <v>9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9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9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1"/>
        <v>5</v>
      </c>
      <c r="E23" s="99">
        <f t="shared" si="2"/>
        <v>0</v>
      </c>
      <c r="F23" s="99">
        <f t="shared" si="3"/>
        <v>4</v>
      </c>
      <c r="G23" s="99">
        <f t="shared" si="4"/>
        <v>0</v>
      </c>
      <c r="H23" s="8">
        <v>19</v>
      </c>
      <c r="I23" s="87"/>
      <c r="J23" s="9">
        <v>19</v>
      </c>
      <c r="K23" s="16" t="s">
        <v>19</v>
      </c>
      <c r="L23" s="16" t="s">
        <v>126</v>
      </c>
      <c r="M23" s="16" t="s">
        <v>92</v>
      </c>
      <c r="N23" s="16" t="s">
        <v>91</v>
      </c>
      <c r="O23" s="16" t="s">
        <v>21</v>
      </c>
      <c r="Q23" s="9">
        <v>5</v>
      </c>
      <c r="R23" s="9">
        <v>6</v>
      </c>
      <c r="S23" s="9">
        <v>16</v>
      </c>
      <c r="T23" s="9">
        <v>14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9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9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35</v>
      </c>
      <c r="M24" s="16" t="s">
        <v>37</v>
      </c>
      <c r="N24" s="16" t="s">
        <v>19</v>
      </c>
      <c r="O24" s="16" t="s">
        <v>34</v>
      </c>
      <c r="Q24" s="9">
        <v>7</v>
      </c>
      <c r="R24" s="9">
        <v>8</v>
      </c>
      <c r="S24" s="9">
        <v>7</v>
      </c>
      <c r="T24" s="9">
        <v>5</v>
      </c>
      <c r="U24" s="9">
        <v>9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6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6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19</v>
      </c>
      <c r="L25" s="16" t="s">
        <v>37</v>
      </c>
      <c r="M25" s="16" t="s">
        <v>34</v>
      </c>
      <c r="N25" s="16" t="s">
        <v>19</v>
      </c>
      <c r="O25" s="16" t="s">
        <v>36</v>
      </c>
      <c r="Q25" s="9">
        <v>5</v>
      </c>
      <c r="R25" s="9">
        <v>7</v>
      </c>
      <c r="S25" s="9">
        <v>9</v>
      </c>
      <c r="T25" s="9">
        <v>5</v>
      </c>
      <c r="U25" s="9">
        <v>10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6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6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5">SUM(D4:D14)/D24</f>
        <v>0.72</v>
      </c>
      <c r="E26" s="181">
        <f t="shared" si="5"/>
        <v>0.94</v>
      </c>
      <c r="F26" s="181">
        <f t="shared" si="5"/>
        <v>0.84</v>
      </c>
      <c r="G26" s="5">
        <f t="shared" si="5"/>
        <v>1</v>
      </c>
      <c r="I26" s="87"/>
      <c r="J26" s="25">
        <v>22</v>
      </c>
      <c r="K26" s="16" t="s">
        <v>34</v>
      </c>
      <c r="L26" s="16" t="s">
        <v>34</v>
      </c>
      <c r="M26" s="16" t="s">
        <v>19</v>
      </c>
      <c r="N26" s="16" t="s">
        <v>34</v>
      </c>
      <c r="O26" s="16" t="s">
        <v>35</v>
      </c>
      <c r="Q26" s="9">
        <v>9</v>
      </c>
      <c r="R26" s="9">
        <v>9</v>
      </c>
      <c r="S26" s="9">
        <v>5</v>
      </c>
      <c r="T26" s="9">
        <v>9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6">SUM(D15:D23)/D24</f>
        <v>0.28000000000000003</v>
      </c>
      <c r="E27" s="181">
        <f t="shared" si="6"/>
        <v>0.06</v>
      </c>
      <c r="F27" s="181">
        <f t="shared" si="6"/>
        <v>0.16</v>
      </c>
      <c r="G27" s="5">
        <f t="shared" si="6"/>
        <v>0</v>
      </c>
      <c r="I27" s="87"/>
      <c r="J27" s="9">
        <v>23</v>
      </c>
      <c r="K27" s="16" t="s">
        <v>19</v>
      </c>
      <c r="L27" s="16" t="s">
        <v>126</v>
      </c>
      <c r="M27" s="16" t="s">
        <v>35</v>
      </c>
      <c r="N27" s="16" t="s">
        <v>21</v>
      </c>
      <c r="O27" s="16" t="s">
        <v>22</v>
      </c>
      <c r="Q27" s="9">
        <v>5</v>
      </c>
      <c r="R27" s="9">
        <v>6</v>
      </c>
      <c r="S27" s="9">
        <v>8</v>
      </c>
      <c r="T27" s="9">
        <v>2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35</v>
      </c>
      <c r="L28" s="16" t="s">
        <v>35</v>
      </c>
      <c r="M28" s="16" t="s">
        <v>19</v>
      </c>
      <c r="N28" s="16" t="s">
        <v>34</v>
      </c>
      <c r="O28" s="16" t="s">
        <v>21</v>
      </c>
      <c r="Q28" s="9">
        <v>8</v>
      </c>
      <c r="R28" s="9">
        <v>8</v>
      </c>
      <c r="S28" s="9">
        <v>5</v>
      </c>
      <c r="T28" s="9">
        <v>9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19</v>
      </c>
      <c r="L29" s="16" t="s">
        <v>97</v>
      </c>
      <c r="M29" s="16" t="s">
        <v>37</v>
      </c>
      <c r="N29" s="16" t="s">
        <v>34</v>
      </c>
      <c r="O29" s="16" t="s">
        <v>37</v>
      </c>
      <c r="Q29" s="9">
        <v>5</v>
      </c>
      <c r="R29" s="9">
        <v>19</v>
      </c>
      <c r="S29" s="9">
        <v>7</v>
      </c>
      <c r="T29" s="9">
        <v>9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22</v>
      </c>
      <c r="L30" s="16" t="s">
        <v>127</v>
      </c>
      <c r="M30" s="16" t="s">
        <v>19</v>
      </c>
      <c r="N30" s="16" t="s">
        <v>34</v>
      </c>
      <c r="O30" s="16" t="s">
        <v>19</v>
      </c>
      <c r="Q30" s="9">
        <v>3</v>
      </c>
      <c r="R30" s="9">
        <v>15</v>
      </c>
      <c r="S30" s="9">
        <v>5</v>
      </c>
      <c r="T30" s="9">
        <v>9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19</v>
      </c>
      <c r="L31" s="16" t="s">
        <v>37</v>
      </c>
      <c r="M31" s="16" t="s">
        <v>35</v>
      </c>
      <c r="N31" s="16" t="s">
        <v>36</v>
      </c>
      <c r="O31" s="16" t="s">
        <v>21</v>
      </c>
      <c r="Q31" s="9">
        <v>5</v>
      </c>
      <c r="R31" s="9">
        <v>7</v>
      </c>
      <c r="S31" s="9">
        <v>8</v>
      </c>
      <c r="T31" s="9">
        <v>10</v>
      </c>
      <c r="U31" s="9">
        <v>2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0</v>
      </c>
      <c r="AE31" s="138">
        <v>6</v>
      </c>
      <c r="AF31" s="138">
        <v>0</v>
      </c>
      <c r="AG31" s="138">
        <v>9</v>
      </c>
      <c r="AH31" s="138">
        <v>0</v>
      </c>
      <c r="AI31" s="5"/>
      <c r="AJ31" s="138" t="str">
        <v>C1</v>
      </c>
      <c r="AK31" s="138">
        <v>0</v>
      </c>
      <c r="AL31" s="138">
        <v>6</v>
      </c>
      <c r="AM31" s="138">
        <v>0</v>
      </c>
      <c r="AN31" s="138">
        <v>9</v>
      </c>
      <c r="AO31" s="138">
        <v>0</v>
      </c>
    </row>
    <row r="32" spans="1:41" ht="16.5" customHeight="1" x14ac:dyDescent="0.3">
      <c r="J32" s="25">
        <v>28</v>
      </c>
      <c r="K32" s="16" t="s">
        <v>37</v>
      </c>
      <c r="L32" s="16" t="s">
        <v>36</v>
      </c>
      <c r="M32" s="16" t="s">
        <v>19</v>
      </c>
      <c r="N32" s="16" t="s">
        <v>91</v>
      </c>
      <c r="O32" s="16" t="s">
        <v>126</v>
      </c>
      <c r="Q32" s="9">
        <v>7</v>
      </c>
      <c r="R32" s="9">
        <v>10</v>
      </c>
      <c r="S32" s="9">
        <v>5</v>
      </c>
      <c r="T32" s="9">
        <v>14</v>
      </c>
      <c r="U32" s="9">
        <v>6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11</v>
      </c>
      <c r="AF32" s="133">
        <v>5</v>
      </c>
      <c r="AG32" s="133">
        <v>21</v>
      </c>
      <c r="AH32" s="133">
        <v>23</v>
      </c>
      <c r="AI32" s="5"/>
      <c r="AJ32" s="154" t="str">
        <v>M1</v>
      </c>
      <c r="AK32" s="133">
        <v>4</v>
      </c>
      <c r="AL32" s="133">
        <v>11</v>
      </c>
      <c r="AM32" s="133">
        <v>5</v>
      </c>
      <c r="AN32" s="133">
        <v>21</v>
      </c>
      <c r="AO32" s="133">
        <v>23</v>
      </c>
    </row>
    <row r="33" spans="10:41" ht="16.5" customHeight="1" x14ac:dyDescent="0.3">
      <c r="J33" s="9">
        <v>29</v>
      </c>
      <c r="K33" s="16" t="s">
        <v>19</v>
      </c>
      <c r="L33" s="16" t="s">
        <v>126</v>
      </c>
      <c r="M33" s="16" t="s">
        <v>35</v>
      </c>
      <c r="N33" s="16" t="s">
        <v>35</v>
      </c>
      <c r="O33" s="16" t="s">
        <v>22</v>
      </c>
      <c r="Q33" s="9">
        <v>5</v>
      </c>
      <c r="R33" s="9">
        <v>6</v>
      </c>
      <c r="S33" s="9">
        <v>8</v>
      </c>
      <c r="T33" s="9">
        <v>8</v>
      </c>
      <c r="U33" s="9">
        <v>3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11</v>
      </c>
      <c r="AF33" s="133">
        <v>5</v>
      </c>
      <c r="AG33" s="133">
        <v>21</v>
      </c>
      <c r="AH33" s="133">
        <v>23</v>
      </c>
      <c r="AI33" s="5"/>
      <c r="AJ33" s="154" t="str">
        <v>M2</v>
      </c>
      <c r="AK33" s="133">
        <v>4</v>
      </c>
      <c r="AL33" s="133">
        <v>11</v>
      </c>
      <c r="AM33" s="133">
        <v>5</v>
      </c>
      <c r="AN33" s="133">
        <v>21</v>
      </c>
      <c r="AO33" s="133">
        <v>23</v>
      </c>
    </row>
    <row r="34" spans="10:41" ht="16.5" customHeight="1" x14ac:dyDescent="0.3">
      <c r="J34" s="25">
        <v>30</v>
      </c>
      <c r="K34" s="16" t="s">
        <v>126</v>
      </c>
      <c r="L34" s="16" t="s">
        <v>95</v>
      </c>
      <c r="M34" s="16" t="s">
        <v>37</v>
      </c>
      <c r="N34" s="16" t="s">
        <v>21</v>
      </c>
      <c r="O34" s="16" t="s">
        <v>34</v>
      </c>
      <c r="Q34" s="9">
        <v>6</v>
      </c>
      <c r="R34" s="9">
        <v>18</v>
      </c>
      <c r="S34" s="9">
        <v>7</v>
      </c>
      <c r="T34" s="9">
        <v>2</v>
      </c>
      <c r="U34" s="9">
        <v>9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11</v>
      </c>
      <c r="AF34" s="133">
        <v>5</v>
      </c>
      <c r="AG34" s="133">
        <v>21</v>
      </c>
      <c r="AH34" s="133">
        <v>22</v>
      </c>
      <c r="AI34" s="5"/>
      <c r="AJ34" s="154" t="str">
        <v>M3</v>
      </c>
      <c r="AK34" s="133">
        <v>4</v>
      </c>
      <c r="AL34" s="133">
        <v>11</v>
      </c>
      <c r="AM34" s="133">
        <v>5</v>
      </c>
      <c r="AN34" s="133">
        <v>21</v>
      </c>
      <c r="AO34" s="133">
        <v>22</v>
      </c>
    </row>
    <row r="35" spans="10:41" ht="16.5" customHeight="1" x14ac:dyDescent="0.3">
      <c r="J35" s="9">
        <v>31</v>
      </c>
      <c r="K35" s="16" t="s">
        <v>19</v>
      </c>
      <c r="L35" s="16" t="s">
        <v>37</v>
      </c>
      <c r="M35" s="16" t="s">
        <v>35</v>
      </c>
      <c r="N35" s="16" t="s">
        <v>22</v>
      </c>
      <c r="O35" s="16" t="s">
        <v>36</v>
      </c>
      <c r="Q35" s="9">
        <v>5</v>
      </c>
      <c r="R35" s="9">
        <v>7</v>
      </c>
      <c r="S35" s="9">
        <v>8</v>
      </c>
      <c r="T35" s="9">
        <v>3</v>
      </c>
      <c r="U35" s="9">
        <v>10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20</v>
      </c>
      <c r="AF35" s="133">
        <v>41</v>
      </c>
      <c r="AG35" s="133">
        <v>14</v>
      </c>
      <c r="AH35" s="133">
        <v>22</v>
      </c>
      <c r="AI35" s="5"/>
      <c r="AJ35" s="154" t="str">
        <v>M4</v>
      </c>
      <c r="AK35" s="133">
        <v>43</v>
      </c>
      <c r="AL35" s="133">
        <v>20</v>
      </c>
      <c r="AM35" s="133">
        <v>41</v>
      </c>
      <c r="AN35" s="133">
        <v>14</v>
      </c>
      <c r="AO35" s="133">
        <v>22</v>
      </c>
    </row>
    <row r="36" spans="10:41" ht="16.5" customHeight="1" x14ac:dyDescent="0.3">
      <c r="J36" s="25">
        <v>32</v>
      </c>
      <c r="K36" s="16" t="s">
        <v>37</v>
      </c>
      <c r="L36" s="16" t="s">
        <v>21</v>
      </c>
      <c r="M36" s="16" t="s">
        <v>35</v>
      </c>
      <c r="N36" s="16" t="s">
        <v>22</v>
      </c>
      <c r="O36" s="16" t="s">
        <v>19</v>
      </c>
      <c r="Q36" s="9">
        <v>7</v>
      </c>
      <c r="R36" s="9">
        <v>2</v>
      </c>
      <c r="S36" s="9">
        <v>8</v>
      </c>
      <c r="T36" s="9">
        <v>3</v>
      </c>
      <c r="U36" s="9">
        <v>5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43</v>
      </c>
      <c r="AE36" s="133">
        <v>21</v>
      </c>
      <c r="AF36" s="133">
        <v>41</v>
      </c>
      <c r="AG36" s="133">
        <v>14</v>
      </c>
      <c r="AH36" s="133">
        <v>22</v>
      </c>
      <c r="AI36" s="5"/>
      <c r="AJ36" s="154" t="str">
        <v>M5</v>
      </c>
      <c r="AK36" s="133">
        <v>43</v>
      </c>
      <c r="AL36" s="133">
        <v>21</v>
      </c>
      <c r="AM36" s="133">
        <v>41</v>
      </c>
      <c r="AN36" s="133">
        <v>14</v>
      </c>
      <c r="AO36" s="133">
        <v>22</v>
      </c>
    </row>
    <row r="37" spans="10:41" ht="16.5" customHeight="1" x14ac:dyDescent="0.3">
      <c r="J37" s="9">
        <v>33</v>
      </c>
      <c r="K37" s="16" t="s">
        <v>126</v>
      </c>
      <c r="L37" s="16" t="s">
        <v>37</v>
      </c>
      <c r="M37" s="16" t="s">
        <v>35</v>
      </c>
      <c r="N37" s="16" t="s">
        <v>22</v>
      </c>
      <c r="O37" s="16" t="s">
        <v>126</v>
      </c>
      <c r="Q37" s="9">
        <v>6</v>
      </c>
      <c r="R37" s="9">
        <v>7</v>
      </c>
      <c r="S37" s="9">
        <v>8</v>
      </c>
      <c r="T37" s="9">
        <v>3</v>
      </c>
      <c r="U37" s="9">
        <v>6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21</v>
      </c>
      <c r="AF37" s="133">
        <v>41</v>
      </c>
      <c r="AG37" s="133">
        <v>14</v>
      </c>
      <c r="AH37" s="133">
        <v>22</v>
      </c>
      <c r="AI37" s="5"/>
      <c r="AJ37" s="154" t="str">
        <v>A</v>
      </c>
      <c r="AK37" s="133">
        <v>47</v>
      </c>
      <c r="AL37" s="133">
        <v>21</v>
      </c>
      <c r="AM37" s="133">
        <v>41</v>
      </c>
      <c r="AN37" s="133">
        <v>14</v>
      </c>
      <c r="AO37" s="133">
        <v>22</v>
      </c>
    </row>
    <row r="38" spans="10:41" ht="16.5" customHeight="1" x14ac:dyDescent="0.3">
      <c r="J38" s="25">
        <v>34</v>
      </c>
      <c r="K38" s="16" t="s">
        <v>35</v>
      </c>
      <c r="L38" s="16" t="s">
        <v>126</v>
      </c>
      <c r="M38" s="16" t="s">
        <v>37</v>
      </c>
      <c r="N38" s="16" t="s">
        <v>34</v>
      </c>
      <c r="O38" s="16" t="s">
        <v>18</v>
      </c>
      <c r="Q38" s="9">
        <v>8</v>
      </c>
      <c r="R38" s="9">
        <v>6</v>
      </c>
      <c r="S38" s="9">
        <v>7</v>
      </c>
      <c r="T38" s="9">
        <v>9</v>
      </c>
      <c r="U38" s="9">
        <v>4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21</v>
      </c>
      <c r="AF38" s="133">
        <v>41</v>
      </c>
      <c r="AG38" s="133">
        <v>14</v>
      </c>
      <c r="AH38" s="133">
        <v>22</v>
      </c>
      <c r="AI38" s="5"/>
      <c r="AJ38" s="154" t="str">
        <v>K</v>
      </c>
      <c r="AK38" s="133">
        <v>47</v>
      </c>
      <c r="AL38" s="133">
        <v>21</v>
      </c>
      <c r="AM38" s="133">
        <v>41</v>
      </c>
      <c r="AN38" s="133">
        <v>14</v>
      </c>
      <c r="AO38" s="133">
        <v>22</v>
      </c>
    </row>
    <row r="39" spans="10:41" ht="16.5" customHeight="1" x14ac:dyDescent="0.3">
      <c r="J39" s="9">
        <v>35</v>
      </c>
      <c r="K39" s="16" t="s">
        <v>37</v>
      </c>
      <c r="L39" s="16" t="s">
        <v>34</v>
      </c>
      <c r="M39" s="16" t="s">
        <v>37</v>
      </c>
      <c r="N39" s="16" t="s">
        <v>19</v>
      </c>
      <c r="O39" s="16" t="s">
        <v>18</v>
      </c>
      <c r="Q39" s="9">
        <v>7</v>
      </c>
      <c r="R39" s="9">
        <v>9</v>
      </c>
      <c r="S39" s="9">
        <v>7</v>
      </c>
      <c r="T39" s="9">
        <v>5</v>
      </c>
      <c r="U39" s="9">
        <v>4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11</v>
      </c>
      <c r="AF39" s="133">
        <v>5</v>
      </c>
      <c r="AG39" s="133">
        <v>20</v>
      </c>
      <c r="AH39" s="133">
        <v>22</v>
      </c>
      <c r="AI39" s="5"/>
      <c r="AJ39" s="154" t="str">
        <v>Q</v>
      </c>
      <c r="AK39" s="133">
        <v>4</v>
      </c>
      <c r="AL39" s="133">
        <v>11</v>
      </c>
      <c r="AM39" s="133">
        <v>5</v>
      </c>
      <c r="AN39" s="133">
        <v>20</v>
      </c>
      <c r="AO39" s="133">
        <v>22</v>
      </c>
    </row>
    <row r="40" spans="10:41" ht="16.5" customHeight="1" x14ac:dyDescent="0.3">
      <c r="J40" s="25">
        <v>36</v>
      </c>
      <c r="K40" s="16" t="s">
        <v>126</v>
      </c>
      <c r="L40" s="16" t="s">
        <v>36</v>
      </c>
      <c r="M40" s="16" t="s">
        <v>126</v>
      </c>
      <c r="N40" s="16" t="s">
        <v>19</v>
      </c>
      <c r="O40" s="16" t="s">
        <v>36</v>
      </c>
      <c r="Q40" s="9">
        <v>6</v>
      </c>
      <c r="R40" s="9">
        <v>10</v>
      </c>
      <c r="S40" s="9">
        <v>6</v>
      </c>
      <c r="T40" s="9">
        <v>5</v>
      </c>
      <c r="U40" s="9">
        <v>10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11</v>
      </c>
      <c r="AF40" s="133">
        <v>4</v>
      </c>
      <c r="AG40" s="133">
        <v>20</v>
      </c>
      <c r="AH40" s="133">
        <v>22</v>
      </c>
      <c r="AI40" s="5"/>
      <c r="AJ40" s="154" t="str">
        <v>J</v>
      </c>
      <c r="AK40" s="133">
        <v>4</v>
      </c>
      <c r="AL40" s="133">
        <v>11</v>
      </c>
      <c r="AM40" s="133">
        <v>4</v>
      </c>
      <c r="AN40" s="133">
        <v>20</v>
      </c>
      <c r="AO40" s="133">
        <v>22</v>
      </c>
    </row>
    <row r="41" spans="10:41" ht="16.5" customHeight="1" x14ac:dyDescent="0.3">
      <c r="J41" s="9">
        <v>37</v>
      </c>
      <c r="K41" s="16" t="s">
        <v>126</v>
      </c>
      <c r="L41" s="16" t="s">
        <v>36</v>
      </c>
      <c r="M41" s="16" t="s">
        <v>35</v>
      </c>
      <c r="N41" s="16" t="s">
        <v>18</v>
      </c>
      <c r="O41" s="16" t="s">
        <v>36</v>
      </c>
      <c r="Q41" s="9">
        <v>6</v>
      </c>
      <c r="R41" s="9">
        <v>10</v>
      </c>
      <c r="S41" s="9">
        <v>8</v>
      </c>
      <c r="T41" s="9">
        <v>4</v>
      </c>
      <c r="U41" s="9">
        <v>10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5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5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126</v>
      </c>
      <c r="L42" s="16" t="s">
        <v>126</v>
      </c>
      <c r="M42" s="16" t="s">
        <v>35</v>
      </c>
      <c r="N42" s="16" t="s">
        <v>97</v>
      </c>
      <c r="O42" s="16" t="s">
        <v>18</v>
      </c>
      <c r="Q42" s="9">
        <v>6</v>
      </c>
      <c r="R42" s="9">
        <v>6</v>
      </c>
      <c r="S42" s="9">
        <v>8</v>
      </c>
      <c r="T42" s="9">
        <v>19</v>
      </c>
      <c r="U42" s="9">
        <v>4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6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6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36</v>
      </c>
      <c r="L43" s="16" t="s">
        <v>126</v>
      </c>
      <c r="M43" s="16" t="s">
        <v>37</v>
      </c>
      <c r="N43" s="16" t="s">
        <v>36</v>
      </c>
      <c r="O43" s="16" t="s">
        <v>126</v>
      </c>
      <c r="Q43" s="9">
        <v>10</v>
      </c>
      <c r="R43" s="9">
        <v>6</v>
      </c>
      <c r="S43" s="9">
        <v>7</v>
      </c>
      <c r="T43" s="9">
        <v>10</v>
      </c>
      <c r="U43" s="9">
        <v>6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6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6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37</v>
      </c>
      <c r="L44" s="16" t="s">
        <v>89</v>
      </c>
      <c r="M44" s="16" t="s">
        <v>19</v>
      </c>
      <c r="N44" s="16" t="s">
        <v>18</v>
      </c>
      <c r="O44" s="16" t="s">
        <v>37</v>
      </c>
      <c r="Q44" s="9">
        <v>7</v>
      </c>
      <c r="R44" s="9">
        <v>12</v>
      </c>
      <c r="S44" s="9">
        <v>5</v>
      </c>
      <c r="T44" s="9">
        <v>4</v>
      </c>
      <c r="U44" s="9">
        <v>7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9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9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18</v>
      </c>
      <c r="L45" s="16" t="s">
        <v>19</v>
      </c>
      <c r="M45" s="16" t="s">
        <v>34</v>
      </c>
      <c r="N45" s="16" t="s">
        <v>126</v>
      </c>
      <c r="O45" s="16" t="s">
        <v>19</v>
      </c>
      <c r="Q45" s="9">
        <v>4</v>
      </c>
      <c r="R45" s="9">
        <v>5</v>
      </c>
      <c r="S45" s="9">
        <v>9</v>
      </c>
      <c r="T45" s="9">
        <v>6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9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9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126</v>
      </c>
      <c r="L46" s="16" t="s">
        <v>19</v>
      </c>
      <c r="M46" s="16" t="s">
        <v>37</v>
      </c>
      <c r="N46" s="16" t="s">
        <v>21</v>
      </c>
      <c r="O46" s="16" t="s">
        <v>18</v>
      </c>
      <c r="Q46" s="9">
        <v>6</v>
      </c>
      <c r="R46" s="9">
        <v>5</v>
      </c>
      <c r="S46" s="9">
        <v>7</v>
      </c>
      <c r="T46" s="9">
        <v>2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9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9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35</v>
      </c>
      <c r="L47" s="16" t="s">
        <v>92</v>
      </c>
      <c r="M47" s="16" t="s">
        <v>22</v>
      </c>
      <c r="N47" s="16" t="s">
        <v>20</v>
      </c>
      <c r="O47" s="16" t="s">
        <v>34</v>
      </c>
      <c r="Q47" s="9">
        <v>8</v>
      </c>
      <c r="R47" s="9">
        <v>16</v>
      </c>
      <c r="S47" s="9">
        <v>3</v>
      </c>
      <c r="T47" s="9">
        <v>1</v>
      </c>
      <c r="U47" s="9">
        <v>9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9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9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37</v>
      </c>
      <c r="L48" s="16" t="s">
        <v>19</v>
      </c>
      <c r="M48" s="16" t="s">
        <v>21</v>
      </c>
      <c r="N48" s="16" t="s">
        <v>37</v>
      </c>
      <c r="O48" s="16" t="s">
        <v>22</v>
      </c>
      <c r="Q48" s="9">
        <v>7</v>
      </c>
      <c r="R48" s="9">
        <v>5</v>
      </c>
      <c r="S48" s="9">
        <v>2</v>
      </c>
      <c r="T48" s="9">
        <v>7</v>
      </c>
      <c r="U48" s="9">
        <v>3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6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6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37</v>
      </c>
      <c r="L49" s="16" t="s">
        <v>35</v>
      </c>
      <c r="M49" s="16" t="s">
        <v>21</v>
      </c>
      <c r="N49" s="16" t="s">
        <v>88</v>
      </c>
      <c r="O49" s="16" t="s">
        <v>37</v>
      </c>
      <c r="Q49" s="9">
        <v>7</v>
      </c>
      <c r="R49" s="9">
        <v>8</v>
      </c>
      <c r="S49" s="9">
        <v>2</v>
      </c>
      <c r="T49" s="9">
        <v>11</v>
      </c>
      <c r="U49" s="9">
        <v>7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6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6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35</v>
      </c>
      <c r="L50" s="16" t="s">
        <v>22</v>
      </c>
      <c r="M50" s="16" t="s">
        <v>126</v>
      </c>
      <c r="N50" s="16" t="s">
        <v>18</v>
      </c>
      <c r="O50" s="16" t="s">
        <v>19</v>
      </c>
      <c r="Q50" s="9">
        <v>8</v>
      </c>
      <c r="R50" s="9">
        <v>3</v>
      </c>
      <c r="S50" s="9">
        <v>6</v>
      </c>
      <c r="T50" s="9">
        <v>4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200</v>
      </c>
      <c r="AE50" s="113">
        <f>SUM(AE30:AE49)</f>
        <v>209</v>
      </c>
      <c r="AF50" s="113">
        <f>SUM(AF30:AF49)</f>
        <v>209</v>
      </c>
      <c r="AG50" s="113">
        <f>SUM(AG30:AG49)</f>
        <v>209</v>
      </c>
      <c r="AH50" s="113">
        <f>SUM(AH30:AH49)</f>
        <v>200</v>
      </c>
      <c r="AI50" s="5"/>
      <c r="AK50" s="113">
        <f>SUM(AK30:AK49)</f>
        <v>200</v>
      </c>
      <c r="AL50" s="113">
        <f>SUM(AL30:AL49)</f>
        <v>209</v>
      </c>
      <c r="AM50" s="113">
        <f>SUM(AM30:AM49)</f>
        <v>209</v>
      </c>
      <c r="AN50" s="113">
        <f>SUM(AN30:AN49)</f>
        <v>209</v>
      </c>
      <c r="AO50" s="113">
        <f>SUM(AO30:AO49)</f>
        <v>200</v>
      </c>
    </row>
    <row r="51" spans="10:41" ht="16.5" customHeight="1" x14ac:dyDescent="0.3">
      <c r="J51" s="9">
        <v>47</v>
      </c>
      <c r="K51" s="16" t="s">
        <v>35</v>
      </c>
      <c r="L51" s="16" t="s">
        <v>37</v>
      </c>
      <c r="M51" s="16" t="s">
        <v>126</v>
      </c>
      <c r="N51" s="16" t="s">
        <v>89</v>
      </c>
      <c r="O51" s="16" t="s">
        <v>35</v>
      </c>
      <c r="Q51" s="9">
        <v>8</v>
      </c>
      <c r="R51" s="9">
        <v>7</v>
      </c>
      <c r="S51" s="9">
        <v>6</v>
      </c>
      <c r="T51" s="9">
        <v>12</v>
      </c>
      <c r="U51" s="9">
        <v>8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126</v>
      </c>
      <c r="L52" s="16" t="s">
        <v>19</v>
      </c>
      <c r="M52" s="16" t="s">
        <v>91</v>
      </c>
      <c r="N52" s="16" t="s">
        <v>18</v>
      </c>
      <c r="O52" s="16" t="s">
        <v>34</v>
      </c>
      <c r="Q52" s="9">
        <v>6</v>
      </c>
      <c r="R52" s="9">
        <v>5</v>
      </c>
      <c r="S52" s="9">
        <v>14</v>
      </c>
      <c r="T52" s="9">
        <v>4</v>
      </c>
      <c r="U52" s="9">
        <v>9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19</v>
      </c>
      <c r="N53" s="16" t="s">
        <v>34</v>
      </c>
      <c r="O53" s="16" t="s">
        <v>35</v>
      </c>
      <c r="Q53" s="9">
        <v>7</v>
      </c>
      <c r="R53" s="9">
        <v>8</v>
      </c>
      <c r="S53" s="9">
        <v>5</v>
      </c>
      <c r="T53" s="9">
        <v>9</v>
      </c>
      <c r="U53" s="9">
        <v>8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35</v>
      </c>
      <c r="L54" s="16" t="s">
        <v>91</v>
      </c>
      <c r="M54" s="16" t="s">
        <v>18</v>
      </c>
      <c r="N54" s="16" t="s">
        <v>34</v>
      </c>
      <c r="O54" s="16" t="s">
        <v>36</v>
      </c>
      <c r="Q54" s="9">
        <v>8</v>
      </c>
      <c r="R54" s="9">
        <v>14</v>
      </c>
      <c r="S54" s="9">
        <v>4</v>
      </c>
      <c r="T54" s="9">
        <v>9</v>
      </c>
      <c r="U54" s="9">
        <v>10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126</v>
      </c>
      <c r="L55" s="16" t="s">
        <v>112</v>
      </c>
      <c r="M55" s="16" t="s">
        <v>37</v>
      </c>
      <c r="N55" s="16" t="s">
        <v>90</v>
      </c>
      <c r="O55" s="16" t="s">
        <v>126</v>
      </c>
      <c r="Q55" s="9">
        <v>6</v>
      </c>
      <c r="R55" s="9">
        <v>17</v>
      </c>
      <c r="S55" s="9">
        <v>7</v>
      </c>
      <c r="T55" s="9">
        <v>13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0</v>
      </c>
      <c r="AE55" s="138">
        <v>6</v>
      </c>
      <c r="AF55" s="138">
        <v>0</v>
      </c>
      <c r="AG55" s="138">
        <v>9</v>
      </c>
      <c r="AH55" s="138">
        <v>0</v>
      </c>
      <c r="AI55" s="5"/>
      <c r="AJ55" s="138" t="str">
        <v>C1</v>
      </c>
      <c r="AK55" s="138">
        <v>0</v>
      </c>
      <c r="AL55" s="138">
        <v>6</v>
      </c>
      <c r="AM55" s="138">
        <v>0</v>
      </c>
      <c r="AN55" s="138">
        <v>9</v>
      </c>
      <c r="AO55" s="138">
        <v>0</v>
      </c>
    </row>
    <row r="56" spans="10:41" ht="16.5" customHeight="1" x14ac:dyDescent="0.3">
      <c r="J56" s="25">
        <v>52</v>
      </c>
      <c r="K56" s="16" t="s">
        <v>37</v>
      </c>
      <c r="L56" s="16" t="s">
        <v>37</v>
      </c>
      <c r="M56" s="16" t="s">
        <v>36</v>
      </c>
      <c r="N56" s="16" t="s">
        <v>22</v>
      </c>
      <c r="O56" s="16" t="s">
        <v>37</v>
      </c>
      <c r="Q56" s="9">
        <v>7</v>
      </c>
      <c r="R56" s="9">
        <v>7</v>
      </c>
      <c r="S56" s="9">
        <v>10</v>
      </c>
      <c r="T56" s="9">
        <v>3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11</v>
      </c>
      <c r="AF56" s="133">
        <v>5</v>
      </c>
      <c r="AG56" s="133">
        <v>21</v>
      </c>
      <c r="AH56" s="133">
        <v>23</v>
      </c>
      <c r="AI56" s="5"/>
      <c r="AJ56" s="154" t="str">
        <v>M1</v>
      </c>
      <c r="AK56" s="133">
        <v>4</v>
      </c>
      <c r="AL56" s="133">
        <v>11</v>
      </c>
      <c r="AM56" s="133">
        <v>5</v>
      </c>
      <c r="AN56" s="133">
        <v>21</v>
      </c>
      <c r="AO56" s="133">
        <v>23</v>
      </c>
    </row>
    <row r="57" spans="10:41" ht="16.5" customHeight="1" x14ac:dyDescent="0.3">
      <c r="J57" s="9">
        <v>53</v>
      </c>
      <c r="K57" s="16" t="s">
        <v>19</v>
      </c>
      <c r="L57" s="16" t="s">
        <v>89</v>
      </c>
      <c r="M57" s="16" t="s">
        <v>37</v>
      </c>
      <c r="N57" s="16" t="s">
        <v>89</v>
      </c>
      <c r="O57" s="16" t="s">
        <v>37</v>
      </c>
      <c r="Q57" s="9">
        <v>5</v>
      </c>
      <c r="R57" s="9">
        <v>12</v>
      </c>
      <c r="S57" s="9">
        <v>7</v>
      </c>
      <c r="T57" s="9">
        <v>12</v>
      </c>
      <c r="U57" s="9">
        <v>7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11</v>
      </c>
      <c r="AF57" s="133">
        <v>5</v>
      </c>
      <c r="AG57" s="133">
        <v>21</v>
      </c>
      <c r="AH57" s="133">
        <v>23</v>
      </c>
      <c r="AI57" s="5"/>
      <c r="AJ57" s="154" t="str">
        <v>M2</v>
      </c>
      <c r="AK57" s="133">
        <v>4</v>
      </c>
      <c r="AL57" s="133">
        <v>11</v>
      </c>
      <c r="AM57" s="133">
        <v>5</v>
      </c>
      <c r="AN57" s="133">
        <v>21</v>
      </c>
      <c r="AO57" s="133">
        <v>23</v>
      </c>
    </row>
    <row r="58" spans="10:41" ht="16.5" customHeight="1" x14ac:dyDescent="0.3">
      <c r="J58" s="25">
        <v>54</v>
      </c>
      <c r="K58" s="16" t="s">
        <v>19</v>
      </c>
      <c r="L58" s="16" t="s">
        <v>97</v>
      </c>
      <c r="M58" s="16" t="s">
        <v>126</v>
      </c>
      <c r="N58" s="16" t="s">
        <v>35</v>
      </c>
      <c r="O58" s="16" t="s">
        <v>22</v>
      </c>
      <c r="Q58" s="9">
        <v>5</v>
      </c>
      <c r="R58" s="9">
        <v>19</v>
      </c>
      <c r="S58" s="9">
        <v>6</v>
      </c>
      <c r="T58" s="9">
        <v>8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11</v>
      </c>
      <c r="AF58" s="133">
        <v>5</v>
      </c>
      <c r="AG58" s="133">
        <v>21</v>
      </c>
      <c r="AH58" s="133">
        <v>22</v>
      </c>
      <c r="AI58" s="5"/>
      <c r="AJ58" s="154" t="str">
        <v>M3</v>
      </c>
      <c r="AK58" s="133">
        <v>4</v>
      </c>
      <c r="AL58" s="133">
        <v>11</v>
      </c>
      <c r="AM58" s="133">
        <v>5</v>
      </c>
      <c r="AN58" s="133">
        <v>21</v>
      </c>
      <c r="AO58" s="133">
        <v>22</v>
      </c>
    </row>
    <row r="59" spans="10:41" ht="16.5" customHeight="1" x14ac:dyDescent="0.3">
      <c r="J59" s="9">
        <v>55</v>
      </c>
      <c r="K59" s="16" t="s">
        <v>19</v>
      </c>
      <c r="L59" s="16" t="s">
        <v>126</v>
      </c>
      <c r="M59" s="16" t="s">
        <v>92</v>
      </c>
      <c r="N59" s="16" t="s">
        <v>36</v>
      </c>
      <c r="O59" s="16" t="s">
        <v>34</v>
      </c>
      <c r="Q59" s="9">
        <v>5</v>
      </c>
      <c r="R59" s="9">
        <v>6</v>
      </c>
      <c r="S59" s="9">
        <v>16</v>
      </c>
      <c r="T59" s="9">
        <v>10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20</v>
      </c>
      <c r="AF59" s="133">
        <v>41</v>
      </c>
      <c r="AG59" s="133">
        <v>14</v>
      </c>
      <c r="AH59" s="133">
        <v>22</v>
      </c>
      <c r="AI59" s="5"/>
      <c r="AJ59" s="154" t="str">
        <v>M4</v>
      </c>
      <c r="AK59" s="133">
        <v>43</v>
      </c>
      <c r="AL59" s="133">
        <v>20</v>
      </c>
      <c r="AM59" s="133">
        <v>41</v>
      </c>
      <c r="AN59" s="133">
        <v>14</v>
      </c>
      <c r="AO59" s="133">
        <v>22</v>
      </c>
    </row>
    <row r="60" spans="10:41" ht="16.5" customHeight="1" x14ac:dyDescent="0.3">
      <c r="J60" s="25">
        <v>56</v>
      </c>
      <c r="K60" s="16" t="s">
        <v>22</v>
      </c>
      <c r="L60" s="16" t="s">
        <v>21</v>
      </c>
      <c r="M60" s="16" t="s">
        <v>35</v>
      </c>
      <c r="N60" s="16" t="s">
        <v>22</v>
      </c>
      <c r="O60" s="16" t="s">
        <v>22</v>
      </c>
      <c r="Q60" s="9">
        <v>3</v>
      </c>
      <c r="R60" s="9">
        <v>2</v>
      </c>
      <c r="S60" s="9">
        <v>8</v>
      </c>
      <c r="T60" s="9">
        <v>3</v>
      </c>
      <c r="U60" s="9">
        <v>3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43</v>
      </c>
      <c r="AE60" s="133">
        <v>21</v>
      </c>
      <c r="AF60" s="133">
        <v>41</v>
      </c>
      <c r="AG60" s="133">
        <v>14</v>
      </c>
      <c r="AH60" s="133">
        <v>22</v>
      </c>
      <c r="AI60" s="5"/>
      <c r="AJ60" s="154" t="str">
        <v>M5</v>
      </c>
      <c r="AK60" s="133">
        <v>43</v>
      </c>
      <c r="AL60" s="133">
        <v>21</v>
      </c>
      <c r="AM60" s="133">
        <v>41</v>
      </c>
      <c r="AN60" s="133">
        <v>14</v>
      </c>
      <c r="AO60" s="133">
        <v>22</v>
      </c>
    </row>
    <row r="61" spans="10:41" x14ac:dyDescent="0.3">
      <c r="J61" s="9">
        <v>57</v>
      </c>
      <c r="K61" s="16" t="s">
        <v>21</v>
      </c>
      <c r="L61" s="16" t="s">
        <v>34</v>
      </c>
      <c r="M61" s="16" t="s">
        <v>21</v>
      </c>
      <c r="N61" s="16" t="s">
        <v>21</v>
      </c>
      <c r="O61" s="16" t="s">
        <v>36</v>
      </c>
      <c r="Q61" s="9">
        <v>2</v>
      </c>
      <c r="R61" s="9">
        <v>9</v>
      </c>
      <c r="S61" s="9">
        <v>2</v>
      </c>
      <c r="T61" s="9">
        <v>2</v>
      </c>
      <c r="U61" s="9">
        <v>10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21</v>
      </c>
      <c r="AF61" s="133">
        <v>41</v>
      </c>
      <c r="AG61" s="133">
        <v>14</v>
      </c>
      <c r="AH61" s="133">
        <v>22</v>
      </c>
      <c r="AI61" s="5"/>
      <c r="AJ61" s="154" t="str">
        <v>A</v>
      </c>
      <c r="AK61" s="133">
        <v>47</v>
      </c>
      <c r="AL61" s="133">
        <v>21</v>
      </c>
      <c r="AM61" s="133">
        <v>41</v>
      </c>
      <c r="AN61" s="133">
        <v>14</v>
      </c>
      <c r="AO61" s="133">
        <v>22</v>
      </c>
    </row>
    <row r="62" spans="10:41" x14ac:dyDescent="0.3">
      <c r="J62" s="25">
        <v>58</v>
      </c>
      <c r="K62" s="16" t="s">
        <v>126</v>
      </c>
      <c r="L62" s="16" t="s">
        <v>34</v>
      </c>
      <c r="M62" s="16" t="s">
        <v>19</v>
      </c>
      <c r="N62" s="16" t="s">
        <v>21</v>
      </c>
      <c r="O62" s="16" t="s">
        <v>19</v>
      </c>
      <c r="Q62" s="9">
        <v>6</v>
      </c>
      <c r="R62" s="9">
        <v>9</v>
      </c>
      <c r="S62" s="9">
        <v>5</v>
      </c>
      <c r="T62" s="9">
        <v>2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21</v>
      </c>
      <c r="AF62" s="133">
        <v>41</v>
      </c>
      <c r="AG62" s="133">
        <v>14</v>
      </c>
      <c r="AH62" s="133">
        <v>22</v>
      </c>
      <c r="AI62" s="5"/>
      <c r="AJ62" s="154" t="str">
        <v>K</v>
      </c>
      <c r="AK62" s="133">
        <v>47</v>
      </c>
      <c r="AL62" s="133">
        <v>21</v>
      </c>
      <c r="AM62" s="133">
        <v>41</v>
      </c>
      <c r="AN62" s="133">
        <v>14</v>
      </c>
      <c r="AO62" s="133">
        <v>22</v>
      </c>
    </row>
    <row r="63" spans="10:41" ht="16.5" customHeight="1" x14ac:dyDescent="0.3">
      <c r="J63" s="9">
        <v>59</v>
      </c>
      <c r="K63" s="16" t="s">
        <v>35</v>
      </c>
      <c r="L63" s="16" t="s">
        <v>127</v>
      </c>
      <c r="M63" s="16" t="s">
        <v>19</v>
      </c>
      <c r="N63" s="16" t="s">
        <v>35</v>
      </c>
      <c r="O63" s="16" t="s">
        <v>19</v>
      </c>
      <c r="Q63" s="9">
        <v>8</v>
      </c>
      <c r="R63" s="9">
        <v>15</v>
      </c>
      <c r="S63" s="9">
        <v>5</v>
      </c>
      <c r="T63" s="9">
        <v>8</v>
      </c>
      <c r="U63" s="9">
        <v>5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11</v>
      </c>
      <c r="AF63" s="133">
        <v>5</v>
      </c>
      <c r="AG63" s="133">
        <v>20</v>
      </c>
      <c r="AH63" s="133">
        <v>22</v>
      </c>
      <c r="AI63" s="5"/>
      <c r="AJ63" s="154" t="str">
        <v>Q</v>
      </c>
      <c r="AK63" s="133">
        <v>4</v>
      </c>
      <c r="AL63" s="133">
        <v>11</v>
      </c>
      <c r="AM63" s="133">
        <v>5</v>
      </c>
      <c r="AN63" s="133">
        <v>20</v>
      </c>
      <c r="AO63" s="133">
        <v>22</v>
      </c>
    </row>
    <row r="64" spans="10:41" ht="16.5" customHeight="1" x14ac:dyDescent="0.3">
      <c r="J64" s="25">
        <v>60</v>
      </c>
      <c r="K64" s="16" t="s">
        <v>19</v>
      </c>
      <c r="L64" s="16" t="s">
        <v>19</v>
      </c>
      <c r="M64" s="16" t="s">
        <v>19</v>
      </c>
      <c r="N64" s="16" t="s">
        <v>35</v>
      </c>
      <c r="O64" s="16" t="s">
        <v>35</v>
      </c>
      <c r="Q64" s="9">
        <v>5</v>
      </c>
      <c r="R64" s="9">
        <v>5</v>
      </c>
      <c r="S64" s="9">
        <v>5</v>
      </c>
      <c r="T64" s="9">
        <v>8</v>
      </c>
      <c r="U64" s="9">
        <v>8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11</v>
      </c>
      <c r="AF64" s="133">
        <v>4</v>
      </c>
      <c r="AG64" s="133">
        <v>20</v>
      </c>
      <c r="AH64" s="133">
        <v>22</v>
      </c>
      <c r="AI64" s="5"/>
      <c r="AJ64" s="154" t="str">
        <v>J</v>
      </c>
      <c r="AK64" s="133">
        <v>4</v>
      </c>
      <c r="AL64" s="133">
        <v>11</v>
      </c>
      <c r="AM64" s="133">
        <v>4</v>
      </c>
      <c r="AN64" s="133">
        <v>20</v>
      </c>
      <c r="AO64" s="133">
        <v>22</v>
      </c>
    </row>
    <row r="65" spans="10:41" ht="16.5" customHeight="1" x14ac:dyDescent="0.3">
      <c r="J65" s="9">
        <v>61</v>
      </c>
      <c r="K65" s="16" t="s">
        <v>19</v>
      </c>
      <c r="L65" s="16" t="s">
        <v>37</v>
      </c>
      <c r="M65" s="16" t="s">
        <v>37</v>
      </c>
      <c r="N65" s="16" t="s">
        <v>22</v>
      </c>
      <c r="O65" s="16" t="s">
        <v>22</v>
      </c>
      <c r="Q65" s="9">
        <v>5</v>
      </c>
      <c r="R65" s="9">
        <v>7</v>
      </c>
      <c r="S65" s="9">
        <v>7</v>
      </c>
      <c r="T65" s="9">
        <v>3</v>
      </c>
      <c r="U65" s="9">
        <v>3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5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5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21</v>
      </c>
      <c r="L66" s="16" t="s">
        <v>22</v>
      </c>
      <c r="M66" s="16" t="s">
        <v>22</v>
      </c>
      <c r="N66" s="16" t="s">
        <v>36</v>
      </c>
      <c r="O66" s="16" t="s">
        <v>126</v>
      </c>
      <c r="Q66" s="9">
        <v>2</v>
      </c>
      <c r="R66" s="9">
        <v>3</v>
      </c>
      <c r="S66" s="9">
        <v>3</v>
      </c>
      <c r="T66" s="9">
        <v>10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6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6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126</v>
      </c>
      <c r="L67" s="16" t="s">
        <v>92</v>
      </c>
      <c r="M67" s="16" t="s">
        <v>126</v>
      </c>
      <c r="N67" s="16" t="s">
        <v>18</v>
      </c>
      <c r="O67" s="16" t="s">
        <v>35</v>
      </c>
      <c r="Q67" s="9">
        <v>6</v>
      </c>
      <c r="R67" s="9">
        <v>16</v>
      </c>
      <c r="S67" s="9">
        <v>6</v>
      </c>
      <c r="T67" s="9">
        <v>4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6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6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19</v>
      </c>
      <c r="L68" s="16" t="s">
        <v>19</v>
      </c>
      <c r="M68" s="16" t="s">
        <v>19</v>
      </c>
      <c r="N68" s="16" t="s">
        <v>22</v>
      </c>
      <c r="O68" s="16" t="s">
        <v>18</v>
      </c>
      <c r="Q68" s="9">
        <v>5</v>
      </c>
      <c r="R68" s="9">
        <v>5</v>
      </c>
      <c r="S68" s="9">
        <v>5</v>
      </c>
      <c r="T68" s="9">
        <v>3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9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9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37</v>
      </c>
      <c r="L69" s="16" t="s">
        <v>126</v>
      </c>
      <c r="M69" s="16" t="s">
        <v>126</v>
      </c>
      <c r="N69" s="16" t="s">
        <v>34</v>
      </c>
      <c r="O69" s="16" t="s">
        <v>36</v>
      </c>
      <c r="Q69" s="9">
        <v>7</v>
      </c>
      <c r="R69" s="9">
        <v>6</v>
      </c>
      <c r="S69" s="9">
        <v>6</v>
      </c>
      <c r="T69" s="9">
        <v>9</v>
      </c>
      <c r="U69" s="9">
        <v>10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9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9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126</v>
      </c>
      <c r="L70" s="16" t="s">
        <v>36</v>
      </c>
      <c r="M70" s="16" t="s">
        <v>19</v>
      </c>
      <c r="N70" s="16" t="s">
        <v>36</v>
      </c>
      <c r="O70" s="16" t="s">
        <v>34</v>
      </c>
      <c r="Q70" s="9">
        <v>6</v>
      </c>
      <c r="R70" s="9">
        <v>10</v>
      </c>
      <c r="S70" s="9">
        <v>5</v>
      </c>
      <c r="T70" s="9">
        <v>10</v>
      </c>
      <c r="U70" s="9">
        <v>9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9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9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19</v>
      </c>
      <c r="L71" s="16" t="s">
        <v>127</v>
      </c>
      <c r="M71" s="16" t="s">
        <v>126</v>
      </c>
      <c r="N71" s="16" t="s">
        <v>36</v>
      </c>
      <c r="O71" s="16" t="s">
        <v>37</v>
      </c>
      <c r="Q71" s="9">
        <v>5</v>
      </c>
      <c r="R71" s="9">
        <v>15</v>
      </c>
      <c r="S71" s="9">
        <v>6</v>
      </c>
      <c r="T71" s="9">
        <v>10</v>
      </c>
      <c r="U71" s="9">
        <v>7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9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9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126</v>
      </c>
      <c r="L72" s="16" t="s">
        <v>112</v>
      </c>
      <c r="M72" s="16" t="s">
        <v>19</v>
      </c>
      <c r="N72" s="16" t="s">
        <v>36</v>
      </c>
      <c r="O72" s="16" t="s">
        <v>18</v>
      </c>
      <c r="Q72" s="9">
        <v>6</v>
      </c>
      <c r="R72" s="9">
        <v>17</v>
      </c>
      <c r="S72" s="9">
        <v>5</v>
      </c>
      <c r="T72" s="9">
        <v>10</v>
      </c>
      <c r="U72" s="9">
        <v>4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6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6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36</v>
      </c>
      <c r="L73" s="16" t="s">
        <v>20</v>
      </c>
      <c r="M73" s="16" t="s">
        <v>35</v>
      </c>
      <c r="N73" s="16" t="s">
        <v>97</v>
      </c>
      <c r="O73" s="16" t="s">
        <v>21</v>
      </c>
      <c r="Q73" s="9">
        <v>10</v>
      </c>
      <c r="R73" s="9">
        <v>1</v>
      </c>
      <c r="S73" s="9">
        <v>8</v>
      </c>
      <c r="T73" s="9">
        <v>19</v>
      </c>
      <c r="U73" s="9">
        <v>2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6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6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37</v>
      </c>
      <c r="L74" s="16" t="s">
        <v>36</v>
      </c>
      <c r="M74" s="16" t="s">
        <v>19</v>
      </c>
      <c r="N74" s="16" t="s">
        <v>21</v>
      </c>
      <c r="O74" s="16" t="s">
        <v>19</v>
      </c>
      <c r="Q74" s="9">
        <v>7</v>
      </c>
      <c r="R74" s="9">
        <v>10</v>
      </c>
      <c r="S74" s="9">
        <v>5</v>
      </c>
      <c r="T74" s="9">
        <v>2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200</v>
      </c>
      <c r="AE74" s="113">
        <f>SUM(AE54:AE73)</f>
        <v>209</v>
      </c>
      <c r="AF74" s="113">
        <f>SUM(AF54:AF73)</f>
        <v>209</v>
      </c>
      <c r="AG74" s="113">
        <f>SUM(AG54:AG73)</f>
        <v>209</v>
      </c>
      <c r="AH74" s="113">
        <f>SUM(AH54:AH73)</f>
        <v>200</v>
      </c>
      <c r="AI74" s="5"/>
      <c r="AK74" s="113">
        <f>SUM(AK54:AK73)</f>
        <v>200</v>
      </c>
      <c r="AL74" s="113">
        <f>SUM(AL54:AL73)</f>
        <v>209</v>
      </c>
      <c r="AM74" s="113">
        <f>SUM(AM54:AM73)</f>
        <v>209</v>
      </c>
      <c r="AN74" s="113">
        <f>SUM(AN54:AN73)</f>
        <v>209</v>
      </c>
      <c r="AO74" s="113">
        <f>SUM(AO54:AO73)</f>
        <v>200</v>
      </c>
    </row>
    <row r="75" spans="10:41" ht="16.5" customHeight="1" x14ac:dyDescent="0.3">
      <c r="J75" s="9">
        <v>71</v>
      </c>
      <c r="K75" s="16" t="s">
        <v>126</v>
      </c>
      <c r="L75" s="16" t="s">
        <v>35</v>
      </c>
      <c r="M75" s="16" t="s">
        <v>18</v>
      </c>
      <c r="N75" s="16" t="s">
        <v>89</v>
      </c>
      <c r="O75" s="16" t="s">
        <v>37</v>
      </c>
      <c r="Q75" s="9">
        <v>6</v>
      </c>
      <c r="R75" s="9">
        <v>8</v>
      </c>
      <c r="S75" s="9">
        <v>4</v>
      </c>
      <c r="T75" s="9">
        <v>12</v>
      </c>
      <c r="U75" s="9">
        <v>7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35</v>
      </c>
      <c r="L76" s="16" t="s">
        <v>35</v>
      </c>
      <c r="M76" s="16" t="s">
        <v>19</v>
      </c>
      <c r="N76" s="16" t="s">
        <v>21</v>
      </c>
      <c r="O76" s="16" t="s">
        <v>35</v>
      </c>
      <c r="Q76" s="9">
        <v>8</v>
      </c>
      <c r="R76" s="9">
        <v>8</v>
      </c>
      <c r="S76" s="9">
        <v>5</v>
      </c>
      <c r="T76" s="9">
        <v>2</v>
      </c>
      <c r="U76" s="9">
        <v>8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126</v>
      </c>
      <c r="L77" s="16" t="s">
        <v>19</v>
      </c>
      <c r="M77" s="16" t="s">
        <v>37</v>
      </c>
      <c r="N77" s="16" t="s">
        <v>19</v>
      </c>
      <c r="O77" s="16" t="s">
        <v>37</v>
      </c>
      <c r="Q77" s="9">
        <v>6</v>
      </c>
      <c r="R77" s="9">
        <v>5</v>
      </c>
      <c r="S77" s="9">
        <v>7</v>
      </c>
      <c r="T77" s="9">
        <v>5</v>
      </c>
      <c r="U77" s="9">
        <v>7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35</v>
      </c>
      <c r="L78" s="16" t="s">
        <v>19</v>
      </c>
      <c r="M78" s="16" t="s">
        <v>19</v>
      </c>
      <c r="N78" s="16" t="s">
        <v>20</v>
      </c>
      <c r="O78" s="16" t="s">
        <v>37</v>
      </c>
      <c r="Q78" s="9">
        <v>8</v>
      </c>
      <c r="R78" s="9">
        <v>5</v>
      </c>
      <c r="S78" s="9">
        <v>5</v>
      </c>
      <c r="T78" s="9">
        <v>1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126</v>
      </c>
      <c r="L79" s="16" t="s">
        <v>36</v>
      </c>
      <c r="M79" s="16" t="s">
        <v>126</v>
      </c>
      <c r="N79" s="16" t="s">
        <v>34</v>
      </c>
      <c r="O79" s="16" t="s">
        <v>18</v>
      </c>
      <c r="Q79" s="9">
        <v>6</v>
      </c>
      <c r="R79" s="9">
        <v>10</v>
      </c>
      <c r="S79" s="9">
        <v>6</v>
      </c>
      <c r="T79" s="9">
        <v>9</v>
      </c>
      <c r="U79" s="9">
        <v>4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18</v>
      </c>
      <c r="M80" s="16" t="s">
        <v>34</v>
      </c>
      <c r="N80" s="16" t="s">
        <v>34</v>
      </c>
      <c r="O80" s="16" t="s">
        <v>126</v>
      </c>
      <c r="Q80" s="9">
        <v>8</v>
      </c>
      <c r="R80" s="9">
        <v>4</v>
      </c>
      <c r="S80" s="9">
        <v>9</v>
      </c>
      <c r="T80" s="9">
        <v>9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126</v>
      </c>
      <c r="L81" s="16" t="s">
        <v>37</v>
      </c>
      <c r="M81" s="16" t="s">
        <v>126</v>
      </c>
      <c r="N81" s="16" t="s">
        <v>36</v>
      </c>
      <c r="O81" s="16" t="s">
        <v>34</v>
      </c>
      <c r="Q81" s="9">
        <v>6</v>
      </c>
      <c r="R81" s="9">
        <v>7</v>
      </c>
      <c r="S81" s="9">
        <v>6</v>
      </c>
      <c r="T81" s="9">
        <v>10</v>
      </c>
      <c r="U81" s="9">
        <v>9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126</v>
      </c>
      <c r="L82" s="16" t="s">
        <v>34</v>
      </c>
      <c r="M82" s="16" t="s">
        <v>35</v>
      </c>
      <c r="N82" s="16" t="s">
        <v>22</v>
      </c>
      <c r="O82" s="16" t="s">
        <v>35</v>
      </c>
      <c r="Q82" s="9">
        <v>6</v>
      </c>
      <c r="R82" s="9">
        <v>9</v>
      </c>
      <c r="S82" s="9">
        <v>8</v>
      </c>
      <c r="T82" s="9">
        <v>3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126</v>
      </c>
      <c r="L83" s="16" t="s">
        <v>19</v>
      </c>
      <c r="M83" s="16" t="s">
        <v>126</v>
      </c>
      <c r="N83" s="16" t="s">
        <v>37</v>
      </c>
      <c r="O83" s="16" t="s">
        <v>35</v>
      </c>
      <c r="Q83" s="9">
        <v>6</v>
      </c>
      <c r="R83" s="9">
        <v>5</v>
      </c>
      <c r="S83" s="9">
        <v>6</v>
      </c>
      <c r="T83" s="9">
        <v>7</v>
      </c>
      <c r="U83" s="9">
        <v>8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92</v>
      </c>
      <c r="M84" s="16" t="s">
        <v>35</v>
      </c>
      <c r="N84" s="16" t="s">
        <v>19</v>
      </c>
      <c r="O84" s="16" t="s">
        <v>18</v>
      </c>
      <c r="Q84" s="9">
        <v>8</v>
      </c>
      <c r="R84" s="9">
        <v>16</v>
      </c>
      <c r="S84" s="9">
        <v>8</v>
      </c>
      <c r="T84" s="9">
        <v>5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18</v>
      </c>
      <c r="M85" s="16" t="s">
        <v>18</v>
      </c>
      <c r="N85" s="16" t="s">
        <v>20</v>
      </c>
      <c r="O85" s="16" t="s">
        <v>36</v>
      </c>
      <c r="Q85" s="9">
        <v>7</v>
      </c>
      <c r="R85" s="9">
        <v>4</v>
      </c>
      <c r="S85" s="9">
        <v>4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21</v>
      </c>
      <c r="L86" s="16" t="s">
        <v>126</v>
      </c>
      <c r="M86" s="16" t="s">
        <v>35</v>
      </c>
      <c r="N86" s="16" t="s">
        <v>36</v>
      </c>
      <c r="O86" s="16" t="s">
        <v>37</v>
      </c>
      <c r="Q86" s="9">
        <v>2</v>
      </c>
      <c r="R86" s="9">
        <v>6</v>
      </c>
      <c r="S86" s="9">
        <v>8</v>
      </c>
      <c r="T86" s="9">
        <v>10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18</v>
      </c>
      <c r="L87" s="16" t="s">
        <v>126</v>
      </c>
      <c r="M87" s="16" t="s">
        <v>19</v>
      </c>
      <c r="N87" s="16" t="s">
        <v>21</v>
      </c>
      <c r="O87" s="16" t="s">
        <v>21</v>
      </c>
      <c r="Q87" s="9">
        <v>4</v>
      </c>
      <c r="R87" s="9">
        <v>6</v>
      </c>
      <c r="S87" s="9">
        <v>5</v>
      </c>
      <c r="T87" s="9">
        <v>2</v>
      </c>
      <c r="U87" s="9">
        <v>2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19</v>
      </c>
      <c r="L88" s="16" t="s">
        <v>126</v>
      </c>
      <c r="M88" s="16" t="s">
        <v>37</v>
      </c>
      <c r="N88" s="16" t="s">
        <v>18</v>
      </c>
      <c r="O88" s="16" t="s">
        <v>18</v>
      </c>
      <c r="Q88" s="9">
        <v>5</v>
      </c>
      <c r="R88" s="9">
        <v>6</v>
      </c>
      <c r="S88" s="9">
        <v>7</v>
      </c>
      <c r="T88" s="9">
        <v>4</v>
      </c>
      <c r="U88" s="9">
        <v>4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19</v>
      </c>
      <c r="L89" s="16" t="s">
        <v>18</v>
      </c>
      <c r="M89" s="16" t="s">
        <v>19</v>
      </c>
      <c r="N89" s="16" t="s">
        <v>36</v>
      </c>
      <c r="O89" s="16" t="s">
        <v>18</v>
      </c>
      <c r="Q89" s="9">
        <v>5</v>
      </c>
      <c r="R89" s="9">
        <v>4</v>
      </c>
      <c r="S89" s="9">
        <v>5</v>
      </c>
      <c r="T89" s="9">
        <v>10</v>
      </c>
      <c r="U89" s="9">
        <v>4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92</v>
      </c>
      <c r="M90" s="16" t="s">
        <v>37</v>
      </c>
      <c r="N90" s="16" t="s">
        <v>34</v>
      </c>
      <c r="O90" s="16" t="s">
        <v>22</v>
      </c>
      <c r="Q90" s="9">
        <v>8</v>
      </c>
      <c r="R90" s="9">
        <v>16</v>
      </c>
      <c r="S90" s="9">
        <v>7</v>
      </c>
      <c r="T90" s="9">
        <v>9</v>
      </c>
      <c r="U90" s="9">
        <v>3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37</v>
      </c>
      <c r="M91" s="16" t="s">
        <v>19</v>
      </c>
      <c r="N91" s="16" t="s">
        <v>112</v>
      </c>
      <c r="O91" s="16" t="s">
        <v>37</v>
      </c>
      <c r="Q91" s="9">
        <v>7</v>
      </c>
      <c r="R91" s="9">
        <v>7</v>
      </c>
      <c r="S91" s="9">
        <v>5</v>
      </c>
      <c r="T91" s="9">
        <v>17</v>
      </c>
      <c r="U91" s="9">
        <v>7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35</v>
      </c>
      <c r="M92" s="16" t="s">
        <v>19</v>
      </c>
      <c r="N92" s="16" t="s">
        <v>21</v>
      </c>
      <c r="O92" s="16" t="s">
        <v>22</v>
      </c>
      <c r="Q92" s="9">
        <v>5</v>
      </c>
      <c r="R92" s="9">
        <v>8</v>
      </c>
      <c r="S92" s="9">
        <v>5</v>
      </c>
      <c r="T92" s="9">
        <v>2</v>
      </c>
      <c r="U92" s="9">
        <v>3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34</v>
      </c>
      <c r="L93" s="16" t="s">
        <v>91</v>
      </c>
      <c r="M93" s="16" t="s">
        <v>19</v>
      </c>
      <c r="N93" s="16" t="s">
        <v>21</v>
      </c>
      <c r="O93" s="16" t="s">
        <v>21</v>
      </c>
      <c r="Q93" s="9">
        <v>9</v>
      </c>
      <c r="R93" s="9">
        <v>14</v>
      </c>
      <c r="S93" s="9">
        <v>5</v>
      </c>
      <c r="T93" s="9">
        <v>2</v>
      </c>
      <c r="U93" s="9">
        <v>2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37</v>
      </c>
      <c r="L94" s="16" t="s">
        <v>126</v>
      </c>
      <c r="M94" s="16" t="s">
        <v>126</v>
      </c>
      <c r="N94" s="16" t="s">
        <v>37</v>
      </c>
      <c r="O94" s="16" t="s">
        <v>21</v>
      </c>
      <c r="Q94" s="9">
        <v>7</v>
      </c>
      <c r="R94" s="9">
        <v>6</v>
      </c>
      <c r="S94" s="9">
        <v>6</v>
      </c>
      <c r="T94" s="9">
        <v>7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35</v>
      </c>
      <c r="L95" s="16" t="s">
        <v>91</v>
      </c>
      <c r="M95" s="16" t="s">
        <v>37</v>
      </c>
      <c r="N95" s="16" t="s">
        <v>19</v>
      </c>
      <c r="O95" s="16" t="s">
        <v>36</v>
      </c>
      <c r="Q95" s="9">
        <v>8</v>
      </c>
      <c r="R95" s="9">
        <v>14</v>
      </c>
      <c r="S95" s="9">
        <v>7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19</v>
      </c>
      <c r="L96" s="16" t="s">
        <v>95</v>
      </c>
      <c r="M96" s="16" t="s">
        <v>35</v>
      </c>
      <c r="N96" s="16" t="s">
        <v>34</v>
      </c>
      <c r="O96" s="16" t="s">
        <v>35</v>
      </c>
      <c r="Q96" s="9">
        <v>5</v>
      </c>
      <c r="R96" s="9">
        <v>18</v>
      </c>
      <c r="S96" s="9">
        <v>8</v>
      </c>
      <c r="T96" s="9">
        <v>9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37</v>
      </c>
      <c r="L97" s="16" t="s">
        <v>91</v>
      </c>
      <c r="M97" s="16" t="s">
        <v>37</v>
      </c>
      <c r="N97" s="16" t="s">
        <v>22</v>
      </c>
      <c r="O97" s="16" t="s">
        <v>22</v>
      </c>
      <c r="Q97" s="9">
        <v>7</v>
      </c>
      <c r="R97" s="9">
        <v>14</v>
      </c>
      <c r="S97" s="9">
        <v>7</v>
      </c>
      <c r="T97" s="9">
        <v>3</v>
      </c>
      <c r="U97" s="9">
        <v>3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35</v>
      </c>
      <c r="M98" s="16" t="s">
        <v>37</v>
      </c>
      <c r="N98" s="16" t="s">
        <v>37</v>
      </c>
      <c r="O98" s="16" t="s">
        <v>18</v>
      </c>
      <c r="Q98" s="9">
        <v>8</v>
      </c>
      <c r="R98" s="9">
        <v>8</v>
      </c>
      <c r="S98" s="9">
        <v>7</v>
      </c>
      <c r="T98" s="9">
        <v>7</v>
      </c>
      <c r="U98" s="9">
        <v>4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22</v>
      </c>
      <c r="M99" s="16" t="s">
        <v>126</v>
      </c>
      <c r="N99" s="16" t="s">
        <v>22</v>
      </c>
      <c r="O99" s="16" t="s">
        <v>126</v>
      </c>
      <c r="Q99" s="9">
        <v>5</v>
      </c>
      <c r="R99" s="9">
        <v>3</v>
      </c>
      <c r="S99" s="9">
        <v>6</v>
      </c>
      <c r="T99" s="9">
        <v>3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34</v>
      </c>
      <c r="L100" s="16" t="s">
        <v>126</v>
      </c>
      <c r="M100" s="16" t="s">
        <v>112</v>
      </c>
      <c r="N100" s="16" t="s">
        <v>22</v>
      </c>
      <c r="O100" s="16" t="s">
        <v>34</v>
      </c>
      <c r="Q100" s="9">
        <v>9</v>
      </c>
      <c r="R100" s="9">
        <v>6</v>
      </c>
      <c r="S100" s="9">
        <v>17</v>
      </c>
      <c r="T100" s="9">
        <v>3</v>
      </c>
      <c r="U100" s="9">
        <v>9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19</v>
      </c>
      <c r="L101" s="16" t="s">
        <v>127</v>
      </c>
      <c r="M101" s="16" t="s">
        <v>19</v>
      </c>
      <c r="N101" s="16" t="s">
        <v>18</v>
      </c>
      <c r="O101" s="16" t="s">
        <v>21</v>
      </c>
      <c r="Q101" s="9">
        <v>5</v>
      </c>
      <c r="R101" s="9">
        <v>15</v>
      </c>
      <c r="S101" s="9">
        <v>5</v>
      </c>
      <c r="T101" s="9">
        <v>4</v>
      </c>
      <c r="U101" s="9">
        <v>2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19</v>
      </c>
      <c r="L102" s="16" t="s">
        <v>18</v>
      </c>
      <c r="M102" s="16" t="s">
        <v>36</v>
      </c>
      <c r="N102" s="16" t="s">
        <v>36</v>
      </c>
      <c r="O102" s="16" t="s">
        <v>21</v>
      </c>
      <c r="Q102" s="9">
        <v>5</v>
      </c>
      <c r="R102" s="9">
        <v>4</v>
      </c>
      <c r="S102" s="9">
        <v>10</v>
      </c>
      <c r="T102" s="9">
        <v>10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19</v>
      </c>
      <c r="L103" s="16" t="s">
        <v>18</v>
      </c>
      <c r="M103" s="16" t="s">
        <v>35</v>
      </c>
      <c r="N103" s="16" t="s">
        <v>36</v>
      </c>
      <c r="O103" s="16" t="s">
        <v>18</v>
      </c>
      <c r="Q103" s="9">
        <v>5</v>
      </c>
      <c r="R103" s="9">
        <v>4</v>
      </c>
      <c r="S103" s="9">
        <v>8</v>
      </c>
      <c r="T103" s="9">
        <v>10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126</v>
      </c>
      <c r="L104" s="16" t="s">
        <v>19</v>
      </c>
      <c r="M104" s="16" t="s">
        <v>127</v>
      </c>
      <c r="N104" s="16" t="s">
        <v>37</v>
      </c>
      <c r="O104" s="16" t="s">
        <v>18</v>
      </c>
      <c r="Q104" s="9">
        <v>6</v>
      </c>
      <c r="R104" s="9">
        <v>5</v>
      </c>
      <c r="S104" s="9">
        <v>15</v>
      </c>
      <c r="T104" s="9">
        <v>7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35</v>
      </c>
      <c r="L105" s="16" t="s">
        <v>34</v>
      </c>
      <c r="M105" s="16" t="s">
        <v>19</v>
      </c>
      <c r="N105" s="16" t="s">
        <v>37</v>
      </c>
      <c r="O105" s="16" t="s">
        <v>22</v>
      </c>
      <c r="Q105" s="9">
        <v>8</v>
      </c>
      <c r="R105" s="9">
        <v>9</v>
      </c>
      <c r="S105" s="9">
        <v>5</v>
      </c>
      <c r="T105" s="9">
        <v>7</v>
      </c>
      <c r="U105" s="9">
        <v>3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37</v>
      </c>
      <c r="L106" s="16" t="s">
        <v>127</v>
      </c>
      <c r="M106" s="16" t="s">
        <v>19</v>
      </c>
      <c r="N106" s="16" t="s">
        <v>126</v>
      </c>
      <c r="O106" s="16" t="s">
        <v>34</v>
      </c>
      <c r="Q106" s="9">
        <v>7</v>
      </c>
      <c r="R106" s="9">
        <v>15</v>
      </c>
      <c r="S106" s="9">
        <v>5</v>
      </c>
      <c r="T106" s="9">
        <v>6</v>
      </c>
      <c r="U106" s="9">
        <v>9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126</v>
      </c>
      <c r="L107" s="16" t="s">
        <v>126</v>
      </c>
      <c r="M107" s="16" t="s">
        <v>36</v>
      </c>
      <c r="N107" s="16" t="s">
        <v>90</v>
      </c>
      <c r="O107" s="16" t="s">
        <v>35</v>
      </c>
      <c r="Q107" s="9">
        <v>6</v>
      </c>
      <c r="R107" s="9">
        <v>6</v>
      </c>
      <c r="S107" s="9">
        <v>10</v>
      </c>
      <c r="T107" s="9">
        <v>13</v>
      </c>
      <c r="U107" s="9">
        <v>8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37</v>
      </c>
      <c r="L108" s="16" t="s">
        <v>19</v>
      </c>
      <c r="M108" s="16" t="s">
        <v>126</v>
      </c>
      <c r="N108" s="16" t="s">
        <v>18</v>
      </c>
      <c r="O108" s="16" t="s">
        <v>35</v>
      </c>
      <c r="Q108" s="9">
        <v>7</v>
      </c>
      <c r="R108" s="9">
        <v>5</v>
      </c>
      <c r="S108" s="9">
        <v>6</v>
      </c>
      <c r="T108" s="9">
        <v>4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126</v>
      </c>
      <c r="L109" s="16" t="s">
        <v>18</v>
      </c>
      <c r="M109" s="16" t="s">
        <v>18</v>
      </c>
      <c r="N109" s="16" t="s">
        <v>126</v>
      </c>
      <c r="O109" s="16" t="s">
        <v>19</v>
      </c>
      <c r="Q109" s="9">
        <v>6</v>
      </c>
      <c r="R109" s="9">
        <v>4</v>
      </c>
      <c r="S109" s="9">
        <v>4</v>
      </c>
      <c r="T109" s="9">
        <v>6</v>
      </c>
      <c r="U109" s="9">
        <v>5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19</v>
      </c>
      <c r="L110" s="16" t="s">
        <v>90</v>
      </c>
      <c r="M110" s="16" t="s">
        <v>126</v>
      </c>
      <c r="N110" s="16" t="s">
        <v>126</v>
      </c>
      <c r="O110" s="16" t="s">
        <v>19</v>
      </c>
      <c r="Q110" s="9">
        <v>5</v>
      </c>
      <c r="R110" s="9">
        <v>13</v>
      </c>
      <c r="S110" s="9">
        <v>6</v>
      </c>
      <c r="T110" s="9">
        <v>6</v>
      </c>
      <c r="U110" s="9">
        <v>5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35</v>
      </c>
      <c r="M111" s="16" t="s">
        <v>35</v>
      </c>
      <c r="N111" s="16" t="s">
        <v>22</v>
      </c>
      <c r="O111" s="16" t="s">
        <v>126</v>
      </c>
      <c r="Q111" s="9">
        <v>7</v>
      </c>
      <c r="R111" s="9">
        <v>8</v>
      </c>
      <c r="S111" s="9">
        <v>8</v>
      </c>
      <c r="T111" s="9">
        <v>3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126</v>
      </c>
      <c r="L112" s="16" t="s">
        <v>37</v>
      </c>
      <c r="M112" s="16" t="s">
        <v>35</v>
      </c>
      <c r="N112" s="16" t="s">
        <v>18</v>
      </c>
      <c r="O112" s="16" t="s">
        <v>126</v>
      </c>
      <c r="Q112" s="9">
        <v>6</v>
      </c>
      <c r="R112" s="9">
        <v>7</v>
      </c>
      <c r="S112" s="9">
        <v>8</v>
      </c>
      <c r="T112" s="9">
        <v>4</v>
      </c>
      <c r="U112" s="9">
        <v>6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126</v>
      </c>
      <c r="L113" s="16" t="s">
        <v>126</v>
      </c>
      <c r="M113" s="16" t="s">
        <v>37</v>
      </c>
      <c r="N113" s="16" t="s">
        <v>20</v>
      </c>
      <c r="O113" s="16" t="s">
        <v>18</v>
      </c>
      <c r="Q113" s="9">
        <v>6</v>
      </c>
      <c r="R113" s="9">
        <v>6</v>
      </c>
      <c r="S113" s="9">
        <v>7</v>
      </c>
      <c r="T113" s="9">
        <v>1</v>
      </c>
      <c r="U113" s="9">
        <v>4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37</v>
      </c>
      <c r="L114" s="16" t="s">
        <v>22</v>
      </c>
      <c r="M114" s="16" t="s">
        <v>126</v>
      </c>
      <c r="N114" s="16" t="s">
        <v>19</v>
      </c>
      <c r="O114" s="16" t="s">
        <v>35</v>
      </c>
      <c r="Q114" s="9">
        <v>7</v>
      </c>
      <c r="R114" s="9">
        <v>3</v>
      </c>
      <c r="S114" s="9">
        <v>6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92</v>
      </c>
      <c r="M115" s="16" t="s">
        <v>37</v>
      </c>
      <c r="N115" s="16" t="s">
        <v>35</v>
      </c>
      <c r="O115" s="16" t="s">
        <v>35</v>
      </c>
      <c r="Q115" s="9">
        <v>5</v>
      </c>
      <c r="R115" s="9">
        <v>16</v>
      </c>
      <c r="S115" s="9">
        <v>7</v>
      </c>
      <c r="T115" s="9">
        <v>8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19</v>
      </c>
      <c r="L116" s="16" t="s">
        <v>112</v>
      </c>
      <c r="M116" s="16" t="s">
        <v>126</v>
      </c>
      <c r="N116" s="16" t="s">
        <v>18</v>
      </c>
      <c r="O116" s="16" t="s">
        <v>126</v>
      </c>
      <c r="Q116" s="9">
        <v>5</v>
      </c>
      <c r="R116" s="9">
        <v>17</v>
      </c>
      <c r="S116" s="9">
        <v>6</v>
      </c>
      <c r="T116" s="9">
        <v>4</v>
      </c>
      <c r="U116" s="9">
        <v>6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18</v>
      </c>
      <c r="L117" s="16" t="s">
        <v>112</v>
      </c>
      <c r="M117" s="16" t="s">
        <v>35</v>
      </c>
      <c r="N117" s="16" t="s">
        <v>34</v>
      </c>
      <c r="O117" s="16" t="s">
        <v>21</v>
      </c>
      <c r="Q117" s="9">
        <v>4</v>
      </c>
      <c r="R117" s="9">
        <v>17</v>
      </c>
      <c r="S117" s="9">
        <v>8</v>
      </c>
      <c r="T117" s="9">
        <v>9</v>
      </c>
      <c r="U117" s="9">
        <v>2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21</v>
      </c>
      <c r="L118" s="16" t="s">
        <v>35</v>
      </c>
      <c r="M118" s="16" t="s">
        <v>19</v>
      </c>
      <c r="N118" s="16" t="s">
        <v>88</v>
      </c>
      <c r="O118" s="16" t="s">
        <v>126</v>
      </c>
      <c r="Q118" s="9">
        <v>2</v>
      </c>
      <c r="R118" s="9">
        <v>8</v>
      </c>
      <c r="S118" s="9">
        <v>5</v>
      </c>
      <c r="T118" s="9">
        <v>11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19</v>
      </c>
      <c r="M119" s="16" t="s">
        <v>37</v>
      </c>
      <c r="N119" s="16" t="s">
        <v>34</v>
      </c>
      <c r="O119" s="16" t="s">
        <v>126</v>
      </c>
      <c r="Q119" s="9">
        <v>7</v>
      </c>
      <c r="R119" s="9">
        <v>5</v>
      </c>
      <c r="S119" s="9">
        <v>7</v>
      </c>
      <c r="T119" s="9">
        <v>9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95</v>
      </c>
      <c r="M120" s="16" t="s">
        <v>19</v>
      </c>
      <c r="N120" s="16" t="s">
        <v>35</v>
      </c>
      <c r="O120" s="16" t="s">
        <v>19</v>
      </c>
      <c r="Q120" s="9">
        <v>5</v>
      </c>
      <c r="R120" s="9">
        <v>18</v>
      </c>
      <c r="S120" s="9">
        <v>5</v>
      </c>
      <c r="T120" s="9">
        <v>8</v>
      </c>
      <c r="U120" s="9">
        <v>5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92</v>
      </c>
      <c r="M121" s="16" t="s">
        <v>126</v>
      </c>
      <c r="N121" s="16" t="s">
        <v>19</v>
      </c>
      <c r="O121" s="16" t="s">
        <v>19</v>
      </c>
      <c r="Q121" s="9">
        <v>7</v>
      </c>
      <c r="R121" s="9">
        <v>16</v>
      </c>
      <c r="S121" s="9">
        <v>6</v>
      </c>
      <c r="T121" s="9">
        <v>5</v>
      </c>
      <c r="U121" s="9">
        <v>5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126</v>
      </c>
      <c r="L122" s="16" t="s">
        <v>92</v>
      </c>
      <c r="M122" s="16" t="s">
        <v>35</v>
      </c>
      <c r="N122" s="16" t="s">
        <v>22</v>
      </c>
      <c r="O122" s="16" t="s">
        <v>36</v>
      </c>
      <c r="Q122" s="9">
        <v>6</v>
      </c>
      <c r="R122" s="9">
        <v>16</v>
      </c>
      <c r="S122" s="9">
        <v>8</v>
      </c>
      <c r="T122" s="9">
        <v>3</v>
      </c>
      <c r="U122" s="9">
        <v>10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35</v>
      </c>
      <c r="L123" s="16" t="s">
        <v>19</v>
      </c>
      <c r="M123" s="16" t="s">
        <v>18</v>
      </c>
      <c r="N123" s="16" t="s">
        <v>19</v>
      </c>
      <c r="O123" s="16" t="s">
        <v>36</v>
      </c>
      <c r="Q123" s="9">
        <v>8</v>
      </c>
      <c r="R123" s="9">
        <v>5</v>
      </c>
      <c r="S123" s="9">
        <v>4</v>
      </c>
      <c r="T123" s="9">
        <v>5</v>
      </c>
      <c r="U123" s="9">
        <v>10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126</v>
      </c>
      <c r="L124" s="16" t="s">
        <v>90</v>
      </c>
      <c r="M124" s="16" t="s">
        <v>37</v>
      </c>
      <c r="N124" s="16" t="s">
        <v>34</v>
      </c>
      <c r="O124" s="16" t="s">
        <v>37</v>
      </c>
      <c r="Q124" s="9">
        <v>6</v>
      </c>
      <c r="R124" s="9">
        <v>13</v>
      </c>
      <c r="S124" s="9">
        <v>7</v>
      </c>
      <c r="T124" s="9">
        <v>9</v>
      </c>
      <c r="U124" s="9">
        <v>7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35</v>
      </c>
      <c r="L125" s="16" t="s">
        <v>88</v>
      </c>
      <c r="M125" s="16" t="s">
        <v>19</v>
      </c>
      <c r="N125" s="16" t="s">
        <v>21</v>
      </c>
      <c r="O125" s="16" t="s">
        <v>19</v>
      </c>
      <c r="Q125" s="9">
        <v>8</v>
      </c>
      <c r="R125" s="9">
        <v>11</v>
      </c>
      <c r="S125" s="9">
        <v>5</v>
      </c>
      <c r="T125" s="9">
        <v>2</v>
      </c>
      <c r="U125" s="9">
        <v>5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35</v>
      </c>
      <c r="L126" s="16" t="s">
        <v>35</v>
      </c>
      <c r="M126" s="16" t="s">
        <v>35</v>
      </c>
      <c r="N126" s="16" t="s">
        <v>95</v>
      </c>
      <c r="O126" s="16" t="s">
        <v>18</v>
      </c>
      <c r="Q126" s="9">
        <v>8</v>
      </c>
      <c r="R126" s="9">
        <v>8</v>
      </c>
      <c r="S126" s="9">
        <v>8</v>
      </c>
      <c r="T126" s="9">
        <v>18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19</v>
      </c>
      <c r="L127" s="16" t="s">
        <v>37</v>
      </c>
      <c r="M127" s="16" t="s">
        <v>37</v>
      </c>
      <c r="N127" s="16" t="s">
        <v>36</v>
      </c>
      <c r="O127" s="16" t="s">
        <v>34</v>
      </c>
      <c r="Q127" s="9">
        <v>5</v>
      </c>
      <c r="R127" s="9">
        <v>7</v>
      </c>
      <c r="S127" s="9">
        <v>7</v>
      </c>
      <c r="T127" s="9">
        <v>10</v>
      </c>
      <c r="U127" s="9">
        <v>9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35</v>
      </c>
      <c r="L128" s="16" t="s">
        <v>20</v>
      </c>
      <c r="M128" s="16" t="s">
        <v>35</v>
      </c>
      <c r="N128" s="16" t="s">
        <v>19</v>
      </c>
      <c r="O128" s="16" t="s">
        <v>22</v>
      </c>
      <c r="Q128" s="9">
        <v>8</v>
      </c>
      <c r="R128" s="9">
        <v>1</v>
      </c>
      <c r="S128" s="9">
        <v>8</v>
      </c>
      <c r="T128" s="9">
        <v>5</v>
      </c>
      <c r="U128" s="9">
        <v>3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126</v>
      </c>
      <c r="L129" s="16" t="s">
        <v>35</v>
      </c>
      <c r="M129" s="16" t="s">
        <v>37</v>
      </c>
      <c r="N129" s="16" t="s">
        <v>92</v>
      </c>
      <c r="O129" s="16" t="s">
        <v>18</v>
      </c>
      <c r="Q129" s="9">
        <v>6</v>
      </c>
      <c r="R129" s="9">
        <v>8</v>
      </c>
      <c r="S129" s="9">
        <v>7</v>
      </c>
      <c r="T129" s="9">
        <v>16</v>
      </c>
      <c r="U129" s="9">
        <v>4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37</v>
      </c>
      <c r="L130" s="16" t="s">
        <v>126</v>
      </c>
      <c r="M130" s="16" t="s">
        <v>22</v>
      </c>
      <c r="N130" s="16" t="s">
        <v>95</v>
      </c>
      <c r="O130" s="16" t="s">
        <v>37</v>
      </c>
      <c r="Q130" s="9">
        <v>7</v>
      </c>
      <c r="R130" s="9">
        <v>6</v>
      </c>
      <c r="S130" s="9">
        <v>3</v>
      </c>
      <c r="T130" s="9">
        <v>18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19</v>
      </c>
      <c r="L131" s="16" t="s">
        <v>90</v>
      </c>
      <c r="M131" s="16" t="s">
        <v>35</v>
      </c>
      <c r="N131" s="16" t="s">
        <v>35</v>
      </c>
      <c r="O131" s="16" t="s">
        <v>18</v>
      </c>
      <c r="Q131" s="9">
        <v>5</v>
      </c>
      <c r="R131" s="9">
        <v>13</v>
      </c>
      <c r="S131" s="9">
        <v>8</v>
      </c>
      <c r="T131" s="9">
        <v>8</v>
      </c>
      <c r="U131" s="9">
        <v>4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35</v>
      </c>
      <c r="L132" s="16" t="s">
        <v>126</v>
      </c>
      <c r="M132" s="16" t="s">
        <v>19</v>
      </c>
      <c r="N132" s="16" t="s">
        <v>22</v>
      </c>
      <c r="O132" s="16" t="s">
        <v>126</v>
      </c>
      <c r="Q132" s="9">
        <v>8</v>
      </c>
      <c r="R132" s="9">
        <v>6</v>
      </c>
      <c r="S132" s="9">
        <v>5</v>
      </c>
      <c r="T132" s="9">
        <v>3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37</v>
      </c>
      <c r="L133" s="16" t="s">
        <v>34</v>
      </c>
      <c r="M133" s="16" t="s">
        <v>19</v>
      </c>
      <c r="N133" s="16" t="s">
        <v>36</v>
      </c>
      <c r="O133" s="16" t="s">
        <v>36</v>
      </c>
      <c r="Q133" s="9">
        <v>7</v>
      </c>
      <c r="R133" s="9">
        <v>9</v>
      </c>
      <c r="S133" s="9">
        <v>5</v>
      </c>
      <c r="T133" s="9">
        <v>10</v>
      </c>
      <c r="U133" s="9">
        <v>10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126</v>
      </c>
      <c r="L134" s="16" t="s">
        <v>127</v>
      </c>
      <c r="M134" s="16" t="s">
        <v>35</v>
      </c>
      <c r="N134" s="16" t="s">
        <v>20</v>
      </c>
      <c r="O134" s="16" t="s">
        <v>37</v>
      </c>
      <c r="Q134" s="9">
        <v>6</v>
      </c>
      <c r="R134" s="9">
        <v>15</v>
      </c>
      <c r="S134" s="9">
        <v>8</v>
      </c>
      <c r="T134" s="9">
        <v>1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19</v>
      </c>
      <c r="L135" s="16" t="s">
        <v>89</v>
      </c>
      <c r="M135" s="16" t="s">
        <v>112</v>
      </c>
      <c r="N135" s="16" t="s">
        <v>21</v>
      </c>
      <c r="O135" s="16" t="s">
        <v>126</v>
      </c>
      <c r="Q135" s="9">
        <v>5</v>
      </c>
      <c r="R135" s="9">
        <v>12</v>
      </c>
      <c r="S135" s="9">
        <v>17</v>
      </c>
      <c r="T135" s="9">
        <v>2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35</v>
      </c>
      <c r="L136" s="16" t="s">
        <v>20</v>
      </c>
      <c r="M136" s="16" t="s">
        <v>126</v>
      </c>
      <c r="N136" s="16" t="s">
        <v>37</v>
      </c>
      <c r="O136" s="16" t="s">
        <v>18</v>
      </c>
      <c r="Q136" s="9">
        <v>8</v>
      </c>
      <c r="R136" s="9">
        <v>1</v>
      </c>
      <c r="S136" s="9">
        <v>6</v>
      </c>
      <c r="T136" s="9">
        <v>7</v>
      </c>
      <c r="U136" s="9">
        <v>4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35</v>
      </c>
      <c r="L137" s="16" t="s">
        <v>126</v>
      </c>
      <c r="M137" s="16" t="s">
        <v>19</v>
      </c>
      <c r="N137" s="16" t="s">
        <v>37</v>
      </c>
      <c r="O137" s="16" t="s">
        <v>126</v>
      </c>
      <c r="Q137" s="9">
        <v>8</v>
      </c>
      <c r="R137" s="9">
        <v>6</v>
      </c>
      <c r="S137" s="9">
        <v>5</v>
      </c>
      <c r="T137" s="9">
        <v>7</v>
      </c>
      <c r="U137" s="9">
        <v>6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19</v>
      </c>
      <c r="L138" s="16" t="s">
        <v>126</v>
      </c>
      <c r="M138" s="16" t="s">
        <v>34</v>
      </c>
      <c r="N138" s="16" t="s">
        <v>92</v>
      </c>
      <c r="O138" s="16" t="s">
        <v>36</v>
      </c>
      <c r="Q138" s="9">
        <v>5</v>
      </c>
      <c r="R138" s="9">
        <v>6</v>
      </c>
      <c r="S138" s="9">
        <v>9</v>
      </c>
      <c r="T138" s="9">
        <v>16</v>
      </c>
      <c r="U138" s="9">
        <v>10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36</v>
      </c>
      <c r="L139" s="16" t="s">
        <v>88</v>
      </c>
      <c r="M139" s="16" t="s">
        <v>126</v>
      </c>
      <c r="N139" s="16" t="s">
        <v>22</v>
      </c>
      <c r="O139" s="16" t="s">
        <v>34</v>
      </c>
      <c r="Q139" s="9">
        <v>10</v>
      </c>
      <c r="R139" s="9">
        <v>11</v>
      </c>
      <c r="S139" s="9">
        <v>6</v>
      </c>
      <c r="T139" s="9">
        <v>3</v>
      </c>
      <c r="U139" s="9">
        <v>9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18</v>
      </c>
      <c r="M140" s="16" t="s">
        <v>126</v>
      </c>
      <c r="N140" s="16" t="s">
        <v>18</v>
      </c>
      <c r="O140" s="16" t="s">
        <v>18</v>
      </c>
      <c r="Q140" s="9">
        <v>5</v>
      </c>
      <c r="R140" s="9">
        <v>4</v>
      </c>
      <c r="S140" s="9">
        <v>6</v>
      </c>
      <c r="T140" s="9">
        <v>4</v>
      </c>
      <c r="U140" s="9">
        <v>4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35</v>
      </c>
      <c r="M141" s="16" t="s">
        <v>35</v>
      </c>
      <c r="N141" s="16" t="s">
        <v>34</v>
      </c>
      <c r="O141" s="16" t="s">
        <v>126</v>
      </c>
      <c r="Q141" s="9">
        <v>8</v>
      </c>
      <c r="R141" s="9">
        <v>8</v>
      </c>
      <c r="S141" s="9">
        <v>8</v>
      </c>
      <c r="T141" s="9">
        <v>9</v>
      </c>
      <c r="U141" s="9">
        <v>6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18</v>
      </c>
      <c r="L142" s="16" t="s">
        <v>35</v>
      </c>
      <c r="M142" s="16" t="s">
        <v>126</v>
      </c>
      <c r="N142" s="16" t="s">
        <v>126</v>
      </c>
      <c r="O142" s="16" t="s">
        <v>21</v>
      </c>
      <c r="Q142" s="9">
        <v>4</v>
      </c>
      <c r="R142" s="9">
        <v>8</v>
      </c>
      <c r="S142" s="9">
        <v>6</v>
      </c>
      <c r="T142" s="9">
        <v>6</v>
      </c>
      <c r="U142" s="9">
        <v>2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22</v>
      </c>
      <c r="L143" s="16" t="s">
        <v>36</v>
      </c>
      <c r="M143" s="16" t="s">
        <v>19</v>
      </c>
      <c r="N143" s="16" t="s">
        <v>20</v>
      </c>
      <c r="O143" s="16" t="s">
        <v>37</v>
      </c>
      <c r="Q143" s="9">
        <v>3</v>
      </c>
      <c r="R143" s="9">
        <v>10</v>
      </c>
      <c r="S143" s="9">
        <v>5</v>
      </c>
      <c r="T143" s="9">
        <v>1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19</v>
      </c>
      <c r="L144" s="16" t="s">
        <v>36</v>
      </c>
      <c r="M144" s="16" t="s">
        <v>35</v>
      </c>
      <c r="N144" s="16" t="s">
        <v>34</v>
      </c>
      <c r="O144" s="16" t="s">
        <v>126</v>
      </c>
      <c r="Q144" s="9">
        <v>5</v>
      </c>
      <c r="R144" s="9">
        <v>10</v>
      </c>
      <c r="S144" s="9">
        <v>8</v>
      </c>
      <c r="T144" s="9">
        <v>9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35</v>
      </c>
      <c r="L145" s="16" t="s">
        <v>21</v>
      </c>
      <c r="M145" s="16" t="s">
        <v>126</v>
      </c>
      <c r="N145" s="16" t="s">
        <v>22</v>
      </c>
      <c r="O145" s="16" t="s">
        <v>22</v>
      </c>
      <c r="Q145" s="9">
        <v>8</v>
      </c>
      <c r="R145" s="9">
        <v>2</v>
      </c>
      <c r="S145" s="9">
        <v>6</v>
      </c>
      <c r="T145" s="9">
        <v>3</v>
      </c>
      <c r="U145" s="9">
        <v>3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126</v>
      </c>
      <c r="L146" s="16" t="s">
        <v>21</v>
      </c>
      <c r="M146" s="16" t="s">
        <v>126</v>
      </c>
      <c r="N146" s="16" t="s">
        <v>126</v>
      </c>
      <c r="O146" s="16" t="s">
        <v>22</v>
      </c>
      <c r="Q146" s="9">
        <v>6</v>
      </c>
      <c r="R146" s="9">
        <v>2</v>
      </c>
      <c r="S146" s="9">
        <v>6</v>
      </c>
      <c r="T146" s="9">
        <v>6</v>
      </c>
      <c r="U146" s="9">
        <v>3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34</v>
      </c>
      <c r="M147" s="16" t="s">
        <v>127</v>
      </c>
      <c r="N147" s="16" t="s">
        <v>19</v>
      </c>
      <c r="O147" s="16" t="s">
        <v>19</v>
      </c>
      <c r="Q147" s="9">
        <v>7</v>
      </c>
      <c r="R147" s="9">
        <v>9</v>
      </c>
      <c r="S147" s="9">
        <v>15</v>
      </c>
      <c r="T147" s="9">
        <v>5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35</v>
      </c>
      <c r="N148" s="16" t="s">
        <v>21</v>
      </c>
      <c r="O148" s="16" t="s">
        <v>37</v>
      </c>
      <c r="Q148" s="9">
        <v>7</v>
      </c>
      <c r="R148" s="9">
        <v>9</v>
      </c>
      <c r="S148" s="9">
        <v>8</v>
      </c>
      <c r="T148" s="9">
        <v>2</v>
      </c>
      <c r="U148" s="9">
        <v>7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126</v>
      </c>
      <c r="L149" s="16" t="s">
        <v>21</v>
      </c>
      <c r="M149" s="16" t="s">
        <v>126</v>
      </c>
      <c r="N149" s="16" t="s">
        <v>18</v>
      </c>
      <c r="O149" s="16" t="s">
        <v>21</v>
      </c>
      <c r="Q149" s="9">
        <v>6</v>
      </c>
      <c r="R149" s="9">
        <v>2</v>
      </c>
      <c r="S149" s="9">
        <v>6</v>
      </c>
      <c r="T149" s="9">
        <v>4</v>
      </c>
      <c r="U149" s="9">
        <v>2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112</v>
      </c>
      <c r="M150" s="16" t="s">
        <v>35</v>
      </c>
      <c r="N150" s="16" t="s">
        <v>18</v>
      </c>
      <c r="O150" s="16" t="s">
        <v>37</v>
      </c>
      <c r="Q150" s="9">
        <v>7</v>
      </c>
      <c r="R150" s="9">
        <v>17</v>
      </c>
      <c r="S150" s="9">
        <v>8</v>
      </c>
      <c r="T150" s="9">
        <v>4</v>
      </c>
      <c r="U150" s="9">
        <v>7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19</v>
      </c>
      <c r="L151" s="16" t="s">
        <v>19</v>
      </c>
      <c r="M151" s="16" t="s">
        <v>37</v>
      </c>
      <c r="N151" s="16" t="s">
        <v>18</v>
      </c>
      <c r="O151" s="16" t="s">
        <v>21</v>
      </c>
      <c r="Q151" s="9">
        <v>5</v>
      </c>
      <c r="R151" s="9">
        <v>5</v>
      </c>
      <c r="S151" s="9">
        <v>7</v>
      </c>
      <c r="T151" s="9">
        <v>4</v>
      </c>
      <c r="U151" s="9">
        <v>2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19</v>
      </c>
      <c r="L152" s="16" t="s">
        <v>90</v>
      </c>
      <c r="M152" s="16" t="s">
        <v>37</v>
      </c>
      <c r="N152" s="16" t="s">
        <v>37</v>
      </c>
      <c r="O152" s="16" t="s">
        <v>36</v>
      </c>
      <c r="Q152" s="9">
        <v>5</v>
      </c>
      <c r="R152" s="9">
        <v>13</v>
      </c>
      <c r="S152" s="9">
        <v>7</v>
      </c>
      <c r="T152" s="9">
        <v>7</v>
      </c>
      <c r="U152" s="9">
        <v>10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35</v>
      </c>
      <c r="L153" s="16" t="s">
        <v>127</v>
      </c>
      <c r="M153" s="16" t="s">
        <v>35</v>
      </c>
      <c r="N153" s="16" t="s">
        <v>35</v>
      </c>
      <c r="O153" s="16" t="s">
        <v>22</v>
      </c>
      <c r="Q153" s="9">
        <v>8</v>
      </c>
      <c r="R153" s="9">
        <v>15</v>
      </c>
      <c r="S153" s="9">
        <v>8</v>
      </c>
      <c r="T153" s="9">
        <v>8</v>
      </c>
      <c r="U153" s="9">
        <v>3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19</v>
      </c>
      <c r="L154" s="16" t="s">
        <v>127</v>
      </c>
      <c r="M154" s="16" t="s">
        <v>19</v>
      </c>
      <c r="N154" s="16" t="s">
        <v>36</v>
      </c>
      <c r="O154" s="16" t="s">
        <v>35</v>
      </c>
      <c r="Q154" s="9">
        <v>5</v>
      </c>
      <c r="R154" s="9">
        <v>15</v>
      </c>
      <c r="S154" s="9">
        <v>5</v>
      </c>
      <c r="T154" s="9">
        <v>10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35</v>
      </c>
      <c r="L155" s="16" t="s">
        <v>36</v>
      </c>
      <c r="M155" s="16" t="s">
        <v>22</v>
      </c>
      <c r="N155" s="16" t="s">
        <v>36</v>
      </c>
      <c r="O155" s="16" t="s">
        <v>21</v>
      </c>
      <c r="Q155" s="9">
        <v>8</v>
      </c>
      <c r="R155" s="9">
        <v>10</v>
      </c>
      <c r="S155" s="9">
        <v>3</v>
      </c>
      <c r="T155" s="9">
        <v>10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126</v>
      </c>
      <c r="L156" s="16" t="s">
        <v>18</v>
      </c>
      <c r="M156" s="16" t="s">
        <v>92</v>
      </c>
      <c r="N156" s="16" t="s">
        <v>35</v>
      </c>
      <c r="O156" s="16" t="s">
        <v>19</v>
      </c>
      <c r="Q156" s="9">
        <v>6</v>
      </c>
      <c r="R156" s="9">
        <v>4</v>
      </c>
      <c r="S156" s="9">
        <v>16</v>
      </c>
      <c r="T156" s="9">
        <v>8</v>
      </c>
      <c r="U156" s="9">
        <v>5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126</v>
      </c>
      <c r="L157" s="16" t="s">
        <v>18</v>
      </c>
      <c r="M157" s="16" t="s">
        <v>19</v>
      </c>
      <c r="N157" s="16" t="s">
        <v>95</v>
      </c>
      <c r="O157" s="16" t="s">
        <v>21</v>
      </c>
      <c r="Q157" s="9">
        <v>6</v>
      </c>
      <c r="R157" s="9">
        <v>4</v>
      </c>
      <c r="S157" s="9">
        <v>5</v>
      </c>
      <c r="T157" s="9">
        <v>18</v>
      </c>
      <c r="U157" s="9">
        <v>2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97</v>
      </c>
      <c r="M158" s="16" t="s">
        <v>37</v>
      </c>
      <c r="N158" s="16" t="s">
        <v>126</v>
      </c>
      <c r="O158" s="16" t="s">
        <v>21</v>
      </c>
      <c r="Q158" s="9">
        <v>8</v>
      </c>
      <c r="R158" s="9">
        <v>19</v>
      </c>
      <c r="S158" s="9">
        <v>7</v>
      </c>
      <c r="T158" s="9">
        <v>6</v>
      </c>
      <c r="U158" s="9">
        <v>2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126</v>
      </c>
      <c r="L159" s="16" t="s">
        <v>91</v>
      </c>
      <c r="M159" s="16" t="s">
        <v>126</v>
      </c>
      <c r="N159" s="16" t="s">
        <v>126</v>
      </c>
      <c r="O159" s="16" t="s">
        <v>22</v>
      </c>
      <c r="Q159" s="9">
        <v>6</v>
      </c>
      <c r="R159" s="9">
        <v>14</v>
      </c>
      <c r="S159" s="9">
        <v>6</v>
      </c>
      <c r="T159" s="9">
        <v>6</v>
      </c>
      <c r="U159" s="9">
        <v>3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37</v>
      </c>
      <c r="L160" s="16" t="s">
        <v>22</v>
      </c>
      <c r="M160" s="16" t="s">
        <v>91</v>
      </c>
      <c r="N160" s="16" t="s">
        <v>88</v>
      </c>
      <c r="O160" s="16" t="s">
        <v>19</v>
      </c>
      <c r="Q160" s="9">
        <v>7</v>
      </c>
      <c r="R160" s="9">
        <v>3</v>
      </c>
      <c r="S160" s="9">
        <v>14</v>
      </c>
      <c r="T160" s="9">
        <v>11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22</v>
      </c>
      <c r="M161" s="16" t="s">
        <v>35</v>
      </c>
      <c r="N161" s="16" t="s">
        <v>126</v>
      </c>
      <c r="O161" s="16" t="s">
        <v>37</v>
      </c>
      <c r="Q161" s="9">
        <v>8</v>
      </c>
      <c r="R161" s="9">
        <v>3</v>
      </c>
      <c r="S161" s="9">
        <v>8</v>
      </c>
      <c r="T161" s="9">
        <v>6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35</v>
      </c>
      <c r="L162" s="16" t="s">
        <v>37</v>
      </c>
      <c r="M162" s="16" t="s">
        <v>35</v>
      </c>
      <c r="N162" s="16" t="s">
        <v>91</v>
      </c>
      <c r="O162" s="16" t="s">
        <v>36</v>
      </c>
      <c r="Q162" s="9">
        <v>8</v>
      </c>
      <c r="R162" s="9">
        <v>7</v>
      </c>
      <c r="S162" s="9">
        <v>8</v>
      </c>
      <c r="T162" s="9">
        <v>14</v>
      </c>
      <c r="U162" s="9">
        <v>10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37</v>
      </c>
      <c r="M163" s="16" t="s">
        <v>35</v>
      </c>
      <c r="N163" s="16" t="s">
        <v>22</v>
      </c>
      <c r="O163" s="16" t="s">
        <v>126</v>
      </c>
      <c r="Q163" s="9">
        <v>8</v>
      </c>
      <c r="R163" s="9">
        <v>7</v>
      </c>
      <c r="S163" s="9">
        <v>8</v>
      </c>
      <c r="T163" s="9">
        <v>3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126</v>
      </c>
      <c r="L164" s="16" t="s">
        <v>95</v>
      </c>
      <c r="M164" s="16" t="s">
        <v>37</v>
      </c>
      <c r="N164" s="16" t="s">
        <v>18</v>
      </c>
      <c r="O164" s="16" t="s">
        <v>126</v>
      </c>
      <c r="Q164" s="9">
        <v>6</v>
      </c>
      <c r="R164" s="9">
        <v>18</v>
      </c>
      <c r="S164" s="9">
        <v>7</v>
      </c>
      <c r="T164" s="9">
        <v>4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36</v>
      </c>
      <c r="M165" s="16" t="s">
        <v>126</v>
      </c>
      <c r="N165" s="16" t="s">
        <v>18</v>
      </c>
      <c r="O165" s="16" t="s">
        <v>21</v>
      </c>
      <c r="Q165" s="9">
        <v>8</v>
      </c>
      <c r="R165" s="9">
        <v>10</v>
      </c>
      <c r="S165" s="9">
        <v>6</v>
      </c>
      <c r="T165" s="9">
        <v>4</v>
      </c>
      <c r="U165" s="9">
        <v>2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36</v>
      </c>
      <c r="L166" s="16" t="s">
        <v>89</v>
      </c>
      <c r="M166" s="16" t="s">
        <v>37</v>
      </c>
      <c r="N166" s="16" t="s">
        <v>21</v>
      </c>
      <c r="O166" s="16" t="s">
        <v>19</v>
      </c>
      <c r="Q166" s="9">
        <v>10</v>
      </c>
      <c r="R166" s="9">
        <v>12</v>
      </c>
      <c r="S166" s="9">
        <v>7</v>
      </c>
      <c r="T166" s="9">
        <v>2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19</v>
      </c>
      <c r="L167" s="16" t="s">
        <v>35</v>
      </c>
      <c r="M167" s="16" t="s">
        <v>21</v>
      </c>
      <c r="N167" s="16" t="s">
        <v>21</v>
      </c>
      <c r="O167" s="16" t="s">
        <v>34</v>
      </c>
      <c r="Q167" s="9">
        <v>5</v>
      </c>
      <c r="R167" s="9">
        <v>8</v>
      </c>
      <c r="S167" s="9">
        <v>2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35</v>
      </c>
      <c r="L168" s="16" t="s">
        <v>34</v>
      </c>
      <c r="M168" s="16" t="s">
        <v>19</v>
      </c>
      <c r="N168" s="16" t="s">
        <v>21</v>
      </c>
      <c r="O168" s="16" t="s">
        <v>36</v>
      </c>
      <c r="Q168" s="9">
        <v>8</v>
      </c>
      <c r="R168" s="9">
        <v>9</v>
      </c>
      <c r="S168" s="9">
        <v>5</v>
      </c>
      <c r="T168" s="9">
        <v>2</v>
      </c>
      <c r="U168" s="9">
        <v>10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22</v>
      </c>
      <c r="M169" s="16" t="s">
        <v>35</v>
      </c>
      <c r="N169" s="16" t="s">
        <v>126</v>
      </c>
      <c r="O169" s="16" t="s">
        <v>34</v>
      </c>
      <c r="Q169" s="9">
        <v>7</v>
      </c>
      <c r="R169" s="9">
        <v>3</v>
      </c>
      <c r="S169" s="9">
        <v>8</v>
      </c>
      <c r="T169" s="9">
        <v>6</v>
      </c>
      <c r="U169" s="9">
        <v>9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20</v>
      </c>
      <c r="M170" s="16" t="s">
        <v>126</v>
      </c>
      <c r="N170" s="16" t="s">
        <v>37</v>
      </c>
      <c r="O170" s="16" t="s">
        <v>22</v>
      </c>
      <c r="Q170" s="9">
        <v>7</v>
      </c>
      <c r="R170" s="9">
        <v>1</v>
      </c>
      <c r="S170" s="9">
        <v>6</v>
      </c>
      <c r="T170" s="9">
        <v>7</v>
      </c>
      <c r="U170" s="9">
        <v>3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37</v>
      </c>
      <c r="L171" s="16" t="s">
        <v>19</v>
      </c>
      <c r="M171" s="16" t="s">
        <v>126</v>
      </c>
      <c r="N171" s="16" t="s">
        <v>126</v>
      </c>
      <c r="O171" s="16" t="s">
        <v>19</v>
      </c>
      <c r="Q171" s="9">
        <v>7</v>
      </c>
      <c r="R171" s="9">
        <v>5</v>
      </c>
      <c r="S171" s="9">
        <v>6</v>
      </c>
      <c r="T171" s="9">
        <v>6</v>
      </c>
      <c r="U171" s="9">
        <v>5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126</v>
      </c>
      <c r="L172" s="16" t="s">
        <v>19</v>
      </c>
      <c r="M172" s="16" t="s">
        <v>126</v>
      </c>
      <c r="N172" s="16" t="s">
        <v>90</v>
      </c>
      <c r="O172" s="16" t="s">
        <v>126</v>
      </c>
      <c r="Q172" s="9">
        <v>6</v>
      </c>
      <c r="R172" s="9">
        <v>5</v>
      </c>
      <c r="S172" s="9">
        <v>6</v>
      </c>
      <c r="T172" s="9">
        <v>13</v>
      </c>
      <c r="U172" s="9">
        <v>6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126</v>
      </c>
      <c r="L173" s="16" t="s">
        <v>19</v>
      </c>
      <c r="M173" s="16" t="s">
        <v>35</v>
      </c>
      <c r="N173" s="16" t="s">
        <v>36</v>
      </c>
      <c r="O173" s="16" t="s">
        <v>35</v>
      </c>
      <c r="Q173" s="9">
        <v>6</v>
      </c>
      <c r="R173" s="9">
        <v>5</v>
      </c>
      <c r="S173" s="9">
        <v>8</v>
      </c>
      <c r="T173" s="9">
        <v>10</v>
      </c>
      <c r="U173" s="9">
        <v>8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35</v>
      </c>
      <c r="L174" s="16" t="s">
        <v>18</v>
      </c>
      <c r="M174" s="16" t="s">
        <v>37</v>
      </c>
      <c r="N174" s="16" t="s">
        <v>19</v>
      </c>
      <c r="O174" s="16" t="s">
        <v>18</v>
      </c>
      <c r="Q174" s="9">
        <v>8</v>
      </c>
      <c r="R174" s="9">
        <v>4</v>
      </c>
      <c r="S174" s="9">
        <v>7</v>
      </c>
      <c r="T174" s="9">
        <v>5</v>
      </c>
      <c r="U174" s="9">
        <v>4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19</v>
      </c>
      <c r="L175" s="16" t="s">
        <v>112</v>
      </c>
      <c r="M175" s="16" t="s">
        <v>126</v>
      </c>
      <c r="N175" s="16" t="s">
        <v>126</v>
      </c>
      <c r="O175" s="16" t="s">
        <v>22</v>
      </c>
      <c r="Q175" s="9">
        <v>5</v>
      </c>
      <c r="R175" s="9">
        <v>17</v>
      </c>
      <c r="S175" s="9">
        <v>6</v>
      </c>
      <c r="T175" s="9">
        <v>6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126</v>
      </c>
      <c r="L176" s="16" t="s">
        <v>22</v>
      </c>
      <c r="M176" s="16" t="s">
        <v>35</v>
      </c>
      <c r="N176" s="16" t="s">
        <v>36</v>
      </c>
      <c r="O176" s="16" t="s">
        <v>22</v>
      </c>
      <c r="Q176" s="9">
        <v>6</v>
      </c>
      <c r="R176" s="9">
        <v>3</v>
      </c>
      <c r="S176" s="9">
        <v>8</v>
      </c>
      <c r="T176" s="9">
        <v>10</v>
      </c>
      <c r="U176" s="9">
        <v>3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35</v>
      </c>
      <c r="L177" s="16" t="s">
        <v>35</v>
      </c>
      <c r="M177" s="16" t="s">
        <v>35</v>
      </c>
      <c r="N177" s="16" t="s">
        <v>20</v>
      </c>
      <c r="O177" s="16" t="s">
        <v>35</v>
      </c>
      <c r="Q177" s="9">
        <v>8</v>
      </c>
      <c r="R177" s="9">
        <v>8</v>
      </c>
      <c r="S177" s="9">
        <v>8</v>
      </c>
      <c r="T177" s="9">
        <v>1</v>
      </c>
      <c r="U177" s="9">
        <v>8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22</v>
      </c>
      <c r="L178" s="16" t="s">
        <v>18</v>
      </c>
      <c r="M178" s="16" t="s">
        <v>37</v>
      </c>
      <c r="N178" s="16" t="s">
        <v>22</v>
      </c>
      <c r="O178" s="16" t="s">
        <v>34</v>
      </c>
      <c r="Q178" s="9">
        <v>3</v>
      </c>
      <c r="R178" s="9">
        <v>4</v>
      </c>
      <c r="S178" s="9">
        <v>7</v>
      </c>
      <c r="T178" s="9">
        <v>3</v>
      </c>
      <c r="U178" s="9">
        <v>9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37</v>
      </c>
      <c r="L179" s="16" t="s">
        <v>37</v>
      </c>
      <c r="M179" s="16" t="s">
        <v>37</v>
      </c>
      <c r="N179" s="16" t="s">
        <v>127</v>
      </c>
      <c r="O179" s="16" t="s">
        <v>34</v>
      </c>
      <c r="Q179" s="9">
        <v>7</v>
      </c>
      <c r="R179" s="9">
        <v>7</v>
      </c>
      <c r="S179" s="9">
        <v>7</v>
      </c>
      <c r="T179" s="9">
        <v>15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19</v>
      </c>
      <c r="M180" s="16" t="s">
        <v>126</v>
      </c>
      <c r="N180" s="16" t="s">
        <v>18</v>
      </c>
      <c r="O180" s="16" t="s">
        <v>36</v>
      </c>
      <c r="Q180" s="9">
        <v>7</v>
      </c>
      <c r="R180" s="9">
        <v>5</v>
      </c>
      <c r="S180" s="9">
        <v>6</v>
      </c>
      <c r="T180" s="9">
        <v>4</v>
      </c>
      <c r="U180" s="9">
        <v>10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37</v>
      </c>
      <c r="L181" s="16" t="s">
        <v>91</v>
      </c>
      <c r="M181" s="16" t="s">
        <v>19</v>
      </c>
      <c r="N181" s="16" t="s">
        <v>35</v>
      </c>
      <c r="O181" s="16" t="s">
        <v>36</v>
      </c>
      <c r="Q181" s="9">
        <v>7</v>
      </c>
      <c r="R181" s="9">
        <v>14</v>
      </c>
      <c r="S181" s="9">
        <v>5</v>
      </c>
      <c r="T181" s="9">
        <v>8</v>
      </c>
      <c r="U181" s="9">
        <v>10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126</v>
      </c>
      <c r="L182" s="16" t="s">
        <v>91</v>
      </c>
      <c r="M182" s="16" t="s">
        <v>19</v>
      </c>
      <c r="N182" s="16" t="s">
        <v>21</v>
      </c>
      <c r="O182" s="16" t="s">
        <v>19</v>
      </c>
      <c r="Q182" s="9">
        <v>6</v>
      </c>
      <c r="R182" s="9">
        <v>14</v>
      </c>
      <c r="S182" s="9">
        <v>5</v>
      </c>
      <c r="T182" s="9">
        <v>2</v>
      </c>
      <c r="U182" s="9">
        <v>5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21</v>
      </c>
      <c r="M183" s="16" t="s">
        <v>37</v>
      </c>
      <c r="N183" s="16" t="s">
        <v>97</v>
      </c>
      <c r="O183" s="16" t="s">
        <v>35</v>
      </c>
      <c r="Q183" s="9">
        <v>5</v>
      </c>
      <c r="R183" s="9">
        <v>2</v>
      </c>
      <c r="S183" s="9">
        <v>7</v>
      </c>
      <c r="T183" s="9">
        <v>19</v>
      </c>
      <c r="U183" s="9">
        <v>8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37</v>
      </c>
      <c r="L184" s="16" t="s">
        <v>21</v>
      </c>
      <c r="M184" s="16" t="s">
        <v>19</v>
      </c>
      <c r="N184" s="16" t="s">
        <v>36</v>
      </c>
      <c r="O184" s="16" t="s">
        <v>21</v>
      </c>
      <c r="Q184" s="9">
        <v>7</v>
      </c>
      <c r="R184" s="9">
        <v>2</v>
      </c>
      <c r="S184" s="9">
        <v>5</v>
      </c>
      <c r="T184" s="9">
        <v>10</v>
      </c>
      <c r="U184" s="9">
        <v>2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97</v>
      </c>
      <c r="M185" s="16" t="s">
        <v>36</v>
      </c>
      <c r="N185" s="16" t="s">
        <v>22</v>
      </c>
      <c r="O185" s="16" t="s">
        <v>36</v>
      </c>
      <c r="Q185" s="9">
        <v>8</v>
      </c>
      <c r="R185" s="9">
        <v>19</v>
      </c>
      <c r="S185" s="9">
        <v>10</v>
      </c>
      <c r="T185" s="9">
        <v>3</v>
      </c>
      <c r="U185" s="9">
        <v>10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35</v>
      </c>
      <c r="L186" s="16" t="s">
        <v>95</v>
      </c>
      <c r="M186" s="16" t="s">
        <v>126</v>
      </c>
      <c r="N186" s="16" t="s">
        <v>22</v>
      </c>
      <c r="O186" s="16" t="s">
        <v>19</v>
      </c>
      <c r="Q186" s="9">
        <v>8</v>
      </c>
      <c r="R186" s="9">
        <v>18</v>
      </c>
      <c r="S186" s="9">
        <v>6</v>
      </c>
      <c r="T186" s="9">
        <v>3</v>
      </c>
      <c r="U186" s="9">
        <v>5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35</v>
      </c>
      <c r="M187" s="16" t="s">
        <v>21</v>
      </c>
      <c r="N187" s="16" t="s">
        <v>88</v>
      </c>
      <c r="O187" s="16" t="s">
        <v>37</v>
      </c>
      <c r="Q187" s="9">
        <v>8</v>
      </c>
      <c r="R187" s="9">
        <v>8</v>
      </c>
      <c r="S187" s="9">
        <v>2</v>
      </c>
      <c r="T187" s="9">
        <v>11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37</v>
      </c>
      <c r="L188" s="16" t="s">
        <v>88</v>
      </c>
      <c r="M188" s="16" t="s">
        <v>19</v>
      </c>
      <c r="N188" s="16" t="s">
        <v>20</v>
      </c>
      <c r="O188" s="16" t="s">
        <v>21</v>
      </c>
      <c r="Q188" s="9">
        <v>7</v>
      </c>
      <c r="R188" s="9">
        <v>11</v>
      </c>
      <c r="S188" s="9">
        <v>5</v>
      </c>
      <c r="T188" s="9">
        <v>1</v>
      </c>
      <c r="U188" s="9">
        <v>2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126</v>
      </c>
      <c r="L189" s="16" t="s">
        <v>35</v>
      </c>
      <c r="M189" s="16" t="s">
        <v>126</v>
      </c>
      <c r="N189" s="16" t="s">
        <v>34</v>
      </c>
      <c r="O189" s="16" t="s">
        <v>18</v>
      </c>
      <c r="Q189" s="9">
        <v>6</v>
      </c>
      <c r="R189" s="9">
        <v>8</v>
      </c>
      <c r="S189" s="9">
        <v>6</v>
      </c>
      <c r="T189" s="9">
        <v>9</v>
      </c>
      <c r="U189" s="9">
        <v>4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126</v>
      </c>
      <c r="L190" s="16" t="s">
        <v>20</v>
      </c>
      <c r="M190" s="16" t="s">
        <v>126</v>
      </c>
      <c r="N190" s="16" t="s">
        <v>35</v>
      </c>
      <c r="O190" s="16" t="s">
        <v>22</v>
      </c>
      <c r="Q190" s="9">
        <v>6</v>
      </c>
      <c r="R190" s="9">
        <v>1</v>
      </c>
      <c r="S190" s="9">
        <v>6</v>
      </c>
      <c r="T190" s="9">
        <v>8</v>
      </c>
      <c r="U190" s="9">
        <v>3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37</v>
      </c>
      <c r="N191" s="16" t="s">
        <v>18</v>
      </c>
      <c r="O191" s="16" t="s">
        <v>19</v>
      </c>
      <c r="Q191" s="9">
        <v>8</v>
      </c>
      <c r="R191" s="9">
        <v>2</v>
      </c>
      <c r="S191" s="9">
        <v>7</v>
      </c>
      <c r="T191" s="9">
        <v>4</v>
      </c>
      <c r="U191" s="9">
        <v>5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37</v>
      </c>
      <c r="L192" s="16" t="s">
        <v>19</v>
      </c>
      <c r="M192" s="16" t="s">
        <v>19</v>
      </c>
      <c r="N192" s="16" t="s">
        <v>97</v>
      </c>
      <c r="O192" s="16" t="s">
        <v>35</v>
      </c>
      <c r="Q192" s="9">
        <v>7</v>
      </c>
      <c r="R192" s="9">
        <v>5</v>
      </c>
      <c r="S192" s="9">
        <v>5</v>
      </c>
      <c r="T192" s="9">
        <v>19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37</v>
      </c>
      <c r="L193" s="16" t="s">
        <v>21</v>
      </c>
      <c r="M193" s="16" t="s">
        <v>37</v>
      </c>
      <c r="N193" s="16" t="s">
        <v>127</v>
      </c>
      <c r="O193" s="16" t="s">
        <v>18</v>
      </c>
      <c r="Q193" s="9">
        <v>7</v>
      </c>
      <c r="R193" s="9">
        <v>2</v>
      </c>
      <c r="S193" s="9">
        <v>7</v>
      </c>
      <c r="T193" s="9">
        <v>15</v>
      </c>
      <c r="U193" s="9">
        <v>4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112</v>
      </c>
      <c r="M194" s="16" t="s">
        <v>35</v>
      </c>
      <c r="N194" s="16" t="s">
        <v>22</v>
      </c>
      <c r="O194" s="16" t="s">
        <v>21</v>
      </c>
      <c r="Q194" s="9">
        <v>8</v>
      </c>
      <c r="R194" s="9">
        <v>17</v>
      </c>
      <c r="S194" s="9">
        <v>8</v>
      </c>
      <c r="T194" s="9">
        <v>3</v>
      </c>
      <c r="U194" s="9">
        <v>2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19</v>
      </c>
      <c r="L195" s="16" t="s">
        <v>22</v>
      </c>
      <c r="M195" s="16" t="s">
        <v>19</v>
      </c>
      <c r="N195" s="16" t="s">
        <v>37</v>
      </c>
      <c r="O195" s="16" t="s">
        <v>21</v>
      </c>
      <c r="Q195" s="9">
        <v>5</v>
      </c>
      <c r="R195" s="9">
        <v>3</v>
      </c>
      <c r="S195" s="9">
        <v>5</v>
      </c>
      <c r="T195" s="9">
        <v>7</v>
      </c>
      <c r="U195" s="9">
        <v>2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35</v>
      </c>
      <c r="L196" s="16" t="s">
        <v>92</v>
      </c>
      <c r="M196" s="16" t="s">
        <v>19</v>
      </c>
      <c r="N196" s="16" t="s">
        <v>126</v>
      </c>
      <c r="O196" s="16" t="s">
        <v>37</v>
      </c>
      <c r="Q196" s="9">
        <v>8</v>
      </c>
      <c r="R196" s="9">
        <v>16</v>
      </c>
      <c r="S196" s="9">
        <v>5</v>
      </c>
      <c r="T196" s="9">
        <v>6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37</v>
      </c>
      <c r="L197" s="16" t="s">
        <v>35</v>
      </c>
      <c r="M197" s="16" t="s">
        <v>126</v>
      </c>
      <c r="N197" s="16" t="s">
        <v>37</v>
      </c>
      <c r="O197" s="16" t="s">
        <v>34</v>
      </c>
      <c r="Q197" s="9">
        <v>7</v>
      </c>
      <c r="R197" s="9">
        <v>8</v>
      </c>
      <c r="S197" s="9">
        <v>6</v>
      </c>
      <c r="T197" s="9">
        <v>7</v>
      </c>
      <c r="U197" s="9">
        <v>9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35</v>
      </c>
      <c r="M198" s="16" t="s">
        <v>37</v>
      </c>
      <c r="N198" s="16" t="s">
        <v>36</v>
      </c>
      <c r="O198" s="16" t="s">
        <v>34</v>
      </c>
      <c r="Q198" s="9">
        <v>5</v>
      </c>
      <c r="R198" s="9">
        <v>8</v>
      </c>
      <c r="S198" s="9">
        <v>7</v>
      </c>
      <c r="T198" s="9">
        <v>10</v>
      </c>
      <c r="U198" s="9">
        <v>9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35</v>
      </c>
      <c r="M199" s="16" t="s">
        <v>37</v>
      </c>
      <c r="N199" s="16" t="s">
        <v>90</v>
      </c>
      <c r="O199" s="16" t="s">
        <v>35</v>
      </c>
      <c r="Q199" s="9">
        <v>7</v>
      </c>
      <c r="R199" s="9">
        <v>8</v>
      </c>
      <c r="S199" s="9">
        <v>7</v>
      </c>
      <c r="T199" s="9">
        <v>13</v>
      </c>
      <c r="U199" s="9">
        <v>8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22</v>
      </c>
      <c r="M200" s="16" t="s">
        <v>37</v>
      </c>
      <c r="N200" s="16" t="s">
        <v>20</v>
      </c>
      <c r="O200" s="16" t="s">
        <v>126</v>
      </c>
      <c r="Q200" s="9">
        <v>5</v>
      </c>
      <c r="R200" s="9">
        <v>3</v>
      </c>
      <c r="S200" s="9">
        <v>7</v>
      </c>
      <c r="T200" s="9">
        <v>1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22</v>
      </c>
      <c r="M201" s="16" t="s">
        <v>126</v>
      </c>
      <c r="N201" s="16" t="s">
        <v>21</v>
      </c>
      <c r="O201" s="16" t="s">
        <v>35</v>
      </c>
      <c r="Q201" s="9">
        <v>7</v>
      </c>
      <c r="R201" s="9">
        <v>3</v>
      </c>
      <c r="S201" s="9">
        <v>6</v>
      </c>
      <c r="T201" s="9">
        <v>2</v>
      </c>
      <c r="U201" s="9">
        <v>8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37</v>
      </c>
      <c r="L202" s="16" t="s">
        <v>97</v>
      </c>
      <c r="M202" s="16" t="s">
        <v>126</v>
      </c>
      <c r="N202" s="16" t="s">
        <v>21</v>
      </c>
      <c r="O202" s="16" t="s">
        <v>21</v>
      </c>
      <c r="Q202" s="9">
        <v>7</v>
      </c>
      <c r="R202" s="9">
        <v>19</v>
      </c>
      <c r="S202" s="9">
        <v>6</v>
      </c>
      <c r="T202" s="9">
        <v>2</v>
      </c>
      <c r="U202" s="9">
        <v>2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35</v>
      </c>
      <c r="L203" s="16" t="s">
        <v>20</v>
      </c>
      <c r="M203" s="16" t="s">
        <v>126</v>
      </c>
      <c r="N203" s="16" t="s">
        <v>92</v>
      </c>
      <c r="O203" s="16" t="s">
        <v>34</v>
      </c>
      <c r="Q203" s="9">
        <v>8</v>
      </c>
      <c r="R203" s="9">
        <v>1</v>
      </c>
      <c r="S203" s="9">
        <v>6</v>
      </c>
      <c r="T203" s="9">
        <v>16</v>
      </c>
      <c r="U203" s="9">
        <v>9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K1:O1048576">
    <cfRule type="cellIs" dxfId="129" priority="14" operator="equal">
      <formula>"C1"</formula>
    </cfRule>
    <cfRule type="cellIs" dxfId="128" priority="15" operator="between">
      <formula>"G1"</formula>
      <formula>"G5"</formula>
    </cfRule>
    <cfRule type="cellIs" dxfId="127" priority="17" operator="between">
      <formula>"M1"</formula>
      <formula>"M5"</formula>
    </cfRule>
  </conditionalFormatting>
  <conditionalFormatting sqref="W5:AA304 X4:AA4">
    <cfRule type="expression" dxfId="126" priority="18">
      <formula>_xlfn.LET(_xlpm.x, W4, AND(NOT(_xlfn.ISFORMULA(_xlpm.x)), _xlpm.x&lt;&gt;""))</formula>
    </cfRule>
  </conditionalFormatting>
  <conditionalFormatting sqref="W4:AA203">
    <cfRule type="expression" dxfId="125" priority="13">
      <formula>_xlfn.LET(_xlpm.x, W4, AND(NOT(_xlfn.ISFORMULA(_xlpm.x)), _xlpm.x&lt;&gt;""))</formula>
    </cfRule>
  </conditionalFormatting>
  <conditionalFormatting sqref="C28:G46 D27:G27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{5F12016C-3BAE-444D-B78B-6CB855B07C82}</x14:id>
        </ext>
      </extLst>
    </cfRule>
  </conditionalFormatting>
  <conditionalFormatting sqref="D52:D54">
    <cfRule type="cellIs" dxfId="124" priority="9" operator="equal">
      <formula>"C1"</formula>
    </cfRule>
    <cfRule type="cellIs" dxfId="123" priority="10" operator="between">
      <formula>"G1"</formula>
      <formula>"G4"</formula>
    </cfRule>
    <cfRule type="cellIs" dxfId="122" priority="11" operator="between">
      <formula>"GA"</formula>
      <formula>"GQ"</formula>
    </cfRule>
    <cfRule type="cellIs" dxfId="121" priority="12" operator="between">
      <formula>"M1"</formula>
      <formula>"M4"</formula>
    </cfRule>
  </conditionalFormatting>
  <conditionalFormatting sqref="E52:E54">
    <cfRule type="cellIs" dxfId="120" priority="5" operator="equal">
      <formula>"C1"</formula>
    </cfRule>
    <cfRule type="cellIs" dxfId="119" priority="6" operator="between">
      <formula>"G1"</formula>
      <formula>"G4"</formula>
    </cfRule>
    <cfRule type="cellIs" dxfId="118" priority="7" operator="between">
      <formula>"GA"</formula>
      <formula>"GQ"</formula>
    </cfRule>
    <cfRule type="cellIs" dxfId="117" priority="8" operator="between">
      <formula>"M1"</formula>
      <formula>"M4"</formula>
    </cfRule>
  </conditionalFormatting>
  <conditionalFormatting sqref="F52:F54">
    <cfRule type="cellIs" dxfId="116" priority="1" operator="equal">
      <formula>"C1"</formula>
    </cfRule>
    <cfRule type="cellIs" dxfId="115" priority="2" operator="between">
      <formula>"G1"</formula>
      <formula>"G4"</formula>
    </cfRule>
    <cfRule type="cellIs" dxfId="114" priority="3" operator="between">
      <formula>"GA"</formula>
      <formula>"GQ"</formula>
    </cfRule>
    <cfRule type="cellIs" dxfId="113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12016C-3BAE-444D-B78B-6CB855B07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16" operator="containsText" id="{30FE77EC-34D1-4BBD-A182-45F06F644CA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topLeftCell="T53" workbookViewId="0">
      <selection activeCell="AD65" sqref="AD65:AH73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34</v>
      </c>
      <c r="M4" s="26" t="s">
        <v>92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9</v>
      </c>
      <c r="S4" s="25">
        <v>16</v>
      </c>
      <c r="T4" s="25">
        <v>10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0</v>
      </c>
      <c r="D5" s="99">
        <f t="shared" si="0"/>
        <v>6</v>
      </c>
      <c r="E5" s="99">
        <f t="shared" si="0"/>
        <v>0</v>
      </c>
      <c r="F5" s="99">
        <f t="shared" si="0"/>
        <v>9</v>
      </c>
      <c r="G5" s="99">
        <f t="shared" si="0"/>
        <v>0</v>
      </c>
      <c r="H5" s="8">
        <v>1</v>
      </c>
      <c r="I5" s="87"/>
      <c r="J5" s="9">
        <v>1</v>
      </c>
      <c r="K5" s="16" t="s">
        <v>37</v>
      </c>
      <c r="L5" s="16" t="s">
        <v>37</v>
      </c>
      <c r="M5" s="16" t="s">
        <v>95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0"/>
        <v>11</v>
      </c>
      <c r="E6" s="133">
        <f t="shared" si="0"/>
        <v>0</v>
      </c>
      <c r="F6" s="133">
        <f t="shared" si="0"/>
        <v>22</v>
      </c>
      <c r="G6" s="133">
        <f t="shared" si="0"/>
        <v>28</v>
      </c>
      <c r="H6" s="112">
        <v>2</v>
      </c>
      <c r="I6" s="87"/>
      <c r="J6" s="25">
        <v>2</v>
      </c>
      <c r="K6" s="16" t="s">
        <v>21</v>
      </c>
      <c r="L6" s="16" t="s">
        <v>92</v>
      </c>
      <c r="M6" s="16" t="s">
        <v>91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0"/>
        <v>11</v>
      </c>
      <c r="E7" s="133">
        <f t="shared" si="0"/>
        <v>0</v>
      </c>
      <c r="F7" s="133">
        <f t="shared" si="0"/>
        <v>22</v>
      </c>
      <c r="G7" s="133">
        <f t="shared" si="0"/>
        <v>27</v>
      </c>
      <c r="H7" s="112">
        <v>3</v>
      </c>
      <c r="I7" s="87"/>
      <c r="J7" s="9">
        <v>3</v>
      </c>
      <c r="K7" s="16" t="s">
        <v>19</v>
      </c>
      <c r="L7" s="16" t="s">
        <v>34</v>
      </c>
      <c r="M7" s="26" t="s">
        <v>127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99">
        <v>0</v>
      </c>
      <c r="AE7" s="99">
        <v>6</v>
      </c>
      <c r="AF7" s="99">
        <v>0</v>
      </c>
      <c r="AG7" s="99">
        <v>9</v>
      </c>
      <c r="AH7" s="99">
        <v>0</v>
      </c>
      <c r="AI7" s="5"/>
      <c r="AJ7" s="138" t="str">
        <v>C1</v>
      </c>
      <c r="AK7" s="138">
        <v>0</v>
      </c>
      <c r="AL7" s="138">
        <v>6</v>
      </c>
      <c r="AM7" s="138">
        <v>0</v>
      </c>
      <c r="AN7" s="138">
        <v>9</v>
      </c>
      <c r="AO7" s="138">
        <v>0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11</v>
      </c>
      <c r="E8" s="133">
        <f t="shared" si="0"/>
        <v>0</v>
      </c>
      <c r="F8" s="133">
        <f t="shared" si="0"/>
        <v>22</v>
      </c>
      <c r="G8" s="133">
        <f t="shared" si="0"/>
        <v>27</v>
      </c>
      <c r="H8" s="112">
        <v>4</v>
      </c>
      <c r="I8" s="87"/>
      <c r="J8" s="25">
        <v>4</v>
      </c>
      <c r="K8" s="16" t="s">
        <v>35</v>
      </c>
      <c r="L8" s="16" t="s">
        <v>92</v>
      </c>
      <c r="M8" s="16" t="s">
        <v>91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4</v>
      </c>
      <c r="AE8" s="133">
        <v>11</v>
      </c>
      <c r="AF8" s="133">
        <v>0</v>
      </c>
      <c r="AG8" s="133">
        <v>22</v>
      </c>
      <c r="AH8" s="133">
        <v>28</v>
      </c>
      <c r="AI8" s="5"/>
      <c r="AJ8" s="154" t="str">
        <v>M1</v>
      </c>
      <c r="AK8" s="133">
        <v>4</v>
      </c>
      <c r="AL8" s="133">
        <v>11</v>
      </c>
      <c r="AM8" s="133">
        <v>0</v>
      </c>
      <c r="AN8" s="133">
        <v>22</v>
      </c>
      <c r="AO8" s="133">
        <v>28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19</v>
      </c>
      <c r="E9" s="133">
        <f t="shared" si="0"/>
        <v>0</v>
      </c>
      <c r="F9" s="133">
        <f t="shared" si="0"/>
        <v>12</v>
      </c>
      <c r="G9" s="133">
        <f t="shared" si="0"/>
        <v>16</v>
      </c>
      <c r="H9" s="112">
        <v>5</v>
      </c>
      <c r="I9" s="87"/>
      <c r="J9" s="9">
        <v>5</v>
      </c>
      <c r="K9" s="16" t="s">
        <v>126</v>
      </c>
      <c r="L9" s="16" t="s">
        <v>18</v>
      </c>
      <c r="M9" s="16" t="s">
        <v>112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4</v>
      </c>
      <c r="AE9" s="133">
        <v>11</v>
      </c>
      <c r="AF9" s="133">
        <v>0</v>
      </c>
      <c r="AG9" s="133">
        <v>22</v>
      </c>
      <c r="AH9" s="133">
        <v>27</v>
      </c>
      <c r="AI9" s="5"/>
      <c r="AJ9" s="154" t="str">
        <v>M2</v>
      </c>
      <c r="AK9" s="133">
        <v>4</v>
      </c>
      <c r="AL9" s="133">
        <v>11</v>
      </c>
      <c r="AM9" s="133">
        <v>0</v>
      </c>
      <c r="AN9" s="133">
        <v>22</v>
      </c>
      <c r="AO9" s="133">
        <v>27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0"/>
        <v>20</v>
      </c>
      <c r="E10" s="133">
        <f t="shared" si="0"/>
        <v>0</v>
      </c>
      <c r="F10" s="133">
        <f t="shared" si="0"/>
        <v>12</v>
      </c>
      <c r="G10" s="133">
        <f t="shared" si="0"/>
        <v>16</v>
      </c>
      <c r="H10" s="112">
        <v>6</v>
      </c>
      <c r="I10" s="87"/>
      <c r="J10" s="25">
        <v>6</v>
      </c>
      <c r="K10" s="16" t="s">
        <v>35</v>
      </c>
      <c r="L10" s="16" t="s">
        <v>19</v>
      </c>
      <c r="M10" s="16" t="s">
        <v>92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11</v>
      </c>
      <c r="AF10" s="133">
        <v>0</v>
      </c>
      <c r="AG10" s="133">
        <v>22</v>
      </c>
      <c r="AH10" s="133">
        <v>27</v>
      </c>
      <c r="AI10" s="5"/>
      <c r="AJ10" s="154" t="str">
        <v>M3</v>
      </c>
      <c r="AK10" s="133">
        <v>4</v>
      </c>
      <c r="AL10" s="133">
        <v>11</v>
      </c>
      <c r="AM10" s="133">
        <v>0</v>
      </c>
      <c r="AN10" s="133">
        <v>22</v>
      </c>
      <c r="AO10" s="133">
        <v>27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0"/>
        <v>20</v>
      </c>
      <c r="E11" s="133">
        <f t="shared" si="0"/>
        <v>0</v>
      </c>
      <c r="F11" s="133">
        <f t="shared" si="0"/>
        <v>12</v>
      </c>
      <c r="G11" s="133">
        <f t="shared" si="0"/>
        <v>16</v>
      </c>
      <c r="H11" s="112">
        <v>7</v>
      </c>
      <c r="I11" s="87"/>
      <c r="J11" s="9">
        <v>7</v>
      </c>
      <c r="K11" s="16" t="s">
        <v>126</v>
      </c>
      <c r="L11" s="16" t="s">
        <v>90</v>
      </c>
      <c r="M11" s="16" t="s">
        <v>127</v>
      </c>
      <c r="N11" s="16" t="s">
        <v>36</v>
      </c>
      <c r="O11" s="16" t="s">
        <v>126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19</v>
      </c>
      <c r="AF11" s="133">
        <v>0</v>
      </c>
      <c r="AG11" s="133">
        <v>12</v>
      </c>
      <c r="AH11" s="133">
        <v>16</v>
      </c>
      <c r="AI11" s="5"/>
      <c r="AJ11" s="154" t="str">
        <v>M4</v>
      </c>
      <c r="AK11" s="133">
        <v>43</v>
      </c>
      <c r="AL11" s="133">
        <v>19</v>
      </c>
      <c r="AM11" s="133">
        <v>0</v>
      </c>
      <c r="AN11" s="133">
        <v>12</v>
      </c>
      <c r="AO11" s="133">
        <v>16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20</v>
      </c>
      <c r="E12" s="133">
        <f t="shared" si="0"/>
        <v>0</v>
      </c>
      <c r="F12" s="133">
        <f t="shared" si="0"/>
        <v>12</v>
      </c>
      <c r="G12" s="133">
        <f t="shared" si="0"/>
        <v>16</v>
      </c>
      <c r="H12" s="112">
        <v>8</v>
      </c>
      <c r="I12" s="87"/>
      <c r="J12" s="25">
        <v>8</v>
      </c>
      <c r="K12" s="16" t="s">
        <v>19</v>
      </c>
      <c r="L12" s="16" t="s">
        <v>37</v>
      </c>
      <c r="M12" s="16" t="s">
        <v>112</v>
      </c>
      <c r="N12" s="16" t="s">
        <v>126</v>
      </c>
      <c r="O12" s="16" t="s">
        <v>126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43</v>
      </c>
      <c r="AE12" s="133">
        <v>20</v>
      </c>
      <c r="AF12" s="133">
        <v>0</v>
      </c>
      <c r="AG12" s="133">
        <v>12</v>
      </c>
      <c r="AH12" s="133">
        <v>16</v>
      </c>
      <c r="AI12" s="5"/>
      <c r="AJ12" s="154" t="str">
        <v>M5</v>
      </c>
      <c r="AK12" s="133">
        <v>43</v>
      </c>
      <c r="AL12" s="133">
        <v>20</v>
      </c>
      <c r="AM12" s="133">
        <v>0</v>
      </c>
      <c r="AN12" s="133">
        <v>12</v>
      </c>
      <c r="AO12" s="133">
        <v>16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0"/>
        <v>11</v>
      </c>
      <c r="E13" s="133">
        <f t="shared" si="0"/>
        <v>0</v>
      </c>
      <c r="F13" s="133">
        <f t="shared" si="0"/>
        <v>21</v>
      </c>
      <c r="G13" s="133">
        <f t="shared" si="0"/>
        <v>27</v>
      </c>
      <c r="H13" s="112">
        <v>9</v>
      </c>
      <c r="I13" s="87"/>
      <c r="J13" s="9">
        <v>9</v>
      </c>
      <c r="K13" s="16" t="s">
        <v>35</v>
      </c>
      <c r="L13" s="16" t="s">
        <v>97</v>
      </c>
      <c r="M13" s="16" t="s">
        <v>127</v>
      </c>
      <c r="N13" s="16" t="s">
        <v>97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20</v>
      </c>
      <c r="AF13" s="133">
        <v>0</v>
      </c>
      <c r="AG13" s="133">
        <v>12</v>
      </c>
      <c r="AH13" s="133">
        <v>16</v>
      </c>
      <c r="AI13" s="5"/>
      <c r="AJ13" s="154" t="str">
        <v>A</v>
      </c>
      <c r="AK13" s="133">
        <v>47</v>
      </c>
      <c r="AL13" s="133">
        <v>20</v>
      </c>
      <c r="AM13" s="133">
        <v>0</v>
      </c>
      <c r="AN13" s="133">
        <v>12</v>
      </c>
      <c r="AO13" s="133">
        <v>16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11</v>
      </c>
      <c r="E14" s="133">
        <f t="shared" si="0"/>
        <v>0</v>
      </c>
      <c r="F14" s="133">
        <f t="shared" si="0"/>
        <v>21</v>
      </c>
      <c r="G14" s="133">
        <f t="shared" si="0"/>
        <v>27</v>
      </c>
      <c r="H14" s="112">
        <v>10</v>
      </c>
      <c r="I14" s="87"/>
      <c r="J14" s="25">
        <v>10</v>
      </c>
      <c r="K14" s="16" t="s">
        <v>34</v>
      </c>
      <c r="L14" s="16" t="s">
        <v>89</v>
      </c>
      <c r="M14" s="16" t="s">
        <v>92</v>
      </c>
      <c r="N14" s="16" t="s">
        <v>21</v>
      </c>
      <c r="O14" s="16" t="s">
        <v>35</v>
      </c>
      <c r="Q14" s="9">
        <v>9</v>
      </c>
      <c r="R14" s="9">
        <v>12</v>
      </c>
      <c r="S14" s="9">
        <v>16</v>
      </c>
      <c r="T14" s="9">
        <v>2</v>
      </c>
      <c r="U14" s="9">
        <v>8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20</v>
      </c>
      <c r="AF14" s="133">
        <v>0</v>
      </c>
      <c r="AG14" s="133">
        <v>12</v>
      </c>
      <c r="AH14" s="133">
        <v>16</v>
      </c>
      <c r="AI14" s="5"/>
      <c r="AJ14" s="154" t="str">
        <v>K</v>
      </c>
      <c r="AK14" s="133">
        <v>47</v>
      </c>
      <c r="AL14" s="133">
        <v>20</v>
      </c>
      <c r="AM14" s="133">
        <v>0</v>
      </c>
      <c r="AN14" s="133">
        <v>12</v>
      </c>
      <c r="AO14" s="133">
        <v>16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4</v>
      </c>
      <c r="E15" s="99">
        <f t="shared" si="0"/>
        <v>5</v>
      </c>
      <c r="F15" s="99">
        <f t="shared" si="0"/>
        <v>5</v>
      </c>
      <c r="G15" s="99">
        <f t="shared" si="0"/>
        <v>0</v>
      </c>
      <c r="H15" s="8">
        <v>11</v>
      </c>
      <c r="I15" s="87"/>
      <c r="J15" s="9">
        <v>11</v>
      </c>
      <c r="K15" s="16" t="s">
        <v>37</v>
      </c>
      <c r="L15" s="16" t="s">
        <v>127</v>
      </c>
      <c r="M15" s="16" t="s">
        <v>91</v>
      </c>
      <c r="N15" s="16" t="s">
        <v>37</v>
      </c>
      <c r="O15" s="16" t="s">
        <v>35</v>
      </c>
      <c r="Q15" s="9">
        <v>7</v>
      </c>
      <c r="R15" s="9">
        <v>15</v>
      </c>
      <c r="S15" s="9">
        <v>14</v>
      </c>
      <c r="T15" s="9">
        <v>7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11</v>
      </c>
      <c r="AF15" s="133">
        <v>0</v>
      </c>
      <c r="AG15" s="133">
        <v>21</v>
      </c>
      <c r="AH15" s="133">
        <v>27</v>
      </c>
      <c r="AI15" s="5"/>
      <c r="AJ15" s="154" t="str">
        <v>Q</v>
      </c>
      <c r="AK15" s="133">
        <v>4</v>
      </c>
      <c r="AL15" s="133">
        <v>11</v>
      </c>
      <c r="AM15" s="133">
        <v>0</v>
      </c>
      <c r="AN15" s="133">
        <v>21</v>
      </c>
      <c r="AO15" s="133">
        <v>27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5</v>
      </c>
      <c r="E16" s="99">
        <f t="shared" si="0"/>
        <v>5</v>
      </c>
      <c r="F16" s="99">
        <f t="shared" si="0"/>
        <v>5</v>
      </c>
      <c r="G16" s="99">
        <f t="shared" si="0"/>
        <v>0</v>
      </c>
      <c r="H16" s="8">
        <v>12</v>
      </c>
      <c r="I16" s="87"/>
      <c r="J16" s="25">
        <v>12</v>
      </c>
      <c r="K16" s="16" t="s">
        <v>34</v>
      </c>
      <c r="L16" s="16" t="s">
        <v>19</v>
      </c>
      <c r="M16" s="16" t="s">
        <v>112</v>
      </c>
      <c r="N16" s="16" t="s">
        <v>92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11</v>
      </c>
      <c r="AF16" s="133">
        <v>0</v>
      </c>
      <c r="AG16" s="133">
        <v>21</v>
      </c>
      <c r="AH16" s="133">
        <v>27</v>
      </c>
      <c r="AI16" s="5"/>
      <c r="AJ16" s="154" t="str">
        <v>J</v>
      </c>
      <c r="AK16" s="133">
        <v>4</v>
      </c>
      <c r="AL16" s="133">
        <v>11</v>
      </c>
      <c r="AM16" s="133">
        <v>0</v>
      </c>
      <c r="AN16" s="133">
        <v>21</v>
      </c>
      <c r="AO16" s="133">
        <v>27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5</v>
      </c>
      <c r="E17" s="99">
        <f t="shared" si="0"/>
        <v>5</v>
      </c>
      <c r="F17" s="99">
        <f t="shared" si="0"/>
        <v>5</v>
      </c>
      <c r="G17" s="99">
        <f t="shared" si="0"/>
        <v>0</v>
      </c>
      <c r="H17" s="8">
        <v>13</v>
      </c>
      <c r="I17" s="87"/>
      <c r="J17" s="9">
        <v>13</v>
      </c>
      <c r="K17" s="16" t="s">
        <v>35</v>
      </c>
      <c r="L17" s="16" t="s">
        <v>37</v>
      </c>
      <c r="M17" s="16" t="s">
        <v>127</v>
      </c>
      <c r="N17" s="16" t="s">
        <v>35</v>
      </c>
      <c r="O17" s="16" t="s">
        <v>22</v>
      </c>
      <c r="Q17" s="9">
        <v>8</v>
      </c>
      <c r="R17" s="9">
        <v>7</v>
      </c>
      <c r="S17" s="9">
        <v>15</v>
      </c>
      <c r="T17" s="9">
        <v>8</v>
      </c>
      <c r="U17" s="9">
        <v>3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5</v>
      </c>
      <c r="AF17" s="99">
        <v>5</v>
      </c>
      <c r="AG17" s="99">
        <v>6</v>
      </c>
      <c r="AH17" s="99">
        <v>0</v>
      </c>
      <c r="AI17" s="5"/>
      <c r="AJ17" s="138" t="str">
        <v>G1</v>
      </c>
      <c r="AK17" s="99">
        <v>0</v>
      </c>
      <c r="AL17" s="99">
        <v>5</v>
      </c>
      <c r="AM17" s="99">
        <v>5</v>
      </c>
      <c r="AN17" s="99">
        <v>6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9</v>
      </c>
      <c r="E18" s="99">
        <f t="shared" si="0"/>
        <v>44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92</v>
      </c>
      <c r="M18" s="16" t="s">
        <v>91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6</v>
      </c>
      <c r="AF18" s="99">
        <v>5</v>
      </c>
      <c r="AG18" s="99">
        <v>6</v>
      </c>
      <c r="AH18" s="99">
        <v>0</v>
      </c>
      <c r="AI18" s="5"/>
      <c r="AJ18" s="138" t="str">
        <v>G2</v>
      </c>
      <c r="AK18" s="99">
        <v>0</v>
      </c>
      <c r="AL18" s="99">
        <v>6</v>
      </c>
      <c r="AM18" s="99">
        <v>5</v>
      </c>
      <c r="AN18" s="99">
        <v>6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9</v>
      </c>
      <c r="E19" s="99">
        <f t="shared" si="0"/>
        <v>44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97</v>
      </c>
      <c r="M19" s="16" t="s">
        <v>92</v>
      </c>
      <c r="N19" s="16" t="s">
        <v>37</v>
      </c>
      <c r="O19" s="16" t="s">
        <v>126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6</v>
      </c>
      <c r="AF19" s="99">
        <v>5</v>
      </c>
      <c r="AG19" s="99">
        <v>6</v>
      </c>
      <c r="AH19" s="99">
        <v>0</v>
      </c>
      <c r="AI19" s="5"/>
      <c r="AJ19" s="138" t="str">
        <v>G3</v>
      </c>
      <c r="AK19" s="99">
        <v>0</v>
      </c>
      <c r="AL19" s="99">
        <v>6</v>
      </c>
      <c r="AM19" s="99">
        <v>5</v>
      </c>
      <c r="AN19" s="99">
        <v>6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9</v>
      </c>
      <c r="E20" s="99">
        <f t="shared" si="0"/>
        <v>44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37</v>
      </c>
      <c r="L20" s="16" t="s">
        <v>22</v>
      </c>
      <c r="M20" s="16" t="s">
        <v>95</v>
      </c>
      <c r="N20" s="16" t="s">
        <v>89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10</v>
      </c>
      <c r="AF20" s="99">
        <v>44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10</v>
      </c>
      <c r="AM20" s="99">
        <v>44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9</v>
      </c>
      <c r="E21" s="99">
        <f t="shared" si="0"/>
        <v>44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127</v>
      </c>
      <c r="M21" s="16" t="s">
        <v>92</v>
      </c>
      <c r="N21" s="16" t="s">
        <v>112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10</v>
      </c>
      <c r="AF21" s="99">
        <v>44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10</v>
      </c>
      <c r="AM21" s="99">
        <v>44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5</v>
      </c>
      <c r="E22" s="99">
        <f t="shared" si="0"/>
        <v>5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126</v>
      </c>
      <c r="L22" s="16" t="s">
        <v>126</v>
      </c>
      <c r="M22" s="16" t="s">
        <v>127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10</v>
      </c>
      <c r="AF22" s="99">
        <v>44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10</v>
      </c>
      <c r="AM22" s="99">
        <v>44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5</v>
      </c>
      <c r="E23" s="99">
        <f t="shared" si="0"/>
        <v>4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18</v>
      </c>
      <c r="M23" s="16" t="s">
        <v>112</v>
      </c>
      <c r="N23" s="16" t="s">
        <v>34</v>
      </c>
      <c r="O23" s="16" t="s">
        <v>21</v>
      </c>
      <c r="Q23" s="9">
        <v>5</v>
      </c>
      <c r="R23" s="9">
        <v>4</v>
      </c>
      <c r="S23" s="9">
        <v>17</v>
      </c>
      <c r="T23" s="9">
        <v>9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10</v>
      </c>
      <c r="AF23" s="99">
        <v>44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10</v>
      </c>
      <c r="AM23" s="99">
        <v>44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126</v>
      </c>
      <c r="L24" s="16" t="s">
        <v>88</v>
      </c>
      <c r="M24" s="16" t="s">
        <v>91</v>
      </c>
      <c r="N24" s="16" t="s">
        <v>18</v>
      </c>
      <c r="O24" s="16" t="s">
        <v>34</v>
      </c>
      <c r="Q24" s="9">
        <v>6</v>
      </c>
      <c r="R24" s="9">
        <v>11</v>
      </c>
      <c r="S24" s="9">
        <v>14</v>
      </c>
      <c r="T24" s="9">
        <v>4</v>
      </c>
      <c r="U24" s="9">
        <v>9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6</v>
      </c>
      <c r="AF24" s="99">
        <v>5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6</v>
      </c>
      <c r="AM24" s="99">
        <v>5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18</v>
      </c>
      <c r="L25" s="16" t="s">
        <v>112</v>
      </c>
      <c r="M25" s="16" t="s">
        <v>112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6</v>
      </c>
      <c r="AF25" s="99">
        <v>4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6</v>
      </c>
      <c r="AM25" s="99">
        <v>4</v>
      </c>
      <c r="AN25" s="99">
        <v>5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0.7</v>
      </c>
      <c r="E26" s="181">
        <f t="shared" si="1"/>
        <v>0</v>
      </c>
      <c r="F26" s="181">
        <f t="shared" si="1"/>
        <v>0.82499999999999996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22</v>
      </c>
      <c r="M26" s="16" t="s">
        <v>97</v>
      </c>
      <c r="N26" s="16" t="s">
        <v>127</v>
      </c>
      <c r="O26" s="16" t="s">
        <v>18</v>
      </c>
      <c r="Q26" s="9">
        <v>8</v>
      </c>
      <c r="R26" s="9">
        <v>3</v>
      </c>
      <c r="S26" s="9">
        <v>19</v>
      </c>
      <c r="T26" s="9">
        <v>15</v>
      </c>
      <c r="U26" s="9">
        <v>4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200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200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0.3</v>
      </c>
      <c r="E27" s="181">
        <f t="shared" si="2"/>
        <v>1</v>
      </c>
      <c r="F27" s="181">
        <f t="shared" si="2"/>
        <v>0.17499999999999999</v>
      </c>
      <c r="G27" s="5">
        <f t="shared" si="2"/>
        <v>0</v>
      </c>
      <c r="I27" s="87"/>
      <c r="J27" s="9">
        <v>23</v>
      </c>
      <c r="K27" s="16" t="s">
        <v>19</v>
      </c>
      <c r="L27" s="16" t="s">
        <v>34</v>
      </c>
      <c r="M27" s="16" t="s">
        <v>91</v>
      </c>
      <c r="N27" s="16" t="s">
        <v>36</v>
      </c>
      <c r="O27" s="16" t="s">
        <v>22</v>
      </c>
      <c r="Q27" s="9">
        <v>5</v>
      </c>
      <c r="R27" s="9">
        <v>9</v>
      </c>
      <c r="S27" s="9">
        <v>14</v>
      </c>
      <c r="T27" s="9">
        <v>10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126</v>
      </c>
      <c r="L28" s="16" t="s">
        <v>127</v>
      </c>
      <c r="M28" s="16" t="s">
        <v>127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36</v>
      </c>
      <c r="L29" s="16" t="s">
        <v>22</v>
      </c>
      <c r="M29" s="16" t="s">
        <v>112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126</v>
      </c>
      <c r="L30" s="16" t="s">
        <v>35</v>
      </c>
      <c r="M30" s="16" t="s">
        <v>91</v>
      </c>
      <c r="N30" s="16" t="s">
        <v>126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21</v>
      </c>
      <c r="L31" s="16" t="s">
        <v>35</v>
      </c>
      <c r="M31" s="16" t="s">
        <v>97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0</v>
      </c>
      <c r="AE31" s="138">
        <v>6</v>
      </c>
      <c r="AF31" s="138">
        <v>0</v>
      </c>
      <c r="AG31" s="138">
        <v>9</v>
      </c>
      <c r="AH31" s="138">
        <v>0</v>
      </c>
      <c r="AI31" s="5"/>
      <c r="AJ31" s="138" t="str">
        <v>C1</v>
      </c>
      <c r="AK31" s="138">
        <v>0</v>
      </c>
      <c r="AL31" s="138">
        <v>6</v>
      </c>
      <c r="AM31" s="138">
        <v>0</v>
      </c>
      <c r="AN31" s="138">
        <v>9</v>
      </c>
      <c r="AO31" s="138">
        <v>0</v>
      </c>
    </row>
    <row r="32" spans="1:41" ht="16.5" customHeight="1" x14ac:dyDescent="0.3">
      <c r="J32" s="25">
        <v>28</v>
      </c>
      <c r="K32" s="16" t="s">
        <v>126</v>
      </c>
      <c r="L32" s="16" t="s">
        <v>36</v>
      </c>
      <c r="M32" s="16" t="s">
        <v>92</v>
      </c>
      <c r="N32" s="16" t="s">
        <v>20</v>
      </c>
      <c r="O32" s="16" t="s">
        <v>21</v>
      </c>
      <c r="Q32" s="9">
        <v>6</v>
      </c>
      <c r="R32" s="9">
        <v>10</v>
      </c>
      <c r="S32" s="9">
        <v>16</v>
      </c>
      <c r="T32" s="9">
        <v>1</v>
      </c>
      <c r="U32" s="9">
        <v>2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11</v>
      </c>
      <c r="AF32" s="133">
        <v>0</v>
      </c>
      <c r="AG32" s="133">
        <v>22</v>
      </c>
      <c r="AH32" s="133">
        <v>28</v>
      </c>
      <c r="AI32" s="5"/>
      <c r="AJ32" s="154" t="str">
        <v>M1</v>
      </c>
      <c r="AK32" s="133">
        <v>4</v>
      </c>
      <c r="AL32" s="133">
        <v>11</v>
      </c>
      <c r="AM32" s="133">
        <v>0</v>
      </c>
      <c r="AN32" s="133">
        <v>22</v>
      </c>
      <c r="AO32" s="133">
        <v>28</v>
      </c>
    </row>
    <row r="33" spans="10:41" ht="16.5" customHeight="1" x14ac:dyDescent="0.3">
      <c r="J33" s="9">
        <v>29</v>
      </c>
      <c r="K33" s="16" t="s">
        <v>126</v>
      </c>
      <c r="L33" s="16" t="s">
        <v>36</v>
      </c>
      <c r="M33" s="16" t="s">
        <v>91</v>
      </c>
      <c r="N33" s="16" t="s">
        <v>18</v>
      </c>
      <c r="O33" s="16" t="s">
        <v>22</v>
      </c>
      <c r="Q33" s="9">
        <v>6</v>
      </c>
      <c r="R33" s="9">
        <v>10</v>
      </c>
      <c r="S33" s="9">
        <v>14</v>
      </c>
      <c r="T33" s="9">
        <v>4</v>
      </c>
      <c r="U33" s="9">
        <v>3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11</v>
      </c>
      <c r="AF33" s="133">
        <v>0</v>
      </c>
      <c r="AG33" s="133">
        <v>22</v>
      </c>
      <c r="AH33" s="133">
        <v>27</v>
      </c>
      <c r="AI33" s="5"/>
      <c r="AJ33" s="154" t="str">
        <v>M2</v>
      </c>
      <c r="AK33" s="133">
        <v>4</v>
      </c>
      <c r="AL33" s="133">
        <v>11</v>
      </c>
      <c r="AM33" s="133">
        <v>0</v>
      </c>
      <c r="AN33" s="133">
        <v>22</v>
      </c>
      <c r="AO33" s="133">
        <v>27</v>
      </c>
    </row>
    <row r="34" spans="10:41" ht="16.5" customHeight="1" x14ac:dyDescent="0.3">
      <c r="J34" s="25">
        <v>30</v>
      </c>
      <c r="K34" s="16" t="s">
        <v>126</v>
      </c>
      <c r="L34" s="16" t="s">
        <v>22</v>
      </c>
      <c r="M34" s="16" t="s">
        <v>90</v>
      </c>
      <c r="N34" s="16" t="s">
        <v>88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11</v>
      </c>
      <c r="AF34" s="133">
        <v>0</v>
      </c>
      <c r="AG34" s="133">
        <v>22</v>
      </c>
      <c r="AH34" s="133">
        <v>27</v>
      </c>
      <c r="AI34" s="5"/>
      <c r="AJ34" s="154" t="str">
        <v>M3</v>
      </c>
      <c r="AK34" s="133">
        <v>4</v>
      </c>
      <c r="AL34" s="133">
        <v>11</v>
      </c>
      <c r="AM34" s="133">
        <v>0</v>
      </c>
      <c r="AN34" s="133">
        <v>22</v>
      </c>
      <c r="AO34" s="133">
        <v>27</v>
      </c>
    </row>
    <row r="35" spans="10:41" ht="16.5" customHeight="1" x14ac:dyDescent="0.3">
      <c r="J35" s="9">
        <v>31</v>
      </c>
      <c r="K35" s="16" t="s">
        <v>35</v>
      </c>
      <c r="L35" s="16" t="s">
        <v>35</v>
      </c>
      <c r="M35" s="16" t="s">
        <v>91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19</v>
      </c>
      <c r="AF35" s="133">
        <v>0</v>
      </c>
      <c r="AG35" s="133">
        <v>12</v>
      </c>
      <c r="AH35" s="133">
        <v>16</v>
      </c>
      <c r="AI35" s="5"/>
      <c r="AJ35" s="154" t="str">
        <v>M4</v>
      </c>
      <c r="AK35" s="133">
        <v>43</v>
      </c>
      <c r="AL35" s="133">
        <v>19</v>
      </c>
      <c r="AM35" s="133">
        <v>0</v>
      </c>
      <c r="AN35" s="133">
        <v>12</v>
      </c>
      <c r="AO35" s="133">
        <v>16</v>
      </c>
    </row>
    <row r="36" spans="10:41" ht="16.5" customHeight="1" x14ac:dyDescent="0.3">
      <c r="J36" s="25">
        <v>32</v>
      </c>
      <c r="K36" s="16" t="s">
        <v>37</v>
      </c>
      <c r="L36" s="16" t="s">
        <v>97</v>
      </c>
      <c r="M36" s="16" t="s">
        <v>127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43</v>
      </c>
      <c r="AE36" s="133">
        <v>20</v>
      </c>
      <c r="AF36" s="133">
        <v>0</v>
      </c>
      <c r="AG36" s="133">
        <v>12</v>
      </c>
      <c r="AH36" s="133">
        <v>16</v>
      </c>
      <c r="AI36" s="5"/>
      <c r="AJ36" s="154" t="str">
        <v>M5</v>
      </c>
      <c r="AK36" s="133">
        <v>43</v>
      </c>
      <c r="AL36" s="133">
        <v>20</v>
      </c>
      <c r="AM36" s="133">
        <v>0</v>
      </c>
      <c r="AN36" s="133">
        <v>12</v>
      </c>
      <c r="AO36" s="133">
        <v>16</v>
      </c>
    </row>
    <row r="37" spans="10:41" ht="16.5" customHeight="1" x14ac:dyDescent="0.3">
      <c r="J37" s="9">
        <v>33</v>
      </c>
      <c r="K37" s="16" t="s">
        <v>126</v>
      </c>
      <c r="L37" s="16" t="s">
        <v>35</v>
      </c>
      <c r="M37" s="16" t="s">
        <v>112</v>
      </c>
      <c r="N37" s="16" t="s">
        <v>112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20</v>
      </c>
      <c r="AF37" s="133">
        <v>0</v>
      </c>
      <c r="AG37" s="133">
        <v>12</v>
      </c>
      <c r="AH37" s="133">
        <v>16</v>
      </c>
      <c r="AI37" s="5"/>
      <c r="AJ37" s="154" t="str">
        <v>A</v>
      </c>
      <c r="AK37" s="133">
        <v>47</v>
      </c>
      <c r="AL37" s="133">
        <v>20</v>
      </c>
      <c r="AM37" s="133">
        <v>0</v>
      </c>
      <c r="AN37" s="133">
        <v>12</v>
      </c>
      <c r="AO37" s="133">
        <v>16</v>
      </c>
    </row>
    <row r="38" spans="10:41" ht="16.5" customHeight="1" x14ac:dyDescent="0.3">
      <c r="J38" s="25">
        <v>34</v>
      </c>
      <c r="K38" s="16" t="s">
        <v>19</v>
      </c>
      <c r="L38" s="16" t="s">
        <v>19</v>
      </c>
      <c r="M38" s="16" t="s">
        <v>92</v>
      </c>
      <c r="N38" s="16" t="s">
        <v>21</v>
      </c>
      <c r="O38" s="16" t="s">
        <v>35</v>
      </c>
      <c r="Q38" s="9">
        <v>5</v>
      </c>
      <c r="R38" s="9">
        <v>5</v>
      </c>
      <c r="S38" s="9">
        <v>16</v>
      </c>
      <c r="T38" s="9">
        <v>2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20</v>
      </c>
      <c r="AF38" s="133">
        <v>0</v>
      </c>
      <c r="AG38" s="133">
        <v>12</v>
      </c>
      <c r="AH38" s="133">
        <v>16</v>
      </c>
      <c r="AI38" s="5"/>
      <c r="AJ38" s="154" t="str">
        <v>K</v>
      </c>
      <c r="AK38" s="133">
        <v>47</v>
      </c>
      <c r="AL38" s="133">
        <v>20</v>
      </c>
      <c r="AM38" s="133">
        <v>0</v>
      </c>
      <c r="AN38" s="133">
        <v>12</v>
      </c>
      <c r="AO38" s="133">
        <v>16</v>
      </c>
    </row>
    <row r="39" spans="10:41" ht="16.5" customHeight="1" x14ac:dyDescent="0.3">
      <c r="J39" s="9">
        <v>35</v>
      </c>
      <c r="K39" s="16" t="s">
        <v>35</v>
      </c>
      <c r="L39" s="16" t="s">
        <v>18</v>
      </c>
      <c r="M39" s="16" t="s">
        <v>127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11</v>
      </c>
      <c r="AF39" s="133">
        <v>0</v>
      </c>
      <c r="AG39" s="133">
        <v>21</v>
      </c>
      <c r="AH39" s="133">
        <v>27</v>
      </c>
      <c r="AI39" s="5"/>
      <c r="AJ39" s="154" t="str">
        <v>Q</v>
      </c>
      <c r="AK39" s="133">
        <v>4</v>
      </c>
      <c r="AL39" s="133">
        <v>11</v>
      </c>
      <c r="AM39" s="133">
        <v>0</v>
      </c>
      <c r="AN39" s="133">
        <v>21</v>
      </c>
      <c r="AO39" s="133">
        <v>27</v>
      </c>
    </row>
    <row r="40" spans="10:41" ht="16.5" customHeight="1" x14ac:dyDescent="0.3">
      <c r="J40" s="25">
        <v>36</v>
      </c>
      <c r="K40" s="16" t="s">
        <v>19</v>
      </c>
      <c r="L40" s="16" t="s">
        <v>18</v>
      </c>
      <c r="M40" s="16" t="s">
        <v>91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11</v>
      </c>
      <c r="AF40" s="133">
        <v>0</v>
      </c>
      <c r="AG40" s="133">
        <v>21</v>
      </c>
      <c r="AH40" s="133">
        <v>27</v>
      </c>
      <c r="AI40" s="5"/>
      <c r="AJ40" s="154" t="str">
        <v>J</v>
      </c>
      <c r="AK40" s="133">
        <v>4</v>
      </c>
      <c r="AL40" s="133">
        <v>11</v>
      </c>
      <c r="AM40" s="133">
        <v>0</v>
      </c>
      <c r="AN40" s="133">
        <v>21</v>
      </c>
      <c r="AO40" s="133">
        <v>27</v>
      </c>
    </row>
    <row r="41" spans="10:41" ht="16.5" customHeight="1" x14ac:dyDescent="0.3">
      <c r="J41" s="9">
        <v>37</v>
      </c>
      <c r="K41" s="16" t="s">
        <v>126</v>
      </c>
      <c r="L41" s="16" t="s">
        <v>127</v>
      </c>
      <c r="M41" s="16" t="s">
        <v>112</v>
      </c>
      <c r="N41" s="16" t="s">
        <v>88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5</v>
      </c>
      <c r="AF41" s="99">
        <v>5</v>
      </c>
      <c r="AG41" s="99">
        <v>6</v>
      </c>
      <c r="AH41" s="99">
        <v>0</v>
      </c>
      <c r="AI41" s="5"/>
      <c r="AJ41" s="138" t="str">
        <v>G1</v>
      </c>
      <c r="AK41" s="99">
        <v>0</v>
      </c>
      <c r="AL41" s="99">
        <v>5</v>
      </c>
      <c r="AM41" s="99">
        <v>5</v>
      </c>
      <c r="AN41" s="99">
        <v>6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90</v>
      </c>
      <c r="M42" s="16" t="s">
        <v>92</v>
      </c>
      <c r="N42" s="16" t="s">
        <v>34</v>
      </c>
      <c r="O42" s="16" t="s">
        <v>22</v>
      </c>
      <c r="Q42" s="9">
        <v>5</v>
      </c>
      <c r="R42" s="9">
        <v>13</v>
      </c>
      <c r="S42" s="9">
        <v>16</v>
      </c>
      <c r="T42" s="9">
        <v>9</v>
      </c>
      <c r="U42" s="9">
        <v>3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6</v>
      </c>
      <c r="AF42" s="99">
        <v>5</v>
      </c>
      <c r="AG42" s="99">
        <v>6</v>
      </c>
      <c r="AH42" s="99">
        <v>0</v>
      </c>
      <c r="AI42" s="5"/>
      <c r="AJ42" s="138" t="str">
        <v>G2</v>
      </c>
      <c r="AK42" s="99">
        <v>0</v>
      </c>
      <c r="AL42" s="99">
        <v>6</v>
      </c>
      <c r="AM42" s="99">
        <v>5</v>
      </c>
      <c r="AN42" s="99">
        <v>6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88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6</v>
      </c>
      <c r="AF43" s="99">
        <v>5</v>
      </c>
      <c r="AG43" s="99">
        <v>6</v>
      </c>
      <c r="AH43" s="99">
        <v>0</v>
      </c>
      <c r="AI43" s="5"/>
      <c r="AJ43" s="138" t="str">
        <v>G3</v>
      </c>
      <c r="AK43" s="99">
        <v>0</v>
      </c>
      <c r="AL43" s="99">
        <v>6</v>
      </c>
      <c r="AM43" s="99">
        <v>5</v>
      </c>
      <c r="AN43" s="99">
        <v>6</v>
      </c>
      <c r="AO43" s="99">
        <v>0</v>
      </c>
    </row>
    <row r="44" spans="10:41" ht="16.5" customHeight="1" x14ac:dyDescent="0.3">
      <c r="J44" s="25">
        <v>40</v>
      </c>
      <c r="K44" s="16" t="s">
        <v>19</v>
      </c>
      <c r="L44" s="16" t="s">
        <v>88</v>
      </c>
      <c r="M44" s="16" t="s">
        <v>92</v>
      </c>
      <c r="N44" s="16" t="s">
        <v>91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10</v>
      </c>
      <c r="AF44" s="99">
        <v>44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10</v>
      </c>
      <c r="AM44" s="99">
        <v>44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126</v>
      </c>
      <c r="L45" s="16" t="s">
        <v>18</v>
      </c>
      <c r="M45" s="16" t="s">
        <v>112</v>
      </c>
      <c r="N45" s="16" t="s">
        <v>95</v>
      </c>
      <c r="O45" s="16" t="s">
        <v>35</v>
      </c>
      <c r="Q45" s="9">
        <v>6</v>
      </c>
      <c r="R45" s="9">
        <v>4</v>
      </c>
      <c r="S45" s="9">
        <v>17</v>
      </c>
      <c r="T45" s="9">
        <v>18</v>
      </c>
      <c r="U45" s="9">
        <v>8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10</v>
      </c>
      <c r="AF45" s="99">
        <v>44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10</v>
      </c>
      <c r="AM45" s="99">
        <v>44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37</v>
      </c>
      <c r="L46" s="16" t="s">
        <v>19</v>
      </c>
      <c r="M46" s="16" t="s">
        <v>91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10</v>
      </c>
      <c r="AF46" s="99">
        <v>44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10</v>
      </c>
      <c r="AM46" s="99">
        <v>44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19</v>
      </c>
      <c r="L47" s="16" t="s">
        <v>112</v>
      </c>
      <c r="M47" s="16" t="s">
        <v>92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10</v>
      </c>
      <c r="AF47" s="99">
        <v>44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10</v>
      </c>
      <c r="AM47" s="99">
        <v>44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126</v>
      </c>
      <c r="L48" s="16" t="s">
        <v>20</v>
      </c>
      <c r="M48" s="16" t="s">
        <v>127</v>
      </c>
      <c r="N48" s="16" t="s">
        <v>126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6</v>
      </c>
      <c r="AF48" s="99">
        <v>5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6</v>
      </c>
      <c r="AM48" s="99">
        <v>5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19</v>
      </c>
      <c r="L49" s="16" t="s">
        <v>127</v>
      </c>
      <c r="M49" s="16" t="s">
        <v>112</v>
      </c>
      <c r="N49" s="16" t="s">
        <v>126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6</v>
      </c>
      <c r="AF49" s="99">
        <v>4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6</v>
      </c>
      <c r="AM49" s="99">
        <v>4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18</v>
      </c>
      <c r="L50" s="16" t="s">
        <v>126</v>
      </c>
      <c r="M50" s="16" t="s">
        <v>91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200</v>
      </c>
      <c r="AE50" s="113">
        <f>SUM(AE30:AE49)</f>
        <v>209</v>
      </c>
      <c r="AF50" s="113">
        <f>SUM(AF30:AF49)</f>
        <v>200</v>
      </c>
      <c r="AG50" s="113">
        <f>SUM(AG30:AG49)</f>
        <v>209</v>
      </c>
      <c r="AH50" s="113">
        <f>SUM(AH30:AH49)</f>
        <v>200</v>
      </c>
      <c r="AI50" s="5"/>
      <c r="AK50" s="113">
        <f>SUM(AK30:AK49)</f>
        <v>200</v>
      </c>
      <c r="AL50" s="113">
        <f>SUM(AL30:AL49)</f>
        <v>209</v>
      </c>
      <c r="AM50" s="113">
        <f>SUM(AM30:AM49)</f>
        <v>200</v>
      </c>
      <c r="AN50" s="113">
        <f>SUM(AN30:AN49)</f>
        <v>209</v>
      </c>
      <c r="AO50" s="113">
        <f>SUM(AO30:AO49)</f>
        <v>200</v>
      </c>
    </row>
    <row r="51" spans="10:41" ht="16.5" customHeight="1" x14ac:dyDescent="0.3">
      <c r="J51" s="9">
        <v>47</v>
      </c>
      <c r="K51" s="16" t="s">
        <v>19</v>
      </c>
      <c r="L51" s="16" t="s">
        <v>91</v>
      </c>
      <c r="M51" s="16" t="s">
        <v>112</v>
      </c>
      <c r="N51" s="16" t="s">
        <v>34</v>
      </c>
      <c r="O51" s="16" t="s">
        <v>37</v>
      </c>
      <c r="Q51" s="9">
        <v>5</v>
      </c>
      <c r="R51" s="9">
        <v>14</v>
      </c>
      <c r="S51" s="9">
        <v>17</v>
      </c>
      <c r="T51" s="9">
        <v>9</v>
      </c>
      <c r="U51" s="9">
        <v>7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126</v>
      </c>
      <c r="L52" s="16" t="s">
        <v>92</v>
      </c>
      <c r="M52" s="16" t="s">
        <v>92</v>
      </c>
      <c r="N52" s="16" t="s">
        <v>22</v>
      </c>
      <c r="O52" s="16" t="s">
        <v>19</v>
      </c>
      <c r="Q52" s="9">
        <v>6</v>
      </c>
      <c r="R52" s="9">
        <v>16</v>
      </c>
      <c r="S52" s="9">
        <v>16</v>
      </c>
      <c r="T52" s="9">
        <v>3</v>
      </c>
      <c r="U52" s="9">
        <v>5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95</v>
      </c>
      <c r="M53" s="16" t="s">
        <v>127</v>
      </c>
      <c r="N53" s="16" t="s">
        <v>126</v>
      </c>
      <c r="O53" s="16" t="s">
        <v>37</v>
      </c>
      <c r="Q53" s="9">
        <v>8</v>
      </c>
      <c r="R53" s="9">
        <v>18</v>
      </c>
      <c r="S53" s="9">
        <v>15</v>
      </c>
      <c r="T53" s="9">
        <v>6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37</v>
      </c>
      <c r="M54" s="16" t="s">
        <v>90</v>
      </c>
      <c r="N54" s="16" t="s">
        <v>126</v>
      </c>
      <c r="O54" s="16" t="s">
        <v>22</v>
      </c>
      <c r="Q54" s="9">
        <v>7</v>
      </c>
      <c r="R54" s="9">
        <v>7</v>
      </c>
      <c r="S54" s="9">
        <v>13</v>
      </c>
      <c r="T54" s="9">
        <v>6</v>
      </c>
      <c r="U54" s="9">
        <v>3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35</v>
      </c>
      <c r="L55" s="16" t="s">
        <v>37</v>
      </c>
      <c r="M55" s="16" t="s">
        <v>127</v>
      </c>
      <c r="N55" s="16" t="s">
        <v>90</v>
      </c>
      <c r="O55" s="16" t="s">
        <v>19</v>
      </c>
      <c r="Q55" s="9">
        <v>8</v>
      </c>
      <c r="R55" s="9">
        <v>7</v>
      </c>
      <c r="S55" s="9">
        <v>15</v>
      </c>
      <c r="T55" s="9">
        <v>13</v>
      </c>
      <c r="U55" s="9">
        <v>5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0</v>
      </c>
      <c r="AE55" s="138">
        <v>6</v>
      </c>
      <c r="AF55" s="138">
        <v>0</v>
      </c>
      <c r="AG55" s="138">
        <v>9</v>
      </c>
      <c r="AH55" s="138">
        <v>0</v>
      </c>
      <c r="AI55" s="5"/>
      <c r="AJ55" s="138" t="str">
        <v>C1</v>
      </c>
      <c r="AK55" s="138">
        <v>0</v>
      </c>
      <c r="AL55" s="138">
        <v>6</v>
      </c>
      <c r="AM55" s="138">
        <v>0</v>
      </c>
      <c r="AN55" s="138">
        <v>9</v>
      </c>
      <c r="AO55" s="138">
        <v>0</v>
      </c>
    </row>
    <row r="56" spans="10:41" ht="16.5" customHeight="1" x14ac:dyDescent="0.3">
      <c r="J56" s="25">
        <v>52</v>
      </c>
      <c r="K56" s="16" t="s">
        <v>35</v>
      </c>
      <c r="L56" s="16" t="s">
        <v>95</v>
      </c>
      <c r="M56" s="16" t="s">
        <v>91</v>
      </c>
      <c r="N56" s="16" t="s">
        <v>36</v>
      </c>
      <c r="O56" s="16" t="s">
        <v>36</v>
      </c>
      <c r="Q56" s="9">
        <v>8</v>
      </c>
      <c r="R56" s="9">
        <v>18</v>
      </c>
      <c r="S56" s="9">
        <v>14</v>
      </c>
      <c r="T56" s="9">
        <v>10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11</v>
      </c>
      <c r="AF56" s="133">
        <v>0</v>
      </c>
      <c r="AG56" s="133">
        <v>22</v>
      </c>
      <c r="AH56" s="133">
        <v>28</v>
      </c>
      <c r="AI56" s="5"/>
      <c r="AJ56" s="154" t="str">
        <v>M1</v>
      </c>
      <c r="AK56" s="133">
        <v>4</v>
      </c>
      <c r="AL56" s="133">
        <v>11</v>
      </c>
      <c r="AM56" s="133">
        <v>0</v>
      </c>
      <c r="AN56" s="133">
        <v>22</v>
      </c>
      <c r="AO56" s="133">
        <v>28</v>
      </c>
    </row>
    <row r="57" spans="10:41" ht="16.5" customHeight="1" x14ac:dyDescent="0.3">
      <c r="J57" s="9">
        <v>53</v>
      </c>
      <c r="K57" s="16" t="s">
        <v>19</v>
      </c>
      <c r="L57" s="16" t="s">
        <v>37</v>
      </c>
      <c r="M57" s="16" t="s">
        <v>127</v>
      </c>
      <c r="N57" s="16" t="s">
        <v>89</v>
      </c>
      <c r="O57" s="16" t="s">
        <v>18</v>
      </c>
      <c r="Q57" s="9">
        <v>5</v>
      </c>
      <c r="R57" s="9">
        <v>7</v>
      </c>
      <c r="S57" s="9">
        <v>15</v>
      </c>
      <c r="T57" s="9">
        <v>12</v>
      </c>
      <c r="U57" s="9">
        <v>4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11</v>
      </c>
      <c r="AF57" s="133">
        <v>0</v>
      </c>
      <c r="AG57" s="133">
        <v>22</v>
      </c>
      <c r="AH57" s="133">
        <v>27</v>
      </c>
      <c r="AI57" s="5"/>
      <c r="AJ57" s="154" t="str">
        <v>M2</v>
      </c>
      <c r="AK57" s="133">
        <v>4</v>
      </c>
      <c r="AL57" s="133">
        <v>11</v>
      </c>
      <c r="AM57" s="133">
        <v>0</v>
      </c>
      <c r="AN57" s="133">
        <v>22</v>
      </c>
      <c r="AO57" s="133">
        <v>27</v>
      </c>
    </row>
    <row r="58" spans="10:41" ht="16.5" customHeight="1" x14ac:dyDescent="0.3">
      <c r="J58" s="25">
        <v>54</v>
      </c>
      <c r="K58" s="16" t="s">
        <v>35</v>
      </c>
      <c r="L58" s="16" t="s">
        <v>127</v>
      </c>
      <c r="M58" s="16" t="s">
        <v>92</v>
      </c>
      <c r="N58" s="16" t="s">
        <v>37</v>
      </c>
      <c r="O58" s="16" t="s">
        <v>19</v>
      </c>
      <c r="Q58" s="9">
        <v>8</v>
      </c>
      <c r="R58" s="9">
        <v>15</v>
      </c>
      <c r="S58" s="9">
        <v>16</v>
      </c>
      <c r="T58" s="9">
        <v>7</v>
      </c>
      <c r="U58" s="9">
        <v>5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11</v>
      </c>
      <c r="AF58" s="133">
        <v>0</v>
      </c>
      <c r="AG58" s="133">
        <v>22</v>
      </c>
      <c r="AH58" s="133">
        <v>27</v>
      </c>
      <c r="AI58" s="5"/>
      <c r="AJ58" s="154" t="str">
        <v>M3</v>
      </c>
      <c r="AK58" s="133">
        <v>4</v>
      </c>
      <c r="AL58" s="133">
        <v>11</v>
      </c>
      <c r="AM58" s="133">
        <v>0</v>
      </c>
      <c r="AN58" s="133">
        <v>22</v>
      </c>
      <c r="AO58" s="133">
        <v>27</v>
      </c>
    </row>
    <row r="59" spans="10:41" ht="16.5" customHeight="1" x14ac:dyDescent="0.3">
      <c r="J59" s="9">
        <v>55</v>
      </c>
      <c r="K59" s="16" t="s">
        <v>37</v>
      </c>
      <c r="L59" s="16" t="s">
        <v>35</v>
      </c>
      <c r="M59" s="16" t="s">
        <v>127</v>
      </c>
      <c r="N59" s="16" t="s">
        <v>90</v>
      </c>
      <c r="O59" s="16" t="s">
        <v>22</v>
      </c>
      <c r="Q59" s="9">
        <v>7</v>
      </c>
      <c r="R59" s="9">
        <v>8</v>
      </c>
      <c r="S59" s="9">
        <v>15</v>
      </c>
      <c r="T59" s="9">
        <v>13</v>
      </c>
      <c r="U59" s="9">
        <v>3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19</v>
      </c>
      <c r="AF59" s="133">
        <v>0</v>
      </c>
      <c r="AG59" s="133">
        <v>12</v>
      </c>
      <c r="AH59" s="133">
        <v>16</v>
      </c>
      <c r="AI59" s="5"/>
      <c r="AJ59" s="154" t="str">
        <v>M4</v>
      </c>
      <c r="AK59" s="133">
        <v>43</v>
      </c>
      <c r="AL59" s="133">
        <v>19</v>
      </c>
      <c r="AM59" s="133">
        <v>0</v>
      </c>
      <c r="AN59" s="133">
        <v>12</v>
      </c>
      <c r="AO59" s="133">
        <v>16</v>
      </c>
    </row>
    <row r="60" spans="10:41" ht="16.5" customHeight="1" x14ac:dyDescent="0.3">
      <c r="J60" s="25">
        <v>56</v>
      </c>
      <c r="K60" s="16" t="s">
        <v>19</v>
      </c>
      <c r="L60" s="16" t="s">
        <v>37</v>
      </c>
      <c r="M60" s="16" t="s">
        <v>88</v>
      </c>
      <c r="N60" s="16" t="s">
        <v>22</v>
      </c>
      <c r="O60" s="16" t="s">
        <v>126</v>
      </c>
      <c r="Q60" s="9">
        <v>5</v>
      </c>
      <c r="R60" s="9">
        <v>7</v>
      </c>
      <c r="S60" s="9">
        <v>11</v>
      </c>
      <c r="T60" s="9">
        <v>3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43</v>
      </c>
      <c r="AE60" s="133">
        <v>20</v>
      </c>
      <c r="AF60" s="133">
        <v>0</v>
      </c>
      <c r="AG60" s="133">
        <v>12</v>
      </c>
      <c r="AH60" s="133">
        <v>16</v>
      </c>
      <c r="AI60" s="5"/>
      <c r="AJ60" s="154" t="str">
        <v>M5</v>
      </c>
      <c r="AK60" s="133">
        <v>43</v>
      </c>
      <c r="AL60" s="133">
        <v>20</v>
      </c>
      <c r="AM60" s="133">
        <v>0</v>
      </c>
      <c r="AN60" s="133">
        <v>12</v>
      </c>
      <c r="AO60" s="133">
        <v>16</v>
      </c>
    </row>
    <row r="61" spans="10:41" x14ac:dyDescent="0.3">
      <c r="J61" s="9">
        <v>57</v>
      </c>
      <c r="K61" s="16" t="s">
        <v>19</v>
      </c>
      <c r="L61" s="16" t="s">
        <v>21</v>
      </c>
      <c r="M61" s="16" t="s">
        <v>112</v>
      </c>
      <c r="N61" s="16" t="s">
        <v>22</v>
      </c>
      <c r="O61" s="16" t="s">
        <v>126</v>
      </c>
      <c r="Q61" s="9">
        <v>5</v>
      </c>
      <c r="R61" s="9">
        <v>2</v>
      </c>
      <c r="S61" s="9">
        <v>17</v>
      </c>
      <c r="T61" s="9">
        <v>3</v>
      </c>
      <c r="U61" s="9">
        <v>6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20</v>
      </c>
      <c r="AF61" s="133">
        <v>0</v>
      </c>
      <c r="AG61" s="133">
        <v>12</v>
      </c>
      <c r="AH61" s="133">
        <v>16</v>
      </c>
      <c r="AI61" s="5"/>
      <c r="AJ61" s="154" t="str">
        <v>A</v>
      </c>
      <c r="AK61" s="133">
        <v>47</v>
      </c>
      <c r="AL61" s="133">
        <v>20</v>
      </c>
      <c r="AM61" s="133">
        <v>0</v>
      </c>
      <c r="AN61" s="133">
        <v>12</v>
      </c>
      <c r="AO61" s="133">
        <v>16</v>
      </c>
    </row>
    <row r="62" spans="10:41" x14ac:dyDescent="0.3">
      <c r="J62" s="25">
        <v>58</v>
      </c>
      <c r="K62" s="16" t="s">
        <v>19</v>
      </c>
      <c r="L62" s="16" t="s">
        <v>21</v>
      </c>
      <c r="M62" s="16" t="s">
        <v>89</v>
      </c>
      <c r="N62" s="16" t="s">
        <v>22</v>
      </c>
      <c r="O62" s="16" t="s">
        <v>21</v>
      </c>
      <c r="Q62" s="9">
        <v>5</v>
      </c>
      <c r="R62" s="9">
        <v>2</v>
      </c>
      <c r="S62" s="9">
        <v>12</v>
      </c>
      <c r="T62" s="9">
        <v>3</v>
      </c>
      <c r="U62" s="9">
        <v>2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20</v>
      </c>
      <c r="AF62" s="133">
        <v>0</v>
      </c>
      <c r="AG62" s="133">
        <v>12</v>
      </c>
      <c r="AH62" s="133">
        <v>16</v>
      </c>
      <c r="AI62" s="5"/>
      <c r="AJ62" s="154" t="str">
        <v>K</v>
      </c>
      <c r="AK62" s="133">
        <v>47</v>
      </c>
      <c r="AL62" s="133">
        <v>20</v>
      </c>
      <c r="AM62" s="133">
        <v>0</v>
      </c>
      <c r="AN62" s="133">
        <v>12</v>
      </c>
      <c r="AO62" s="133">
        <v>16</v>
      </c>
    </row>
    <row r="63" spans="10:41" ht="16.5" customHeight="1" x14ac:dyDescent="0.3">
      <c r="J63" s="9">
        <v>59</v>
      </c>
      <c r="K63" s="16" t="s">
        <v>37</v>
      </c>
      <c r="L63" s="16" t="s">
        <v>126</v>
      </c>
      <c r="M63" s="16" t="s">
        <v>88</v>
      </c>
      <c r="N63" s="16" t="s">
        <v>91</v>
      </c>
      <c r="O63" s="16" t="s">
        <v>37</v>
      </c>
      <c r="Q63" s="9">
        <v>7</v>
      </c>
      <c r="R63" s="9">
        <v>6</v>
      </c>
      <c r="S63" s="9">
        <v>11</v>
      </c>
      <c r="T63" s="9">
        <v>14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11</v>
      </c>
      <c r="AF63" s="133">
        <v>0</v>
      </c>
      <c r="AG63" s="133">
        <v>21</v>
      </c>
      <c r="AH63" s="133">
        <v>27</v>
      </c>
      <c r="AI63" s="5"/>
      <c r="AJ63" s="154" t="str">
        <v>Q</v>
      </c>
      <c r="AK63" s="133">
        <v>4</v>
      </c>
      <c r="AL63" s="133">
        <v>11</v>
      </c>
      <c r="AM63" s="133">
        <v>0</v>
      </c>
      <c r="AN63" s="133">
        <v>21</v>
      </c>
      <c r="AO63" s="133">
        <v>27</v>
      </c>
    </row>
    <row r="64" spans="10:41" ht="16.5" customHeight="1" x14ac:dyDescent="0.3">
      <c r="J64" s="25">
        <v>60</v>
      </c>
      <c r="K64" s="16" t="s">
        <v>19</v>
      </c>
      <c r="L64" s="16" t="s">
        <v>89</v>
      </c>
      <c r="M64" s="16" t="s">
        <v>90</v>
      </c>
      <c r="N64" s="16" t="s">
        <v>21</v>
      </c>
      <c r="O64" s="16" t="s">
        <v>34</v>
      </c>
      <c r="Q64" s="9">
        <v>5</v>
      </c>
      <c r="R64" s="9">
        <v>12</v>
      </c>
      <c r="S64" s="9">
        <v>13</v>
      </c>
      <c r="T64" s="9">
        <v>2</v>
      </c>
      <c r="U64" s="9">
        <v>9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11</v>
      </c>
      <c r="AF64" s="133">
        <v>0</v>
      </c>
      <c r="AG64" s="133">
        <v>21</v>
      </c>
      <c r="AH64" s="133">
        <v>27</v>
      </c>
      <c r="AI64" s="5"/>
      <c r="AJ64" s="154" t="str">
        <v>J</v>
      </c>
      <c r="AK64" s="133">
        <v>4</v>
      </c>
      <c r="AL64" s="133">
        <v>11</v>
      </c>
      <c r="AM64" s="133">
        <v>0</v>
      </c>
      <c r="AN64" s="133">
        <v>21</v>
      </c>
      <c r="AO64" s="133">
        <v>27</v>
      </c>
    </row>
    <row r="65" spans="10:41" ht="16.5" customHeight="1" x14ac:dyDescent="0.3">
      <c r="J65" s="9">
        <v>61</v>
      </c>
      <c r="K65" s="16" t="s">
        <v>37</v>
      </c>
      <c r="L65" s="16" t="s">
        <v>37</v>
      </c>
      <c r="M65" s="16" t="s">
        <v>112</v>
      </c>
      <c r="N65" s="16" t="s">
        <v>126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5</v>
      </c>
      <c r="AF65" s="99">
        <v>5</v>
      </c>
      <c r="AG65" s="99">
        <v>6</v>
      </c>
      <c r="AH65" s="99">
        <v>0</v>
      </c>
      <c r="AI65" s="5"/>
      <c r="AJ65" s="138" t="str">
        <v>G1</v>
      </c>
      <c r="AK65" s="99">
        <v>0</v>
      </c>
      <c r="AL65" s="99">
        <v>5</v>
      </c>
      <c r="AM65" s="99">
        <v>5</v>
      </c>
      <c r="AN65" s="99">
        <v>6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127</v>
      </c>
      <c r="M66" s="16" t="s">
        <v>91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6</v>
      </c>
      <c r="AF66" s="99">
        <v>5</v>
      </c>
      <c r="AG66" s="99">
        <v>6</v>
      </c>
      <c r="AH66" s="99">
        <v>0</v>
      </c>
      <c r="AI66" s="5"/>
      <c r="AJ66" s="138" t="str">
        <v>G2</v>
      </c>
      <c r="AK66" s="99">
        <v>0</v>
      </c>
      <c r="AL66" s="99">
        <v>6</v>
      </c>
      <c r="AM66" s="99">
        <v>5</v>
      </c>
      <c r="AN66" s="99">
        <v>6</v>
      </c>
      <c r="AO66" s="99">
        <v>0</v>
      </c>
    </row>
    <row r="67" spans="10:41" ht="16.5" customHeight="1" x14ac:dyDescent="0.3">
      <c r="J67" s="9">
        <v>63</v>
      </c>
      <c r="K67" s="16" t="s">
        <v>19</v>
      </c>
      <c r="L67" s="16" t="s">
        <v>21</v>
      </c>
      <c r="M67" s="16" t="s">
        <v>92</v>
      </c>
      <c r="N67" s="16" t="s">
        <v>95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6</v>
      </c>
      <c r="AF67" s="99">
        <v>5</v>
      </c>
      <c r="AG67" s="99">
        <v>6</v>
      </c>
      <c r="AH67" s="99">
        <v>0</v>
      </c>
      <c r="AI67" s="5"/>
      <c r="AJ67" s="138" t="str">
        <v>G3</v>
      </c>
      <c r="AK67" s="99">
        <v>0</v>
      </c>
      <c r="AL67" s="99">
        <v>6</v>
      </c>
      <c r="AM67" s="99">
        <v>5</v>
      </c>
      <c r="AN67" s="99">
        <v>6</v>
      </c>
      <c r="AO67" s="99">
        <v>0</v>
      </c>
    </row>
    <row r="68" spans="10:41" ht="16.5" customHeight="1" x14ac:dyDescent="0.3">
      <c r="J68" s="25">
        <v>64</v>
      </c>
      <c r="K68" s="16" t="s">
        <v>22</v>
      </c>
      <c r="L68" s="16" t="s">
        <v>36</v>
      </c>
      <c r="M68" s="16" t="s">
        <v>89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10</v>
      </c>
      <c r="AF68" s="99">
        <v>44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10</v>
      </c>
      <c r="AM68" s="99">
        <v>44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36</v>
      </c>
      <c r="L69" s="16" t="s">
        <v>36</v>
      </c>
      <c r="M69" s="16" t="s">
        <v>91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10</v>
      </c>
      <c r="AF69" s="99">
        <v>44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10</v>
      </c>
      <c r="AM69" s="99">
        <v>44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35</v>
      </c>
      <c r="L70" s="16" t="s">
        <v>35</v>
      </c>
      <c r="M70" s="16" t="s">
        <v>112</v>
      </c>
      <c r="N70" s="16" t="s">
        <v>90</v>
      </c>
      <c r="O70" s="16" t="s">
        <v>21</v>
      </c>
      <c r="Q70" s="9">
        <v>8</v>
      </c>
      <c r="R70" s="9">
        <v>8</v>
      </c>
      <c r="S70" s="9">
        <v>17</v>
      </c>
      <c r="T70" s="9">
        <v>13</v>
      </c>
      <c r="U70" s="9">
        <v>2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10</v>
      </c>
      <c r="AF70" s="99">
        <v>44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10</v>
      </c>
      <c r="AM70" s="99">
        <v>44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35</v>
      </c>
      <c r="L71" s="16" t="s">
        <v>92</v>
      </c>
      <c r="M71" s="16" t="s">
        <v>91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10</v>
      </c>
      <c r="AF71" s="99">
        <v>44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10</v>
      </c>
      <c r="AM71" s="99">
        <v>44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34</v>
      </c>
      <c r="L72" s="16" t="s">
        <v>36</v>
      </c>
      <c r="M72" s="16" t="s">
        <v>95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6</v>
      </c>
      <c r="AF72" s="99">
        <v>5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6</v>
      </c>
      <c r="AM72" s="99">
        <v>5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21</v>
      </c>
      <c r="L73" s="16" t="s">
        <v>21</v>
      </c>
      <c r="M73" s="16" t="s">
        <v>92</v>
      </c>
      <c r="N73" s="16" t="s">
        <v>21</v>
      </c>
      <c r="O73" s="16" t="s">
        <v>37</v>
      </c>
      <c r="Q73" s="9">
        <v>2</v>
      </c>
      <c r="R73" s="9">
        <v>2</v>
      </c>
      <c r="S73" s="9">
        <v>16</v>
      </c>
      <c r="T73" s="9">
        <v>2</v>
      </c>
      <c r="U73" s="9">
        <v>7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6</v>
      </c>
      <c r="AF73" s="99">
        <v>4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6</v>
      </c>
      <c r="AM73" s="99">
        <v>4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19</v>
      </c>
      <c r="L74" s="16" t="s">
        <v>21</v>
      </c>
      <c r="M74" s="16" t="s">
        <v>91</v>
      </c>
      <c r="N74" s="16" t="s">
        <v>37</v>
      </c>
      <c r="O74" s="16" t="s">
        <v>37</v>
      </c>
      <c r="Q74" s="9">
        <v>5</v>
      </c>
      <c r="R74" s="9">
        <v>2</v>
      </c>
      <c r="S74" s="9">
        <v>14</v>
      </c>
      <c r="T74" s="9">
        <v>7</v>
      </c>
      <c r="U74" s="9">
        <v>7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200</v>
      </c>
      <c r="AE74" s="113">
        <f>SUM(AE54:AE73)</f>
        <v>209</v>
      </c>
      <c r="AF74" s="113">
        <f>SUM(AF54:AF73)</f>
        <v>200</v>
      </c>
      <c r="AG74" s="113">
        <f>SUM(AG54:AG73)</f>
        <v>209</v>
      </c>
      <c r="AH74" s="113">
        <f>SUM(AH54:AH73)</f>
        <v>200</v>
      </c>
      <c r="AI74" s="5"/>
      <c r="AK74" s="113">
        <f>SUM(AK54:AK73)</f>
        <v>200</v>
      </c>
      <c r="AL74" s="113">
        <f>SUM(AL54:AL73)</f>
        <v>209</v>
      </c>
      <c r="AM74" s="113">
        <f>SUM(AM54:AM73)</f>
        <v>200</v>
      </c>
      <c r="AN74" s="113">
        <f>SUM(AN54:AN73)</f>
        <v>209</v>
      </c>
      <c r="AO74" s="113">
        <f>SUM(AO54:AO73)</f>
        <v>200</v>
      </c>
    </row>
    <row r="75" spans="10:41" ht="16.5" customHeight="1" x14ac:dyDescent="0.3">
      <c r="J75" s="9">
        <v>71</v>
      </c>
      <c r="K75" s="16" t="s">
        <v>126</v>
      </c>
      <c r="L75" s="16" t="s">
        <v>36</v>
      </c>
      <c r="M75" s="16" t="s">
        <v>92</v>
      </c>
      <c r="N75" s="16" t="s">
        <v>18</v>
      </c>
      <c r="O75" s="16" t="s">
        <v>22</v>
      </c>
      <c r="Q75" s="9">
        <v>6</v>
      </c>
      <c r="R75" s="9">
        <v>10</v>
      </c>
      <c r="S75" s="9">
        <v>16</v>
      </c>
      <c r="T75" s="9">
        <v>4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35</v>
      </c>
      <c r="L76" s="16" t="s">
        <v>37</v>
      </c>
      <c r="M76" s="16" t="s">
        <v>89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35</v>
      </c>
      <c r="L77" s="16" t="s">
        <v>18</v>
      </c>
      <c r="M77" s="16" t="s">
        <v>112</v>
      </c>
      <c r="N77" s="16" t="s">
        <v>21</v>
      </c>
      <c r="O77" s="16" t="s">
        <v>126</v>
      </c>
      <c r="Q77" s="9">
        <v>8</v>
      </c>
      <c r="R77" s="9">
        <v>4</v>
      </c>
      <c r="S77" s="9">
        <v>17</v>
      </c>
      <c r="T77" s="9">
        <v>2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126</v>
      </c>
      <c r="L78" s="16" t="s">
        <v>19</v>
      </c>
      <c r="M78" s="16" t="s">
        <v>91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126</v>
      </c>
      <c r="L79" s="16" t="s">
        <v>19</v>
      </c>
      <c r="M79" s="16" t="s">
        <v>127</v>
      </c>
      <c r="N79" s="16" t="s">
        <v>97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91</v>
      </c>
      <c r="M80" s="16" t="s">
        <v>92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35</v>
      </c>
      <c r="L81" s="16" t="s">
        <v>22</v>
      </c>
      <c r="M81" s="16" t="s">
        <v>91</v>
      </c>
      <c r="N81" s="16" t="s">
        <v>22</v>
      </c>
      <c r="O81" s="16" t="s">
        <v>34</v>
      </c>
      <c r="Q81" s="9">
        <v>8</v>
      </c>
      <c r="R81" s="9">
        <v>3</v>
      </c>
      <c r="S81" s="9">
        <v>14</v>
      </c>
      <c r="T81" s="9">
        <v>3</v>
      </c>
      <c r="U81" s="9">
        <v>9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22</v>
      </c>
      <c r="M82" s="16" t="s">
        <v>112</v>
      </c>
      <c r="N82" s="16" t="s">
        <v>19</v>
      </c>
      <c r="O82" s="16" t="s">
        <v>22</v>
      </c>
      <c r="Q82" s="9">
        <v>7</v>
      </c>
      <c r="R82" s="9">
        <v>3</v>
      </c>
      <c r="S82" s="9">
        <v>17</v>
      </c>
      <c r="T82" s="9">
        <v>5</v>
      </c>
      <c r="U82" s="9">
        <v>3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36</v>
      </c>
      <c r="L83" s="16" t="s">
        <v>19</v>
      </c>
      <c r="M83" s="16" t="s">
        <v>92</v>
      </c>
      <c r="N83" s="16" t="s">
        <v>34</v>
      </c>
      <c r="O83" s="16" t="s">
        <v>34</v>
      </c>
      <c r="Q83" s="9">
        <v>10</v>
      </c>
      <c r="R83" s="9">
        <v>5</v>
      </c>
      <c r="S83" s="9">
        <v>16</v>
      </c>
      <c r="T83" s="9">
        <v>9</v>
      </c>
      <c r="U83" s="9">
        <v>9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126</v>
      </c>
      <c r="M84" s="16" t="s">
        <v>127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126</v>
      </c>
      <c r="L85" s="16" t="s">
        <v>21</v>
      </c>
      <c r="M85" s="16" t="s">
        <v>92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126</v>
      </c>
      <c r="L86" s="16" t="s">
        <v>127</v>
      </c>
      <c r="M86" s="16" t="s">
        <v>95</v>
      </c>
      <c r="N86" s="16" t="s">
        <v>21</v>
      </c>
      <c r="O86" s="16" t="s">
        <v>126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126</v>
      </c>
      <c r="L87" s="16" t="s">
        <v>18</v>
      </c>
      <c r="M87" s="16" t="s">
        <v>91</v>
      </c>
      <c r="N87" s="16" t="s">
        <v>19</v>
      </c>
      <c r="O87" s="16" t="s">
        <v>22</v>
      </c>
      <c r="Q87" s="9">
        <v>6</v>
      </c>
      <c r="R87" s="9">
        <v>4</v>
      </c>
      <c r="S87" s="9">
        <v>14</v>
      </c>
      <c r="T87" s="9">
        <v>5</v>
      </c>
      <c r="U87" s="9">
        <v>3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37</v>
      </c>
      <c r="L88" s="16" t="s">
        <v>19</v>
      </c>
      <c r="M88" s="16" t="s">
        <v>112</v>
      </c>
      <c r="N88" s="16" t="s">
        <v>88</v>
      </c>
      <c r="O88" s="16" t="s">
        <v>34</v>
      </c>
      <c r="Q88" s="9">
        <v>7</v>
      </c>
      <c r="R88" s="9">
        <v>5</v>
      </c>
      <c r="S88" s="9">
        <v>17</v>
      </c>
      <c r="T88" s="9">
        <v>11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37</v>
      </c>
      <c r="L89" s="16" t="s">
        <v>19</v>
      </c>
      <c r="M89" s="16" t="s">
        <v>127</v>
      </c>
      <c r="N89" s="16" t="s">
        <v>22</v>
      </c>
      <c r="O89" s="16" t="s">
        <v>126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37</v>
      </c>
      <c r="L90" s="16" t="s">
        <v>19</v>
      </c>
      <c r="M90" s="16" t="s">
        <v>92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35</v>
      </c>
      <c r="L91" s="16" t="s">
        <v>36</v>
      </c>
      <c r="M91" s="16" t="s">
        <v>91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37</v>
      </c>
      <c r="L92" s="16" t="s">
        <v>126</v>
      </c>
      <c r="M92" s="16" t="s">
        <v>92</v>
      </c>
      <c r="N92" s="16" t="s">
        <v>20</v>
      </c>
      <c r="O92" s="16" t="s">
        <v>19</v>
      </c>
      <c r="Q92" s="9">
        <v>7</v>
      </c>
      <c r="R92" s="9">
        <v>6</v>
      </c>
      <c r="S92" s="9">
        <v>16</v>
      </c>
      <c r="T92" s="9">
        <v>1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18</v>
      </c>
      <c r="L93" s="16" t="s">
        <v>126</v>
      </c>
      <c r="M93" s="16" t="s">
        <v>112</v>
      </c>
      <c r="N93" s="16" t="s">
        <v>21</v>
      </c>
      <c r="O93" s="16" t="s">
        <v>34</v>
      </c>
      <c r="Q93" s="9">
        <v>4</v>
      </c>
      <c r="R93" s="9">
        <v>6</v>
      </c>
      <c r="S93" s="9">
        <v>17</v>
      </c>
      <c r="T93" s="9">
        <v>2</v>
      </c>
      <c r="U93" s="9">
        <v>9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22</v>
      </c>
      <c r="L94" s="16" t="s">
        <v>35</v>
      </c>
      <c r="M94" s="16" t="s">
        <v>91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35</v>
      </c>
      <c r="M95" s="16" t="s">
        <v>112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37</v>
      </c>
      <c r="L96" s="16" t="s">
        <v>92</v>
      </c>
      <c r="M96" s="16" t="s">
        <v>91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19</v>
      </c>
      <c r="L97" s="16" t="s">
        <v>35</v>
      </c>
      <c r="M97" s="16" t="s">
        <v>92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37</v>
      </c>
      <c r="L98" s="16" t="s">
        <v>37</v>
      </c>
      <c r="M98" s="16" t="s">
        <v>127</v>
      </c>
      <c r="N98" s="16" t="s">
        <v>88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35</v>
      </c>
      <c r="M99" s="16" t="s">
        <v>112</v>
      </c>
      <c r="N99" s="16" t="s">
        <v>18</v>
      </c>
      <c r="O99" s="16" t="s">
        <v>35</v>
      </c>
      <c r="Q99" s="9">
        <v>5</v>
      </c>
      <c r="R99" s="9">
        <v>8</v>
      </c>
      <c r="S99" s="9">
        <v>17</v>
      </c>
      <c r="T99" s="9">
        <v>4</v>
      </c>
      <c r="U99" s="9">
        <v>8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126</v>
      </c>
      <c r="L100" s="16" t="s">
        <v>34</v>
      </c>
      <c r="M100" s="16" t="s">
        <v>127</v>
      </c>
      <c r="N100" s="16" t="s">
        <v>35</v>
      </c>
      <c r="O100" s="16" t="s">
        <v>19</v>
      </c>
      <c r="Q100" s="9">
        <v>6</v>
      </c>
      <c r="R100" s="9">
        <v>9</v>
      </c>
      <c r="S100" s="9">
        <v>15</v>
      </c>
      <c r="T100" s="9">
        <v>8</v>
      </c>
      <c r="U100" s="9">
        <v>5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19</v>
      </c>
      <c r="L101" s="16" t="s">
        <v>34</v>
      </c>
      <c r="M101" s="16" t="s">
        <v>92</v>
      </c>
      <c r="N101" s="16" t="s">
        <v>35</v>
      </c>
      <c r="O101" s="16" t="s">
        <v>18</v>
      </c>
      <c r="Q101" s="9">
        <v>5</v>
      </c>
      <c r="R101" s="9">
        <v>9</v>
      </c>
      <c r="S101" s="9">
        <v>16</v>
      </c>
      <c r="T101" s="9">
        <v>8</v>
      </c>
      <c r="U101" s="9">
        <v>4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37</v>
      </c>
      <c r="L102" s="16" t="s">
        <v>21</v>
      </c>
      <c r="M102" s="16" t="s">
        <v>112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35</v>
      </c>
      <c r="L103" s="16" t="s">
        <v>91</v>
      </c>
      <c r="M103" s="16" t="s">
        <v>88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37</v>
      </c>
      <c r="L104" s="16" t="s">
        <v>20</v>
      </c>
      <c r="M104" s="16" t="s">
        <v>91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35</v>
      </c>
      <c r="L105" s="16" t="s">
        <v>126</v>
      </c>
      <c r="M105" s="16" t="s">
        <v>112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35</v>
      </c>
      <c r="L106" s="16" t="s">
        <v>34</v>
      </c>
      <c r="M106" s="16" t="s">
        <v>91</v>
      </c>
      <c r="N106" s="16" t="s">
        <v>21</v>
      </c>
      <c r="O106" s="16" t="s">
        <v>126</v>
      </c>
      <c r="Q106" s="9">
        <v>8</v>
      </c>
      <c r="R106" s="9">
        <v>9</v>
      </c>
      <c r="S106" s="9">
        <v>14</v>
      </c>
      <c r="T106" s="9">
        <v>2</v>
      </c>
      <c r="U106" s="9">
        <v>6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37</v>
      </c>
      <c r="L107" s="16" t="s">
        <v>34</v>
      </c>
      <c r="M107" s="16" t="s">
        <v>127</v>
      </c>
      <c r="N107" s="16" t="s">
        <v>90</v>
      </c>
      <c r="O107" s="16" t="s">
        <v>34</v>
      </c>
      <c r="Q107" s="9">
        <v>7</v>
      </c>
      <c r="R107" s="9">
        <v>9</v>
      </c>
      <c r="S107" s="9">
        <v>15</v>
      </c>
      <c r="T107" s="9">
        <v>13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35</v>
      </c>
      <c r="L108" s="16" t="s">
        <v>91</v>
      </c>
      <c r="M108" s="16" t="s">
        <v>92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35</v>
      </c>
      <c r="L109" s="16" t="s">
        <v>22</v>
      </c>
      <c r="M109" s="16" t="s">
        <v>127</v>
      </c>
      <c r="N109" s="16" t="s">
        <v>19</v>
      </c>
      <c r="O109" s="16" t="s">
        <v>36</v>
      </c>
      <c r="Q109" s="9">
        <v>8</v>
      </c>
      <c r="R109" s="9">
        <v>3</v>
      </c>
      <c r="S109" s="9">
        <v>15</v>
      </c>
      <c r="T109" s="9">
        <v>5</v>
      </c>
      <c r="U109" s="9">
        <v>10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22</v>
      </c>
      <c r="M110" s="16" t="s">
        <v>92</v>
      </c>
      <c r="N110" s="16" t="s">
        <v>88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19</v>
      </c>
      <c r="M111" s="16" t="s">
        <v>127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126</v>
      </c>
      <c r="L112" s="16" t="s">
        <v>89</v>
      </c>
      <c r="M112" s="16" t="s">
        <v>91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35</v>
      </c>
      <c r="L113" s="16" t="s">
        <v>91</v>
      </c>
      <c r="M113" s="16" t="s">
        <v>127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21</v>
      </c>
      <c r="L114" s="16" t="s">
        <v>37</v>
      </c>
      <c r="M114" s="16" t="s">
        <v>112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34</v>
      </c>
      <c r="L115" s="16" t="s">
        <v>37</v>
      </c>
      <c r="M115" s="16" t="s">
        <v>91</v>
      </c>
      <c r="N115" s="16" t="s">
        <v>126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126</v>
      </c>
      <c r="L116" s="16" t="s">
        <v>91</v>
      </c>
      <c r="M116" s="16" t="s">
        <v>112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35</v>
      </c>
      <c r="L117" s="16" t="s">
        <v>19</v>
      </c>
      <c r="M117" s="16" t="s">
        <v>127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19</v>
      </c>
      <c r="L118" s="16" t="s">
        <v>19</v>
      </c>
      <c r="M118" s="16" t="s">
        <v>92</v>
      </c>
      <c r="N118" s="16" t="s">
        <v>126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35</v>
      </c>
      <c r="L119" s="16" t="s">
        <v>126</v>
      </c>
      <c r="M119" s="16" t="s">
        <v>112</v>
      </c>
      <c r="N119" s="16" t="s">
        <v>92</v>
      </c>
      <c r="O119" s="16" t="s">
        <v>22</v>
      </c>
      <c r="Q119" s="9">
        <v>8</v>
      </c>
      <c r="R119" s="9">
        <v>6</v>
      </c>
      <c r="S119" s="9">
        <v>17</v>
      </c>
      <c r="T119" s="9">
        <v>16</v>
      </c>
      <c r="U119" s="9">
        <v>3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126</v>
      </c>
      <c r="M120" s="16" t="s">
        <v>92</v>
      </c>
      <c r="N120" s="16" t="s">
        <v>126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19</v>
      </c>
      <c r="L121" s="16" t="s">
        <v>92</v>
      </c>
      <c r="M121" s="16" t="s">
        <v>127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18</v>
      </c>
      <c r="M122" s="16" t="s">
        <v>97</v>
      </c>
      <c r="N122" s="16" t="s">
        <v>37</v>
      </c>
      <c r="O122" s="16" t="s">
        <v>34</v>
      </c>
      <c r="Q122" s="9">
        <v>7</v>
      </c>
      <c r="R122" s="9">
        <v>4</v>
      </c>
      <c r="S122" s="9">
        <v>19</v>
      </c>
      <c r="T122" s="9">
        <v>7</v>
      </c>
      <c r="U122" s="9">
        <v>9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35</v>
      </c>
      <c r="L123" s="16" t="s">
        <v>34</v>
      </c>
      <c r="M123" s="16" t="s">
        <v>127</v>
      </c>
      <c r="N123" s="16" t="s">
        <v>37</v>
      </c>
      <c r="O123" s="16" t="s">
        <v>35</v>
      </c>
      <c r="Q123" s="9">
        <v>8</v>
      </c>
      <c r="R123" s="9">
        <v>9</v>
      </c>
      <c r="S123" s="9">
        <v>15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18</v>
      </c>
      <c r="L124" s="16" t="s">
        <v>91</v>
      </c>
      <c r="M124" s="16" t="s">
        <v>95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126</v>
      </c>
      <c r="L125" s="16" t="s">
        <v>20</v>
      </c>
      <c r="M125" s="16" t="s">
        <v>112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126</v>
      </c>
      <c r="L126" s="16" t="s">
        <v>22</v>
      </c>
      <c r="M126" s="16" t="s">
        <v>92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19</v>
      </c>
      <c r="L127" s="16" t="s">
        <v>36</v>
      </c>
      <c r="M127" s="16" t="s">
        <v>91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126</v>
      </c>
      <c r="L128" s="16" t="s">
        <v>127</v>
      </c>
      <c r="M128" s="16" t="s">
        <v>127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35</v>
      </c>
      <c r="L129" s="16" t="s">
        <v>88</v>
      </c>
      <c r="M129" s="16" t="s">
        <v>89</v>
      </c>
      <c r="N129" s="16" t="s">
        <v>95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126</v>
      </c>
      <c r="L130" s="16" t="s">
        <v>34</v>
      </c>
      <c r="M130" s="16" t="s">
        <v>112</v>
      </c>
      <c r="N130" s="16" t="s">
        <v>126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35</v>
      </c>
      <c r="L131" s="16" t="s">
        <v>112</v>
      </c>
      <c r="M131" s="16" t="s">
        <v>91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126</v>
      </c>
      <c r="L132" s="16" t="s">
        <v>20</v>
      </c>
      <c r="M132" s="16" t="s">
        <v>127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35</v>
      </c>
      <c r="L133" s="16" t="s">
        <v>91</v>
      </c>
      <c r="M133" s="16" t="s">
        <v>112</v>
      </c>
      <c r="N133" s="16" t="s">
        <v>89</v>
      </c>
      <c r="O133" s="16" t="s">
        <v>21</v>
      </c>
      <c r="Q133" s="9">
        <v>8</v>
      </c>
      <c r="R133" s="9">
        <v>14</v>
      </c>
      <c r="S133" s="9">
        <v>17</v>
      </c>
      <c r="T133" s="9">
        <v>12</v>
      </c>
      <c r="U133" s="9">
        <v>2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126</v>
      </c>
      <c r="L134" s="16" t="s">
        <v>95</v>
      </c>
      <c r="M134" s="16" t="s">
        <v>92</v>
      </c>
      <c r="N134" s="16" t="s">
        <v>97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126</v>
      </c>
      <c r="M135" s="16" t="s">
        <v>112</v>
      </c>
      <c r="N135" s="16" t="s">
        <v>126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126</v>
      </c>
      <c r="L137" s="16" t="s">
        <v>35</v>
      </c>
      <c r="M137" s="16" t="s">
        <v>92</v>
      </c>
      <c r="N137" s="16" t="s">
        <v>36</v>
      </c>
      <c r="O137" s="16" t="s">
        <v>21</v>
      </c>
      <c r="Q137" s="9">
        <v>6</v>
      </c>
      <c r="R137" s="9">
        <v>8</v>
      </c>
      <c r="S137" s="9">
        <v>16</v>
      </c>
      <c r="T137" s="9">
        <v>10</v>
      </c>
      <c r="U137" s="9">
        <v>2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22</v>
      </c>
      <c r="L138" s="16" t="s">
        <v>35</v>
      </c>
      <c r="M138" s="16" t="s">
        <v>127</v>
      </c>
      <c r="N138" s="16" t="s">
        <v>97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35</v>
      </c>
      <c r="L139" s="16" t="s">
        <v>20</v>
      </c>
      <c r="M139" s="16" t="s">
        <v>91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126</v>
      </c>
      <c r="L140" s="16" t="s">
        <v>97</v>
      </c>
      <c r="M140" s="16" t="s">
        <v>97</v>
      </c>
      <c r="N140" s="16" t="s">
        <v>37</v>
      </c>
      <c r="O140" s="16" t="s">
        <v>126</v>
      </c>
      <c r="Q140" s="9">
        <v>6</v>
      </c>
      <c r="R140" s="9">
        <v>19</v>
      </c>
      <c r="S140" s="9">
        <v>19</v>
      </c>
      <c r="T140" s="9">
        <v>7</v>
      </c>
      <c r="U140" s="9">
        <v>6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19</v>
      </c>
      <c r="M141" s="16" t="s">
        <v>91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35</v>
      </c>
      <c r="M142" s="16" t="s">
        <v>127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22</v>
      </c>
      <c r="L143" s="16" t="s">
        <v>36</v>
      </c>
      <c r="M143" s="16" t="s">
        <v>91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37</v>
      </c>
      <c r="L144" s="16" t="s">
        <v>112</v>
      </c>
      <c r="M144" s="16" t="s">
        <v>112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36</v>
      </c>
      <c r="L145" s="16" t="s">
        <v>36</v>
      </c>
      <c r="M145" s="16" t="s">
        <v>92</v>
      </c>
      <c r="N145" s="16" t="s">
        <v>36</v>
      </c>
      <c r="O145" s="16" t="s">
        <v>18</v>
      </c>
      <c r="Q145" s="9">
        <v>10</v>
      </c>
      <c r="R145" s="9">
        <v>10</v>
      </c>
      <c r="S145" s="9">
        <v>16</v>
      </c>
      <c r="T145" s="9">
        <v>10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37</v>
      </c>
      <c r="L146" s="16" t="s">
        <v>92</v>
      </c>
      <c r="M146" s="16" t="s">
        <v>127</v>
      </c>
      <c r="N146" s="16" t="s">
        <v>36</v>
      </c>
      <c r="O146" s="16" t="s">
        <v>126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21</v>
      </c>
      <c r="M147" s="16" t="s">
        <v>91</v>
      </c>
      <c r="N147" s="16" t="s">
        <v>90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19</v>
      </c>
      <c r="L148" s="16" t="s">
        <v>22</v>
      </c>
      <c r="M148" s="16" t="s">
        <v>127</v>
      </c>
      <c r="N148" s="16" t="s">
        <v>127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34</v>
      </c>
      <c r="M149" s="16" t="s">
        <v>91</v>
      </c>
      <c r="N149" s="16" t="s">
        <v>112</v>
      </c>
      <c r="O149" s="16" t="s">
        <v>21</v>
      </c>
      <c r="Q149" s="9">
        <v>7</v>
      </c>
      <c r="R149" s="9">
        <v>9</v>
      </c>
      <c r="S149" s="9">
        <v>14</v>
      </c>
      <c r="T149" s="9">
        <v>17</v>
      </c>
      <c r="U149" s="9">
        <v>2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126</v>
      </c>
      <c r="L150" s="16" t="s">
        <v>37</v>
      </c>
      <c r="M150" s="16" t="s">
        <v>127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36</v>
      </c>
      <c r="M151" s="16" t="s">
        <v>91</v>
      </c>
      <c r="N151" s="16" t="s">
        <v>89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37</v>
      </c>
      <c r="L152" s="16" t="s">
        <v>89</v>
      </c>
      <c r="M152" s="16" t="s">
        <v>92</v>
      </c>
      <c r="N152" s="16" t="s">
        <v>36</v>
      </c>
      <c r="O152" s="16" t="s">
        <v>18</v>
      </c>
      <c r="Q152" s="9">
        <v>7</v>
      </c>
      <c r="R152" s="9">
        <v>12</v>
      </c>
      <c r="S152" s="9">
        <v>16</v>
      </c>
      <c r="T152" s="9">
        <v>10</v>
      </c>
      <c r="U152" s="9">
        <v>4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126</v>
      </c>
      <c r="L153" s="16" t="s">
        <v>126</v>
      </c>
      <c r="M153" s="16" t="s">
        <v>127</v>
      </c>
      <c r="N153" s="16" t="s">
        <v>37</v>
      </c>
      <c r="O153" s="16" t="s">
        <v>21</v>
      </c>
      <c r="Q153" s="9">
        <v>6</v>
      </c>
      <c r="R153" s="9">
        <v>6</v>
      </c>
      <c r="S153" s="9">
        <v>15</v>
      </c>
      <c r="T153" s="9">
        <v>7</v>
      </c>
      <c r="U153" s="9">
        <v>2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97</v>
      </c>
      <c r="M154" s="16" t="s">
        <v>112</v>
      </c>
      <c r="N154" s="16" t="s">
        <v>34</v>
      </c>
      <c r="O154" s="16" t="s">
        <v>22</v>
      </c>
      <c r="Q154" s="9">
        <v>7</v>
      </c>
      <c r="R154" s="9">
        <v>19</v>
      </c>
      <c r="S154" s="9">
        <v>17</v>
      </c>
      <c r="T154" s="9">
        <v>9</v>
      </c>
      <c r="U154" s="9">
        <v>3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35</v>
      </c>
      <c r="M155" s="16" t="s">
        <v>127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21</v>
      </c>
      <c r="M156" s="16" t="s">
        <v>112</v>
      </c>
      <c r="N156" s="16" t="s">
        <v>20</v>
      </c>
      <c r="O156" s="16" t="s">
        <v>34</v>
      </c>
      <c r="Q156" s="9">
        <v>7</v>
      </c>
      <c r="R156" s="9">
        <v>2</v>
      </c>
      <c r="S156" s="9">
        <v>17</v>
      </c>
      <c r="T156" s="9">
        <v>1</v>
      </c>
      <c r="U156" s="9">
        <v>9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126</v>
      </c>
      <c r="L157" s="16" t="s">
        <v>37</v>
      </c>
      <c r="M157" s="16" t="s">
        <v>127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126</v>
      </c>
      <c r="M158" s="16" t="s">
        <v>92</v>
      </c>
      <c r="N158" s="16" t="s">
        <v>19</v>
      </c>
      <c r="O158" s="16" t="s">
        <v>126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95</v>
      </c>
      <c r="M159" s="16" t="s">
        <v>112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19</v>
      </c>
      <c r="L160" s="16" t="s">
        <v>112</v>
      </c>
      <c r="M160" s="16" t="s">
        <v>92</v>
      </c>
      <c r="N160" s="16" t="s">
        <v>34</v>
      </c>
      <c r="O160" s="16" t="s">
        <v>126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22</v>
      </c>
      <c r="M161" s="16" t="s">
        <v>112</v>
      </c>
      <c r="N161" s="16" t="s">
        <v>18</v>
      </c>
      <c r="O161" s="16" t="s">
        <v>19</v>
      </c>
      <c r="Q161" s="9">
        <v>8</v>
      </c>
      <c r="R161" s="9">
        <v>3</v>
      </c>
      <c r="S161" s="9">
        <v>17</v>
      </c>
      <c r="T161" s="9">
        <v>4</v>
      </c>
      <c r="U161" s="9">
        <v>5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37</v>
      </c>
      <c r="L162" s="16" t="s">
        <v>88</v>
      </c>
      <c r="M162" s="16" t="s">
        <v>92</v>
      </c>
      <c r="N162" s="16" t="s">
        <v>89</v>
      </c>
      <c r="O162" s="16" t="s">
        <v>19</v>
      </c>
      <c r="Q162" s="9">
        <v>7</v>
      </c>
      <c r="R162" s="9">
        <v>11</v>
      </c>
      <c r="S162" s="9">
        <v>16</v>
      </c>
      <c r="T162" s="9">
        <v>12</v>
      </c>
      <c r="U162" s="9">
        <v>5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126</v>
      </c>
      <c r="L163" s="16" t="s">
        <v>37</v>
      </c>
      <c r="M163" s="16" t="s">
        <v>112</v>
      </c>
      <c r="N163" s="16" t="s">
        <v>19</v>
      </c>
      <c r="O163" s="16" t="s">
        <v>36</v>
      </c>
      <c r="Q163" s="9">
        <v>6</v>
      </c>
      <c r="R163" s="9">
        <v>7</v>
      </c>
      <c r="S163" s="9">
        <v>17</v>
      </c>
      <c r="T163" s="9">
        <v>5</v>
      </c>
      <c r="U163" s="9">
        <v>10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37</v>
      </c>
      <c r="M164" s="16" t="s">
        <v>91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37</v>
      </c>
      <c r="M165" s="16" t="s">
        <v>112</v>
      </c>
      <c r="N165" s="16" t="s">
        <v>35</v>
      </c>
      <c r="O165" s="16" t="s">
        <v>35</v>
      </c>
      <c r="Q165" s="9">
        <v>8</v>
      </c>
      <c r="R165" s="9">
        <v>7</v>
      </c>
      <c r="S165" s="9">
        <v>17</v>
      </c>
      <c r="T165" s="9">
        <v>8</v>
      </c>
      <c r="U165" s="9">
        <v>8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37</v>
      </c>
      <c r="L166" s="16" t="s">
        <v>34</v>
      </c>
      <c r="M166" s="16" t="s">
        <v>91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35</v>
      </c>
      <c r="M167" s="16" t="s">
        <v>92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19</v>
      </c>
      <c r="M168" s="16" t="s">
        <v>112</v>
      </c>
      <c r="N168" s="16" t="s">
        <v>91</v>
      </c>
      <c r="O168" s="16" t="s">
        <v>36</v>
      </c>
      <c r="Q168" s="9">
        <v>5</v>
      </c>
      <c r="R168" s="9">
        <v>5</v>
      </c>
      <c r="S168" s="9">
        <v>17</v>
      </c>
      <c r="T168" s="9">
        <v>14</v>
      </c>
      <c r="U168" s="9">
        <v>10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19</v>
      </c>
      <c r="L169" s="16" t="s">
        <v>37</v>
      </c>
      <c r="M169" s="16" t="s">
        <v>92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126</v>
      </c>
      <c r="L170" s="16" t="s">
        <v>18</v>
      </c>
      <c r="M170" s="16" t="s">
        <v>91</v>
      </c>
      <c r="N170" s="16" t="s">
        <v>92</v>
      </c>
      <c r="O170" s="16" t="s">
        <v>126</v>
      </c>
      <c r="Q170" s="9">
        <v>6</v>
      </c>
      <c r="R170" s="9">
        <v>4</v>
      </c>
      <c r="S170" s="9">
        <v>14</v>
      </c>
      <c r="T170" s="9">
        <v>16</v>
      </c>
      <c r="U170" s="9">
        <v>6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92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126</v>
      </c>
      <c r="L172" s="16" t="s">
        <v>112</v>
      </c>
      <c r="M172" s="16" t="s">
        <v>112</v>
      </c>
      <c r="N172" s="16" t="s">
        <v>21</v>
      </c>
      <c r="O172" s="16" t="s">
        <v>34</v>
      </c>
      <c r="Q172" s="9">
        <v>6</v>
      </c>
      <c r="R172" s="9">
        <v>17</v>
      </c>
      <c r="S172" s="9">
        <v>17</v>
      </c>
      <c r="T172" s="9">
        <v>2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126</v>
      </c>
      <c r="L173" s="16" t="s">
        <v>126</v>
      </c>
      <c r="M173" s="16" t="s">
        <v>127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35</v>
      </c>
      <c r="L174" s="16" t="s">
        <v>90</v>
      </c>
      <c r="M174" s="16" t="s">
        <v>112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112</v>
      </c>
      <c r="M175" s="16" t="s">
        <v>91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35</v>
      </c>
      <c r="L176" s="16" t="s">
        <v>126</v>
      </c>
      <c r="M176" s="16" t="s">
        <v>112</v>
      </c>
      <c r="N176" s="16" t="s">
        <v>95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21</v>
      </c>
      <c r="M177" s="16" t="s">
        <v>127</v>
      </c>
      <c r="N177" s="16" t="s">
        <v>22</v>
      </c>
      <c r="O177" s="16" t="s">
        <v>126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37</v>
      </c>
      <c r="L178" s="16" t="s">
        <v>19</v>
      </c>
      <c r="M178" s="16" t="s">
        <v>92</v>
      </c>
      <c r="N178" s="16" t="s">
        <v>34</v>
      </c>
      <c r="O178" s="16" t="s">
        <v>126</v>
      </c>
      <c r="Q178" s="9">
        <v>7</v>
      </c>
      <c r="R178" s="9">
        <v>5</v>
      </c>
      <c r="S178" s="9">
        <v>16</v>
      </c>
      <c r="T178" s="9">
        <v>9</v>
      </c>
      <c r="U178" s="9">
        <v>6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126</v>
      </c>
      <c r="L179" s="16" t="s">
        <v>37</v>
      </c>
      <c r="M179" s="16" t="s">
        <v>90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126</v>
      </c>
      <c r="L180" s="16" t="s">
        <v>35</v>
      </c>
      <c r="M180" s="16" t="s">
        <v>112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19</v>
      </c>
      <c r="L181" s="16" t="s">
        <v>95</v>
      </c>
      <c r="M181" s="16" t="s">
        <v>89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37</v>
      </c>
      <c r="L182" s="16" t="s">
        <v>35</v>
      </c>
      <c r="M182" s="16" t="s">
        <v>91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126</v>
      </c>
      <c r="L183" s="16" t="s">
        <v>19</v>
      </c>
      <c r="M183" s="16" t="s">
        <v>127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37</v>
      </c>
      <c r="L184" s="16" t="s">
        <v>35</v>
      </c>
      <c r="M184" s="16" t="s">
        <v>112</v>
      </c>
      <c r="N184" s="16" t="s">
        <v>18</v>
      </c>
      <c r="O184" s="16" t="s">
        <v>18</v>
      </c>
      <c r="Q184" s="9">
        <v>7</v>
      </c>
      <c r="R184" s="9">
        <v>8</v>
      </c>
      <c r="S184" s="9">
        <v>17</v>
      </c>
      <c r="T184" s="9">
        <v>4</v>
      </c>
      <c r="U184" s="9">
        <v>4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19</v>
      </c>
      <c r="L185" s="16" t="s">
        <v>90</v>
      </c>
      <c r="M185" s="16" t="s">
        <v>92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37</v>
      </c>
      <c r="L186" s="16" t="s">
        <v>126</v>
      </c>
      <c r="M186" s="16" t="s">
        <v>91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126</v>
      </c>
      <c r="L187" s="16" t="s">
        <v>21</v>
      </c>
      <c r="M187" s="16" t="s">
        <v>127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19</v>
      </c>
      <c r="L188" s="16" t="s">
        <v>126</v>
      </c>
      <c r="M188" s="16" t="s">
        <v>92</v>
      </c>
      <c r="N188" s="16" t="s">
        <v>18</v>
      </c>
      <c r="O188" s="16" t="s">
        <v>36</v>
      </c>
      <c r="Q188" s="9">
        <v>5</v>
      </c>
      <c r="R188" s="9">
        <v>6</v>
      </c>
      <c r="S188" s="9">
        <v>16</v>
      </c>
      <c r="T188" s="9">
        <v>4</v>
      </c>
      <c r="U188" s="9">
        <v>10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126</v>
      </c>
      <c r="M189" s="16" t="s">
        <v>127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37</v>
      </c>
      <c r="L190" s="16" t="s">
        <v>126</v>
      </c>
      <c r="M190" s="16" t="s">
        <v>91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37</v>
      </c>
      <c r="M191" s="16" t="s">
        <v>112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92</v>
      </c>
      <c r="M192" s="16" t="s">
        <v>91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112</v>
      </c>
      <c r="M193" s="16" t="s">
        <v>127</v>
      </c>
      <c r="N193" s="16" t="s">
        <v>34</v>
      </c>
      <c r="O193" s="16" t="s">
        <v>18</v>
      </c>
      <c r="Q193" s="9">
        <v>5</v>
      </c>
      <c r="R193" s="9">
        <v>17</v>
      </c>
      <c r="S193" s="9">
        <v>15</v>
      </c>
      <c r="T193" s="9">
        <v>9</v>
      </c>
      <c r="U193" s="9">
        <v>4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90</v>
      </c>
      <c r="M194" s="16" t="s">
        <v>92</v>
      </c>
      <c r="N194" s="16" t="s">
        <v>35</v>
      </c>
      <c r="O194" s="16" t="s">
        <v>36</v>
      </c>
      <c r="Q194" s="9">
        <v>8</v>
      </c>
      <c r="R194" s="9">
        <v>13</v>
      </c>
      <c r="S194" s="9">
        <v>16</v>
      </c>
      <c r="T194" s="9">
        <v>8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37</v>
      </c>
      <c r="L195" s="16" t="s">
        <v>112</v>
      </c>
      <c r="M195" s="16" t="s">
        <v>91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126</v>
      </c>
      <c r="L196" s="16" t="s">
        <v>89</v>
      </c>
      <c r="M196" s="16" t="s">
        <v>112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20</v>
      </c>
      <c r="M197" s="16" t="s">
        <v>88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126</v>
      </c>
      <c r="M198" s="16" t="s">
        <v>127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19</v>
      </c>
      <c r="M199" s="16" t="s">
        <v>92</v>
      </c>
      <c r="N199" s="16" t="s">
        <v>20</v>
      </c>
      <c r="O199" s="16" t="s">
        <v>34</v>
      </c>
      <c r="Q199" s="9">
        <v>7</v>
      </c>
      <c r="R199" s="9">
        <v>5</v>
      </c>
      <c r="S199" s="9">
        <v>16</v>
      </c>
      <c r="T199" s="9">
        <v>1</v>
      </c>
      <c r="U199" s="9">
        <v>9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18</v>
      </c>
      <c r="M200" s="16" t="s">
        <v>127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18</v>
      </c>
      <c r="M201" s="16" t="s">
        <v>92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19</v>
      </c>
      <c r="L202" s="16" t="s">
        <v>91</v>
      </c>
      <c r="M202" s="16" t="s">
        <v>127</v>
      </c>
      <c r="N202" s="16" t="s">
        <v>127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126</v>
      </c>
      <c r="M203" s="16" t="s">
        <v>92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11" priority="39">
      <formula>_xlfn.LET(_xlpm.x, W4, AND(NOT(_xlfn.ISFORMULA(_xlpm.x)), _xlpm.x&lt;&gt;""))</formula>
    </cfRule>
  </conditionalFormatting>
  <conditionalFormatting sqref="W4:AA203">
    <cfRule type="expression" dxfId="110" priority="34">
      <formula>_xlfn.LET(_xlpm.x, W4, AND(NOT(_xlfn.ISFORMULA(_xlpm.x)), _xlpm.x&lt;&gt;""))</formula>
    </cfRule>
  </conditionalFormatting>
  <conditionalFormatting sqref="K1:K1048576">
    <cfRule type="cellIs" dxfId="109" priority="18" operator="equal">
      <formula>"C1"</formula>
    </cfRule>
    <cfRule type="cellIs" dxfId="108" priority="19" operator="between">
      <formula>"G1"</formula>
      <formula>"G5"</formula>
    </cfRule>
    <cfRule type="cellIs" dxfId="107" priority="21" operator="between">
      <formula>"M1"</formula>
      <formula>"M5"</formula>
    </cfRule>
  </conditionalFormatting>
  <conditionalFormatting sqref="L1:O1048576">
    <cfRule type="cellIs" dxfId="106" priority="14" operator="equal">
      <formula>"C1"</formula>
    </cfRule>
    <cfRule type="cellIs" dxfId="105" priority="15" operator="between">
      <formula>"G1"</formula>
      <formula>"G5"</formula>
    </cfRule>
    <cfRule type="cellIs" dxfId="104" priority="17" operator="between">
      <formula>"M1"</formula>
      <formula>"M5"</formula>
    </cfRule>
  </conditionalFormatting>
  <conditionalFormatting sqref="C28:G46 D27:G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{11DDA92D-097E-4AA6-8C41-A64FD112B3F5}</x14:id>
        </ext>
      </extLst>
    </cfRule>
  </conditionalFormatting>
  <conditionalFormatting sqref="D52:D54">
    <cfRule type="cellIs" dxfId="103" priority="9" operator="equal">
      <formula>"C1"</formula>
    </cfRule>
    <cfRule type="cellIs" dxfId="102" priority="10" operator="between">
      <formula>"G1"</formula>
      <formula>"G4"</formula>
    </cfRule>
    <cfRule type="cellIs" dxfId="101" priority="11" operator="between">
      <formula>"GA"</formula>
      <formula>"GQ"</formula>
    </cfRule>
    <cfRule type="cellIs" dxfId="100" priority="12" operator="between">
      <formula>"M1"</formula>
      <formula>"M4"</formula>
    </cfRule>
  </conditionalFormatting>
  <conditionalFormatting sqref="E52:E54">
    <cfRule type="cellIs" dxfId="99" priority="5" operator="equal">
      <formula>"C1"</formula>
    </cfRule>
    <cfRule type="cellIs" dxfId="98" priority="6" operator="between">
      <formula>"G1"</formula>
      <formula>"G4"</formula>
    </cfRule>
    <cfRule type="cellIs" dxfId="97" priority="7" operator="between">
      <formula>"GA"</formula>
      <formula>"GQ"</formula>
    </cfRule>
    <cfRule type="cellIs" dxfId="96" priority="8" operator="between">
      <formula>"M1"</formula>
      <formula>"M4"</formula>
    </cfRule>
  </conditionalFormatting>
  <conditionalFormatting sqref="F52:F54">
    <cfRule type="cellIs" dxfId="95" priority="1" operator="equal">
      <formula>"C1"</formula>
    </cfRule>
    <cfRule type="cellIs" dxfId="94" priority="2" operator="between">
      <formula>"G1"</formula>
      <formula>"G4"</formula>
    </cfRule>
    <cfRule type="cellIs" dxfId="93" priority="3" operator="between">
      <formula>"GA"</formula>
      <formula>"GQ"</formula>
    </cfRule>
    <cfRule type="cellIs" dxfId="92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DA92D-097E-4AA6-8C41-A64FD112B3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20" operator="containsText" id="{11E252AE-C834-47E3-A875-D94289C40F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6" operator="containsText" id="{6459DEBE-91DF-4AD5-B0B9-438EBD30833D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topLeftCell="Q1" workbookViewId="0">
      <selection activeCell="AD65" sqref="AD65:AH73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126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6</v>
      </c>
      <c r="D5" s="99">
        <f t="shared" si="0"/>
        <v>6</v>
      </c>
      <c r="E5" s="99">
        <f t="shared" si="0"/>
        <v>6</v>
      </c>
      <c r="F5" s="99">
        <f t="shared" si="0"/>
        <v>9</v>
      </c>
      <c r="G5" s="99">
        <f t="shared" si="0"/>
        <v>9</v>
      </c>
      <c r="H5" s="8">
        <v>1</v>
      </c>
      <c r="I5" s="87"/>
      <c r="J5" s="9">
        <v>1</v>
      </c>
      <c r="K5" s="16" t="s">
        <v>35</v>
      </c>
      <c r="L5" s="16" t="s">
        <v>97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0"/>
        <v>17</v>
      </c>
      <c r="E6" s="133">
        <f t="shared" si="0"/>
        <v>4</v>
      </c>
      <c r="F6" s="133">
        <f t="shared" si="0"/>
        <v>21</v>
      </c>
      <c r="G6" s="133">
        <f t="shared" si="0"/>
        <v>22</v>
      </c>
      <c r="H6" s="112">
        <v>2</v>
      </c>
      <c r="I6" s="87"/>
      <c r="J6" s="25">
        <v>2</v>
      </c>
      <c r="K6" s="16" t="s">
        <v>35</v>
      </c>
      <c r="L6" s="16" t="s">
        <v>89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0"/>
        <v>18</v>
      </c>
      <c r="E7" s="133">
        <f t="shared" si="0"/>
        <v>4</v>
      </c>
      <c r="F7" s="133">
        <f t="shared" si="0"/>
        <v>20</v>
      </c>
      <c r="G7" s="133">
        <f t="shared" si="0"/>
        <v>22</v>
      </c>
      <c r="H7" s="112">
        <v>3</v>
      </c>
      <c r="I7" s="87"/>
      <c r="J7" s="9">
        <v>3</v>
      </c>
      <c r="K7" s="16" t="s">
        <v>126</v>
      </c>
      <c r="L7" s="26" t="s">
        <v>127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6</v>
      </c>
      <c r="AE7" s="138">
        <v>6</v>
      </c>
      <c r="AF7" s="138">
        <v>6</v>
      </c>
      <c r="AG7" s="138">
        <v>9</v>
      </c>
      <c r="AH7" s="138">
        <v>9</v>
      </c>
      <c r="AI7" s="5"/>
      <c r="AJ7" s="138" t="str">
        <v>C1</v>
      </c>
      <c r="AK7" s="138">
        <v>6</v>
      </c>
      <c r="AL7" s="138">
        <v>6</v>
      </c>
      <c r="AM7" s="138">
        <v>6</v>
      </c>
      <c r="AN7" s="138">
        <v>9</v>
      </c>
      <c r="AO7" s="138">
        <v>9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18</v>
      </c>
      <c r="E8" s="133">
        <f t="shared" si="0"/>
        <v>4</v>
      </c>
      <c r="F8" s="133">
        <f t="shared" si="0"/>
        <v>20</v>
      </c>
      <c r="G8" s="133">
        <f t="shared" si="0"/>
        <v>21</v>
      </c>
      <c r="H8" s="112">
        <v>4</v>
      </c>
      <c r="I8" s="87"/>
      <c r="J8" s="25">
        <v>4</v>
      </c>
      <c r="K8" s="16" t="s">
        <v>35</v>
      </c>
      <c r="L8" s="16" t="s">
        <v>127</v>
      </c>
      <c r="M8" s="16" t="s">
        <v>19</v>
      </c>
      <c r="N8" s="16" t="s">
        <v>90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4</v>
      </c>
      <c r="AE8" s="133">
        <v>17</v>
      </c>
      <c r="AF8" s="133">
        <v>4</v>
      </c>
      <c r="AG8" s="133">
        <v>21</v>
      </c>
      <c r="AH8" s="133">
        <v>22</v>
      </c>
      <c r="AI8" s="5"/>
      <c r="AJ8" s="154" t="str">
        <v>M1</v>
      </c>
      <c r="AK8" s="133">
        <v>4</v>
      </c>
      <c r="AL8" s="133">
        <v>17</v>
      </c>
      <c r="AM8" s="133">
        <v>4</v>
      </c>
      <c r="AN8" s="133">
        <v>21</v>
      </c>
      <c r="AO8" s="133">
        <v>22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40</v>
      </c>
      <c r="D9" s="133">
        <f t="shared" si="0"/>
        <v>14</v>
      </c>
      <c r="E9" s="133">
        <f t="shared" si="0"/>
        <v>41</v>
      </c>
      <c r="F9" s="133">
        <f t="shared" si="0"/>
        <v>14</v>
      </c>
      <c r="G9" s="133">
        <f t="shared" si="0"/>
        <v>21</v>
      </c>
      <c r="H9" s="112">
        <v>5</v>
      </c>
      <c r="I9" s="87"/>
      <c r="J9" s="9">
        <v>5</v>
      </c>
      <c r="K9" s="16" t="s">
        <v>37</v>
      </c>
      <c r="L9" s="16" t="s">
        <v>112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4</v>
      </c>
      <c r="AE9" s="133">
        <v>18</v>
      </c>
      <c r="AF9" s="133">
        <v>4</v>
      </c>
      <c r="AG9" s="133">
        <v>20</v>
      </c>
      <c r="AH9" s="133">
        <v>22</v>
      </c>
      <c r="AI9" s="5"/>
      <c r="AJ9" s="154" t="str">
        <v>M2</v>
      </c>
      <c r="AK9" s="133">
        <v>4</v>
      </c>
      <c r="AL9" s="133">
        <v>18</v>
      </c>
      <c r="AM9" s="133">
        <v>4</v>
      </c>
      <c r="AN9" s="133">
        <v>20</v>
      </c>
      <c r="AO9" s="133">
        <v>22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40</v>
      </c>
      <c r="D10" s="133">
        <f t="shared" si="0"/>
        <v>14</v>
      </c>
      <c r="E10" s="133">
        <f t="shared" si="0"/>
        <v>41</v>
      </c>
      <c r="F10" s="133">
        <f t="shared" si="0"/>
        <v>14</v>
      </c>
      <c r="G10" s="133">
        <f t="shared" si="0"/>
        <v>21</v>
      </c>
      <c r="H10" s="112">
        <v>6</v>
      </c>
      <c r="I10" s="87"/>
      <c r="J10" s="25">
        <v>6</v>
      </c>
      <c r="K10" s="16" t="s">
        <v>126</v>
      </c>
      <c r="L10" s="16" t="s">
        <v>126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18</v>
      </c>
      <c r="AF10" s="133">
        <v>4</v>
      </c>
      <c r="AG10" s="133">
        <v>20</v>
      </c>
      <c r="AH10" s="133">
        <v>21</v>
      </c>
      <c r="AI10" s="5"/>
      <c r="AJ10" s="154" t="str">
        <v>M3</v>
      </c>
      <c r="AK10" s="133">
        <v>4</v>
      </c>
      <c r="AL10" s="133">
        <v>18</v>
      </c>
      <c r="AM10" s="133">
        <v>4</v>
      </c>
      <c r="AN10" s="133">
        <v>20</v>
      </c>
      <c r="AO10" s="133">
        <v>21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0"/>
        <v>13</v>
      </c>
      <c r="E11" s="133">
        <f t="shared" si="0"/>
        <v>41</v>
      </c>
      <c r="F11" s="133">
        <f t="shared" si="0"/>
        <v>14</v>
      </c>
      <c r="G11" s="133">
        <f t="shared" si="0"/>
        <v>21</v>
      </c>
      <c r="H11" s="112">
        <v>7</v>
      </c>
      <c r="I11" s="87"/>
      <c r="J11" s="9">
        <v>7</v>
      </c>
      <c r="K11" s="16" t="s">
        <v>126</v>
      </c>
      <c r="L11" s="16" t="s">
        <v>126</v>
      </c>
      <c r="M11" s="16" t="s">
        <v>37</v>
      </c>
      <c r="N11" s="16" t="s">
        <v>37</v>
      </c>
      <c r="O11" s="16" t="s">
        <v>126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40</v>
      </c>
      <c r="AE11" s="133">
        <v>14</v>
      </c>
      <c r="AF11" s="133">
        <v>41</v>
      </c>
      <c r="AG11" s="133">
        <v>14</v>
      </c>
      <c r="AH11" s="133">
        <v>21</v>
      </c>
      <c r="AI11" s="5"/>
      <c r="AJ11" s="154" t="str">
        <v>M4</v>
      </c>
      <c r="AK11" s="133">
        <v>40</v>
      </c>
      <c r="AL11" s="133">
        <v>14</v>
      </c>
      <c r="AM11" s="133">
        <v>41</v>
      </c>
      <c r="AN11" s="133">
        <v>14</v>
      </c>
      <c r="AO11" s="133">
        <v>21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13</v>
      </c>
      <c r="E12" s="133">
        <f t="shared" si="0"/>
        <v>41</v>
      </c>
      <c r="F12" s="133">
        <f t="shared" si="0"/>
        <v>14</v>
      </c>
      <c r="G12" s="133">
        <f t="shared" si="0"/>
        <v>21</v>
      </c>
      <c r="H12" s="112">
        <v>8</v>
      </c>
      <c r="I12" s="87"/>
      <c r="J12" s="25">
        <v>8</v>
      </c>
      <c r="K12" s="16" t="s">
        <v>37</v>
      </c>
      <c r="L12" s="16" t="s">
        <v>89</v>
      </c>
      <c r="M12" s="16" t="s">
        <v>127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40</v>
      </c>
      <c r="AE12" s="133">
        <v>14</v>
      </c>
      <c r="AF12" s="133">
        <v>41</v>
      </c>
      <c r="AG12" s="133">
        <v>14</v>
      </c>
      <c r="AH12" s="133">
        <v>21</v>
      </c>
      <c r="AI12" s="5"/>
      <c r="AJ12" s="154" t="str">
        <v>M5</v>
      </c>
      <c r="AK12" s="133">
        <v>40</v>
      </c>
      <c r="AL12" s="133">
        <v>14</v>
      </c>
      <c r="AM12" s="133">
        <v>41</v>
      </c>
      <c r="AN12" s="133">
        <v>14</v>
      </c>
      <c r="AO12" s="133">
        <v>21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0"/>
        <v>17</v>
      </c>
      <c r="E13" s="133">
        <f t="shared" si="0"/>
        <v>3</v>
      </c>
      <c r="F13" s="133">
        <f t="shared" si="0"/>
        <v>21</v>
      </c>
      <c r="G13" s="133">
        <f t="shared" si="0"/>
        <v>21</v>
      </c>
      <c r="H13" s="112">
        <v>9</v>
      </c>
      <c r="I13" s="87"/>
      <c r="J13" s="9">
        <v>9</v>
      </c>
      <c r="K13" s="16" t="s">
        <v>126</v>
      </c>
      <c r="L13" s="16" t="s">
        <v>20</v>
      </c>
      <c r="M13" s="16" t="s">
        <v>37</v>
      </c>
      <c r="N13" s="16" t="s">
        <v>126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13</v>
      </c>
      <c r="AF13" s="133">
        <v>41</v>
      </c>
      <c r="AG13" s="133">
        <v>14</v>
      </c>
      <c r="AH13" s="133">
        <v>21</v>
      </c>
      <c r="AI13" s="5"/>
      <c r="AJ13" s="154" t="str">
        <v>A</v>
      </c>
      <c r="AK13" s="133">
        <v>47</v>
      </c>
      <c r="AL13" s="133">
        <v>13</v>
      </c>
      <c r="AM13" s="133">
        <v>41</v>
      </c>
      <c r="AN13" s="133">
        <v>14</v>
      </c>
      <c r="AO13" s="133">
        <v>21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17</v>
      </c>
      <c r="E14" s="133">
        <f t="shared" si="0"/>
        <v>3</v>
      </c>
      <c r="F14" s="133">
        <f t="shared" si="0"/>
        <v>21</v>
      </c>
      <c r="G14" s="133">
        <f t="shared" si="0"/>
        <v>21</v>
      </c>
      <c r="H14" s="112">
        <v>10</v>
      </c>
      <c r="I14" s="87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13</v>
      </c>
      <c r="AF14" s="133">
        <v>41</v>
      </c>
      <c r="AG14" s="133">
        <v>14</v>
      </c>
      <c r="AH14" s="133">
        <v>21</v>
      </c>
      <c r="AI14" s="5"/>
      <c r="AJ14" s="154" t="str">
        <v>K</v>
      </c>
      <c r="AK14" s="133">
        <v>47</v>
      </c>
      <c r="AL14" s="133">
        <v>13</v>
      </c>
      <c r="AM14" s="133">
        <v>41</v>
      </c>
      <c r="AN14" s="133">
        <v>14</v>
      </c>
      <c r="AO14" s="133">
        <v>21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7</v>
      </c>
      <c r="E15" s="99">
        <f t="shared" si="0"/>
        <v>0</v>
      </c>
      <c r="F15" s="99">
        <f t="shared" si="0"/>
        <v>4</v>
      </c>
      <c r="G15" s="99">
        <f t="shared" si="0"/>
        <v>0</v>
      </c>
      <c r="H15" s="8">
        <v>11</v>
      </c>
      <c r="I15" s="87"/>
      <c r="J15" s="9">
        <v>11</v>
      </c>
      <c r="K15" s="16" t="s">
        <v>126</v>
      </c>
      <c r="L15" s="16" t="s">
        <v>97</v>
      </c>
      <c r="M15" s="16" t="s">
        <v>126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17</v>
      </c>
      <c r="AF15" s="133">
        <v>3</v>
      </c>
      <c r="AG15" s="133">
        <v>21</v>
      </c>
      <c r="AH15" s="133">
        <v>21</v>
      </c>
      <c r="AI15" s="5"/>
      <c r="AJ15" s="154" t="str">
        <v>Q</v>
      </c>
      <c r="AK15" s="133">
        <v>4</v>
      </c>
      <c r="AL15" s="133">
        <v>17</v>
      </c>
      <c r="AM15" s="133">
        <v>3</v>
      </c>
      <c r="AN15" s="133">
        <v>21</v>
      </c>
      <c r="AO15" s="133">
        <v>21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7</v>
      </c>
      <c r="E16" s="99">
        <f t="shared" si="0"/>
        <v>0</v>
      </c>
      <c r="F16" s="99">
        <f t="shared" si="0"/>
        <v>4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95</v>
      </c>
      <c r="M16" s="16" t="s">
        <v>126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17</v>
      </c>
      <c r="AF16" s="133">
        <v>3</v>
      </c>
      <c r="AG16" s="133">
        <v>21</v>
      </c>
      <c r="AH16" s="133">
        <v>21</v>
      </c>
      <c r="AI16" s="5"/>
      <c r="AJ16" s="154" t="str">
        <v>J</v>
      </c>
      <c r="AK16" s="133">
        <v>4</v>
      </c>
      <c r="AL16" s="133">
        <v>17</v>
      </c>
      <c r="AM16" s="133">
        <v>3</v>
      </c>
      <c r="AN16" s="133">
        <v>21</v>
      </c>
      <c r="AO16" s="133">
        <v>21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7</v>
      </c>
      <c r="E17" s="99">
        <f t="shared" si="0"/>
        <v>0</v>
      </c>
      <c r="F17" s="99">
        <f t="shared" si="0"/>
        <v>4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126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8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8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4</v>
      </c>
      <c r="E18" s="99">
        <f t="shared" si="0"/>
        <v>3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126</v>
      </c>
      <c r="L18" s="16" t="s">
        <v>88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8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8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4</v>
      </c>
      <c r="E19" s="99">
        <f t="shared" si="0"/>
        <v>3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8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8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4</v>
      </c>
      <c r="E20" s="99">
        <f t="shared" si="0"/>
        <v>3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88</v>
      </c>
      <c r="M20" s="16" t="s">
        <v>21</v>
      </c>
      <c r="N20" s="16" t="s">
        <v>95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5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5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4</v>
      </c>
      <c r="E21" s="99">
        <f t="shared" si="0"/>
        <v>3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126</v>
      </c>
      <c r="M21" s="16" t="s">
        <v>36</v>
      </c>
      <c r="N21" s="16" t="s">
        <v>34</v>
      </c>
      <c r="O21" s="16" t="s">
        <v>126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5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5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8</v>
      </c>
      <c r="E22" s="99">
        <f t="shared" si="0"/>
        <v>0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126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5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5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8</v>
      </c>
      <c r="E23" s="99">
        <f t="shared" si="0"/>
        <v>0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126</v>
      </c>
      <c r="L23" s="16" t="s">
        <v>19</v>
      </c>
      <c r="M23" s="16" t="s">
        <v>126</v>
      </c>
      <c r="N23" s="16" t="s">
        <v>92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5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5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112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9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9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112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9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9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0.73499999999999999</v>
      </c>
      <c r="E26" s="181">
        <f t="shared" si="1"/>
        <v>0.94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0.26500000000000001</v>
      </c>
      <c r="E27" s="181">
        <f t="shared" si="2"/>
        <v>0.06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35</v>
      </c>
      <c r="L27" s="16" t="s">
        <v>18</v>
      </c>
      <c r="M27" s="16" t="s">
        <v>126</v>
      </c>
      <c r="N27" s="16" t="s">
        <v>20</v>
      </c>
      <c r="O27" s="16" t="s">
        <v>126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97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35</v>
      </c>
      <c r="M30" s="16" t="s">
        <v>126</v>
      </c>
      <c r="N30" s="16" t="s">
        <v>36</v>
      </c>
      <c r="O30" s="16" t="s">
        <v>126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19</v>
      </c>
      <c r="L31" s="16" t="s">
        <v>95</v>
      </c>
      <c r="M31" s="16" t="s">
        <v>37</v>
      </c>
      <c r="N31" s="16" t="s">
        <v>97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3</v>
      </c>
      <c r="AE31" s="138">
        <v>3</v>
      </c>
      <c r="AF31" s="138">
        <v>3</v>
      </c>
      <c r="AG31" s="138">
        <v>6</v>
      </c>
      <c r="AH31" s="138">
        <v>6</v>
      </c>
      <c r="AI31" s="5"/>
      <c r="AJ31" s="138" t="str">
        <v>C1</v>
      </c>
      <c r="AK31" s="138">
        <v>3</v>
      </c>
      <c r="AL31" s="138">
        <v>3</v>
      </c>
      <c r="AM31" s="138">
        <v>3</v>
      </c>
      <c r="AN31" s="138">
        <v>6</v>
      </c>
      <c r="AO31" s="138">
        <v>6</v>
      </c>
    </row>
    <row r="32" spans="1:41" ht="16.5" customHeight="1" x14ac:dyDescent="0.3">
      <c r="J32" s="25">
        <v>28</v>
      </c>
      <c r="K32" s="16" t="s">
        <v>35</v>
      </c>
      <c r="L32" s="16" t="s">
        <v>91</v>
      </c>
      <c r="M32" s="16" t="s">
        <v>126</v>
      </c>
      <c r="N32" s="16" t="s">
        <v>88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17</v>
      </c>
      <c r="AF32" s="133">
        <v>4</v>
      </c>
      <c r="AG32" s="133">
        <v>21</v>
      </c>
      <c r="AH32" s="133">
        <v>22</v>
      </c>
      <c r="AI32" s="5"/>
      <c r="AJ32" s="154" t="str">
        <v>M1</v>
      </c>
      <c r="AK32" s="133">
        <v>4</v>
      </c>
      <c r="AL32" s="133">
        <v>17</v>
      </c>
      <c r="AM32" s="133">
        <v>4</v>
      </c>
      <c r="AN32" s="133">
        <v>21</v>
      </c>
      <c r="AO32" s="133">
        <v>22</v>
      </c>
    </row>
    <row r="33" spans="10:41" ht="16.5" customHeight="1" x14ac:dyDescent="0.3">
      <c r="J33" s="9">
        <v>29</v>
      </c>
      <c r="K33" s="16" t="s">
        <v>21</v>
      </c>
      <c r="L33" s="16" t="s">
        <v>90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18</v>
      </c>
      <c r="AF33" s="133">
        <v>4</v>
      </c>
      <c r="AG33" s="133">
        <v>20</v>
      </c>
      <c r="AH33" s="133">
        <v>22</v>
      </c>
      <c r="AI33" s="5"/>
      <c r="AJ33" s="154" t="str">
        <v>M2</v>
      </c>
      <c r="AK33" s="133">
        <v>4</v>
      </c>
      <c r="AL33" s="133">
        <v>18</v>
      </c>
      <c r="AM33" s="133">
        <v>4</v>
      </c>
      <c r="AN33" s="133">
        <v>20</v>
      </c>
      <c r="AO33" s="133">
        <v>22</v>
      </c>
    </row>
    <row r="34" spans="10:41" ht="16.5" customHeight="1" x14ac:dyDescent="0.3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18</v>
      </c>
      <c r="AF34" s="133">
        <v>4</v>
      </c>
      <c r="AG34" s="133">
        <v>20</v>
      </c>
      <c r="AH34" s="133">
        <v>21</v>
      </c>
      <c r="AI34" s="5"/>
      <c r="AJ34" s="154" t="str">
        <v>M3</v>
      </c>
      <c r="AK34" s="133">
        <v>4</v>
      </c>
      <c r="AL34" s="133">
        <v>18</v>
      </c>
      <c r="AM34" s="133">
        <v>4</v>
      </c>
      <c r="AN34" s="133">
        <v>20</v>
      </c>
      <c r="AO34" s="133">
        <v>21</v>
      </c>
    </row>
    <row r="35" spans="10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126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40</v>
      </c>
      <c r="AE35" s="133">
        <v>14</v>
      </c>
      <c r="AF35" s="133">
        <v>41</v>
      </c>
      <c r="AG35" s="133">
        <v>14</v>
      </c>
      <c r="AH35" s="133">
        <v>21</v>
      </c>
      <c r="AI35" s="5"/>
      <c r="AJ35" s="154" t="str">
        <v>M4</v>
      </c>
      <c r="AK35" s="133">
        <v>40</v>
      </c>
      <c r="AL35" s="133">
        <v>14</v>
      </c>
      <c r="AM35" s="133">
        <v>41</v>
      </c>
      <c r="AN35" s="133">
        <v>14</v>
      </c>
      <c r="AO35" s="133">
        <v>21</v>
      </c>
    </row>
    <row r="36" spans="10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126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40</v>
      </c>
      <c r="AE36" s="133">
        <v>14</v>
      </c>
      <c r="AF36" s="133">
        <v>41</v>
      </c>
      <c r="AG36" s="133">
        <v>14</v>
      </c>
      <c r="AH36" s="133">
        <v>21</v>
      </c>
      <c r="AI36" s="5"/>
      <c r="AJ36" s="154" t="str">
        <v>M5</v>
      </c>
      <c r="AK36" s="133">
        <v>40</v>
      </c>
      <c r="AL36" s="133">
        <v>14</v>
      </c>
      <c r="AM36" s="133">
        <v>41</v>
      </c>
      <c r="AN36" s="133">
        <v>14</v>
      </c>
      <c r="AO36" s="133">
        <v>21</v>
      </c>
    </row>
    <row r="37" spans="10:41" ht="16.5" customHeight="1" x14ac:dyDescent="0.3">
      <c r="J37" s="9">
        <v>33</v>
      </c>
      <c r="K37" s="16" t="s">
        <v>19</v>
      </c>
      <c r="L37" s="16" t="s">
        <v>35</v>
      </c>
      <c r="M37" s="16" t="s">
        <v>35</v>
      </c>
      <c r="N37" s="16" t="s">
        <v>92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13</v>
      </c>
      <c r="AF37" s="133">
        <v>41</v>
      </c>
      <c r="AG37" s="133">
        <v>14</v>
      </c>
      <c r="AH37" s="133">
        <v>21</v>
      </c>
      <c r="AI37" s="5"/>
      <c r="AJ37" s="154" t="str">
        <v>A</v>
      </c>
      <c r="AK37" s="133">
        <v>47</v>
      </c>
      <c r="AL37" s="133">
        <v>13</v>
      </c>
      <c r="AM37" s="133">
        <v>41</v>
      </c>
      <c r="AN37" s="133">
        <v>14</v>
      </c>
      <c r="AO37" s="133">
        <v>21</v>
      </c>
    </row>
    <row r="38" spans="10:41" ht="16.5" customHeight="1" x14ac:dyDescent="0.3">
      <c r="J38" s="25">
        <v>34</v>
      </c>
      <c r="K38" s="16" t="s">
        <v>126</v>
      </c>
      <c r="L38" s="16" t="s">
        <v>89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13</v>
      </c>
      <c r="AF38" s="133">
        <v>41</v>
      </c>
      <c r="AG38" s="133">
        <v>14</v>
      </c>
      <c r="AH38" s="133">
        <v>21</v>
      </c>
      <c r="AI38" s="5"/>
      <c r="AJ38" s="154" t="str">
        <v>K</v>
      </c>
      <c r="AK38" s="133">
        <v>47</v>
      </c>
      <c r="AL38" s="133">
        <v>13</v>
      </c>
      <c r="AM38" s="133">
        <v>41</v>
      </c>
      <c r="AN38" s="133">
        <v>14</v>
      </c>
      <c r="AO38" s="133">
        <v>21</v>
      </c>
    </row>
    <row r="39" spans="10:41" ht="16.5" customHeight="1" x14ac:dyDescent="0.3">
      <c r="J39" s="9">
        <v>35</v>
      </c>
      <c r="K39" s="16" t="s">
        <v>126</v>
      </c>
      <c r="L39" s="16" t="s">
        <v>37</v>
      </c>
      <c r="M39" s="16" t="s">
        <v>126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17</v>
      </c>
      <c r="AF39" s="133">
        <v>3</v>
      </c>
      <c r="AG39" s="133">
        <v>21</v>
      </c>
      <c r="AH39" s="133">
        <v>21</v>
      </c>
      <c r="AI39" s="5"/>
      <c r="AJ39" s="154" t="str">
        <v>Q</v>
      </c>
      <c r="AK39" s="133">
        <v>4</v>
      </c>
      <c r="AL39" s="133">
        <v>17</v>
      </c>
      <c r="AM39" s="133">
        <v>3</v>
      </c>
      <c r="AN39" s="133">
        <v>21</v>
      </c>
      <c r="AO39" s="133">
        <v>21</v>
      </c>
    </row>
    <row r="40" spans="10:41" ht="16.5" customHeight="1" x14ac:dyDescent="0.3">
      <c r="J40" s="25">
        <v>36</v>
      </c>
      <c r="K40" s="16" t="s">
        <v>37</v>
      </c>
      <c r="L40" s="16" t="s">
        <v>92</v>
      </c>
      <c r="M40" s="16" t="s">
        <v>35</v>
      </c>
      <c r="N40" s="16" t="s">
        <v>91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17</v>
      </c>
      <c r="AF40" s="133">
        <v>3</v>
      </c>
      <c r="AG40" s="133">
        <v>21</v>
      </c>
      <c r="AH40" s="133">
        <v>21</v>
      </c>
      <c r="AI40" s="5"/>
      <c r="AJ40" s="154" t="str">
        <v>J</v>
      </c>
      <c r="AK40" s="133">
        <v>4</v>
      </c>
      <c r="AL40" s="133">
        <v>17</v>
      </c>
      <c r="AM40" s="133">
        <v>3</v>
      </c>
      <c r="AN40" s="133">
        <v>21</v>
      </c>
      <c r="AO40" s="133">
        <v>21</v>
      </c>
    </row>
    <row r="41" spans="10:41" ht="16.5" customHeight="1" x14ac:dyDescent="0.3">
      <c r="J41" s="9">
        <v>37</v>
      </c>
      <c r="K41" s="16" t="s">
        <v>19</v>
      </c>
      <c r="L41" s="16" t="s">
        <v>92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8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8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126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8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8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126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8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8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112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5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5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126</v>
      </c>
      <c r="L45" s="16" t="s">
        <v>36</v>
      </c>
      <c r="M45" s="16" t="s">
        <v>126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5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5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126</v>
      </c>
      <c r="L46" s="16" t="s">
        <v>126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5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5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126</v>
      </c>
      <c r="L47" s="16" t="s">
        <v>95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5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5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9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9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126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9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9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197</v>
      </c>
      <c r="AE50" s="113">
        <f>SUM(AE30:AE49)</f>
        <v>206</v>
      </c>
      <c r="AF50" s="113">
        <f>SUM(AF30:AF49)</f>
        <v>206</v>
      </c>
      <c r="AG50" s="113">
        <f>SUM(AG30:AG49)</f>
        <v>206</v>
      </c>
      <c r="AH50" s="113">
        <f>SUM(AH30:AH49)</f>
        <v>197</v>
      </c>
      <c r="AI50" s="5"/>
      <c r="AK50" s="113">
        <f>SUM(AK30:AK49)</f>
        <v>197</v>
      </c>
      <c r="AL50" s="113">
        <f>SUM(AL30:AL49)</f>
        <v>206</v>
      </c>
      <c r="AM50" s="113">
        <f>SUM(AM30:AM49)</f>
        <v>206</v>
      </c>
      <c r="AN50" s="113">
        <f>SUM(AN30:AN49)</f>
        <v>206</v>
      </c>
      <c r="AO50" s="113">
        <f>SUM(AO30:AO49)</f>
        <v>197</v>
      </c>
    </row>
    <row r="51" spans="10:41" ht="16.5" customHeight="1" x14ac:dyDescent="0.3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126</v>
      </c>
      <c r="L55" s="16" t="s">
        <v>35</v>
      </c>
      <c r="M55" s="16" t="s">
        <v>35</v>
      </c>
      <c r="N55" s="16" t="s">
        <v>91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1</v>
      </c>
      <c r="AG55" s="138">
        <v>3</v>
      </c>
      <c r="AH55" s="138">
        <v>3</v>
      </c>
      <c r="AI55" s="5"/>
      <c r="AJ55" s="138" t="str">
        <v>C1</v>
      </c>
      <c r="AK55" s="138">
        <v>1</v>
      </c>
      <c r="AL55" s="138">
        <v>1</v>
      </c>
      <c r="AM55" s="138">
        <v>1</v>
      </c>
      <c r="AN55" s="138">
        <v>3</v>
      </c>
      <c r="AO55" s="138">
        <v>3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17</v>
      </c>
      <c r="AF56" s="133">
        <v>4</v>
      </c>
      <c r="AG56" s="133">
        <v>21</v>
      </c>
      <c r="AH56" s="133">
        <v>22</v>
      </c>
      <c r="AI56" s="5"/>
      <c r="AJ56" s="154" t="str">
        <v>M1</v>
      </c>
      <c r="AK56" s="133">
        <v>4</v>
      </c>
      <c r="AL56" s="133">
        <v>17</v>
      </c>
      <c r="AM56" s="133">
        <v>4</v>
      </c>
      <c r="AN56" s="133">
        <v>21</v>
      </c>
      <c r="AO56" s="133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126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18</v>
      </c>
      <c r="AF57" s="133">
        <v>4</v>
      </c>
      <c r="AG57" s="133">
        <v>20</v>
      </c>
      <c r="AH57" s="133">
        <v>22</v>
      </c>
      <c r="AI57" s="5"/>
      <c r="AJ57" s="154" t="str">
        <v>M2</v>
      </c>
      <c r="AK57" s="133">
        <v>4</v>
      </c>
      <c r="AL57" s="133">
        <v>18</v>
      </c>
      <c r="AM57" s="133">
        <v>4</v>
      </c>
      <c r="AN57" s="133">
        <v>20</v>
      </c>
      <c r="AO57" s="133">
        <v>22</v>
      </c>
    </row>
    <row r="58" spans="10:41" ht="16.5" customHeight="1" x14ac:dyDescent="0.3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88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18</v>
      </c>
      <c r="AF58" s="133">
        <v>4</v>
      </c>
      <c r="AG58" s="133">
        <v>20</v>
      </c>
      <c r="AH58" s="133">
        <v>21</v>
      </c>
      <c r="AI58" s="5"/>
      <c r="AJ58" s="154" t="str">
        <v>M3</v>
      </c>
      <c r="AK58" s="133">
        <v>4</v>
      </c>
      <c r="AL58" s="133">
        <v>18</v>
      </c>
      <c r="AM58" s="133">
        <v>4</v>
      </c>
      <c r="AN58" s="133">
        <v>20</v>
      </c>
      <c r="AO58" s="133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40</v>
      </c>
      <c r="AE59" s="133">
        <v>14</v>
      </c>
      <c r="AF59" s="133">
        <v>41</v>
      </c>
      <c r="AG59" s="133">
        <v>14</v>
      </c>
      <c r="AH59" s="133">
        <v>21</v>
      </c>
      <c r="AI59" s="5"/>
      <c r="AJ59" s="154" t="str">
        <v>M4</v>
      </c>
      <c r="AK59" s="133">
        <v>40</v>
      </c>
      <c r="AL59" s="133">
        <v>14</v>
      </c>
      <c r="AM59" s="133">
        <v>41</v>
      </c>
      <c r="AN59" s="133">
        <v>14</v>
      </c>
      <c r="AO59" s="133">
        <v>21</v>
      </c>
    </row>
    <row r="60" spans="10:41" ht="16.5" customHeight="1" x14ac:dyDescent="0.3">
      <c r="J60" s="25">
        <v>56</v>
      </c>
      <c r="K60" s="16" t="s">
        <v>19</v>
      </c>
      <c r="L60" s="16" t="s">
        <v>91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40</v>
      </c>
      <c r="AE60" s="133">
        <v>14</v>
      </c>
      <c r="AF60" s="133">
        <v>41</v>
      </c>
      <c r="AG60" s="133">
        <v>14</v>
      </c>
      <c r="AH60" s="133">
        <v>21</v>
      </c>
      <c r="AI60" s="5"/>
      <c r="AJ60" s="154" t="str">
        <v>M5</v>
      </c>
      <c r="AK60" s="133">
        <v>40</v>
      </c>
      <c r="AL60" s="133">
        <v>14</v>
      </c>
      <c r="AM60" s="133">
        <v>41</v>
      </c>
      <c r="AN60" s="133">
        <v>14</v>
      </c>
      <c r="AO60" s="133">
        <v>21</v>
      </c>
    </row>
    <row r="61" spans="10:41" x14ac:dyDescent="0.3">
      <c r="J61" s="9">
        <v>57</v>
      </c>
      <c r="K61" s="16" t="s">
        <v>126</v>
      </c>
      <c r="L61" s="16" t="s">
        <v>91</v>
      </c>
      <c r="M61" s="16" t="s">
        <v>126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13</v>
      </c>
      <c r="AF61" s="133">
        <v>41</v>
      </c>
      <c r="AG61" s="133">
        <v>14</v>
      </c>
      <c r="AH61" s="133">
        <v>21</v>
      </c>
      <c r="AI61" s="5"/>
      <c r="AJ61" s="154" t="str">
        <v>A</v>
      </c>
      <c r="AK61" s="133">
        <v>47</v>
      </c>
      <c r="AL61" s="133">
        <v>13</v>
      </c>
      <c r="AM61" s="133">
        <v>41</v>
      </c>
      <c r="AN61" s="133">
        <v>14</v>
      </c>
      <c r="AO61" s="133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126</v>
      </c>
      <c r="N62" s="16" t="s">
        <v>112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13</v>
      </c>
      <c r="AF62" s="133">
        <v>41</v>
      </c>
      <c r="AG62" s="133">
        <v>14</v>
      </c>
      <c r="AH62" s="133">
        <v>21</v>
      </c>
      <c r="AI62" s="5"/>
      <c r="AJ62" s="154" t="str">
        <v>K</v>
      </c>
      <c r="AK62" s="133">
        <v>47</v>
      </c>
      <c r="AL62" s="133">
        <v>13</v>
      </c>
      <c r="AM62" s="133">
        <v>41</v>
      </c>
      <c r="AN62" s="133">
        <v>14</v>
      </c>
      <c r="AO62" s="133">
        <v>21</v>
      </c>
    </row>
    <row r="63" spans="10:41" ht="16.5" customHeight="1" x14ac:dyDescent="0.3">
      <c r="J63" s="9">
        <v>59</v>
      </c>
      <c r="K63" s="16" t="s">
        <v>35</v>
      </c>
      <c r="L63" s="16" t="s">
        <v>90</v>
      </c>
      <c r="M63" s="16" t="s">
        <v>20</v>
      </c>
      <c r="N63" s="16" t="s">
        <v>95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17</v>
      </c>
      <c r="AF63" s="133">
        <v>3</v>
      </c>
      <c r="AG63" s="133">
        <v>21</v>
      </c>
      <c r="AH63" s="133">
        <v>21</v>
      </c>
      <c r="AI63" s="5"/>
      <c r="AJ63" s="154" t="str">
        <v>Q</v>
      </c>
      <c r="AK63" s="133">
        <v>4</v>
      </c>
      <c r="AL63" s="133">
        <v>17</v>
      </c>
      <c r="AM63" s="133">
        <v>3</v>
      </c>
      <c r="AN63" s="133">
        <v>21</v>
      </c>
      <c r="AO63" s="133">
        <v>21</v>
      </c>
    </row>
    <row r="64" spans="10:41" ht="16.5" customHeight="1" x14ac:dyDescent="0.3">
      <c r="J64" s="25">
        <v>60</v>
      </c>
      <c r="K64" s="16" t="s">
        <v>126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17</v>
      </c>
      <c r="AF64" s="133">
        <v>3</v>
      </c>
      <c r="AG64" s="133">
        <v>21</v>
      </c>
      <c r="AH64" s="133">
        <v>21</v>
      </c>
      <c r="AI64" s="5"/>
      <c r="AJ64" s="154" t="str">
        <v>J</v>
      </c>
      <c r="AK64" s="133">
        <v>4</v>
      </c>
      <c r="AL64" s="133">
        <v>17</v>
      </c>
      <c r="AM64" s="133">
        <v>3</v>
      </c>
      <c r="AN64" s="133">
        <v>21</v>
      </c>
      <c r="AO64" s="133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91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8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8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8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8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95</v>
      </c>
      <c r="M67" s="16" t="s">
        <v>126</v>
      </c>
      <c r="N67" s="16" t="s">
        <v>127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8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8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126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5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5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126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5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5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35</v>
      </c>
      <c r="M70" s="16" t="s">
        <v>127</v>
      </c>
      <c r="N70" s="16" t="s">
        <v>36</v>
      </c>
      <c r="O70" s="16" t="s">
        <v>126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5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5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88</v>
      </c>
      <c r="M71" s="16" t="s">
        <v>126</v>
      </c>
      <c r="N71" s="16" t="s">
        <v>88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5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5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126</v>
      </c>
      <c r="L72" s="16" t="s">
        <v>20</v>
      </c>
      <c r="M72" s="16" t="s">
        <v>35</v>
      </c>
      <c r="N72" s="16" t="s">
        <v>36</v>
      </c>
      <c r="O72" s="16" t="s">
        <v>126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9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9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36</v>
      </c>
      <c r="L73" s="16" t="s">
        <v>97</v>
      </c>
      <c r="M73" s="16" t="s">
        <v>126</v>
      </c>
      <c r="N73" s="16" t="s">
        <v>126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9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9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195</v>
      </c>
      <c r="AE74" s="113">
        <f>SUM(AE54:AE73)</f>
        <v>204</v>
      </c>
      <c r="AF74" s="113">
        <f>SUM(AF54:AF73)</f>
        <v>204</v>
      </c>
      <c r="AG74" s="113">
        <f>SUM(AG54:AG73)</f>
        <v>203</v>
      </c>
      <c r="AH74" s="113">
        <f>SUM(AH54:AH73)</f>
        <v>194</v>
      </c>
      <c r="AI74" s="5"/>
      <c r="AK74" s="113">
        <f>SUM(AK54:AK73)</f>
        <v>195</v>
      </c>
      <c r="AL74" s="113">
        <f>SUM(AL54:AL73)</f>
        <v>204</v>
      </c>
      <c r="AM74" s="113">
        <f>SUM(AM54:AM73)</f>
        <v>204</v>
      </c>
      <c r="AN74" s="113">
        <f>SUM(AN54:AN73)</f>
        <v>203</v>
      </c>
      <c r="AO74" s="113">
        <f>SUM(AO54:AO73)</f>
        <v>194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126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22</v>
      </c>
      <c r="M76" s="16" t="s">
        <v>91</v>
      </c>
      <c r="N76" s="16" t="s">
        <v>88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91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126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90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126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89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126</v>
      </c>
      <c r="L83" s="16" t="s">
        <v>36</v>
      </c>
      <c r="M83" s="16" t="s">
        <v>126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112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126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126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88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89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126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126</v>
      </c>
      <c r="L94" s="16" t="s">
        <v>36</v>
      </c>
      <c r="M94" s="16" t="s">
        <v>92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88</v>
      </c>
      <c r="M96" s="16" t="s">
        <v>126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112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89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88</v>
      </c>
      <c r="M102" s="16" t="s">
        <v>19</v>
      </c>
      <c r="N102" s="16" t="s">
        <v>19</v>
      </c>
      <c r="O102" s="16" t="s">
        <v>126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21</v>
      </c>
      <c r="L103" s="16" t="s">
        <v>127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126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126</v>
      </c>
      <c r="M106" s="16" t="s">
        <v>126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126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97</v>
      </c>
      <c r="M111" s="16" t="s">
        <v>20</v>
      </c>
      <c r="N111" s="16" t="s">
        <v>126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95</v>
      </c>
      <c r="M112" s="16" t="s">
        <v>127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126</v>
      </c>
      <c r="M113" s="16" t="s">
        <v>92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126</v>
      </c>
      <c r="L114" s="16" t="s">
        <v>112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126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126</v>
      </c>
      <c r="L117" s="16" t="s">
        <v>34</v>
      </c>
      <c r="M117" s="16" t="s">
        <v>112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90</v>
      </c>
      <c r="M118" s="16" t="s">
        <v>37</v>
      </c>
      <c r="N118" s="16" t="s">
        <v>22</v>
      </c>
      <c r="O118" s="16" t="s">
        <v>126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126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91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126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126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126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126</v>
      </c>
      <c r="L126" s="16" t="s">
        <v>34</v>
      </c>
      <c r="M126" s="16" t="s">
        <v>20</v>
      </c>
      <c r="N126" s="16" t="s">
        <v>90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89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97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95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126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126</v>
      </c>
      <c r="L132" s="16" t="s">
        <v>97</v>
      </c>
      <c r="M132" s="16" t="s">
        <v>37</v>
      </c>
      <c r="N132" s="16" t="s">
        <v>126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97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90</v>
      </c>
      <c r="M135" s="16" t="s">
        <v>37</v>
      </c>
      <c r="N135" s="16" t="s">
        <v>19</v>
      </c>
      <c r="O135" s="16" t="s">
        <v>126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92</v>
      </c>
      <c r="N136" s="16" t="s">
        <v>89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126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95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37</v>
      </c>
      <c r="M141" s="16" t="s">
        <v>126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112</v>
      </c>
      <c r="N142" s="16" t="s">
        <v>126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126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126</v>
      </c>
      <c r="L146" s="16" t="s">
        <v>126</v>
      </c>
      <c r="M146" s="16" t="s">
        <v>19</v>
      </c>
      <c r="N146" s="16" t="s">
        <v>19</v>
      </c>
      <c r="O146" s="16" t="s">
        <v>126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89</v>
      </c>
      <c r="M147" s="16" t="s">
        <v>126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126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126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126</v>
      </c>
      <c r="L151" s="16" t="s">
        <v>97</v>
      </c>
      <c r="M151" s="16" t="s">
        <v>126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90</v>
      </c>
      <c r="O153" s="16" t="s">
        <v>126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92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126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126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126</v>
      </c>
      <c r="L157" s="16" t="s">
        <v>21</v>
      </c>
      <c r="M157" s="16" t="s">
        <v>19</v>
      </c>
      <c r="N157" s="16" t="s">
        <v>92</v>
      </c>
      <c r="O157" s="16" t="s">
        <v>126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126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126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34</v>
      </c>
      <c r="L162" s="16" t="s">
        <v>36</v>
      </c>
      <c r="M162" s="16" t="s">
        <v>126</v>
      </c>
      <c r="N162" s="16" t="s">
        <v>34</v>
      </c>
      <c r="O162" s="16" t="s">
        <v>126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18</v>
      </c>
      <c r="M163" s="16" t="s">
        <v>126</v>
      </c>
      <c r="N163" s="16" t="s">
        <v>34</v>
      </c>
      <c r="O163" s="16" t="s">
        <v>126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88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126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90</v>
      </c>
      <c r="M168" s="16" t="s">
        <v>126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126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126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22</v>
      </c>
      <c r="M172" s="16" t="s">
        <v>126</v>
      </c>
      <c r="N172" s="16" t="s">
        <v>126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126</v>
      </c>
      <c r="L174" s="16" t="s">
        <v>37</v>
      </c>
      <c r="M174" s="16" t="s">
        <v>20</v>
      </c>
      <c r="N174" s="16" t="s">
        <v>126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126</v>
      </c>
      <c r="L176" s="16" t="s">
        <v>18</v>
      </c>
      <c r="M176" s="16" t="s">
        <v>35</v>
      </c>
      <c r="N176" s="16" t="s">
        <v>91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126</v>
      </c>
      <c r="L177" s="16" t="s">
        <v>90</v>
      </c>
      <c r="M177" s="16" t="s">
        <v>19</v>
      </c>
      <c r="N177" s="16" t="s">
        <v>95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126</v>
      </c>
      <c r="L178" s="16" t="s">
        <v>21</v>
      </c>
      <c r="M178" s="16" t="s">
        <v>35</v>
      </c>
      <c r="N178" s="16" t="s">
        <v>97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22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2</v>
      </c>
      <c r="S181" s="9">
        <v>7</v>
      </c>
      <c r="T181" s="9">
        <v>2</v>
      </c>
      <c r="U181" s="9">
        <v>10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126</v>
      </c>
      <c r="N183" s="16" t="s">
        <v>35</v>
      </c>
      <c r="O183" s="16" t="s">
        <v>126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127</v>
      </c>
      <c r="M184" s="16" t="s">
        <v>126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126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127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90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95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126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126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18</v>
      </c>
      <c r="M194" s="16" t="s">
        <v>126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126</v>
      </c>
      <c r="M195" s="16" t="s">
        <v>34</v>
      </c>
      <c r="N195" s="16" t="s">
        <v>97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126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92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126</v>
      </c>
      <c r="L200" s="16" t="s">
        <v>95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126</v>
      </c>
      <c r="N201" s="16" t="s">
        <v>34</v>
      </c>
      <c r="O201" s="16" t="s">
        <v>126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126</v>
      </c>
      <c r="L202" s="16" t="s">
        <v>19</v>
      </c>
      <c r="M202" s="16" t="s">
        <v>35</v>
      </c>
      <c r="N202" s="16" t="s">
        <v>127</v>
      </c>
      <c r="O202" s="16" t="s">
        <v>126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89</v>
      </c>
      <c r="M203" s="16" t="s">
        <v>35</v>
      </c>
      <c r="N203" s="16" t="s">
        <v>89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89" priority="31">
      <formula>_xlfn.LET(_xlpm.x, W4, AND(NOT(_xlfn.ISFORMULA(_xlpm.x)), _xlpm.x&lt;&gt;""))</formula>
    </cfRule>
  </conditionalFormatting>
  <conditionalFormatting sqref="W4:AA203">
    <cfRule type="expression" dxfId="88" priority="26">
      <formula>_xlfn.LET(_xlpm.x, W4, AND(NOT(_xlfn.ISFORMULA(_xlpm.x)), _xlpm.x&lt;&gt;""))</formula>
    </cfRule>
  </conditionalFormatting>
  <conditionalFormatting sqref="K1:O1048576">
    <cfRule type="cellIs" dxfId="87" priority="14" operator="equal">
      <formula>"C1"</formula>
    </cfRule>
    <cfRule type="cellIs" dxfId="86" priority="15" operator="between">
      <formula>"G1"</formula>
      <formula>"G5"</formula>
    </cfRule>
    <cfRule type="cellIs" dxfId="85" priority="17" operator="between">
      <formula>"M1"</formula>
      <formula>"M5"</formula>
    </cfRule>
  </conditionalFormatting>
  <conditionalFormatting sqref="F52:F54">
    <cfRule type="cellIs" dxfId="84" priority="1" operator="equal">
      <formula>"C1"</formula>
    </cfRule>
    <cfRule type="cellIs" dxfId="83" priority="2" operator="between">
      <formula>"G1"</formula>
      <formula>"G4"</formula>
    </cfRule>
    <cfRule type="cellIs" dxfId="82" priority="3" operator="between">
      <formula>"GA"</formula>
      <formula>"GQ"</formula>
    </cfRule>
    <cfRule type="cellIs" dxfId="81" priority="4" operator="between">
      <formula>"M1"</formula>
      <formula>"M4"</formula>
    </cfRule>
  </conditionalFormatting>
  <conditionalFormatting sqref="C28:G46 D27:G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{0857F1CA-D7B2-4634-894D-C3EB929F05FF}</x14:id>
        </ext>
      </extLst>
    </cfRule>
  </conditionalFormatting>
  <conditionalFormatting sqref="D52:D54">
    <cfRule type="cellIs" dxfId="80" priority="9" operator="equal">
      <formula>"C1"</formula>
    </cfRule>
    <cfRule type="cellIs" dxfId="79" priority="10" operator="between">
      <formula>"G1"</formula>
      <formula>"G4"</formula>
    </cfRule>
    <cfRule type="cellIs" dxfId="78" priority="11" operator="between">
      <formula>"GA"</formula>
      <formula>"GQ"</formula>
    </cfRule>
    <cfRule type="cellIs" dxfId="77" priority="12" operator="between">
      <formula>"M1"</formula>
      <formula>"M4"</formula>
    </cfRule>
  </conditionalFormatting>
  <conditionalFormatting sqref="E52:E54">
    <cfRule type="cellIs" dxfId="76" priority="5" operator="equal">
      <formula>"C1"</formula>
    </cfRule>
    <cfRule type="cellIs" dxfId="75" priority="6" operator="between">
      <formula>"G1"</formula>
      <formula>"G4"</formula>
    </cfRule>
    <cfRule type="cellIs" dxfId="74" priority="7" operator="between">
      <formula>"GA"</formula>
      <formula>"GQ"</formula>
    </cfRule>
    <cfRule type="cellIs" dxfId="73" priority="8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57F1CA-D7B2-4634-894D-C3EB929F0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16" operator="containsText" id="{1FBE36A8-8130-44F9-A928-4449139A0D5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topLeftCell="S56" workbookViewId="0">
      <selection activeCell="AD65" sqref="AD65:AH73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126</v>
      </c>
      <c r="M4" s="26" t="s">
        <v>91</v>
      </c>
      <c r="N4" s="26" t="s">
        <v>112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2</v>
      </c>
      <c r="D5" s="99">
        <f t="shared" si="0"/>
        <v>2</v>
      </c>
      <c r="E5" s="99">
        <f t="shared" si="0"/>
        <v>0</v>
      </c>
      <c r="F5" s="99">
        <f t="shared" si="0"/>
        <v>3</v>
      </c>
      <c r="G5" s="99">
        <f t="shared" si="0"/>
        <v>3</v>
      </c>
      <c r="H5" s="8">
        <v>1</v>
      </c>
      <c r="I5" s="87"/>
      <c r="J5" s="9">
        <v>1</v>
      </c>
      <c r="K5" s="16" t="s">
        <v>18</v>
      </c>
      <c r="L5" s="16" t="s">
        <v>127</v>
      </c>
      <c r="M5" s="16" t="s">
        <v>127</v>
      </c>
      <c r="N5" s="16" t="s">
        <v>35</v>
      </c>
      <c r="O5" s="16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126</v>
      </c>
      <c r="L6" s="16" t="s">
        <v>19</v>
      </c>
      <c r="M6" s="16" t="s">
        <v>112</v>
      </c>
      <c r="N6" s="16" t="s">
        <v>36</v>
      </c>
      <c r="O6" s="16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12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37</v>
      </c>
      <c r="L7" s="26" t="s">
        <v>37</v>
      </c>
      <c r="M7" s="16" t="s">
        <v>91</v>
      </c>
      <c r="N7" s="16" t="s">
        <v>19</v>
      </c>
      <c r="O7" s="16" t="s">
        <v>126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13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34</v>
      </c>
      <c r="L8" s="16" t="s">
        <v>19</v>
      </c>
      <c r="M8" s="16" t="s">
        <v>92</v>
      </c>
      <c r="N8" s="16" t="s">
        <v>36</v>
      </c>
      <c r="O8" s="16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22</v>
      </c>
      <c r="E9" s="133">
        <f t="shared" si="0"/>
        <v>0</v>
      </c>
      <c r="F9" s="133">
        <f t="shared" si="0"/>
        <v>31</v>
      </c>
      <c r="G9" s="133">
        <f t="shared" si="0"/>
        <v>36</v>
      </c>
      <c r="H9" s="112">
        <v>5</v>
      </c>
      <c r="I9" s="87"/>
      <c r="J9" s="9">
        <v>5</v>
      </c>
      <c r="K9" s="16" t="s">
        <v>35</v>
      </c>
      <c r="L9" s="16" t="s">
        <v>37</v>
      </c>
      <c r="M9" s="16" t="s">
        <v>112</v>
      </c>
      <c r="N9" s="16" t="s">
        <v>35</v>
      </c>
      <c r="O9" s="16" t="s">
        <v>126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12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12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22</v>
      </c>
      <c r="E10" s="133">
        <f t="shared" si="0"/>
        <v>0</v>
      </c>
      <c r="F10" s="133">
        <f t="shared" si="0"/>
        <v>27</v>
      </c>
      <c r="G10" s="133">
        <f t="shared" si="0"/>
        <v>34</v>
      </c>
      <c r="H10" s="112">
        <v>6</v>
      </c>
      <c r="I10" s="87"/>
      <c r="J10" s="25">
        <v>6</v>
      </c>
      <c r="K10" s="16" t="s">
        <v>18</v>
      </c>
      <c r="L10" s="16" t="s">
        <v>34</v>
      </c>
      <c r="M10" s="16" t="s">
        <v>92</v>
      </c>
      <c r="N10" s="16" t="s">
        <v>91</v>
      </c>
      <c r="O10" s="16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13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13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43</v>
      </c>
      <c r="D11" s="133">
        <f t="shared" si="0"/>
        <v>27</v>
      </c>
      <c r="E11" s="133">
        <f t="shared" si="0"/>
        <v>0</v>
      </c>
      <c r="F11" s="133">
        <f t="shared" si="0"/>
        <v>31</v>
      </c>
      <c r="G11" s="133">
        <f t="shared" si="0"/>
        <v>35</v>
      </c>
      <c r="H11" s="112">
        <v>7</v>
      </c>
      <c r="I11" s="87"/>
      <c r="J11" s="9">
        <v>7</v>
      </c>
      <c r="K11" s="16" t="s">
        <v>126</v>
      </c>
      <c r="L11" s="16" t="s">
        <v>95</v>
      </c>
      <c r="M11" s="16" t="s">
        <v>112</v>
      </c>
      <c r="N11" s="16" t="s">
        <v>112</v>
      </c>
      <c r="O11" s="16" t="s">
        <v>126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22</v>
      </c>
      <c r="AF11" s="133">
        <v>0</v>
      </c>
      <c r="AG11" s="133">
        <v>31</v>
      </c>
      <c r="AH11" s="133">
        <v>36</v>
      </c>
      <c r="AI11" s="5"/>
      <c r="AJ11" s="154" t="str">
        <v>M4</v>
      </c>
      <c r="AK11" s="133">
        <v>43</v>
      </c>
      <c r="AL11" s="133">
        <v>22</v>
      </c>
      <c r="AM11" s="133">
        <v>0</v>
      </c>
      <c r="AN11" s="133">
        <v>31</v>
      </c>
      <c r="AO11" s="133">
        <v>36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24</v>
      </c>
      <c r="E12" s="133">
        <f t="shared" si="0"/>
        <v>0</v>
      </c>
      <c r="F12" s="133">
        <f t="shared" si="0"/>
        <v>32</v>
      </c>
      <c r="G12" s="133">
        <f t="shared" si="0"/>
        <v>34</v>
      </c>
      <c r="H12" s="112">
        <v>8</v>
      </c>
      <c r="I12" s="87"/>
      <c r="J12" s="25">
        <v>8</v>
      </c>
      <c r="K12" s="16" t="s">
        <v>36</v>
      </c>
      <c r="L12" s="16" t="s">
        <v>22</v>
      </c>
      <c r="M12" s="16" t="s">
        <v>92</v>
      </c>
      <c r="N12" s="16" t="s">
        <v>37</v>
      </c>
      <c r="O12" s="16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22</v>
      </c>
      <c r="AF12" s="133">
        <v>0</v>
      </c>
      <c r="AG12" s="133">
        <v>27</v>
      </c>
      <c r="AH12" s="133">
        <v>34</v>
      </c>
      <c r="AI12" s="5"/>
      <c r="AJ12" s="154" t="str">
        <v>M5</v>
      </c>
      <c r="AK12" s="133">
        <v>42</v>
      </c>
      <c r="AL12" s="133">
        <v>22</v>
      </c>
      <c r="AM12" s="133">
        <v>0</v>
      </c>
      <c r="AN12" s="133">
        <v>27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12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21</v>
      </c>
      <c r="L13" s="16" t="s">
        <v>92</v>
      </c>
      <c r="M13" s="16" t="s">
        <v>127</v>
      </c>
      <c r="N13" s="16" t="s">
        <v>91</v>
      </c>
      <c r="O13" s="16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43</v>
      </c>
      <c r="AE13" s="133">
        <v>27</v>
      </c>
      <c r="AF13" s="133">
        <v>0</v>
      </c>
      <c r="AG13" s="133">
        <v>31</v>
      </c>
      <c r="AH13" s="133">
        <v>35</v>
      </c>
      <c r="AI13" s="5"/>
      <c r="AJ13" s="154" t="str">
        <v>A</v>
      </c>
      <c r="AK13" s="133">
        <v>43</v>
      </c>
      <c r="AL13" s="133">
        <v>27</v>
      </c>
      <c r="AM13" s="133">
        <v>0</v>
      </c>
      <c r="AN13" s="133">
        <v>31</v>
      </c>
      <c r="AO13" s="133">
        <v>35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7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37</v>
      </c>
      <c r="L14" s="16" t="s">
        <v>35</v>
      </c>
      <c r="M14" s="16" t="s">
        <v>92</v>
      </c>
      <c r="N14" s="16" t="s">
        <v>19</v>
      </c>
      <c r="O14" s="16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24</v>
      </c>
      <c r="AF14" s="133">
        <v>0</v>
      </c>
      <c r="AG14" s="133">
        <v>32</v>
      </c>
      <c r="AH14" s="133">
        <v>34</v>
      </c>
      <c r="AI14" s="5"/>
      <c r="AJ14" s="154" t="str">
        <v>K</v>
      </c>
      <c r="AK14" s="133">
        <v>43</v>
      </c>
      <c r="AL14" s="133">
        <v>24</v>
      </c>
      <c r="AM14" s="133">
        <v>0</v>
      </c>
      <c r="AN14" s="133">
        <v>32</v>
      </c>
      <c r="AO14" s="133">
        <v>34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126</v>
      </c>
      <c r="L15" s="16" t="s">
        <v>112</v>
      </c>
      <c r="M15" s="16" t="s">
        <v>97</v>
      </c>
      <c r="N15" s="16" t="s">
        <v>36</v>
      </c>
      <c r="O15" s="16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12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12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3</v>
      </c>
      <c r="E16" s="99">
        <f t="shared" si="0"/>
        <v>3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36</v>
      </c>
      <c r="L16" s="16" t="s">
        <v>126</v>
      </c>
      <c r="M16" s="16" t="s">
        <v>90</v>
      </c>
      <c r="N16" s="16" t="s">
        <v>22</v>
      </c>
      <c r="O16" s="16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7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7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3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91</v>
      </c>
      <c r="M17" s="16" t="s">
        <v>92</v>
      </c>
      <c r="N17" s="16" t="s">
        <v>35</v>
      </c>
      <c r="O17" s="16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8</v>
      </c>
      <c r="E18" s="99">
        <f t="shared" si="0"/>
        <v>43</v>
      </c>
      <c r="F18" s="99">
        <f t="shared" si="0"/>
        <v>11</v>
      </c>
      <c r="G18" s="99">
        <f t="shared" si="0"/>
        <v>0</v>
      </c>
      <c r="H18" s="8">
        <v>14</v>
      </c>
      <c r="I18" s="87"/>
      <c r="J18" s="25">
        <v>14</v>
      </c>
      <c r="K18" s="16" t="s">
        <v>126</v>
      </c>
      <c r="L18" s="16" t="s">
        <v>18</v>
      </c>
      <c r="M18" s="16" t="s">
        <v>91</v>
      </c>
      <c r="N18" s="16" t="s">
        <v>19</v>
      </c>
      <c r="O18" s="16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4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4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8</v>
      </c>
      <c r="E19" s="99">
        <f t="shared" si="0"/>
        <v>42</v>
      </c>
      <c r="F19" s="99">
        <f t="shared" si="0"/>
        <v>12</v>
      </c>
      <c r="G19" s="99">
        <f t="shared" si="0"/>
        <v>0</v>
      </c>
      <c r="H19" s="8">
        <v>15</v>
      </c>
      <c r="I19" s="87"/>
      <c r="J19" s="9">
        <v>15</v>
      </c>
      <c r="K19" s="16" t="s">
        <v>19</v>
      </c>
      <c r="L19" s="16" t="s">
        <v>35</v>
      </c>
      <c r="M19" s="16" t="s">
        <v>92</v>
      </c>
      <c r="N19" s="16" t="s">
        <v>126</v>
      </c>
      <c r="O19" s="16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4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4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10</v>
      </c>
      <c r="E20" s="99">
        <f t="shared" si="0"/>
        <v>42</v>
      </c>
      <c r="F20" s="99">
        <f t="shared" si="0"/>
        <v>10</v>
      </c>
      <c r="G20" s="99">
        <f t="shared" si="0"/>
        <v>0</v>
      </c>
      <c r="H20" s="8">
        <v>16</v>
      </c>
      <c r="I20" s="87"/>
      <c r="J20" s="25">
        <v>16</v>
      </c>
      <c r="K20" s="16" t="s">
        <v>35</v>
      </c>
      <c r="L20" s="16" t="s">
        <v>36</v>
      </c>
      <c r="M20" s="16" t="s">
        <v>91</v>
      </c>
      <c r="N20" s="16" t="s">
        <v>35</v>
      </c>
      <c r="O20" s="16" t="s">
        <v>126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9</v>
      </c>
      <c r="AF20" s="99">
        <v>43</v>
      </c>
      <c r="AG20" s="99">
        <v>12</v>
      </c>
      <c r="AH20" s="99">
        <v>0</v>
      </c>
      <c r="AI20" s="5"/>
      <c r="AJ20" s="138" t="str">
        <v>G4</v>
      </c>
      <c r="AK20" s="99">
        <v>0</v>
      </c>
      <c r="AL20" s="99">
        <v>9</v>
      </c>
      <c r="AM20" s="99">
        <v>43</v>
      </c>
      <c r="AN20" s="99">
        <v>12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9</v>
      </c>
      <c r="E21" s="99">
        <f t="shared" si="0"/>
        <v>44</v>
      </c>
      <c r="F21" s="99">
        <f t="shared" si="0"/>
        <v>10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126</v>
      </c>
      <c r="M21" s="16" t="s">
        <v>92</v>
      </c>
      <c r="N21" s="16" t="s">
        <v>127</v>
      </c>
      <c r="O21" s="16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9</v>
      </c>
      <c r="AF21" s="99">
        <v>42</v>
      </c>
      <c r="AG21" s="99">
        <v>13</v>
      </c>
      <c r="AH21" s="99">
        <v>0</v>
      </c>
      <c r="AI21" s="5"/>
      <c r="AJ21" s="138" t="str">
        <v>G5</v>
      </c>
      <c r="AK21" s="99">
        <v>0</v>
      </c>
      <c r="AL21" s="99">
        <v>9</v>
      </c>
      <c r="AM21" s="99">
        <v>42</v>
      </c>
      <c r="AN21" s="99">
        <v>13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3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34</v>
      </c>
      <c r="L22" s="16" t="s">
        <v>91</v>
      </c>
      <c r="M22" s="16" t="s">
        <v>112</v>
      </c>
      <c r="N22" s="16" t="s">
        <v>37</v>
      </c>
      <c r="O22" s="16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11</v>
      </c>
      <c r="AF22" s="99">
        <v>42</v>
      </c>
      <c r="AG22" s="99">
        <v>11</v>
      </c>
      <c r="AH22" s="99">
        <v>0</v>
      </c>
      <c r="AI22" s="5"/>
      <c r="AJ22" s="138" t="str">
        <v>GA</v>
      </c>
      <c r="AK22" s="99">
        <v>0</v>
      </c>
      <c r="AL22" s="99">
        <v>11</v>
      </c>
      <c r="AM22" s="99">
        <v>42</v>
      </c>
      <c r="AN22" s="99">
        <v>11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22</v>
      </c>
      <c r="L23" s="16" t="s">
        <v>36</v>
      </c>
      <c r="M23" s="16" t="s">
        <v>91</v>
      </c>
      <c r="N23" s="16" t="s">
        <v>35</v>
      </c>
      <c r="O23" s="16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10</v>
      </c>
      <c r="AF23" s="99">
        <v>44</v>
      </c>
      <c r="AG23" s="99">
        <v>11</v>
      </c>
      <c r="AH23" s="99">
        <v>0</v>
      </c>
      <c r="AI23" s="5"/>
      <c r="AJ23" s="138" t="str">
        <v>GK</v>
      </c>
      <c r="AK23" s="99">
        <v>0</v>
      </c>
      <c r="AL23" s="99">
        <v>10</v>
      </c>
      <c r="AM23" s="99">
        <v>44</v>
      </c>
      <c r="AN23" s="99">
        <v>11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20</v>
      </c>
      <c r="L24" s="16" t="s">
        <v>22</v>
      </c>
      <c r="M24" s="16" t="s">
        <v>92</v>
      </c>
      <c r="N24" s="16" t="s">
        <v>126</v>
      </c>
      <c r="O24" s="16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4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4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37</v>
      </c>
      <c r="M25" s="16" t="s">
        <v>112</v>
      </c>
      <c r="N25" s="16" t="s">
        <v>37</v>
      </c>
      <c r="O25" s="16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0.76</v>
      </c>
      <c r="E26" s="181">
        <f t="shared" si="1"/>
        <v>0</v>
      </c>
      <c r="F26" s="181">
        <f t="shared" si="1"/>
        <v>0.75</v>
      </c>
      <c r="G26" s="5">
        <f t="shared" si="1"/>
        <v>1</v>
      </c>
      <c r="I26" s="87"/>
      <c r="J26" s="25">
        <v>22</v>
      </c>
      <c r="K26" s="16" t="s">
        <v>126</v>
      </c>
      <c r="L26" s="16" t="s">
        <v>126</v>
      </c>
      <c r="M26" s="16" t="s">
        <v>97</v>
      </c>
      <c r="N26" s="16" t="s">
        <v>22</v>
      </c>
      <c r="O26" s="16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199</v>
      </c>
      <c r="AE26" s="113">
        <f>SUM(AE6:AE25)</f>
        <v>208</v>
      </c>
      <c r="AF26" s="113">
        <f>SUM(AF6:AF25)</f>
        <v>198</v>
      </c>
      <c r="AG26" s="113">
        <f>SUM(AG6:AG25)</f>
        <v>207</v>
      </c>
      <c r="AH26" s="113">
        <f>SUM(AH6:AH25)</f>
        <v>198</v>
      </c>
      <c r="AI26" s="5"/>
      <c r="AK26" s="113">
        <f>SUM(AK6:AK25)</f>
        <v>199</v>
      </c>
      <c r="AL26" s="113">
        <f>SUM(AL6:AL25)</f>
        <v>208</v>
      </c>
      <c r="AM26" s="113">
        <f>SUM(AM6:AM25)</f>
        <v>198</v>
      </c>
      <c r="AN26" s="113">
        <f>SUM(AN6:AN25)</f>
        <v>207</v>
      </c>
      <c r="AO26" s="113">
        <f>SUM(AO6:AO25)</f>
        <v>198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0.24</v>
      </c>
      <c r="E27" s="181">
        <f t="shared" si="2"/>
        <v>1</v>
      </c>
      <c r="F27" s="181">
        <f t="shared" si="2"/>
        <v>0.25</v>
      </c>
      <c r="G27" s="5">
        <f t="shared" si="2"/>
        <v>0</v>
      </c>
      <c r="I27" s="87"/>
      <c r="J27" s="9">
        <v>23</v>
      </c>
      <c r="K27" s="16" t="s">
        <v>37</v>
      </c>
      <c r="L27" s="16" t="s">
        <v>34</v>
      </c>
      <c r="M27" s="16" t="s">
        <v>112</v>
      </c>
      <c r="N27" s="16" t="s">
        <v>91</v>
      </c>
      <c r="O27" s="16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126</v>
      </c>
      <c r="L28" s="16" t="s">
        <v>37</v>
      </c>
      <c r="M28" s="16" t="s">
        <v>92</v>
      </c>
      <c r="N28" s="16" t="s">
        <v>35</v>
      </c>
      <c r="O28" s="16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34</v>
      </c>
      <c r="L29" s="16" t="s">
        <v>19</v>
      </c>
      <c r="M29" s="16" t="s">
        <v>91</v>
      </c>
      <c r="N29" s="16" t="s">
        <v>37</v>
      </c>
      <c r="O29" s="16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37</v>
      </c>
      <c r="M30" s="16" t="s">
        <v>97</v>
      </c>
      <c r="N30" s="16" t="s">
        <v>91</v>
      </c>
      <c r="O30" s="16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126</v>
      </c>
      <c r="L31" s="16" t="s">
        <v>22</v>
      </c>
      <c r="M31" s="16" t="s">
        <v>112</v>
      </c>
      <c r="N31" s="16" t="s">
        <v>92</v>
      </c>
      <c r="O31" s="16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35</v>
      </c>
      <c r="L32" s="16" t="s">
        <v>37</v>
      </c>
      <c r="M32" s="16" t="s">
        <v>92</v>
      </c>
      <c r="N32" s="16" t="s">
        <v>126</v>
      </c>
      <c r="O32" s="16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19</v>
      </c>
      <c r="L33" s="16" t="s">
        <v>35</v>
      </c>
      <c r="M33" s="16" t="s">
        <v>112</v>
      </c>
      <c r="N33" s="16" t="s">
        <v>127</v>
      </c>
      <c r="O33" s="16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12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12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36</v>
      </c>
      <c r="L34" s="16" t="s">
        <v>92</v>
      </c>
      <c r="M34" s="16" t="s">
        <v>92</v>
      </c>
      <c r="N34" s="16" t="s">
        <v>35</v>
      </c>
      <c r="O34" s="16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13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13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19</v>
      </c>
      <c r="L35" s="16" t="s">
        <v>126</v>
      </c>
      <c r="M35" s="16" t="s">
        <v>112</v>
      </c>
      <c r="N35" s="16" t="s">
        <v>126</v>
      </c>
      <c r="O35" s="16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22</v>
      </c>
      <c r="AF35" s="133">
        <v>0</v>
      </c>
      <c r="AG35" s="133">
        <v>31</v>
      </c>
      <c r="AH35" s="133">
        <v>36</v>
      </c>
      <c r="AI35" s="5"/>
      <c r="AJ35" s="154" t="str">
        <v>M4</v>
      </c>
      <c r="AK35" s="133">
        <v>43</v>
      </c>
      <c r="AL35" s="133">
        <v>22</v>
      </c>
      <c r="AM35" s="133">
        <v>0</v>
      </c>
      <c r="AN35" s="133">
        <v>31</v>
      </c>
      <c r="AO35" s="133">
        <v>36</v>
      </c>
    </row>
    <row r="36" spans="10:41" ht="16.5" customHeight="1" x14ac:dyDescent="0.3">
      <c r="J36" s="25">
        <v>32</v>
      </c>
      <c r="K36" s="16" t="s">
        <v>126</v>
      </c>
      <c r="L36" s="16" t="s">
        <v>18</v>
      </c>
      <c r="M36" s="16" t="s">
        <v>90</v>
      </c>
      <c r="N36" s="16" t="s">
        <v>127</v>
      </c>
      <c r="O36" s="16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22</v>
      </c>
      <c r="AF36" s="133">
        <v>0</v>
      </c>
      <c r="AG36" s="133">
        <v>27</v>
      </c>
      <c r="AH36" s="133">
        <v>34</v>
      </c>
      <c r="AI36" s="5"/>
      <c r="AJ36" s="154" t="str">
        <v>M5</v>
      </c>
      <c r="AK36" s="133">
        <v>42</v>
      </c>
      <c r="AL36" s="133">
        <v>22</v>
      </c>
      <c r="AM36" s="133">
        <v>0</v>
      </c>
      <c r="AN36" s="133">
        <v>27</v>
      </c>
      <c r="AO36" s="133">
        <v>34</v>
      </c>
    </row>
    <row r="37" spans="10:41" ht="16.5" customHeight="1" x14ac:dyDescent="0.3">
      <c r="J37" s="9">
        <v>33</v>
      </c>
      <c r="K37" s="16" t="s">
        <v>35</v>
      </c>
      <c r="L37" s="16" t="s">
        <v>95</v>
      </c>
      <c r="M37" s="16" t="s">
        <v>92</v>
      </c>
      <c r="N37" s="16" t="s">
        <v>37</v>
      </c>
      <c r="O37" s="16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43</v>
      </c>
      <c r="AE37" s="133">
        <v>27</v>
      </c>
      <c r="AF37" s="133">
        <v>0</v>
      </c>
      <c r="AG37" s="133">
        <v>31</v>
      </c>
      <c r="AH37" s="133">
        <v>35</v>
      </c>
      <c r="AI37" s="5"/>
      <c r="AJ37" s="154" t="str">
        <v>A</v>
      </c>
      <c r="AK37" s="133">
        <v>43</v>
      </c>
      <c r="AL37" s="133">
        <v>27</v>
      </c>
      <c r="AM37" s="133">
        <v>0</v>
      </c>
      <c r="AN37" s="133">
        <v>31</v>
      </c>
      <c r="AO37" s="133">
        <v>35</v>
      </c>
    </row>
    <row r="38" spans="10:41" ht="16.5" customHeight="1" x14ac:dyDescent="0.3">
      <c r="J38" s="25">
        <v>34</v>
      </c>
      <c r="K38" s="16" t="s">
        <v>37</v>
      </c>
      <c r="L38" s="16" t="s">
        <v>19</v>
      </c>
      <c r="M38" s="16" t="s">
        <v>95</v>
      </c>
      <c r="N38" s="16" t="s">
        <v>112</v>
      </c>
      <c r="O38" s="16" t="s">
        <v>126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24</v>
      </c>
      <c r="AF38" s="133">
        <v>0</v>
      </c>
      <c r="AG38" s="133">
        <v>32</v>
      </c>
      <c r="AH38" s="133">
        <v>34</v>
      </c>
      <c r="AI38" s="5"/>
      <c r="AJ38" s="154" t="str">
        <v>K</v>
      </c>
      <c r="AK38" s="133">
        <v>43</v>
      </c>
      <c r="AL38" s="133">
        <v>24</v>
      </c>
      <c r="AM38" s="133">
        <v>0</v>
      </c>
      <c r="AN38" s="133">
        <v>32</v>
      </c>
      <c r="AO38" s="133">
        <v>34</v>
      </c>
    </row>
    <row r="39" spans="10:41" ht="16.5" customHeight="1" x14ac:dyDescent="0.3">
      <c r="J39" s="9">
        <v>35</v>
      </c>
      <c r="K39" s="16" t="s">
        <v>126</v>
      </c>
      <c r="L39" s="16" t="s">
        <v>18</v>
      </c>
      <c r="M39" s="16" t="s">
        <v>127</v>
      </c>
      <c r="N39" s="16" t="s">
        <v>18</v>
      </c>
      <c r="O39" s="16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12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12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19</v>
      </c>
      <c r="L40" s="16" t="s">
        <v>19</v>
      </c>
      <c r="M40" s="16" t="s">
        <v>92</v>
      </c>
      <c r="N40" s="16" t="s">
        <v>35</v>
      </c>
      <c r="O40" s="16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7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7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126</v>
      </c>
      <c r="L41" s="16" t="s">
        <v>126</v>
      </c>
      <c r="M41" s="16" t="s">
        <v>97</v>
      </c>
      <c r="N41" s="16" t="s">
        <v>88</v>
      </c>
      <c r="O41" s="16" t="s">
        <v>126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35</v>
      </c>
      <c r="L42" s="16" t="s">
        <v>37</v>
      </c>
      <c r="M42" s="16" t="s">
        <v>91</v>
      </c>
      <c r="N42" s="16" t="s">
        <v>35</v>
      </c>
      <c r="O42" s="16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4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4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37</v>
      </c>
      <c r="L43" s="16" t="s">
        <v>126</v>
      </c>
      <c r="M43" s="16" t="s">
        <v>92</v>
      </c>
      <c r="N43" s="16" t="s">
        <v>19</v>
      </c>
      <c r="O43" s="16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4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4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36</v>
      </c>
      <c r="L44" s="16" t="s">
        <v>34</v>
      </c>
      <c r="M44" s="16" t="s">
        <v>91</v>
      </c>
      <c r="N44" s="16" t="s">
        <v>35</v>
      </c>
      <c r="O44" s="16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9</v>
      </c>
      <c r="AF44" s="99">
        <v>43</v>
      </c>
      <c r="AG44" s="99">
        <v>12</v>
      </c>
      <c r="AH44" s="99">
        <v>0</v>
      </c>
      <c r="AI44" s="5"/>
      <c r="AJ44" s="138" t="str">
        <v>G4</v>
      </c>
      <c r="AK44" s="99">
        <v>0</v>
      </c>
      <c r="AL44" s="99">
        <v>9</v>
      </c>
      <c r="AM44" s="99">
        <v>43</v>
      </c>
      <c r="AN44" s="99">
        <v>12</v>
      </c>
      <c r="AO44" s="99">
        <v>0</v>
      </c>
    </row>
    <row r="45" spans="10:41" ht="16.5" customHeight="1" x14ac:dyDescent="0.3">
      <c r="J45" s="9">
        <v>41</v>
      </c>
      <c r="K45" s="16" t="s">
        <v>37</v>
      </c>
      <c r="L45" s="16" t="s">
        <v>126</v>
      </c>
      <c r="M45" s="16" t="s">
        <v>127</v>
      </c>
      <c r="N45" s="16" t="s">
        <v>126</v>
      </c>
      <c r="O45" s="16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9</v>
      </c>
      <c r="AF45" s="99">
        <v>42</v>
      </c>
      <c r="AG45" s="99">
        <v>13</v>
      </c>
      <c r="AH45" s="99">
        <v>0</v>
      </c>
      <c r="AI45" s="5"/>
      <c r="AJ45" s="138" t="str">
        <v>G5</v>
      </c>
      <c r="AK45" s="99">
        <v>0</v>
      </c>
      <c r="AL45" s="99">
        <v>9</v>
      </c>
      <c r="AM45" s="99">
        <v>42</v>
      </c>
      <c r="AN45" s="99">
        <v>13</v>
      </c>
      <c r="AO45" s="99">
        <v>0</v>
      </c>
    </row>
    <row r="46" spans="10:41" ht="16.5" customHeight="1" x14ac:dyDescent="0.3">
      <c r="J46" s="25">
        <v>42</v>
      </c>
      <c r="K46" s="16" t="s">
        <v>35</v>
      </c>
      <c r="L46" s="16" t="s">
        <v>22</v>
      </c>
      <c r="M46" s="16" t="s">
        <v>92</v>
      </c>
      <c r="N46" s="16" t="s">
        <v>35</v>
      </c>
      <c r="O46" s="16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11</v>
      </c>
      <c r="AF46" s="99">
        <v>42</v>
      </c>
      <c r="AG46" s="99">
        <v>11</v>
      </c>
      <c r="AH46" s="99">
        <v>0</v>
      </c>
      <c r="AI46" s="5"/>
      <c r="AJ46" s="138" t="str">
        <v>GA</v>
      </c>
      <c r="AK46" s="99">
        <v>0</v>
      </c>
      <c r="AL46" s="99">
        <v>11</v>
      </c>
      <c r="AM46" s="99">
        <v>42</v>
      </c>
      <c r="AN46" s="99">
        <v>11</v>
      </c>
      <c r="AO46" s="99">
        <v>0</v>
      </c>
    </row>
    <row r="47" spans="10:41" ht="16.5" customHeight="1" x14ac:dyDescent="0.3">
      <c r="J47" s="9">
        <v>43</v>
      </c>
      <c r="K47" s="16" t="s">
        <v>126</v>
      </c>
      <c r="L47" s="16" t="s">
        <v>18</v>
      </c>
      <c r="M47" s="16" t="s">
        <v>127</v>
      </c>
      <c r="N47" s="16" t="s">
        <v>19</v>
      </c>
      <c r="O47" s="16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10</v>
      </c>
      <c r="AF47" s="99">
        <v>44</v>
      </c>
      <c r="AG47" s="99">
        <v>11</v>
      </c>
      <c r="AH47" s="99">
        <v>0</v>
      </c>
      <c r="AI47" s="5"/>
      <c r="AJ47" s="138" t="str">
        <v>GK</v>
      </c>
      <c r="AK47" s="99">
        <v>0</v>
      </c>
      <c r="AL47" s="99">
        <v>10</v>
      </c>
      <c r="AM47" s="99">
        <v>44</v>
      </c>
      <c r="AN47" s="99">
        <v>11</v>
      </c>
      <c r="AO47" s="99">
        <v>0</v>
      </c>
    </row>
    <row r="48" spans="10:41" ht="16.5" customHeight="1" x14ac:dyDescent="0.3">
      <c r="J48" s="25">
        <v>44</v>
      </c>
      <c r="K48" s="16" t="s">
        <v>22</v>
      </c>
      <c r="L48" s="16" t="s">
        <v>37</v>
      </c>
      <c r="M48" s="16" t="s">
        <v>112</v>
      </c>
      <c r="N48" s="16" t="s">
        <v>37</v>
      </c>
      <c r="O48" s="16" t="s">
        <v>126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4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4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37</v>
      </c>
      <c r="L49" s="16" t="s">
        <v>126</v>
      </c>
      <c r="M49" s="16" t="s">
        <v>92</v>
      </c>
      <c r="N49" s="16" t="s">
        <v>127</v>
      </c>
      <c r="O49" s="16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126</v>
      </c>
      <c r="L50" s="16" t="s">
        <v>127</v>
      </c>
      <c r="M50" s="16" t="s">
        <v>127</v>
      </c>
      <c r="N50" s="16" t="s">
        <v>37</v>
      </c>
      <c r="O50" s="16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199</v>
      </c>
      <c r="AE50" s="113">
        <f>SUM(AE30:AE49)</f>
        <v>208</v>
      </c>
      <c r="AF50" s="113">
        <f>SUM(AF30:AF49)</f>
        <v>198</v>
      </c>
      <c r="AG50" s="113">
        <f>SUM(AG30:AG49)</f>
        <v>207</v>
      </c>
      <c r="AH50" s="113">
        <f>SUM(AH30:AH49)</f>
        <v>198</v>
      </c>
      <c r="AI50" s="5"/>
      <c r="AK50" s="113">
        <f>SUM(AK30:AK49)</f>
        <v>199</v>
      </c>
      <c r="AL50" s="113">
        <f>SUM(AL30:AL49)</f>
        <v>208</v>
      </c>
      <c r="AM50" s="113">
        <f>SUM(AM30:AM49)</f>
        <v>198</v>
      </c>
      <c r="AN50" s="113">
        <f>SUM(AN30:AN49)</f>
        <v>207</v>
      </c>
      <c r="AO50" s="113">
        <f>SUM(AO30:AO49)</f>
        <v>198</v>
      </c>
    </row>
    <row r="51" spans="10:41" ht="16.5" customHeight="1" x14ac:dyDescent="0.3">
      <c r="J51" s="9">
        <v>47</v>
      </c>
      <c r="K51" s="16" t="s">
        <v>35</v>
      </c>
      <c r="L51" s="16" t="s">
        <v>35</v>
      </c>
      <c r="M51" s="16" t="s">
        <v>92</v>
      </c>
      <c r="N51" s="16" t="s">
        <v>18</v>
      </c>
      <c r="O51" s="16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19</v>
      </c>
      <c r="L52" s="16" t="s">
        <v>126</v>
      </c>
      <c r="M52" s="16" t="s">
        <v>112</v>
      </c>
      <c r="N52" s="16" t="s">
        <v>112</v>
      </c>
      <c r="O52" s="16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126</v>
      </c>
      <c r="L53" s="16" t="s">
        <v>35</v>
      </c>
      <c r="M53" s="16" t="s">
        <v>91</v>
      </c>
      <c r="N53" s="16" t="s">
        <v>35</v>
      </c>
      <c r="O53" s="16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37</v>
      </c>
      <c r="M54" s="16" t="s">
        <v>92</v>
      </c>
      <c r="N54" s="16" t="s">
        <v>19</v>
      </c>
      <c r="O54" s="16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19</v>
      </c>
      <c r="L55" s="16" t="s">
        <v>22</v>
      </c>
      <c r="M55" s="16" t="s">
        <v>112</v>
      </c>
      <c r="N55" s="16" t="s">
        <v>91</v>
      </c>
      <c r="O55" s="16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35</v>
      </c>
      <c r="L56" s="16" t="s">
        <v>37</v>
      </c>
      <c r="M56" s="16" t="s">
        <v>91</v>
      </c>
      <c r="N56" s="16" t="s">
        <v>126</v>
      </c>
      <c r="O56" s="16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37</v>
      </c>
      <c r="L57" s="16" t="s">
        <v>91</v>
      </c>
      <c r="M57" s="16" t="s">
        <v>89</v>
      </c>
      <c r="N57" s="16" t="s">
        <v>18</v>
      </c>
      <c r="O57" s="16" t="s">
        <v>19</v>
      </c>
      <c r="Q57" s="9">
        <v>7</v>
      </c>
      <c r="R57" s="9">
        <v>14</v>
      </c>
      <c r="S57" s="9">
        <v>12</v>
      </c>
      <c r="T57" s="9">
        <v>4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12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12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19</v>
      </c>
      <c r="L58" s="16" t="s">
        <v>34</v>
      </c>
      <c r="M58" s="16" t="s">
        <v>112</v>
      </c>
      <c r="N58" s="16" t="s">
        <v>35</v>
      </c>
      <c r="O58" s="16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13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13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91</v>
      </c>
      <c r="N59" s="16" t="s">
        <v>34</v>
      </c>
      <c r="O59" s="16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22</v>
      </c>
      <c r="AF59" s="133">
        <v>0</v>
      </c>
      <c r="AG59" s="133">
        <v>31</v>
      </c>
      <c r="AH59" s="133">
        <v>36</v>
      </c>
      <c r="AI59" s="5"/>
      <c r="AJ59" s="154" t="str">
        <v>M4</v>
      </c>
      <c r="AK59" s="133">
        <v>43</v>
      </c>
      <c r="AL59" s="133">
        <v>22</v>
      </c>
      <c r="AM59" s="133">
        <v>0</v>
      </c>
      <c r="AN59" s="133">
        <v>31</v>
      </c>
      <c r="AO59" s="133">
        <v>36</v>
      </c>
    </row>
    <row r="60" spans="10:41" ht="16.5" customHeight="1" x14ac:dyDescent="0.3">
      <c r="J60" s="25">
        <v>56</v>
      </c>
      <c r="K60" s="16" t="s">
        <v>18</v>
      </c>
      <c r="L60" s="16" t="s">
        <v>22</v>
      </c>
      <c r="M60" s="16" t="s">
        <v>95</v>
      </c>
      <c r="N60" s="16" t="s">
        <v>126</v>
      </c>
      <c r="O60" s="16" t="s">
        <v>126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22</v>
      </c>
      <c r="AF60" s="133">
        <v>0</v>
      </c>
      <c r="AG60" s="133">
        <v>27</v>
      </c>
      <c r="AH60" s="133">
        <v>34</v>
      </c>
      <c r="AI60" s="5"/>
      <c r="AJ60" s="154" t="str">
        <v>M5</v>
      </c>
      <c r="AK60" s="133">
        <v>42</v>
      </c>
      <c r="AL60" s="133">
        <v>22</v>
      </c>
      <c r="AM60" s="133">
        <v>0</v>
      </c>
      <c r="AN60" s="133">
        <v>27</v>
      </c>
      <c r="AO60" s="133">
        <v>34</v>
      </c>
    </row>
    <row r="61" spans="10:41" x14ac:dyDescent="0.3">
      <c r="J61" s="9">
        <v>57</v>
      </c>
      <c r="K61" s="16" t="s">
        <v>19</v>
      </c>
      <c r="L61" s="16" t="s">
        <v>35</v>
      </c>
      <c r="M61" s="16" t="s">
        <v>91</v>
      </c>
      <c r="N61" s="16" t="s">
        <v>91</v>
      </c>
      <c r="O61" s="16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43</v>
      </c>
      <c r="AE61" s="133">
        <v>27</v>
      </c>
      <c r="AF61" s="133">
        <v>0</v>
      </c>
      <c r="AG61" s="133">
        <v>31</v>
      </c>
      <c r="AH61" s="133">
        <v>35</v>
      </c>
      <c r="AI61" s="5"/>
      <c r="AJ61" s="154" t="str">
        <v>A</v>
      </c>
      <c r="AK61" s="133">
        <v>43</v>
      </c>
      <c r="AL61" s="133">
        <v>27</v>
      </c>
      <c r="AM61" s="133">
        <v>0</v>
      </c>
      <c r="AN61" s="133">
        <v>31</v>
      </c>
      <c r="AO61" s="133">
        <v>35</v>
      </c>
    </row>
    <row r="62" spans="10:41" x14ac:dyDescent="0.3">
      <c r="J62" s="25">
        <v>58</v>
      </c>
      <c r="K62" s="16" t="s">
        <v>126</v>
      </c>
      <c r="L62" s="16" t="s">
        <v>20</v>
      </c>
      <c r="M62" s="16" t="s">
        <v>127</v>
      </c>
      <c r="N62" s="16" t="s">
        <v>34</v>
      </c>
      <c r="O62" s="16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24</v>
      </c>
      <c r="AF62" s="133">
        <v>0</v>
      </c>
      <c r="AG62" s="133">
        <v>32</v>
      </c>
      <c r="AH62" s="133">
        <v>34</v>
      </c>
      <c r="AI62" s="5"/>
      <c r="AJ62" s="154" t="str">
        <v>K</v>
      </c>
      <c r="AK62" s="133">
        <v>43</v>
      </c>
      <c r="AL62" s="133">
        <v>24</v>
      </c>
      <c r="AM62" s="133">
        <v>0</v>
      </c>
      <c r="AN62" s="133">
        <v>32</v>
      </c>
      <c r="AO62" s="133">
        <v>34</v>
      </c>
    </row>
    <row r="63" spans="10:41" ht="16.5" customHeight="1" x14ac:dyDescent="0.3">
      <c r="J63" s="9">
        <v>59</v>
      </c>
      <c r="K63" s="16" t="s">
        <v>20</v>
      </c>
      <c r="L63" s="16" t="s">
        <v>22</v>
      </c>
      <c r="M63" s="16" t="s">
        <v>91</v>
      </c>
      <c r="N63" s="16" t="s">
        <v>21</v>
      </c>
      <c r="O63" s="16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12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12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35</v>
      </c>
      <c r="L64" s="16" t="s">
        <v>36</v>
      </c>
      <c r="M64" s="16" t="s">
        <v>112</v>
      </c>
      <c r="N64" s="16" t="s">
        <v>34</v>
      </c>
      <c r="O64" s="16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7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7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126</v>
      </c>
      <c r="L65" s="16" t="s">
        <v>37</v>
      </c>
      <c r="M65" s="16" t="s">
        <v>92</v>
      </c>
      <c r="N65" s="16" t="s">
        <v>92</v>
      </c>
      <c r="O65" s="16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91</v>
      </c>
      <c r="M66" s="16" t="s">
        <v>91</v>
      </c>
      <c r="N66" s="16" t="s">
        <v>126</v>
      </c>
      <c r="O66" s="16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4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4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19</v>
      </c>
      <c r="M67" s="16" t="s">
        <v>112</v>
      </c>
      <c r="N67" s="16" t="s">
        <v>19</v>
      </c>
      <c r="O67" s="16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4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4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35</v>
      </c>
      <c r="L68" s="16" t="s">
        <v>37</v>
      </c>
      <c r="M68" s="16" t="s">
        <v>89</v>
      </c>
      <c r="N68" s="16" t="s">
        <v>21</v>
      </c>
      <c r="O68" s="16" t="s">
        <v>18</v>
      </c>
      <c r="Q68" s="9">
        <v>8</v>
      </c>
      <c r="R68" s="9">
        <v>7</v>
      </c>
      <c r="S68" s="9">
        <v>12</v>
      </c>
      <c r="T68" s="9">
        <v>2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9</v>
      </c>
      <c r="AF68" s="99">
        <v>43</v>
      </c>
      <c r="AG68" s="99">
        <v>12</v>
      </c>
      <c r="AH68" s="99">
        <v>0</v>
      </c>
      <c r="AI68" s="5"/>
      <c r="AJ68" s="138" t="str">
        <v>G4</v>
      </c>
      <c r="AK68" s="99">
        <v>0</v>
      </c>
      <c r="AL68" s="99">
        <v>9</v>
      </c>
      <c r="AM68" s="99">
        <v>43</v>
      </c>
      <c r="AN68" s="99">
        <v>12</v>
      </c>
      <c r="AO68" s="99">
        <v>0</v>
      </c>
    </row>
    <row r="69" spans="10:41" ht="16.5" customHeight="1" x14ac:dyDescent="0.3">
      <c r="J69" s="9">
        <v>65</v>
      </c>
      <c r="K69" s="16" t="s">
        <v>126</v>
      </c>
      <c r="L69" s="16" t="s">
        <v>34</v>
      </c>
      <c r="M69" s="16" t="s">
        <v>91</v>
      </c>
      <c r="N69" s="16" t="s">
        <v>35</v>
      </c>
      <c r="O69" s="16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9</v>
      </c>
      <c r="AF69" s="99">
        <v>42</v>
      </c>
      <c r="AG69" s="99">
        <v>13</v>
      </c>
      <c r="AH69" s="99">
        <v>0</v>
      </c>
      <c r="AI69" s="5"/>
      <c r="AJ69" s="138" t="str">
        <v>G5</v>
      </c>
      <c r="AK69" s="99">
        <v>0</v>
      </c>
      <c r="AL69" s="99">
        <v>9</v>
      </c>
      <c r="AM69" s="99">
        <v>42</v>
      </c>
      <c r="AN69" s="99">
        <v>13</v>
      </c>
      <c r="AO69" s="99">
        <v>0</v>
      </c>
    </row>
    <row r="70" spans="10:41" ht="16.5" customHeight="1" x14ac:dyDescent="0.3">
      <c r="J70" s="25">
        <v>66</v>
      </c>
      <c r="K70" s="16" t="s">
        <v>35</v>
      </c>
      <c r="L70" s="16" t="s">
        <v>35</v>
      </c>
      <c r="M70" s="16" t="s">
        <v>127</v>
      </c>
      <c r="N70" s="16" t="s">
        <v>126</v>
      </c>
      <c r="O70" s="16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11</v>
      </c>
      <c r="AF70" s="99">
        <v>42</v>
      </c>
      <c r="AG70" s="99">
        <v>11</v>
      </c>
      <c r="AH70" s="99">
        <v>0</v>
      </c>
      <c r="AI70" s="5"/>
      <c r="AJ70" s="138" t="str">
        <v>GA</v>
      </c>
      <c r="AK70" s="99">
        <v>0</v>
      </c>
      <c r="AL70" s="99">
        <v>11</v>
      </c>
      <c r="AM70" s="99">
        <v>42</v>
      </c>
      <c r="AN70" s="99">
        <v>11</v>
      </c>
      <c r="AO70" s="99">
        <v>0</v>
      </c>
    </row>
    <row r="71" spans="10:41" ht="16.5" customHeight="1" x14ac:dyDescent="0.3">
      <c r="J71" s="9">
        <v>67</v>
      </c>
      <c r="K71" s="16" t="s">
        <v>19</v>
      </c>
      <c r="L71" s="16" t="s">
        <v>19</v>
      </c>
      <c r="M71" s="16" t="s">
        <v>95</v>
      </c>
      <c r="N71" s="16" t="s">
        <v>19</v>
      </c>
      <c r="O71" s="16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10</v>
      </c>
      <c r="AF71" s="99">
        <v>44</v>
      </c>
      <c r="AG71" s="99">
        <v>11</v>
      </c>
      <c r="AH71" s="99">
        <v>0</v>
      </c>
      <c r="AI71" s="5"/>
      <c r="AJ71" s="138" t="str">
        <v>GK</v>
      </c>
      <c r="AK71" s="99">
        <v>0</v>
      </c>
      <c r="AL71" s="99">
        <v>10</v>
      </c>
      <c r="AM71" s="99">
        <v>44</v>
      </c>
      <c r="AN71" s="99">
        <v>11</v>
      </c>
      <c r="AO71" s="99">
        <v>0</v>
      </c>
    </row>
    <row r="72" spans="10:41" ht="16.5" customHeight="1" x14ac:dyDescent="0.3">
      <c r="J72" s="25">
        <v>68</v>
      </c>
      <c r="K72" s="16" t="s">
        <v>35</v>
      </c>
      <c r="L72" s="16" t="s">
        <v>21</v>
      </c>
      <c r="M72" s="16" t="s">
        <v>92</v>
      </c>
      <c r="N72" s="16" t="s">
        <v>92</v>
      </c>
      <c r="O72" s="16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4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4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126</v>
      </c>
      <c r="L73" s="16" t="s">
        <v>34</v>
      </c>
      <c r="M73" s="16" t="s">
        <v>112</v>
      </c>
      <c r="N73" s="16" t="s">
        <v>36</v>
      </c>
      <c r="O73" s="16" t="s">
        <v>126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19</v>
      </c>
      <c r="M74" s="16" t="s">
        <v>127</v>
      </c>
      <c r="N74" s="16" t="s">
        <v>37</v>
      </c>
      <c r="O74" s="16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199</v>
      </c>
      <c r="AE74" s="113">
        <f>SUM(AE54:AE73)</f>
        <v>208</v>
      </c>
      <c r="AF74" s="113">
        <f>SUM(AF54:AF73)</f>
        <v>198</v>
      </c>
      <c r="AG74" s="113">
        <f>SUM(AG54:AG73)</f>
        <v>207</v>
      </c>
      <c r="AH74" s="113">
        <f>SUM(AH54:AH73)</f>
        <v>198</v>
      </c>
      <c r="AI74" s="5"/>
      <c r="AK74" s="113">
        <f>SUM(AK54:AK73)</f>
        <v>199</v>
      </c>
      <c r="AL74" s="113">
        <f>SUM(AL54:AL73)</f>
        <v>208</v>
      </c>
      <c r="AM74" s="113">
        <f>SUM(AM54:AM73)</f>
        <v>198</v>
      </c>
      <c r="AN74" s="113">
        <f>SUM(AN54:AN73)</f>
        <v>207</v>
      </c>
      <c r="AO74" s="113">
        <f>SUM(AO54:AO73)</f>
        <v>198</v>
      </c>
    </row>
    <row r="75" spans="10:41" ht="16.5" customHeight="1" x14ac:dyDescent="0.3">
      <c r="J75" s="9">
        <v>71</v>
      </c>
      <c r="K75" s="16" t="s">
        <v>36</v>
      </c>
      <c r="L75" s="16" t="s">
        <v>92</v>
      </c>
      <c r="M75" s="16" t="s">
        <v>92</v>
      </c>
      <c r="N75" s="16" t="s">
        <v>126</v>
      </c>
      <c r="O75" s="16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37</v>
      </c>
      <c r="L76" s="16" t="s">
        <v>37</v>
      </c>
      <c r="M76" s="16" t="s">
        <v>127</v>
      </c>
      <c r="N76" s="16" t="s">
        <v>35</v>
      </c>
      <c r="O76" s="16" t="s">
        <v>126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126</v>
      </c>
      <c r="L77" s="16" t="s">
        <v>36</v>
      </c>
      <c r="M77" s="16" t="s">
        <v>88</v>
      </c>
      <c r="N77" s="16" t="s">
        <v>90</v>
      </c>
      <c r="O77" s="16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19</v>
      </c>
      <c r="M78" s="16" t="s">
        <v>127</v>
      </c>
      <c r="N78" s="16" t="s">
        <v>35</v>
      </c>
      <c r="O78" s="16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35</v>
      </c>
      <c r="L79" s="16" t="s">
        <v>22</v>
      </c>
      <c r="M79" s="16" t="s">
        <v>91</v>
      </c>
      <c r="N79" s="16" t="s">
        <v>19</v>
      </c>
      <c r="O79" s="16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37</v>
      </c>
      <c r="M80" s="16" t="s">
        <v>92</v>
      </c>
      <c r="N80" s="16" t="s">
        <v>37</v>
      </c>
      <c r="O80" s="16" t="s">
        <v>126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35</v>
      </c>
      <c r="L81" s="16" t="s">
        <v>19</v>
      </c>
      <c r="M81" s="16" t="s">
        <v>91</v>
      </c>
      <c r="N81" s="16" t="s">
        <v>19</v>
      </c>
      <c r="O81" s="16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90</v>
      </c>
      <c r="M82" s="16" t="s">
        <v>92</v>
      </c>
      <c r="N82" s="16" t="s">
        <v>92</v>
      </c>
      <c r="O82" s="16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19</v>
      </c>
      <c r="L83" s="16" t="s">
        <v>126</v>
      </c>
      <c r="M83" s="16" t="s">
        <v>97</v>
      </c>
      <c r="N83" s="16" t="s">
        <v>19</v>
      </c>
      <c r="O83" s="16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18</v>
      </c>
      <c r="L84" s="16" t="s">
        <v>97</v>
      </c>
      <c r="M84" s="16" t="s">
        <v>127</v>
      </c>
      <c r="N84" s="16" t="s">
        <v>35</v>
      </c>
      <c r="O84" s="16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36</v>
      </c>
      <c r="L85" s="16" t="s">
        <v>91</v>
      </c>
      <c r="M85" s="16" t="s">
        <v>112</v>
      </c>
      <c r="N85" s="16" t="s">
        <v>92</v>
      </c>
      <c r="O85" s="16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19</v>
      </c>
      <c r="L86" s="16" t="s">
        <v>35</v>
      </c>
      <c r="M86" s="16" t="s">
        <v>97</v>
      </c>
      <c r="N86" s="16" t="s">
        <v>36</v>
      </c>
      <c r="O86" s="16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37</v>
      </c>
      <c r="L87" s="16" t="s">
        <v>19</v>
      </c>
      <c r="M87" s="16" t="s">
        <v>90</v>
      </c>
      <c r="N87" s="16" t="s">
        <v>126</v>
      </c>
      <c r="O87" s="16" t="s">
        <v>126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35</v>
      </c>
      <c r="L88" s="16" t="s">
        <v>37</v>
      </c>
      <c r="M88" s="16" t="s">
        <v>127</v>
      </c>
      <c r="N88" s="16" t="s">
        <v>19</v>
      </c>
      <c r="O88" s="16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19</v>
      </c>
      <c r="L89" s="16" t="s">
        <v>35</v>
      </c>
      <c r="M89" s="16" t="s">
        <v>112</v>
      </c>
      <c r="N89" s="16" t="s">
        <v>20</v>
      </c>
      <c r="O89" s="16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37</v>
      </c>
      <c r="L90" s="16" t="s">
        <v>34</v>
      </c>
      <c r="M90" s="16" t="s">
        <v>127</v>
      </c>
      <c r="N90" s="16" t="s">
        <v>19</v>
      </c>
      <c r="O90" s="16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126</v>
      </c>
      <c r="L91" s="16" t="s">
        <v>21</v>
      </c>
      <c r="M91" s="16" t="s">
        <v>88</v>
      </c>
      <c r="N91" s="16" t="s">
        <v>35</v>
      </c>
      <c r="O91" s="16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112</v>
      </c>
      <c r="N92" s="16" t="s">
        <v>37</v>
      </c>
      <c r="O92" s="16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36</v>
      </c>
      <c r="L93" s="16" t="s">
        <v>126</v>
      </c>
      <c r="M93" s="16" t="s">
        <v>91</v>
      </c>
      <c r="N93" s="16" t="s">
        <v>126</v>
      </c>
      <c r="O93" s="16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35</v>
      </c>
      <c r="L94" s="16" t="s">
        <v>89</v>
      </c>
      <c r="M94" s="16" t="s">
        <v>112</v>
      </c>
      <c r="N94" s="16" t="s">
        <v>92</v>
      </c>
      <c r="O94" s="16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126</v>
      </c>
      <c r="L95" s="16" t="s">
        <v>112</v>
      </c>
      <c r="M95" s="16" t="s">
        <v>88</v>
      </c>
      <c r="N95" s="16" t="s">
        <v>127</v>
      </c>
      <c r="O95" s="16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19</v>
      </c>
      <c r="L96" s="16" t="s">
        <v>126</v>
      </c>
      <c r="M96" s="16" t="s">
        <v>95</v>
      </c>
      <c r="N96" s="16" t="s">
        <v>20</v>
      </c>
      <c r="O96" s="16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37</v>
      </c>
      <c r="L97" s="16" t="s">
        <v>112</v>
      </c>
      <c r="M97" s="16" t="s">
        <v>127</v>
      </c>
      <c r="N97" s="16" t="s">
        <v>35</v>
      </c>
      <c r="O97" s="16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21</v>
      </c>
      <c r="M98" s="16" t="s">
        <v>91</v>
      </c>
      <c r="N98" s="16" t="s">
        <v>37</v>
      </c>
      <c r="O98" s="16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126</v>
      </c>
      <c r="L99" s="16" t="s">
        <v>19</v>
      </c>
      <c r="M99" s="16" t="s">
        <v>127</v>
      </c>
      <c r="N99" s="16" t="s">
        <v>127</v>
      </c>
      <c r="O99" s="16" t="s">
        <v>126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35</v>
      </c>
      <c r="M100" s="16" t="s">
        <v>112</v>
      </c>
      <c r="N100" s="16" t="s">
        <v>35</v>
      </c>
      <c r="O100" s="16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37</v>
      </c>
      <c r="L101" s="16" t="s">
        <v>112</v>
      </c>
      <c r="M101" s="16" t="s">
        <v>91</v>
      </c>
      <c r="N101" s="16" t="s">
        <v>112</v>
      </c>
      <c r="O101" s="16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21</v>
      </c>
      <c r="L102" s="16" t="s">
        <v>35</v>
      </c>
      <c r="M102" s="16" t="s">
        <v>92</v>
      </c>
      <c r="N102" s="16" t="s">
        <v>34</v>
      </c>
      <c r="O102" s="16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21</v>
      </c>
      <c r="M103" s="16" t="s">
        <v>91</v>
      </c>
      <c r="N103" s="16" t="s">
        <v>37</v>
      </c>
      <c r="O103" s="16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19</v>
      </c>
      <c r="L104" s="16" t="s">
        <v>35</v>
      </c>
      <c r="M104" s="16" t="s">
        <v>112</v>
      </c>
      <c r="N104" s="16" t="s">
        <v>92</v>
      </c>
      <c r="O104" s="16" t="s">
        <v>126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126</v>
      </c>
      <c r="L105" s="16" t="s">
        <v>20</v>
      </c>
      <c r="M105" s="16" t="s">
        <v>91</v>
      </c>
      <c r="N105" s="16" t="s">
        <v>127</v>
      </c>
      <c r="O105" s="16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19</v>
      </c>
      <c r="L106" s="16" t="s">
        <v>37</v>
      </c>
      <c r="M106" s="16" t="s">
        <v>127</v>
      </c>
      <c r="N106" s="16" t="s">
        <v>18</v>
      </c>
      <c r="O106" s="16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37</v>
      </c>
      <c r="L107" s="16" t="s">
        <v>112</v>
      </c>
      <c r="M107" s="16" t="s">
        <v>91</v>
      </c>
      <c r="N107" s="16" t="s">
        <v>92</v>
      </c>
      <c r="O107" s="16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126</v>
      </c>
      <c r="L108" s="16" t="s">
        <v>37</v>
      </c>
      <c r="M108" s="16" t="s">
        <v>127</v>
      </c>
      <c r="N108" s="16" t="s">
        <v>19</v>
      </c>
      <c r="O108" s="16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37</v>
      </c>
      <c r="L109" s="16" t="s">
        <v>35</v>
      </c>
      <c r="M109" s="16" t="s">
        <v>90</v>
      </c>
      <c r="N109" s="16" t="s">
        <v>35</v>
      </c>
      <c r="O109" s="16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19</v>
      </c>
      <c r="L110" s="16" t="s">
        <v>36</v>
      </c>
      <c r="M110" s="16" t="s">
        <v>91</v>
      </c>
      <c r="N110" s="16" t="s">
        <v>19</v>
      </c>
      <c r="O110" s="16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37</v>
      </c>
      <c r="M111" s="16" t="s">
        <v>112</v>
      </c>
      <c r="N111" s="16" t="s">
        <v>127</v>
      </c>
      <c r="O111" s="16" t="s">
        <v>126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19</v>
      </c>
      <c r="L112" s="16" t="s">
        <v>21</v>
      </c>
      <c r="M112" s="16" t="s">
        <v>92</v>
      </c>
      <c r="N112" s="16" t="s">
        <v>22</v>
      </c>
      <c r="O112" s="16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34</v>
      </c>
      <c r="L113" s="16" t="s">
        <v>35</v>
      </c>
      <c r="M113" s="16" t="s">
        <v>127</v>
      </c>
      <c r="N113" s="16" t="s">
        <v>37</v>
      </c>
      <c r="O113" s="16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37</v>
      </c>
      <c r="L114" s="16" t="s">
        <v>112</v>
      </c>
      <c r="M114" s="16" t="s">
        <v>91</v>
      </c>
      <c r="N114" s="16" t="s">
        <v>19</v>
      </c>
      <c r="O114" s="16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21</v>
      </c>
      <c r="M115" s="16" t="s">
        <v>92</v>
      </c>
      <c r="N115" s="16" t="s">
        <v>21</v>
      </c>
      <c r="O115" s="16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37</v>
      </c>
      <c r="M116" s="16" t="s">
        <v>91</v>
      </c>
      <c r="N116" s="16" t="s">
        <v>35</v>
      </c>
      <c r="O116" s="16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19</v>
      </c>
      <c r="L117" s="16" t="s">
        <v>91</v>
      </c>
      <c r="M117" s="16" t="s">
        <v>112</v>
      </c>
      <c r="N117" s="16" t="s">
        <v>126</v>
      </c>
      <c r="O117" s="16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37</v>
      </c>
      <c r="L118" s="16" t="s">
        <v>127</v>
      </c>
      <c r="M118" s="16" t="s">
        <v>92</v>
      </c>
      <c r="N118" s="16" t="s">
        <v>19</v>
      </c>
      <c r="O118" s="16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19</v>
      </c>
      <c r="L119" s="16" t="s">
        <v>92</v>
      </c>
      <c r="M119" s="16" t="s">
        <v>91</v>
      </c>
      <c r="N119" s="16" t="s">
        <v>34</v>
      </c>
      <c r="O119" s="16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37</v>
      </c>
      <c r="L120" s="16" t="s">
        <v>18</v>
      </c>
      <c r="M120" s="16" t="s">
        <v>127</v>
      </c>
      <c r="N120" s="16" t="s">
        <v>35</v>
      </c>
      <c r="O120" s="16" t="s">
        <v>126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35</v>
      </c>
      <c r="L121" s="16" t="s">
        <v>126</v>
      </c>
      <c r="M121" s="16" t="s">
        <v>112</v>
      </c>
      <c r="N121" s="16" t="s">
        <v>37</v>
      </c>
      <c r="O121" s="16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126</v>
      </c>
      <c r="L122" s="16" t="s">
        <v>18</v>
      </c>
      <c r="M122" s="16" t="s">
        <v>91</v>
      </c>
      <c r="N122" s="16" t="s">
        <v>19</v>
      </c>
      <c r="O122" s="16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37</v>
      </c>
      <c r="L123" s="16" t="s">
        <v>88</v>
      </c>
      <c r="M123" s="16" t="s">
        <v>112</v>
      </c>
      <c r="N123" s="16" t="s">
        <v>37</v>
      </c>
      <c r="O123" s="16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19</v>
      </c>
      <c r="M124" s="16" t="s">
        <v>127</v>
      </c>
      <c r="N124" s="16" t="s">
        <v>92</v>
      </c>
      <c r="O124" s="16" t="s">
        <v>126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19</v>
      </c>
      <c r="L125" s="16" t="s">
        <v>126</v>
      </c>
      <c r="M125" s="16" t="s">
        <v>89</v>
      </c>
      <c r="N125" s="16" t="s">
        <v>126</v>
      </c>
      <c r="O125" s="16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37</v>
      </c>
      <c r="M126" s="16" t="s">
        <v>127</v>
      </c>
      <c r="N126" s="16" t="s">
        <v>35</v>
      </c>
      <c r="O126" s="16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126</v>
      </c>
      <c r="L127" s="16" t="s">
        <v>90</v>
      </c>
      <c r="M127" s="16" t="s">
        <v>92</v>
      </c>
      <c r="N127" s="16" t="s">
        <v>126</v>
      </c>
      <c r="O127" s="16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18</v>
      </c>
      <c r="L128" s="16" t="s">
        <v>35</v>
      </c>
      <c r="M128" s="16" t="s">
        <v>127</v>
      </c>
      <c r="N128" s="16" t="s">
        <v>37</v>
      </c>
      <c r="O128" s="16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19</v>
      </c>
      <c r="L129" s="16" t="s">
        <v>19</v>
      </c>
      <c r="M129" s="16" t="s">
        <v>91</v>
      </c>
      <c r="N129" s="16" t="s">
        <v>35</v>
      </c>
      <c r="O129" s="16" t="s">
        <v>126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127</v>
      </c>
      <c r="M130" s="16" t="s">
        <v>90</v>
      </c>
      <c r="N130" s="16" t="s">
        <v>37</v>
      </c>
      <c r="O130" s="16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126</v>
      </c>
      <c r="L131" s="16" t="s">
        <v>18</v>
      </c>
      <c r="M131" s="16" t="s">
        <v>92</v>
      </c>
      <c r="N131" s="16" t="s">
        <v>19</v>
      </c>
      <c r="O131" s="16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35</v>
      </c>
      <c r="L132" s="16" t="s">
        <v>89</v>
      </c>
      <c r="M132" s="16" t="s">
        <v>97</v>
      </c>
      <c r="N132" s="16" t="s">
        <v>37</v>
      </c>
      <c r="O132" s="16" t="s">
        <v>126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37</v>
      </c>
      <c r="L133" s="16" t="s">
        <v>35</v>
      </c>
      <c r="M133" s="16" t="s">
        <v>112</v>
      </c>
      <c r="N133" s="16" t="s">
        <v>35</v>
      </c>
      <c r="O133" s="16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22</v>
      </c>
      <c r="L134" s="16" t="s">
        <v>37</v>
      </c>
      <c r="M134" s="16" t="s">
        <v>91</v>
      </c>
      <c r="N134" s="16" t="s">
        <v>37</v>
      </c>
      <c r="O134" s="16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18</v>
      </c>
      <c r="M135" s="16" t="s">
        <v>95</v>
      </c>
      <c r="N135" s="16" t="s">
        <v>35</v>
      </c>
      <c r="O135" s="16" t="s">
        <v>126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126</v>
      </c>
      <c r="L136" s="16" t="s">
        <v>127</v>
      </c>
      <c r="M136" s="16" t="s">
        <v>127</v>
      </c>
      <c r="N136" s="16" t="s">
        <v>19</v>
      </c>
      <c r="O136" s="16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21</v>
      </c>
      <c r="M137" s="16" t="s">
        <v>92</v>
      </c>
      <c r="N137" s="16" t="s">
        <v>35</v>
      </c>
      <c r="O137" s="16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126</v>
      </c>
      <c r="M138" s="16" t="s">
        <v>112</v>
      </c>
      <c r="N138" s="16" t="s">
        <v>37</v>
      </c>
      <c r="O138" s="16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126</v>
      </c>
      <c r="L139" s="16" t="s">
        <v>88</v>
      </c>
      <c r="M139" s="16" t="s">
        <v>92</v>
      </c>
      <c r="N139" s="16" t="s">
        <v>126</v>
      </c>
      <c r="O139" s="16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35</v>
      </c>
      <c r="L140" s="16" t="s">
        <v>95</v>
      </c>
      <c r="M140" s="16" t="s">
        <v>91</v>
      </c>
      <c r="N140" s="16" t="s">
        <v>19</v>
      </c>
      <c r="O140" s="16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126</v>
      </c>
      <c r="L141" s="16" t="s">
        <v>19</v>
      </c>
      <c r="M141" s="16" t="s">
        <v>127</v>
      </c>
      <c r="N141" s="16" t="s">
        <v>112</v>
      </c>
      <c r="O141" s="16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35</v>
      </c>
      <c r="L142" s="16" t="s">
        <v>21</v>
      </c>
      <c r="M142" s="16" t="s">
        <v>112</v>
      </c>
      <c r="N142" s="16" t="s">
        <v>37</v>
      </c>
      <c r="O142" s="16" t="s">
        <v>126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37</v>
      </c>
      <c r="M143" s="16" t="s">
        <v>127</v>
      </c>
      <c r="N143" s="16" t="s">
        <v>126</v>
      </c>
      <c r="O143" s="16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126</v>
      </c>
      <c r="L144" s="16" t="s">
        <v>35</v>
      </c>
      <c r="M144" s="16" t="s">
        <v>95</v>
      </c>
      <c r="N144" s="16" t="s">
        <v>127</v>
      </c>
      <c r="O144" s="16" t="s">
        <v>126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19</v>
      </c>
      <c r="M145" s="16" t="s">
        <v>112</v>
      </c>
      <c r="N145" s="16" t="s">
        <v>37</v>
      </c>
      <c r="O145" s="16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126</v>
      </c>
      <c r="L146" s="16" t="s">
        <v>97</v>
      </c>
      <c r="M146" s="16" t="s">
        <v>91</v>
      </c>
      <c r="N146" s="16" t="s">
        <v>34</v>
      </c>
      <c r="O146" s="16" t="s">
        <v>126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126</v>
      </c>
      <c r="M147" s="16" t="s">
        <v>127</v>
      </c>
      <c r="N147" s="16" t="s">
        <v>37</v>
      </c>
      <c r="O147" s="16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126</v>
      </c>
      <c r="L148" s="16" t="s">
        <v>22</v>
      </c>
      <c r="M148" s="16" t="s">
        <v>92</v>
      </c>
      <c r="N148" s="16" t="s">
        <v>19</v>
      </c>
      <c r="O148" s="16" t="s">
        <v>126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112</v>
      </c>
      <c r="M149" s="16" t="s">
        <v>112</v>
      </c>
      <c r="N149" s="16" t="s">
        <v>37</v>
      </c>
      <c r="O149" s="16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126</v>
      </c>
      <c r="L150" s="16" t="s">
        <v>35</v>
      </c>
      <c r="M150" s="16" t="s">
        <v>91</v>
      </c>
      <c r="N150" s="16" t="s">
        <v>126</v>
      </c>
      <c r="O150" s="16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126</v>
      </c>
      <c r="M151" s="16" t="s">
        <v>127</v>
      </c>
      <c r="N151" s="16" t="s">
        <v>37</v>
      </c>
      <c r="O151" s="16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19</v>
      </c>
      <c r="L152" s="16" t="s">
        <v>112</v>
      </c>
      <c r="M152" s="16" t="s">
        <v>90</v>
      </c>
      <c r="N152" s="16" t="s">
        <v>19</v>
      </c>
      <c r="O152" s="16" t="s">
        <v>126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126</v>
      </c>
      <c r="L153" s="16" t="s">
        <v>18</v>
      </c>
      <c r="M153" s="16" t="s">
        <v>91</v>
      </c>
      <c r="N153" s="16" t="s">
        <v>126</v>
      </c>
      <c r="O153" s="16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19</v>
      </c>
      <c r="L154" s="16" t="s">
        <v>36</v>
      </c>
      <c r="M154" s="16" t="s">
        <v>127</v>
      </c>
      <c r="N154" s="16" t="s">
        <v>37</v>
      </c>
      <c r="O154" s="16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21</v>
      </c>
      <c r="L155" s="16" t="s">
        <v>126</v>
      </c>
      <c r="M155" s="16" t="s">
        <v>112</v>
      </c>
      <c r="N155" s="16" t="s">
        <v>19</v>
      </c>
      <c r="O155" s="16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35</v>
      </c>
      <c r="L156" s="16" t="s">
        <v>92</v>
      </c>
      <c r="M156" s="16" t="s">
        <v>97</v>
      </c>
      <c r="N156" s="16" t="s">
        <v>91</v>
      </c>
      <c r="O156" s="16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37</v>
      </c>
      <c r="L157" s="16" t="s">
        <v>35</v>
      </c>
      <c r="M157" s="16" t="s">
        <v>127</v>
      </c>
      <c r="N157" s="16" t="s">
        <v>126</v>
      </c>
      <c r="O157" s="16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36</v>
      </c>
      <c r="M158" s="16" t="s">
        <v>112</v>
      </c>
      <c r="N158" s="16" t="s">
        <v>37</v>
      </c>
      <c r="O158" s="16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19</v>
      </c>
      <c r="L159" s="16" t="s">
        <v>126</v>
      </c>
      <c r="M159" s="16" t="s">
        <v>90</v>
      </c>
      <c r="N159" s="16" t="s">
        <v>112</v>
      </c>
      <c r="O159" s="16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37</v>
      </c>
      <c r="L160" s="16" t="s">
        <v>35</v>
      </c>
      <c r="M160" s="16" t="s">
        <v>127</v>
      </c>
      <c r="N160" s="16" t="s">
        <v>97</v>
      </c>
      <c r="O160" s="16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112</v>
      </c>
      <c r="N161" s="16" t="s">
        <v>89</v>
      </c>
      <c r="O161" s="16" t="s">
        <v>126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19</v>
      </c>
      <c r="L162" s="16" t="s">
        <v>18</v>
      </c>
      <c r="M162" s="16" t="s">
        <v>127</v>
      </c>
      <c r="N162" s="16" t="s">
        <v>127</v>
      </c>
      <c r="O162" s="16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22</v>
      </c>
      <c r="M163" s="16" t="s">
        <v>92</v>
      </c>
      <c r="N163" s="16" t="s">
        <v>97</v>
      </c>
      <c r="O163" s="16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34</v>
      </c>
      <c r="L164" s="16" t="s">
        <v>37</v>
      </c>
      <c r="M164" s="16" t="s">
        <v>112</v>
      </c>
      <c r="N164" s="16" t="s">
        <v>37</v>
      </c>
      <c r="O164" s="16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35</v>
      </c>
      <c r="M165" s="16" t="s">
        <v>127</v>
      </c>
      <c r="N165" s="16" t="s">
        <v>127</v>
      </c>
      <c r="O165" s="16" t="s">
        <v>126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34</v>
      </c>
      <c r="L166" s="16" t="s">
        <v>90</v>
      </c>
      <c r="M166" s="16" t="s">
        <v>112</v>
      </c>
      <c r="N166" s="16" t="s">
        <v>126</v>
      </c>
      <c r="O166" s="16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126</v>
      </c>
      <c r="L167" s="16" t="s">
        <v>22</v>
      </c>
      <c r="M167" s="16" t="s">
        <v>91</v>
      </c>
      <c r="N167" s="16" t="s">
        <v>19</v>
      </c>
      <c r="O167" s="16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19</v>
      </c>
      <c r="M168" s="16" t="s">
        <v>127</v>
      </c>
      <c r="N168" s="16" t="s">
        <v>37</v>
      </c>
      <c r="O168" s="16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22</v>
      </c>
      <c r="M169" s="16" t="s">
        <v>112</v>
      </c>
      <c r="N169" s="16" t="s">
        <v>35</v>
      </c>
      <c r="O169" s="16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34</v>
      </c>
      <c r="L170" s="16" t="s">
        <v>126</v>
      </c>
      <c r="M170" s="16" t="s">
        <v>92</v>
      </c>
      <c r="N170" s="16" t="s">
        <v>37</v>
      </c>
      <c r="O170" s="16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126</v>
      </c>
      <c r="L171" s="16" t="s">
        <v>92</v>
      </c>
      <c r="M171" s="16" t="s">
        <v>127</v>
      </c>
      <c r="N171" s="16" t="s">
        <v>112</v>
      </c>
      <c r="O171" s="16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34</v>
      </c>
      <c r="M172" s="16" t="s">
        <v>112</v>
      </c>
      <c r="N172" s="16" t="s">
        <v>20</v>
      </c>
      <c r="O172" s="16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35</v>
      </c>
      <c r="L173" s="16" t="s">
        <v>21</v>
      </c>
      <c r="M173" s="16" t="s">
        <v>92</v>
      </c>
      <c r="N173" s="16" t="s">
        <v>91</v>
      </c>
      <c r="O173" s="16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37</v>
      </c>
      <c r="L174" s="16" t="s">
        <v>127</v>
      </c>
      <c r="M174" s="16" t="s">
        <v>91</v>
      </c>
      <c r="N174" s="16" t="s">
        <v>19</v>
      </c>
      <c r="O174" s="16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34</v>
      </c>
      <c r="M175" s="16" t="s">
        <v>92</v>
      </c>
      <c r="N175" s="16" t="s">
        <v>90</v>
      </c>
      <c r="O175" s="16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18</v>
      </c>
      <c r="L176" s="16" t="s">
        <v>19</v>
      </c>
      <c r="M176" s="16" t="s">
        <v>97</v>
      </c>
      <c r="N176" s="16" t="s">
        <v>95</v>
      </c>
      <c r="O176" s="16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19</v>
      </c>
      <c r="L177" s="16" t="s">
        <v>92</v>
      </c>
      <c r="M177" s="16" t="s">
        <v>112</v>
      </c>
      <c r="N177" s="16" t="s">
        <v>35</v>
      </c>
      <c r="O177" s="16" t="s">
        <v>126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35</v>
      </c>
      <c r="L178" s="16" t="s">
        <v>127</v>
      </c>
      <c r="M178" s="16" t="s">
        <v>127</v>
      </c>
      <c r="N178" s="16" t="s">
        <v>112</v>
      </c>
      <c r="O178" s="16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37</v>
      </c>
      <c r="L179" s="16" t="s">
        <v>37</v>
      </c>
      <c r="M179" s="16" t="s">
        <v>92</v>
      </c>
      <c r="N179" s="16" t="s">
        <v>18</v>
      </c>
      <c r="O179" s="16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126</v>
      </c>
      <c r="L180" s="16" t="s">
        <v>34</v>
      </c>
      <c r="M180" s="16" t="s">
        <v>127</v>
      </c>
      <c r="N180" s="16" t="s">
        <v>19</v>
      </c>
      <c r="O180" s="16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19</v>
      </c>
      <c r="L181" s="16" t="s">
        <v>35</v>
      </c>
      <c r="M181" s="16" t="s">
        <v>91</v>
      </c>
      <c r="N181" s="16" t="s">
        <v>126</v>
      </c>
      <c r="O181" s="16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35</v>
      </c>
      <c r="L182" s="16" t="s">
        <v>37</v>
      </c>
      <c r="M182" s="16" t="s">
        <v>92</v>
      </c>
      <c r="N182" s="16" t="s">
        <v>112</v>
      </c>
      <c r="O182" s="16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126</v>
      </c>
      <c r="L183" s="16" t="s">
        <v>126</v>
      </c>
      <c r="M183" s="16" t="s">
        <v>91</v>
      </c>
      <c r="N183" s="16" t="s">
        <v>126</v>
      </c>
      <c r="O183" s="16" t="s">
        <v>126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37</v>
      </c>
      <c r="M184" s="16" t="s">
        <v>92</v>
      </c>
      <c r="N184" s="16" t="s">
        <v>35</v>
      </c>
      <c r="O184" s="16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37</v>
      </c>
      <c r="L185" s="16" t="s">
        <v>91</v>
      </c>
      <c r="M185" s="16" t="s">
        <v>127</v>
      </c>
      <c r="N185" s="16" t="s">
        <v>127</v>
      </c>
      <c r="O185" s="16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126</v>
      </c>
      <c r="L186" s="16" t="s">
        <v>35</v>
      </c>
      <c r="M186" s="16" t="s">
        <v>92</v>
      </c>
      <c r="N186" s="16" t="s">
        <v>19</v>
      </c>
      <c r="O186" s="16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37</v>
      </c>
      <c r="M187" s="16" t="s">
        <v>91</v>
      </c>
      <c r="N187" s="16" t="s">
        <v>36</v>
      </c>
      <c r="O187" s="16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19</v>
      </c>
      <c r="L188" s="16" t="s">
        <v>91</v>
      </c>
      <c r="M188" s="16" t="s">
        <v>127</v>
      </c>
      <c r="N188" s="16" t="s">
        <v>126</v>
      </c>
      <c r="O188" s="16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18</v>
      </c>
      <c r="L189" s="16" t="s">
        <v>92</v>
      </c>
      <c r="M189" s="16" t="s">
        <v>112</v>
      </c>
      <c r="N189" s="16" t="s">
        <v>19</v>
      </c>
      <c r="O189" s="16" t="s">
        <v>126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127</v>
      </c>
      <c r="M190" s="16" t="s">
        <v>127</v>
      </c>
      <c r="N190" s="16" t="s">
        <v>37</v>
      </c>
      <c r="O190" s="16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126</v>
      </c>
      <c r="L191" s="16" t="s">
        <v>19</v>
      </c>
      <c r="M191" s="16" t="s">
        <v>91</v>
      </c>
      <c r="N191" s="16" t="s">
        <v>91</v>
      </c>
      <c r="O191" s="16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18</v>
      </c>
      <c r="M192" s="16" t="s">
        <v>112</v>
      </c>
      <c r="N192" s="16" t="s">
        <v>126</v>
      </c>
      <c r="O192" s="16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126</v>
      </c>
      <c r="L193" s="16" t="s">
        <v>35</v>
      </c>
      <c r="M193" s="16" t="s">
        <v>92</v>
      </c>
      <c r="N193" s="16" t="s">
        <v>18</v>
      </c>
      <c r="O193" s="16" t="s">
        <v>126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92</v>
      </c>
      <c r="M194" s="16" t="s">
        <v>127</v>
      </c>
      <c r="N194" s="16" t="s">
        <v>92</v>
      </c>
      <c r="O194" s="16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37</v>
      </c>
      <c r="L195" s="16" t="s">
        <v>19</v>
      </c>
      <c r="M195" s="16" t="s">
        <v>92</v>
      </c>
      <c r="N195" s="16" t="s">
        <v>126</v>
      </c>
      <c r="O195" s="16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35</v>
      </c>
      <c r="L196" s="16" t="s">
        <v>112</v>
      </c>
      <c r="M196" s="16" t="s">
        <v>112</v>
      </c>
      <c r="N196" s="16" t="s">
        <v>91</v>
      </c>
      <c r="O196" s="16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34</v>
      </c>
      <c r="M197" s="16" t="s">
        <v>91</v>
      </c>
      <c r="N197" s="16" t="s">
        <v>18</v>
      </c>
      <c r="O197" s="16" t="s">
        <v>126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35</v>
      </c>
      <c r="L198" s="16" t="s">
        <v>36</v>
      </c>
      <c r="M198" s="16" t="s">
        <v>112</v>
      </c>
      <c r="N198" s="16" t="s">
        <v>19</v>
      </c>
      <c r="O198" s="16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126</v>
      </c>
      <c r="L199" s="16" t="s">
        <v>92</v>
      </c>
      <c r="M199" s="16" t="s">
        <v>90</v>
      </c>
      <c r="N199" s="16" t="s">
        <v>126</v>
      </c>
      <c r="O199" s="16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34</v>
      </c>
      <c r="M200" s="16" t="s">
        <v>112</v>
      </c>
      <c r="N200" s="16" t="s">
        <v>36</v>
      </c>
      <c r="O200" s="16" t="s">
        <v>126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89</v>
      </c>
      <c r="M201" s="16" t="s">
        <v>91</v>
      </c>
      <c r="N201" s="16" t="s">
        <v>35</v>
      </c>
      <c r="O201" s="16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35</v>
      </c>
      <c r="L202" s="16" t="s">
        <v>18</v>
      </c>
      <c r="M202" s="16" t="s">
        <v>127</v>
      </c>
      <c r="N202" s="16" t="s">
        <v>91</v>
      </c>
      <c r="O202" s="16" t="s">
        <v>126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19</v>
      </c>
      <c r="L203" s="16" t="s">
        <v>19</v>
      </c>
      <c r="M203" s="16" t="s">
        <v>91</v>
      </c>
      <c r="N203" s="16" t="s">
        <v>19</v>
      </c>
      <c r="O203" s="16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1" priority="27">
      <formula>_xlfn.LET(_xlpm.x, W4, AND(NOT(_xlfn.ISFORMULA(_xlpm.x)), _xlpm.x&lt;&gt;""))</formula>
    </cfRule>
  </conditionalFormatting>
  <conditionalFormatting sqref="W4:AA203">
    <cfRule type="expression" dxfId="70" priority="22">
      <formula>_xlfn.LET(_xlpm.x, W4, AND(NOT(_xlfn.ISFORMULA(_xlpm.x)), _xlpm.x&lt;&gt;""))</formula>
    </cfRule>
  </conditionalFormatting>
  <conditionalFormatting sqref="K1:O1048576">
    <cfRule type="cellIs" dxfId="69" priority="14" operator="equal">
      <formula>"C1"</formula>
    </cfRule>
    <cfRule type="cellIs" dxfId="68" priority="15" operator="between">
      <formula>"G1"</formula>
      <formula>"G5"</formula>
    </cfRule>
    <cfRule type="cellIs" dxfId="67" priority="17" operator="between">
      <formula>"M1"</formula>
      <formula>"M5"</formula>
    </cfRule>
  </conditionalFormatting>
  <conditionalFormatting sqref="C28:G46 D27:G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{D8F1CD8E-E5BF-43C0-8E21-054E6CC6FB3B}</x14:id>
        </ext>
      </extLst>
    </cfRule>
  </conditionalFormatting>
  <conditionalFormatting sqref="D52:D54">
    <cfRule type="cellIs" dxfId="66" priority="9" operator="equal">
      <formula>"C1"</formula>
    </cfRule>
    <cfRule type="cellIs" dxfId="65" priority="10" operator="between">
      <formula>"G1"</formula>
      <formula>"G4"</formula>
    </cfRule>
    <cfRule type="cellIs" dxfId="64" priority="11" operator="between">
      <formula>"GA"</formula>
      <formula>"GQ"</formula>
    </cfRule>
    <cfRule type="cellIs" dxfId="63" priority="12" operator="between">
      <formula>"M1"</formula>
      <formula>"M4"</formula>
    </cfRule>
  </conditionalFormatting>
  <conditionalFormatting sqref="E52:E54">
    <cfRule type="cellIs" dxfId="62" priority="5" operator="equal">
      <formula>"C1"</formula>
    </cfRule>
    <cfRule type="cellIs" dxfId="61" priority="6" operator="between">
      <formula>"G1"</formula>
      <formula>"G4"</formula>
    </cfRule>
    <cfRule type="cellIs" dxfId="60" priority="7" operator="between">
      <formula>"GA"</formula>
      <formula>"GQ"</formula>
    </cfRule>
    <cfRule type="cellIs" dxfId="59" priority="8" operator="between">
      <formula>"M1"</formula>
      <formula>"M4"</formula>
    </cfRule>
  </conditionalFormatting>
  <conditionalFormatting sqref="F52:F54">
    <cfRule type="cellIs" dxfId="58" priority="1" operator="equal">
      <formula>"C1"</formula>
    </cfRule>
    <cfRule type="cellIs" dxfId="57" priority="2" operator="between">
      <formula>"G1"</formula>
      <formula>"G4"</formula>
    </cfRule>
    <cfRule type="cellIs" dxfId="56" priority="3" operator="between">
      <formula>"GA"</formula>
      <formula>"GQ"</formula>
    </cfRule>
    <cfRule type="cellIs" dxfId="55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F1CD8E-E5BF-43C0-8E21-054E6CC6FB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16" operator="containsText" id="{44943C3D-9A38-463F-A154-1F9B83B1F61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topLeftCell="X59" workbookViewId="0">
      <selection activeCell="AD65" sqref="AD65:AH73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126</v>
      </c>
      <c r="M4" s="26" t="s">
        <v>91</v>
      </c>
      <c r="N4" s="26" t="s">
        <v>126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3</v>
      </c>
      <c r="D5" s="99">
        <f t="shared" si="0"/>
        <v>3</v>
      </c>
      <c r="E5" s="99">
        <f t="shared" si="0"/>
        <v>0</v>
      </c>
      <c r="F5" s="99">
        <f t="shared" si="0"/>
        <v>5</v>
      </c>
      <c r="G5" s="99">
        <f t="shared" si="0"/>
        <v>5</v>
      </c>
      <c r="H5" s="8">
        <v>1</v>
      </c>
      <c r="I5" s="87"/>
      <c r="J5" s="9">
        <v>1</v>
      </c>
      <c r="K5" s="16" t="s">
        <v>126</v>
      </c>
      <c r="L5" s="16" t="s">
        <v>97</v>
      </c>
      <c r="M5" s="16" t="s">
        <v>112</v>
      </c>
      <c r="N5" s="16" t="s">
        <v>19</v>
      </c>
      <c r="O5" s="16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37</v>
      </c>
      <c r="L6" s="16" t="s">
        <v>92</v>
      </c>
      <c r="M6" s="16" t="s">
        <v>91</v>
      </c>
      <c r="N6" s="16" t="s">
        <v>36</v>
      </c>
      <c r="O6" s="16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12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35</v>
      </c>
      <c r="L7" s="26" t="s">
        <v>126</v>
      </c>
      <c r="M7" s="16" t="s">
        <v>127</v>
      </c>
      <c r="N7" s="16" t="s">
        <v>37</v>
      </c>
      <c r="O7" s="16" t="s">
        <v>126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13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126</v>
      </c>
      <c r="L8" s="16" t="s">
        <v>127</v>
      </c>
      <c r="M8" s="16" t="s">
        <v>92</v>
      </c>
      <c r="N8" s="16" t="s">
        <v>35</v>
      </c>
      <c r="O8" s="16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23</v>
      </c>
      <c r="E9" s="133">
        <f t="shared" si="0"/>
        <v>0</v>
      </c>
      <c r="F9" s="133">
        <f t="shared" si="0"/>
        <v>33</v>
      </c>
      <c r="G9" s="133">
        <f t="shared" si="0"/>
        <v>35</v>
      </c>
      <c r="H9" s="112">
        <v>5</v>
      </c>
      <c r="I9" s="87"/>
      <c r="J9" s="9">
        <v>5</v>
      </c>
      <c r="K9" s="16" t="s">
        <v>20</v>
      </c>
      <c r="L9" s="16" t="s">
        <v>35</v>
      </c>
      <c r="M9" s="16" t="s">
        <v>91</v>
      </c>
      <c r="N9" s="16" t="s">
        <v>127</v>
      </c>
      <c r="O9" s="16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12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12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23</v>
      </c>
      <c r="E10" s="133">
        <f t="shared" si="0"/>
        <v>0</v>
      </c>
      <c r="F10" s="133">
        <f t="shared" si="0"/>
        <v>33</v>
      </c>
      <c r="G10" s="133">
        <f t="shared" si="0"/>
        <v>34</v>
      </c>
      <c r="H10" s="112">
        <v>6</v>
      </c>
      <c r="I10" s="87"/>
      <c r="J10" s="25">
        <v>6</v>
      </c>
      <c r="K10" s="16" t="s">
        <v>37</v>
      </c>
      <c r="L10" s="16" t="s">
        <v>21</v>
      </c>
      <c r="M10" s="16" t="s">
        <v>127</v>
      </c>
      <c r="N10" s="16" t="s">
        <v>19</v>
      </c>
      <c r="O10" s="16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13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13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43</v>
      </c>
      <c r="D11" s="133">
        <f t="shared" si="0"/>
        <v>27</v>
      </c>
      <c r="E11" s="133">
        <f t="shared" si="0"/>
        <v>0</v>
      </c>
      <c r="F11" s="133">
        <f t="shared" si="0"/>
        <v>33</v>
      </c>
      <c r="G11" s="133">
        <f t="shared" si="0"/>
        <v>34</v>
      </c>
      <c r="H11" s="112">
        <v>7</v>
      </c>
      <c r="I11" s="87"/>
      <c r="J11" s="9">
        <v>7</v>
      </c>
      <c r="K11" s="16" t="s">
        <v>35</v>
      </c>
      <c r="L11" s="16" t="s">
        <v>91</v>
      </c>
      <c r="M11" s="16" t="s">
        <v>112</v>
      </c>
      <c r="N11" s="16" t="s">
        <v>22</v>
      </c>
      <c r="O11" s="16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23</v>
      </c>
      <c r="AF11" s="133">
        <v>0</v>
      </c>
      <c r="AG11" s="133">
        <v>33</v>
      </c>
      <c r="AH11" s="133">
        <v>35</v>
      </c>
      <c r="AI11" s="5"/>
      <c r="AJ11" s="154" t="str">
        <v>M4</v>
      </c>
      <c r="AK11" s="133">
        <v>43</v>
      </c>
      <c r="AL11" s="133">
        <v>23</v>
      </c>
      <c r="AM11" s="133">
        <v>0</v>
      </c>
      <c r="AN11" s="133">
        <v>33</v>
      </c>
      <c r="AO11" s="133">
        <v>35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25</v>
      </c>
      <c r="E12" s="133">
        <f t="shared" si="0"/>
        <v>0</v>
      </c>
      <c r="F12" s="133">
        <f t="shared" si="0"/>
        <v>34</v>
      </c>
      <c r="G12" s="133">
        <f t="shared" si="0"/>
        <v>34</v>
      </c>
      <c r="H12" s="112">
        <v>8</v>
      </c>
      <c r="I12" s="87"/>
      <c r="J12" s="25">
        <v>8</v>
      </c>
      <c r="K12" s="16" t="s">
        <v>37</v>
      </c>
      <c r="L12" s="16" t="s">
        <v>35</v>
      </c>
      <c r="M12" s="16" t="s">
        <v>90</v>
      </c>
      <c r="N12" s="16" t="s">
        <v>127</v>
      </c>
      <c r="O12" s="16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23</v>
      </c>
      <c r="AF12" s="133">
        <v>0</v>
      </c>
      <c r="AG12" s="133">
        <v>33</v>
      </c>
      <c r="AH12" s="133">
        <v>34</v>
      </c>
      <c r="AI12" s="5"/>
      <c r="AJ12" s="154" t="str">
        <v>M5</v>
      </c>
      <c r="AK12" s="133">
        <v>42</v>
      </c>
      <c r="AL12" s="133">
        <v>23</v>
      </c>
      <c r="AM12" s="133">
        <v>0</v>
      </c>
      <c r="AN12" s="133">
        <v>33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12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36</v>
      </c>
      <c r="L13" s="16" t="s">
        <v>21</v>
      </c>
      <c r="M13" s="16" t="s">
        <v>127</v>
      </c>
      <c r="N13" s="16" t="s">
        <v>95</v>
      </c>
      <c r="O13" s="16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43</v>
      </c>
      <c r="AE13" s="133">
        <v>27</v>
      </c>
      <c r="AF13" s="133">
        <v>0</v>
      </c>
      <c r="AG13" s="133">
        <v>33</v>
      </c>
      <c r="AH13" s="133">
        <v>34</v>
      </c>
      <c r="AI13" s="5"/>
      <c r="AJ13" s="154" t="str">
        <v>A</v>
      </c>
      <c r="AK13" s="133">
        <v>43</v>
      </c>
      <c r="AL13" s="133">
        <v>27</v>
      </c>
      <c r="AM13" s="133">
        <v>0</v>
      </c>
      <c r="AN13" s="133">
        <v>33</v>
      </c>
      <c r="AO13" s="133">
        <v>34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6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19</v>
      </c>
      <c r="L14" s="16" t="s">
        <v>126</v>
      </c>
      <c r="M14" s="16" t="s">
        <v>92</v>
      </c>
      <c r="N14" s="16" t="s">
        <v>127</v>
      </c>
      <c r="O14" s="16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25</v>
      </c>
      <c r="AF14" s="133">
        <v>0</v>
      </c>
      <c r="AG14" s="133">
        <v>34</v>
      </c>
      <c r="AH14" s="133">
        <v>34</v>
      </c>
      <c r="AI14" s="5"/>
      <c r="AJ14" s="154" t="str">
        <v>K</v>
      </c>
      <c r="AK14" s="133">
        <v>43</v>
      </c>
      <c r="AL14" s="133">
        <v>25</v>
      </c>
      <c r="AM14" s="133">
        <v>0</v>
      </c>
      <c r="AN14" s="133">
        <v>34</v>
      </c>
      <c r="AO14" s="133">
        <v>34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35</v>
      </c>
      <c r="L15" s="16" t="s">
        <v>19</v>
      </c>
      <c r="M15" s="16" t="s">
        <v>91</v>
      </c>
      <c r="N15" s="16" t="s">
        <v>91</v>
      </c>
      <c r="O15" s="16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12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12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3</v>
      </c>
      <c r="E16" s="99">
        <f t="shared" si="0"/>
        <v>4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22</v>
      </c>
      <c r="M16" s="16" t="s">
        <v>112</v>
      </c>
      <c r="N16" s="16" t="s">
        <v>19</v>
      </c>
      <c r="O16" s="16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6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6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3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126</v>
      </c>
      <c r="L17" s="16" t="s">
        <v>35</v>
      </c>
      <c r="M17" s="16" t="s">
        <v>91</v>
      </c>
      <c r="N17" s="16" t="s">
        <v>34</v>
      </c>
      <c r="O17" s="16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7</v>
      </c>
      <c r="E18" s="99">
        <f t="shared" si="0"/>
        <v>43</v>
      </c>
      <c r="F18" s="99">
        <f t="shared" si="0"/>
        <v>8</v>
      </c>
      <c r="G18" s="99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37</v>
      </c>
      <c r="M18" s="16" t="s">
        <v>92</v>
      </c>
      <c r="N18" s="16" t="s">
        <v>37</v>
      </c>
      <c r="O18" s="16" t="s">
        <v>126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4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4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7</v>
      </c>
      <c r="E19" s="99">
        <f t="shared" si="0"/>
        <v>42</v>
      </c>
      <c r="F19" s="99">
        <f t="shared" si="0"/>
        <v>9</v>
      </c>
      <c r="G19" s="99">
        <f t="shared" si="0"/>
        <v>0</v>
      </c>
      <c r="H19" s="8">
        <v>15</v>
      </c>
      <c r="I19" s="87"/>
      <c r="J19" s="9">
        <v>15</v>
      </c>
      <c r="K19" s="16" t="s">
        <v>35</v>
      </c>
      <c r="L19" s="16" t="s">
        <v>35</v>
      </c>
      <c r="M19" s="16" t="s">
        <v>91</v>
      </c>
      <c r="N19" s="16" t="s">
        <v>126</v>
      </c>
      <c r="O19" s="16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4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4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10</v>
      </c>
      <c r="E20" s="99">
        <f t="shared" si="0"/>
        <v>42</v>
      </c>
      <c r="F20" s="99">
        <f t="shared" si="0"/>
        <v>6</v>
      </c>
      <c r="G20" s="99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92</v>
      </c>
      <c r="M20" s="16" t="s">
        <v>90</v>
      </c>
      <c r="N20" s="16" t="s">
        <v>35</v>
      </c>
      <c r="O20" s="16" t="s">
        <v>126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8</v>
      </c>
      <c r="AF20" s="99">
        <v>43</v>
      </c>
      <c r="AG20" s="99">
        <v>9</v>
      </c>
      <c r="AH20" s="99">
        <v>0</v>
      </c>
      <c r="AI20" s="5"/>
      <c r="AJ20" s="138" t="str">
        <v>G4</v>
      </c>
      <c r="AK20" s="99">
        <v>0</v>
      </c>
      <c r="AL20" s="99">
        <v>8</v>
      </c>
      <c r="AM20" s="99">
        <v>43</v>
      </c>
      <c r="AN20" s="99">
        <v>9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7</v>
      </c>
      <c r="E21" s="99">
        <f t="shared" si="0"/>
        <v>43</v>
      </c>
      <c r="F21" s="99">
        <f t="shared" si="0"/>
        <v>6</v>
      </c>
      <c r="G21" s="99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35</v>
      </c>
      <c r="M21" s="16" t="s">
        <v>92</v>
      </c>
      <c r="N21" s="16" t="s">
        <v>37</v>
      </c>
      <c r="O21" s="16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8</v>
      </c>
      <c r="AF21" s="99">
        <v>42</v>
      </c>
      <c r="AG21" s="99">
        <v>10</v>
      </c>
      <c r="AH21" s="99">
        <v>0</v>
      </c>
      <c r="AI21" s="5"/>
      <c r="AJ21" s="138" t="str">
        <v>G5</v>
      </c>
      <c r="AK21" s="99">
        <v>0</v>
      </c>
      <c r="AL21" s="99">
        <v>8</v>
      </c>
      <c r="AM21" s="99">
        <v>42</v>
      </c>
      <c r="AN21" s="99">
        <v>10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3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37</v>
      </c>
      <c r="L22" s="16" t="s">
        <v>19</v>
      </c>
      <c r="M22" s="16" t="s">
        <v>91</v>
      </c>
      <c r="N22" s="16" t="s">
        <v>126</v>
      </c>
      <c r="O22" s="16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11</v>
      </c>
      <c r="AF22" s="99">
        <v>42</v>
      </c>
      <c r="AG22" s="99">
        <v>7</v>
      </c>
      <c r="AH22" s="99">
        <v>0</v>
      </c>
      <c r="AI22" s="5"/>
      <c r="AJ22" s="138" t="str">
        <v>GA</v>
      </c>
      <c r="AK22" s="99">
        <v>0</v>
      </c>
      <c r="AL22" s="99">
        <v>11</v>
      </c>
      <c r="AM22" s="99">
        <v>42</v>
      </c>
      <c r="AN22" s="99">
        <v>7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18</v>
      </c>
      <c r="L23" s="16" t="s">
        <v>126</v>
      </c>
      <c r="M23" s="16" t="s">
        <v>95</v>
      </c>
      <c r="N23" s="16" t="s">
        <v>35</v>
      </c>
      <c r="O23" s="16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8</v>
      </c>
      <c r="AF23" s="99">
        <v>43</v>
      </c>
      <c r="AG23" s="99">
        <v>7</v>
      </c>
      <c r="AH23" s="99">
        <v>0</v>
      </c>
      <c r="AI23" s="5"/>
      <c r="AJ23" s="138" t="str">
        <v>GK</v>
      </c>
      <c r="AK23" s="99">
        <v>0</v>
      </c>
      <c r="AL23" s="99">
        <v>8</v>
      </c>
      <c r="AM23" s="99">
        <v>43</v>
      </c>
      <c r="AN23" s="99">
        <v>7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37</v>
      </c>
      <c r="M24" s="16" t="s">
        <v>127</v>
      </c>
      <c r="N24" s="16" t="s">
        <v>89</v>
      </c>
      <c r="O24" s="16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4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4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126</v>
      </c>
      <c r="L25" s="16" t="s">
        <v>89</v>
      </c>
      <c r="M25" s="16" t="s">
        <v>92</v>
      </c>
      <c r="N25" s="16" t="s">
        <v>126</v>
      </c>
      <c r="O25" s="16" t="s">
        <v>126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0.78</v>
      </c>
      <c r="E26" s="181">
        <f t="shared" si="1"/>
        <v>0</v>
      </c>
      <c r="F26" s="181">
        <f t="shared" si="1"/>
        <v>0.82</v>
      </c>
      <c r="G26" s="5">
        <f t="shared" si="1"/>
        <v>1</v>
      </c>
      <c r="I26" s="87"/>
      <c r="J26" s="25">
        <v>22</v>
      </c>
      <c r="K26" s="16" t="s">
        <v>19</v>
      </c>
      <c r="L26" s="16" t="s">
        <v>35</v>
      </c>
      <c r="M26" s="16" t="s">
        <v>91</v>
      </c>
      <c r="N26" s="16" t="s">
        <v>35</v>
      </c>
      <c r="O26" s="16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198</v>
      </c>
      <c r="AE26" s="113">
        <f>SUM(AE6:AE25)</f>
        <v>207</v>
      </c>
      <c r="AF26" s="113">
        <f>SUM(AF6:AF25)</f>
        <v>197</v>
      </c>
      <c r="AG26" s="113">
        <f>SUM(AG6:AG25)</f>
        <v>205</v>
      </c>
      <c r="AH26" s="113">
        <f>SUM(AH6:AH25)</f>
        <v>196</v>
      </c>
      <c r="AI26" s="5"/>
      <c r="AK26" s="113">
        <f>SUM(AK6:AK25)</f>
        <v>198</v>
      </c>
      <c r="AL26" s="113">
        <f>SUM(AL6:AL25)</f>
        <v>207</v>
      </c>
      <c r="AM26" s="113">
        <f>SUM(AM6:AM25)</f>
        <v>197</v>
      </c>
      <c r="AN26" s="113">
        <f>SUM(AN6:AN25)</f>
        <v>205</v>
      </c>
      <c r="AO26" s="113">
        <f>SUM(AO6:AO25)</f>
        <v>196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0.22</v>
      </c>
      <c r="E27" s="181">
        <f t="shared" si="2"/>
        <v>1</v>
      </c>
      <c r="F27" s="181">
        <f t="shared" si="2"/>
        <v>0.18</v>
      </c>
      <c r="G27" s="5">
        <f t="shared" si="2"/>
        <v>0</v>
      </c>
      <c r="I27" s="87"/>
      <c r="J27" s="9">
        <v>23</v>
      </c>
      <c r="K27" s="16" t="s">
        <v>126</v>
      </c>
      <c r="L27" s="16" t="s">
        <v>126</v>
      </c>
      <c r="M27" s="16" t="s">
        <v>127</v>
      </c>
      <c r="N27" s="16" t="s">
        <v>112</v>
      </c>
      <c r="O27" s="16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37</v>
      </c>
      <c r="L28" s="16" t="s">
        <v>18</v>
      </c>
      <c r="M28" s="16" t="s">
        <v>92</v>
      </c>
      <c r="N28" s="16" t="s">
        <v>35</v>
      </c>
      <c r="O28" s="16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126</v>
      </c>
      <c r="M29" s="16" t="s">
        <v>91</v>
      </c>
      <c r="N29" s="16" t="s">
        <v>37</v>
      </c>
      <c r="O29" s="16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19</v>
      </c>
      <c r="L30" s="16" t="s">
        <v>35</v>
      </c>
      <c r="M30" s="16" t="s">
        <v>127</v>
      </c>
      <c r="N30" s="16" t="s">
        <v>35</v>
      </c>
      <c r="O30" s="16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126</v>
      </c>
      <c r="L31" s="16" t="s">
        <v>37</v>
      </c>
      <c r="M31" s="16" t="s">
        <v>92</v>
      </c>
      <c r="N31" s="16" t="s">
        <v>37</v>
      </c>
      <c r="O31" s="16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35</v>
      </c>
      <c r="L32" s="16" t="s">
        <v>34</v>
      </c>
      <c r="M32" s="16" t="s">
        <v>97</v>
      </c>
      <c r="N32" s="16" t="s">
        <v>126</v>
      </c>
      <c r="O32" s="16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19</v>
      </c>
      <c r="L33" s="16" t="s">
        <v>18</v>
      </c>
      <c r="M33" s="16" t="s">
        <v>92</v>
      </c>
      <c r="N33" s="16" t="s">
        <v>92</v>
      </c>
      <c r="O33" s="16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12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12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37</v>
      </c>
      <c r="L34" s="16" t="s">
        <v>34</v>
      </c>
      <c r="M34" s="16" t="s">
        <v>90</v>
      </c>
      <c r="N34" s="16" t="s">
        <v>19</v>
      </c>
      <c r="O34" s="16" t="s">
        <v>126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13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13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35</v>
      </c>
      <c r="L35" s="16" t="s">
        <v>112</v>
      </c>
      <c r="M35" s="16" t="s">
        <v>127</v>
      </c>
      <c r="N35" s="16" t="s">
        <v>127</v>
      </c>
      <c r="O35" s="16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23</v>
      </c>
      <c r="AF35" s="133">
        <v>0</v>
      </c>
      <c r="AG35" s="133">
        <v>33</v>
      </c>
      <c r="AH35" s="133">
        <v>35</v>
      </c>
      <c r="AI35" s="5"/>
      <c r="AJ35" s="154" t="str">
        <v>M4</v>
      </c>
      <c r="AK35" s="133">
        <v>43</v>
      </c>
      <c r="AL35" s="133">
        <v>23</v>
      </c>
      <c r="AM35" s="133">
        <v>0</v>
      </c>
      <c r="AN35" s="133">
        <v>33</v>
      </c>
      <c r="AO35" s="133">
        <v>35</v>
      </c>
    </row>
    <row r="36" spans="10:41" ht="16.5" customHeight="1" x14ac:dyDescent="0.3">
      <c r="J36" s="25">
        <v>32</v>
      </c>
      <c r="K36" s="16" t="s">
        <v>37</v>
      </c>
      <c r="L36" s="16" t="s">
        <v>37</v>
      </c>
      <c r="M36" s="16" t="s">
        <v>112</v>
      </c>
      <c r="N36" s="16" t="s">
        <v>35</v>
      </c>
      <c r="O36" s="16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23</v>
      </c>
      <c r="AF36" s="133">
        <v>0</v>
      </c>
      <c r="AG36" s="133">
        <v>33</v>
      </c>
      <c r="AH36" s="133">
        <v>34</v>
      </c>
      <c r="AI36" s="5"/>
      <c r="AJ36" s="154" t="str">
        <v>M5</v>
      </c>
      <c r="AK36" s="133">
        <v>42</v>
      </c>
      <c r="AL36" s="133">
        <v>23</v>
      </c>
      <c r="AM36" s="133">
        <v>0</v>
      </c>
      <c r="AN36" s="133">
        <v>33</v>
      </c>
      <c r="AO36" s="133">
        <v>34</v>
      </c>
    </row>
    <row r="37" spans="10:41" ht="16.5" customHeight="1" x14ac:dyDescent="0.3">
      <c r="J37" s="9">
        <v>33</v>
      </c>
      <c r="K37" s="16" t="s">
        <v>126</v>
      </c>
      <c r="L37" s="16" t="s">
        <v>19</v>
      </c>
      <c r="M37" s="16" t="s">
        <v>92</v>
      </c>
      <c r="N37" s="16" t="s">
        <v>19</v>
      </c>
      <c r="O37" s="16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43</v>
      </c>
      <c r="AE37" s="133">
        <v>27</v>
      </c>
      <c r="AF37" s="133">
        <v>0</v>
      </c>
      <c r="AG37" s="133">
        <v>33</v>
      </c>
      <c r="AH37" s="133">
        <v>34</v>
      </c>
      <c r="AI37" s="5"/>
      <c r="AJ37" s="154" t="str">
        <v>A</v>
      </c>
      <c r="AK37" s="133">
        <v>43</v>
      </c>
      <c r="AL37" s="133">
        <v>27</v>
      </c>
      <c r="AM37" s="133">
        <v>0</v>
      </c>
      <c r="AN37" s="133">
        <v>33</v>
      </c>
      <c r="AO37" s="133">
        <v>34</v>
      </c>
    </row>
    <row r="38" spans="10:41" ht="16.5" customHeight="1" x14ac:dyDescent="0.3">
      <c r="J38" s="25">
        <v>34</v>
      </c>
      <c r="K38" s="16" t="s">
        <v>19</v>
      </c>
      <c r="L38" s="16" t="s">
        <v>18</v>
      </c>
      <c r="M38" s="16" t="s">
        <v>127</v>
      </c>
      <c r="N38" s="16" t="s">
        <v>37</v>
      </c>
      <c r="O38" s="16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25</v>
      </c>
      <c r="AF38" s="133">
        <v>0</v>
      </c>
      <c r="AG38" s="133">
        <v>34</v>
      </c>
      <c r="AH38" s="133">
        <v>34</v>
      </c>
      <c r="AI38" s="5"/>
      <c r="AJ38" s="154" t="str">
        <v>K</v>
      </c>
      <c r="AK38" s="133">
        <v>43</v>
      </c>
      <c r="AL38" s="133">
        <v>25</v>
      </c>
      <c r="AM38" s="133">
        <v>0</v>
      </c>
      <c r="AN38" s="133">
        <v>34</v>
      </c>
      <c r="AO38" s="133">
        <v>34</v>
      </c>
    </row>
    <row r="39" spans="10:41" ht="16.5" customHeight="1" x14ac:dyDescent="0.3">
      <c r="J39" s="9">
        <v>35</v>
      </c>
      <c r="K39" s="16" t="s">
        <v>35</v>
      </c>
      <c r="L39" s="16" t="s">
        <v>22</v>
      </c>
      <c r="M39" s="16" t="s">
        <v>92</v>
      </c>
      <c r="N39" s="16" t="s">
        <v>112</v>
      </c>
      <c r="O39" s="16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12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12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126</v>
      </c>
      <c r="L40" s="16" t="s">
        <v>20</v>
      </c>
      <c r="M40" s="16" t="s">
        <v>112</v>
      </c>
      <c r="N40" s="16" t="s">
        <v>36</v>
      </c>
      <c r="O40" s="16" t="s">
        <v>126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6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6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35</v>
      </c>
      <c r="L41" s="16" t="s">
        <v>127</v>
      </c>
      <c r="M41" s="16" t="s">
        <v>127</v>
      </c>
      <c r="N41" s="16" t="s">
        <v>126</v>
      </c>
      <c r="O41" s="16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19</v>
      </c>
      <c r="M42" s="16" t="s">
        <v>97</v>
      </c>
      <c r="N42" s="16" t="s">
        <v>18</v>
      </c>
      <c r="O42" s="16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4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4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35</v>
      </c>
      <c r="L43" s="16" t="s">
        <v>126</v>
      </c>
      <c r="M43" s="16" t="s">
        <v>88</v>
      </c>
      <c r="N43" s="16" t="s">
        <v>126</v>
      </c>
      <c r="O43" s="16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4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4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126</v>
      </c>
      <c r="L44" s="16" t="s">
        <v>36</v>
      </c>
      <c r="M44" s="16" t="s">
        <v>91</v>
      </c>
      <c r="N44" s="16" t="s">
        <v>35</v>
      </c>
      <c r="O44" s="16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8</v>
      </c>
      <c r="AF44" s="99">
        <v>43</v>
      </c>
      <c r="AG44" s="99">
        <v>9</v>
      </c>
      <c r="AH44" s="99">
        <v>0</v>
      </c>
      <c r="AI44" s="5"/>
      <c r="AJ44" s="138" t="str">
        <v>G4</v>
      </c>
      <c r="AK44" s="99">
        <v>0</v>
      </c>
      <c r="AL44" s="99">
        <v>8</v>
      </c>
      <c r="AM44" s="99">
        <v>43</v>
      </c>
      <c r="AN44" s="99">
        <v>9</v>
      </c>
      <c r="AO44" s="99">
        <v>0</v>
      </c>
    </row>
    <row r="45" spans="10:41" ht="16.5" customHeight="1" x14ac:dyDescent="0.3">
      <c r="J45" s="9">
        <v>41</v>
      </c>
      <c r="K45" s="16" t="s">
        <v>37</v>
      </c>
      <c r="L45" s="16" t="s">
        <v>22</v>
      </c>
      <c r="M45" s="16" t="s">
        <v>92</v>
      </c>
      <c r="N45" s="16" t="s">
        <v>19</v>
      </c>
      <c r="O45" s="16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8</v>
      </c>
      <c r="AF45" s="99">
        <v>42</v>
      </c>
      <c r="AG45" s="99">
        <v>10</v>
      </c>
      <c r="AH45" s="99">
        <v>0</v>
      </c>
      <c r="AI45" s="5"/>
      <c r="AJ45" s="138" t="str">
        <v>G5</v>
      </c>
      <c r="AK45" s="99">
        <v>0</v>
      </c>
      <c r="AL45" s="99">
        <v>8</v>
      </c>
      <c r="AM45" s="99">
        <v>42</v>
      </c>
      <c r="AN45" s="99">
        <v>10</v>
      </c>
      <c r="AO45" s="99">
        <v>0</v>
      </c>
    </row>
    <row r="46" spans="10:41" ht="16.5" customHeight="1" x14ac:dyDescent="0.3">
      <c r="J46" s="25">
        <v>42</v>
      </c>
      <c r="K46" s="16" t="s">
        <v>19</v>
      </c>
      <c r="L46" s="16" t="s">
        <v>37</v>
      </c>
      <c r="M46" s="16" t="s">
        <v>112</v>
      </c>
      <c r="N46" s="16" t="s">
        <v>126</v>
      </c>
      <c r="O46" s="16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11</v>
      </c>
      <c r="AF46" s="99">
        <v>42</v>
      </c>
      <c r="AG46" s="99">
        <v>7</v>
      </c>
      <c r="AH46" s="99">
        <v>0</v>
      </c>
      <c r="AI46" s="5"/>
      <c r="AJ46" s="138" t="str">
        <v>GA</v>
      </c>
      <c r="AK46" s="99">
        <v>0</v>
      </c>
      <c r="AL46" s="99">
        <v>11</v>
      </c>
      <c r="AM46" s="99">
        <v>42</v>
      </c>
      <c r="AN46" s="99">
        <v>7</v>
      </c>
      <c r="AO46" s="99">
        <v>0</v>
      </c>
    </row>
    <row r="47" spans="10:41" ht="16.5" customHeight="1" x14ac:dyDescent="0.3">
      <c r="J47" s="9">
        <v>43</v>
      </c>
      <c r="K47" s="16" t="s">
        <v>35</v>
      </c>
      <c r="L47" s="16" t="s">
        <v>36</v>
      </c>
      <c r="M47" s="16" t="s">
        <v>92</v>
      </c>
      <c r="N47" s="16" t="s">
        <v>36</v>
      </c>
      <c r="O47" s="16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8</v>
      </c>
      <c r="AF47" s="99">
        <v>43</v>
      </c>
      <c r="AG47" s="99">
        <v>7</v>
      </c>
      <c r="AH47" s="99">
        <v>0</v>
      </c>
      <c r="AI47" s="5"/>
      <c r="AJ47" s="138" t="str">
        <v>GK</v>
      </c>
      <c r="AK47" s="99">
        <v>0</v>
      </c>
      <c r="AL47" s="99">
        <v>8</v>
      </c>
      <c r="AM47" s="99">
        <v>43</v>
      </c>
      <c r="AN47" s="99">
        <v>7</v>
      </c>
      <c r="AO47" s="99">
        <v>0</v>
      </c>
    </row>
    <row r="48" spans="10:41" ht="16.5" customHeight="1" x14ac:dyDescent="0.3">
      <c r="J48" s="25">
        <v>44</v>
      </c>
      <c r="K48" s="16" t="s">
        <v>37</v>
      </c>
      <c r="L48" s="16" t="s">
        <v>126</v>
      </c>
      <c r="M48" s="16" t="s">
        <v>127</v>
      </c>
      <c r="N48" s="16" t="s">
        <v>35</v>
      </c>
      <c r="O48" s="16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4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4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126</v>
      </c>
      <c r="L49" s="16" t="s">
        <v>19</v>
      </c>
      <c r="M49" s="16" t="s">
        <v>91</v>
      </c>
      <c r="N49" s="16" t="s">
        <v>126</v>
      </c>
      <c r="O49" s="16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35</v>
      </c>
      <c r="L50" s="16" t="s">
        <v>34</v>
      </c>
      <c r="M50" s="16" t="s">
        <v>97</v>
      </c>
      <c r="N50" s="16" t="s">
        <v>92</v>
      </c>
      <c r="O50" s="16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198</v>
      </c>
      <c r="AE50" s="113">
        <f>SUM(AE30:AE49)</f>
        <v>207</v>
      </c>
      <c r="AF50" s="113">
        <f>SUM(AF30:AF49)</f>
        <v>197</v>
      </c>
      <c r="AG50" s="113">
        <f>SUM(AG30:AG49)</f>
        <v>205</v>
      </c>
      <c r="AH50" s="113">
        <f>SUM(AH30:AH49)</f>
        <v>196</v>
      </c>
      <c r="AI50" s="5"/>
      <c r="AK50" s="113">
        <f>SUM(AK30:AK49)</f>
        <v>198</v>
      </c>
      <c r="AL50" s="113">
        <f>SUM(AL30:AL49)</f>
        <v>207</v>
      </c>
      <c r="AM50" s="113">
        <f>SUM(AM30:AM49)</f>
        <v>197</v>
      </c>
      <c r="AN50" s="113">
        <f>SUM(AN30:AN49)</f>
        <v>205</v>
      </c>
      <c r="AO50" s="113">
        <f>SUM(AO30:AO49)</f>
        <v>196</v>
      </c>
    </row>
    <row r="51" spans="10:41" ht="16.5" customHeight="1" x14ac:dyDescent="0.3">
      <c r="J51" s="9">
        <v>47</v>
      </c>
      <c r="K51" s="16" t="s">
        <v>19</v>
      </c>
      <c r="L51" s="16" t="s">
        <v>126</v>
      </c>
      <c r="M51" s="16" t="s">
        <v>92</v>
      </c>
      <c r="N51" s="16" t="s">
        <v>35</v>
      </c>
      <c r="O51" s="16" t="s">
        <v>126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36</v>
      </c>
      <c r="L52" s="16" t="s">
        <v>22</v>
      </c>
      <c r="M52" s="16" t="s">
        <v>112</v>
      </c>
      <c r="N52" s="16" t="s">
        <v>91</v>
      </c>
      <c r="O52" s="16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37</v>
      </c>
      <c r="M53" s="16" t="s">
        <v>127</v>
      </c>
      <c r="N53" s="16" t="s">
        <v>127</v>
      </c>
      <c r="O53" s="16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34</v>
      </c>
      <c r="L54" s="16" t="s">
        <v>127</v>
      </c>
      <c r="M54" s="16" t="s">
        <v>90</v>
      </c>
      <c r="N54" s="16" t="s">
        <v>112</v>
      </c>
      <c r="O54" s="16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19</v>
      </c>
      <c r="L55" s="16" t="s">
        <v>22</v>
      </c>
      <c r="M55" s="16" t="s">
        <v>91</v>
      </c>
      <c r="N55" s="16" t="s">
        <v>126</v>
      </c>
      <c r="O55" s="16" t="s">
        <v>126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35</v>
      </c>
      <c r="L56" s="16" t="s">
        <v>19</v>
      </c>
      <c r="M56" s="16" t="s">
        <v>90</v>
      </c>
      <c r="N56" s="16" t="s">
        <v>35</v>
      </c>
      <c r="O56" s="16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21</v>
      </c>
      <c r="L57" s="16" t="s">
        <v>88</v>
      </c>
      <c r="M57" s="16" t="s">
        <v>112</v>
      </c>
      <c r="N57" s="16" t="s">
        <v>92</v>
      </c>
      <c r="O57" s="16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12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12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35</v>
      </c>
      <c r="L58" s="16" t="s">
        <v>20</v>
      </c>
      <c r="M58" s="16" t="s">
        <v>91</v>
      </c>
      <c r="N58" s="16" t="s">
        <v>112</v>
      </c>
      <c r="O58" s="16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13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13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126</v>
      </c>
      <c r="L59" s="16" t="s">
        <v>92</v>
      </c>
      <c r="M59" s="16" t="s">
        <v>127</v>
      </c>
      <c r="N59" s="16" t="s">
        <v>35</v>
      </c>
      <c r="O59" s="16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23</v>
      </c>
      <c r="AF59" s="133">
        <v>0</v>
      </c>
      <c r="AG59" s="133">
        <v>33</v>
      </c>
      <c r="AH59" s="133">
        <v>35</v>
      </c>
      <c r="AI59" s="5"/>
      <c r="AJ59" s="154" t="str">
        <v>M4</v>
      </c>
      <c r="AK59" s="133">
        <v>43</v>
      </c>
      <c r="AL59" s="133">
        <v>23</v>
      </c>
      <c r="AM59" s="133">
        <v>0</v>
      </c>
      <c r="AN59" s="133">
        <v>33</v>
      </c>
      <c r="AO59" s="133">
        <v>35</v>
      </c>
    </row>
    <row r="60" spans="10:41" ht="16.5" customHeight="1" x14ac:dyDescent="0.3">
      <c r="J60" s="25">
        <v>56</v>
      </c>
      <c r="K60" s="16" t="s">
        <v>18</v>
      </c>
      <c r="L60" s="16" t="s">
        <v>19</v>
      </c>
      <c r="M60" s="16" t="s">
        <v>112</v>
      </c>
      <c r="N60" s="16" t="s">
        <v>126</v>
      </c>
      <c r="O60" s="16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23</v>
      </c>
      <c r="AF60" s="133">
        <v>0</v>
      </c>
      <c r="AG60" s="133">
        <v>33</v>
      </c>
      <c r="AH60" s="133">
        <v>34</v>
      </c>
      <c r="AI60" s="5"/>
      <c r="AJ60" s="154" t="str">
        <v>M5</v>
      </c>
      <c r="AK60" s="133">
        <v>42</v>
      </c>
      <c r="AL60" s="133">
        <v>23</v>
      </c>
      <c r="AM60" s="133">
        <v>0</v>
      </c>
      <c r="AN60" s="133">
        <v>33</v>
      </c>
      <c r="AO60" s="133">
        <v>34</v>
      </c>
    </row>
    <row r="61" spans="10:41" x14ac:dyDescent="0.3">
      <c r="J61" s="9">
        <v>57</v>
      </c>
      <c r="K61" s="16" t="s">
        <v>35</v>
      </c>
      <c r="L61" s="16" t="s">
        <v>126</v>
      </c>
      <c r="M61" s="16" t="s">
        <v>127</v>
      </c>
      <c r="N61" s="16" t="s">
        <v>21</v>
      </c>
      <c r="O61" s="16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43</v>
      </c>
      <c r="AE61" s="133">
        <v>27</v>
      </c>
      <c r="AF61" s="133">
        <v>0</v>
      </c>
      <c r="AG61" s="133">
        <v>33</v>
      </c>
      <c r="AH61" s="133">
        <v>34</v>
      </c>
      <c r="AI61" s="5"/>
      <c r="AJ61" s="154" t="str">
        <v>A</v>
      </c>
      <c r="AK61" s="133">
        <v>43</v>
      </c>
      <c r="AL61" s="133">
        <v>27</v>
      </c>
      <c r="AM61" s="133">
        <v>0</v>
      </c>
      <c r="AN61" s="133">
        <v>33</v>
      </c>
      <c r="AO61" s="133">
        <v>34</v>
      </c>
    </row>
    <row r="62" spans="10:41" x14ac:dyDescent="0.3">
      <c r="J62" s="25">
        <v>58</v>
      </c>
      <c r="K62" s="16" t="s">
        <v>126</v>
      </c>
      <c r="L62" s="16" t="s">
        <v>91</v>
      </c>
      <c r="M62" s="16" t="s">
        <v>92</v>
      </c>
      <c r="N62" s="16" t="s">
        <v>91</v>
      </c>
      <c r="O62" s="16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25</v>
      </c>
      <c r="AF62" s="133">
        <v>0</v>
      </c>
      <c r="AG62" s="133">
        <v>34</v>
      </c>
      <c r="AH62" s="133">
        <v>34</v>
      </c>
      <c r="AI62" s="5"/>
      <c r="AJ62" s="154" t="str">
        <v>K</v>
      </c>
      <c r="AK62" s="133">
        <v>43</v>
      </c>
      <c r="AL62" s="133">
        <v>25</v>
      </c>
      <c r="AM62" s="133">
        <v>0</v>
      </c>
      <c r="AN62" s="133">
        <v>34</v>
      </c>
      <c r="AO62" s="133">
        <v>34</v>
      </c>
    </row>
    <row r="63" spans="10:41" ht="16.5" customHeight="1" x14ac:dyDescent="0.3">
      <c r="J63" s="9">
        <v>59</v>
      </c>
      <c r="K63" s="16" t="s">
        <v>35</v>
      </c>
      <c r="L63" s="16" t="s">
        <v>21</v>
      </c>
      <c r="M63" s="16" t="s">
        <v>127</v>
      </c>
      <c r="N63" s="16" t="s">
        <v>35</v>
      </c>
      <c r="O63" s="16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12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12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19</v>
      </c>
      <c r="L64" s="16" t="s">
        <v>89</v>
      </c>
      <c r="M64" s="16" t="s">
        <v>112</v>
      </c>
      <c r="N64" s="16" t="s">
        <v>126</v>
      </c>
      <c r="O64" s="16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6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6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126</v>
      </c>
      <c r="L65" s="16" t="s">
        <v>126</v>
      </c>
      <c r="M65" s="16" t="s">
        <v>90</v>
      </c>
      <c r="N65" s="16" t="s">
        <v>19</v>
      </c>
      <c r="O65" s="16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37</v>
      </c>
      <c r="L66" s="16" t="s">
        <v>95</v>
      </c>
      <c r="M66" s="16" t="s">
        <v>112</v>
      </c>
      <c r="N66" s="16" t="s">
        <v>126</v>
      </c>
      <c r="O66" s="16" t="s">
        <v>126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4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4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19</v>
      </c>
      <c r="L67" s="16" t="s">
        <v>18</v>
      </c>
      <c r="M67" s="16" t="s">
        <v>92</v>
      </c>
      <c r="N67" s="16" t="s">
        <v>35</v>
      </c>
      <c r="O67" s="16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4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4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37</v>
      </c>
      <c r="L68" s="16" t="s">
        <v>37</v>
      </c>
      <c r="M68" s="16" t="s">
        <v>91</v>
      </c>
      <c r="N68" s="16" t="s">
        <v>19</v>
      </c>
      <c r="O68" s="16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8</v>
      </c>
      <c r="AF68" s="99">
        <v>43</v>
      </c>
      <c r="AG68" s="99">
        <v>9</v>
      </c>
      <c r="AH68" s="99">
        <v>0</v>
      </c>
      <c r="AI68" s="5"/>
      <c r="AJ68" s="138" t="str">
        <v>G4</v>
      </c>
      <c r="AK68" s="99">
        <v>0</v>
      </c>
      <c r="AL68" s="99">
        <v>8</v>
      </c>
      <c r="AM68" s="99">
        <v>43</v>
      </c>
      <c r="AN68" s="99">
        <v>9</v>
      </c>
      <c r="AO68" s="99">
        <v>0</v>
      </c>
    </row>
    <row r="69" spans="10:41" ht="16.5" customHeight="1" x14ac:dyDescent="0.3">
      <c r="J69" s="9">
        <v>65</v>
      </c>
      <c r="K69" s="16" t="s">
        <v>35</v>
      </c>
      <c r="L69" s="16" t="s">
        <v>18</v>
      </c>
      <c r="M69" s="16" t="s">
        <v>127</v>
      </c>
      <c r="N69" s="16" t="s">
        <v>126</v>
      </c>
      <c r="O69" s="16" t="s">
        <v>126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8</v>
      </c>
      <c r="AF69" s="99">
        <v>42</v>
      </c>
      <c r="AG69" s="99">
        <v>10</v>
      </c>
      <c r="AH69" s="99">
        <v>0</v>
      </c>
      <c r="AI69" s="5"/>
      <c r="AJ69" s="138" t="str">
        <v>G5</v>
      </c>
      <c r="AK69" s="99">
        <v>0</v>
      </c>
      <c r="AL69" s="99">
        <v>8</v>
      </c>
      <c r="AM69" s="99">
        <v>42</v>
      </c>
      <c r="AN69" s="99">
        <v>10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112</v>
      </c>
      <c r="M70" s="16" t="s">
        <v>112</v>
      </c>
      <c r="N70" s="16" t="s">
        <v>20</v>
      </c>
      <c r="O70" s="16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11</v>
      </c>
      <c r="AF70" s="99">
        <v>42</v>
      </c>
      <c r="AG70" s="99">
        <v>7</v>
      </c>
      <c r="AH70" s="99">
        <v>0</v>
      </c>
      <c r="AI70" s="5"/>
      <c r="AJ70" s="138" t="str">
        <v>GA</v>
      </c>
      <c r="AK70" s="99">
        <v>0</v>
      </c>
      <c r="AL70" s="99">
        <v>11</v>
      </c>
      <c r="AM70" s="99">
        <v>42</v>
      </c>
      <c r="AN70" s="99">
        <v>7</v>
      </c>
      <c r="AO70" s="99">
        <v>0</v>
      </c>
    </row>
    <row r="71" spans="10:41" ht="16.5" customHeight="1" x14ac:dyDescent="0.3">
      <c r="J71" s="9">
        <v>67</v>
      </c>
      <c r="K71" s="16" t="s">
        <v>126</v>
      </c>
      <c r="L71" s="16" t="s">
        <v>19</v>
      </c>
      <c r="M71" s="16" t="s">
        <v>91</v>
      </c>
      <c r="N71" s="16" t="s">
        <v>19</v>
      </c>
      <c r="O71" s="16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8</v>
      </c>
      <c r="AF71" s="99">
        <v>43</v>
      </c>
      <c r="AG71" s="99">
        <v>7</v>
      </c>
      <c r="AH71" s="99">
        <v>0</v>
      </c>
      <c r="AI71" s="5"/>
      <c r="AJ71" s="138" t="str">
        <v>GK</v>
      </c>
      <c r="AK71" s="99">
        <v>0</v>
      </c>
      <c r="AL71" s="99">
        <v>8</v>
      </c>
      <c r="AM71" s="99">
        <v>43</v>
      </c>
      <c r="AN71" s="99">
        <v>7</v>
      </c>
      <c r="AO71" s="99">
        <v>0</v>
      </c>
    </row>
    <row r="72" spans="10:41" ht="16.5" customHeight="1" x14ac:dyDescent="0.3">
      <c r="J72" s="25">
        <v>68</v>
      </c>
      <c r="K72" s="16" t="s">
        <v>19</v>
      </c>
      <c r="L72" s="16" t="s">
        <v>34</v>
      </c>
      <c r="M72" s="16" t="s">
        <v>112</v>
      </c>
      <c r="N72" s="16" t="s">
        <v>126</v>
      </c>
      <c r="O72" s="16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4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4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35</v>
      </c>
      <c r="L73" s="16" t="s">
        <v>19</v>
      </c>
      <c r="M73" s="16" t="s">
        <v>127</v>
      </c>
      <c r="N73" s="16" t="s">
        <v>35</v>
      </c>
      <c r="O73" s="16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19</v>
      </c>
      <c r="L74" s="16" t="s">
        <v>126</v>
      </c>
      <c r="M74" s="16" t="s">
        <v>112</v>
      </c>
      <c r="N74" s="16" t="s">
        <v>126</v>
      </c>
      <c r="O74" s="16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198</v>
      </c>
      <c r="AE74" s="113">
        <f>SUM(AE54:AE73)</f>
        <v>207</v>
      </c>
      <c r="AF74" s="113">
        <f>SUM(AF54:AF73)</f>
        <v>197</v>
      </c>
      <c r="AG74" s="113">
        <f>SUM(AG54:AG73)</f>
        <v>205</v>
      </c>
      <c r="AH74" s="113">
        <f>SUM(AH54:AH73)</f>
        <v>196</v>
      </c>
      <c r="AI74" s="5"/>
      <c r="AK74" s="113">
        <f>SUM(AK54:AK73)</f>
        <v>198</v>
      </c>
      <c r="AL74" s="113">
        <f>SUM(AL54:AL73)</f>
        <v>207</v>
      </c>
      <c r="AM74" s="113">
        <f>SUM(AM54:AM73)</f>
        <v>197</v>
      </c>
      <c r="AN74" s="113">
        <f>SUM(AN54:AN73)</f>
        <v>205</v>
      </c>
      <c r="AO74" s="113">
        <f>SUM(AO54:AO73)</f>
        <v>196</v>
      </c>
    </row>
    <row r="75" spans="10:41" ht="16.5" customHeight="1" x14ac:dyDescent="0.3">
      <c r="J75" s="9">
        <v>71</v>
      </c>
      <c r="K75" s="16" t="s">
        <v>35</v>
      </c>
      <c r="L75" s="16" t="s">
        <v>18</v>
      </c>
      <c r="M75" s="16" t="s">
        <v>90</v>
      </c>
      <c r="N75" s="16" t="s">
        <v>19</v>
      </c>
      <c r="O75" s="16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21</v>
      </c>
      <c r="L76" s="16" t="s">
        <v>112</v>
      </c>
      <c r="M76" s="16" t="s">
        <v>112</v>
      </c>
      <c r="N76" s="16" t="s">
        <v>35</v>
      </c>
      <c r="O76" s="16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34</v>
      </c>
      <c r="L77" s="16" t="s">
        <v>18</v>
      </c>
      <c r="M77" s="16" t="s">
        <v>88</v>
      </c>
      <c r="N77" s="16" t="s">
        <v>126</v>
      </c>
      <c r="O77" s="16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126</v>
      </c>
      <c r="L78" s="16" t="s">
        <v>21</v>
      </c>
      <c r="M78" s="16" t="s">
        <v>91</v>
      </c>
      <c r="N78" s="16" t="s">
        <v>37</v>
      </c>
      <c r="O78" s="16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35</v>
      </c>
      <c r="L79" s="16" t="s">
        <v>19</v>
      </c>
      <c r="M79" s="16" t="s">
        <v>92</v>
      </c>
      <c r="N79" s="16" t="s">
        <v>35</v>
      </c>
      <c r="O79" s="16" t="s">
        <v>126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126</v>
      </c>
      <c r="M80" s="16" t="s">
        <v>90</v>
      </c>
      <c r="N80" s="16" t="s">
        <v>19</v>
      </c>
      <c r="O80" s="16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126</v>
      </c>
      <c r="L81" s="16" t="s">
        <v>37</v>
      </c>
      <c r="M81" s="16" t="s">
        <v>91</v>
      </c>
      <c r="N81" s="16" t="s">
        <v>18</v>
      </c>
      <c r="O81" s="16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95</v>
      </c>
      <c r="M82" s="16" t="s">
        <v>92</v>
      </c>
      <c r="N82" s="16" t="s">
        <v>19</v>
      </c>
      <c r="O82" s="16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126</v>
      </c>
      <c r="L83" s="16" t="s">
        <v>19</v>
      </c>
      <c r="M83" s="16" t="s">
        <v>91</v>
      </c>
      <c r="N83" s="16" t="s">
        <v>35</v>
      </c>
      <c r="O83" s="16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34</v>
      </c>
      <c r="M84" s="16" t="s">
        <v>112</v>
      </c>
      <c r="N84" s="16" t="s">
        <v>19</v>
      </c>
      <c r="O84" s="16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126</v>
      </c>
      <c r="M85" s="16" t="s">
        <v>127</v>
      </c>
      <c r="N85" s="16" t="s">
        <v>35</v>
      </c>
      <c r="O85" s="16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37</v>
      </c>
      <c r="M86" s="16" t="s">
        <v>91</v>
      </c>
      <c r="N86" s="16" t="s">
        <v>19</v>
      </c>
      <c r="O86" s="16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126</v>
      </c>
      <c r="L87" s="16" t="s">
        <v>127</v>
      </c>
      <c r="M87" s="16" t="s">
        <v>127</v>
      </c>
      <c r="N87" s="16" t="s">
        <v>127</v>
      </c>
      <c r="O87" s="16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19</v>
      </c>
      <c r="L88" s="16" t="s">
        <v>37</v>
      </c>
      <c r="M88" s="16" t="s">
        <v>112</v>
      </c>
      <c r="N88" s="16" t="s">
        <v>35</v>
      </c>
      <c r="O88" s="16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18</v>
      </c>
      <c r="L89" s="16" t="s">
        <v>18</v>
      </c>
      <c r="M89" s="16" t="s">
        <v>91</v>
      </c>
      <c r="N89" s="16" t="s">
        <v>19</v>
      </c>
      <c r="O89" s="16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19</v>
      </c>
      <c r="L90" s="16" t="s">
        <v>35</v>
      </c>
      <c r="M90" s="16" t="s">
        <v>127</v>
      </c>
      <c r="N90" s="16" t="s">
        <v>37</v>
      </c>
      <c r="O90" s="16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126</v>
      </c>
      <c r="L91" s="16" t="s">
        <v>126</v>
      </c>
      <c r="M91" s="16" t="s">
        <v>91</v>
      </c>
      <c r="N91" s="16" t="s">
        <v>126</v>
      </c>
      <c r="O91" s="16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91</v>
      </c>
      <c r="M92" s="16" t="s">
        <v>89</v>
      </c>
      <c r="N92" s="16" t="s">
        <v>92</v>
      </c>
      <c r="O92" s="16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35</v>
      </c>
      <c r="L93" s="16" t="s">
        <v>37</v>
      </c>
      <c r="M93" s="16" t="s">
        <v>92</v>
      </c>
      <c r="N93" s="16" t="s">
        <v>20</v>
      </c>
      <c r="O93" s="16" t="s">
        <v>126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126</v>
      </c>
      <c r="L94" s="16" t="s">
        <v>35</v>
      </c>
      <c r="M94" s="16" t="s">
        <v>112</v>
      </c>
      <c r="N94" s="16" t="s">
        <v>126</v>
      </c>
      <c r="O94" s="16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37</v>
      </c>
      <c r="L95" s="16" t="s">
        <v>36</v>
      </c>
      <c r="M95" s="16" t="s">
        <v>92</v>
      </c>
      <c r="N95" s="16" t="s">
        <v>19</v>
      </c>
      <c r="O95" s="16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126</v>
      </c>
      <c r="L96" s="16" t="s">
        <v>126</v>
      </c>
      <c r="M96" s="16" t="s">
        <v>112</v>
      </c>
      <c r="N96" s="16" t="s">
        <v>36</v>
      </c>
      <c r="O96" s="16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37</v>
      </c>
      <c r="L97" s="16" t="s">
        <v>34</v>
      </c>
      <c r="M97" s="16" t="s">
        <v>91</v>
      </c>
      <c r="N97" s="16" t="s">
        <v>37</v>
      </c>
      <c r="O97" s="16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95</v>
      </c>
      <c r="M98" s="16" t="s">
        <v>92</v>
      </c>
      <c r="N98" s="16" t="s">
        <v>35</v>
      </c>
      <c r="O98" s="16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37</v>
      </c>
      <c r="L99" s="16" t="s">
        <v>21</v>
      </c>
      <c r="M99" s="16" t="s">
        <v>112</v>
      </c>
      <c r="N99" s="16" t="s">
        <v>91</v>
      </c>
      <c r="O99" s="16" t="s">
        <v>126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36</v>
      </c>
      <c r="M100" s="16" t="s">
        <v>127</v>
      </c>
      <c r="N100" s="16" t="s">
        <v>97</v>
      </c>
      <c r="O100" s="16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126</v>
      </c>
      <c r="L101" s="16" t="s">
        <v>34</v>
      </c>
      <c r="M101" s="16" t="s">
        <v>112</v>
      </c>
      <c r="N101" s="16" t="s">
        <v>37</v>
      </c>
      <c r="O101" s="16" t="s">
        <v>126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35</v>
      </c>
      <c r="L102" s="16" t="s">
        <v>37</v>
      </c>
      <c r="M102" s="16" t="s">
        <v>127</v>
      </c>
      <c r="N102" s="16" t="s">
        <v>97</v>
      </c>
      <c r="O102" s="16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90</v>
      </c>
      <c r="M103" s="16" t="s">
        <v>112</v>
      </c>
      <c r="N103" s="16" t="s">
        <v>35</v>
      </c>
      <c r="O103" s="16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19</v>
      </c>
      <c r="L104" s="16" t="s">
        <v>92</v>
      </c>
      <c r="M104" s="16" t="s">
        <v>91</v>
      </c>
      <c r="N104" s="16" t="s">
        <v>91</v>
      </c>
      <c r="O104" s="16" t="s">
        <v>126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36</v>
      </c>
      <c r="L105" s="16" t="s">
        <v>36</v>
      </c>
      <c r="M105" s="16" t="s">
        <v>127</v>
      </c>
      <c r="N105" s="16" t="s">
        <v>126</v>
      </c>
      <c r="O105" s="16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126</v>
      </c>
      <c r="L106" s="16" t="s">
        <v>37</v>
      </c>
      <c r="M106" s="16" t="s">
        <v>95</v>
      </c>
      <c r="N106" s="16" t="s">
        <v>18</v>
      </c>
      <c r="O106" s="16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19</v>
      </c>
      <c r="L107" s="16" t="s">
        <v>92</v>
      </c>
      <c r="M107" s="16" t="s">
        <v>112</v>
      </c>
      <c r="N107" s="16" t="s">
        <v>127</v>
      </c>
      <c r="O107" s="16" t="s">
        <v>126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37</v>
      </c>
      <c r="L108" s="16" t="s">
        <v>37</v>
      </c>
      <c r="M108" s="16" t="s">
        <v>127</v>
      </c>
      <c r="N108" s="16" t="s">
        <v>19</v>
      </c>
      <c r="O108" s="16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19</v>
      </c>
      <c r="L109" s="16" t="s">
        <v>92</v>
      </c>
      <c r="M109" s="16" t="s">
        <v>112</v>
      </c>
      <c r="N109" s="16" t="s">
        <v>35</v>
      </c>
      <c r="O109" s="16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37</v>
      </c>
      <c r="L110" s="16" t="s">
        <v>97</v>
      </c>
      <c r="M110" s="16" t="s">
        <v>91</v>
      </c>
      <c r="N110" s="16" t="s">
        <v>19</v>
      </c>
      <c r="O110" s="16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22</v>
      </c>
      <c r="M111" s="16" t="s">
        <v>92</v>
      </c>
      <c r="N111" s="16" t="s">
        <v>37</v>
      </c>
      <c r="O111" s="16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19</v>
      </c>
      <c r="L112" s="16" t="s">
        <v>88</v>
      </c>
      <c r="M112" s="16" t="s">
        <v>127</v>
      </c>
      <c r="N112" s="16" t="s">
        <v>126</v>
      </c>
      <c r="O112" s="16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126</v>
      </c>
      <c r="L113" s="16" t="s">
        <v>18</v>
      </c>
      <c r="M113" s="16" t="s">
        <v>97</v>
      </c>
      <c r="N113" s="16" t="s">
        <v>34</v>
      </c>
      <c r="O113" s="16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19</v>
      </c>
      <c r="L114" s="16" t="s">
        <v>37</v>
      </c>
      <c r="M114" s="16" t="s">
        <v>92</v>
      </c>
      <c r="N114" s="16" t="s">
        <v>19</v>
      </c>
      <c r="O114" s="16" t="s">
        <v>126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20</v>
      </c>
      <c r="L115" s="16" t="s">
        <v>18</v>
      </c>
      <c r="M115" s="16" t="s">
        <v>127</v>
      </c>
      <c r="N115" s="16" t="s">
        <v>37</v>
      </c>
      <c r="O115" s="16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126</v>
      </c>
      <c r="L116" s="16" t="s">
        <v>92</v>
      </c>
      <c r="M116" s="16" t="s">
        <v>89</v>
      </c>
      <c r="N116" s="16" t="s">
        <v>19</v>
      </c>
      <c r="O116" s="16" t="s">
        <v>37</v>
      </c>
      <c r="Q116" s="9">
        <v>6</v>
      </c>
      <c r="R116" s="9">
        <v>16</v>
      </c>
      <c r="S116" s="9">
        <v>12</v>
      </c>
      <c r="T116" s="9">
        <v>5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34</v>
      </c>
      <c r="L117" s="16" t="s">
        <v>22</v>
      </c>
      <c r="M117" s="16" t="s">
        <v>91</v>
      </c>
      <c r="N117" s="16" t="s">
        <v>35</v>
      </c>
      <c r="O117" s="16" t="s">
        <v>126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19</v>
      </c>
      <c r="M118" s="16" t="s">
        <v>92</v>
      </c>
      <c r="N118" s="16" t="s">
        <v>18</v>
      </c>
      <c r="O118" s="16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22</v>
      </c>
      <c r="M119" s="16" t="s">
        <v>91</v>
      </c>
      <c r="N119" s="16" t="s">
        <v>37</v>
      </c>
      <c r="O119" s="16" t="s">
        <v>126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36</v>
      </c>
      <c r="L120" s="16" t="s">
        <v>92</v>
      </c>
      <c r="M120" s="16" t="s">
        <v>127</v>
      </c>
      <c r="N120" s="16" t="s">
        <v>22</v>
      </c>
      <c r="O120" s="16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18</v>
      </c>
      <c r="M121" s="16" t="s">
        <v>92</v>
      </c>
      <c r="N121" s="16" t="s">
        <v>37</v>
      </c>
      <c r="O121" s="16" t="s">
        <v>126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34</v>
      </c>
      <c r="L122" s="16" t="s">
        <v>127</v>
      </c>
      <c r="M122" s="16" t="s">
        <v>112</v>
      </c>
      <c r="N122" s="16" t="s">
        <v>126</v>
      </c>
      <c r="O122" s="16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126</v>
      </c>
      <c r="L123" s="16" t="s">
        <v>126</v>
      </c>
      <c r="M123" s="16" t="s">
        <v>92</v>
      </c>
      <c r="N123" s="16" t="s">
        <v>19</v>
      </c>
      <c r="O123" s="16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22</v>
      </c>
      <c r="M124" s="16" t="s">
        <v>91</v>
      </c>
      <c r="N124" s="16" t="s">
        <v>35</v>
      </c>
      <c r="O124" s="16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19</v>
      </c>
      <c r="L125" s="16" t="s">
        <v>36</v>
      </c>
      <c r="M125" s="16" t="s">
        <v>92</v>
      </c>
      <c r="N125" s="16" t="s">
        <v>37</v>
      </c>
      <c r="O125" s="16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126</v>
      </c>
      <c r="L126" s="16" t="s">
        <v>35</v>
      </c>
      <c r="M126" s="16" t="s">
        <v>112</v>
      </c>
      <c r="N126" s="16" t="s">
        <v>19</v>
      </c>
      <c r="O126" s="16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34</v>
      </c>
      <c r="L127" s="16" t="s">
        <v>91</v>
      </c>
      <c r="M127" s="16" t="s">
        <v>91</v>
      </c>
      <c r="N127" s="16" t="s">
        <v>88</v>
      </c>
      <c r="O127" s="16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126</v>
      </c>
      <c r="L128" s="16" t="s">
        <v>92</v>
      </c>
      <c r="M128" s="16" t="s">
        <v>127</v>
      </c>
      <c r="N128" s="16" t="s">
        <v>37</v>
      </c>
      <c r="O128" s="16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36</v>
      </c>
      <c r="L129" s="16" t="s">
        <v>35</v>
      </c>
      <c r="M129" s="16" t="s">
        <v>92</v>
      </c>
      <c r="N129" s="16" t="s">
        <v>36</v>
      </c>
      <c r="O129" s="16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19</v>
      </c>
      <c r="L130" s="16" t="s">
        <v>91</v>
      </c>
      <c r="M130" s="16" t="s">
        <v>95</v>
      </c>
      <c r="N130" s="16" t="s">
        <v>18</v>
      </c>
      <c r="O130" s="16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126</v>
      </c>
      <c r="L131" s="16" t="s">
        <v>35</v>
      </c>
      <c r="M131" s="16" t="s">
        <v>91</v>
      </c>
      <c r="N131" s="16" t="s">
        <v>126</v>
      </c>
      <c r="O131" s="16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18</v>
      </c>
      <c r="L132" s="16" t="s">
        <v>126</v>
      </c>
      <c r="M132" s="16" t="s">
        <v>127</v>
      </c>
      <c r="N132" s="16" t="s">
        <v>37</v>
      </c>
      <c r="O132" s="16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37</v>
      </c>
      <c r="L133" s="16" t="s">
        <v>19</v>
      </c>
      <c r="M133" s="16" t="s">
        <v>92</v>
      </c>
      <c r="N133" s="16" t="s">
        <v>35</v>
      </c>
      <c r="O133" s="16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126</v>
      </c>
      <c r="L134" s="16" t="s">
        <v>35</v>
      </c>
      <c r="M134" s="16" t="s">
        <v>95</v>
      </c>
      <c r="N134" s="16" t="s">
        <v>21</v>
      </c>
      <c r="O134" s="16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90</v>
      </c>
      <c r="M135" s="16" t="s">
        <v>91</v>
      </c>
      <c r="N135" s="16" t="s">
        <v>91</v>
      </c>
      <c r="O135" s="16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35</v>
      </c>
      <c r="L136" s="16" t="s">
        <v>112</v>
      </c>
      <c r="M136" s="16" t="s">
        <v>92</v>
      </c>
      <c r="N136" s="16" t="s">
        <v>37</v>
      </c>
      <c r="O136" s="16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36</v>
      </c>
      <c r="M137" s="16" t="s">
        <v>127</v>
      </c>
      <c r="N137" s="16" t="s">
        <v>126</v>
      </c>
      <c r="O137" s="16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37</v>
      </c>
      <c r="L138" s="16" t="s">
        <v>35</v>
      </c>
      <c r="M138" s="16" t="s">
        <v>91</v>
      </c>
      <c r="N138" s="16" t="s">
        <v>37</v>
      </c>
      <c r="O138" s="16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19</v>
      </c>
      <c r="L139" s="16" t="s">
        <v>34</v>
      </c>
      <c r="M139" s="16" t="s">
        <v>127</v>
      </c>
      <c r="N139" s="16" t="s">
        <v>35</v>
      </c>
      <c r="O139" s="16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126</v>
      </c>
      <c r="L140" s="16" t="s">
        <v>22</v>
      </c>
      <c r="M140" s="16" t="s">
        <v>112</v>
      </c>
      <c r="N140" s="16" t="s">
        <v>127</v>
      </c>
      <c r="O140" s="16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19</v>
      </c>
      <c r="L141" s="16" t="s">
        <v>91</v>
      </c>
      <c r="M141" s="16" t="s">
        <v>92</v>
      </c>
      <c r="N141" s="16" t="s">
        <v>35</v>
      </c>
      <c r="O141" s="16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112</v>
      </c>
      <c r="M142" s="16" t="s">
        <v>112</v>
      </c>
      <c r="N142" s="16" t="s">
        <v>37</v>
      </c>
      <c r="O142" s="16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35</v>
      </c>
      <c r="L143" s="16" t="s">
        <v>37</v>
      </c>
      <c r="M143" s="16" t="s">
        <v>88</v>
      </c>
      <c r="N143" s="16" t="s">
        <v>35</v>
      </c>
      <c r="O143" s="16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126</v>
      </c>
      <c r="L144" s="16" t="s">
        <v>34</v>
      </c>
      <c r="M144" s="16" t="s">
        <v>127</v>
      </c>
      <c r="N144" s="16" t="s">
        <v>34</v>
      </c>
      <c r="O144" s="16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19</v>
      </c>
      <c r="L145" s="16" t="s">
        <v>20</v>
      </c>
      <c r="M145" s="16" t="s">
        <v>92</v>
      </c>
      <c r="N145" s="16" t="s">
        <v>19</v>
      </c>
      <c r="O145" s="16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35</v>
      </c>
      <c r="L146" s="16" t="s">
        <v>22</v>
      </c>
      <c r="M146" s="16" t="s">
        <v>97</v>
      </c>
      <c r="N146" s="16" t="s">
        <v>37</v>
      </c>
      <c r="O146" s="16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19</v>
      </c>
      <c r="M147" s="16" t="s">
        <v>127</v>
      </c>
      <c r="N147" s="16" t="s">
        <v>127</v>
      </c>
      <c r="O147" s="16" t="s">
        <v>126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126</v>
      </c>
      <c r="L148" s="16" t="s">
        <v>34</v>
      </c>
      <c r="M148" s="16" t="s">
        <v>91</v>
      </c>
      <c r="N148" s="16" t="s">
        <v>37</v>
      </c>
      <c r="O148" s="16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21</v>
      </c>
      <c r="M149" s="16" t="s">
        <v>112</v>
      </c>
      <c r="N149" s="16" t="s">
        <v>90</v>
      </c>
      <c r="O149" s="16" t="s">
        <v>126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19</v>
      </c>
      <c r="L150" s="16" t="s">
        <v>91</v>
      </c>
      <c r="M150" s="16" t="s">
        <v>92</v>
      </c>
      <c r="N150" s="16" t="s">
        <v>126</v>
      </c>
      <c r="O150" s="16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126</v>
      </c>
      <c r="L151" s="16" t="s">
        <v>21</v>
      </c>
      <c r="M151" s="16" t="s">
        <v>112</v>
      </c>
      <c r="N151" s="16" t="s">
        <v>37</v>
      </c>
      <c r="O151" s="16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19</v>
      </c>
      <c r="L152" s="16" t="s">
        <v>37</v>
      </c>
      <c r="M152" s="16" t="s">
        <v>127</v>
      </c>
      <c r="N152" s="16" t="s">
        <v>126</v>
      </c>
      <c r="O152" s="16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126</v>
      </c>
      <c r="L153" s="16" t="s">
        <v>35</v>
      </c>
      <c r="M153" s="16" t="s">
        <v>91</v>
      </c>
      <c r="N153" s="16" t="s">
        <v>37</v>
      </c>
      <c r="O153" s="16" t="s">
        <v>126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35</v>
      </c>
      <c r="L154" s="16" t="s">
        <v>37</v>
      </c>
      <c r="M154" s="16" t="s">
        <v>97</v>
      </c>
      <c r="N154" s="16" t="s">
        <v>126</v>
      </c>
      <c r="O154" s="16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19</v>
      </c>
      <c r="M155" s="16" t="s">
        <v>91</v>
      </c>
      <c r="N155" s="16" t="s">
        <v>34</v>
      </c>
      <c r="O155" s="16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22</v>
      </c>
      <c r="L156" s="16" t="s">
        <v>35</v>
      </c>
      <c r="M156" s="16" t="s">
        <v>92</v>
      </c>
      <c r="N156" s="16" t="s">
        <v>20</v>
      </c>
      <c r="O156" s="16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35</v>
      </c>
      <c r="L157" s="16" t="s">
        <v>89</v>
      </c>
      <c r="M157" s="16" t="s">
        <v>112</v>
      </c>
      <c r="N157" s="16" t="s">
        <v>112</v>
      </c>
      <c r="O157" s="16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22</v>
      </c>
      <c r="L158" s="16" t="s">
        <v>36</v>
      </c>
      <c r="M158" s="16" t="s">
        <v>92</v>
      </c>
      <c r="N158" s="16" t="s">
        <v>37</v>
      </c>
      <c r="O158" s="16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126</v>
      </c>
      <c r="M159" s="16" t="s">
        <v>112</v>
      </c>
      <c r="N159" s="16" t="s">
        <v>126</v>
      </c>
      <c r="O159" s="16" t="s">
        <v>126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37</v>
      </c>
      <c r="L160" s="16" t="s">
        <v>19</v>
      </c>
      <c r="M160" s="16" t="s">
        <v>89</v>
      </c>
      <c r="N160" s="16" t="s">
        <v>19</v>
      </c>
      <c r="O160" s="16" t="s">
        <v>18</v>
      </c>
      <c r="Q160" s="9">
        <v>7</v>
      </c>
      <c r="R160" s="9">
        <v>5</v>
      </c>
      <c r="S160" s="9">
        <v>12</v>
      </c>
      <c r="T160" s="9">
        <v>5</v>
      </c>
      <c r="U160" s="9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19</v>
      </c>
      <c r="L161" s="16" t="s">
        <v>37</v>
      </c>
      <c r="M161" s="16" t="s">
        <v>91</v>
      </c>
      <c r="N161" s="16" t="s">
        <v>36</v>
      </c>
      <c r="O161" s="16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126</v>
      </c>
      <c r="L162" s="16" t="s">
        <v>127</v>
      </c>
      <c r="M162" s="16" t="s">
        <v>127</v>
      </c>
      <c r="N162" s="16" t="s">
        <v>19</v>
      </c>
      <c r="O162" s="16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20</v>
      </c>
      <c r="L163" s="16" t="s">
        <v>19</v>
      </c>
      <c r="M163" s="16" t="s">
        <v>112</v>
      </c>
      <c r="N163" s="16" t="s">
        <v>37</v>
      </c>
      <c r="O163" s="16" t="s">
        <v>126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90</v>
      </c>
      <c r="M164" s="16" t="s">
        <v>95</v>
      </c>
      <c r="N164" s="16" t="s">
        <v>34</v>
      </c>
      <c r="O164" s="16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37</v>
      </c>
      <c r="L165" s="16" t="s">
        <v>35</v>
      </c>
      <c r="M165" s="16" t="s">
        <v>91</v>
      </c>
      <c r="N165" s="16" t="s">
        <v>22</v>
      </c>
      <c r="O165" s="16" t="s">
        <v>126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19</v>
      </c>
      <c r="L166" s="16" t="s">
        <v>127</v>
      </c>
      <c r="M166" s="16" t="s">
        <v>112</v>
      </c>
      <c r="N166" s="16" t="s">
        <v>34</v>
      </c>
      <c r="O166" s="16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37</v>
      </c>
      <c r="L167" s="16" t="s">
        <v>37</v>
      </c>
      <c r="M167" s="16" t="s">
        <v>92</v>
      </c>
      <c r="N167" s="16" t="s">
        <v>21</v>
      </c>
      <c r="O167" s="16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126</v>
      </c>
      <c r="L168" s="16" t="s">
        <v>35</v>
      </c>
      <c r="M168" s="16" t="s">
        <v>91</v>
      </c>
      <c r="N168" s="16" t="s">
        <v>91</v>
      </c>
      <c r="O168" s="16" t="s">
        <v>126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37</v>
      </c>
      <c r="M169" s="16" t="s">
        <v>92</v>
      </c>
      <c r="N169" s="16" t="s">
        <v>35</v>
      </c>
      <c r="O169" s="16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18</v>
      </c>
      <c r="L170" s="16" t="s">
        <v>18</v>
      </c>
      <c r="M170" s="16" t="s">
        <v>127</v>
      </c>
      <c r="N170" s="16" t="s">
        <v>37</v>
      </c>
      <c r="O170" s="16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37</v>
      </c>
      <c r="L171" s="16" t="s">
        <v>37</v>
      </c>
      <c r="M171" s="16" t="s">
        <v>112</v>
      </c>
      <c r="N171" s="16" t="s">
        <v>35</v>
      </c>
      <c r="O171" s="16" t="s">
        <v>126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35</v>
      </c>
      <c r="L172" s="16" t="s">
        <v>19</v>
      </c>
      <c r="M172" s="16" t="s">
        <v>89</v>
      </c>
      <c r="N172" s="16" t="s">
        <v>126</v>
      </c>
      <c r="O172" s="16" t="s">
        <v>35</v>
      </c>
      <c r="Q172" s="9">
        <v>8</v>
      </c>
      <c r="R172" s="9">
        <v>5</v>
      </c>
      <c r="S172" s="9">
        <v>12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36</v>
      </c>
      <c r="L173" s="16" t="s">
        <v>37</v>
      </c>
      <c r="M173" s="16" t="s">
        <v>112</v>
      </c>
      <c r="N173" s="16" t="s">
        <v>35</v>
      </c>
      <c r="O173" s="16" t="s">
        <v>126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19</v>
      </c>
      <c r="L174" s="16" t="s">
        <v>126</v>
      </c>
      <c r="M174" s="16" t="s">
        <v>91</v>
      </c>
      <c r="N174" s="16" t="s">
        <v>18</v>
      </c>
      <c r="O174" s="16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34</v>
      </c>
      <c r="M175" s="16" t="s">
        <v>127</v>
      </c>
      <c r="N175" s="16" t="s">
        <v>19</v>
      </c>
      <c r="O175" s="16" t="s">
        <v>126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19</v>
      </c>
      <c r="L176" s="16" t="s">
        <v>35</v>
      </c>
      <c r="M176" s="16" t="s">
        <v>97</v>
      </c>
      <c r="N176" s="16" t="s">
        <v>126</v>
      </c>
      <c r="O176" s="16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21</v>
      </c>
      <c r="M177" s="16" t="s">
        <v>112</v>
      </c>
      <c r="N177" s="16" t="s">
        <v>35</v>
      </c>
      <c r="O177" s="16" t="s">
        <v>126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34</v>
      </c>
      <c r="L178" s="16" t="s">
        <v>19</v>
      </c>
      <c r="M178" s="16" t="s">
        <v>92</v>
      </c>
      <c r="N178" s="16" t="s">
        <v>126</v>
      </c>
      <c r="O178" s="16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37</v>
      </c>
      <c r="L179" s="16" t="s">
        <v>35</v>
      </c>
      <c r="M179" s="16" t="s">
        <v>112</v>
      </c>
      <c r="N179" s="16" t="s">
        <v>20</v>
      </c>
      <c r="O179" s="16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22</v>
      </c>
      <c r="L180" s="16" t="s">
        <v>21</v>
      </c>
      <c r="M180" s="16" t="s">
        <v>92</v>
      </c>
      <c r="N180" s="16" t="s">
        <v>19</v>
      </c>
      <c r="O180" s="16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35</v>
      </c>
      <c r="L181" s="16" t="s">
        <v>19</v>
      </c>
      <c r="M181" s="16" t="s">
        <v>127</v>
      </c>
      <c r="N181" s="16" t="s">
        <v>112</v>
      </c>
      <c r="O181" s="16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112</v>
      </c>
      <c r="M182" s="16" t="s">
        <v>91</v>
      </c>
      <c r="N182" s="16" t="s">
        <v>35</v>
      </c>
      <c r="O182" s="16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37</v>
      </c>
      <c r="L183" s="16" t="s">
        <v>126</v>
      </c>
      <c r="M183" s="16" t="s">
        <v>127</v>
      </c>
      <c r="N183" s="16" t="s">
        <v>37</v>
      </c>
      <c r="O183" s="16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35</v>
      </c>
      <c r="L184" s="16" t="s">
        <v>37</v>
      </c>
      <c r="M184" s="16" t="s">
        <v>112</v>
      </c>
      <c r="N184" s="16" t="s">
        <v>126</v>
      </c>
      <c r="O184" s="16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19</v>
      </c>
      <c r="L185" s="16" t="s">
        <v>19</v>
      </c>
      <c r="M185" s="16" t="s">
        <v>97</v>
      </c>
      <c r="N185" s="16" t="s">
        <v>19</v>
      </c>
      <c r="O185" s="16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21</v>
      </c>
      <c r="L186" s="16" t="s">
        <v>21</v>
      </c>
      <c r="M186" s="16" t="s">
        <v>112</v>
      </c>
      <c r="N186" s="16" t="s">
        <v>37</v>
      </c>
      <c r="O186" s="16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37</v>
      </c>
      <c r="L187" s="16" t="s">
        <v>37</v>
      </c>
      <c r="M187" s="16" t="s">
        <v>91</v>
      </c>
      <c r="N187" s="16" t="s">
        <v>19</v>
      </c>
      <c r="O187" s="16" t="s">
        <v>126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35</v>
      </c>
      <c r="L188" s="16" t="s">
        <v>126</v>
      </c>
      <c r="M188" s="16" t="s">
        <v>127</v>
      </c>
      <c r="N188" s="16" t="s">
        <v>126</v>
      </c>
      <c r="O188" s="16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126</v>
      </c>
      <c r="L189" s="16" t="s">
        <v>19</v>
      </c>
      <c r="M189" s="16" t="s">
        <v>91</v>
      </c>
      <c r="N189" s="16" t="s">
        <v>37</v>
      </c>
      <c r="O189" s="16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37</v>
      </c>
      <c r="L190" s="16" t="s">
        <v>112</v>
      </c>
      <c r="M190" s="16" t="s">
        <v>112</v>
      </c>
      <c r="N190" s="16" t="s">
        <v>19</v>
      </c>
      <c r="O190" s="16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19</v>
      </c>
      <c r="L191" s="16" t="s">
        <v>37</v>
      </c>
      <c r="M191" s="16" t="s">
        <v>92</v>
      </c>
      <c r="N191" s="16" t="s">
        <v>37</v>
      </c>
      <c r="O191" s="16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126</v>
      </c>
      <c r="L192" s="16" t="s">
        <v>35</v>
      </c>
      <c r="M192" s="16" t="s">
        <v>127</v>
      </c>
      <c r="N192" s="16" t="s">
        <v>19</v>
      </c>
      <c r="O192" s="16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37</v>
      </c>
      <c r="L193" s="16" t="s">
        <v>92</v>
      </c>
      <c r="M193" s="16" t="s">
        <v>112</v>
      </c>
      <c r="N193" s="16" t="s">
        <v>36</v>
      </c>
      <c r="O193" s="16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126</v>
      </c>
      <c r="L194" s="16" t="s">
        <v>37</v>
      </c>
      <c r="M194" s="16" t="s">
        <v>92</v>
      </c>
      <c r="N194" s="16" t="s">
        <v>20</v>
      </c>
      <c r="O194" s="16" t="s">
        <v>126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35</v>
      </c>
      <c r="L195" s="16" t="s">
        <v>35</v>
      </c>
      <c r="M195" s="16" t="s">
        <v>95</v>
      </c>
      <c r="N195" s="16" t="s">
        <v>18</v>
      </c>
      <c r="O195" s="16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37</v>
      </c>
      <c r="L196" s="16" t="s">
        <v>34</v>
      </c>
      <c r="M196" s="16" t="s">
        <v>127</v>
      </c>
      <c r="N196" s="16" t="s">
        <v>91</v>
      </c>
      <c r="O196" s="16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126</v>
      </c>
      <c r="L197" s="16" t="s">
        <v>35</v>
      </c>
      <c r="M197" s="16" t="s">
        <v>91</v>
      </c>
      <c r="N197" s="16" t="s">
        <v>37</v>
      </c>
      <c r="O197" s="16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34</v>
      </c>
      <c r="L198" s="16" t="s">
        <v>19</v>
      </c>
      <c r="M198" s="16" t="s">
        <v>92</v>
      </c>
      <c r="N198" s="16" t="s">
        <v>90</v>
      </c>
      <c r="O198" s="16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18</v>
      </c>
      <c r="L199" s="16" t="s">
        <v>18</v>
      </c>
      <c r="M199" s="16" t="s">
        <v>91</v>
      </c>
      <c r="N199" s="16" t="s">
        <v>19</v>
      </c>
      <c r="O199" s="16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126</v>
      </c>
      <c r="L200" s="16" t="s">
        <v>22</v>
      </c>
      <c r="M200" s="16" t="s">
        <v>127</v>
      </c>
      <c r="N200" s="16" t="s">
        <v>92</v>
      </c>
      <c r="O200" s="16" t="s">
        <v>126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35</v>
      </c>
      <c r="M201" s="16" t="s">
        <v>97</v>
      </c>
      <c r="N201" s="16" t="s">
        <v>19</v>
      </c>
      <c r="O201" s="16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35</v>
      </c>
      <c r="L202" s="16" t="s">
        <v>126</v>
      </c>
      <c r="M202" s="16" t="s">
        <v>92</v>
      </c>
      <c r="N202" s="16" t="s">
        <v>92</v>
      </c>
      <c r="O202" s="16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18</v>
      </c>
      <c r="L203" s="16" t="s">
        <v>35</v>
      </c>
      <c r="M203" s="16" t="s">
        <v>112</v>
      </c>
      <c r="N203" s="16" t="s">
        <v>37</v>
      </c>
      <c r="O203" s="16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53" priority="27">
      <formula>_xlfn.LET(_xlpm.x, W4, AND(NOT(_xlfn.ISFORMULA(_xlpm.x)), _xlpm.x&lt;&gt;""))</formula>
    </cfRule>
  </conditionalFormatting>
  <conditionalFormatting sqref="W4:AA203">
    <cfRule type="expression" dxfId="52" priority="22">
      <formula>_xlfn.LET(_xlpm.x, W4, AND(NOT(_xlfn.ISFORMULA(_xlpm.x)), _xlpm.x&lt;&gt;""))</formula>
    </cfRule>
  </conditionalFormatting>
  <conditionalFormatting sqref="K1:O1048576">
    <cfRule type="cellIs" dxfId="51" priority="14" operator="equal">
      <formula>"C1"</formula>
    </cfRule>
    <cfRule type="cellIs" dxfId="50" priority="15" operator="between">
      <formula>"G1"</formula>
      <formula>"G5"</formula>
    </cfRule>
    <cfRule type="cellIs" dxfId="49" priority="17" operator="between">
      <formula>"M1"</formula>
      <formula>"M5"</formula>
    </cfRule>
  </conditionalFormatting>
  <conditionalFormatting sqref="C28:G46 D27:G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{502C9060-804F-42DB-9325-56FFAE48D985}</x14:id>
        </ext>
      </extLst>
    </cfRule>
  </conditionalFormatting>
  <conditionalFormatting sqref="D52:D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E52:E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F52:F54">
    <cfRule type="cellIs" dxfId="40" priority="1" operator="equal">
      <formula>"C1"</formula>
    </cfRule>
    <cfRule type="cellIs" dxfId="39" priority="2" operator="between">
      <formula>"G1"</formula>
      <formula>"G4"</formula>
    </cfRule>
    <cfRule type="cellIs" dxfId="38" priority="3" operator="between">
      <formula>"GA"</formula>
      <formula>"GQ"</formula>
    </cfRule>
    <cfRule type="cellIs" dxfId="37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9060-804F-42DB-9325-56FFAE48D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16" operator="containsText" id="{A92EDE66-5047-4AC0-BF85-77C2DC95FA81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topLeftCell="T53" workbookViewId="0">
      <selection activeCell="AD65" sqref="AD65:AH73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126</v>
      </c>
      <c r="M4" s="26" t="s">
        <v>127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5</v>
      </c>
      <c r="D5" s="99">
        <f t="shared" si="0"/>
        <v>5</v>
      </c>
      <c r="E5" s="99">
        <f t="shared" si="0"/>
        <v>0</v>
      </c>
      <c r="F5" s="99">
        <f t="shared" si="0"/>
        <v>8</v>
      </c>
      <c r="G5" s="99">
        <f t="shared" si="0"/>
        <v>8</v>
      </c>
      <c r="H5" s="8">
        <v>1</v>
      </c>
      <c r="I5" s="87"/>
      <c r="J5" s="9">
        <v>1</v>
      </c>
      <c r="K5" s="16" t="s">
        <v>126</v>
      </c>
      <c r="L5" s="16" t="s">
        <v>21</v>
      </c>
      <c r="M5" s="16" t="s">
        <v>91</v>
      </c>
      <c r="N5" s="16" t="s">
        <v>34</v>
      </c>
      <c r="O5" s="16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19</v>
      </c>
      <c r="L6" s="16" t="s">
        <v>126</v>
      </c>
      <c r="M6" s="16" t="s">
        <v>127</v>
      </c>
      <c r="N6" s="16" t="s">
        <v>35</v>
      </c>
      <c r="O6" s="16" t="s">
        <v>126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13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35</v>
      </c>
      <c r="L7" s="26" t="s">
        <v>22</v>
      </c>
      <c r="M7" s="16" t="s">
        <v>92</v>
      </c>
      <c r="N7" s="16" t="s">
        <v>36</v>
      </c>
      <c r="O7" s="16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14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126</v>
      </c>
      <c r="L8" s="16" t="s">
        <v>37</v>
      </c>
      <c r="M8" s="16" t="s">
        <v>112</v>
      </c>
      <c r="N8" s="16" t="s">
        <v>19</v>
      </c>
      <c r="O8" s="16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42</v>
      </c>
      <c r="D9" s="133">
        <f t="shared" si="0"/>
        <v>25</v>
      </c>
      <c r="E9" s="133">
        <f t="shared" si="0"/>
        <v>0</v>
      </c>
      <c r="F9" s="133">
        <f t="shared" si="0"/>
        <v>33</v>
      </c>
      <c r="G9" s="133">
        <f t="shared" si="0"/>
        <v>34</v>
      </c>
      <c r="H9" s="112">
        <v>5</v>
      </c>
      <c r="I9" s="87"/>
      <c r="J9" s="9">
        <v>5</v>
      </c>
      <c r="K9" s="16" t="s">
        <v>19</v>
      </c>
      <c r="L9" s="16" t="s">
        <v>34</v>
      </c>
      <c r="M9" s="16" t="s">
        <v>89</v>
      </c>
      <c r="N9" s="16" t="s">
        <v>127</v>
      </c>
      <c r="O9" s="16" t="s">
        <v>18</v>
      </c>
      <c r="Q9" s="9">
        <v>5</v>
      </c>
      <c r="R9" s="9">
        <v>9</v>
      </c>
      <c r="S9" s="9">
        <v>12</v>
      </c>
      <c r="T9" s="9">
        <v>15</v>
      </c>
      <c r="U9" s="9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13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13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25</v>
      </c>
      <c r="E10" s="133">
        <f t="shared" si="0"/>
        <v>0</v>
      </c>
      <c r="F10" s="133">
        <f t="shared" si="0"/>
        <v>34</v>
      </c>
      <c r="G10" s="133">
        <f t="shared" si="0"/>
        <v>34</v>
      </c>
      <c r="H10" s="112">
        <v>6</v>
      </c>
      <c r="I10" s="87"/>
      <c r="J10" s="25">
        <v>6</v>
      </c>
      <c r="K10" s="16" t="s">
        <v>37</v>
      </c>
      <c r="L10" s="16" t="s">
        <v>97</v>
      </c>
      <c r="M10" s="16" t="s">
        <v>112</v>
      </c>
      <c r="N10" s="16" t="s">
        <v>37</v>
      </c>
      <c r="O10" s="16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14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14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42</v>
      </c>
      <c r="D11" s="133">
        <f t="shared" si="0"/>
        <v>29</v>
      </c>
      <c r="E11" s="133">
        <f t="shared" si="0"/>
        <v>0</v>
      </c>
      <c r="F11" s="133">
        <f t="shared" si="0"/>
        <v>33</v>
      </c>
      <c r="G11" s="133">
        <f t="shared" si="0"/>
        <v>33</v>
      </c>
      <c r="H11" s="112">
        <v>7</v>
      </c>
      <c r="I11" s="87"/>
      <c r="J11" s="9">
        <v>7</v>
      </c>
      <c r="K11" s="16" t="s">
        <v>19</v>
      </c>
      <c r="L11" s="16" t="s">
        <v>19</v>
      </c>
      <c r="M11" s="16" t="s">
        <v>127</v>
      </c>
      <c r="N11" s="16" t="s">
        <v>126</v>
      </c>
      <c r="O11" s="16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42</v>
      </c>
      <c r="AE11" s="133">
        <v>25</v>
      </c>
      <c r="AF11" s="133">
        <v>0</v>
      </c>
      <c r="AG11" s="133">
        <v>33</v>
      </c>
      <c r="AH11" s="133">
        <v>34</v>
      </c>
      <c r="AI11" s="5"/>
      <c r="AJ11" s="154" t="str">
        <v>M4</v>
      </c>
      <c r="AK11" s="133">
        <v>42</v>
      </c>
      <c r="AL11" s="133">
        <v>25</v>
      </c>
      <c r="AM11" s="133">
        <v>0</v>
      </c>
      <c r="AN11" s="133">
        <v>33</v>
      </c>
      <c r="AO11" s="133">
        <v>34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26</v>
      </c>
      <c r="E12" s="133">
        <f t="shared" si="0"/>
        <v>0</v>
      </c>
      <c r="F12" s="133">
        <f t="shared" si="0"/>
        <v>34</v>
      </c>
      <c r="G12" s="133">
        <f t="shared" si="0"/>
        <v>33</v>
      </c>
      <c r="H12" s="112">
        <v>8</v>
      </c>
      <c r="I12" s="87"/>
      <c r="J12" s="25">
        <v>8</v>
      </c>
      <c r="K12" s="16" t="s">
        <v>126</v>
      </c>
      <c r="L12" s="16" t="s">
        <v>36</v>
      </c>
      <c r="M12" s="16" t="s">
        <v>90</v>
      </c>
      <c r="N12" s="16" t="s">
        <v>36</v>
      </c>
      <c r="O12" s="16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25</v>
      </c>
      <c r="AF12" s="133">
        <v>0</v>
      </c>
      <c r="AG12" s="133">
        <v>34</v>
      </c>
      <c r="AH12" s="133">
        <v>34</v>
      </c>
      <c r="AI12" s="5"/>
      <c r="AJ12" s="154" t="str">
        <v>M5</v>
      </c>
      <c r="AK12" s="133">
        <v>42</v>
      </c>
      <c r="AL12" s="133">
        <v>25</v>
      </c>
      <c r="AM12" s="133">
        <v>0</v>
      </c>
      <c r="AN12" s="133">
        <v>34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13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21</v>
      </c>
      <c r="L13" s="16" t="s">
        <v>92</v>
      </c>
      <c r="M13" s="16" t="s">
        <v>92</v>
      </c>
      <c r="N13" s="16" t="s">
        <v>126</v>
      </c>
      <c r="O13" s="16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42</v>
      </c>
      <c r="AE13" s="133">
        <v>29</v>
      </c>
      <c r="AF13" s="133">
        <v>0</v>
      </c>
      <c r="AG13" s="133">
        <v>33</v>
      </c>
      <c r="AH13" s="133">
        <v>33</v>
      </c>
      <c r="AI13" s="5"/>
      <c r="AJ13" s="154" t="str">
        <v>A</v>
      </c>
      <c r="AK13" s="133">
        <v>42</v>
      </c>
      <c r="AL13" s="133">
        <v>29</v>
      </c>
      <c r="AM13" s="133">
        <v>0</v>
      </c>
      <c r="AN13" s="133">
        <v>33</v>
      </c>
      <c r="AO13" s="133">
        <v>33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6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19</v>
      </c>
      <c r="L14" s="16" t="s">
        <v>20</v>
      </c>
      <c r="M14" s="16" t="s">
        <v>112</v>
      </c>
      <c r="N14" s="16" t="s">
        <v>19</v>
      </c>
      <c r="O14" s="16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26</v>
      </c>
      <c r="AF14" s="133">
        <v>0</v>
      </c>
      <c r="AG14" s="133">
        <v>34</v>
      </c>
      <c r="AH14" s="133">
        <v>33</v>
      </c>
      <c r="AI14" s="5"/>
      <c r="AJ14" s="154" t="str">
        <v>K</v>
      </c>
      <c r="AK14" s="133">
        <v>43</v>
      </c>
      <c r="AL14" s="133">
        <v>26</v>
      </c>
      <c r="AM14" s="133">
        <v>0</v>
      </c>
      <c r="AN14" s="133">
        <v>34</v>
      </c>
      <c r="AO14" s="133">
        <v>33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126</v>
      </c>
      <c r="L15" s="16" t="s">
        <v>22</v>
      </c>
      <c r="M15" s="16" t="s">
        <v>92</v>
      </c>
      <c r="N15" s="16" t="s">
        <v>20</v>
      </c>
      <c r="O15" s="16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13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13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2</v>
      </c>
      <c r="E16" s="99">
        <f t="shared" si="0"/>
        <v>6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35</v>
      </c>
      <c r="L16" s="16" t="s">
        <v>126</v>
      </c>
      <c r="M16" s="16" t="s">
        <v>112</v>
      </c>
      <c r="N16" s="16" t="s">
        <v>127</v>
      </c>
      <c r="O16" s="16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6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6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2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37</v>
      </c>
      <c r="L17" s="16" t="s">
        <v>35</v>
      </c>
      <c r="M17" s="16" t="s">
        <v>127</v>
      </c>
      <c r="N17" s="16" t="s">
        <v>37</v>
      </c>
      <c r="O17" s="16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5</v>
      </c>
      <c r="E18" s="99">
        <f t="shared" si="0"/>
        <v>42</v>
      </c>
      <c r="F18" s="99">
        <f t="shared" si="0"/>
        <v>7</v>
      </c>
      <c r="G18" s="99">
        <f t="shared" si="0"/>
        <v>0</v>
      </c>
      <c r="H18" s="8">
        <v>14</v>
      </c>
      <c r="I18" s="87"/>
      <c r="J18" s="25">
        <v>14</v>
      </c>
      <c r="K18" s="16" t="s">
        <v>34</v>
      </c>
      <c r="L18" s="16" t="s">
        <v>22</v>
      </c>
      <c r="M18" s="16" t="s">
        <v>91</v>
      </c>
      <c r="N18" s="16" t="s">
        <v>127</v>
      </c>
      <c r="O18" s="16" t="s">
        <v>126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3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3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5</v>
      </c>
      <c r="E19" s="99">
        <f t="shared" si="0"/>
        <v>42</v>
      </c>
      <c r="F19" s="99">
        <f t="shared" si="0"/>
        <v>6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112</v>
      </c>
      <c r="M19" s="16" t="s">
        <v>112</v>
      </c>
      <c r="N19" s="16" t="s">
        <v>89</v>
      </c>
      <c r="O19" s="16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3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3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7</v>
      </c>
      <c r="E20" s="99">
        <f t="shared" si="0"/>
        <v>42</v>
      </c>
      <c r="F20" s="99">
        <f t="shared" si="0"/>
        <v>6</v>
      </c>
      <c r="G20" s="99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18</v>
      </c>
      <c r="M20" s="16" t="s">
        <v>92</v>
      </c>
      <c r="N20" s="16" t="s">
        <v>126</v>
      </c>
      <c r="O20" s="16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6</v>
      </c>
      <c r="AF20" s="99">
        <v>42</v>
      </c>
      <c r="AG20" s="99">
        <v>8</v>
      </c>
      <c r="AH20" s="99">
        <v>0</v>
      </c>
      <c r="AI20" s="5"/>
      <c r="AJ20" s="138" t="str">
        <v>G4</v>
      </c>
      <c r="AK20" s="99">
        <v>0</v>
      </c>
      <c r="AL20" s="99">
        <v>6</v>
      </c>
      <c r="AM20" s="99">
        <v>42</v>
      </c>
      <c r="AN20" s="99">
        <v>8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5</v>
      </c>
      <c r="E21" s="99">
        <f t="shared" si="0"/>
        <v>42</v>
      </c>
      <c r="F21" s="99">
        <f t="shared" si="0"/>
        <v>6</v>
      </c>
      <c r="G21" s="99">
        <f t="shared" si="0"/>
        <v>0</v>
      </c>
      <c r="H21" s="8">
        <v>17</v>
      </c>
      <c r="I21" s="87"/>
      <c r="J21" s="9">
        <v>17</v>
      </c>
      <c r="K21" s="16" t="s">
        <v>22</v>
      </c>
      <c r="L21" s="16" t="s">
        <v>36</v>
      </c>
      <c r="M21" s="16" t="s">
        <v>112</v>
      </c>
      <c r="N21" s="16" t="s">
        <v>19</v>
      </c>
      <c r="O21" s="16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6</v>
      </c>
      <c r="AF21" s="99">
        <v>42</v>
      </c>
      <c r="AG21" s="99">
        <v>7</v>
      </c>
      <c r="AH21" s="99">
        <v>0</v>
      </c>
      <c r="AI21" s="5"/>
      <c r="AJ21" s="138" t="str">
        <v>G5</v>
      </c>
      <c r="AK21" s="99">
        <v>0</v>
      </c>
      <c r="AL21" s="99">
        <v>6</v>
      </c>
      <c r="AM21" s="99">
        <v>42</v>
      </c>
      <c r="AN21" s="99">
        <v>7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2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18</v>
      </c>
      <c r="M22" s="16" t="s">
        <v>91</v>
      </c>
      <c r="N22" s="16" t="s">
        <v>126</v>
      </c>
      <c r="O22" s="16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8</v>
      </c>
      <c r="AF22" s="99">
        <v>42</v>
      </c>
      <c r="AG22" s="99">
        <v>7</v>
      </c>
      <c r="AH22" s="99">
        <v>0</v>
      </c>
      <c r="AI22" s="5"/>
      <c r="AJ22" s="138" t="str">
        <v>GA</v>
      </c>
      <c r="AK22" s="99">
        <v>0</v>
      </c>
      <c r="AL22" s="99">
        <v>8</v>
      </c>
      <c r="AM22" s="99">
        <v>42</v>
      </c>
      <c r="AN22" s="99">
        <v>7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19</v>
      </c>
      <c r="M23" s="16" t="s">
        <v>90</v>
      </c>
      <c r="N23" s="16" t="s">
        <v>19</v>
      </c>
      <c r="O23" s="16" t="s">
        <v>126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6</v>
      </c>
      <c r="AF23" s="99">
        <v>42</v>
      </c>
      <c r="AG23" s="99">
        <v>7</v>
      </c>
      <c r="AH23" s="99">
        <v>0</v>
      </c>
      <c r="AI23" s="5"/>
      <c r="AJ23" s="138" t="str">
        <v>GK</v>
      </c>
      <c r="AK23" s="99">
        <v>0</v>
      </c>
      <c r="AL23" s="99">
        <v>6</v>
      </c>
      <c r="AM23" s="99">
        <v>42</v>
      </c>
      <c r="AN23" s="99">
        <v>7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35</v>
      </c>
      <c r="L24" s="16" t="s">
        <v>37</v>
      </c>
      <c r="M24" s="16" t="s">
        <v>92</v>
      </c>
      <c r="N24" s="16" t="s">
        <v>20</v>
      </c>
      <c r="O24" s="16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3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3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19</v>
      </c>
      <c r="L25" s="16" t="s">
        <v>21</v>
      </c>
      <c r="M25" s="16" t="s">
        <v>127</v>
      </c>
      <c r="N25" s="16" t="s">
        <v>37</v>
      </c>
      <c r="O25" s="16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0.84</v>
      </c>
      <c r="E26" s="181">
        <f t="shared" si="1"/>
        <v>0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126</v>
      </c>
      <c r="L26" s="16" t="s">
        <v>36</v>
      </c>
      <c r="M26" s="16" t="s">
        <v>88</v>
      </c>
      <c r="N26" s="16" t="s">
        <v>126</v>
      </c>
      <c r="O26" s="16" t="s">
        <v>126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196</v>
      </c>
      <c r="AE26" s="113">
        <f>SUM(AE6:AE25)</f>
        <v>205</v>
      </c>
      <c r="AF26" s="113">
        <f>SUM(AF6:AF25)</f>
        <v>195</v>
      </c>
      <c r="AG26" s="113">
        <f>SUM(AG6:AG25)</f>
        <v>202</v>
      </c>
      <c r="AH26" s="113">
        <f>SUM(AH6:AH25)</f>
        <v>193</v>
      </c>
      <c r="AI26" s="5"/>
      <c r="AK26" s="113">
        <f>SUM(AK6:AK25)</f>
        <v>196</v>
      </c>
      <c r="AL26" s="113">
        <f>SUM(AL6:AL25)</f>
        <v>205</v>
      </c>
      <c r="AM26" s="113">
        <f>SUM(AM6:AM25)</f>
        <v>195</v>
      </c>
      <c r="AN26" s="113">
        <f>SUM(AN6:AN25)</f>
        <v>202</v>
      </c>
      <c r="AO26" s="113">
        <f>SUM(AO6:AO25)</f>
        <v>193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0.16</v>
      </c>
      <c r="E27" s="181">
        <f t="shared" si="2"/>
        <v>1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19</v>
      </c>
      <c r="L27" s="16" t="s">
        <v>19</v>
      </c>
      <c r="M27" s="16" t="s">
        <v>127</v>
      </c>
      <c r="N27" s="16" t="s">
        <v>35</v>
      </c>
      <c r="O27" s="16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18</v>
      </c>
      <c r="L28" s="16" t="s">
        <v>22</v>
      </c>
      <c r="M28" s="16" t="s">
        <v>91</v>
      </c>
      <c r="N28" s="16" t="s">
        <v>18</v>
      </c>
      <c r="O28" s="16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37</v>
      </c>
      <c r="L29" s="16" t="s">
        <v>35</v>
      </c>
      <c r="M29" s="16" t="s">
        <v>127</v>
      </c>
      <c r="N29" s="16" t="s">
        <v>37</v>
      </c>
      <c r="O29" s="16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19</v>
      </c>
      <c r="L30" s="16" t="s">
        <v>92</v>
      </c>
      <c r="M30" s="16" t="s">
        <v>92</v>
      </c>
      <c r="N30" s="16" t="s">
        <v>126</v>
      </c>
      <c r="O30" s="16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37</v>
      </c>
      <c r="L31" s="16" t="s">
        <v>21</v>
      </c>
      <c r="M31" s="16" t="s">
        <v>91</v>
      </c>
      <c r="N31" s="16" t="s">
        <v>35</v>
      </c>
      <c r="O31" s="16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19</v>
      </c>
      <c r="L32" s="16" t="s">
        <v>37</v>
      </c>
      <c r="M32" s="16" t="s">
        <v>90</v>
      </c>
      <c r="N32" s="16" t="s">
        <v>126</v>
      </c>
      <c r="O32" s="16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126</v>
      </c>
      <c r="L33" s="16" t="s">
        <v>35</v>
      </c>
      <c r="M33" s="16" t="s">
        <v>92</v>
      </c>
      <c r="N33" s="16" t="s">
        <v>95</v>
      </c>
      <c r="O33" s="16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13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13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19</v>
      </c>
      <c r="L34" s="16" t="s">
        <v>21</v>
      </c>
      <c r="M34" s="16" t="s">
        <v>91</v>
      </c>
      <c r="N34" s="16" t="s">
        <v>19</v>
      </c>
      <c r="O34" s="16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14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14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126</v>
      </c>
      <c r="L35" s="16" t="s">
        <v>92</v>
      </c>
      <c r="M35" s="16" t="s">
        <v>95</v>
      </c>
      <c r="N35" s="16" t="s">
        <v>91</v>
      </c>
      <c r="O35" s="16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42</v>
      </c>
      <c r="AE35" s="133">
        <v>25</v>
      </c>
      <c r="AF35" s="133">
        <v>0</v>
      </c>
      <c r="AG35" s="133">
        <v>33</v>
      </c>
      <c r="AH35" s="133">
        <v>34</v>
      </c>
      <c r="AI35" s="5"/>
      <c r="AJ35" s="154" t="str">
        <v>M4</v>
      </c>
      <c r="AK35" s="133">
        <v>42</v>
      </c>
      <c r="AL35" s="133">
        <v>25</v>
      </c>
      <c r="AM35" s="133">
        <v>0</v>
      </c>
      <c r="AN35" s="133">
        <v>33</v>
      </c>
      <c r="AO35" s="133">
        <v>34</v>
      </c>
    </row>
    <row r="36" spans="10:41" ht="16.5" customHeight="1" x14ac:dyDescent="0.3">
      <c r="J36" s="25">
        <v>32</v>
      </c>
      <c r="K36" s="16" t="s">
        <v>20</v>
      </c>
      <c r="L36" s="16" t="s">
        <v>19</v>
      </c>
      <c r="M36" s="16" t="s">
        <v>91</v>
      </c>
      <c r="N36" s="16" t="s">
        <v>34</v>
      </c>
      <c r="O36" s="16" t="s">
        <v>126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25</v>
      </c>
      <c r="AF36" s="133">
        <v>0</v>
      </c>
      <c r="AG36" s="133">
        <v>34</v>
      </c>
      <c r="AH36" s="133">
        <v>34</v>
      </c>
      <c r="AI36" s="5"/>
      <c r="AJ36" s="154" t="str">
        <v>M5</v>
      </c>
      <c r="AK36" s="133">
        <v>42</v>
      </c>
      <c r="AL36" s="133">
        <v>25</v>
      </c>
      <c r="AM36" s="133">
        <v>0</v>
      </c>
      <c r="AN36" s="133">
        <v>34</v>
      </c>
      <c r="AO36" s="133">
        <v>34</v>
      </c>
    </row>
    <row r="37" spans="10:41" ht="16.5" customHeight="1" x14ac:dyDescent="0.3">
      <c r="J37" s="9">
        <v>33</v>
      </c>
      <c r="K37" s="16" t="s">
        <v>35</v>
      </c>
      <c r="L37" s="16" t="s">
        <v>35</v>
      </c>
      <c r="M37" s="16" t="s">
        <v>112</v>
      </c>
      <c r="N37" s="16" t="s">
        <v>19</v>
      </c>
      <c r="O37" s="16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42</v>
      </c>
      <c r="AE37" s="133">
        <v>29</v>
      </c>
      <c r="AF37" s="133">
        <v>0</v>
      </c>
      <c r="AG37" s="133">
        <v>33</v>
      </c>
      <c r="AH37" s="133">
        <v>33</v>
      </c>
      <c r="AI37" s="5"/>
      <c r="AJ37" s="154" t="str">
        <v>A</v>
      </c>
      <c r="AK37" s="133">
        <v>42</v>
      </c>
      <c r="AL37" s="133">
        <v>29</v>
      </c>
      <c r="AM37" s="133">
        <v>0</v>
      </c>
      <c r="AN37" s="133">
        <v>33</v>
      </c>
      <c r="AO37" s="133">
        <v>33</v>
      </c>
    </row>
    <row r="38" spans="10:41" ht="16.5" customHeight="1" x14ac:dyDescent="0.3">
      <c r="J38" s="25">
        <v>34</v>
      </c>
      <c r="K38" s="16" t="s">
        <v>19</v>
      </c>
      <c r="L38" s="16" t="s">
        <v>19</v>
      </c>
      <c r="M38" s="16" t="s">
        <v>91</v>
      </c>
      <c r="N38" s="16" t="s">
        <v>88</v>
      </c>
      <c r="O38" s="16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26</v>
      </c>
      <c r="AF38" s="133">
        <v>0</v>
      </c>
      <c r="AG38" s="133">
        <v>34</v>
      </c>
      <c r="AH38" s="133">
        <v>33</v>
      </c>
      <c r="AI38" s="5"/>
      <c r="AJ38" s="154" t="str">
        <v>K</v>
      </c>
      <c r="AK38" s="133">
        <v>43</v>
      </c>
      <c r="AL38" s="133">
        <v>26</v>
      </c>
      <c r="AM38" s="133">
        <v>0</v>
      </c>
      <c r="AN38" s="133">
        <v>34</v>
      </c>
      <c r="AO38" s="133">
        <v>33</v>
      </c>
    </row>
    <row r="39" spans="10:41" ht="16.5" customHeight="1" x14ac:dyDescent="0.3">
      <c r="J39" s="9">
        <v>35</v>
      </c>
      <c r="K39" s="16" t="s">
        <v>35</v>
      </c>
      <c r="L39" s="16" t="s">
        <v>37</v>
      </c>
      <c r="M39" s="16" t="s">
        <v>92</v>
      </c>
      <c r="N39" s="16" t="s">
        <v>35</v>
      </c>
      <c r="O39" s="16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13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13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37</v>
      </c>
      <c r="L40" s="16" t="s">
        <v>35</v>
      </c>
      <c r="M40" s="16" t="s">
        <v>89</v>
      </c>
      <c r="N40" s="16" t="s">
        <v>126</v>
      </c>
      <c r="O40" s="16" t="s">
        <v>35</v>
      </c>
      <c r="Q40" s="9">
        <v>7</v>
      </c>
      <c r="R40" s="9">
        <v>8</v>
      </c>
      <c r="S40" s="9">
        <v>12</v>
      </c>
      <c r="T40" s="9">
        <v>6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6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6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19</v>
      </c>
      <c r="L41" s="16" t="s">
        <v>22</v>
      </c>
      <c r="M41" s="16" t="s">
        <v>91</v>
      </c>
      <c r="N41" s="16" t="s">
        <v>35</v>
      </c>
      <c r="O41" s="16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22</v>
      </c>
      <c r="L42" s="16" t="s">
        <v>18</v>
      </c>
      <c r="M42" s="16" t="s">
        <v>92</v>
      </c>
      <c r="N42" s="16" t="s">
        <v>18</v>
      </c>
      <c r="O42" s="16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3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3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35</v>
      </c>
      <c r="L43" s="16" t="s">
        <v>35</v>
      </c>
      <c r="M43" s="16" t="s">
        <v>97</v>
      </c>
      <c r="N43" s="16" t="s">
        <v>36</v>
      </c>
      <c r="O43" s="16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3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3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19</v>
      </c>
      <c r="L44" s="16" t="s">
        <v>19</v>
      </c>
      <c r="M44" s="16" t="s">
        <v>112</v>
      </c>
      <c r="N44" s="16" t="s">
        <v>37</v>
      </c>
      <c r="O44" s="16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6</v>
      </c>
      <c r="AF44" s="99">
        <v>42</v>
      </c>
      <c r="AG44" s="99">
        <v>8</v>
      </c>
      <c r="AH44" s="99">
        <v>0</v>
      </c>
      <c r="AI44" s="5"/>
      <c r="AJ44" s="138" t="str">
        <v>G4</v>
      </c>
      <c r="AK44" s="99">
        <v>0</v>
      </c>
      <c r="AL44" s="99">
        <v>6</v>
      </c>
      <c r="AM44" s="99">
        <v>42</v>
      </c>
      <c r="AN44" s="99">
        <v>8</v>
      </c>
      <c r="AO44" s="99">
        <v>0</v>
      </c>
    </row>
    <row r="45" spans="10:41" ht="16.5" customHeight="1" x14ac:dyDescent="0.3">
      <c r="J45" s="9">
        <v>41</v>
      </c>
      <c r="K45" s="16" t="s">
        <v>35</v>
      </c>
      <c r="L45" s="16" t="s">
        <v>35</v>
      </c>
      <c r="M45" s="16" t="s">
        <v>97</v>
      </c>
      <c r="N45" s="16" t="s">
        <v>18</v>
      </c>
      <c r="O45" s="16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6</v>
      </c>
      <c r="AF45" s="99">
        <v>42</v>
      </c>
      <c r="AG45" s="99">
        <v>7</v>
      </c>
      <c r="AH45" s="99">
        <v>0</v>
      </c>
      <c r="AI45" s="5"/>
      <c r="AJ45" s="138" t="str">
        <v>G5</v>
      </c>
      <c r="AK45" s="99">
        <v>0</v>
      </c>
      <c r="AL45" s="99">
        <v>6</v>
      </c>
      <c r="AM45" s="99">
        <v>42</v>
      </c>
      <c r="AN45" s="99">
        <v>7</v>
      </c>
      <c r="AO45" s="99">
        <v>0</v>
      </c>
    </row>
    <row r="46" spans="10:41" ht="16.5" customHeight="1" x14ac:dyDescent="0.3">
      <c r="J46" s="25">
        <v>42</v>
      </c>
      <c r="K46" s="16" t="s">
        <v>19</v>
      </c>
      <c r="L46" s="16" t="s">
        <v>126</v>
      </c>
      <c r="M46" s="16" t="s">
        <v>91</v>
      </c>
      <c r="N46" s="16" t="s">
        <v>35</v>
      </c>
      <c r="O46" s="16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8</v>
      </c>
      <c r="AF46" s="99">
        <v>42</v>
      </c>
      <c r="AG46" s="99">
        <v>7</v>
      </c>
      <c r="AH46" s="99">
        <v>0</v>
      </c>
      <c r="AI46" s="5"/>
      <c r="AJ46" s="138" t="str">
        <v>GA</v>
      </c>
      <c r="AK46" s="99">
        <v>0</v>
      </c>
      <c r="AL46" s="99">
        <v>8</v>
      </c>
      <c r="AM46" s="99">
        <v>42</v>
      </c>
      <c r="AN46" s="99">
        <v>7</v>
      </c>
      <c r="AO46" s="99">
        <v>0</v>
      </c>
    </row>
    <row r="47" spans="10:41" ht="16.5" customHeight="1" x14ac:dyDescent="0.3">
      <c r="J47" s="9">
        <v>43</v>
      </c>
      <c r="K47" s="16" t="s">
        <v>18</v>
      </c>
      <c r="L47" s="16" t="s">
        <v>35</v>
      </c>
      <c r="M47" s="16" t="s">
        <v>112</v>
      </c>
      <c r="N47" s="16" t="s">
        <v>37</v>
      </c>
      <c r="O47" s="16" t="s">
        <v>126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6</v>
      </c>
      <c r="AF47" s="99">
        <v>42</v>
      </c>
      <c r="AG47" s="99">
        <v>7</v>
      </c>
      <c r="AH47" s="99">
        <v>0</v>
      </c>
      <c r="AI47" s="5"/>
      <c r="AJ47" s="138" t="str">
        <v>GK</v>
      </c>
      <c r="AK47" s="99">
        <v>0</v>
      </c>
      <c r="AL47" s="99">
        <v>6</v>
      </c>
      <c r="AM47" s="99">
        <v>42</v>
      </c>
      <c r="AN47" s="99">
        <v>7</v>
      </c>
      <c r="AO47" s="99">
        <v>0</v>
      </c>
    </row>
    <row r="48" spans="10:41" ht="16.5" customHeight="1" x14ac:dyDescent="0.3">
      <c r="J48" s="25">
        <v>44</v>
      </c>
      <c r="K48" s="16" t="s">
        <v>37</v>
      </c>
      <c r="L48" s="16" t="s">
        <v>37</v>
      </c>
      <c r="M48" s="16" t="s">
        <v>91</v>
      </c>
      <c r="N48" s="16" t="s">
        <v>126</v>
      </c>
      <c r="O48" s="16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3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3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126</v>
      </c>
      <c r="L49" s="16" t="s">
        <v>91</v>
      </c>
      <c r="M49" s="16" t="s">
        <v>112</v>
      </c>
      <c r="N49" s="16" t="s">
        <v>92</v>
      </c>
      <c r="O49" s="16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19</v>
      </c>
      <c r="L50" s="16" t="s">
        <v>37</v>
      </c>
      <c r="M50" s="16" t="s">
        <v>91</v>
      </c>
      <c r="N50" s="16" t="s">
        <v>37</v>
      </c>
      <c r="O50" s="16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196</v>
      </c>
      <c r="AE50" s="113">
        <f>SUM(AE30:AE49)</f>
        <v>205</v>
      </c>
      <c r="AF50" s="113">
        <f>SUM(AF30:AF49)</f>
        <v>195</v>
      </c>
      <c r="AG50" s="113">
        <f>SUM(AG30:AG49)</f>
        <v>202</v>
      </c>
      <c r="AH50" s="113">
        <f>SUM(AH30:AH49)</f>
        <v>193</v>
      </c>
      <c r="AI50" s="5"/>
      <c r="AK50" s="113">
        <f>SUM(AK30:AK49)</f>
        <v>196</v>
      </c>
      <c r="AL50" s="113">
        <f>SUM(AL30:AL49)</f>
        <v>205</v>
      </c>
      <c r="AM50" s="113">
        <f>SUM(AM30:AM49)</f>
        <v>195</v>
      </c>
      <c r="AN50" s="113">
        <f>SUM(AN30:AN49)</f>
        <v>202</v>
      </c>
      <c r="AO50" s="113">
        <f>SUM(AO30:AO49)</f>
        <v>193</v>
      </c>
    </row>
    <row r="51" spans="10:41" ht="16.5" customHeight="1" x14ac:dyDescent="0.3">
      <c r="J51" s="9">
        <v>47</v>
      </c>
      <c r="K51" s="16" t="s">
        <v>37</v>
      </c>
      <c r="L51" s="16" t="s">
        <v>34</v>
      </c>
      <c r="M51" s="16" t="s">
        <v>95</v>
      </c>
      <c r="N51" s="16" t="s">
        <v>126</v>
      </c>
      <c r="O51" s="16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34</v>
      </c>
      <c r="L52" s="16" t="s">
        <v>35</v>
      </c>
      <c r="M52" s="16" t="s">
        <v>112</v>
      </c>
      <c r="N52" s="16" t="s">
        <v>35</v>
      </c>
      <c r="O52" s="16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89</v>
      </c>
      <c r="M53" s="16" t="s">
        <v>127</v>
      </c>
      <c r="N53" s="16" t="s">
        <v>37</v>
      </c>
      <c r="O53" s="16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126</v>
      </c>
      <c r="L54" s="16" t="s">
        <v>19</v>
      </c>
      <c r="M54" s="16" t="s">
        <v>88</v>
      </c>
      <c r="N54" s="16" t="s">
        <v>20</v>
      </c>
      <c r="O54" s="16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35</v>
      </c>
      <c r="L55" s="16" t="s">
        <v>126</v>
      </c>
      <c r="M55" s="16" t="s">
        <v>91</v>
      </c>
      <c r="N55" s="16" t="s">
        <v>35</v>
      </c>
      <c r="O55" s="16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126</v>
      </c>
      <c r="L56" s="16" t="s">
        <v>21</v>
      </c>
      <c r="M56" s="16" t="s">
        <v>92</v>
      </c>
      <c r="N56" s="16" t="s">
        <v>19</v>
      </c>
      <c r="O56" s="16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20</v>
      </c>
      <c r="L57" s="16" t="s">
        <v>37</v>
      </c>
      <c r="M57" s="16" t="s">
        <v>91</v>
      </c>
      <c r="N57" s="16" t="s">
        <v>126</v>
      </c>
      <c r="O57" s="16" t="s">
        <v>126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13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13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126</v>
      </c>
      <c r="L58" s="16" t="s">
        <v>36</v>
      </c>
      <c r="M58" s="16" t="s">
        <v>127</v>
      </c>
      <c r="N58" s="16" t="s">
        <v>18</v>
      </c>
      <c r="O58" s="16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14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14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95</v>
      </c>
      <c r="N59" s="16" t="s">
        <v>91</v>
      </c>
      <c r="O59" s="16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42</v>
      </c>
      <c r="AE59" s="133">
        <v>25</v>
      </c>
      <c r="AF59" s="133">
        <v>0</v>
      </c>
      <c r="AG59" s="133">
        <v>33</v>
      </c>
      <c r="AH59" s="133">
        <v>34</v>
      </c>
      <c r="AI59" s="5"/>
      <c r="AJ59" s="154" t="str">
        <v>M4</v>
      </c>
      <c r="AK59" s="133">
        <v>42</v>
      </c>
      <c r="AL59" s="133">
        <v>25</v>
      </c>
      <c r="AM59" s="133">
        <v>0</v>
      </c>
      <c r="AN59" s="133">
        <v>33</v>
      </c>
      <c r="AO59" s="133">
        <v>34</v>
      </c>
    </row>
    <row r="60" spans="10:41" ht="16.5" customHeight="1" x14ac:dyDescent="0.3">
      <c r="J60" s="25">
        <v>56</v>
      </c>
      <c r="K60" s="16" t="s">
        <v>126</v>
      </c>
      <c r="L60" s="16" t="s">
        <v>127</v>
      </c>
      <c r="M60" s="16" t="s">
        <v>92</v>
      </c>
      <c r="N60" s="16" t="s">
        <v>37</v>
      </c>
      <c r="O60" s="16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25</v>
      </c>
      <c r="AF60" s="133">
        <v>0</v>
      </c>
      <c r="AG60" s="133">
        <v>34</v>
      </c>
      <c r="AH60" s="133">
        <v>34</v>
      </c>
      <c r="AI60" s="5"/>
      <c r="AJ60" s="154" t="str">
        <v>M5</v>
      </c>
      <c r="AK60" s="133">
        <v>42</v>
      </c>
      <c r="AL60" s="133">
        <v>25</v>
      </c>
      <c r="AM60" s="133">
        <v>0</v>
      </c>
      <c r="AN60" s="133">
        <v>34</v>
      </c>
      <c r="AO60" s="133">
        <v>34</v>
      </c>
    </row>
    <row r="61" spans="10:41" x14ac:dyDescent="0.3">
      <c r="J61" s="9">
        <v>57</v>
      </c>
      <c r="K61" s="16" t="s">
        <v>19</v>
      </c>
      <c r="L61" s="16" t="s">
        <v>19</v>
      </c>
      <c r="M61" s="16" t="s">
        <v>127</v>
      </c>
      <c r="N61" s="16" t="s">
        <v>126</v>
      </c>
      <c r="O61" s="16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42</v>
      </c>
      <c r="AE61" s="133">
        <v>29</v>
      </c>
      <c r="AF61" s="133">
        <v>0</v>
      </c>
      <c r="AG61" s="133">
        <v>33</v>
      </c>
      <c r="AH61" s="133">
        <v>33</v>
      </c>
      <c r="AI61" s="5"/>
      <c r="AJ61" s="154" t="str">
        <v>A</v>
      </c>
      <c r="AK61" s="133">
        <v>42</v>
      </c>
      <c r="AL61" s="133">
        <v>29</v>
      </c>
      <c r="AM61" s="133">
        <v>0</v>
      </c>
      <c r="AN61" s="133">
        <v>33</v>
      </c>
      <c r="AO61" s="133">
        <v>33</v>
      </c>
    </row>
    <row r="62" spans="10:41" x14ac:dyDescent="0.3">
      <c r="J62" s="25">
        <v>58</v>
      </c>
      <c r="K62" s="16" t="s">
        <v>126</v>
      </c>
      <c r="L62" s="16" t="s">
        <v>35</v>
      </c>
      <c r="M62" s="16" t="s">
        <v>112</v>
      </c>
      <c r="N62" s="16" t="s">
        <v>19</v>
      </c>
      <c r="O62" s="16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26</v>
      </c>
      <c r="AF62" s="133">
        <v>0</v>
      </c>
      <c r="AG62" s="133">
        <v>34</v>
      </c>
      <c r="AH62" s="133">
        <v>33</v>
      </c>
      <c r="AI62" s="5"/>
      <c r="AJ62" s="154" t="str">
        <v>K</v>
      </c>
      <c r="AK62" s="133">
        <v>43</v>
      </c>
      <c r="AL62" s="133">
        <v>26</v>
      </c>
      <c r="AM62" s="133">
        <v>0</v>
      </c>
      <c r="AN62" s="133">
        <v>34</v>
      </c>
      <c r="AO62" s="133">
        <v>33</v>
      </c>
    </row>
    <row r="63" spans="10:41" ht="16.5" customHeight="1" x14ac:dyDescent="0.3">
      <c r="J63" s="9">
        <v>59</v>
      </c>
      <c r="K63" s="16" t="s">
        <v>37</v>
      </c>
      <c r="L63" s="16" t="s">
        <v>18</v>
      </c>
      <c r="M63" s="16" t="s">
        <v>91</v>
      </c>
      <c r="N63" s="16" t="s">
        <v>35</v>
      </c>
      <c r="O63" s="16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13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13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35</v>
      </c>
      <c r="L64" s="16" t="s">
        <v>35</v>
      </c>
      <c r="M64" s="16" t="s">
        <v>127</v>
      </c>
      <c r="N64" s="16" t="s">
        <v>92</v>
      </c>
      <c r="O64" s="16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6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6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37</v>
      </c>
      <c r="L65" s="16" t="s">
        <v>92</v>
      </c>
      <c r="M65" s="16" t="s">
        <v>91</v>
      </c>
      <c r="N65" s="16" t="s">
        <v>22</v>
      </c>
      <c r="O65" s="16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19</v>
      </c>
      <c r="M66" s="16" t="s">
        <v>127</v>
      </c>
      <c r="N66" s="16" t="s">
        <v>37</v>
      </c>
      <c r="O66" s="16" t="s">
        <v>126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3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3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20</v>
      </c>
      <c r="M67" s="16" t="s">
        <v>92</v>
      </c>
      <c r="N67" s="16" t="s">
        <v>19</v>
      </c>
      <c r="O67" s="16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3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3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18</v>
      </c>
      <c r="L68" s="16" t="s">
        <v>34</v>
      </c>
      <c r="M68" s="16" t="s">
        <v>127</v>
      </c>
      <c r="N68" s="16" t="s">
        <v>37</v>
      </c>
      <c r="O68" s="16" t="s">
        <v>126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6</v>
      </c>
      <c r="AF68" s="99">
        <v>42</v>
      </c>
      <c r="AG68" s="99">
        <v>8</v>
      </c>
      <c r="AH68" s="99">
        <v>0</v>
      </c>
      <c r="AI68" s="5"/>
      <c r="AJ68" s="138" t="str">
        <v>G4</v>
      </c>
      <c r="AK68" s="99">
        <v>0</v>
      </c>
      <c r="AL68" s="99">
        <v>6</v>
      </c>
      <c r="AM68" s="99">
        <v>42</v>
      </c>
      <c r="AN68" s="99">
        <v>8</v>
      </c>
      <c r="AO68" s="99">
        <v>0</v>
      </c>
    </row>
    <row r="69" spans="10:41" ht="16.5" customHeight="1" x14ac:dyDescent="0.3">
      <c r="J69" s="9">
        <v>65</v>
      </c>
      <c r="K69" s="16" t="s">
        <v>19</v>
      </c>
      <c r="L69" s="16" t="s">
        <v>18</v>
      </c>
      <c r="M69" s="16" t="s">
        <v>91</v>
      </c>
      <c r="N69" s="16" t="s">
        <v>19</v>
      </c>
      <c r="O69" s="16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6</v>
      </c>
      <c r="AF69" s="99">
        <v>42</v>
      </c>
      <c r="AG69" s="99">
        <v>7</v>
      </c>
      <c r="AH69" s="99">
        <v>0</v>
      </c>
      <c r="AI69" s="5"/>
      <c r="AJ69" s="138" t="str">
        <v>G5</v>
      </c>
      <c r="AK69" s="99">
        <v>0</v>
      </c>
      <c r="AL69" s="99">
        <v>6</v>
      </c>
      <c r="AM69" s="99">
        <v>42</v>
      </c>
      <c r="AN69" s="99">
        <v>7</v>
      </c>
      <c r="AO69" s="99">
        <v>0</v>
      </c>
    </row>
    <row r="70" spans="10:41" ht="16.5" customHeight="1" x14ac:dyDescent="0.3">
      <c r="J70" s="25">
        <v>66</v>
      </c>
      <c r="K70" s="16" t="s">
        <v>126</v>
      </c>
      <c r="L70" s="16" t="s">
        <v>21</v>
      </c>
      <c r="M70" s="16" t="s">
        <v>112</v>
      </c>
      <c r="N70" s="16" t="s">
        <v>91</v>
      </c>
      <c r="O70" s="16" t="s">
        <v>126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8</v>
      </c>
      <c r="AF70" s="99">
        <v>42</v>
      </c>
      <c r="AG70" s="99">
        <v>7</v>
      </c>
      <c r="AH70" s="99">
        <v>0</v>
      </c>
      <c r="AI70" s="5"/>
      <c r="AJ70" s="138" t="str">
        <v>GA</v>
      </c>
      <c r="AK70" s="99">
        <v>0</v>
      </c>
      <c r="AL70" s="99">
        <v>8</v>
      </c>
      <c r="AM70" s="99">
        <v>42</v>
      </c>
      <c r="AN70" s="99">
        <v>7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19</v>
      </c>
      <c r="M71" s="16" t="s">
        <v>90</v>
      </c>
      <c r="N71" s="16" t="s">
        <v>37</v>
      </c>
      <c r="O71" s="16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6</v>
      </c>
      <c r="AF71" s="99">
        <v>42</v>
      </c>
      <c r="AG71" s="99">
        <v>7</v>
      </c>
      <c r="AH71" s="99">
        <v>0</v>
      </c>
      <c r="AI71" s="5"/>
      <c r="AJ71" s="138" t="str">
        <v>GK</v>
      </c>
      <c r="AK71" s="99">
        <v>0</v>
      </c>
      <c r="AL71" s="99">
        <v>6</v>
      </c>
      <c r="AM71" s="99">
        <v>42</v>
      </c>
      <c r="AN71" s="99">
        <v>7</v>
      </c>
      <c r="AO71" s="99">
        <v>0</v>
      </c>
    </row>
    <row r="72" spans="10:41" ht="16.5" customHeight="1" x14ac:dyDescent="0.3">
      <c r="J72" s="25">
        <v>68</v>
      </c>
      <c r="K72" s="16" t="s">
        <v>35</v>
      </c>
      <c r="L72" s="16" t="s">
        <v>35</v>
      </c>
      <c r="M72" s="16" t="s">
        <v>127</v>
      </c>
      <c r="N72" s="16" t="s">
        <v>126</v>
      </c>
      <c r="O72" s="16" t="s">
        <v>126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3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3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19</v>
      </c>
      <c r="L73" s="16" t="s">
        <v>127</v>
      </c>
      <c r="M73" s="16" t="s">
        <v>112</v>
      </c>
      <c r="N73" s="16" t="s">
        <v>19</v>
      </c>
      <c r="O73" s="16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22</v>
      </c>
      <c r="L74" s="16" t="s">
        <v>21</v>
      </c>
      <c r="M74" s="16" t="s">
        <v>92</v>
      </c>
      <c r="N74" s="16" t="s">
        <v>35</v>
      </c>
      <c r="O74" s="16" t="s">
        <v>126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196</v>
      </c>
      <c r="AE74" s="113">
        <f>SUM(AE54:AE73)</f>
        <v>205</v>
      </c>
      <c r="AF74" s="113">
        <f>SUM(AF54:AF73)</f>
        <v>195</v>
      </c>
      <c r="AG74" s="113">
        <f>SUM(AG54:AG73)</f>
        <v>202</v>
      </c>
      <c r="AH74" s="113">
        <f>SUM(AH54:AH73)</f>
        <v>193</v>
      </c>
      <c r="AI74" s="5"/>
      <c r="AK74" s="113">
        <f>SUM(AK54:AK73)</f>
        <v>196</v>
      </c>
      <c r="AL74" s="113">
        <f>SUM(AL54:AL73)</f>
        <v>205</v>
      </c>
      <c r="AM74" s="113">
        <f>SUM(AM54:AM73)</f>
        <v>195</v>
      </c>
      <c r="AN74" s="113">
        <f>SUM(AN54:AN73)</f>
        <v>202</v>
      </c>
      <c r="AO74" s="113">
        <f>SUM(AO54:AO73)</f>
        <v>193</v>
      </c>
    </row>
    <row r="75" spans="10:41" ht="16.5" customHeight="1" x14ac:dyDescent="0.3">
      <c r="J75" s="9">
        <v>71</v>
      </c>
      <c r="K75" s="16" t="s">
        <v>35</v>
      </c>
      <c r="L75" s="16" t="s">
        <v>37</v>
      </c>
      <c r="M75" s="16" t="s">
        <v>112</v>
      </c>
      <c r="N75" s="16" t="s">
        <v>126</v>
      </c>
      <c r="O75" s="16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126</v>
      </c>
      <c r="L76" s="16" t="s">
        <v>126</v>
      </c>
      <c r="M76" s="16" t="s">
        <v>91</v>
      </c>
      <c r="N76" s="16" t="s">
        <v>35</v>
      </c>
      <c r="O76" s="16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37</v>
      </c>
      <c r="L77" s="16" t="s">
        <v>22</v>
      </c>
      <c r="M77" s="16" t="s">
        <v>127</v>
      </c>
      <c r="N77" s="16" t="s">
        <v>126</v>
      </c>
      <c r="O77" s="16" t="s">
        <v>126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35</v>
      </c>
      <c r="L78" s="16" t="s">
        <v>35</v>
      </c>
      <c r="M78" s="16" t="s">
        <v>91</v>
      </c>
      <c r="N78" s="16" t="s">
        <v>19</v>
      </c>
      <c r="O78" s="16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19</v>
      </c>
      <c r="L79" s="16" t="s">
        <v>19</v>
      </c>
      <c r="M79" s="16" t="s">
        <v>127</v>
      </c>
      <c r="N79" s="16" t="s">
        <v>35</v>
      </c>
      <c r="O79" s="16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34</v>
      </c>
      <c r="M80" s="16" t="s">
        <v>91</v>
      </c>
      <c r="N80" s="16" t="s">
        <v>34</v>
      </c>
      <c r="O80" s="16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126</v>
      </c>
      <c r="L81" s="16" t="s">
        <v>126</v>
      </c>
      <c r="M81" s="16" t="s">
        <v>127</v>
      </c>
      <c r="N81" s="16" t="s">
        <v>19</v>
      </c>
      <c r="O81" s="16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35</v>
      </c>
      <c r="L82" s="16" t="s">
        <v>22</v>
      </c>
      <c r="M82" s="16" t="s">
        <v>91</v>
      </c>
      <c r="N82" s="16" t="s">
        <v>35</v>
      </c>
      <c r="O82" s="16" t="s">
        <v>126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126</v>
      </c>
      <c r="L83" s="16" t="s">
        <v>20</v>
      </c>
      <c r="M83" s="16" t="s">
        <v>90</v>
      </c>
      <c r="N83" s="16" t="s">
        <v>19</v>
      </c>
      <c r="O83" s="16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18</v>
      </c>
      <c r="L84" s="16" t="s">
        <v>126</v>
      </c>
      <c r="M84" s="16" t="s">
        <v>91</v>
      </c>
      <c r="N84" s="16" t="s">
        <v>35</v>
      </c>
      <c r="O84" s="16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35</v>
      </c>
      <c r="M85" s="16" t="s">
        <v>95</v>
      </c>
      <c r="N85" s="16" t="s">
        <v>20</v>
      </c>
      <c r="O85" s="16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34</v>
      </c>
      <c r="M86" s="16" t="s">
        <v>92</v>
      </c>
      <c r="N86" s="16" t="s">
        <v>126</v>
      </c>
      <c r="O86" s="16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36</v>
      </c>
      <c r="L87" s="16" t="s">
        <v>91</v>
      </c>
      <c r="M87" s="16" t="s">
        <v>127</v>
      </c>
      <c r="N87" s="16" t="s">
        <v>22</v>
      </c>
      <c r="O87" s="16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126</v>
      </c>
      <c r="L88" s="16" t="s">
        <v>36</v>
      </c>
      <c r="M88" s="16" t="s">
        <v>112</v>
      </c>
      <c r="N88" s="16" t="s">
        <v>37</v>
      </c>
      <c r="O88" s="16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37</v>
      </c>
      <c r="L89" s="16" t="s">
        <v>95</v>
      </c>
      <c r="M89" s="16" t="s">
        <v>92</v>
      </c>
      <c r="N89" s="16" t="s">
        <v>126</v>
      </c>
      <c r="O89" s="16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126</v>
      </c>
      <c r="L90" s="16" t="s">
        <v>21</v>
      </c>
      <c r="M90" s="16" t="s">
        <v>127</v>
      </c>
      <c r="N90" s="16" t="s">
        <v>19</v>
      </c>
      <c r="O90" s="16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36</v>
      </c>
      <c r="L91" s="16" t="s">
        <v>90</v>
      </c>
      <c r="M91" s="16" t="s">
        <v>89</v>
      </c>
      <c r="N91" s="16" t="s">
        <v>37</v>
      </c>
      <c r="O91" s="16" t="s">
        <v>36</v>
      </c>
      <c r="Q91" s="9">
        <v>10</v>
      </c>
      <c r="R91" s="9">
        <v>13</v>
      </c>
      <c r="S91" s="9">
        <v>12</v>
      </c>
      <c r="T91" s="9">
        <v>7</v>
      </c>
      <c r="U91" s="9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34</v>
      </c>
      <c r="L92" s="16" t="s">
        <v>37</v>
      </c>
      <c r="M92" s="16" t="s">
        <v>97</v>
      </c>
      <c r="N92" s="16" t="s">
        <v>126</v>
      </c>
      <c r="O92" s="16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35</v>
      </c>
      <c r="L93" s="16" t="s">
        <v>34</v>
      </c>
      <c r="M93" s="16" t="s">
        <v>127</v>
      </c>
      <c r="N93" s="16" t="s">
        <v>112</v>
      </c>
      <c r="O93" s="16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19</v>
      </c>
      <c r="L94" s="16" t="s">
        <v>126</v>
      </c>
      <c r="M94" s="16" t="s">
        <v>112</v>
      </c>
      <c r="N94" s="16" t="s">
        <v>35</v>
      </c>
      <c r="O94" s="16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37</v>
      </c>
      <c r="L95" s="16" t="s">
        <v>92</v>
      </c>
      <c r="M95" s="16" t="s">
        <v>92</v>
      </c>
      <c r="N95" s="16" t="s">
        <v>90</v>
      </c>
      <c r="O95" s="16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19</v>
      </c>
      <c r="L96" s="16" t="s">
        <v>19</v>
      </c>
      <c r="M96" s="16" t="s">
        <v>91</v>
      </c>
      <c r="N96" s="16" t="s">
        <v>19</v>
      </c>
      <c r="O96" s="16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126</v>
      </c>
      <c r="L97" s="16" t="s">
        <v>36</v>
      </c>
      <c r="M97" s="16" t="s">
        <v>127</v>
      </c>
      <c r="N97" s="16" t="s">
        <v>91</v>
      </c>
      <c r="O97" s="16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37</v>
      </c>
      <c r="L98" s="16" t="s">
        <v>126</v>
      </c>
      <c r="M98" s="16" t="s">
        <v>112</v>
      </c>
      <c r="N98" s="16" t="s">
        <v>35</v>
      </c>
      <c r="O98" s="16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35</v>
      </c>
      <c r="L99" s="16" t="s">
        <v>37</v>
      </c>
      <c r="M99" s="16" t="s">
        <v>91</v>
      </c>
      <c r="N99" s="16" t="s">
        <v>19</v>
      </c>
      <c r="O99" s="16" t="s">
        <v>126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20</v>
      </c>
      <c r="L100" s="16" t="s">
        <v>35</v>
      </c>
      <c r="M100" s="16" t="s">
        <v>112</v>
      </c>
      <c r="N100" s="16" t="s">
        <v>37</v>
      </c>
      <c r="O100" s="16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126</v>
      </c>
      <c r="L101" s="16" t="s">
        <v>126</v>
      </c>
      <c r="M101" s="16" t="s">
        <v>92</v>
      </c>
      <c r="N101" s="16" t="s">
        <v>19</v>
      </c>
      <c r="O101" s="16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35</v>
      </c>
      <c r="L102" s="16" t="s">
        <v>34</v>
      </c>
      <c r="M102" s="16" t="s">
        <v>91</v>
      </c>
      <c r="N102" s="16" t="s">
        <v>97</v>
      </c>
      <c r="O102" s="16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19</v>
      </c>
      <c r="L103" s="16" t="s">
        <v>126</v>
      </c>
      <c r="M103" s="16" t="s">
        <v>89</v>
      </c>
      <c r="N103" s="16" t="s">
        <v>35</v>
      </c>
      <c r="O103" s="16" t="s">
        <v>35</v>
      </c>
      <c r="Q103" s="9">
        <v>5</v>
      </c>
      <c r="R103" s="9">
        <v>6</v>
      </c>
      <c r="S103" s="9">
        <v>12</v>
      </c>
      <c r="T103" s="9">
        <v>8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35</v>
      </c>
      <c r="L104" s="16" t="s">
        <v>112</v>
      </c>
      <c r="M104" s="16" t="s">
        <v>92</v>
      </c>
      <c r="N104" s="16" t="s">
        <v>127</v>
      </c>
      <c r="O104" s="16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126</v>
      </c>
      <c r="L105" s="16" t="s">
        <v>20</v>
      </c>
      <c r="M105" s="16" t="s">
        <v>112</v>
      </c>
      <c r="N105" s="16" t="s">
        <v>19</v>
      </c>
      <c r="O105" s="16" t="s">
        <v>126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37</v>
      </c>
      <c r="L106" s="16" t="s">
        <v>35</v>
      </c>
      <c r="M106" s="16" t="s">
        <v>127</v>
      </c>
      <c r="N106" s="16" t="s">
        <v>35</v>
      </c>
      <c r="O106" s="16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36</v>
      </c>
      <c r="L107" s="16" t="s">
        <v>37</v>
      </c>
      <c r="M107" s="16" t="s">
        <v>91</v>
      </c>
      <c r="N107" s="16" t="s">
        <v>112</v>
      </c>
      <c r="O107" s="16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34</v>
      </c>
      <c r="L108" s="16" t="s">
        <v>126</v>
      </c>
      <c r="M108" s="16" t="s">
        <v>92</v>
      </c>
      <c r="N108" s="16" t="s">
        <v>37</v>
      </c>
      <c r="O108" s="16" t="s">
        <v>126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19</v>
      </c>
      <c r="L109" s="16" t="s">
        <v>88</v>
      </c>
      <c r="M109" s="16" t="s">
        <v>91</v>
      </c>
      <c r="N109" s="16" t="s">
        <v>36</v>
      </c>
      <c r="O109" s="16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126</v>
      </c>
      <c r="L110" s="16" t="s">
        <v>127</v>
      </c>
      <c r="M110" s="16" t="s">
        <v>112</v>
      </c>
      <c r="N110" s="16" t="s">
        <v>20</v>
      </c>
      <c r="O110" s="16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35</v>
      </c>
      <c r="M111" s="16" t="s">
        <v>91</v>
      </c>
      <c r="N111" s="16" t="s">
        <v>21</v>
      </c>
      <c r="O111" s="16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126</v>
      </c>
      <c r="L112" s="16" t="s">
        <v>112</v>
      </c>
      <c r="M112" s="16" t="s">
        <v>112</v>
      </c>
      <c r="N112" s="16" t="s">
        <v>19</v>
      </c>
      <c r="O112" s="16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35</v>
      </c>
      <c r="L113" s="16" t="s">
        <v>18</v>
      </c>
      <c r="M113" s="16" t="s">
        <v>91</v>
      </c>
      <c r="N113" s="16" t="s">
        <v>127</v>
      </c>
      <c r="O113" s="16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19</v>
      </c>
      <c r="L114" s="16" t="s">
        <v>37</v>
      </c>
      <c r="M114" s="16" t="s">
        <v>112</v>
      </c>
      <c r="N114" s="16" t="s">
        <v>37</v>
      </c>
      <c r="O114" s="16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37</v>
      </c>
      <c r="L115" s="16" t="s">
        <v>89</v>
      </c>
      <c r="M115" s="16" t="s">
        <v>92</v>
      </c>
      <c r="N115" s="16" t="s">
        <v>21</v>
      </c>
      <c r="O115" s="16" t="s">
        <v>126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34</v>
      </c>
      <c r="L116" s="16" t="s">
        <v>126</v>
      </c>
      <c r="M116" s="16" t="s">
        <v>91</v>
      </c>
      <c r="N116" s="16" t="s">
        <v>34</v>
      </c>
      <c r="O116" s="16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35</v>
      </c>
      <c r="L117" s="16" t="s">
        <v>22</v>
      </c>
      <c r="M117" s="16" t="s">
        <v>112</v>
      </c>
      <c r="N117" s="16" t="s">
        <v>35</v>
      </c>
      <c r="O117" s="16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37</v>
      </c>
      <c r="L118" s="16" t="s">
        <v>126</v>
      </c>
      <c r="M118" s="16" t="s">
        <v>91</v>
      </c>
      <c r="N118" s="16" t="s">
        <v>37</v>
      </c>
      <c r="O118" s="16" t="s">
        <v>126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19</v>
      </c>
      <c r="L119" s="16" t="s">
        <v>92</v>
      </c>
      <c r="M119" s="16" t="s">
        <v>127</v>
      </c>
      <c r="N119" s="16" t="s">
        <v>20</v>
      </c>
      <c r="O119" s="16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37</v>
      </c>
      <c r="L120" s="16" t="s">
        <v>37</v>
      </c>
      <c r="M120" s="16" t="s">
        <v>112</v>
      </c>
      <c r="N120" s="16" t="s">
        <v>126</v>
      </c>
      <c r="O120" s="16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126</v>
      </c>
      <c r="L121" s="16" t="s">
        <v>126</v>
      </c>
      <c r="M121" s="16" t="s">
        <v>95</v>
      </c>
      <c r="N121" s="16" t="s">
        <v>18</v>
      </c>
      <c r="O121" s="16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90</v>
      </c>
      <c r="N122" s="16" t="s">
        <v>19</v>
      </c>
      <c r="O122" s="16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37</v>
      </c>
      <c r="M123" s="16" t="s">
        <v>127</v>
      </c>
      <c r="N123" s="16" t="s">
        <v>37</v>
      </c>
      <c r="O123" s="16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97</v>
      </c>
      <c r="M124" s="16" t="s">
        <v>92</v>
      </c>
      <c r="N124" s="16" t="s">
        <v>19</v>
      </c>
      <c r="O124" s="16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126</v>
      </c>
      <c r="L125" s="16" t="s">
        <v>36</v>
      </c>
      <c r="M125" s="16" t="s">
        <v>127</v>
      </c>
      <c r="N125" s="16" t="s">
        <v>37</v>
      </c>
      <c r="O125" s="16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91</v>
      </c>
      <c r="M126" s="16" t="s">
        <v>91</v>
      </c>
      <c r="N126" s="16" t="s">
        <v>127</v>
      </c>
      <c r="O126" s="16" t="s">
        <v>126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126</v>
      </c>
      <c r="M127" s="16" t="s">
        <v>127</v>
      </c>
      <c r="N127" s="16" t="s">
        <v>36</v>
      </c>
      <c r="O127" s="16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126</v>
      </c>
      <c r="L128" s="16" t="s">
        <v>37</v>
      </c>
      <c r="M128" s="16" t="s">
        <v>112</v>
      </c>
      <c r="N128" s="16" t="s">
        <v>112</v>
      </c>
      <c r="O128" s="16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19</v>
      </c>
      <c r="L129" s="16" t="s">
        <v>112</v>
      </c>
      <c r="M129" s="16" t="s">
        <v>89</v>
      </c>
      <c r="N129" s="16" t="s">
        <v>92</v>
      </c>
      <c r="O129" s="16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37</v>
      </c>
      <c r="L130" s="16" t="s">
        <v>22</v>
      </c>
      <c r="M130" s="16" t="s">
        <v>97</v>
      </c>
      <c r="N130" s="16" t="s">
        <v>19</v>
      </c>
      <c r="O130" s="16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19</v>
      </c>
      <c r="L131" s="16" t="s">
        <v>37</v>
      </c>
      <c r="M131" s="16" t="s">
        <v>92</v>
      </c>
      <c r="N131" s="16" t="s">
        <v>126</v>
      </c>
      <c r="O131" s="16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37</v>
      </c>
      <c r="L132" s="16" t="s">
        <v>35</v>
      </c>
      <c r="M132" s="16" t="s">
        <v>112</v>
      </c>
      <c r="N132" s="16" t="s">
        <v>19</v>
      </c>
      <c r="O132" s="16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126</v>
      </c>
      <c r="L133" s="16" t="s">
        <v>126</v>
      </c>
      <c r="M133" s="16" t="s">
        <v>127</v>
      </c>
      <c r="N133" s="16" t="s">
        <v>112</v>
      </c>
      <c r="O133" s="16" t="s">
        <v>126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37</v>
      </c>
      <c r="L134" s="16" t="s">
        <v>22</v>
      </c>
      <c r="M134" s="16" t="s">
        <v>91</v>
      </c>
      <c r="N134" s="16" t="s">
        <v>37</v>
      </c>
      <c r="O134" s="16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34</v>
      </c>
      <c r="M135" s="16" t="s">
        <v>112</v>
      </c>
      <c r="N135" s="16" t="s">
        <v>35</v>
      </c>
      <c r="O135" s="16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126</v>
      </c>
      <c r="L136" s="16" t="s">
        <v>20</v>
      </c>
      <c r="M136" s="16" t="s">
        <v>92</v>
      </c>
      <c r="N136" s="16" t="s">
        <v>37</v>
      </c>
      <c r="O136" s="16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37</v>
      </c>
      <c r="M137" s="16" t="s">
        <v>112</v>
      </c>
      <c r="N137" s="16" t="s">
        <v>35</v>
      </c>
      <c r="O137" s="16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95</v>
      </c>
      <c r="M138" s="16" t="s">
        <v>91</v>
      </c>
      <c r="N138" s="16" t="s">
        <v>37</v>
      </c>
      <c r="O138" s="16" t="s">
        <v>126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35</v>
      </c>
      <c r="M139" s="16" t="s">
        <v>92</v>
      </c>
      <c r="N139" s="16" t="s">
        <v>35</v>
      </c>
      <c r="O139" s="16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19</v>
      </c>
      <c r="M140" s="16" t="s">
        <v>89</v>
      </c>
      <c r="N140" s="16" t="s">
        <v>126</v>
      </c>
      <c r="O140" s="16" t="s">
        <v>37</v>
      </c>
      <c r="Q140" s="9">
        <v>5</v>
      </c>
      <c r="R140" s="9">
        <v>5</v>
      </c>
      <c r="S140" s="9">
        <v>12</v>
      </c>
      <c r="T140" s="9">
        <v>6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37</v>
      </c>
      <c r="L141" s="16" t="s">
        <v>37</v>
      </c>
      <c r="M141" s="16" t="s">
        <v>127</v>
      </c>
      <c r="N141" s="16" t="s">
        <v>37</v>
      </c>
      <c r="O141" s="16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19</v>
      </c>
      <c r="L142" s="16" t="s">
        <v>22</v>
      </c>
      <c r="M142" s="16" t="s">
        <v>92</v>
      </c>
      <c r="N142" s="16" t="s">
        <v>19</v>
      </c>
      <c r="O142" s="16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36</v>
      </c>
      <c r="L143" s="16" t="s">
        <v>37</v>
      </c>
      <c r="M143" s="16" t="s">
        <v>88</v>
      </c>
      <c r="N143" s="16" t="s">
        <v>90</v>
      </c>
      <c r="O143" s="16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35</v>
      </c>
      <c r="L144" s="16" t="s">
        <v>18</v>
      </c>
      <c r="M144" s="16" t="s">
        <v>127</v>
      </c>
      <c r="N144" s="16" t="s">
        <v>126</v>
      </c>
      <c r="O144" s="16" t="s">
        <v>126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126</v>
      </c>
      <c r="L145" s="16" t="s">
        <v>37</v>
      </c>
      <c r="M145" s="16" t="s">
        <v>92</v>
      </c>
      <c r="N145" s="16" t="s">
        <v>37</v>
      </c>
      <c r="O145" s="16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20</v>
      </c>
      <c r="L146" s="16" t="s">
        <v>91</v>
      </c>
      <c r="M146" s="16" t="s">
        <v>112</v>
      </c>
      <c r="N146" s="16" t="s">
        <v>97</v>
      </c>
      <c r="O146" s="16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37</v>
      </c>
      <c r="M147" s="16" t="s">
        <v>92</v>
      </c>
      <c r="N147" s="16" t="s">
        <v>126</v>
      </c>
      <c r="O147" s="16" t="s">
        <v>126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21</v>
      </c>
      <c r="L148" s="16" t="s">
        <v>18</v>
      </c>
      <c r="M148" s="16" t="s">
        <v>112</v>
      </c>
      <c r="N148" s="16" t="s">
        <v>36</v>
      </c>
      <c r="O148" s="16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37</v>
      </c>
      <c r="M149" s="16" t="s">
        <v>92</v>
      </c>
      <c r="N149" s="16" t="s">
        <v>37</v>
      </c>
      <c r="O149" s="16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126</v>
      </c>
      <c r="L150" s="16" t="s">
        <v>19</v>
      </c>
      <c r="M150" s="16" t="s">
        <v>91</v>
      </c>
      <c r="N150" s="16" t="s">
        <v>126</v>
      </c>
      <c r="O150" s="16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37</v>
      </c>
      <c r="M151" s="16" t="s">
        <v>92</v>
      </c>
      <c r="N151" s="16" t="s">
        <v>35</v>
      </c>
      <c r="O151" s="16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126</v>
      </c>
      <c r="L152" s="16" t="s">
        <v>19</v>
      </c>
      <c r="M152" s="16" t="s">
        <v>97</v>
      </c>
      <c r="N152" s="16" t="s">
        <v>37</v>
      </c>
      <c r="O152" s="16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19</v>
      </c>
      <c r="L153" s="16" t="s">
        <v>34</v>
      </c>
      <c r="M153" s="16" t="s">
        <v>127</v>
      </c>
      <c r="N153" s="16" t="s">
        <v>126</v>
      </c>
      <c r="O153" s="16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21</v>
      </c>
      <c r="M154" s="16" t="s">
        <v>97</v>
      </c>
      <c r="N154" s="16" t="s">
        <v>112</v>
      </c>
      <c r="O154" s="16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22</v>
      </c>
      <c r="M155" s="16" t="s">
        <v>92</v>
      </c>
      <c r="N155" s="16" t="s">
        <v>18</v>
      </c>
      <c r="O155" s="16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35</v>
      </c>
      <c r="L156" s="16" t="s">
        <v>126</v>
      </c>
      <c r="M156" s="16" t="s">
        <v>127</v>
      </c>
      <c r="N156" s="16" t="s">
        <v>19</v>
      </c>
      <c r="O156" s="16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21</v>
      </c>
      <c r="L157" s="16" t="s">
        <v>36</v>
      </c>
      <c r="M157" s="16" t="s">
        <v>90</v>
      </c>
      <c r="N157" s="16" t="s">
        <v>34</v>
      </c>
      <c r="O157" s="16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35</v>
      </c>
      <c r="M158" s="16" t="s">
        <v>92</v>
      </c>
      <c r="N158" s="16" t="s">
        <v>35</v>
      </c>
      <c r="O158" s="16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37</v>
      </c>
      <c r="L159" s="16" t="s">
        <v>126</v>
      </c>
      <c r="M159" s="16" t="s">
        <v>91</v>
      </c>
      <c r="N159" s="16" t="s">
        <v>126</v>
      </c>
      <c r="O159" s="16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18</v>
      </c>
      <c r="L160" s="16" t="s">
        <v>35</v>
      </c>
      <c r="M160" s="16" t="s">
        <v>127</v>
      </c>
      <c r="N160" s="16" t="s">
        <v>35</v>
      </c>
      <c r="O160" s="16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19</v>
      </c>
      <c r="L161" s="16" t="s">
        <v>18</v>
      </c>
      <c r="M161" s="16" t="s">
        <v>112</v>
      </c>
      <c r="N161" s="16" t="s">
        <v>36</v>
      </c>
      <c r="O161" s="16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37</v>
      </c>
      <c r="L162" s="16" t="s">
        <v>35</v>
      </c>
      <c r="M162" s="16" t="s">
        <v>127</v>
      </c>
      <c r="N162" s="16" t="s">
        <v>35</v>
      </c>
      <c r="O162" s="16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20</v>
      </c>
      <c r="L163" s="16" t="s">
        <v>126</v>
      </c>
      <c r="M163" s="16" t="s">
        <v>92</v>
      </c>
      <c r="N163" s="16" t="s">
        <v>37</v>
      </c>
      <c r="O163" s="16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37</v>
      </c>
      <c r="L164" s="16" t="s">
        <v>88</v>
      </c>
      <c r="M164" s="16" t="s">
        <v>127</v>
      </c>
      <c r="N164" s="16" t="s">
        <v>92</v>
      </c>
      <c r="O164" s="16" t="s">
        <v>126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112</v>
      </c>
      <c r="M165" s="16" t="s">
        <v>91</v>
      </c>
      <c r="N165" s="16" t="s">
        <v>91</v>
      </c>
      <c r="O165" s="16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37</v>
      </c>
      <c r="L166" s="16" t="s">
        <v>91</v>
      </c>
      <c r="M166" s="16" t="s">
        <v>92</v>
      </c>
      <c r="N166" s="16" t="s">
        <v>126</v>
      </c>
      <c r="O166" s="16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126</v>
      </c>
      <c r="L167" s="16" t="s">
        <v>21</v>
      </c>
      <c r="M167" s="16" t="s">
        <v>127</v>
      </c>
      <c r="N167" s="16" t="s">
        <v>91</v>
      </c>
      <c r="O167" s="16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19</v>
      </c>
      <c r="M168" s="16" t="s">
        <v>95</v>
      </c>
      <c r="N168" s="16" t="s">
        <v>35</v>
      </c>
      <c r="O168" s="16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35</v>
      </c>
      <c r="M169" s="16" t="s">
        <v>112</v>
      </c>
      <c r="N169" s="16" t="s">
        <v>19</v>
      </c>
      <c r="O169" s="16" t="s">
        <v>126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19</v>
      </c>
      <c r="M170" s="16" t="s">
        <v>92</v>
      </c>
      <c r="N170" s="16" t="s">
        <v>37</v>
      </c>
      <c r="O170" s="16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36</v>
      </c>
      <c r="L171" s="16" t="s">
        <v>35</v>
      </c>
      <c r="M171" s="16" t="s">
        <v>97</v>
      </c>
      <c r="N171" s="16" t="s">
        <v>35</v>
      </c>
      <c r="O171" s="16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35</v>
      </c>
      <c r="L172" s="16" t="s">
        <v>22</v>
      </c>
      <c r="M172" s="16" t="s">
        <v>92</v>
      </c>
      <c r="N172" s="16" t="s">
        <v>126</v>
      </c>
      <c r="O172" s="16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126</v>
      </c>
      <c r="L173" s="16" t="s">
        <v>18</v>
      </c>
      <c r="M173" s="16" t="s">
        <v>127</v>
      </c>
      <c r="N173" s="16" t="s">
        <v>19</v>
      </c>
      <c r="O173" s="16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19</v>
      </c>
      <c r="L174" s="16" t="s">
        <v>19</v>
      </c>
      <c r="M174" s="16" t="s">
        <v>112</v>
      </c>
      <c r="N174" s="16" t="s">
        <v>20</v>
      </c>
      <c r="O174" s="16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18</v>
      </c>
      <c r="M175" s="16" t="s">
        <v>91</v>
      </c>
      <c r="N175" s="16" t="s">
        <v>21</v>
      </c>
      <c r="O175" s="16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126</v>
      </c>
      <c r="L176" s="16" t="s">
        <v>92</v>
      </c>
      <c r="M176" s="16" t="s">
        <v>92</v>
      </c>
      <c r="N176" s="16" t="s">
        <v>126</v>
      </c>
      <c r="O176" s="16" t="s">
        <v>126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34</v>
      </c>
      <c r="L177" s="16" t="s">
        <v>37</v>
      </c>
      <c r="M177" s="16" t="s">
        <v>127</v>
      </c>
      <c r="N177" s="16" t="s">
        <v>91</v>
      </c>
      <c r="O177" s="16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37</v>
      </c>
      <c r="L178" s="16" t="s">
        <v>19</v>
      </c>
      <c r="M178" s="16" t="s">
        <v>112</v>
      </c>
      <c r="N178" s="16" t="s">
        <v>126</v>
      </c>
      <c r="O178" s="16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19</v>
      </c>
      <c r="L179" s="16" t="s">
        <v>18</v>
      </c>
      <c r="M179" s="16" t="s">
        <v>92</v>
      </c>
      <c r="N179" s="16" t="s">
        <v>35</v>
      </c>
      <c r="O179" s="16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18</v>
      </c>
      <c r="L180" s="16" t="s">
        <v>37</v>
      </c>
      <c r="M180" s="16" t="s">
        <v>127</v>
      </c>
      <c r="N180" s="16" t="s">
        <v>37</v>
      </c>
      <c r="O180" s="16" t="s">
        <v>126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126</v>
      </c>
      <c r="L181" s="16" t="s">
        <v>126</v>
      </c>
      <c r="M181" s="16" t="s">
        <v>112</v>
      </c>
      <c r="N181" s="16" t="s">
        <v>92</v>
      </c>
      <c r="O181" s="16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35</v>
      </c>
      <c r="L182" s="16" t="s">
        <v>19</v>
      </c>
      <c r="M182" s="16" t="s">
        <v>127</v>
      </c>
      <c r="N182" s="16" t="s">
        <v>35</v>
      </c>
      <c r="O182" s="16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37</v>
      </c>
      <c r="L183" s="16" t="s">
        <v>37</v>
      </c>
      <c r="M183" s="16" t="s">
        <v>112</v>
      </c>
      <c r="N183" s="16" t="s">
        <v>37</v>
      </c>
      <c r="O183" s="16" t="s">
        <v>126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126</v>
      </c>
      <c r="L184" s="16" t="s">
        <v>126</v>
      </c>
      <c r="M184" s="16" t="s">
        <v>97</v>
      </c>
      <c r="N184" s="16" t="s">
        <v>19</v>
      </c>
      <c r="O184" s="16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37</v>
      </c>
      <c r="L185" s="16" t="s">
        <v>37</v>
      </c>
      <c r="M185" s="16" t="s">
        <v>127</v>
      </c>
      <c r="N185" s="16" t="s">
        <v>112</v>
      </c>
      <c r="O185" s="16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126</v>
      </c>
      <c r="L186" s="16" t="s">
        <v>34</v>
      </c>
      <c r="M186" s="16" t="s">
        <v>91</v>
      </c>
      <c r="N186" s="16" t="s">
        <v>35</v>
      </c>
      <c r="O186" s="16" t="s">
        <v>126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127</v>
      </c>
      <c r="M187" s="16" t="s">
        <v>112</v>
      </c>
      <c r="N187" s="16" t="s">
        <v>20</v>
      </c>
      <c r="O187" s="16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37</v>
      </c>
      <c r="L188" s="16" t="s">
        <v>34</v>
      </c>
      <c r="M188" s="16" t="s">
        <v>91</v>
      </c>
      <c r="N188" s="16" t="s">
        <v>126</v>
      </c>
      <c r="O188" s="16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19</v>
      </c>
      <c r="M189" s="16" t="s">
        <v>112</v>
      </c>
      <c r="N189" s="16" t="s">
        <v>18</v>
      </c>
      <c r="O189" s="16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18</v>
      </c>
      <c r="L190" s="16" t="s">
        <v>127</v>
      </c>
      <c r="M190" s="16" t="s">
        <v>127</v>
      </c>
      <c r="N190" s="16" t="s">
        <v>126</v>
      </c>
      <c r="O190" s="16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126</v>
      </c>
      <c r="M191" s="16" t="s">
        <v>91</v>
      </c>
      <c r="N191" s="16" t="s">
        <v>37</v>
      </c>
      <c r="O191" s="16" t="s">
        <v>126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37</v>
      </c>
      <c r="L192" s="16" t="s">
        <v>19</v>
      </c>
      <c r="M192" s="16" t="s">
        <v>92</v>
      </c>
      <c r="N192" s="16" t="s">
        <v>92</v>
      </c>
      <c r="O192" s="16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126</v>
      </c>
      <c r="L193" s="16" t="s">
        <v>35</v>
      </c>
      <c r="M193" s="16" t="s">
        <v>91</v>
      </c>
      <c r="N193" s="16" t="s">
        <v>19</v>
      </c>
      <c r="O193" s="16" t="s">
        <v>126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90</v>
      </c>
      <c r="M194" s="16" t="s">
        <v>92</v>
      </c>
      <c r="N194" s="16" t="s">
        <v>35</v>
      </c>
      <c r="O194" s="16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19</v>
      </c>
      <c r="L195" s="16" t="s">
        <v>37</v>
      </c>
      <c r="M195" s="16" t="s">
        <v>90</v>
      </c>
      <c r="N195" s="16" t="s">
        <v>19</v>
      </c>
      <c r="O195" s="16" t="s">
        <v>126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126</v>
      </c>
      <c r="L196" s="16" t="s">
        <v>19</v>
      </c>
      <c r="M196" s="16" t="s">
        <v>92</v>
      </c>
      <c r="N196" s="16" t="s">
        <v>22</v>
      </c>
      <c r="O196" s="16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35</v>
      </c>
      <c r="M197" s="16" t="s">
        <v>112</v>
      </c>
      <c r="N197" s="16" t="s">
        <v>126</v>
      </c>
      <c r="O197" s="16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126</v>
      </c>
      <c r="L198" s="16" t="s">
        <v>34</v>
      </c>
      <c r="M198" s="16" t="s">
        <v>92</v>
      </c>
      <c r="N198" s="16" t="s">
        <v>35</v>
      </c>
      <c r="O198" s="16" t="s">
        <v>126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19</v>
      </c>
      <c r="M199" s="16" t="s">
        <v>112</v>
      </c>
      <c r="N199" s="16" t="s">
        <v>19</v>
      </c>
      <c r="O199" s="16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126</v>
      </c>
      <c r="M200" s="16" t="s">
        <v>97</v>
      </c>
      <c r="N200" s="16" t="s">
        <v>126</v>
      </c>
      <c r="O200" s="16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126</v>
      </c>
      <c r="L201" s="16" t="s">
        <v>18</v>
      </c>
      <c r="M201" s="16" t="s">
        <v>92</v>
      </c>
      <c r="N201" s="16" t="s">
        <v>19</v>
      </c>
      <c r="O201" s="16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37</v>
      </c>
      <c r="L202" s="16" t="s">
        <v>34</v>
      </c>
      <c r="M202" s="16" t="s">
        <v>112</v>
      </c>
      <c r="N202" s="16" t="s">
        <v>34</v>
      </c>
      <c r="O202" s="16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35</v>
      </c>
      <c r="L203" s="16" t="s">
        <v>37</v>
      </c>
      <c r="M203" s="16" t="s">
        <v>127</v>
      </c>
      <c r="N203" s="16" t="s">
        <v>37</v>
      </c>
      <c r="O203" s="16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35" priority="27">
      <formula>_xlfn.LET(_xlpm.x, W4, AND(NOT(_xlfn.ISFORMULA(_xlpm.x)), _xlpm.x&lt;&gt;""))</formula>
    </cfRule>
  </conditionalFormatting>
  <conditionalFormatting sqref="W4:AA203">
    <cfRule type="expression" dxfId="34" priority="22">
      <formula>_xlfn.LET(_xlpm.x, W4, AND(NOT(_xlfn.ISFORMULA(_xlpm.x)), _xlpm.x&lt;&gt;""))</formula>
    </cfRule>
  </conditionalFormatting>
  <conditionalFormatting sqref="K1:O1048576">
    <cfRule type="cellIs" dxfId="33" priority="15" operator="equal">
      <formula>"C1"</formula>
    </cfRule>
    <cfRule type="cellIs" dxfId="32" priority="15" operator="between">
      <formula>"G1"</formula>
      <formula>"G5"</formula>
    </cfRule>
    <cfRule type="cellIs" dxfId="31" priority="17" operator="between">
      <formula>"M1"</formula>
      <formula>"M5"</formula>
    </cfRule>
  </conditionalFormatting>
  <conditionalFormatting sqref="C28:G46 D27:G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{8E65BA87-580F-45E0-B69A-B2C6F12976E3}</x14:id>
        </ext>
      </extLst>
    </cfRule>
  </conditionalFormatting>
  <conditionalFormatting sqref="D52:D54">
    <cfRule type="cellIs" dxfId="30" priority="9" operator="equal">
      <formula>"C1"</formula>
    </cfRule>
    <cfRule type="cellIs" dxfId="29" priority="10" operator="between">
      <formula>"G1"</formula>
      <formula>"G4"</formula>
    </cfRule>
    <cfRule type="cellIs" dxfId="28" priority="11" operator="between">
      <formula>"GA"</formula>
      <formula>"GQ"</formula>
    </cfRule>
    <cfRule type="cellIs" dxfId="27" priority="12" operator="between">
      <formula>"M1"</formula>
      <formula>"M4"</formula>
    </cfRule>
  </conditionalFormatting>
  <conditionalFormatting sqref="E52:E54">
    <cfRule type="cellIs" dxfId="26" priority="5" operator="equal">
      <formula>"C1"</formula>
    </cfRule>
    <cfRule type="cellIs" dxfId="25" priority="6" operator="between">
      <formula>"G1"</formula>
      <formula>"G4"</formula>
    </cfRule>
    <cfRule type="cellIs" dxfId="24" priority="7" operator="between">
      <formula>"GA"</formula>
      <formula>"GQ"</formula>
    </cfRule>
    <cfRule type="cellIs" dxfId="23" priority="8" operator="between">
      <formula>"M1"</formula>
      <formula>"M4"</formula>
    </cfRule>
  </conditionalFormatting>
  <conditionalFormatting sqref="F52:F54">
    <cfRule type="cellIs" dxfId="22" priority="1" operator="equal">
      <formula>"C1"</formula>
    </cfRule>
    <cfRule type="cellIs" dxfId="21" priority="2" operator="between">
      <formula>"G1"</formula>
      <formula>"G4"</formula>
    </cfRule>
    <cfRule type="cellIs" dxfId="20" priority="3" operator="between">
      <formula>"GA"</formula>
      <formula>"GQ"</formula>
    </cfRule>
    <cfRule type="cellIs" dxfId="19" priority="4" operator="between">
      <formula>"M1"</formula>
      <formula>"M4"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BA87-580F-45E0-B69A-B2C6F1297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16" operator="containsText" id="{61DEA912-D582-4791-AC7F-9224E18056E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I12" sqref="I12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9.5546875" style="5" bestFit="1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134</v>
      </c>
      <c r="Q2" s="27" t="s">
        <v>135</v>
      </c>
      <c r="W2" s="27" t="s">
        <v>136</v>
      </c>
      <c r="AC2" s="27" t="s">
        <v>148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126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1, 0))</f>
        <v>0</v>
      </c>
      <c r="X4" s="25" cm="1">
        <f t="array" ref="X4">_xlfn.LET(_xlpm.x, L4:L6, IF(SUM((_xlpm.x="C1")*1)=1, 1, 0))</f>
        <v>0</v>
      </c>
      <c r="Y4" s="25" cm="1">
        <f t="array" ref="Y4">_xlfn.LET(_xlpm.x, M4:M6, IF(SUM((_xlpm.x="C1")*1)=1, 1, 0))</f>
        <v>1</v>
      </c>
      <c r="Z4" s="25">
        <v>1</v>
      </c>
      <c r="AA4" s="25">
        <v>1</v>
      </c>
      <c r="AB4" s="43"/>
      <c r="AC4" s="27" t="s">
        <v>132</v>
      </c>
      <c r="AH4" s="5"/>
      <c r="AI4" s="5"/>
      <c r="AJ4" s="27" t="s">
        <v>132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6</v>
      </c>
      <c r="D5" s="99">
        <f t="shared" si="0"/>
        <v>6</v>
      </c>
      <c r="E5" s="99">
        <f t="shared" si="0"/>
        <v>6</v>
      </c>
      <c r="F5" s="99">
        <f t="shared" si="0"/>
        <v>9</v>
      </c>
      <c r="G5" s="99">
        <f t="shared" si="0"/>
        <v>9</v>
      </c>
      <c r="H5" s="8">
        <v>1</v>
      </c>
      <c r="I5" s="87"/>
      <c r="J5" s="9">
        <v>1</v>
      </c>
      <c r="K5" s="16" t="s">
        <v>35</v>
      </c>
      <c r="L5" s="16" t="s">
        <v>97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1, 0))</f>
        <v>0</v>
      </c>
      <c r="X5" s="25" cm="1">
        <f t="array" ref="X5">_xlfn.LET(_xlpm.x, L5:L7, IF(SUM((_xlpm.x="C1")*1)=1, 1, 0))</f>
        <v>0</v>
      </c>
      <c r="Y5" s="25" cm="1">
        <f t="array" ref="Y5">_xlfn.LET(_xlpm.x, M5:M7, IF(SUM((_xlpm.x="C1")*1)=1, 1, 0))</f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20</v>
      </c>
      <c r="E6" s="133">
        <f t="shared" si="0"/>
        <v>4</v>
      </c>
      <c r="F6" s="133">
        <f t="shared" si="0"/>
        <v>21</v>
      </c>
      <c r="G6" s="133">
        <f t="shared" si="0"/>
        <v>22</v>
      </c>
      <c r="H6" s="112">
        <v>2</v>
      </c>
      <c r="I6" s="87"/>
      <c r="J6" s="25">
        <v>2</v>
      </c>
      <c r="K6" s="16" t="s">
        <v>35</v>
      </c>
      <c r="L6" s="16" t="s">
        <v>89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1, 0))</f>
        <v>0</v>
      </c>
      <c r="X6" s="25" cm="1">
        <f t="array" ref="X6">_xlfn.LET(_xlpm.x, L6:L8, IF(SUM((_xlpm.x="C1")*1)=1, 1, 0))</f>
        <v>0</v>
      </c>
      <c r="Y6" s="25" cm="1">
        <f t="array" ref="Y6">_xlfn.LET(_xlpm.x, M6:M8, IF(SUM((_xlpm.x="C1")*1)=1, 1, 0))</f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2</v>
      </c>
      <c r="D7" s="133">
        <f t="shared" si="0"/>
        <v>18</v>
      </c>
      <c r="E7" s="133">
        <f t="shared" si="0"/>
        <v>4</v>
      </c>
      <c r="F7" s="133">
        <f t="shared" si="0"/>
        <v>20</v>
      </c>
      <c r="G7" s="133">
        <f t="shared" si="0"/>
        <v>22</v>
      </c>
      <c r="H7" s="112">
        <v>3</v>
      </c>
      <c r="I7" s="87"/>
      <c r="J7" s="9">
        <v>3</v>
      </c>
      <c r="K7" s="16" t="s">
        <v>126</v>
      </c>
      <c r="L7" s="26" t="s">
        <v>127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1, 0))</f>
        <v>0</v>
      </c>
      <c r="X7" s="25" cm="1">
        <f t="array" ref="X7">_xlfn.LET(_xlpm.x, L7:L9, IF(SUM((_xlpm.x="C1")*1)=1, 1, 0))</f>
        <v>0</v>
      </c>
      <c r="Y7" s="25" cm="1">
        <f t="array" ref="Y7">_xlfn.LET(_xlpm.x, M7:M9, IF(SUM((_xlpm.x="C1")*1)=1, 1, 0))</f>
        <v>0</v>
      </c>
      <c r="Z7" s="25">
        <v>1</v>
      </c>
      <c r="AA7" s="25">
        <v>1</v>
      </c>
      <c r="AC7" s="138" t="str">
        <v>C1</v>
      </c>
      <c r="AD7" s="138">
        <v>6</v>
      </c>
      <c r="AE7" s="138">
        <v>6</v>
      </c>
      <c r="AF7" s="138">
        <v>6</v>
      </c>
      <c r="AG7" s="138">
        <v>9</v>
      </c>
      <c r="AH7" s="138">
        <v>9</v>
      </c>
      <c r="AI7" s="5"/>
      <c r="AJ7" s="138" t="str">
        <v>C1</v>
      </c>
      <c r="AK7" s="138">
        <v>6</v>
      </c>
      <c r="AL7" s="138">
        <v>6</v>
      </c>
      <c r="AM7" s="138">
        <v>6</v>
      </c>
      <c r="AN7" s="138">
        <v>9</v>
      </c>
      <c r="AO7" s="138">
        <v>9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18</v>
      </c>
      <c r="E8" s="133">
        <f t="shared" si="0"/>
        <v>4</v>
      </c>
      <c r="F8" s="133">
        <f t="shared" si="0"/>
        <v>20</v>
      </c>
      <c r="G8" s="133">
        <f t="shared" si="0"/>
        <v>21</v>
      </c>
      <c r="H8" s="112">
        <v>4</v>
      </c>
      <c r="I8" s="87"/>
      <c r="J8" s="25">
        <v>4</v>
      </c>
      <c r="K8" s="16" t="s">
        <v>35</v>
      </c>
      <c r="L8" s="16" t="s">
        <v>127</v>
      </c>
      <c r="M8" s="16" t="s">
        <v>19</v>
      </c>
      <c r="N8" s="16" t="s">
        <v>90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1, 0))</f>
        <v>0</v>
      </c>
      <c r="X8" s="25" cm="1">
        <f t="array" ref="X8">_xlfn.LET(_xlpm.x, L8:L10, IF(SUM((_xlpm.x="C1")*1)=1, 1, 0))</f>
        <v>0</v>
      </c>
      <c r="Y8" s="25" cm="1">
        <f t="array" ref="Y8">_xlfn.LET(_xlpm.x, M8:M10, IF(SUM((_xlpm.x="C1")*1)=1, 1, 0))</f>
        <v>0</v>
      </c>
      <c r="Z8" s="25">
        <v>1</v>
      </c>
      <c r="AA8" s="25">
        <v>1</v>
      </c>
      <c r="AC8" s="154" t="str">
        <v>M1</v>
      </c>
      <c r="AD8" s="133">
        <v>4</v>
      </c>
      <c r="AE8" s="133">
        <v>17</v>
      </c>
      <c r="AF8" s="133">
        <v>4</v>
      </c>
      <c r="AG8" s="133">
        <v>21</v>
      </c>
      <c r="AH8" s="133">
        <v>22</v>
      </c>
      <c r="AI8" s="5"/>
      <c r="AJ8" s="154" t="str">
        <v>M1</v>
      </c>
      <c r="AK8" s="133">
        <v>4</v>
      </c>
      <c r="AL8" s="133">
        <v>17</v>
      </c>
      <c r="AM8" s="133">
        <v>4</v>
      </c>
      <c r="AN8" s="133">
        <v>21</v>
      </c>
      <c r="AO8" s="133">
        <v>22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40</v>
      </c>
      <c r="D9" s="133">
        <f t="shared" si="0"/>
        <v>17</v>
      </c>
      <c r="E9" s="133">
        <f t="shared" si="0"/>
        <v>41</v>
      </c>
      <c r="F9" s="133">
        <f t="shared" si="0"/>
        <v>14</v>
      </c>
      <c r="G9" s="133">
        <f t="shared" si="0"/>
        <v>21</v>
      </c>
      <c r="H9" s="112">
        <v>5</v>
      </c>
      <c r="I9" s="87"/>
      <c r="J9" s="9">
        <v>5</v>
      </c>
      <c r="K9" s="16" t="s">
        <v>37</v>
      </c>
      <c r="L9" s="16" t="s">
        <v>112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1, 0))</f>
        <v>0</v>
      </c>
      <c r="X9" s="25" cm="1">
        <f t="array" ref="X9">_xlfn.LET(_xlpm.x, L9:L11, IF(SUM((_xlpm.x="C1")*1)=1, 1, 0))</f>
        <v>0</v>
      </c>
      <c r="Y9" s="25" cm="1">
        <f t="array" ref="Y9">_xlfn.LET(_xlpm.x, M9:M11, IF(SUM((_xlpm.x="C1")*1)=1, 1, 0))</f>
        <v>0</v>
      </c>
      <c r="Z9" s="25">
        <v>1</v>
      </c>
      <c r="AA9" s="25">
        <v>1</v>
      </c>
      <c r="AC9" s="154" t="str">
        <v>M2</v>
      </c>
      <c r="AD9" s="133">
        <v>4</v>
      </c>
      <c r="AE9" s="133">
        <v>18</v>
      </c>
      <c r="AF9" s="133">
        <v>4</v>
      </c>
      <c r="AG9" s="133">
        <v>20</v>
      </c>
      <c r="AH9" s="133">
        <v>22</v>
      </c>
      <c r="AI9" s="5"/>
      <c r="AJ9" s="154" t="str">
        <v>M2</v>
      </c>
      <c r="AK9" s="133">
        <v>4</v>
      </c>
      <c r="AL9" s="133">
        <v>18</v>
      </c>
      <c r="AM9" s="133">
        <v>4</v>
      </c>
      <c r="AN9" s="133">
        <v>20</v>
      </c>
      <c r="AO9" s="133">
        <v>22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0"/>
        <v>11</v>
      </c>
      <c r="E10" s="133">
        <f t="shared" si="0"/>
        <v>41</v>
      </c>
      <c r="F10" s="133">
        <f t="shared" si="0"/>
        <v>14</v>
      </c>
      <c r="G10" s="133">
        <f t="shared" si="0"/>
        <v>21</v>
      </c>
      <c r="H10" s="112">
        <v>6</v>
      </c>
      <c r="I10" s="87"/>
      <c r="J10" s="25">
        <v>6</v>
      </c>
      <c r="K10" s="16" t="s">
        <v>126</v>
      </c>
      <c r="L10" s="16" t="s">
        <v>29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5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1, 0))</f>
        <v>0</v>
      </c>
      <c r="X10" s="25" cm="1">
        <f t="array" ref="X10">_xlfn.LET(_xlpm.x, L10:L12, IF(SUM((_xlpm.x="C1")*1)=1, 1, 0))</f>
        <v>0</v>
      </c>
      <c r="Y10" s="25" cm="1">
        <f t="array" ref="Y10">_xlfn.LET(_xlpm.x, M10:M12, IF(SUM((_xlpm.x="C1")*1)=1, 1, 0))</f>
        <v>0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18</v>
      </c>
      <c r="AF10" s="133">
        <v>4</v>
      </c>
      <c r="AG10" s="133">
        <v>20</v>
      </c>
      <c r="AH10" s="133">
        <v>21</v>
      </c>
      <c r="AI10" s="5"/>
      <c r="AJ10" s="154" t="str">
        <v>M3</v>
      </c>
      <c r="AK10" s="133">
        <v>4</v>
      </c>
      <c r="AL10" s="133">
        <v>18</v>
      </c>
      <c r="AM10" s="133">
        <v>4</v>
      </c>
      <c r="AN10" s="133">
        <v>20</v>
      </c>
      <c r="AO10" s="133">
        <v>21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48</v>
      </c>
      <c r="D11" s="133">
        <f t="shared" si="0"/>
        <v>12</v>
      </c>
      <c r="E11" s="133">
        <f t="shared" si="0"/>
        <v>41</v>
      </c>
      <c r="F11" s="133">
        <f t="shared" si="0"/>
        <v>14</v>
      </c>
      <c r="G11" s="133">
        <f t="shared" si="0"/>
        <v>21</v>
      </c>
      <c r="H11" s="112">
        <v>7</v>
      </c>
      <c r="I11" s="87"/>
      <c r="J11" s="9">
        <v>7</v>
      </c>
      <c r="K11" s="16" t="s">
        <v>126</v>
      </c>
      <c r="L11" s="16" t="s">
        <v>29</v>
      </c>
      <c r="M11" s="16" t="s">
        <v>37</v>
      </c>
      <c r="N11" s="16" t="s">
        <v>37</v>
      </c>
      <c r="O11" s="16" t="s">
        <v>126</v>
      </c>
      <c r="Q11" s="9">
        <v>6</v>
      </c>
      <c r="R11" s="9">
        <v>5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1, 0))</f>
        <v>0</v>
      </c>
      <c r="X11" s="25" cm="1">
        <f t="array" ref="X11">_xlfn.LET(_xlpm.x, L11:L13, IF(SUM((_xlpm.x="C1")*1)=1, 1, 0))</f>
        <v>1</v>
      </c>
      <c r="Y11" s="25" cm="1">
        <f t="array" ref="Y11">_xlfn.LET(_xlpm.x, M11:M13, IF(SUM((_xlpm.x="C1")*1)=1, 1, 0))</f>
        <v>0</v>
      </c>
      <c r="Z11" s="25">
        <v>1</v>
      </c>
      <c r="AA11" s="25">
        <v>1</v>
      </c>
      <c r="AC11" s="154" t="str">
        <v>M4</v>
      </c>
      <c r="AD11" s="133">
        <v>40</v>
      </c>
      <c r="AE11" s="133">
        <v>14</v>
      </c>
      <c r="AF11" s="133">
        <v>41</v>
      </c>
      <c r="AG11" s="133">
        <v>14</v>
      </c>
      <c r="AH11" s="133">
        <v>21</v>
      </c>
      <c r="AI11" s="5"/>
      <c r="AJ11" s="154" t="str">
        <v>M4</v>
      </c>
      <c r="AK11" s="133">
        <v>40</v>
      </c>
      <c r="AL11" s="133">
        <v>14</v>
      </c>
      <c r="AM11" s="133">
        <v>41</v>
      </c>
      <c r="AN11" s="133">
        <v>14</v>
      </c>
      <c r="AO11" s="133">
        <v>21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12</v>
      </c>
      <c r="E12" s="133">
        <f t="shared" si="0"/>
        <v>41</v>
      </c>
      <c r="F12" s="133">
        <f t="shared" si="0"/>
        <v>14</v>
      </c>
      <c r="G12" s="133">
        <f t="shared" si="0"/>
        <v>21</v>
      </c>
      <c r="H12" s="112">
        <v>8</v>
      </c>
      <c r="I12" s="87"/>
      <c r="J12" s="25">
        <v>8</v>
      </c>
      <c r="K12" s="16" t="s">
        <v>37</v>
      </c>
      <c r="L12" s="16" t="s">
        <v>89</v>
      </c>
      <c r="M12" s="16" t="s">
        <v>127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1, 0))</f>
        <v>0</v>
      </c>
      <c r="X12" s="25" cm="1">
        <f t="array" ref="X12">_xlfn.LET(_xlpm.x, L12:L14, IF(SUM((_xlpm.x="C1")*1)=1, 1, 0))</f>
        <v>1</v>
      </c>
      <c r="Y12" s="25" cm="1">
        <f t="array" ref="Y12">_xlfn.LET(_xlpm.x, M12:M14, IF(SUM((_xlpm.x="C1")*1)=1, 1, 0))</f>
        <v>0</v>
      </c>
      <c r="Z12" s="25">
        <v>1</v>
      </c>
      <c r="AA12" s="25">
        <v>1</v>
      </c>
      <c r="AC12" s="154" t="str">
        <v>M5</v>
      </c>
      <c r="AD12" s="133">
        <v>40</v>
      </c>
      <c r="AE12" s="133">
        <v>14</v>
      </c>
      <c r="AF12" s="133">
        <v>41</v>
      </c>
      <c r="AG12" s="133">
        <v>14</v>
      </c>
      <c r="AH12" s="133">
        <v>21</v>
      </c>
      <c r="AI12" s="5"/>
      <c r="AJ12" s="154" t="str">
        <v>M5</v>
      </c>
      <c r="AK12" s="133">
        <v>40</v>
      </c>
      <c r="AL12" s="133">
        <v>14</v>
      </c>
      <c r="AM12" s="133">
        <v>41</v>
      </c>
      <c r="AN12" s="133">
        <v>14</v>
      </c>
      <c r="AO12" s="133">
        <v>21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3</v>
      </c>
      <c r="D13" s="133">
        <f t="shared" si="0"/>
        <v>19</v>
      </c>
      <c r="E13" s="133">
        <f t="shared" si="0"/>
        <v>3</v>
      </c>
      <c r="F13" s="133">
        <f t="shared" si="0"/>
        <v>21</v>
      </c>
      <c r="G13" s="133">
        <f t="shared" si="0"/>
        <v>21</v>
      </c>
      <c r="H13" s="112">
        <v>9</v>
      </c>
      <c r="I13" s="87"/>
      <c r="J13" s="9">
        <v>9</v>
      </c>
      <c r="K13" s="16" t="s">
        <v>126</v>
      </c>
      <c r="L13" s="16" t="s">
        <v>20</v>
      </c>
      <c r="M13" s="16" t="s">
        <v>37</v>
      </c>
      <c r="N13" s="16" t="s">
        <v>126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1, 0))</f>
        <v>0</v>
      </c>
      <c r="X13" s="25" cm="1">
        <f t="array" ref="X13">_xlfn.LET(_xlpm.x, L13:L15, IF(SUM((_xlpm.x="C1")*1)=1, 1, 0))</f>
        <v>1</v>
      </c>
      <c r="Y13" s="25" cm="1">
        <f t="array" ref="Y13">_xlfn.LET(_xlpm.x, M13:M15, IF(SUM((_xlpm.x="C1")*1)=1, 1, 0))</f>
        <v>0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13</v>
      </c>
      <c r="AF13" s="133">
        <v>41</v>
      </c>
      <c r="AG13" s="133">
        <v>14</v>
      </c>
      <c r="AH13" s="133">
        <v>21</v>
      </c>
      <c r="AI13" s="5"/>
      <c r="AJ13" s="154" t="str">
        <v>A</v>
      </c>
      <c r="AK13" s="133">
        <v>47</v>
      </c>
      <c r="AL13" s="133">
        <v>13</v>
      </c>
      <c r="AM13" s="133">
        <v>41</v>
      </c>
      <c r="AN13" s="133">
        <v>14</v>
      </c>
      <c r="AO13" s="133">
        <v>21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16</v>
      </c>
      <c r="E14" s="133">
        <f t="shared" si="0"/>
        <v>3</v>
      </c>
      <c r="F14" s="133">
        <f t="shared" si="0"/>
        <v>21</v>
      </c>
      <c r="G14" s="133">
        <f t="shared" si="0"/>
        <v>21</v>
      </c>
      <c r="H14" s="112">
        <v>10</v>
      </c>
      <c r="I14" s="87"/>
      <c r="J14" s="25">
        <v>10</v>
      </c>
      <c r="K14" s="16" t="s">
        <v>35</v>
      </c>
      <c r="L14" s="16" t="s">
        <v>32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9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1, 0))</f>
        <v>0</v>
      </c>
      <c r="X14" s="25" cm="1">
        <f t="array" ref="X14">_xlfn.LET(_xlpm.x, L14:L16, IF(SUM((_xlpm.x="C1")*1)=1, 1, 0))</f>
        <v>0</v>
      </c>
      <c r="Y14" s="25" cm="1">
        <f t="array" ref="Y14">_xlfn.LET(_xlpm.x, M14:M16, IF(SUM((_xlpm.x="C1")*1)=1, 1, 0))</f>
        <v>0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13</v>
      </c>
      <c r="AF14" s="133">
        <v>41</v>
      </c>
      <c r="AG14" s="133">
        <v>14</v>
      </c>
      <c r="AH14" s="133">
        <v>21</v>
      </c>
      <c r="AI14" s="5"/>
      <c r="AJ14" s="154" t="str">
        <v>K</v>
      </c>
      <c r="AK14" s="133">
        <v>47</v>
      </c>
      <c r="AL14" s="133">
        <v>13</v>
      </c>
      <c r="AM14" s="133">
        <v>41</v>
      </c>
      <c r="AN14" s="133">
        <v>14</v>
      </c>
      <c r="AO14" s="133">
        <v>21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8</v>
      </c>
      <c r="E15" s="99">
        <f t="shared" si="0"/>
        <v>0</v>
      </c>
      <c r="F15" s="99">
        <f t="shared" si="0"/>
        <v>4</v>
      </c>
      <c r="G15" s="99">
        <f t="shared" si="0"/>
        <v>0</v>
      </c>
      <c r="H15" s="8">
        <v>11</v>
      </c>
      <c r="I15" s="87"/>
      <c r="J15" s="9">
        <v>11</v>
      </c>
      <c r="K15" s="16" t="s">
        <v>126</v>
      </c>
      <c r="L15" s="16" t="s">
        <v>26</v>
      </c>
      <c r="M15" s="16" t="s">
        <v>126</v>
      </c>
      <c r="N15" s="16" t="s">
        <v>18</v>
      </c>
      <c r="O15" s="16" t="s">
        <v>18</v>
      </c>
      <c r="Q15" s="9">
        <v>6</v>
      </c>
      <c r="R15" s="9">
        <v>2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1, 0))</f>
        <v>0</v>
      </c>
      <c r="X15" s="25" cm="1">
        <f t="array" ref="X15">_xlfn.LET(_xlpm.x, L15:L17, IF(SUM((_xlpm.x="C1")*1)=1, 1, 0))</f>
        <v>0</v>
      </c>
      <c r="Y15" s="25" cm="1">
        <f t="array" ref="Y15">_xlfn.LET(_xlpm.x, M15:M17, IF(SUM((_xlpm.x="C1")*1)=1, 1, 0))</f>
        <v>0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17</v>
      </c>
      <c r="AF15" s="133">
        <v>3</v>
      </c>
      <c r="AG15" s="133">
        <v>21</v>
      </c>
      <c r="AH15" s="133">
        <v>21</v>
      </c>
      <c r="AI15" s="5"/>
      <c r="AJ15" s="154" t="str">
        <v>Q</v>
      </c>
      <c r="AK15" s="133">
        <v>4</v>
      </c>
      <c r="AL15" s="133">
        <v>17</v>
      </c>
      <c r="AM15" s="133">
        <v>3</v>
      </c>
      <c r="AN15" s="133">
        <v>21</v>
      </c>
      <c r="AO15" s="133">
        <v>21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7</v>
      </c>
      <c r="E16" s="99">
        <f t="shared" si="0"/>
        <v>0</v>
      </c>
      <c r="F16" s="99">
        <f t="shared" si="0"/>
        <v>4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95</v>
      </c>
      <c r="M16" s="16" t="s">
        <v>126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1, 0))</f>
        <v>0</v>
      </c>
      <c r="X16" s="25" cm="1">
        <f t="array" ref="X16">_xlfn.LET(_xlpm.x, L16:L18, IF(SUM((_xlpm.x="C1")*1)=1, 1, 0))</f>
        <v>0</v>
      </c>
      <c r="Y16" s="25" cm="1">
        <f t="array" ref="Y16">_xlfn.LET(_xlpm.x, M16:M18, IF(SUM((_xlpm.x="C1")*1)=1, 1, 0))</f>
        <v>0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17</v>
      </c>
      <c r="AF16" s="133">
        <v>3</v>
      </c>
      <c r="AG16" s="133">
        <v>21</v>
      </c>
      <c r="AH16" s="133">
        <v>21</v>
      </c>
      <c r="AI16" s="5"/>
      <c r="AJ16" s="154" t="str">
        <v>J</v>
      </c>
      <c r="AK16" s="133">
        <v>4</v>
      </c>
      <c r="AL16" s="133">
        <v>17</v>
      </c>
      <c r="AM16" s="133">
        <v>3</v>
      </c>
      <c r="AN16" s="133">
        <v>21</v>
      </c>
      <c r="AO16" s="133">
        <v>21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7</v>
      </c>
      <c r="E17" s="99">
        <f t="shared" si="0"/>
        <v>0</v>
      </c>
      <c r="F17" s="99">
        <f t="shared" si="0"/>
        <v>4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126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1, 0))</f>
        <v>0</v>
      </c>
      <c r="X17" s="25" cm="1">
        <f t="array" ref="X17">_xlfn.LET(_xlpm.x, L17:L19, IF(SUM((_xlpm.x="C1")*1)=1, 1, 0))</f>
        <v>0</v>
      </c>
      <c r="Y17" s="25" cm="1">
        <f t="array" ref="Y17">_xlfn.LET(_xlpm.x, M17:M19, IF(SUM((_xlpm.x="C1")*1)=1, 1, 0))</f>
        <v>0</v>
      </c>
      <c r="Z17" s="25">
        <v>1</v>
      </c>
      <c r="AA17" s="25">
        <v>1</v>
      </c>
      <c r="AC17" s="138" t="str">
        <v>G1</v>
      </c>
      <c r="AD17" s="99">
        <v>0</v>
      </c>
      <c r="AE17" s="99">
        <v>8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8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4</v>
      </c>
      <c r="E18" s="99">
        <f t="shared" si="0"/>
        <v>3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126</v>
      </c>
      <c r="L18" s="16" t="s">
        <v>88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1, 0))</f>
        <v>0</v>
      </c>
      <c r="X18" s="25" cm="1">
        <f t="array" ref="X18">_xlfn.LET(_xlpm.x, L18:L20, IF(SUM((_xlpm.x="C1")*1)=1, 1, 0))</f>
        <v>0</v>
      </c>
      <c r="Y18" s="25" cm="1">
        <f t="array" ref="Y18">_xlfn.LET(_xlpm.x, M18:M20, IF(SUM((_xlpm.x="C1")*1)=1, 1, 0))</f>
        <v>0</v>
      </c>
      <c r="Z18" s="25">
        <v>1</v>
      </c>
      <c r="AA18" s="25">
        <v>1</v>
      </c>
      <c r="AC18" s="138" t="str">
        <v>G2</v>
      </c>
      <c r="AD18" s="99">
        <v>0</v>
      </c>
      <c r="AE18" s="99">
        <v>8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8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4</v>
      </c>
      <c r="E19" s="99">
        <f t="shared" si="0"/>
        <v>3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1, 0))</f>
        <v>0</v>
      </c>
      <c r="X19" s="25" cm="1">
        <f t="array" ref="X19">_xlfn.LET(_xlpm.x, L19:L21, IF(SUM((_xlpm.x="C1")*1)=1, 1, 0))</f>
        <v>0</v>
      </c>
      <c r="Y19" s="25" cm="1">
        <f t="array" ref="Y19">_xlfn.LET(_xlpm.x, M19:M21, IF(SUM((_xlpm.x="C1")*1)=1, 1, 0))</f>
        <v>0</v>
      </c>
      <c r="Z19" s="25">
        <v>1</v>
      </c>
      <c r="AA19" s="25">
        <v>1</v>
      </c>
      <c r="AC19" s="138" t="str">
        <v>G3</v>
      </c>
      <c r="AD19" s="99">
        <v>0</v>
      </c>
      <c r="AE19" s="99">
        <v>8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8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4</v>
      </c>
      <c r="E20" s="99">
        <f t="shared" si="0"/>
        <v>3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88</v>
      </c>
      <c r="M20" s="16" t="s">
        <v>21</v>
      </c>
      <c r="N20" s="16" t="s">
        <v>95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1, 0))</f>
        <v>0</v>
      </c>
      <c r="X20" s="25" cm="1">
        <f t="array" ref="X20">_xlfn.LET(_xlpm.x, L20:L22, IF(SUM((_xlpm.x="C1")*1)=1, 1, 0))</f>
        <v>0</v>
      </c>
      <c r="Y20" s="25" cm="1">
        <f t="array" ref="Y20">_xlfn.LET(_xlpm.x, M20:M22, IF(SUM((_xlpm.x="C1")*1)=1, 1, 0))</f>
        <v>0</v>
      </c>
      <c r="Z20" s="25">
        <v>1</v>
      </c>
      <c r="AA20" s="25">
        <v>1</v>
      </c>
      <c r="AC20" s="138" t="str">
        <v>G4</v>
      </c>
      <c r="AD20" s="99">
        <v>0</v>
      </c>
      <c r="AE20" s="99">
        <v>5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5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4</v>
      </c>
      <c r="E21" s="99">
        <f t="shared" si="0"/>
        <v>3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126</v>
      </c>
      <c r="M21" s="16" t="s">
        <v>36</v>
      </c>
      <c r="N21" s="16" t="s">
        <v>34</v>
      </c>
      <c r="O21" s="16" t="s">
        <v>126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1, 0))</f>
        <v>0</v>
      </c>
      <c r="X21" s="25" cm="1">
        <f t="array" ref="X21">_xlfn.LET(_xlpm.x, L21:L23, IF(SUM((_xlpm.x="C1")*1)=1, 1, 0))</f>
        <v>0</v>
      </c>
      <c r="Y21" s="25" cm="1">
        <f t="array" ref="Y21">_xlfn.LET(_xlpm.x, M21:M23, IF(SUM((_xlpm.x="C1")*1)=1, 1, 0))</f>
        <v>0</v>
      </c>
      <c r="Z21" s="25">
        <v>1</v>
      </c>
      <c r="AA21" s="25">
        <v>1</v>
      </c>
      <c r="AC21" s="138" t="str">
        <v>G5</v>
      </c>
      <c r="AD21" s="99">
        <v>0</v>
      </c>
      <c r="AE21" s="99">
        <v>5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5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8</v>
      </c>
      <c r="E22" s="99">
        <f t="shared" si="0"/>
        <v>0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126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1, 0))</f>
        <v>0</v>
      </c>
      <c r="X22" s="25" cm="1">
        <f t="array" ref="X22">_xlfn.LET(_xlpm.x, L22:L24, IF(SUM((_xlpm.x="C1")*1)=1, 1, 0))</f>
        <v>0</v>
      </c>
      <c r="Y22" s="25" cm="1">
        <f t="array" ref="Y22">_xlfn.LET(_xlpm.x, M22:M24, IF(SUM((_xlpm.x="C1")*1)=1, 1, 0))</f>
        <v>0</v>
      </c>
      <c r="Z22" s="25">
        <v>1</v>
      </c>
      <c r="AA22" s="25">
        <v>1</v>
      </c>
      <c r="AC22" s="138" t="str">
        <v>GA</v>
      </c>
      <c r="AD22" s="99">
        <v>0</v>
      </c>
      <c r="AE22" s="99">
        <v>5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5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5</v>
      </c>
      <c r="E23" s="99">
        <f t="shared" si="0"/>
        <v>0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126</v>
      </c>
      <c r="L23" s="16" t="s">
        <v>19</v>
      </c>
      <c r="M23" s="16" t="s">
        <v>126</v>
      </c>
      <c r="N23" s="16" t="s">
        <v>92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1, 0))</f>
        <v>0</v>
      </c>
      <c r="X23" s="25" cm="1">
        <f t="array" ref="X23">_xlfn.LET(_xlpm.x, L23:L25, IF(SUM((_xlpm.x="C1")*1)=1, 1, 0))</f>
        <v>0</v>
      </c>
      <c r="Y23" s="25" cm="1">
        <f t="array" ref="Y23">_xlfn.LET(_xlpm.x, M23:M25, IF(SUM((_xlpm.x="C1")*1)=1, 1, 0))</f>
        <v>0</v>
      </c>
      <c r="Z23" s="25">
        <v>1</v>
      </c>
      <c r="AA23" s="25">
        <v>1</v>
      </c>
      <c r="AC23" s="138" t="str">
        <v>GK</v>
      </c>
      <c r="AD23" s="99">
        <v>0</v>
      </c>
      <c r="AE23" s="99">
        <v>5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5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112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1, 0))</f>
        <v>0</v>
      </c>
      <c r="X24" s="25" cm="1">
        <f t="array" ref="X24">_xlfn.LET(_xlpm.x, L24:L26, IF(SUM((_xlpm.x="C1")*1)=1, 1, 0))</f>
        <v>0</v>
      </c>
      <c r="Y24" s="25" cm="1">
        <f t="array" ref="Y24">_xlfn.LET(_xlpm.x, M24:M26, IF(SUM((_xlpm.x="C1")*1)=1, 1, 0))</f>
        <v>0</v>
      </c>
      <c r="Z24" s="25">
        <v>1</v>
      </c>
      <c r="AA24" s="25">
        <v>1</v>
      </c>
      <c r="AC24" s="138" t="str">
        <v>GQ</v>
      </c>
      <c r="AD24" s="99">
        <v>0</v>
      </c>
      <c r="AE24" s="99">
        <v>9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9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112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1, 0))</f>
        <v>0</v>
      </c>
      <c r="X25" s="25" cm="1">
        <f t="array" ref="X25">_xlfn.LET(_xlpm.x, L25:L27, IF(SUM((_xlpm.x="C1")*1)=1, 1, 0))</f>
        <v>0</v>
      </c>
      <c r="Y25" s="25" cm="1">
        <f t="array" ref="Y25">_xlfn.LET(_xlpm.x, M25:M27, IF(SUM((_xlpm.x="C1")*1)=1, 1, 0))</f>
        <v>0</v>
      </c>
      <c r="Z25" s="25">
        <v>1</v>
      </c>
      <c r="AA25" s="25">
        <v>1</v>
      </c>
      <c r="AC25" s="138" t="str">
        <v>GJ</v>
      </c>
      <c r="AD25" s="99">
        <v>0</v>
      </c>
      <c r="AE25" s="99">
        <v>9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9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245</v>
      </c>
      <c r="C26" s="5">
        <f>SUM(C4:C14)/C24</f>
        <v>1</v>
      </c>
      <c r="D26" s="181">
        <f t="shared" ref="D26:G26" si="1">SUM(D4:D14)/D24</f>
        <v>0.745</v>
      </c>
      <c r="E26" s="181">
        <f t="shared" si="1"/>
        <v>0.94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1, 0))</f>
        <v>0</v>
      </c>
      <c r="X26" s="25" cm="1">
        <f t="array" ref="X26">_xlfn.LET(_xlpm.x, L26:L28, IF(SUM((_xlpm.x="C1")*1)=1, 1, 0))</f>
        <v>0</v>
      </c>
      <c r="Y26" s="25" cm="1">
        <f t="array" ref="Y26">_xlfn.LET(_xlpm.x, M26:M28, IF(SUM((_xlpm.x="C1")*1)=1, 1, 0))</f>
        <v>0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246</v>
      </c>
      <c r="C27" s="5">
        <f>SUM(C15:C23)/C24</f>
        <v>0</v>
      </c>
      <c r="D27" s="181">
        <f t="shared" ref="D27:G27" si="2">SUM(D15:D23)/D24</f>
        <v>0.255</v>
      </c>
      <c r="E27" s="181">
        <f t="shared" si="2"/>
        <v>0.06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35</v>
      </c>
      <c r="L27" s="16" t="s">
        <v>18</v>
      </c>
      <c r="M27" s="16" t="s">
        <v>126</v>
      </c>
      <c r="N27" s="16" t="s">
        <v>20</v>
      </c>
      <c r="O27" s="16" t="s">
        <v>126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1, 0))</f>
        <v>0</v>
      </c>
      <c r="X27" s="25" cm="1">
        <f t="array" ref="X27">_xlfn.LET(_xlpm.x, L27:L29, IF(SUM((_xlpm.x="C1")*1)=1, 1, 0))</f>
        <v>0</v>
      </c>
      <c r="Y27" s="25" cm="1">
        <f t="array" ref="Y27">_xlfn.LET(_xlpm.x, M27:M29, IF(SUM((_xlpm.x="C1")*1)=1, 1, 0))</f>
        <v>0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97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1, 0))</f>
        <v>0</v>
      </c>
      <c r="X28" s="25" cm="1">
        <f t="array" ref="X28">_xlfn.LET(_xlpm.x, L28:L30, IF(SUM((_xlpm.x="C1")*1)=1, 1, 0))</f>
        <v>0</v>
      </c>
      <c r="Y28" s="25" cm="1">
        <f t="array" ref="Y28">_xlfn.LET(_xlpm.x, M28:M30, IF(SUM((_xlpm.x="C1")*1)=1, 1, 0))</f>
        <v>0</v>
      </c>
      <c r="Z28" s="25">
        <v>1</v>
      </c>
      <c r="AA28" s="25">
        <v>1</v>
      </c>
      <c r="AC28" s="27" t="s">
        <v>133</v>
      </c>
      <c r="AH28" s="5"/>
      <c r="AI28" s="5"/>
      <c r="AJ28" s="27" t="s">
        <v>133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1, 0))</f>
        <v>0</v>
      </c>
      <c r="X29" s="25" cm="1">
        <f t="array" ref="X29">_xlfn.LET(_xlpm.x, L29:L31, IF(SUM((_xlpm.x="C1")*1)=1, 1, 0))</f>
        <v>0</v>
      </c>
      <c r="Y29" s="25" cm="1">
        <f t="array" ref="Y29">_xlfn.LET(_xlpm.x, M29:M31, IF(SUM((_xlpm.x="C1")*1)=1, 1, 0))</f>
        <v>0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35</v>
      </c>
      <c r="M30" s="16" t="s">
        <v>126</v>
      </c>
      <c r="N30" s="16" t="s">
        <v>36</v>
      </c>
      <c r="O30" s="16" t="s">
        <v>126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1, 0))</f>
        <v>0</v>
      </c>
      <c r="X30" s="25" cm="1">
        <f t="array" ref="X30">_xlfn.LET(_xlpm.x, L30:L32, IF(SUM((_xlpm.x="C1")*1)=1, 1, 0))</f>
        <v>0</v>
      </c>
      <c r="Y30" s="25" cm="1">
        <f t="array" ref="Y30">_xlfn.LET(_xlpm.x, M30:M32, IF(SUM((_xlpm.x="C1")*1)=1, 1, 0))</f>
        <v>0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19</v>
      </c>
      <c r="L31" s="16" t="s">
        <v>95</v>
      </c>
      <c r="M31" s="16" t="s">
        <v>37</v>
      </c>
      <c r="N31" s="16" t="s">
        <v>97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1, 0))</f>
        <v>0</v>
      </c>
      <c r="X31" s="25" cm="1">
        <f t="array" ref="X31">_xlfn.LET(_xlpm.x, L31:L33, IF(SUM((_xlpm.x="C1")*1)=1, 1, 0))</f>
        <v>0</v>
      </c>
      <c r="Y31" s="25" cm="1">
        <f t="array" ref="Y31">_xlfn.LET(_xlpm.x, M31:M33, IF(SUM((_xlpm.x="C1")*1)=1, 1, 0))</f>
        <v>0</v>
      </c>
      <c r="Z31" s="25">
        <v>1</v>
      </c>
      <c r="AA31" s="25">
        <v>1</v>
      </c>
      <c r="AC31" s="138" t="str">
        <v>C1</v>
      </c>
      <c r="AD31" s="138">
        <v>3</v>
      </c>
      <c r="AE31" s="138">
        <v>3</v>
      </c>
      <c r="AF31" s="138">
        <v>3</v>
      </c>
      <c r="AG31" s="138">
        <v>6</v>
      </c>
      <c r="AH31" s="138">
        <v>6</v>
      </c>
      <c r="AI31" s="5"/>
      <c r="AJ31" s="138" t="str">
        <v>C1</v>
      </c>
      <c r="AK31" s="138">
        <v>3</v>
      </c>
      <c r="AL31" s="138">
        <v>3</v>
      </c>
      <c r="AM31" s="138">
        <v>3</v>
      </c>
      <c r="AN31" s="138">
        <v>6</v>
      </c>
      <c r="AO31" s="138">
        <v>6</v>
      </c>
    </row>
    <row r="32" spans="1:41" ht="16.5" customHeight="1" x14ac:dyDescent="0.3">
      <c r="J32" s="25">
        <v>28</v>
      </c>
      <c r="K32" s="16" t="s">
        <v>35</v>
      </c>
      <c r="L32" s="16" t="s">
        <v>91</v>
      </c>
      <c r="M32" s="16" t="s">
        <v>126</v>
      </c>
      <c r="N32" s="16" t="s">
        <v>88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1, 0))</f>
        <v>0</v>
      </c>
      <c r="X32" s="25" cm="1">
        <f t="array" ref="X32">_xlfn.LET(_xlpm.x, L32:L34, IF(SUM((_xlpm.x="C1")*1)=1, 1, 0))</f>
        <v>0</v>
      </c>
      <c r="Y32" s="25" cm="1">
        <f t="array" ref="Y32">_xlfn.LET(_xlpm.x, M32:M34, IF(SUM((_xlpm.x="C1")*1)=1, 1, 0))</f>
        <v>0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17</v>
      </c>
      <c r="AF32" s="133">
        <v>4</v>
      </c>
      <c r="AG32" s="133">
        <v>21</v>
      </c>
      <c r="AH32" s="133">
        <v>22</v>
      </c>
      <c r="AI32" s="5"/>
      <c r="AJ32" s="154" t="str">
        <v>M1</v>
      </c>
      <c r="AK32" s="133">
        <v>4</v>
      </c>
      <c r="AL32" s="133">
        <v>17</v>
      </c>
      <c r="AM32" s="133">
        <v>4</v>
      </c>
      <c r="AN32" s="133">
        <v>21</v>
      </c>
      <c r="AO32" s="133">
        <v>22</v>
      </c>
    </row>
    <row r="33" spans="10:41" ht="16.5" customHeight="1" x14ac:dyDescent="0.3">
      <c r="J33" s="9">
        <v>29</v>
      </c>
      <c r="K33" s="16" t="s">
        <v>21</v>
      </c>
      <c r="L33" s="16" t="s">
        <v>90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1, 0))</f>
        <v>0</v>
      </c>
      <c r="X33" s="25" cm="1">
        <f t="array" ref="X33">_xlfn.LET(_xlpm.x, L33:L35, IF(SUM((_xlpm.x="C1")*1)=1, 1, 0))</f>
        <v>0</v>
      </c>
      <c r="Y33" s="25" cm="1">
        <f t="array" ref="Y33">_xlfn.LET(_xlpm.x, M33:M35, IF(SUM((_xlpm.x="C1")*1)=1, 1, 0))</f>
        <v>0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18</v>
      </c>
      <c r="AF33" s="133">
        <v>4</v>
      </c>
      <c r="AG33" s="133">
        <v>20</v>
      </c>
      <c r="AH33" s="133">
        <v>22</v>
      </c>
      <c r="AI33" s="5"/>
      <c r="AJ33" s="154" t="str">
        <v>M2</v>
      </c>
      <c r="AK33" s="133">
        <v>4</v>
      </c>
      <c r="AL33" s="133">
        <v>18</v>
      </c>
      <c r="AM33" s="133">
        <v>4</v>
      </c>
      <c r="AN33" s="133">
        <v>20</v>
      </c>
      <c r="AO33" s="133">
        <v>22</v>
      </c>
    </row>
    <row r="34" spans="10:41" ht="16.5" customHeight="1" x14ac:dyDescent="0.3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1, 0))</f>
        <v>0</v>
      </c>
      <c r="X34" s="25" cm="1">
        <f t="array" ref="X34">_xlfn.LET(_xlpm.x, L34:L36, IF(SUM((_xlpm.x="C1")*1)=1, 1, 0))</f>
        <v>0</v>
      </c>
      <c r="Y34" s="25" cm="1">
        <f t="array" ref="Y34">_xlfn.LET(_xlpm.x, M34:M36, IF(SUM((_xlpm.x="C1")*1)=1, 1, 0))</f>
        <v>0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18</v>
      </c>
      <c r="AF34" s="133">
        <v>4</v>
      </c>
      <c r="AG34" s="133">
        <v>20</v>
      </c>
      <c r="AH34" s="133">
        <v>21</v>
      </c>
      <c r="AI34" s="5"/>
      <c r="AJ34" s="154" t="str">
        <v>M3</v>
      </c>
      <c r="AK34" s="133">
        <v>4</v>
      </c>
      <c r="AL34" s="133">
        <v>18</v>
      </c>
      <c r="AM34" s="133">
        <v>4</v>
      </c>
      <c r="AN34" s="133">
        <v>20</v>
      </c>
      <c r="AO34" s="133">
        <v>21</v>
      </c>
    </row>
    <row r="35" spans="10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126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1, 0))</f>
        <v>0</v>
      </c>
      <c r="X35" s="25" cm="1">
        <f t="array" ref="X35">_xlfn.LET(_xlpm.x, L35:L37, IF(SUM((_xlpm.x="C1")*1)=1, 1, 0))</f>
        <v>0</v>
      </c>
      <c r="Y35" s="25" cm="1">
        <f t="array" ref="Y35">_xlfn.LET(_xlpm.x, M35:M37, IF(SUM((_xlpm.x="C1")*1)=1, 1, 0))</f>
        <v>0</v>
      </c>
      <c r="Z35" s="25">
        <v>1</v>
      </c>
      <c r="AA35" s="25">
        <v>1</v>
      </c>
      <c r="AC35" s="154" t="str">
        <v>M4</v>
      </c>
      <c r="AD35" s="133">
        <v>40</v>
      </c>
      <c r="AE35" s="133">
        <v>14</v>
      </c>
      <c r="AF35" s="133">
        <v>41</v>
      </c>
      <c r="AG35" s="133">
        <v>14</v>
      </c>
      <c r="AH35" s="133">
        <v>21</v>
      </c>
      <c r="AI35" s="5"/>
      <c r="AJ35" s="154" t="str">
        <v>M4</v>
      </c>
      <c r="AK35" s="133">
        <v>40</v>
      </c>
      <c r="AL35" s="133">
        <v>14</v>
      </c>
      <c r="AM35" s="133">
        <v>41</v>
      </c>
      <c r="AN35" s="133">
        <v>14</v>
      </c>
      <c r="AO35" s="133">
        <v>21</v>
      </c>
    </row>
    <row r="36" spans="10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126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1, 0))</f>
        <v>0</v>
      </c>
      <c r="X36" s="25" cm="1">
        <f t="array" ref="X36">_xlfn.LET(_xlpm.x, L36:L38, IF(SUM((_xlpm.x="C1")*1)=1, 1, 0))</f>
        <v>0</v>
      </c>
      <c r="Y36" s="25" cm="1">
        <f t="array" ref="Y36">_xlfn.LET(_xlpm.x, M36:M38, IF(SUM((_xlpm.x="C1")*1)=1, 1, 0))</f>
        <v>0</v>
      </c>
      <c r="Z36" s="25">
        <v>1</v>
      </c>
      <c r="AA36" s="25">
        <v>1</v>
      </c>
      <c r="AC36" s="154" t="str">
        <v>M5</v>
      </c>
      <c r="AD36" s="133">
        <v>40</v>
      </c>
      <c r="AE36" s="133">
        <v>14</v>
      </c>
      <c r="AF36" s="133">
        <v>41</v>
      </c>
      <c r="AG36" s="133">
        <v>14</v>
      </c>
      <c r="AH36" s="133">
        <v>21</v>
      </c>
      <c r="AI36" s="5"/>
      <c r="AJ36" s="154" t="str">
        <v>M5</v>
      </c>
      <c r="AK36" s="133">
        <v>40</v>
      </c>
      <c r="AL36" s="133">
        <v>14</v>
      </c>
      <c r="AM36" s="133">
        <v>41</v>
      </c>
      <c r="AN36" s="133">
        <v>14</v>
      </c>
      <c r="AO36" s="133">
        <v>21</v>
      </c>
    </row>
    <row r="37" spans="10:41" ht="16.5" customHeight="1" x14ac:dyDescent="0.3">
      <c r="J37" s="9">
        <v>33</v>
      </c>
      <c r="K37" s="16" t="s">
        <v>19</v>
      </c>
      <c r="L37" s="16" t="s">
        <v>35</v>
      </c>
      <c r="M37" s="16" t="s">
        <v>35</v>
      </c>
      <c r="N37" s="16" t="s">
        <v>92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1, 0))</f>
        <v>0</v>
      </c>
      <c r="X37" s="25" cm="1">
        <f t="array" ref="X37">_xlfn.LET(_xlpm.x, L37:L39, IF(SUM((_xlpm.x="C1")*1)=1, 1, 0))</f>
        <v>0</v>
      </c>
      <c r="Y37" s="25" cm="1">
        <f t="array" ref="Y37">_xlfn.LET(_xlpm.x, M37:M39, IF(SUM((_xlpm.x="C1")*1)=1, 1, 0))</f>
        <v>0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13</v>
      </c>
      <c r="AF37" s="133">
        <v>41</v>
      </c>
      <c r="AG37" s="133">
        <v>14</v>
      </c>
      <c r="AH37" s="133">
        <v>21</v>
      </c>
      <c r="AI37" s="5"/>
      <c r="AJ37" s="154" t="str">
        <v>A</v>
      </c>
      <c r="AK37" s="133">
        <v>47</v>
      </c>
      <c r="AL37" s="133">
        <v>13</v>
      </c>
      <c r="AM37" s="133">
        <v>41</v>
      </c>
      <c r="AN37" s="133">
        <v>14</v>
      </c>
      <c r="AO37" s="133">
        <v>21</v>
      </c>
    </row>
    <row r="38" spans="10:41" ht="16.5" customHeight="1" x14ac:dyDescent="0.3">
      <c r="J38" s="25">
        <v>34</v>
      </c>
      <c r="K38" s="16" t="s">
        <v>126</v>
      </c>
      <c r="L38" s="16" t="s">
        <v>89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1, 0))</f>
        <v>0</v>
      </c>
      <c r="X38" s="25" cm="1">
        <f t="array" ref="X38">_xlfn.LET(_xlpm.x, L38:L40, IF(SUM((_xlpm.x="C1")*1)=1, 1, 0))</f>
        <v>0</v>
      </c>
      <c r="Y38" s="25" cm="1">
        <f t="array" ref="Y38">_xlfn.LET(_xlpm.x, M38:M40, IF(SUM((_xlpm.x="C1")*1)=1, 1, 0))</f>
        <v>0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13</v>
      </c>
      <c r="AF38" s="133">
        <v>41</v>
      </c>
      <c r="AG38" s="133">
        <v>14</v>
      </c>
      <c r="AH38" s="133">
        <v>21</v>
      </c>
      <c r="AI38" s="5"/>
      <c r="AJ38" s="154" t="str">
        <v>K</v>
      </c>
      <c r="AK38" s="133">
        <v>47</v>
      </c>
      <c r="AL38" s="133">
        <v>13</v>
      </c>
      <c r="AM38" s="133">
        <v>41</v>
      </c>
      <c r="AN38" s="133">
        <v>14</v>
      </c>
      <c r="AO38" s="133">
        <v>21</v>
      </c>
    </row>
    <row r="39" spans="10:41" ht="16.5" customHeight="1" x14ac:dyDescent="0.3">
      <c r="J39" s="9">
        <v>35</v>
      </c>
      <c r="K39" s="16" t="s">
        <v>126</v>
      </c>
      <c r="L39" s="16" t="s">
        <v>37</v>
      </c>
      <c r="M39" s="16" t="s">
        <v>126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1, 0))</f>
        <v>0</v>
      </c>
      <c r="X39" s="25" cm="1">
        <f t="array" ref="X39">_xlfn.LET(_xlpm.x, L39:L41, IF(SUM((_xlpm.x="C1")*1)=1, 1, 0))</f>
        <v>0</v>
      </c>
      <c r="Y39" s="25" cm="1">
        <f t="array" ref="Y39">_xlfn.LET(_xlpm.x, M39:M41, IF(SUM((_xlpm.x="C1")*1)=1, 1, 0))</f>
        <v>0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17</v>
      </c>
      <c r="AF39" s="133">
        <v>3</v>
      </c>
      <c r="AG39" s="133">
        <v>21</v>
      </c>
      <c r="AH39" s="133">
        <v>21</v>
      </c>
      <c r="AI39" s="5"/>
      <c r="AJ39" s="154" t="str">
        <v>Q</v>
      </c>
      <c r="AK39" s="133">
        <v>4</v>
      </c>
      <c r="AL39" s="133">
        <v>17</v>
      </c>
      <c r="AM39" s="133">
        <v>3</v>
      </c>
      <c r="AN39" s="133">
        <v>21</v>
      </c>
      <c r="AO39" s="133">
        <v>21</v>
      </c>
    </row>
    <row r="40" spans="10:41" ht="16.5" customHeight="1" x14ac:dyDescent="0.3">
      <c r="J40" s="25">
        <v>36</v>
      </c>
      <c r="K40" s="16" t="s">
        <v>37</v>
      </c>
      <c r="L40" s="16" t="s">
        <v>92</v>
      </c>
      <c r="M40" s="16" t="s">
        <v>35</v>
      </c>
      <c r="N40" s="16" t="s">
        <v>91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1, 0))</f>
        <v>0</v>
      </c>
      <c r="X40" s="25" cm="1">
        <f t="array" ref="X40">_xlfn.LET(_xlpm.x, L40:L42, IF(SUM((_xlpm.x="C1")*1)=1, 1, 0))</f>
        <v>0</v>
      </c>
      <c r="Y40" s="25" cm="1">
        <f t="array" ref="Y40">_xlfn.LET(_xlpm.x, M40:M42, IF(SUM((_xlpm.x="C1")*1)=1, 1, 0))</f>
        <v>0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17</v>
      </c>
      <c r="AF40" s="133">
        <v>3</v>
      </c>
      <c r="AG40" s="133">
        <v>21</v>
      </c>
      <c r="AH40" s="133">
        <v>21</v>
      </c>
      <c r="AI40" s="5"/>
      <c r="AJ40" s="154" t="str">
        <v>J</v>
      </c>
      <c r="AK40" s="133">
        <v>4</v>
      </c>
      <c r="AL40" s="133">
        <v>17</v>
      </c>
      <c r="AM40" s="133">
        <v>3</v>
      </c>
      <c r="AN40" s="133">
        <v>21</v>
      </c>
      <c r="AO40" s="133">
        <v>21</v>
      </c>
    </row>
    <row r="41" spans="10:41" ht="16.5" customHeight="1" x14ac:dyDescent="0.3">
      <c r="J41" s="9">
        <v>37</v>
      </c>
      <c r="K41" s="16" t="s">
        <v>19</v>
      </c>
      <c r="L41" s="16" t="s">
        <v>92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1, 0))</f>
        <v>0</v>
      </c>
      <c r="X41" s="25" cm="1">
        <f t="array" ref="X41">_xlfn.LET(_xlpm.x, L41:L43, IF(SUM((_xlpm.x="C1")*1)=1, 1, 0))</f>
        <v>0</v>
      </c>
      <c r="Y41" s="25" cm="1">
        <f t="array" ref="Y41">_xlfn.LET(_xlpm.x, M41:M43, IF(SUM((_xlpm.x="C1")*1)=1, 1, 0))</f>
        <v>0</v>
      </c>
      <c r="Z41" s="25">
        <v>1</v>
      </c>
      <c r="AA41" s="25">
        <v>1</v>
      </c>
      <c r="AC41" s="138" t="str">
        <v>G1</v>
      </c>
      <c r="AD41" s="99">
        <v>0</v>
      </c>
      <c r="AE41" s="99">
        <v>8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8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126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1, 0))</f>
        <v>0</v>
      </c>
      <c r="X42" s="25" cm="1">
        <f t="array" ref="X42">_xlfn.LET(_xlpm.x, L42:L44, IF(SUM((_xlpm.x="C1")*1)=1, 1, 0))</f>
        <v>0</v>
      </c>
      <c r="Y42" s="25" cm="1">
        <f t="array" ref="Y42">_xlfn.LET(_xlpm.x, M42:M44, IF(SUM((_xlpm.x="C1")*1)=1, 1, 0))</f>
        <v>0</v>
      </c>
      <c r="Z42" s="25">
        <v>1</v>
      </c>
      <c r="AA42" s="25">
        <v>1</v>
      </c>
      <c r="AC42" s="138" t="str">
        <v>G2</v>
      </c>
      <c r="AD42" s="99">
        <v>0</v>
      </c>
      <c r="AE42" s="99">
        <v>8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8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126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1, 0))</f>
        <v>0</v>
      </c>
      <c r="X43" s="25" cm="1">
        <f t="array" ref="X43">_xlfn.LET(_xlpm.x, L43:L45, IF(SUM((_xlpm.x="C1")*1)=1, 1, 0))</f>
        <v>0</v>
      </c>
      <c r="Y43" s="25" cm="1">
        <f t="array" ref="Y43">_xlfn.LET(_xlpm.x, M43:M45, IF(SUM((_xlpm.x="C1")*1)=1, 1, 0))</f>
        <v>0</v>
      </c>
      <c r="Z43" s="25">
        <v>1</v>
      </c>
      <c r="AA43" s="25">
        <v>1</v>
      </c>
      <c r="AC43" s="138" t="str">
        <v>G3</v>
      </c>
      <c r="AD43" s="99">
        <v>0</v>
      </c>
      <c r="AE43" s="99">
        <v>8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8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112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1, 0))</f>
        <v>0</v>
      </c>
      <c r="X44" s="25" cm="1">
        <f t="array" ref="X44">_xlfn.LET(_xlpm.x, L44:L46, IF(SUM((_xlpm.x="C1")*1)=1, 1, 0))</f>
        <v>0</v>
      </c>
      <c r="Y44" s="25" cm="1">
        <f t="array" ref="Y44">_xlfn.LET(_xlpm.x, M44:M46, IF(SUM((_xlpm.x="C1")*1)=1, 1, 0))</f>
        <v>0</v>
      </c>
      <c r="Z44" s="25">
        <v>1</v>
      </c>
      <c r="AA44" s="25">
        <v>1</v>
      </c>
      <c r="AC44" s="138" t="str">
        <v>G4</v>
      </c>
      <c r="AD44" s="99">
        <v>0</v>
      </c>
      <c r="AE44" s="99">
        <v>5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5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126</v>
      </c>
      <c r="L45" s="16" t="s">
        <v>36</v>
      </c>
      <c r="M45" s="16" t="s">
        <v>126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1, 0))</f>
        <v>0</v>
      </c>
      <c r="X45" s="25" cm="1">
        <f t="array" ref="X45">_xlfn.LET(_xlpm.x, L45:L47, IF(SUM((_xlpm.x="C1")*1)=1, 1, 0))</f>
        <v>0</v>
      </c>
      <c r="Y45" s="25" cm="1">
        <f t="array" ref="Y45">_xlfn.LET(_xlpm.x, M45:M47, IF(SUM((_xlpm.x="C1")*1)=1, 1, 0))</f>
        <v>0</v>
      </c>
      <c r="Z45" s="25">
        <v>1</v>
      </c>
      <c r="AA45" s="25">
        <v>1</v>
      </c>
      <c r="AC45" s="138" t="str">
        <v>G5</v>
      </c>
      <c r="AD45" s="99">
        <v>0</v>
      </c>
      <c r="AE45" s="99">
        <v>5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5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126</v>
      </c>
      <c r="L46" s="16" t="s">
        <v>29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5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1, 0))</f>
        <v>0</v>
      </c>
      <c r="X46" s="25" cm="1">
        <f t="array" ref="X46">_xlfn.LET(_xlpm.x, L46:L48, IF(SUM((_xlpm.x="C1")*1)=1, 1, 0))</f>
        <v>1</v>
      </c>
      <c r="Y46" s="25" cm="1">
        <f t="array" ref="Y46">_xlfn.LET(_xlpm.x, M46:M48, IF(SUM((_xlpm.x="C1")*1)=1, 1, 0))</f>
        <v>0</v>
      </c>
      <c r="Z46" s="25">
        <v>1</v>
      </c>
      <c r="AA46" s="25">
        <v>1</v>
      </c>
      <c r="AC46" s="138" t="str">
        <v>GA</v>
      </c>
      <c r="AD46" s="99">
        <v>0</v>
      </c>
      <c r="AE46" s="99">
        <v>5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5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126</v>
      </c>
      <c r="L47" s="16" t="s">
        <v>95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1, 0))</f>
        <v>0</v>
      </c>
      <c r="X47" s="25" cm="1">
        <f t="array" ref="X47">_xlfn.LET(_xlpm.x, L47:L49, IF(SUM((_xlpm.x="C1")*1)=1, 1, 0))</f>
        <v>1</v>
      </c>
      <c r="Y47" s="25" cm="1">
        <f t="array" ref="Y47">_xlfn.LET(_xlpm.x, M47:M49, IF(SUM((_xlpm.x="C1")*1)=1, 1, 0))</f>
        <v>0</v>
      </c>
      <c r="Z47" s="25">
        <v>1</v>
      </c>
      <c r="AA47" s="25">
        <v>1</v>
      </c>
      <c r="AC47" s="138" t="str">
        <v>GK</v>
      </c>
      <c r="AD47" s="99">
        <v>0</v>
      </c>
      <c r="AE47" s="99">
        <v>5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5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1, 0))</f>
        <v>0</v>
      </c>
      <c r="X48" s="25" cm="1">
        <f t="array" ref="X48">_xlfn.LET(_xlpm.x, L48:L50, IF(SUM((_xlpm.x="C1")*1)=1, 1, 0))</f>
        <v>1</v>
      </c>
      <c r="Y48" s="25" cm="1">
        <f t="array" ref="Y48">_xlfn.LET(_xlpm.x, M48:M50, IF(SUM((_xlpm.x="C1")*1)=1, 1, 0))</f>
        <v>0</v>
      </c>
      <c r="Z48" s="25">
        <v>1</v>
      </c>
      <c r="AA48" s="25">
        <v>1</v>
      </c>
      <c r="AC48" s="138" t="str">
        <v>GQ</v>
      </c>
      <c r="AD48" s="99">
        <v>0</v>
      </c>
      <c r="AE48" s="99">
        <v>9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9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126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1, 0))</f>
        <v>1</v>
      </c>
      <c r="X49" s="25" cm="1">
        <f t="array" ref="X49">_xlfn.LET(_xlpm.x, L49:L51, IF(SUM((_xlpm.x="C1")*1)=1, 1, 0))</f>
        <v>0</v>
      </c>
      <c r="Y49" s="25" cm="1">
        <f t="array" ref="Y49">_xlfn.LET(_xlpm.x, M49:M51, IF(SUM((_xlpm.x="C1")*1)=1, 1, 0))</f>
        <v>0</v>
      </c>
      <c r="Z49" s="25">
        <v>1</v>
      </c>
      <c r="AA49" s="25">
        <v>1</v>
      </c>
      <c r="AC49" s="138" t="str">
        <v>GJ</v>
      </c>
      <c r="AD49" s="99">
        <v>0</v>
      </c>
      <c r="AE49" s="99">
        <v>9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9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1, 0))</f>
        <v>1</v>
      </c>
      <c r="X50" s="25" cm="1">
        <f t="array" ref="X50">_xlfn.LET(_xlpm.x, L50:L52, IF(SUM((_xlpm.x="C1")*1)=1, 1, 0))</f>
        <v>0</v>
      </c>
      <c r="Y50" s="25" cm="1">
        <f t="array" ref="Y50">_xlfn.LET(_xlpm.x, M50:M52, IF(SUM((_xlpm.x="C1")*1)=1, 1, 0))</f>
        <v>0</v>
      </c>
      <c r="Z50" s="25">
        <v>1</v>
      </c>
      <c r="AA50" s="25">
        <v>1</v>
      </c>
      <c r="AD50" s="113">
        <f>SUM(AD30:AD49)</f>
        <v>197</v>
      </c>
      <c r="AE50" s="113">
        <f>SUM(AE30:AE49)</f>
        <v>206</v>
      </c>
      <c r="AF50" s="113">
        <f>SUM(AF30:AF49)</f>
        <v>206</v>
      </c>
      <c r="AG50" s="113">
        <f>SUM(AG30:AG49)</f>
        <v>206</v>
      </c>
      <c r="AH50" s="113">
        <f>SUM(AH30:AH49)</f>
        <v>197</v>
      </c>
      <c r="AI50" s="5"/>
      <c r="AK50" s="113">
        <f>SUM(AK30:AK49)</f>
        <v>197</v>
      </c>
      <c r="AL50" s="113">
        <f>SUM(AL30:AL49)</f>
        <v>206</v>
      </c>
      <c r="AM50" s="113">
        <f>SUM(AM30:AM49)</f>
        <v>206</v>
      </c>
      <c r="AN50" s="113">
        <f>SUM(AN30:AN49)</f>
        <v>206</v>
      </c>
      <c r="AO50" s="113">
        <f>SUM(AO30:AO49)</f>
        <v>197</v>
      </c>
    </row>
    <row r="51" spans="10:41" ht="16.5" customHeight="1" x14ac:dyDescent="0.3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1, 0))</f>
        <v>1</v>
      </c>
      <c r="X51" s="25" cm="1">
        <f t="array" ref="X51">_xlfn.LET(_xlpm.x, L51:L53, IF(SUM((_xlpm.x="C1")*1)=1, 1, 0))</f>
        <v>0</v>
      </c>
      <c r="Y51" s="25" cm="1">
        <f t="array" ref="Y51">_xlfn.LET(_xlpm.x, M51:M53, IF(SUM((_xlpm.x="C1")*1)=1, 1, 0))</f>
        <v>0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1, 0))</f>
        <v>0</v>
      </c>
      <c r="X52" s="25" cm="1">
        <f t="array" ref="X52">_xlfn.LET(_xlpm.x, L52:L54, IF(SUM((_xlpm.x="C1")*1)=1, 1, 0))</f>
        <v>0</v>
      </c>
      <c r="Y52" s="25" cm="1">
        <f t="array" ref="Y52">_xlfn.LET(_xlpm.x, M52:M54, IF(SUM((_xlpm.x="C1")*1)=1, 1, 0))</f>
        <v>0</v>
      </c>
      <c r="Z52" s="25">
        <v>1</v>
      </c>
      <c r="AA52" s="25">
        <v>1</v>
      </c>
      <c r="AC52" s="27" t="s">
        <v>131</v>
      </c>
      <c r="AH52" s="5"/>
      <c r="AI52" s="5"/>
      <c r="AJ52" s="27" t="s">
        <v>131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1, 0))</f>
        <v>0</v>
      </c>
      <c r="X53" s="25" cm="1">
        <f t="array" ref="X53">_xlfn.LET(_xlpm.x, L53:L55, IF(SUM((_xlpm.x="C1")*1)=1, 1, 0))</f>
        <v>0</v>
      </c>
      <c r="Y53" s="25" cm="1">
        <f t="array" ref="Y53">_xlfn.LET(_xlpm.x, M53:M55, IF(SUM((_xlpm.x="C1")*1)=1, 1, 0))</f>
        <v>0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1, 0))</f>
        <v>0</v>
      </c>
      <c r="X54" s="25" cm="1">
        <f t="array" ref="X54">_xlfn.LET(_xlpm.x, L54:L56, IF(SUM((_xlpm.x="C1")*1)=1, 1, 0))</f>
        <v>0</v>
      </c>
      <c r="Y54" s="25" cm="1">
        <f t="array" ref="Y54">_xlfn.LET(_xlpm.x, M54:M56, IF(SUM((_xlpm.x="C1")*1)=1, 1, 0))</f>
        <v>0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126</v>
      </c>
      <c r="L55" s="16" t="s">
        <v>35</v>
      </c>
      <c r="M55" s="16" t="s">
        <v>35</v>
      </c>
      <c r="N55" s="16" t="s">
        <v>91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1, 0))</f>
        <v>0</v>
      </c>
      <c r="X55" s="25" cm="1">
        <f t="array" ref="X55">_xlfn.LET(_xlpm.x, L55:L57, IF(SUM((_xlpm.x="C1")*1)=1, 1, 0))</f>
        <v>0</v>
      </c>
      <c r="Y55" s="25" cm="1">
        <f t="array" ref="Y55">_xlfn.LET(_xlpm.x, M55:M57, IF(SUM((_xlpm.x="C1")*1)=1, 1, 0))</f>
        <v>0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1</v>
      </c>
      <c r="AG55" s="138">
        <v>3</v>
      </c>
      <c r="AH55" s="138">
        <v>3</v>
      </c>
      <c r="AI55" s="5"/>
      <c r="AJ55" s="138" t="str">
        <v>C1</v>
      </c>
      <c r="AK55" s="138">
        <v>1</v>
      </c>
      <c r="AL55" s="138">
        <v>1</v>
      </c>
      <c r="AM55" s="138">
        <v>1</v>
      </c>
      <c r="AN55" s="138">
        <v>3</v>
      </c>
      <c r="AO55" s="138">
        <v>3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1, 0))</f>
        <v>0</v>
      </c>
      <c r="X56" s="25" cm="1">
        <f t="array" ref="X56">_xlfn.LET(_xlpm.x, L56:L58, IF(SUM((_xlpm.x="C1")*1)=1, 1, 0))</f>
        <v>0</v>
      </c>
      <c r="Y56" s="25" cm="1">
        <f t="array" ref="Y56">_xlfn.LET(_xlpm.x, M56:M58, IF(SUM((_xlpm.x="C1")*1)=1, 1, 0))</f>
        <v>0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17</v>
      </c>
      <c r="AF56" s="133">
        <v>4</v>
      </c>
      <c r="AG56" s="133">
        <v>21</v>
      </c>
      <c r="AH56" s="133">
        <v>22</v>
      </c>
      <c r="AI56" s="5"/>
      <c r="AJ56" s="154" t="str">
        <v>M1</v>
      </c>
      <c r="AK56" s="133">
        <v>4</v>
      </c>
      <c r="AL56" s="133">
        <v>17</v>
      </c>
      <c r="AM56" s="133">
        <v>4</v>
      </c>
      <c r="AN56" s="133">
        <v>21</v>
      </c>
      <c r="AO56" s="133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126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1, 0))</f>
        <v>0</v>
      </c>
      <c r="X57" s="25" cm="1">
        <f t="array" ref="X57">_xlfn.LET(_xlpm.x, L57:L59, IF(SUM((_xlpm.x="C1")*1)=1, 1, 0))</f>
        <v>0</v>
      </c>
      <c r="Y57" s="25" cm="1">
        <f t="array" ref="Y57">_xlfn.LET(_xlpm.x, M57:M59, IF(SUM((_xlpm.x="C1")*1)=1, 1, 0))</f>
        <v>0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18</v>
      </c>
      <c r="AF57" s="133">
        <v>4</v>
      </c>
      <c r="AG57" s="133">
        <v>20</v>
      </c>
      <c r="AH57" s="133">
        <v>22</v>
      </c>
      <c r="AI57" s="5"/>
      <c r="AJ57" s="154" t="str">
        <v>M2</v>
      </c>
      <c r="AK57" s="133">
        <v>4</v>
      </c>
      <c r="AL57" s="133">
        <v>18</v>
      </c>
      <c r="AM57" s="133">
        <v>4</v>
      </c>
      <c r="AN57" s="133">
        <v>20</v>
      </c>
      <c r="AO57" s="133">
        <v>22</v>
      </c>
    </row>
    <row r="58" spans="10:41" ht="16.5" customHeight="1" x14ac:dyDescent="0.3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88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1, 0))</f>
        <v>0</v>
      </c>
      <c r="X58" s="25" cm="1">
        <f t="array" ref="X58">_xlfn.LET(_xlpm.x, L58:L60, IF(SUM((_xlpm.x="C1")*1)=1, 1, 0))</f>
        <v>0</v>
      </c>
      <c r="Y58" s="25" cm="1">
        <f t="array" ref="Y58">_xlfn.LET(_xlpm.x, M58:M60, IF(SUM((_xlpm.x="C1")*1)=1, 1, 0))</f>
        <v>0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18</v>
      </c>
      <c r="AF58" s="133">
        <v>4</v>
      </c>
      <c r="AG58" s="133">
        <v>20</v>
      </c>
      <c r="AH58" s="133">
        <v>21</v>
      </c>
      <c r="AI58" s="5"/>
      <c r="AJ58" s="154" t="str">
        <v>M3</v>
      </c>
      <c r="AK58" s="133">
        <v>4</v>
      </c>
      <c r="AL58" s="133">
        <v>18</v>
      </c>
      <c r="AM58" s="133">
        <v>4</v>
      </c>
      <c r="AN58" s="133">
        <v>20</v>
      </c>
      <c r="AO58" s="133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1, 0))</f>
        <v>0</v>
      </c>
      <c r="X59" s="25" cm="1">
        <f t="array" ref="X59">_xlfn.LET(_xlpm.x, L59:L61, IF(SUM((_xlpm.x="C1")*1)=1, 1, 0))</f>
        <v>0</v>
      </c>
      <c r="Y59" s="25" cm="1">
        <f t="array" ref="Y59">_xlfn.LET(_xlpm.x, M59:M61, IF(SUM((_xlpm.x="C1")*1)=1, 1, 0))</f>
        <v>0</v>
      </c>
      <c r="Z59" s="25">
        <v>1</v>
      </c>
      <c r="AA59" s="25">
        <v>1</v>
      </c>
      <c r="AC59" s="154" t="str">
        <v>M4</v>
      </c>
      <c r="AD59" s="133">
        <v>40</v>
      </c>
      <c r="AE59" s="133">
        <v>14</v>
      </c>
      <c r="AF59" s="133">
        <v>41</v>
      </c>
      <c r="AG59" s="133">
        <v>14</v>
      </c>
      <c r="AH59" s="133">
        <v>21</v>
      </c>
      <c r="AI59" s="5"/>
      <c r="AJ59" s="154" t="str">
        <v>M4</v>
      </c>
      <c r="AK59" s="133">
        <v>40</v>
      </c>
      <c r="AL59" s="133">
        <v>14</v>
      </c>
      <c r="AM59" s="133">
        <v>41</v>
      </c>
      <c r="AN59" s="133">
        <v>14</v>
      </c>
      <c r="AO59" s="133">
        <v>21</v>
      </c>
    </row>
    <row r="60" spans="10:41" ht="16.5" customHeight="1" x14ac:dyDescent="0.3">
      <c r="J60" s="25">
        <v>56</v>
      </c>
      <c r="K60" s="16" t="s">
        <v>19</v>
      </c>
      <c r="L60" s="16" t="s">
        <v>91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1, 0))</f>
        <v>0</v>
      </c>
      <c r="X60" s="25" cm="1">
        <f t="array" ref="X60">_xlfn.LET(_xlpm.x, L60:L62, IF(SUM((_xlpm.x="C1")*1)=1, 1, 0))</f>
        <v>0</v>
      </c>
      <c r="Y60" s="25" cm="1">
        <f t="array" ref="Y60">_xlfn.LET(_xlpm.x, M60:M62, IF(SUM((_xlpm.x="C1")*1)=1, 1, 0))</f>
        <v>0</v>
      </c>
      <c r="Z60" s="25">
        <v>1</v>
      </c>
      <c r="AA60" s="25">
        <v>1</v>
      </c>
      <c r="AC60" s="154" t="str">
        <v>M5</v>
      </c>
      <c r="AD60" s="133">
        <v>40</v>
      </c>
      <c r="AE60" s="133">
        <v>14</v>
      </c>
      <c r="AF60" s="133">
        <v>41</v>
      </c>
      <c r="AG60" s="133">
        <v>14</v>
      </c>
      <c r="AH60" s="133">
        <v>21</v>
      </c>
      <c r="AI60" s="5"/>
      <c r="AJ60" s="154" t="str">
        <v>M5</v>
      </c>
      <c r="AK60" s="133">
        <v>40</v>
      </c>
      <c r="AL60" s="133">
        <v>14</v>
      </c>
      <c r="AM60" s="133">
        <v>41</v>
      </c>
      <c r="AN60" s="133">
        <v>14</v>
      </c>
      <c r="AO60" s="133">
        <v>21</v>
      </c>
    </row>
    <row r="61" spans="10:41" x14ac:dyDescent="0.3">
      <c r="J61" s="9">
        <v>57</v>
      </c>
      <c r="K61" s="16" t="s">
        <v>126</v>
      </c>
      <c r="L61" s="16" t="s">
        <v>91</v>
      </c>
      <c r="M61" s="16" t="s">
        <v>126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1, 0))</f>
        <v>0</v>
      </c>
      <c r="X61" s="25" cm="1">
        <f t="array" ref="X61">_xlfn.LET(_xlpm.x, L61:L63, IF(SUM((_xlpm.x="C1")*1)=1, 1, 0))</f>
        <v>0</v>
      </c>
      <c r="Y61" s="25" cm="1">
        <f t="array" ref="Y61">_xlfn.LET(_xlpm.x, M61:M63, IF(SUM((_xlpm.x="C1")*1)=1, 1, 0))</f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13</v>
      </c>
      <c r="AF61" s="133">
        <v>41</v>
      </c>
      <c r="AG61" s="133">
        <v>14</v>
      </c>
      <c r="AH61" s="133">
        <v>21</v>
      </c>
      <c r="AI61" s="5"/>
      <c r="AJ61" s="154" t="str">
        <v>A</v>
      </c>
      <c r="AK61" s="133">
        <v>47</v>
      </c>
      <c r="AL61" s="133">
        <v>13</v>
      </c>
      <c r="AM61" s="133">
        <v>41</v>
      </c>
      <c r="AN61" s="133">
        <v>14</v>
      </c>
      <c r="AO61" s="133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126</v>
      </c>
      <c r="N62" s="16" t="s">
        <v>112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1, 0))</f>
        <v>0</v>
      </c>
      <c r="X62" s="25" cm="1">
        <f t="array" ref="X62">_xlfn.LET(_xlpm.x, L62:L64, IF(SUM((_xlpm.x="C1")*1)=1, 1, 0))</f>
        <v>0</v>
      </c>
      <c r="Y62" s="25" cm="1">
        <f t="array" ref="Y62">_xlfn.LET(_xlpm.x, M62:M64, IF(SUM((_xlpm.x="C1")*1)=1, 1, 0))</f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13</v>
      </c>
      <c r="AF62" s="133">
        <v>41</v>
      </c>
      <c r="AG62" s="133">
        <v>14</v>
      </c>
      <c r="AH62" s="133">
        <v>21</v>
      </c>
      <c r="AI62" s="5"/>
      <c r="AJ62" s="154" t="str">
        <v>K</v>
      </c>
      <c r="AK62" s="133">
        <v>47</v>
      </c>
      <c r="AL62" s="133">
        <v>13</v>
      </c>
      <c r="AM62" s="133">
        <v>41</v>
      </c>
      <c r="AN62" s="133">
        <v>14</v>
      </c>
      <c r="AO62" s="133">
        <v>21</v>
      </c>
    </row>
    <row r="63" spans="10:41" ht="16.5" customHeight="1" x14ac:dyDescent="0.3">
      <c r="J63" s="9">
        <v>59</v>
      </c>
      <c r="K63" s="16" t="s">
        <v>35</v>
      </c>
      <c r="L63" s="16" t="s">
        <v>90</v>
      </c>
      <c r="M63" s="16" t="s">
        <v>20</v>
      </c>
      <c r="N63" s="16" t="s">
        <v>95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1, 0))</f>
        <v>0</v>
      </c>
      <c r="X63" s="25" cm="1">
        <f t="array" ref="X63">_xlfn.LET(_xlpm.x, L63:L65, IF(SUM((_xlpm.x="C1")*1)=1, 1, 0))</f>
        <v>0</v>
      </c>
      <c r="Y63" s="25" cm="1">
        <f t="array" ref="Y63">_xlfn.LET(_xlpm.x, M63:M65, IF(SUM((_xlpm.x="C1")*1)=1, 1, 0))</f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17</v>
      </c>
      <c r="AF63" s="133">
        <v>3</v>
      </c>
      <c r="AG63" s="133">
        <v>21</v>
      </c>
      <c r="AH63" s="133">
        <v>21</v>
      </c>
      <c r="AI63" s="5"/>
      <c r="AJ63" s="154" t="str">
        <v>Q</v>
      </c>
      <c r="AK63" s="133">
        <v>4</v>
      </c>
      <c r="AL63" s="133">
        <v>17</v>
      </c>
      <c r="AM63" s="133">
        <v>3</v>
      </c>
      <c r="AN63" s="133">
        <v>21</v>
      </c>
      <c r="AO63" s="133">
        <v>21</v>
      </c>
    </row>
    <row r="64" spans="10:41" ht="16.5" customHeight="1" x14ac:dyDescent="0.3">
      <c r="J64" s="25">
        <v>60</v>
      </c>
      <c r="K64" s="16" t="s">
        <v>126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1, 0))</f>
        <v>0</v>
      </c>
      <c r="X64" s="25" cm="1">
        <f t="array" ref="X64">_xlfn.LET(_xlpm.x, L64:L66, IF(SUM((_xlpm.x="C1")*1)=1, 1, 0))</f>
        <v>0</v>
      </c>
      <c r="Y64" s="25" cm="1">
        <f t="array" ref="Y64">_xlfn.LET(_xlpm.x, M64:M66, IF(SUM((_xlpm.x="C1")*1)=1, 1, 0))</f>
        <v>0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17</v>
      </c>
      <c r="AF64" s="133">
        <v>3</v>
      </c>
      <c r="AG64" s="133">
        <v>21</v>
      </c>
      <c r="AH64" s="133">
        <v>21</v>
      </c>
      <c r="AI64" s="5"/>
      <c r="AJ64" s="154" t="str">
        <v>J</v>
      </c>
      <c r="AK64" s="133">
        <v>4</v>
      </c>
      <c r="AL64" s="133">
        <v>17</v>
      </c>
      <c r="AM64" s="133">
        <v>3</v>
      </c>
      <c r="AN64" s="133">
        <v>21</v>
      </c>
      <c r="AO64" s="133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91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1, 0))</f>
        <v>0</v>
      </c>
      <c r="X65" s="25" cm="1">
        <f t="array" ref="X65">_xlfn.LET(_xlpm.x, L65:L67, IF(SUM((_xlpm.x="C1")*1)=1, 1, 0))</f>
        <v>0</v>
      </c>
      <c r="Y65" s="25" cm="1">
        <f t="array" ref="Y65">_xlfn.LET(_xlpm.x, M65:M67, IF(SUM((_xlpm.x="C1")*1)=1, 1, 0))</f>
        <v>0</v>
      </c>
      <c r="Z65" s="25">
        <v>1</v>
      </c>
      <c r="AA65" s="25">
        <v>1</v>
      </c>
      <c r="AC65" s="138" t="str">
        <v>G1</v>
      </c>
      <c r="AD65" s="99">
        <v>0</v>
      </c>
      <c r="AE65" s="99">
        <v>8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8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1, 0))</f>
        <v>0</v>
      </c>
      <c r="X66" s="25" cm="1">
        <f t="array" ref="X66">_xlfn.LET(_xlpm.x, L66:L68, IF(SUM((_xlpm.x="C1")*1)=1, 1, 0))</f>
        <v>0</v>
      </c>
      <c r="Y66" s="25" cm="1">
        <f t="array" ref="Y66">_xlfn.LET(_xlpm.x, M66:M68, IF(SUM((_xlpm.x="C1")*1)=1, 1, 0))</f>
        <v>0</v>
      </c>
      <c r="Z66" s="25">
        <v>1</v>
      </c>
      <c r="AA66" s="25">
        <v>1</v>
      </c>
      <c r="AC66" s="138" t="str">
        <v>G2</v>
      </c>
      <c r="AD66" s="99">
        <v>0</v>
      </c>
      <c r="AE66" s="99">
        <v>8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8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95</v>
      </c>
      <c r="M67" s="16" t="s">
        <v>126</v>
      </c>
      <c r="N67" s="16" t="s">
        <v>127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1, 0))</f>
        <v>1</v>
      </c>
      <c r="X67" s="25" cm="1">
        <f t="array" ref="X67">_xlfn.LET(_xlpm.x, L67:L69, IF(SUM((_xlpm.x="C1")*1)=1, 1, 0))</f>
        <v>0</v>
      </c>
      <c r="Y67" s="25" cm="1">
        <f t="array" ref="Y67">_xlfn.LET(_xlpm.x, M67:M69, IF(SUM((_xlpm.x="C1")*1)=1, 1, 0))</f>
        <v>0</v>
      </c>
      <c r="Z67" s="25">
        <v>1</v>
      </c>
      <c r="AA67" s="25">
        <v>1</v>
      </c>
      <c r="AC67" s="138" t="str">
        <v>G3</v>
      </c>
      <c r="AD67" s="99">
        <v>0</v>
      </c>
      <c r="AE67" s="99">
        <v>8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8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126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1, 0))</f>
        <v>1</v>
      </c>
      <c r="X68" s="25" cm="1">
        <f t="array" ref="X68">_xlfn.LET(_xlpm.x, L68:L70, IF(SUM((_xlpm.x="C1")*1)=1, 1, 0))</f>
        <v>0</v>
      </c>
      <c r="Y68" s="25" cm="1">
        <f t="array" ref="Y68">_xlfn.LET(_xlpm.x, M68:M70, IF(SUM((_xlpm.x="C1")*1)=1, 1, 0))</f>
        <v>0</v>
      </c>
      <c r="Z68" s="25">
        <v>1</v>
      </c>
      <c r="AA68" s="25">
        <v>1</v>
      </c>
      <c r="AC68" s="138" t="str">
        <v>G4</v>
      </c>
      <c r="AD68" s="99">
        <v>0</v>
      </c>
      <c r="AE68" s="99">
        <v>5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5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126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1, 0))</f>
        <v>1</v>
      </c>
      <c r="X69" s="25" cm="1">
        <f t="array" ref="X69">_xlfn.LET(_xlpm.x, L69:L71, IF(SUM((_xlpm.x="C1")*1)=1, 1, 0))</f>
        <v>0</v>
      </c>
      <c r="Y69" s="25" cm="1">
        <f t="array" ref="Y69">_xlfn.LET(_xlpm.x, M69:M71, IF(SUM((_xlpm.x="C1")*1)=1, 1, 0))</f>
        <v>0</v>
      </c>
      <c r="Z69" s="25">
        <v>1</v>
      </c>
      <c r="AA69" s="25">
        <v>1</v>
      </c>
      <c r="AC69" s="138" t="str">
        <v>G5</v>
      </c>
      <c r="AD69" s="99">
        <v>0</v>
      </c>
      <c r="AE69" s="99">
        <v>5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5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329</v>
      </c>
      <c r="M70" s="16" t="s">
        <v>127</v>
      </c>
      <c r="N70" s="16" t="s">
        <v>36</v>
      </c>
      <c r="O70" s="16" t="s">
        <v>126</v>
      </c>
      <c r="Q70" s="9">
        <v>7</v>
      </c>
      <c r="R70" s="9">
        <v>11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1, 0))</f>
        <v>0</v>
      </c>
      <c r="X70" s="25" cm="1">
        <f t="array" ref="X70">_xlfn.LET(_xlpm.x, L70:L72, IF(SUM((_xlpm.x="C1")*1)=1, 1, 0))</f>
        <v>1</v>
      </c>
      <c r="Y70" s="25" cm="1">
        <f t="array" ref="Y70">_xlfn.LET(_xlpm.x, M70:M72, IF(SUM((_xlpm.x="C1")*1)=1, 1, 0))</f>
        <v>0</v>
      </c>
      <c r="Z70" s="25">
        <v>1</v>
      </c>
      <c r="AA70" s="25">
        <v>1</v>
      </c>
      <c r="AC70" s="138" t="str">
        <v>GA</v>
      </c>
      <c r="AD70" s="99">
        <v>0</v>
      </c>
      <c r="AE70" s="99">
        <v>5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5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88</v>
      </c>
      <c r="M71" s="16" t="s">
        <v>126</v>
      </c>
      <c r="N71" s="16" t="s">
        <v>88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1, 0))</f>
        <v>0</v>
      </c>
      <c r="X71" s="25" cm="1">
        <f t="array" ref="X71">_xlfn.LET(_xlpm.x, L71:L73, IF(SUM((_xlpm.x="C1")*1)=1, 1, 0))</f>
        <v>1</v>
      </c>
      <c r="Y71" s="25" cm="1">
        <f t="array" ref="Y71">_xlfn.LET(_xlpm.x, M71:M73, IF(SUM((_xlpm.x="C1")*1)=1, 1, 0))</f>
        <v>0</v>
      </c>
      <c r="Z71" s="25">
        <v>1</v>
      </c>
      <c r="AA71" s="25">
        <v>1</v>
      </c>
      <c r="AC71" s="138" t="str">
        <v>GK</v>
      </c>
      <c r="AD71" s="99">
        <v>0</v>
      </c>
      <c r="AE71" s="99">
        <v>5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5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126</v>
      </c>
      <c r="L72" s="16" t="s">
        <v>20</v>
      </c>
      <c r="M72" s="16" t="s">
        <v>35</v>
      </c>
      <c r="N72" s="16" t="s">
        <v>36</v>
      </c>
      <c r="O72" s="16" t="s">
        <v>126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1, 0))</f>
        <v>0</v>
      </c>
      <c r="X72" s="25" cm="1">
        <f t="array" ref="X72">_xlfn.LET(_xlpm.x, L72:L74, IF(SUM((_xlpm.x="C1")*1)=1, 1, 0))</f>
        <v>1</v>
      </c>
      <c r="Y72" s="25" cm="1">
        <f t="array" ref="Y72">_xlfn.LET(_xlpm.x, M72:M74, IF(SUM((_xlpm.x="C1")*1)=1, 1, 0))</f>
        <v>0</v>
      </c>
      <c r="Z72" s="25">
        <v>1</v>
      </c>
      <c r="AA72" s="25">
        <v>1</v>
      </c>
      <c r="AC72" s="138" t="str">
        <v>GQ</v>
      </c>
      <c r="AD72" s="99">
        <v>0</v>
      </c>
      <c r="AE72" s="99">
        <v>9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9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36</v>
      </c>
      <c r="L73" s="16" t="s">
        <v>32</v>
      </c>
      <c r="M73" s="16" t="s">
        <v>126</v>
      </c>
      <c r="N73" s="16" t="s">
        <v>126</v>
      </c>
      <c r="O73" s="16" t="s">
        <v>37</v>
      </c>
      <c r="Q73" s="9">
        <v>10</v>
      </c>
      <c r="R73" s="9">
        <v>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1, 0))</f>
        <v>0</v>
      </c>
      <c r="X73" s="25" cm="1">
        <f t="array" ref="X73">_xlfn.LET(_xlpm.x, L73:L75, IF(SUM((_xlpm.x="C1")*1)=1, 1, 0))</f>
        <v>0</v>
      </c>
      <c r="Y73" s="25" cm="1">
        <f t="array" ref="Y73">_xlfn.LET(_xlpm.x, M73:M75, IF(SUM((_xlpm.x="C1")*1)=1, 1, 0))</f>
        <v>0</v>
      </c>
      <c r="Z73" s="25">
        <v>1</v>
      </c>
      <c r="AA73" s="25">
        <v>1</v>
      </c>
      <c r="AC73" s="138" t="str">
        <v>GJ</v>
      </c>
      <c r="AD73" s="99">
        <v>0</v>
      </c>
      <c r="AE73" s="99">
        <v>9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9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1, 0))</f>
        <v>0</v>
      </c>
      <c r="X74" s="25" cm="1">
        <f t="array" ref="X74">_xlfn.LET(_xlpm.x, L74:L76, IF(SUM((_xlpm.x="C1")*1)=1, 1, 0))</f>
        <v>0</v>
      </c>
      <c r="Y74" s="25" cm="1">
        <f t="array" ref="Y74">_xlfn.LET(_xlpm.x, M74:M76, IF(SUM((_xlpm.x="C1")*1)=1, 1, 0))</f>
        <v>0</v>
      </c>
      <c r="Z74" s="25">
        <v>1</v>
      </c>
      <c r="AA74" s="25">
        <v>1</v>
      </c>
      <c r="AD74" s="113">
        <f>SUM(AD54:AD73)</f>
        <v>195</v>
      </c>
      <c r="AE74" s="113">
        <f>SUM(AE54:AE73)</f>
        <v>204</v>
      </c>
      <c r="AF74" s="113">
        <f>SUM(AF54:AF73)</f>
        <v>204</v>
      </c>
      <c r="AG74" s="113">
        <f>SUM(AG54:AG73)</f>
        <v>203</v>
      </c>
      <c r="AH74" s="113">
        <f>SUM(AH54:AH73)</f>
        <v>194</v>
      </c>
      <c r="AI74" s="5"/>
      <c r="AK74" s="113">
        <f>SUM(AK54:AK73)</f>
        <v>195</v>
      </c>
      <c r="AL74" s="113">
        <f>SUM(AL54:AL73)</f>
        <v>204</v>
      </c>
      <c r="AM74" s="113">
        <f>SUM(AM54:AM73)</f>
        <v>204</v>
      </c>
      <c r="AN74" s="113">
        <f>SUM(AN54:AN73)</f>
        <v>203</v>
      </c>
      <c r="AO74" s="113">
        <f>SUM(AO54:AO73)</f>
        <v>194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126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1, 0))</f>
        <v>0</v>
      </c>
      <c r="X75" s="25" cm="1">
        <f t="array" ref="X75">_xlfn.LET(_xlpm.x, L75:L77, IF(SUM((_xlpm.x="C1")*1)=1, 1, 0))</f>
        <v>0</v>
      </c>
      <c r="Y75" s="25" cm="1">
        <f t="array" ref="Y75">_xlfn.LET(_xlpm.x, M75:M77, IF(SUM((_xlpm.x="C1")*1)=1, 1, 0))</f>
        <v>0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22</v>
      </c>
      <c r="M76" s="16" t="s">
        <v>91</v>
      </c>
      <c r="N76" s="16" t="s">
        <v>88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1, 0))</f>
        <v>0</v>
      </c>
      <c r="X76" s="25" cm="1">
        <f t="array" ref="X76">_xlfn.LET(_xlpm.x, L76:L78, IF(SUM((_xlpm.x="C1")*1)=1, 1, 0))</f>
        <v>0</v>
      </c>
      <c r="Y76" s="25" cm="1">
        <f t="array" ref="Y76">_xlfn.LET(_xlpm.x, M76:M78, IF(SUM((_xlpm.x="C1")*1)=1, 1, 0))</f>
        <v>0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91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1, 0))</f>
        <v>0</v>
      </c>
      <c r="X77" s="25" cm="1">
        <f t="array" ref="X77">_xlfn.LET(_xlpm.x, L77:L79, IF(SUM((_xlpm.x="C1")*1)=1, 1, 0))</f>
        <v>0</v>
      </c>
      <c r="Y77" s="25" cm="1">
        <f t="array" ref="Y77">_xlfn.LET(_xlpm.x, M77:M79, IF(SUM((_xlpm.x="C1")*1)=1, 1, 0))</f>
        <v>0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126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1, 0))</f>
        <v>0</v>
      </c>
      <c r="X78" s="25" cm="1">
        <f t="array" ref="X78">_xlfn.LET(_xlpm.x, L78:L80, IF(SUM((_xlpm.x="C1")*1)=1, 1, 0))</f>
        <v>0</v>
      </c>
      <c r="Y78" s="25" cm="1">
        <f t="array" ref="Y78">_xlfn.LET(_xlpm.x, M78:M80, IF(SUM((_xlpm.x="C1")*1)=1, 1, 0))</f>
        <v>0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90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1, 0))</f>
        <v>0</v>
      </c>
      <c r="X79" s="25" cm="1">
        <f t="array" ref="X79">_xlfn.LET(_xlpm.x, L79:L81, IF(SUM((_xlpm.x="C1")*1)=1, 1, 0))</f>
        <v>0</v>
      </c>
      <c r="Y79" s="25" cm="1">
        <f t="array" ref="Y79">_xlfn.LET(_xlpm.x, M79:M81, IF(SUM((_xlpm.x="C1")*1)=1, 1, 0))</f>
        <v>0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1, 0))</f>
        <v>0</v>
      </c>
      <c r="X80" s="25" cm="1">
        <f t="array" ref="X80">_xlfn.LET(_xlpm.x, L80:L82, IF(SUM((_xlpm.x="C1")*1)=1, 1, 0))</f>
        <v>0</v>
      </c>
      <c r="Y80" s="25" cm="1">
        <f t="array" ref="Y80">_xlfn.LET(_xlpm.x, M80:M82, IF(SUM((_xlpm.x="C1")*1)=1, 1, 0))</f>
        <v>0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126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1, 0))</f>
        <v>0</v>
      </c>
      <c r="X81" s="25" cm="1">
        <f t="array" ref="X81">_xlfn.LET(_xlpm.x, L81:L83, IF(SUM((_xlpm.x="C1")*1)=1, 1, 0))</f>
        <v>0</v>
      </c>
      <c r="Y81" s="25" cm="1">
        <f t="array" ref="Y81">_xlfn.LET(_xlpm.x, M81:M83, IF(SUM((_xlpm.x="C1")*1)=1, 1, 0))</f>
        <v>0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89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1, 0))</f>
        <v>0</v>
      </c>
      <c r="X82" s="25" cm="1">
        <f t="array" ref="X82">_xlfn.LET(_xlpm.x, L82:L84, IF(SUM((_xlpm.x="C1")*1)=1, 1, 0))</f>
        <v>0</v>
      </c>
      <c r="Y82" s="25" cm="1">
        <f t="array" ref="Y82">_xlfn.LET(_xlpm.x, M82:M84, IF(SUM((_xlpm.x="C1")*1)=1, 1, 0))</f>
        <v>0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126</v>
      </c>
      <c r="L83" s="16" t="s">
        <v>36</v>
      </c>
      <c r="M83" s="16" t="s">
        <v>126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1, 0))</f>
        <v>0</v>
      </c>
      <c r="X83" s="25" cm="1">
        <f t="array" ref="X83">_xlfn.LET(_xlpm.x, L83:L85, IF(SUM((_xlpm.x="C1")*1)=1, 1, 0))</f>
        <v>0</v>
      </c>
      <c r="Y83" s="25" cm="1">
        <f t="array" ref="Y83">_xlfn.LET(_xlpm.x, M83:M85, IF(SUM((_xlpm.x="C1")*1)=1, 1, 0))</f>
        <v>0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112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1, 0))</f>
        <v>0</v>
      </c>
      <c r="X84" s="25" cm="1">
        <f t="array" ref="X84">_xlfn.LET(_xlpm.x, L84:L86, IF(SUM((_xlpm.x="C1")*1)=1, 1, 0))</f>
        <v>0</v>
      </c>
      <c r="Y84" s="25" cm="1">
        <f t="array" ref="Y84">_xlfn.LET(_xlpm.x, M84:M86, IF(SUM((_xlpm.x="C1")*1)=1, 1, 0))</f>
        <v>0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1, 0))</f>
        <v>0</v>
      </c>
      <c r="X85" s="25" cm="1">
        <f t="array" ref="X85">_xlfn.LET(_xlpm.x, L85:L87, IF(SUM((_xlpm.x="C1")*1)=1, 1, 0))</f>
        <v>0</v>
      </c>
      <c r="Y85" s="25" cm="1">
        <f t="array" ref="Y85">_xlfn.LET(_xlpm.x, M85:M87, IF(SUM((_xlpm.x="C1")*1)=1, 1, 0))</f>
        <v>0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1, 0))</f>
        <v>0</v>
      </c>
      <c r="X86" s="25" cm="1">
        <f t="array" ref="X86">_xlfn.LET(_xlpm.x, L86:L88, IF(SUM((_xlpm.x="C1")*1)=1, 1, 0))</f>
        <v>0</v>
      </c>
      <c r="Y86" s="25" cm="1">
        <f t="array" ref="Y86">_xlfn.LET(_xlpm.x, M86:M88, IF(SUM((_xlpm.x="C1")*1)=1, 1, 0))</f>
        <v>0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126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1, 0))</f>
        <v>1</v>
      </c>
      <c r="X87" s="25" cm="1">
        <f t="array" ref="X87">_xlfn.LET(_xlpm.x, L87:L89, IF(SUM((_xlpm.x="C1")*1)=1, 1, 0))</f>
        <v>0</v>
      </c>
      <c r="Y87" s="25" cm="1">
        <f t="array" ref="Y87">_xlfn.LET(_xlpm.x, M87:M89, IF(SUM((_xlpm.x="C1")*1)=1, 1, 0))</f>
        <v>0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126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1, 0))</f>
        <v>1</v>
      </c>
      <c r="X88" s="25" cm="1">
        <f t="array" ref="X88">_xlfn.LET(_xlpm.x, L88:L90, IF(SUM((_xlpm.x="C1")*1)=1, 1, 0))</f>
        <v>0</v>
      </c>
      <c r="Y88" s="25" cm="1">
        <f t="array" ref="Y88">_xlfn.LET(_xlpm.x, M88:M90, IF(SUM((_xlpm.x="C1")*1)=1, 1, 0))</f>
        <v>0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88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1, 0))</f>
        <v>1</v>
      </c>
      <c r="X89" s="25" cm="1">
        <f t="array" ref="X89">_xlfn.LET(_xlpm.x, L89:L91, IF(SUM((_xlpm.x="C1")*1)=1, 1, 0))</f>
        <v>1</v>
      </c>
      <c r="Y89" s="25" cm="1">
        <f t="array" ref="Y89">_xlfn.LET(_xlpm.x, M89:M91, IF(SUM((_xlpm.x="C1")*1)=1, 1, 0))</f>
        <v>0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1, 0))</f>
        <v>0</v>
      </c>
      <c r="X90" s="25" cm="1">
        <f t="array" ref="X90">_xlfn.LET(_xlpm.x, L90:L92, IF(SUM((_xlpm.x="C1")*1)=1, 1, 0))</f>
        <v>1</v>
      </c>
      <c r="Y90" s="25" cm="1">
        <f t="array" ref="Y90">_xlfn.LET(_xlpm.x, M90:M92, IF(SUM((_xlpm.x="C1")*1)=1, 1, 0))</f>
        <v>0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89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1, 0))</f>
        <v>0</v>
      </c>
      <c r="X91" s="25" cm="1">
        <f t="array" ref="X91">_xlfn.LET(_xlpm.x, L91:L93, IF(SUM((_xlpm.x="C1")*1)=1, 1, 0))</f>
        <v>1</v>
      </c>
      <c r="Y91" s="25" cm="1">
        <f t="array" ref="Y91">_xlfn.LET(_xlpm.x, M91:M93, IF(SUM((_xlpm.x="C1")*1)=1, 1, 0))</f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126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1, 0))</f>
        <v>0</v>
      </c>
      <c r="X92" s="25" cm="1">
        <f t="array" ref="X92">_xlfn.LET(_xlpm.x, L92:L94, IF(SUM((_xlpm.x="C1")*1)=1, 1, 0))</f>
        <v>0</v>
      </c>
      <c r="Y92" s="25" cm="1">
        <f t="array" ref="Y92">_xlfn.LET(_xlpm.x, M92:M94, IF(SUM((_xlpm.x="C1")*1)=1, 1, 0))</f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1, 0))</f>
        <v>0</v>
      </c>
      <c r="X93" s="25" cm="1">
        <f t="array" ref="X93">_xlfn.LET(_xlpm.x, L93:L95, IF(SUM((_xlpm.x="C1")*1)=1, 1, 0))</f>
        <v>0</v>
      </c>
      <c r="Y93" s="25" cm="1">
        <f t="array" ref="Y93">_xlfn.LET(_xlpm.x, M93:M95, IF(SUM((_xlpm.x="C1")*1)=1, 1, 0))</f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126</v>
      </c>
      <c r="L94" s="16" t="s">
        <v>36</v>
      </c>
      <c r="M94" s="16" t="s">
        <v>92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1, 0))</f>
        <v>0</v>
      </c>
      <c r="X94" s="25" cm="1">
        <f t="array" ref="X94">_xlfn.LET(_xlpm.x, L94:L96, IF(SUM((_xlpm.x="C1")*1)=1, 1, 0))</f>
        <v>0</v>
      </c>
      <c r="Y94" s="25" cm="1">
        <f t="array" ref="Y94">_xlfn.LET(_xlpm.x, M94:M96, IF(SUM((_xlpm.x="C1")*1)=1, 1, 0))</f>
        <v>0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1, 0))</f>
        <v>0</v>
      </c>
      <c r="X95" s="25" cm="1">
        <f t="array" ref="X95">_xlfn.LET(_xlpm.x, L95:L97, IF(SUM((_xlpm.x="C1")*1)=1, 1, 0))</f>
        <v>0</v>
      </c>
      <c r="Y95" s="25" cm="1">
        <f t="array" ref="Y95">_xlfn.LET(_xlpm.x, M95:M97, IF(SUM((_xlpm.x="C1")*1)=1, 1, 0))</f>
        <v>0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88</v>
      </c>
      <c r="M96" s="16" t="s">
        <v>126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1, 0))</f>
        <v>0</v>
      </c>
      <c r="X96" s="25" cm="1">
        <f t="array" ref="X96">_xlfn.LET(_xlpm.x, L96:L98, IF(SUM((_xlpm.x="C1")*1)=1, 1, 0))</f>
        <v>0</v>
      </c>
      <c r="Y96" s="25" cm="1">
        <f t="array" ref="Y96">_xlfn.LET(_xlpm.x, M96:M98, IF(SUM((_xlpm.x="C1")*1)=1, 1, 0))</f>
        <v>0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112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1, 0))</f>
        <v>0</v>
      </c>
      <c r="X97" s="25" cm="1">
        <f t="array" ref="X97">_xlfn.LET(_xlpm.x, L97:L99, IF(SUM((_xlpm.x="C1")*1)=1, 1, 0))</f>
        <v>0</v>
      </c>
      <c r="Y97" s="25" cm="1">
        <f t="array" ref="Y97">_xlfn.LET(_xlpm.x, M97:M99, IF(SUM((_xlpm.x="C1")*1)=1, 1, 0))</f>
        <v>0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89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1, 0))</f>
        <v>0</v>
      </c>
      <c r="X98" s="25" cm="1">
        <f t="array" ref="X98">_xlfn.LET(_xlpm.x, L98:L100, IF(SUM((_xlpm.x="C1")*1)=1, 1, 0))</f>
        <v>0</v>
      </c>
      <c r="Y98" s="25" cm="1">
        <f t="array" ref="Y98">_xlfn.LET(_xlpm.x, M98:M100, IF(SUM((_xlpm.x="C1")*1)=1, 1, 0))</f>
        <v>0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1, 0))</f>
        <v>0</v>
      </c>
      <c r="X99" s="25" cm="1">
        <f t="array" ref="X99">_xlfn.LET(_xlpm.x, L99:L101, IF(SUM((_xlpm.x="C1")*1)=1, 1, 0))</f>
        <v>0</v>
      </c>
      <c r="Y99" s="25" cm="1">
        <f t="array" ref="Y99">_xlfn.LET(_xlpm.x, M99:M101, IF(SUM((_xlpm.x="C1")*1)=1, 1, 0))</f>
        <v>0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1, 0))</f>
        <v>1</v>
      </c>
      <c r="X100" s="25" cm="1">
        <f t="array" ref="X100">_xlfn.LET(_xlpm.x, L100:L102, IF(SUM((_xlpm.x="C1")*1)=1, 1, 0))</f>
        <v>0</v>
      </c>
      <c r="Y100" s="25" cm="1">
        <f t="array" ref="Y100">_xlfn.LET(_xlpm.x, M100:M102, IF(SUM((_xlpm.x="C1")*1)=1, 1, 0))</f>
        <v>0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1, 0))</f>
        <v>1</v>
      </c>
      <c r="X101" s="25" cm="1">
        <f t="array" ref="X101">_xlfn.LET(_xlpm.x, L101:L103, IF(SUM((_xlpm.x="C1")*1)=1, 1, 0))</f>
        <v>0</v>
      </c>
      <c r="Y101" s="25" cm="1">
        <f t="array" ref="Y101">_xlfn.LET(_xlpm.x, M101:M103, IF(SUM((_xlpm.x="C1")*1)=1, 1, 0))</f>
        <v>0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88</v>
      </c>
      <c r="M102" s="16" t="s">
        <v>19</v>
      </c>
      <c r="N102" s="16" t="s">
        <v>19</v>
      </c>
      <c r="O102" s="16" t="s">
        <v>126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1, 0))</f>
        <v>1</v>
      </c>
      <c r="X102" s="25" cm="1">
        <f t="array" ref="X102">_xlfn.LET(_xlpm.x, L102:L104, IF(SUM((_xlpm.x="C1")*1)=1, 1, 0))</f>
        <v>0</v>
      </c>
      <c r="Y102" s="25" cm="1">
        <f t="array" ref="Y102">_xlfn.LET(_xlpm.x, M102:M104, IF(SUM((_xlpm.x="C1")*1)=1, 1, 0))</f>
        <v>0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328</v>
      </c>
      <c r="L103" s="16" t="s">
        <v>127</v>
      </c>
      <c r="M103" s="16" t="s">
        <v>35</v>
      </c>
      <c r="N103" s="16" t="s">
        <v>34</v>
      </c>
      <c r="O103" s="16" t="s">
        <v>34</v>
      </c>
      <c r="Q103" s="9">
        <v>6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1, 0))</f>
        <v>0</v>
      </c>
      <c r="X103" s="25" cm="1">
        <f t="array" ref="X103">_xlfn.LET(_xlpm.x, L103:L105, IF(SUM((_xlpm.x="C1")*1)=1, 1, 0))</f>
        <v>0</v>
      </c>
      <c r="Y103" s="25" cm="1">
        <f t="array" ref="Y103">_xlfn.LET(_xlpm.x, M103:M105, IF(SUM((_xlpm.x="C1")*1)=1, 1, 0))</f>
        <v>0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328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6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1, 0))</f>
        <v>0</v>
      </c>
      <c r="X104" s="25" cm="1">
        <f t="array" ref="X104">_xlfn.LET(_xlpm.x, L104:L106, IF(SUM((_xlpm.x="C1")*1)=1, 1, 0))</f>
        <v>0</v>
      </c>
      <c r="Y104" s="25" cm="1">
        <f t="array" ref="Y104">_xlfn.LET(_xlpm.x, M104:M106, IF(SUM((_xlpm.x="C1")*1)=1, 1, 0))</f>
        <v>0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126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1, 0))</f>
        <v>0</v>
      </c>
      <c r="X105" s="25" cm="1">
        <f t="array" ref="X105">_xlfn.LET(_xlpm.x, L105:L107, IF(SUM((_xlpm.x="C1")*1)=1, 1, 0))</f>
        <v>0</v>
      </c>
      <c r="Y105" s="25" cm="1">
        <f t="array" ref="Y105">_xlfn.LET(_xlpm.x, M105:M107, IF(SUM((_xlpm.x="C1")*1)=1, 1, 0))</f>
        <v>0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126</v>
      </c>
      <c r="M106" s="16" t="s">
        <v>126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1, 0))</f>
        <v>0</v>
      </c>
      <c r="X106" s="25" cm="1">
        <f t="array" ref="X106">_xlfn.LET(_xlpm.x, L106:L108, IF(SUM((_xlpm.x="C1")*1)=1, 1, 0))</f>
        <v>0</v>
      </c>
      <c r="Y106" s="25" cm="1">
        <f t="array" ref="Y106">_xlfn.LET(_xlpm.x, M106:M108, IF(SUM((_xlpm.x="C1")*1)=1, 1, 0))</f>
        <v>0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126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1, 0))</f>
        <v>0</v>
      </c>
      <c r="X107" s="25" cm="1">
        <f t="array" ref="X107">_xlfn.LET(_xlpm.x, L107:L109, IF(SUM((_xlpm.x="C1")*1)=1, 1, 0))</f>
        <v>0</v>
      </c>
      <c r="Y107" s="25" cm="1">
        <f t="array" ref="Y107">_xlfn.LET(_xlpm.x, M107:M109, IF(SUM((_xlpm.x="C1")*1)=1, 1, 0))</f>
        <v>0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1, 0))</f>
        <v>0</v>
      </c>
      <c r="X108" s="25" cm="1">
        <f t="array" ref="X108">_xlfn.LET(_xlpm.x, L108:L110, IF(SUM((_xlpm.x="C1")*1)=1, 1, 0))</f>
        <v>0</v>
      </c>
      <c r="Y108" s="25" cm="1">
        <f t="array" ref="Y108">_xlfn.LET(_xlpm.x, M108:M110, IF(SUM((_xlpm.x="C1")*1)=1, 1, 0))</f>
        <v>0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1, 0))</f>
        <v>0</v>
      </c>
      <c r="X109" s="25" cm="1">
        <f t="array" ref="X109">_xlfn.LET(_xlpm.x, L109:L111, IF(SUM((_xlpm.x="C1")*1)=1, 1, 0))</f>
        <v>0</v>
      </c>
      <c r="Y109" s="25" cm="1">
        <f t="array" ref="Y109">_xlfn.LET(_xlpm.x, M109:M111, IF(SUM((_xlpm.x="C1")*1)=1, 1, 0))</f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1, 0))</f>
        <v>0</v>
      </c>
      <c r="X110" s="25" cm="1">
        <f t="array" ref="X110">_xlfn.LET(_xlpm.x, L110:L112, IF(SUM((_xlpm.x="C1")*1)=1, 1, 0))</f>
        <v>0</v>
      </c>
      <c r="Y110" s="25" cm="1">
        <f t="array" ref="Y110">_xlfn.LET(_xlpm.x, M110:M112, IF(SUM((_xlpm.x="C1")*1)=1, 1, 0))</f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97</v>
      </c>
      <c r="M111" s="16" t="s">
        <v>20</v>
      </c>
      <c r="N111" s="16" t="s">
        <v>126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1, 0))</f>
        <v>0</v>
      </c>
      <c r="X111" s="25" cm="1">
        <f t="array" ref="X111">_xlfn.LET(_xlpm.x, L111:L113, IF(SUM((_xlpm.x="C1")*1)=1, 1, 0))</f>
        <v>0</v>
      </c>
      <c r="Y111" s="25" cm="1">
        <f t="array" ref="Y111">_xlfn.LET(_xlpm.x, M111:M113, IF(SUM((_xlpm.x="C1")*1)=1, 1, 0))</f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95</v>
      </c>
      <c r="M112" s="16" t="s">
        <v>127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1, 0))</f>
        <v>0</v>
      </c>
      <c r="X112" s="25" cm="1">
        <f t="array" ref="X112">_xlfn.LET(_xlpm.x, L112:L114, IF(SUM((_xlpm.x="C1")*1)=1, 1, 0))</f>
        <v>0</v>
      </c>
      <c r="Y112" s="25" cm="1">
        <f t="array" ref="Y112">_xlfn.LET(_xlpm.x, M112:M114, IF(SUM((_xlpm.x="C1")*1)=1, 1, 0))</f>
        <v>0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126</v>
      </c>
      <c r="M113" s="16" t="s">
        <v>92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1, 0))</f>
        <v>0</v>
      </c>
      <c r="X113" s="25" cm="1">
        <f t="array" ref="X113">_xlfn.LET(_xlpm.x, L113:L115, IF(SUM((_xlpm.x="C1")*1)=1, 1, 0))</f>
        <v>0</v>
      </c>
      <c r="Y113" s="25" cm="1">
        <f t="array" ref="Y113">_xlfn.LET(_xlpm.x, M113:M115, IF(SUM((_xlpm.x="C1")*1)=1, 1, 0))</f>
        <v>0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126</v>
      </c>
      <c r="L114" s="16" t="s">
        <v>112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1, 0))</f>
        <v>0</v>
      </c>
      <c r="X114" s="25" cm="1">
        <f t="array" ref="X114">_xlfn.LET(_xlpm.x, L114:L116, IF(SUM((_xlpm.x="C1")*1)=1, 1, 0))</f>
        <v>0</v>
      </c>
      <c r="Y114" s="25" cm="1">
        <f t="array" ref="Y114">_xlfn.LET(_xlpm.x, M114:M116, IF(SUM((_xlpm.x="C1")*1)=1, 1, 0))</f>
        <v>0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1, 0))</f>
        <v>0</v>
      </c>
      <c r="X115" s="25" cm="1">
        <f t="array" ref="X115">_xlfn.LET(_xlpm.x, L115:L117, IF(SUM((_xlpm.x="C1")*1)=1, 1, 0))</f>
        <v>0</v>
      </c>
      <c r="Y115" s="25" cm="1">
        <f t="array" ref="Y115">_xlfn.LET(_xlpm.x, M115:M117, IF(SUM((_xlpm.x="C1")*1)=1, 1, 0))</f>
        <v>0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126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1, 0))</f>
        <v>0</v>
      </c>
      <c r="X116" s="25" cm="1">
        <f t="array" ref="X116">_xlfn.LET(_xlpm.x, L116:L118, IF(SUM((_xlpm.x="C1")*1)=1, 1, 0))</f>
        <v>0</v>
      </c>
      <c r="Y116" s="25" cm="1">
        <f t="array" ref="Y116">_xlfn.LET(_xlpm.x, M116:M118, IF(SUM((_xlpm.x="C1")*1)=1, 1, 0))</f>
        <v>0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126</v>
      </c>
      <c r="L117" s="16" t="s">
        <v>34</v>
      </c>
      <c r="M117" s="16" t="s">
        <v>112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1, 0))</f>
        <v>0</v>
      </c>
      <c r="X117" s="25" cm="1">
        <f t="array" ref="X117">_xlfn.LET(_xlpm.x, L117:L119, IF(SUM((_xlpm.x="C1")*1)=1, 1, 0))</f>
        <v>0</v>
      </c>
      <c r="Y117" s="25" cm="1">
        <f t="array" ref="Y117">_xlfn.LET(_xlpm.x, M117:M119, IF(SUM((_xlpm.x="C1")*1)=1, 1, 0))</f>
        <v>0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90</v>
      </c>
      <c r="M118" s="16" t="s">
        <v>37</v>
      </c>
      <c r="N118" s="16" t="s">
        <v>22</v>
      </c>
      <c r="O118" s="16" t="s">
        <v>126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1, 0))</f>
        <v>0</v>
      </c>
      <c r="X118" s="25" cm="1">
        <f t="array" ref="X118">_xlfn.LET(_xlpm.x, L118:L120, IF(SUM((_xlpm.x="C1")*1)=1, 1, 0))</f>
        <v>0</v>
      </c>
      <c r="Y118" s="25" cm="1">
        <f t="array" ref="Y118">_xlfn.LET(_xlpm.x, M118:M120, IF(SUM((_xlpm.x="C1")*1)=1, 1, 0))</f>
        <v>0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126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1, 0))</f>
        <v>0</v>
      </c>
      <c r="X119" s="25" cm="1">
        <f t="array" ref="X119">_xlfn.LET(_xlpm.x, L119:L121, IF(SUM((_xlpm.x="C1")*1)=1, 1, 0))</f>
        <v>0</v>
      </c>
      <c r="Y119" s="25" cm="1">
        <f t="array" ref="Y119">_xlfn.LET(_xlpm.x, M119:M121, IF(SUM((_xlpm.x="C1")*1)=1, 1, 0))</f>
        <v>0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91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1, 0))</f>
        <v>0</v>
      </c>
      <c r="X120" s="25" cm="1">
        <f t="array" ref="X120">_xlfn.LET(_xlpm.x, L120:L122, IF(SUM((_xlpm.x="C1")*1)=1, 1, 0))</f>
        <v>0</v>
      </c>
      <c r="Y120" s="25" cm="1">
        <f t="array" ref="Y120">_xlfn.LET(_xlpm.x, M120:M122, IF(SUM((_xlpm.x="C1")*1)=1, 1, 0))</f>
        <v>0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126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1, 0))</f>
        <v>0</v>
      </c>
      <c r="X121" s="25" cm="1">
        <f t="array" ref="X121">_xlfn.LET(_xlpm.x, L121:L123, IF(SUM((_xlpm.x="C1")*1)=1, 1, 0))</f>
        <v>0</v>
      </c>
      <c r="Y121" s="25" cm="1">
        <f t="array" ref="Y121">_xlfn.LET(_xlpm.x, M121:M123, IF(SUM((_xlpm.x="C1")*1)=1, 1, 0))</f>
        <v>0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1, 0))</f>
        <v>0</v>
      </c>
      <c r="X122" s="25" cm="1">
        <f t="array" ref="X122">_xlfn.LET(_xlpm.x, L122:L124, IF(SUM((_xlpm.x="C1")*1)=1, 1, 0))</f>
        <v>0</v>
      </c>
      <c r="Y122" s="25" cm="1">
        <f t="array" ref="Y122">_xlfn.LET(_xlpm.x, M122:M124, IF(SUM((_xlpm.x="C1")*1)=1, 1, 0))</f>
        <v>0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1, 0))</f>
        <v>0</v>
      </c>
      <c r="X123" s="25" cm="1">
        <f t="array" ref="X123">_xlfn.LET(_xlpm.x, L123:L125, IF(SUM((_xlpm.x="C1")*1)=1, 1, 0))</f>
        <v>0</v>
      </c>
      <c r="Y123" s="25" cm="1">
        <f t="array" ref="Y123">_xlfn.LET(_xlpm.x, M123:M125, IF(SUM((_xlpm.x="C1")*1)=1, 1, 0))</f>
        <v>0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126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1, 0))</f>
        <v>0</v>
      </c>
      <c r="X124" s="25" cm="1">
        <f t="array" ref="X124">_xlfn.LET(_xlpm.x, L124:L126, IF(SUM((_xlpm.x="C1")*1)=1, 1, 0))</f>
        <v>0</v>
      </c>
      <c r="Y124" s="25" cm="1">
        <f t="array" ref="Y124">_xlfn.LET(_xlpm.x, M124:M126, IF(SUM((_xlpm.x="C1")*1)=1, 1, 0))</f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126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1, 0))</f>
        <v>0</v>
      </c>
      <c r="X125" s="25" cm="1">
        <f t="array" ref="X125">_xlfn.LET(_xlpm.x, L125:L127, IF(SUM((_xlpm.x="C1")*1)=1, 1, 0))</f>
        <v>0</v>
      </c>
      <c r="Y125" s="25" cm="1">
        <f t="array" ref="Y125">_xlfn.LET(_xlpm.x, M125:M127, IF(SUM((_xlpm.x="C1")*1)=1, 1, 0))</f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126</v>
      </c>
      <c r="L126" s="16" t="s">
        <v>34</v>
      </c>
      <c r="M126" s="16" t="s">
        <v>20</v>
      </c>
      <c r="N126" s="16" t="s">
        <v>90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1, 0))</f>
        <v>0</v>
      </c>
      <c r="X126" s="25" cm="1">
        <f t="array" ref="X126">_xlfn.LET(_xlpm.x, L126:L128, IF(SUM((_xlpm.x="C1")*1)=1, 1, 0))</f>
        <v>0</v>
      </c>
      <c r="Y126" s="25" cm="1">
        <f t="array" ref="Y126">_xlfn.LET(_xlpm.x, M126:M128, IF(SUM((_xlpm.x="C1")*1)=1, 1, 0))</f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89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1, 0))</f>
        <v>0</v>
      </c>
      <c r="X127" s="25" cm="1">
        <f t="array" ref="X127">_xlfn.LET(_xlpm.x, L127:L129, IF(SUM((_xlpm.x="C1")*1)=1, 1, 0))</f>
        <v>0</v>
      </c>
      <c r="Y127" s="25" cm="1">
        <f t="array" ref="Y127">_xlfn.LET(_xlpm.x, M127:M129, IF(SUM((_xlpm.x="C1")*1)=1, 1, 0))</f>
        <v>0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97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1, 0))</f>
        <v>0</v>
      </c>
      <c r="X128" s="25" cm="1">
        <f t="array" ref="X128">_xlfn.LET(_xlpm.x, L128:L130, IF(SUM((_xlpm.x="C1")*1)=1, 1, 0))</f>
        <v>0</v>
      </c>
      <c r="Y128" s="25" cm="1">
        <f t="array" ref="Y128">_xlfn.LET(_xlpm.x, M128:M130, IF(SUM((_xlpm.x="C1")*1)=1, 1, 0))</f>
        <v>0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1, 0))</f>
        <v>0</v>
      </c>
      <c r="X129" s="25" cm="1">
        <f t="array" ref="X129">_xlfn.LET(_xlpm.x, L129:L131, IF(SUM((_xlpm.x="C1")*1)=1, 1, 0))</f>
        <v>0</v>
      </c>
      <c r="Y129" s="25" cm="1">
        <f t="array" ref="Y129">_xlfn.LET(_xlpm.x, M129:M131, IF(SUM((_xlpm.x="C1")*1)=1, 1, 0))</f>
        <v>0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95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1, 0))</f>
        <v>0</v>
      </c>
      <c r="X130" s="25" cm="1">
        <f t="array" ref="X130">_xlfn.LET(_xlpm.x, L130:L132, IF(SUM((_xlpm.x="C1")*1)=1, 1, 0))</f>
        <v>0</v>
      </c>
      <c r="Y130" s="25" cm="1">
        <f t="array" ref="Y130">_xlfn.LET(_xlpm.x, M130:M132, IF(SUM((_xlpm.x="C1")*1)=1, 1, 0))</f>
        <v>0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126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1, 0))</f>
        <v>0</v>
      </c>
      <c r="X131" s="25" cm="1">
        <f t="array" ref="X131">_xlfn.LET(_xlpm.x, L131:L133, IF(SUM((_xlpm.x="C1")*1)=1, 1, 0))</f>
        <v>0</v>
      </c>
      <c r="Y131" s="25" cm="1">
        <f t="array" ref="Y131">_xlfn.LET(_xlpm.x, M131:M133, IF(SUM((_xlpm.x="C1")*1)=1, 1, 0))</f>
        <v>0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126</v>
      </c>
      <c r="L132" s="16" t="s">
        <v>97</v>
      </c>
      <c r="M132" s="16" t="s">
        <v>37</v>
      </c>
      <c r="N132" s="16" t="s">
        <v>126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1, 0))</f>
        <v>0</v>
      </c>
      <c r="X132" s="25" cm="1">
        <f t="array" ref="X132">_xlfn.LET(_xlpm.x, L132:L134, IF(SUM((_xlpm.x="C1")*1)=1, 1, 0))</f>
        <v>0</v>
      </c>
      <c r="Y132" s="25" cm="1">
        <f t="array" ref="Y132">_xlfn.LET(_xlpm.x, M132:M134, IF(SUM((_xlpm.x="C1")*1)=1, 1, 0))</f>
        <v>0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97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1, 0))</f>
        <v>0</v>
      </c>
      <c r="X133" s="25" cm="1">
        <f t="array" ref="X133">_xlfn.LET(_xlpm.x, L133:L135, IF(SUM((_xlpm.x="C1")*1)=1, 1, 0))</f>
        <v>0</v>
      </c>
      <c r="Y133" s="25" cm="1">
        <f t="array" ref="Y133">_xlfn.LET(_xlpm.x, M133:M135, IF(SUM((_xlpm.x="C1")*1)=1, 1, 0))</f>
        <v>0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1, 0))</f>
        <v>0</v>
      </c>
      <c r="X134" s="25" cm="1">
        <f t="array" ref="X134">_xlfn.LET(_xlpm.x, L134:L136, IF(SUM((_xlpm.x="C1")*1)=1, 1, 0))</f>
        <v>0</v>
      </c>
      <c r="Y134" s="25" cm="1">
        <f t="array" ref="Y134">_xlfn.LET(_xlpm.x, M134:M136, IF(SUM((_xlpm.x="C1")*1)=1, 1, 0))</f>
        <v>0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90</v>
      </c>
      <c r="M135" s="16" t="s">
        <v>37</v>
      </c>
      <c r="N135" s="16" t="s">
        <v>19</v>
      </c>
      <c r="O135" s="16" t="s">
        <v>126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1, 0))</f>
        <v>0</v>
      </c>
      <c r="X135" s="25" cm="1">
        <f t="array" ref="X135">_xlfn.LET(_xlpm.x, L135:L137, IF(SUM((_xlpm.x="C1")*1)=1, 1, 0))</f>
        <v>0</v>
      </c>
      <c r="Y135" s="25" cm="1">
        <f t="array" ref="Y135">_xlfn.LET(_xlpm.x, M135:M137, IF(SUM((_xlpm.x="C1")*1)=1, 1, 0))</f>
        <v>0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92</v>
      </c>
      <c r="N136" s="16" t="s">
        <v>89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1, 0))</f>
        <v>0</v>
      </c>
      <c r="X136" s="25" cm="1">
        <f t="array" ref="X136">_xlfn.LET(_xlpm.x, L136:L138, IF(SUM((_xlpm.x="C1")*1)=1, 1, 0))</f>
        <v>0</v>
      </c>
      <c r="Y136" s="25" cm="1">
        <f t="array" ref="Y136">_xlfn.LET(_xlpm.x, M136:M138, IF(SUM((_xlpm.x="C1")*1)=1, 1, 0))</f>
        <v>0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126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1, 0))</f>
        <v>0</v>
      </c>
      <c r="X137" s="25" cm="1">
        <f t="array" ref="X137">_xlfn.LET(_xlpm.x, L137:L139, IF(SUM((_xlpm.x="C1")*1)=1, 1, 0))</f>
        <v>0</v>
      </c>
      <c r="Y137" s="25" cm="1">
        <f t="array" ref="Y137">_xlfn.LET(_xlpm.x, M137:M139, IF(SUM((_xlpm.x="C1")*1)=1, 1, 0))</f>
        <v>0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1, 0))</f>
        <v>0</v>
      </c>
      <c r="X138" s="25" cm="1">
        <f t="array" ref="X138">_xlfn.LET(_xlpm.x, L138:L140, IF(SUM((_xlpm.x="C1")*1)=1, 1, 0))</f>
        <v>0</v>
      </c>
      <c r="Y138" s="25" cm="1">
        <f t="array" ref="Y138">_xlfn.LET(_xlpm.x, M138:M140, IF(SUM((_xlpm.x="C1")*1)=1, 1, 0))</f>
        <v>0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95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1, 0))</f>
        <v>0</v>
      </c>
      <c r="X139" s="25" cm="1">
        <f t="array" ref="X139">_xlfn.LET(_xlpm.x, L139:L141, IF(SUM((_xlpm.x="C1")*1)=1, 1, 0))</f>
        <v>0</v>
      </c>
      <c r="Y139" s="25" cm="1">
        <f t="array" ref="Y139">_xlfn.LET(_xlpm.x, M139:M141, IF(SUM((_xlpm.x="C1")*1)=1, 1, 0))</f>
        <v>0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1, 0))</f>
        <v>0</v>
      </c>
      <c r="X140" s="25" cm="1">
        <f t="array" ref="X140">_xlfn.LET(_xlpm.x, L140:L142, IF(SUM((_xlpm.x="C1")*1)=1, 1, 0))</f>
        <v>0</v>
      </c>
      <c r="Y140" s="25" cm="1">
        <f t="array" ref="Y140">_xlfn.LET(_xlpm.x, M140:M142, IF(SUM((_xlpm.x="C1")*1)=1, 1, 0))</f>
        <v>0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37</v>
      </c>
      <c r="M141" s="16" t="s">
        <v>126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1, 0))</f>
        <v>0</v>
      </c>
      <c r="X141" s="25" cm="1">
        <f t="array" ref="X141">_xlfn.LET(_xlpm.x, L141:L143, IF(SUM((_xlpm.x="C1")*1)=1, 1, 0))</f>
        <v>0</v>
      </c>
      <c r="Y141" s="25" cm="1">
        <f t="array" ref="Y141">_xlfn.LET(_xlpm.x, M141:M143, IF(SUM((_xlpm.x="C1")*1)=1, 1, 0))</f>
        <v>0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112</v>
      </c>
      <c r="N142" s="16" t="s">
        <v>126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1, 0))</f>
        <v>0</v>
      </c>
      <c r="X142" s="25" cm="1">
        <f t="array" ref="X142">_xlfn.LET(_xlpm.x, L142:L144, IF(SUM((_xlpm.x="C1")*1)=1, 1, 0))</f>
        <v>0</v>
      </c>
      <c r="Y142" s="25" cm="1">
        <f t="array" ref="Y142">_xlfn.LET(_xlpm.x, M142:M144, IF(SUM((_xlpm.x="C1")*1)=1, 1, 0))</f>
        <v>0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1, 0))</f>
        <v>0</v>
      </c>
      <c r="X143" s="25" cm="1">
        <f t="array" ref="X143">_xlfn.LET(_xlpm.x, L143:L145, IF(SUM((_xlpm.x="C1")*1)=1, 1, 0))</f>
        <v>0</v>
      </c>
      <c r="Y143" s="25" cm="1">
        <f t="array" ref="Y143">_xlfn.LET(_xlpm.x, M143:M145, IF(SUM((_xlpm.x="C1")*1)=1, 1, 0))</f>
        <v>0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126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1, 0))</f>
        <v>0</v>
      </c>
      <c r="X144" s="25" cm="1">
        <f t="array" ref="X144">_xlfn.LET(_xlpm.x, L144:L146, IF(SUM((_xlpm.x="C1")*1)=1, 1, 0))</f>
        <v>0</v>
      </c>
      <c r="Y144" s="25" cm="1">
        <f t="array" ref="Y144">_xlfn.LET(_xlpm.x, M144:M146, IF(SUM((_xlpm.x="C1")*1)=1, 1, 0))</f>
        <v>0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1, 0))</f>
        <v>0</v>
      </c>
      <c r="X145" s="25" cm="1">
        <f t="array" ref="X145">_xlfn.LET(_xlpm.x, L145:L147, IF(SUM((_xlpm.x="C1")*1)=1, 1, 0))</f>
        <v>0</v>
      </c>
      <c r="Y145" s="25" cm="1">
        <f t="array" ref="Y145">_xlfn.LET(_xlpm.x, M145:M147, IF(SUM((_xlpm.x="C1")*1)=1, 1, 0))</f>
        <v>0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126</v>
      </c>
      <c r="L146" s="16" t="s">
        <v>126</v>
      </c>
      <c r="M146" s="16" t="s">
        <v>19</v>
      </c>
      <c r="N146" s="16" t="s">
        <v>19</v>
      </c>
      <c r="O146" s="16" t="s">
        <v>126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1, 0))</f>
        <v>0</v>
      </c>
      <c r="X146" s="25" cm="1">
        <f t="array" ref="X146">_xlfn.LET(_xlpm.x, L146:L148, IF(SUM((_xlpm.x="C1")*1)=1, 1, 0))</f>
        <v>0</v>
      </c>
      <c r="Y146" s="25" cm="1">
        <f t="array" ref="Y146">_xlfn.LET(_xlpm.x, M146:M148, IF(SUM((_xlpm.x="C1")*1)=1, 1, 0))</f>
        <v>0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89</v>
      </c>
      <c r="M147" s="16" t="s">
        <v>126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1, 0))</f>
        <v>0</v>
      </c>
      <c r="X147" s="25" cm="1">
        <f t="array" ref="X147">_xlfn.LET(_xlpm.x, L147:L149, IF(SUM((_xlpm.x="C1")*1)=1, 1, 0))</f>
        <v>1</v>
      </c>
      <c r="Y147" s="25" cm="1">
        <f t="array" ref="Y147">_xlfn.LET(_xlpm.x, M147:M149, IF(SUM((_xlpm.x="C1")*1)=1, 1, 0))</f>
        <v>0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126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1, 0))</f>
        <v>0</v>
      </c>
      <c r="X148" s="25" cm="1">
        <f t="array" ref="X148">_xlfn.LET(_xlpm.x, L148:L150, IF(SUM((_xlpm.x="C1")*1)=1, 1, 0))</f>
        <v>1</v>
      </c>
      <c r="Y148" s="25" cm="1">
        <f t="array" ref="Y148">_xlfn.LET(_xlpm.x, M148:M150, IF(SUM((_xlpm.x="C1")*1)=1, 1, 0))</f>
        <v>0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1, 0))</f>
        <v>0</v>
      </c>
      <c r="X149" s="25" cm="1">
        <f t="array" ref="X149">_xlfn.LET(_xlpm.x, L149:L151, IF(SUM((_xlpm.x="C1")*1)=1, 1, 0))</f>
        <v>1</v>
      </c>
      <c r="Y149" s="25" cm="1">
        <f t="array" ref="Y149">_xlfn.LET(_xlpm.x, M149:M151, IF(SUM((_xlpm.x="C1")*1)=1, 1, 0))</f>
        <v>0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26</v>
      </c>
      <c r="M150" s="16" t="s">
        <v>37</v>
      </c>
      <c r="N150" s="16" t="s">
        <v>18</v>
      </c>
      <c r="O150" s="16" t="s">
        <v>126</v>
      </c>
      <c r="Q150" s="9">
        <v>7</v>
      </c>
      <c r="R150" s="9">
        <v>2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1, 0))</f>
        <v>0</v>
      </c>
      <c r="X150" s="25" cm="1">
        <f t="array" ref="X150">_xlfn.LET(_xlpm.x, L150:L152, IF(SUM((_xlpm.x="C1")*1)=1, 1, 0))</f>
        <v>0</v>
      </c>
      <c r="Y150" s="25" cm="1">
        <f t="array" ref="Y150">_xlfn.LET(_xlpm.x, M150:M152, IF(SUM((_xlpm.x="C1")*1)=1, 1, 0))</f>
        <v>0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126</v>
      </c>
      <c r="L151" s="16" t="s">
        <v>26</v>
      </c>
      <c r="M151" s="16" t="s">
        <v>126</v>
      </c>
      <c r="N151" s="16" t="s">
        <v>18</v>
      </c>
      <c r="O151" s="16" t="s">
        <v>21</v>
      </c>
      <c r="Q151" s="9">
        <v>6</v>
      </c>
      <c r="R151" s="9">
        <v>2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1, 0))</f>
        <v>0</v>
      </c>
      <c r="X151" s="25" cm="1">
        <f t="array" ref="X151">_xlfn.LET(_xlpm.x, L151:L153, IF(SUM((_xlpm.x="C1")*1)=1, 1, 0))</f>
        <v>0</v>
      </c>
      <c r="Y151" s="25" cm="1">
        <f t="array" ref="Y151">_xlfn.LET(_xlpm.x, M151:M153, IF(SUM((_xlpm.x="C1")*1)=1, 1, 0))</f>
        <v>0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1, 0))</f>
        <v>0</v>
      </c>
      <c r="X152" s="25" cm="1">
        <f t="array" ref="X152">_xlfn.LET(_xlpm.x, L152:L154, IF(SUM((_xlpm.x="C1")*1)=1, 1, 0))</f>
        <v>0</v>
      </c>
      <c r="Y152" s="25" cm="1">
        <f t="array" ref="Y152">_xlfn.LET(_xlpm.x, M152:M154, IF(SUM((_xlpm.x="C1")*1)=1, 1, 0))</f>
        <v>0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90</v>
      </c>
      <c r="O153" s="16" t="s">
        <v>126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1, 0))</f>
        <v>0</v>
      </c>
      <c r="X153" s="25" cm="1">
        <f t="array" ref="X153">_xlfn.LET(_xlpm.x, L153:L155, IF(SUM((_xlpm.x="C1")*1)=1, 1, 0))</f>
        <v>0</v>
      </c>
      <c r="Y153" s="25" cm="1">
        <f t="array" ref="Y153">_xlfn.LET(_xlpm.x, M153:M155, IF(SUM((_xlpm.x="C1")*1)=1, 1, 0))</f>
        <v>0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92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1, 0))</f>
        <v>0</v>
      </c>
      <c r="X154" s="25" cm="1">
        <f t="array" ref="X154">_xlfn.LET(_xlpm.x, L154:L156, IF(SUM((_xlpm.x="C1")*1)=1, 1, 0))</f>
        <v>0</v>
      </c>
      <c r="Y154" s="25" cm="1">
        <f t="array" ref="Y154">_xlfn.LET(_xlpm.x, M154:M156, IF(SUM((_xlpm.x="C1")*1)=1, 1, 0))</f>
        <v>0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126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1, 0))</f>
        <v>0</v>
      </c>
      <c r="X155" s="25" cm="1">
        <f t="array" ref="X155">_xlfn.LET(_xlpm.x, L155:L157, IF(SUM((_xlpm.x="C1")*1)=1, 1, 0))</f>
        <v>0</v>
      </c>
      <c r="Y155" s="25" cm="1">
        <f t="array" ref="Y155">_xlfn.LET(_xlpm.x, M155:M157, IF(SUM((_xlpm.x="C1")*1)=1, 1, 0))</f>
        <v>0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126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1, 0))</f>
        <v>0</v>
      </c>
      <c r="X156" s="25" cm="1">
        <f t="array" ref="X156">_xlfn.LET(_xlpm.x, L156:L158, IF(SUM((_xlpm.x="C1")*1)=1, 1, 0))</f>
        <v>0</v>
      </c>
      <c r="Y156" s="25" cm="1">
        <f t="array" ref="Y156">_xlfn.LET(_xlpm.x, M156:M158, IF(SUM((_xlpm.x="C1")*1)=1, 1, 0))</f>
        <v>0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126</v>
      </c>
      <c r="L157" s="16" t="s">
        <v>21</v>
      </c>
      <c r="M157" s="16" t="s">
        <v>19</v>
      </c>
      <c r="N157" s="16" t="s">
        <v>92</v>
      </c>
      <c r="O157" s="16" t="s">
        <v>126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1, 0))</f>
        <v>0</v>
      </c>
      <c r="X157" s="25" cm="1">
        <f t="array" ref="X157">_xlfn.LET(_xlpm.x, L157:L159, IF(SUM((_xlpm.x="C1")*1)=1, 1, 0))</f>
        <v>0</v>
      </c>
      <c r="Y157" s="25" cm="1">
        <f t="array" ref="Y157">_xlfn.LET(_xlpm.x, M157:M159, IF(SUM((_xlpm.x="C1")*1)=1, 1, 0))</f>
        <v>0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1, 0))</f>
        <v>1</v>
      </c>
      <c r="X158" s="25" cm="1">
        <f t="array" ref="X158">_xlfn.LET(_xlpm.x, L158:L160, IF(SUM((_xlpm.x="C1")*1)=1, 1, 0))</f>
        <v>0</v>
      </c>
      <c r="Y158" s="25" cm="1">
        <f t="array" ref="Y158">_xlfn.LET(_xlpm.x, M158:M160, IF(SUM((_xlpm.x="C1")*1)=1, 1, 0))</f>
        <v>0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1, 0))</f>
        <v>1</v>
      </c>
      <c r="X159" s="25" cm="1">
        <f t="array" ref="X159">_xlfn.LET(_xlpm.x, L159:L161, IF(SUM((_xlpm.x="C1")*1)=1, 1, 0))</f>
        <v>0</v>
      </c>
      <c r="Y159" s="25" cm="1">
        <f t="array" ref="Y159">_xlfn.LET(_xlpm.x, M159:M161, IF(SUM((_xlpm.x="C1")*1)=1, 1, 0))</f>
        <v>0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126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1, 0))</f>
        <v>1</v>
      </c>
      <c r="X160" s="25" cm="1">
        <f t="array" ref="X160">_xlfn.LET(_xlpm.x, L160:L162, IF(SUM((_xlpm.x="C1")*1)=1, 1, 0))</f>
        <v>0</v>
      </c>
      <c r="Y160" s="25" cm="1">
        <f t="array" ref="Y160">_xlfn.LET(_xlpm.x, M160:M162, IF(SUM((_xlpm.x="C1")*1)=1, 1, 0))</f>
        <v>0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126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1, 0))</f>
        <v>0</v>
      </c>
      <c r="X161" s="25" cm="1">
        <f t="array" ref="X161">_xlfn.LET(_xlpm.x, L161:L163, IF(SUM((_xlpm.x="C1")*1)=1, 1, 0))</f>
        <v>0</v>
      </c>
      <c r="Y161" s="25" cm="1">
        <f t="array" ref="Y161">_xlfn.LET(_xlpm.x, M161:M163, IF(SUM((_xlpm.x="C1")*1)=1, 1, 0))</f>
        <v>0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23</v>
      </c>
      <c r="L162" s="16" t="s">
        <v>36</v>
      </c>
      <c r="M162" s="16" t="s">
        <v>126</v>
      </c>
      <c r="N162" s="16" t="s">
        <v>34</v>
      </c>
      <c r="O162" s="16" t="s">
        <v>126</v>
      </c>
      <c r="Q162" s="9">
        <v>7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1, 0))</f>
        <v>0</v>
      </c>
      <c r="X162" s="25" cm="1">
        <f t="array" ref="X162">_xlfn.LET(_xlpm.x, L162:L164, IF(SUM((_xlpm.x="C1")*1)=1, 1, 0))</f>
        <v>0</v>
      </c>
      <c r="Y162" s="25" cm="1">
        <f t="array" ref="Y162">_xlfn.LET(_xlpm.x, M162:M164, IF(SUM((_xlpm.x="C1")*1)=1, 1, 0))</f>
        <v>0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18</v>
      </c>
      <c r="M163" s="16" t="s">
        <v>126</v>
      </c>
      <c r="N163" s="16" t="s">
        <v>34</v>
      </c>
      <c r="O163" s="16" t="s">
        <v>126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1, 0))</f>
        <v>0</v>
      </c>
      <c r="X163" s="25" cm="1">
        <f t="array" ref="X163">_xlfn.LET(_xlpm.x, L163:L165, IF(SUM((_xlpm.x="C1")*1)=1, 1, 0))</f>
        <v>0</v>
      </c>
      <c r="Y163" s="25" cm="1">
        <f t="array" ref="Y163">_xlfn.LET(_xlpm.x, M163:M165, IF(SUM((_xlpm.x="C1")*1)=1, 1, 0))</f>
        <v>0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1, 0))</f>
        <v>0</v>
      </c>
      <c r="X164" s="25" cm="1">
        <f t="array" ref="X164">_xlfn.LET(_xlpm.x, L164:L166, IF(SUM((_xlpm.x="C1")*1)=1, 1, 0))</f>
        <v>0</v>
      </c>
      <c r="Y164" s="25" cm="1">
        <f t="array" ref="Y164">_xlfn.LET(_xlpm.x, M164:M166, IF(SUM((_xlpm.x="C1")*1)=1, 1, 0))</f>
        <v>0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88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1, 0))</f>
        <v>0</v>
      </c>
      <c r="X165" s="25" cm="1">
        <f t="array" ref="X165">_xlfn.LET(_xlpm.x, L165:L167, IF(SUM((_xlpm.x="C1")*1)=1, 1, 0))</f>
        <v>0</v>
      </c>
      <c r="Y165" s="25" cm="1">
        <f t="array" ref="Y165">_xlfn.LET(_xlpm.x, M165:M167, IF(SUM((_xlpm.x="C1")*1)=1, 1, 0))</f>
        <v>0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126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1, 0))</f>
        <v>0</v>
      </c>
      <c r="X166" s="25" cm="1">
        <f t="array" ref="X166">_xlfn.LET(_xlpm.x, L166:L168, IF(SUM((_xlpm.x="C1")*1)=1, 1, 0))</f>
        <v>0</v>
      </c>
      <c r="Y166" s="25" cm="1">
        <f t="array" ref="Y166">_xlfn.LET(_xlpm.x, M166:M168, IF(SUM((_xlpm.x="C1")*1)=1, 1, 0))</f>
        <v>0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1, 0))</f>
        <v>0</v>
      </c>
      <c r="X167" s="25" cm="1">
        <f t="array" ref="X167">_xlfn.LET(_xlpm.x, L167:L169, IF(SUM((_xlpm.x="C1")*1)=1, 1, 0))</f>
        <v>0</v>
      </c>
      <c r="Y167" s="25" cm="1">
        <f t="array" ref="Y167">_xlfn.LET(_xlpm.x, M167:M169, IF(SUM((_xlpm.x="C1")*1)=1, 1, 0))</f>
        <v>0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90</v>
      </c>
      <c r="M168" s="16" t="s">
        <v>126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1, 0))</f>
        <v>0</v>
      </c>
      <c r="X168" s="25" cm="1">
        <f t="array" ref="X168">_xlfn.LET(_xlpm.x, L168:L170, IF(SUM((_xlpm.x="C1")*1)=1, 1, 0))</f>
        <v>0</v>
      </c>
      <c r="Y168" s="25" cm="1">
        <f t="array" ref="Y168">_xlfn.LET(_xlpm.x, M168:M170, IF(SUM((_xlpm.x="C1")*1)=1, 1, 0))</f>
        <v>0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126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1, 0))</f>
        <v>0</v>
      </c>
      <c r="X169" s="25" cm="1">
        <f t="array" ref="X169">_xlfn.LET(_xlpm.x, L169:L171, IF(SUM((_xlpm.x="C1")*1)=1, 1, 0))</f>
        <v>0</v>
      </c>
      <c r="Y169" s="25" cm="1">
        <f t="array" ref="Y169">_xlfn.LET(_xlpm.x, M169:M171, IF(SUM((_xlpm.x="C1")*1)=1, 1, 0))</f>
        <v>0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126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1, 0))</f>
        <v>0</v>
      </c>
      <c r="X170" s="25" cm="1">
        <f t="array" ref="X170">_xlfn.LET(_xlpm.x, L170:L172, IF(SUM((_xlpm.x="C1")*1)=1, 1, 0))</f>
        <v>0</v>
      </c>
      <c r="Y170" s="25" cm="1">
        <f t="array" ref="Y170">_xlfn.LET(_xlpm.x, M170:M172, IF(SUM((_xlpm.x="C1")*1)=1, 1, 0))</f>
        <v>0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1, 0))</f>
        <v>0</v>
      </c>
      <c r="X171" s="25" cm="1">
        <f t="array" ref="X171">_xlfn.LET(_xlpm.x, L171:L173, IF(SUM((_xlpm.x="C1")*1)=1, 1, 0))</f>
        <v>0</v>
      </c>
      <c r="Y171" s="25" cm="1">
        <f t="array" ref="Y171">_xlfn.LET(_xlpm.x, M171:M173, IF(SUM((_xlpm.x="C1")*1)=1, 1, 0))</f>
        <v>0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22</v>
      </c>
      <c r="M172" s="16" t="s">
        <v>126</v>
      </c>
      <c r="N172" s="16" t="s">
        <v>126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1, 0))</f>
        <v>0</v>
      </c>
      <c r="X172" s="25" cm="1">
        <f t="array" ref="X172">_xlfn.LET(_xlpm.x, L172:L174, IF(SUM((_xlpm.x="C1")*1)=1, 1, 0))</f>
        <v>0</v>
      </c>
      <c r="Y172" s="25" cm="1">
        <f t="array" ref="Y172">_xlfn.LET(_xlpm.x, M172:M174, IF(SUM((_xlpm.x="C1")*1)=1, 1, 0))</f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1, 0))</f>
        <v>0</v>
      </c>
      <c r="X173" s="25" cm="1">
        <f t="array" ref="X173">_xlfn.LET(_xlpm.x, L173:L175, IF(SUM((_xlpm.x="C1")*1)=1, 1, 0))</f>
        <v>0</v>
      </c>
      <c r="Y173" s="25" cm="1">
        <f t="array" ref="Y173">_xlfn.LET(_xlpm.x, M173:M175, IF(SUM((_xlpm.x="C1")*1)=1, 1, 0))</f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126</v>
      </c>
      <c r="L174" s="16" t="s">
        <v>37</v>
      </c>
      <c r="M174" s="16" t="s">
        <v>20</v>
      </c>
      <c r="N174" s="16" t="s">
        <v>126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1, 0))</f>
        <v>0</v>
      </c>
      <c r="X174" s="25" cm="1">
        <f t="array" ref="X174">_xlfn.LET(_xlpm.x, L174:L176, IF(SUM((_xlpm.x="C1")*1)=1, 1, 0))</f>
        <v>0</v>
      </c>
      <c r="Y174" s="25" cm="1">
        <f t="array" ref="Y174">_xlfn.LET(_xlpm.x, M174:M176, IF(SUM((_xlpm.x="C1")*1)=1, 1, 0))</f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1, 0))</f>
        <v>0</v>
      </c>
      <c r="X175" s="25" cm="1">
        <f t="array" ref="X175">_xlfn.LET(_xlpm.x, L175:L177, IF(SUM((_xlpm.x="C1")*1)=1, 1, 0))</f>
        <v>0</v>
      </c>
      <c r="Y175" s="25" cm="1">
        <f t="array" ref="Y175">_xlfn.LET(_xlpm.x, M175:M177, IF(SUM((_xlpm.x="C1")*1)=1, 1, 0))</f>
        <v>0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126</v>
      </c>
      <c r="L176" s="16" t="s">
        <v>18</v>
      </c>
      <c r="M176" s="16" t="s">
        <v>35</v>
      </c>
      <c r="N176" s="16" t="s">
        <v>91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1, 0))</f>
        <v>0</v>
      </c>
      <c r="X176" s="25" cm="1">
        <f t="array" ref="X176">_xlfn.LET(_xlpm.x, L176:L178, IF(SUM((_xlpm.x="C1")*1)=1, 1, 0))</f>
        <v>0</v>
      </c>
      <c r="Y176" s="25" cm="1">
        <f t="array" ref="Y176">_xlfn.LET(_xlpm.x, M176:M178, IF(SUM((_xlpm.x="C1")*1)=1, 1, 0))</f>
        <v>0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126</v>
      </c>
      <c r="L177" s="16" t="s">
        <v>90</v>
      </c>
      <c r="M177" s="16" t="s">
        <v>19</v>
      </c>
      <c r="N177" s="16" t="s">
        <v>95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1, 0))</f>
        <v>1</v>
      </c>
      <c r="X177" s="25" cm="1">
        <f t="array" ref="X177">_xlfn.LET(_xlpm.x, L177:L179, IF(SUM((_xlpm.x="C1")*1)=1, 1, 0))</f>
        <v>0</v>
      </c>
      <c r="Y177" s="25" cm="1">
        <f t="array" ref="Y177">_xlfn.LET(_xlpm.x, M177:M179, IF(SUM((_xlpm.x="C1")*1)=1, 1, 0))</f>
        <v>0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126</v>
      </c>
      <c r="L178" s="16" t="s">
        <v>21</v>
      </c>
      <c r="M178" s="16" t="s">
        <v>35</v>
      </c>
      <c r="N178" s="16" t="s">
        <v>97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1, 0))</f>
        <v>1</v>
      </c>
      <c r="X178" s="25" cm="1">
        <f t="array" ref="X178">_xlfn.LET(_xlpm.x, L178:L180, IF(SUM((_xlpm.x="C1")*1)=1, 1, 0))</f>
        <v>0</v>
      </c>
      <c r="Y178" s="25" cm="1">
        <f t="array" ref="Y178">_xlfn.LET(_xlpm.x, M178:M180, IF(SUM((_xlpm.x="C1")*1)=1, 1, 0))</f>
        <v>0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1, 0))</f>
        <v>1</v>
      </c>
      <c r="X179" s="25" cm="1">
        <f t="array" ref="X179">_xlfn.LET(_xlpm.x, L179:L181, IF(SUM((_xlpm.x="C1")*1)=1, 1, 0))</f>
        <v>0</v>
      </c>
      <c r="Y179" s="25" cm="1">
        <f t="array" ref="Y179">_xlfn.LET(_xlpm.x, M179:M181, IF(SUM((_xlpm.x="C1")*1)=1, 1, 0))</f>
        <v>0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1, 0))</f>
        <v>0</v>
      </c>
      <c r="X180" s="25" cm="1">
        <f t="array" ref="X180">_xlfn.LET(_xlpm.x, L180:L182, IF(SUM((_xlpm.x="C1")*1)=1, 1, 0))</f>
        <v>0</v>
      </c>
      <c r="Y180" s="25" cm="1">
        <f t="array" ref="Y180">_xlfn.LET(_xlpm.x, M180:M182, IF(SUM((_xlpm.x="C1")*1)=1, 1, 0))</f>
        <v>0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328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6</v>
      </c>
      <c r="R181" s="9">
        <v>2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1, 0))</f>
        <v>0</v>
      </c>
      <c r="X181" s="25" cm="1">
        <f t="array" ref="X181">_xlfn.LET(_xlpm.x, L181:L183, IF(SUM((_xlpm.x="C1")*1)=1, 1, 0))</f>
        <v>0</v>
      </c>
      <c r="Y181" s="25" cm="1">
        <f t="array" ref="Y181">_xlfn.LET(_xlpm.x, M181:M183, IF(SUM((_xlpm.x="C1")*1)=1, 1, 0))</f>
        <v>0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1, 0))</f>
        <v>0</v>
      </c>
      <c r="X182" s="25" cm="1">
        <f t="array" ref="X182">_xlfn.LET(_xlpm.x, L182:L184, IF(SUM((_xlpm.x="C1")*1)=1, 1, 0))</f>
        <v>0</v>
      </c>
      <c r="Y182" s="25" cm="1">
        <f t="array" ref="Y182">_xlfn.LET(_xlpm.x, M182:M184, IF(SUM((_xlpm.x="C1")*1)=1, 1, 0))</f>
        <v>0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126</v>
      </c>
      <c r="N183" s="16" t="s">
        <v>35</v>
      </c>
      <c r="O183" s="16" t="s">
        <v>126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1, 0))</f>
        <v>0</v>
      </c>
      <c r="X183" s="25" cm="1">
        <f t="array" ref="X183">_xlfn.LET(_xlpm.x, L183:L185, IF(SUM((_xlpm.x="C1")*1)=1, 1, 0))</f>
        <v>0</v>
      </c>
      <c r="Y183" s="25" cm="1">
        <f t="array" ref="Y183">_xlfn.LET(_xlpm.x, M183:M185, IF(SUM((_xlpm.x="C1")*1)=1, 1, 0))</f>
        <v>0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127</v>
      </c>
      <c r="M184" s="16" t="s">
        <v>126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1, 0))</f>
        <v>0</v>
      </c>
      <c r="X184" s="25" cm="1">
        <f t="array" ref="X184">_xlfn.LET(_xlpm.x, L184:L186, IF(SUM((_xlpm.x="C1")*1)=1, 1, 0))</f>
        <v>0</v>
      </c>
      <c r="Y184" s="25" cm="1">
        <f t="array" ref="Y184">_xlfn.LET(_xlpm.x, M184:M186, IF(SUM((_xlpm.x="C1")*1)=1, 1, 0))</f>
        <v>0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1, 0))</f>
        <v>0</v>
      </c>
      <c r="X185" s="25" cm="1">
        <f t="array" ref="X185">_xlfn.LET(_xlpm.x, L185:L187, IF(SUM((_xlpm.x="C1")*1)=1, 1, 0))</f>
        <v>0</v>
      </c>
      <c r="Y185" s="25" cm="1">
        <f t="array" ref="Y185">_xlfn.LET(_xlpm.x, M185:M187, IF(SUM((_xlpm.x="C1")*1)=1, 1, 0))</f>
        <v>0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126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1, 0))</f>
        <v>0</v>
      </c>
      <c r="X186" s="25" cm="1">
        <f t="array" ref="X186">_xlfn.LET(_xlpm.x, L186:L188, IF(SUM((_xlpm.x="C1")*1)=1, 1, 0))</f>
        <v>0</v>
      </c>
      <c r="Y186" s="25" cm="1">
        <f t="array" ref="Y186">_xlfn.LET(_xlpm.x, M186:M188, IF(SUM((_xlpm.x="C1")*1)=1, 1, 0))</f>
        <v>0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127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1, 0))</f>
        <v>0</v>
      </c>
      <c r="X187" s="25" cm="1">
        <f t="array" ref="X187">_xlfn.LET(_xlpm.x, L187:L189, IF(SUM((_xlpm.x="C1")*1)=1, 1, 0))</f>
        <v>1</v>
      </c>
      <c r="Y187" s="25" cm="1">
        <f t="array" ref="Y187">_xlfn.LET(_xlpm.x, M187:M189, IF(SUM((_xlpm.x="C1")*1)=1, 1, 0))</f>
        <v>0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90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1, 0))</f>
        <v>0</v>
      </c>
      <c r="X188" s="25" cm="1">
        <f t="array" ref="X188">_xlfn.LET(_xlpm.x, L188:L190, IF(SUM((_xlpm.x="C1")*1)=1, 1, 0))</f>
        <v>1</v>
      </c>
      <c r="Y188" s="25" cm="1">
        <f t="array" ref="Y188">_xlfn.LET(_xlpm.x, M188:M190, IF(SUM((_xlpm.x="C1")*1)=1, 1, 0))</f>
        <v>0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1, 0))</f>
        <v>0</v>
      </c>
      <c r="X189" s="25" cm="1">
        <f t="array" ref="X189">_xlfn.LET(_xlpm.x, L189:L191, IF(SUM((_xlpm.x="C1")*1)=1, 1, 0))</f>
        <v>1</v>
      </c>
      <c r="Y189" s="25" cm="1">
        <f t="array" ref="Y189">_xlfn.LET(_xlpm.x, M189:M191, IF(SUM((_xlpm.x="C1")*1)=1, 1, 0))</f>
        <v>0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95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1, 0))</f>
        <v>0</v>
      </c>
      <c r="X190" s="25" cm="1">
        <f t="array" ref="X190">_xlfn.LET(_xlpm.x, L190:L192, IF(SUM((_xlpm.x="C1")*1)=1, 1, 0))</f>
        <v>0</v>
      </c>
      <c r="Y190" s="25" cm="1">
        <f t="array" ref="Y190">_xlfn.LET(_xlpm.x, M190:M192, IF(SUM((_xlpm.x="C1")*1)=1, 1, 0))</f>
        <v>0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126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1, 0))</f>
        <v>0</v>
      </c>
      <c r="X191" s="25" cm="1">
        <f t="array" ref="X191">_xlfn.LET(_xlpm.x, L191:L193, IF(SUM((_xlpm.x="C1")*1)=1, 1, 0))</f>
        <v>0</v>
      </c>
      <c r="Y191" s="25" cm="1">
        <f t="array" ref="Y191">_xlfn.LET(_xlpm.x, M191:M193, IF(SUM((_xlpm.x="C1")*1)=1, 1, 0))</f>
        <v>0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126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1, 0))</f>
        <v>0</v>
      </c>
      <c r="X192" s="25" cm="1">
        <f t="array" ref="X192">_xlfn.LET(_xlpm.x, L192:L194, IF(SUM((_xlpm.x="C1")*1)=1, 1, 0))</f>
        <v>0</v>
      </c>
      <c r="Y192" s="25" cm="1">
        <f t="array" ref="Y192">_xlfn.LET(_xlpm.x, M192:M194, IF(SUM((_xlpm.x="C1")*1)=1, 1, 0))</f>
        <v>0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1, 0))</f>
        <v>0</v>
      </c>
      <c r="X193" s="25" cm="1">
        <f t="array" ref="X193">_xlfn.LET(_xlpm.x, L193:L195, IF(SUM((_xlpm.x="C1")*1)=1, 1, 0))</f>
        <v>0</v>
      </c>
      <c r="Y193" s="25" cm="1">
        <f t="array" ref="Y193">_xlfn.LET(_xlpm.x, M193:M195, IF(SUM((_xlpm.x="C1")*1)=1, 1, 0))</f>
        <v>0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18</v>
      </c>
      <c r="M194" s="16" t="s">
        <v>126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1, 0))</f>
        <v>0</v>
      </c>
      <c r="X194" s="25" cm="1">
        <f t="array" ref="X194">_xlfn.LET(_xlpm.x, L194:L196, IF(SUM((_xlpm.x="C1")*1)=1, 1, 0))</f>
        <v>0</v>
      </c>
      <c r="Y194" s="25" cm="1">
        <f t="array" ref="Y194">_xlfn.LET(_xlpm.x, M194:M196, IF(SUM((_xlpm.x="C1")*1)=1, 1, 0))</f>
        <v>0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126</v>
      </c>
      <c r="M195" s="16" t="s">
        <v>34</v>
      </c>
      <c r="N195" s="16" t="s">
        <v>97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1, 0))</f>
        <v>0</v>
      </c>
      <c r="X195" s="25" cm="1">
        <f t="array" ref="X195">_xlfn.LET(_xlpm.x, L195:L197, IF(SUM((_xlpm.x="C1")*1)=1, 1, 0))</f>
        <v>0</v>
      </c>
      <c r="Y195" s="25" cm="1">
        <f t="array" ref="Y195">_xlfn.LET(_xlpm.x, M195:M197, IF(SUM((_xlpm.x="C1")*1)=1, 1, 0))</f>
        <v>0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126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1, 0))</f>
        <v>0</v>
      </c>
      <c r="X196" s="25" cm="1">
        <f t="array" ref="X196">_xlfn.LET(_xlpm.x, L196:L198, IF(SUM((_xlpm.x="C1")*1)=1, 1, 0))</f>
        <v>0</v>
      </c>
      <c r="Y196" s="25" cm="1">
        <f t="array" ref="Y196">_xlfn.LET(_xlpm.x, M196:M198, IF(SUM((_xlpm.x="C1")*1)=1, 1, 0))</f>
        <v>0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92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1, 0))</f>
        <v>0</v>
      </c>
      <c r="X197" s="25" cm="1">
        <f t="array" ref="X197">_xlfn.LET(_xlpm.x, L197:L199, IF(SUM((_xlpm.x="C1")*1)=1, 1, 0))</f>
        <v>0</v>
      </c>
      <c r="Y197" s="25" cm="1">
        <f t="array" ref="Y197">_xlfn.LET(_xlpm.x, M197:M199, IF(SUM((_xlpm.x="C1")*1)=1, 1, 0))</f>
        <v>0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1, 0))</f>
        <v>0</v>
      </c>
      <c r="X198" s="25" cm="1">
        <f t="array" ref="X198">_xlfn.LET(_xlpm.x, L198:L200, IF(SUM((_xlpm.x="C1")*1)=1, 1, 0))</f>
        <v>0</v>
      </c>
      <c r="Y198" s="25" cm="1">
        <f t="array" ref="Y198">_xlfn.LET(_xlpm.x, M198:M200, IF(SUM((_xlpm.x="C1")*1)=1, 1, 0))</f>
        <v>0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1, 0))</f>
        <v>0</v>
      </c>
      <c r="X199" s="25" cm="1">
        <f t="array" ref="X199">_xlfn.LET(_xlpm.x, L199:L201, IF(SUM((_xlpm.x="C1")*1)=1, 1, 0))</f>
        <v>0</v>
      </c>
      <c r="Y199" s="25" cm="1">
        <f t="array" ref="Y199">_xlfn.LET(_xlpm.x, M199:M201, IF(SUM((_xlpm.x="C1")*1)=1, 1, 0))</f>
        <v>0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126</v>
      </c>
      <c r="L200" s="16" t="s">
        <v>95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1, 0))</f>
        <v>0</v>
      </c>
      <c r="X200" s="25" cm="1">
        <f t="array" ref="X200">_xlfn.LET(_xlpm.x, L200:L202, IF(SUM((_xlpm.x="C1")*1)=1, 1, 0))</f>
        <v>0</v>
      </c>
      <c r="Y200" s="25" cm="1">
        <f t="array" ref="Y200">_xlfn.LET(_xlpm.x, M200:M202, IF(SUM((_xlpm.x="C1")*1)=1, 1, 0))</f>
        <v>0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126</v>
      </c>
      <c r="N201" s="16" t="s">
        <v>34</v>
      </c>
      <c r="O201" s="16" t="s">
        <v>126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1, 0))</f>
        <v>0</v>
      </c>
      <c r="X201" s="25" cm="1">
        <f t="array" ref="X201">_xlfn.LET(_xlpm.x, L201:L203, IF(SUM((_xlpm.x="C1")*1)=1, 1, 0))</f>
        <v>0</v>
      </c>
      <c r="Y201" s="25" cm="1">
        <f t="array" ref="Y201">_xlfn.LET(_xlpm.x, M201:M203, IF(SUM((_xlpm.x="C1")*1)=1, 1, 0))</f>
        <v>0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126</v>
      </c>
      <c r="L202" s="16" t="s">
        <v>19</v>
      </c>
      <c r="M202" s="16" t="s">
        <v>35</v>
      </c>
      <c r="N202" s="16" t="s">
        <v>127</v>
      </c>
      <c r="O202" s="16" t="s">
        <v>126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1, 0))</f>
        <v>0</v>
      </c>
      <c r="X202" s="25" cm="1">
        <f t="array" ref="X202">_xlfn.LET(_xlpm.x, L202:L204, IF(SUM((_xlpm.x="C1")*1)=1, 1, 0))</f>
        <v>0</v>
      </c>
      <c r="Y202" s="25" cm="1">
        <f t="array" ref="Y202">_xlfn.LET(_xlpm.x, M202:M204, IF(SUM((_xlpm.x="C1")*1)=1, 1, 0))</f>
        <v>0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89</v>
      </c>
      <c r="M203" s="16" t="s">
        <v>35</v>
      </c>
      <c r="N203" s="16" t="s">
        <v>89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1, 0))</f>
        <v>0</v>
      </c>
      <c r="X203" s="25" cm="1">
        <f t="array" ref="X203">_xlfn.LET(_xlpm.x, L203:L205, IF(SUM((_xlpm.x="C1")*1)=1, 1, 0))</f>
        <v>0</v>
      </c>
      <c r="Y203" s="25" cm="1">
        <f t="array" ref="Y203">_xlfn.LET(_xlpm.x, M203:M205, IF(SUM((_xlpm.x="C1")*1)=1, 1, 0))</f>
        <v>0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17" priority="31">
      <formula>_xlfn.LET(_xlpm.x, W4, AND(NOT(_xlfn.ISFORMULA(_xlpm.x)), _xlpm.x&lt;&gt;""))</formula>
    </cfRule>
  </conditionalFormatting>
  <conditionalFormatting sqref="W4:AA203">
    <cfRule type="expression" dxfId="16" priority="26">
      <formula>_xlfn.LET(_xlpm.x, W4, AND(NOT(_xlfn.ISFORMULA(_xlpm.x)), _xlpm.x&lt;&gt;""))</formula>
    </cfRule>
  </conditionalFormatting>
  <conditionalFormatting sqref="C28:G46 D27:G27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{15DEC6DB-B348-43EF-9E51-2AF83D9270BE}</x14:id>
        </ext>
      </extLst>
    </cfRule>
  </conditionalFormatting>
  <conditionalFormatting sqref="D52:D54">
    <cfRule type="cellIs" dxfId="15" priority="13" operator="equal">
      <formula>"C1"</formula>
    </cfRule>
    <cfRule type="cellIs" dxfId="14" priority="14" operator="between">
      <formula>"G1"</formula>
      <formula>"G4"</formula>
    </cfRule>
    <cfRule type="cellIs" dxfId="13" priority="15" operator="between">
      <formula>"GA"</formula>
      <formula>"GQ"</formula>
    </cfRule>
    <cfRule type="cellIs" dxfId="12" priority="16" operator="between">
      <formula>"M1"</formula>
      <formula>"M4"</formula>
    </cfRule>
  </conditionalFormatting>
  <conditionalFormatting sqref="E52:E54">
    <cfRule type="cellIs" dxfId="11" priority="9" operator="equal">
      <formula>"C1"</formula>
    </cfRule>
    <cfRule type="cellIs" dxfId="10" priority="10" operator="between">
      <formula>"G1"</formula>
      <formula>"G4"</formula>
    </cfRule>
    <cfRule type="cellIs" dxfId="9" priority="11" operator="between">
      <formula>"GA"</formula>
      <formula>"GQ"</formula>
    </cfRule>
    <cfRule type="cellIs" dxfId="8" priority="12" operator="between">
      <formula>"M1"</formula>
      <formula>"M4"</formula>
    </cfRule>
  </conditionalFormatting>
  <conditionalFormatting sqref="F52:F54">
    <cfRule type="cellIs" dxfId="7" priority="5" operator="equal">
      <formula>"C1"</formula>
    </cfRule>
    <cfRule type="cellIs" dxfId="6" priority="6" operator="between">
      <formula>"G1"</formula>
      <formula>"G4"</formula>
    </cfRule>
    <cfRule type="cellIs" dxfId="5" priority="7" operator="between">
      <formula>"GA"</formula>
      <formula>"GQ"</formula>
    </cfRule>
    <cfRule type="cellIs" dxfId="4" priority="8" operator="between">
      <formula>"M1"</formula>
      <formula>"M4"</formula>
    </cfRule>
  </conditionalFormatting>
  <conditionalFormatting sqref="K1:O1048576">
    <cfRule type="cellIs" dxfId="3" priority="1" operator="equal">
      <formula>"C1"</formula>
    </cfRule>
    <cfRule type="cellIs" dxfId="2" priority="2" operator="between">
      <formula>"G1"</formula>
      <formula>"G5"</formula>
    </cfRule>
    <cfRule type="cellIs" dxfId="1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DEC6DB-B348-43EF-9E51-2AF83D927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C28:G46 D27:G27</xm:sqref>
        </x14:conditionalFormatting>
        <x14:conditionalFormatting xmlns:xm="http://schemas.microsoft.com/office/excel/2006/main">
          <x14:cfRule type="containsText" priority="3" operator="containsText" id="{C403B559-99DF-42D7-BD38-134FE92298D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工作表1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2026-06-03T01:54:08Z</dcterms:modified>
</cp:coreProperties>
</file>