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45760583-1C52-4D3C-B9AA-B716B2A22E5A}" xr6:coauthVersionLast="47" xr6:coauthVersionMax="47" xr10:uidLastSave="{00000000-0000-0000-0000-000000000000}"/>
  <bookViews>
    <workbookView xWindow="-28920" yWindow="60" windowWidth="29040" windowHeight="15720" tabRatio="817" xr2:uid="{7AC31E39-9C6F-43BF-8209-61E8F47367BF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state="hidden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4" i="77" l="1" a="1"/>
  <c r="I174" i="77" s="1"/>
  <c r="G158" i="77"/>
  <c r="G87" i="77"/>
  <c r="I92" i="77" s="1" a="1"/>
  <c r="I92" i="77" s="1"/>
  <c r="G15" i="77"/>
  <c r="I20" i="77" s="1" a="1"/>
  <c r="I20" i="77" s="1"/>
  <c r="B14" i="77"/>
  <c r="E80" i="77"/>
  <c r="C159" i="77" a="1"/>
  <c r="C159" i="77" s="1"/>
  <c r="D80" i="77" a="1"/>
  <c r="D80" i="77" s="1"/>
  <c r="C16" i="77" a="1"/>
  <c r="C16" i="77" s="1"/>
  <c r="AA3" i="30"/>
  <c r="T8" i="30"/>
  <c r="O8" i="30" s="1"/>
  <c r="AQ17" i="13" a="1"/>
  <c r="AQ17" i="13" s="1"/>
  <c r="D15" i="13"/>
  <c r="E15" i="13"/>
  <c r="F15" i="13"/>
  <c r="D16" i="13"/>
  <c r="E16" i="13"/>
  <c r="F16" i="13"/>
  <c r="D17" i="13"/>
  <c r="E17" i="13"/>
  <c r="F17" i="13"/>
  <c r="D18" i="13"/>
  <c r="E18" i="13"/>
  <c r="F18" i="13"/>
  <c r="D19" i="13"/>
  <c r="E19" i="13"/>
  <c r="F19" i="13"/>
  <c r="D20" i="13"/>
  <c r="E20" i="13"/>
  <c r="F20" i="13"/>
  <c r="D21" i="13"/>
  <c r="E21" i="13"/>
  <c r="F21" i="13"/>
  <c r="D22" i="13"/>
  <c r="E22" i="13"/>
  <c r="F22" i="13"/>
  <c r="D23" i="13"/>
  <c r="E23" i="13"/>
  <c r="F23" i="13"/>
  <c r="AD54" i="72" a="1"/>
  <c r="AD54" i="72" s="1"/>
  <c r="AK54" i="72"/>
  <c r="AK54" i="72" a="1"/>
  <c r="AK30" i="72" a="1"/>
  <c r="AK30" i="72" s="1"/>
  <c r="AD30" i="72" a="1"/>
  <c r="AD30" i="72" s="1"/>
  <c r="AK6" i="72" a="1"/>
  <c r="AK6" i="72" s="1"/>
  <c r="AK54" i="71" a="1"/>
  <c r="AK54" i="71" s="1"/>
  <c r="AD54" i="71" a="1"/>
  <c r="AD54" i="71" s="1"/>
  <c r="AK30" i="71" a="1"/>
  <c r="AK30" i="71" s="1"/>
  <c r="AD30" i="71" a="1"/>
  <c r="AD30" i="71" s="1"/>
  <c r="AK6" i="71" a="1"/>
  <c r="AK6" i="71" s="1"/>
  <c r="AK54" i="70" a="1"/>
  <c r="AK54" i="70" s="1"/>
  <c r="AD54" i="70" a="1"/>
  <c r="AD54" i="70" s="1"/>
  <c r="AK30" i="70" a="1"/>
  <c r="AK30" i="70" s="1"/>
  <c r="AD30" i="70" a="1"/>
  <c r="AD30" i="70" s="1"/>
  <c r="AK6" i="70" a="1"/>
  <c r="AK6" i="70" s="1"/>
  <c r="AK54" i="69" a="1"/>
  <c r="AK54" i="69" s="1"/>
  <c r="AD54" i="69" a="1"/>
  <c r="AD54" i="69" s="1"/>
  <c r="AD30" i="69" a="1"/>
  <c r="AD30" i="69" s="1"/>
  <c r="AK30" i="69" a="1"/>
  <c r="AK30" i="69" s="1"/>
  <c r="AK6" i="69" a="1"/>
  <c r="AK6" i="69" s="1"/>
  <c r="AD54" i="13" a="1"/>
  <c r="AD54" i="13" s="1"/>
  <c r="AK54" i="13" a="1"/>
  <c r="AK54" i="13" s="1"/>
  <c r="AK30" i="13" a="1"/>
  <c r="AK30" i="13" s="1"/>
  <c r="AD30" i="13" a="1"/>
  <c r="AD30" i="13" s="1"/>
  <c r="AK6" i="13" a="1"/>
  <c r="AK6" i="13" s="1"/>
  <c r="Q4" i="71" a="1"/>
  <c r="Q4" i="71" s="1"/>
  <c r="Q4" i="70" a="1"/>
  <c r="Q4" i="70" s="1"/>
  <c r="Q4" i="69" a="1"/>
  <c r="Q4" i="69" s="1"/>
  <c r="Y3" i="30"/>
  <c r="T47" i="30"/>
  <c r="P32" i="30"/>
  <c r="O32" i="30" s="1"/>
  <c r="P31" i="30"/>
  <c r="O31" i="30" s="1"/>
  <c r="P30" i="30"/>
  <c r="O30" i="30" s="1"/>
  <c r="P28" i="30"/>
  <c r="O28" i="30" s="1"/>
  <c r="T10" i="30"/>
  <c r="O10" i="30" s="1"/>
  <c r="T9" i="30"/>
  <c r="O9" i="30" s="1"/>
  <c r="T6" i="30"/>
  <c r="O6" i="30" s="1"/>
  <c r="O55" i="30"/>
  <c r="O54" i="30"/>
  <c r="O53" i="30"/>
  <c r="AB52" i="30" a="1"/>
  <c r="AB52" i="30" s="1"/>
  <c r="O52" i="30"/>
  <c r="AB51" i="30" a="1"/>
  <c r="AB51" i="30" s="1"/>
  <c r="O51" i="30"/>
  <c r="O50" i="30"/>
  <c r="AB49" i="30" a="1"/>
  <c r="AB49" i="30" s="1"/>
  <c r="O49" i="30"/>
  <c r="O48" i="30" a="1"/>
  <c r="O48" i="30" s="1"/>
  <c r="O44" i="30"/>
  <c r="O43" i="30"/>
  <c r="AB42" i="30" a="1"/>
  <c r="AB42" i="30" s="1"/>
  <c r="O42" i="30"/>
  <c r="AB41" i="30" a="1"/>
  <c r="AB41" i="30" s="1"/>
  <c r="O41" i="30"/>
  <c r="AB40" i="30" a="1"/>
  <c r="AB40" i="30" s="1"/>
  <c r="O40" i="30"/>
  <c r="AB39" i="30" a="1"/>
  <c r="AB39" i="30" s="1"/>
  <c r="O39" i="30"/>
  <c r="O38" i="30"/>
  <c r="O37" i="30" a="1"/>
  <c r="O37" i="30" s="1"/>
  <c r="O33" i="30"/>
  <c r="O29" i="30"/>
  <c r="O27" i="30"/>
  <c r="O26" i="30" a="1"/>
  <c r="O26" i="30" s="1"/>
  <c r="O22" i="30"/>
  <c r="P21" i="30"/>
  <c r="O21" i="30"/>
  <c r="P20" i="30"/>
  <c r="O20" i="30"/>
  <c r="P19" i="30"/>
  <c r="O19" i="30"/>
  <c r="O18" i="30"/>
  <c r="P17" i="30"/>
  <c r="O17" i="30"/>
  <c r="O16" i="30"/>
  <c r="O15" i="30" a="1"/>
  <c r="O15" i="30" s="1"/>
  <c r="O11" i="30"/>
  <c r="O7" i="30"/>
  <c r="T5" i="30"/>
  <c r="O5" i="30" s="1"/>
  <c r="O4" i="30" a="1"/>
  <c r="AB55" i="30" s="1" a="1"/>
  <c r="AB55" i="30" s="1"/>
  <c r="AD30" i="68" l="1" a="1"/>
  <c r="AD30" i="68" s="1"/>
  <c r="AK6" i="68" a="1"/>
  <c r="AK6" i="68" s="1"/>
  <c r="AQ17" i="68" a="1"/>
  <c r="AQ17" i="68" s="1"/>
  <c r="AK54" i="68" a="1"/>
  <c r="AK54" i="68" s="1"/>
  <c r="AD54" i="68" a="1"/>
  <c r="AD54" i="68" s="1"/>
  <c r="AK30" i="68" a="1"/>
  <c r="AK30" i="68" s="1"/>
  <c r="AB29" i="30" a="1"/>
  <c r="AB29" i="30" s="1"/>
  <c r="AB10" i="30" a="1"/>
  <c r="AB10" i="30" s="1"/>
  <c r="AB30" i="30" a="1"/>
  <c r="AB30" i="30" s="1"/>
  <c r="AB31" i="30" a="1"/>
  <c r="AB31" i="30" s="1"/>
  <c r="AB11" i="30" a="1"/>
  <c r="AB11" i="30" s="1"/>
  <c r="AB32" i="30" a="1"/>
  <c r="AB32" i="30" s="1"/>
  <c r="AB16" i="30" a="1"/>
  <c r="AB16" i="30" s="1"/>
  <c r="AB33" i="30" a="1"/>
  <c r="AB33" i="30" s="1"/>
  <c r="AB18" i="30" a="1"/>
  <c r="AB18" i="30" s="1"/>
  <c r="AB19" i="30" a="1"/>
  <c r="AB19" i="30" s="1"/>
  <c r="AB20" i="30" a="1"/>
  <c r="AB20" i="30" s="1"/>
  <c r="AB5" i="30" a="1"/>
  <c r="AB5" i="30" s="1"/>
  <c r="AB21" i="30" a="1"/>
  <c r="AB21" i="30" s="1"/>
  <c r="AB8" i="30" a="1"/>
  <c r="AB8" i="30" s="1"/>
  <c r="AB9" i="30" a="1"/>
  <c r="AB9" i="30" s="1"/>
  <c r="AB17" i="30" a="1"/>
  <c r="AB17" i="30" s="1"/>
  <c r="AB50" i="30" a="1"/>
  <c r="AB50" i="30" s="1"/>
  <c r="AB43" i="30" a="1"/>
  <c r="AB43" i="30" s="1"/>
  <c r="AB53" i="30" a="1"/>
  <c r="AB53" i="30" s="1"/>
  <c r="O4" i="30"/>
  <c r="AB6" i="30" s="1" a="1"/>
  <c r="AB6" i="30" s="1"/>
  <c r="AB44" i="30" a="1"/>
  <c r="AB44" i="30" s="1"/>
  <c r="AB54" i="30" a="1"/>
  <c r="AB54" i="30" s="1"/>
  <c r="AB38" i="30" a="1"/>
  <c r="AB38" i="30" s="1"/>
  <c r="AB28" i="30" l="1" a="1"/>
  <c r="AB28" i="30" s="1"/>
  <c r="AB27" i="30" a="1"/>
  <c r="AB27" i="30" s="1"/>
  <c r="AB7" i="30" a="1"/>
  <c r="AB7" i="30" s="1"/>
  <c r="AB22" i="30" a="1"/>
  <c r="AB22" i="30" s="1"/>
  <c r="B7" i="77" a="1"/>
  <c r="B7" i="77" s="1"/>
  <c r="H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H159" i="77"/>
  <c r="E159" i="77" a="1"/>
  <c r="E159" i="77" s="1"/>
  <c r="O159" i="77" a="1"/>
  <c r="O159" i="77" s="1"/>
  <c r="B157" i="77"/>
  <c r="D152" i="77" a="1"/>
  <c r="C152" i="77" s="1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H89" i="77"/>
  <c r="H88" i="77"/>
  <c r="C88" i="77" a="1"/>
  <c r="O88" i="77" a="1"/>
  <c r="O88" i="77" s="1"/>
  <c r="M81" i="77"/>
  <c r="C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16" i="77"/>
  <c r="E16" i="77" a="1"/>
  <c r="E16" i="77" s="1"/>
  <c r="O16" i="77" a="1"/>
  <c r="O16" i="77" s="1"/>
  <c r="B3" i="77"/>
  <c r="F159" i="77" s="1" a="1"/>
  <c r="F159" i="77" s="1"/>
  <c r="F24" i="53"/>
  <c r="F13" i="53"/>
  <c r="H24" i="53"/>
  <c r="H22" i="53"/>
  <c r="H20" i="53"/>
  <c r="H18" i="53"/>
  <c r="H16" i="53"/>
  <c r="H11" i="53"/>
  <c r="H7" i="53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H13" i="53"/>
  <c r="H9" i="53"/>
  <c r="H5" i="53"/>
  <c r="G228" i="48"/>
  <c r="I244" i="48" s="1" a="1"/>
  <c r="I244" i="48" s="1"/>
  <c r="G158" i="48"/>
  <c r="I174" i="48" s="1" a="1"/>
  <c r="I174" i="48" s="1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87" i="48"/>
  <c r="I92" i="48" s="1" a="1"/>
  <c r="I92" i="48" s="1"/>
  <c r="G15" i="48"/>
  <c r="I20" i="48" s="1" a="1"/>
  <c r="I20" i="48" s="1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O88" i="48" a="1"/>
  <c r="O88" i="48" s="1"/>
  <c r="H88" i="48"/>
  <c r="Y203" i="68" a="1"/>
  <c r="Y203" i="68" s="1"/>
  <c r="X203" i="68" a="1"/>
  <c r="X203" i="68" s="1"/>
  <c r="W203" i="68" a="1"/>
  <c r="W203" i="68" s="1"/>
  <c r="Y202" i="68" a="1"/>
  <c r="Y202" i="68" s="1"/>
  <c r="X202" i="68" a="1"/>
  <c r="X202" i="68" s="1"/>
  <c r="W202" i="68"/>
  <c r="W202" i="68" a="1"/>
  <c r="Y201" i="68" a="1"/>
  <c r="Y201" i="68" s="1"/>
  <c r="X201" i="68" a="1"/>
  <c r="X201" i="68" s="1"/>
  <c r="W201" i="68" a="1"/>
  <c r="W201" i="68" s="1"/>
  <c r="Y200" i="68" a="1"/>
  <c r="Y200" i="68" s="1"/>
  <c r="X200" i="68" a="1"/>
  <c r="X200" i="68" s="1"/>
  <c r="W200" i="68" a="1"/>
  <c r="W200" i="68" s="1"/>
  <c r="Y199" i="68" a="1"/>
  <c r="Y199" i="68" s="1"/>
  <c r="X199" i="68" a="1"/>
  <c r="X199" i="68" s="1"/>
  <c r="W199" i="68" a="1"/>
  <c r="W199" i="68" s="1"/>
  <c r="Y198" i="68" a="1"/>
  <c r="Y198" i="68" s="1"/>
  <c r="X198" i="68"/>
  <c r="X198" i="68" a="1"/>
  <c r="W198" i="68" a="1"/>
  <c r="W198" i="68" s="1"/>
  <c r="Y197" i="68" a="1"/>
  <c r="Y197" i="68" s="1"/>
  <c r="X197" i="68" a="1"/>
  <c r="X197" i="68" s="1"/>
  <c r="W197" i="68" a="1"/>
  <c r="W197" i="68" s="1"/>
  <c r="Y196" i="68" a="1"/>
  <c r="Y196" i="68" s="1"/>
  <c r="X196" i="68" a="1"/>
  <c r="X196" i="68" s="1"/>
  <c r="W196" i="68" a="1"/>
  <c r="W196" i="68" s="1"/>
  <c r="Y195" i="68" a="1"/>
  <c r="Y195" i="68" s="1"/>
  <c r="X195" i="68" a="1"/>
  <c r="X195" i="68" s="1"/>
  <c r="W195" i="68" a="1"/>
  <c r="W195" i="68" s="1"/>
  <c r="Y194" i="68"/>
  <c r="Y194" i="68" a="1"/>
  <c r="X194" i="68" a="1"/>
  <c r="X194" i="68" s="1"/>
  <c r="W194" i="68" a="1"/>
  <c r="W194" i="68" s="1"/>
  <c r="Y193" i="68" a="1"/>
  <c r="Y193" i="68" s="1"/>
  <c r="X193" i="68" a="1"/>
  <c r="X193" i="68" s="1"/>
  <c r="W193" i="68" a="1"/>
  <c r="W193" i="68" s="1"/>
  <c r="Y192" i="68" a="1"/>
  <c r="Y192" i="68" s="1"/>
  <c r="X192" i="68" a="1"/>
  <c r="X192" i="68" s="1"/>
  <c r="W192" i="68" a="1"/>
  <c r="W192" i="68" s="1"/>
  <c r="Y191" i="68" a="1"/>
  <c r="Y191" i="68" s="1"/>
  <c r="X191" i="68" a="1"/>
  <c r="X191" i="68" s="1"/>
  <c r="W191" i="68"/>
  <c r="W191" i="68" a="1"/>
  <c r="Y190" i="68" a="1"/>
  <c r="Y190" i="68" s="1"/>
  <c r="X190" i="68" a="1"/>
  <c r="X190" i="68" s="1"/>
  <c r="W190" i="68" a="1"/>
  <c r="W190" i="68" s="1"/>
  <c r="Y189" i="68" a="1"/>
  <c r="Y189" i="68" s="1"/>
  <c r="X189" i="68" a="1"/>
  <c r="X189" i="68" s="1"/>
  <c r="W189" i="68" a="1"/>
  <c r="W189" i="68" s="1"/>
  <c r="Y188" i="68" a="1"/>
  <c r="Y188" i="68" s="1"/>
  <c r="X188" i="68" a="1"/>
  <c r="X188" i="68" s="1"/>
  <c r="W188" i="68" a="1"/>
  <c r="W188" i="68" s="1"/>
  <c r="Y187" i="68" a="1"/>
  <c r="Y187" i="68" s="1"/>
  <c r="X187" i="68"/>
  <c r="X187" i="68" a="1"/>
  <c r="W187" i="68" a="1"/>
  <c r="W187" i="68" s="1"/>
  <c r="Y186" i="68" a="1"/>
  <c r="Y186" i="68" s="1"/>
  <c r="X186" i="68" a="1"/>
  <c r="X186" i="68" s="1"/>
  <c r="W186" i="68" a="1"/>
  <c r="W186" i="68" s="1"/>
  <c r="Y185" i="68" a="1"/>
  <c r="Y185" i="68" s="1"/>
  <c r="X185" i="68" a="1"/>
  <c r="X185" i="68" s="1"/>
  <c r="W185" i="68" a="1"/>
  <c r="W185" i="68" s="1"/>
  <c r="Y184" i="68" a="1"/>
  <c r="Y184" i="68" s="1"/>
  <c r="X184" i="68" a="1"/>
  <c r="X184" i="68" s="1"/>
  <c r="W184" i="68" a="1"/>
  <c r="W184" i="68" s="1"/>
  <c r="Y183" i="68" a="1"/>
  <c r="Y183" i="68" s="1"/>
  <c r="X183" i="68" a="1"/>
  <c r="X183" i="68" s="1"/>
  <c r="W183" i="68" a="1"/>
  <c r="W183" i="68" s="1"/>
  <c r="Y182" i="68" a="1"/>
  <c r="Y182" i="68" s="1"/>
  <c r="X182" i="68" a="1"/>
  <c r="X182" i="68" s="1"/>
  <c r="W182" i="68" a="1"/>
  <c r="W182" i="68" s="1"/>
  <c r="Y181" i="68" a="1"/>
  <c r="Y181" i="68" s="1"/>
  <c r="X181" i="68" a="1"/>
  <c r="X181" i="68" s="1"/>
  <c r="W181" i="68" a="1"/>
  <c r="W181" i="68" s="1"/>
  <c r="Y180" i="68" a="1"/>
  <c r="Y180" i="68" s="1"/>
  <c r="X180" i="68" a="1"/>
  <c r="X180" i="68" s="1"/>
  <c r="W180" i="68" a="1"/>
  <c r="W180" i="68" s="1"/>
  <c r="Y179" i="68"/>
  <c r="Y179" i="68" a="1"/>
  <c r="X179" i="68" a="1"/>
  <c r="X179" i="68" s="1"/>
  <c r="W179" i="68" a="1"/>
  <c r="W179" i="68" s="1"/>
  <c r="Y178" i="68" a="1"/>
  <c r="Y178" i="68" s="1"/>
  <c r="X178" i="68" a="1"/>
  <c r="X178" i="68" s="1"/>
  <c r="W178" i="68" a="1"/>
  <c r="W178" i="68" s="1"/>
  <c r="Y177" i="68" a="1"/>
  <c r="Y177" i="68" s="1"/>
  <c r="X177" i="68" a="1"/>
  <c r="X177" i="68" s="1"/>
  <c r="W177" i="68" a="1"/>
  <c r="W177" i="68" s="1"/>
  <c r="Y176" i="68" a="1"/>
  <c r="Y176" i="68" s="1"/>
  <c r="X176" i="68" a="1"/>
  <c r="X176" i="68" s="1"/>
  <c r="W176" i="68"/>
  <c r="W176" i="68" a="1"/>
  <c r="Y175" i="68" a="1"/>
  <c r="Y175" i="68" s="1"/>
  <c r="X175" i="68" a="1"/>
  <c r="X175" i="68" s="1"/>
  <c r="W175" i="68" a="1"/>
  <c r="W175" i="68" s="1"/>
  <c r="Y174" i="68" a="1"/>
  <c r="Y174" i="68" s="1"/>
  <c r="X174" i="68" a="1"/>
  <c r="X174" i="68" s="1"/>
  <c r="W174" i="68" a="1"/>
  <c r="W174" i="68" s="1"/>
  <c r="Y173" i="68" a="1"/>
  <c r="Y173" i="68" s="1"/>
  <c r="X173" i="68" a="1"/>
  <c r="X173" i="68" s="1"/>
  <c r="W173" i="68" a="1"/>
  <c r="W173" i="68" s="1"/>
  <c r="Y172" i="68" a="1"/>
  <c r="Y172" i="68" s="1"/>
  <c r="X172" i="68"/>
  <c r="X172" i="68" a="1"/>
  <c r="W172" i="68" a="1"/>
  <c r="W172" i="68" s="1"/>
  <c r="Y171" i="68" a="1"/>
  <c r="Y171" i="68" s="1"/>
  <c r="X171" i="68"/>
  <c r="X171" i="68" a="1"/>
  <c r="W171" i="68"/>
  <c r="W171" i="68" a="1"/>
  <c r="Y170" i="68" a="1"/>
  <c r="Y170" i="68" s="1"/>
  <c r="X170" i="68" a="1"/>
  <c r="X170" i="68" s="1"/>
  <c r="W170" i="68" a="1"/>
  <c r="W170" i="68" s="1"/>
  <c r="Y169" i="68" a="1"/>
  <c r="Y169" i="68" s="1"/>
  <c r="X169" i="68" a="1"/>
  <c r="X169" i="68" s="1"/>
  <c r="W169" i="68" a="1"/>
  <c r="W169" i="68" s="1"/>
  <c r="Y168" i="68"/>
  <c r="Y168" i="68" a="1"/>
  <c r="X168" i="68" a="1"/>
  <c r="X168" i="68" s="1"/>
  <c r="W168" i="68" a="1"/>
  <c r="W168" i="68" s="1"/>
  <c r="Y167" i="68" a="1"/>
  <c r="Y167" i="68" s="1"/>
  <c r="X167" i="68" a="1"/>
  <c r="X167" i="68" s="1"/>
  <c r="W167" i="68" a="1"/>
  <c r="W167" i="68" s="1"/>
  <c r="Y166" i="68" a="1"/>
  <c r="Y166" i="68" s="1"/>
  <c r="X166" i="68" a="1"/>
  <c r="X166" i="68" s="1"/>
  <c r="W166" i="68" a="1"/>
  <c r="W166" i="68" s="1"/>
  <c r="Y165" i="68" a="1"/>
  <c r="Y165" i="68" s="1"/>
  <c r="X165" i="68" a="1"/>
  <c r="X165" i="68" s="1"/>
  <c r="W165" i="68"/>
  <c r="W165" i="68" a="1"/>
  <c r="Y164" i="68" a="1"/>
  <c r="Y164" i="68" s="1"/>
  <c r="X164" i="68" a="1"/>
  <c r="X164" i="68" s="1"/>
  <c r="W164" i="68" a="1"/>
  <c r="W164" i="68" s="1"/>
  <c r="Y163" i="68" a="1"/>
  <c r="Y163" i="68" s="1"/>
  <c r="X163" i="68" a="1"/>
  <c r="X163" i="68" s="1"/>
  <c r="W163" i="68" a="1"/>
  <c r="W163" i="68" s="1"/>
  <c r="Y162" i="68" a="1"/>
  <c r="Y162" i="68" s="1"/>
  <c r="X162" i="68" a="1"/>
  <c r="X162" i="68" s="1"/>
  <c r="W162" i="68" a="1"/>
  <c r="W162" i="68" s="1"/>
  <c r="Y161" i="68" a="1"/>
  <c r="Y161" i="68" s="1"/>
  <c r="X161" i="68"/>
  <c r="X161" i="68" a="1"/>
  <c r="W161" i="68" a="1"/>
  <c r="W161" i="68" s="1"/>
  <c r="Y160" i="68" a="1"/>
  <c r="Y160" i="68" s="1"/>
  <c r="X160" i="68" a="1"/>
  <c r="X160" i="68" s="1"/>
  <c r="W160" i="68" a="1"/>
  <c r="W160" i="68" s="1"/>
  <c r="Y159" i="68" a="1"/>
  <c r="Y159" i="68" s="1"/>
  <c r="X159" i="68" a="1"/>
  <c r="X159" i="68" s="1"/>
  <c r="W159" i="68" a="1"/>
  <c r="W159" i="68" s="1"/>
  <c r="Y158" i="68" a="1"/>
  <c r="Y158" i="68" s="1"/>
  <c r="X158" i="68" a="1"/>
  <c r="X158" i="68" s="1"/>
  <c r="W158" i="68" a="1"/>
  <c r="W158" i="68" s="1"/>
  <c r="Y157" i="68"/>
  <c r="Y157" i="68" a="1"/>
  <c r="X157" i="68" a="1"/>
  <c r="X157" i="68" s="1"/>
  <c r="W157" i="68" a="1"/>
  <c r="W157" i="68" s="1"/>
  <c r="Y156" i="68" a="1"/>
  <c r="Y156" i="68" s="1"/>
  <c r="X156" i="68" a="1"/>
  <c r="X156" i="68" s="1"/>
  <c r="W156" i="68"/>
  <c r="W156" i="68" a="1"/>
  <c r="Y155" i="68"/>
  <c r="Y155" i="68" a="1"/>
  <c r="X155" i="68" a="1"/>
  <c r="X155" i="68" s="1"/>
  <c r="W155" i="68" a="1"/>
  <c r="W155" i="68" s="1"/>
  <c r="Y154" i="68" a="1"/>
  <c r="Y154" i="68" s="1"/>
  <c r="X154" i="68" a="1"/>
  <c r="X154" i="68" s="1"/>
  <c r="W154" i="68"/>
  <c r="W154" i="68" a="1"/>
  <c r="Y153" i="68" a="1"/>
  <c r="Y153" i="68" s="1"/>
  <c r="X153" i="68" a="1"/>
  <c r="X153" i="68" s="1"/>
  <c r="W153" i="68" a="1"/>
  <c r="W153" i="68" s="1"/>
  <c r="Y152" i="68" a="1"/>
  <c r="Y152" i="68" s="1"/>
  <c r="X152" i="68" a="1"/>
  <c r="X152" i="68" s="1"/>
  <c r="W152" i="68" a="1"/>
  <c r="W152" i="68" s="1"/>
  <c r="Y151" i="68" a="1"/>
  <c r="Y151" i="68" s="1"/>
  <c r="X151" i="68" a="1"/>
  <c r="X151" i="68" s="1"/>
  <c r="W151" i="68" a="1"/>
  <c r="W151" i="68" s="1"/>
  <c r="Y150" i="68" a="1"/>
  <c r="Y150" i="68" s="1"/>
  <c r="X150" i="68" a="1"/>
  <c r="X150" i="68" s="1"/>
  <c r="W150" i="68" a="1"/>
  <c r="W150" i="68" s="1"/>
  <c r="Y149" i="68" a="1"/>
  <c r="Y149" i="68" s="1"/>
  <c r="X149" i="68" a="1"/>
  <c r="X149" i="68" s="1"/>
  <c r="W149" i="68" a="1"/>
  <c r="W149" i="68" s="1"/>
  <c r="Y148" i="68" a="1"/>
  <c r="Y148" i="68" s="1"/>
  <c r="X148" i="68" a="1"/>
  <c r="X148" i="68" s="1"/>
  <c r="W148" i="68" a="1"/>
  <c r="W148" i="68" s="1"/>
  <c r="Y147" i="68" a="1"/>
  <c r="Y147" i="68" s="1"/>
  <c r="X147" i="68" a="1"/>
  <c r="X147" i="68" s="1"/>
  <c r="W147" i="68" a="1"/>
  <c r="W147" i="68" s="1"/>
  <c r="Y146" i="68" a="1"/>
  <c r="Y146" i="68" s="1"/>
  <c r="X146" i="68"/>
  <c r="X146" i="68" a="1"/>
  <c r="W146" i="68" a="1"/>
  <c r="W146" i="68" s="1"/>
  <c r="Y145" i="68" a="1"/>
  <c r="Y145" i="68" s="1"/>
  <c r="X145" i="68"/>
  <c r="X145" i="68" a="1"/>
  <c r="W145" i="68" a="1"/>
  <c r="W145" i="68" s="1"/>
  <c r="Y144" i="68" a="1"/>
  <c r="Y144" i="68" s="1"/>
  <c r="X144" i="68" a="1"/>
  <c r="X144" i="68" s="1"/>
  <c r="W144" i="68" a="1"/>
  <c r="W144" i="68" s="1"/>
  <c r="Y143" i="68" a="1"/>
  <c r="Y143" i="68" s="1"/>
  <c r="X143" i="68" a="1"/>
  <c r="X143" i="68" s="1"/>
  <c r="W143" i="68" a="1"/>
  <c r="W143" i="68" s="1"/>
  <c r="Y142" i="68"/>
  <c r="Y142" i="68" a="1"/>
  <c r="X142" i="68" a="1"/>
  <c r="X142" i="68" s="1"/>
  <c r="W142" i="68" a="1"/>
  <c r="W142" i="68" s="1"/>
  <c r="Y141" i="68" a="1"/>
  <c r="Y141" i="68" s="1"/>
  <c r="X141" i="68" a="1"/>
  <c r="X141" i="68" s="1"/>
  <c r="W141" i="68" a="1"/>
  <c r="W141" i="68" s="1"/>
  <c r="Y140" i="68" a="1"/>
  <c r="Y140" i="68" s="1"/>
  <c r="X140" i="68" a="1"/>
  <c r="X140" i="68" s="1"/>
  <c r="W140" i="68" a="1"/>
  <c r="W140" i="68" s="1"/>
  <c r="Y139" i="68" a="1"/>
  <c r="Y139" i="68" s="1"/>
  <c r="X139" i="68" a="1"/>
  <c r="X139" i="68" s="1"/>
  <c r="W139" i="68"/>
  <c r="W139" i="68" a="1"/>
  <c r="Y138" i="68" a="1"/>
  <c r="Y138" i="68" s="1"/>
  <c r="X138" i="68" a="1"/>
  <c r="X138" i="68" s="1"/>
  <c r="W138" i="68" a="1"/>
  <c r="W138" i="68" s="1"/>
  <c r="Y137" i="68" a="1"/>
  <c r="Y137" i="68" s="1"/>
  <c r="X137" i="68" a="1"/>
  <c r="X137" i="68" s="1"/>
  <c r="W137" i="68" a="1"/>
  <c r="W137" i="68" s="1"/>
  <c r="Y136" i="68" a="1"/>
  <c r="Y136" i="68" s="1"/>
  <c r="X136" i="68" a="1"/>
  <c r="X136" i="68" s="1"/>
  <c r="W136" i="68" a="1"/>
  <c r="W136" i="68" s="1"/>
  <c r="Y135" i="68" a="1"/>
  <c r="Y135" i="68" s="1"/>
  <c r="X135" i="68"/>
  <c r="X135" i="68" a="1"/>
  <c r="W135" i="68" a="1"/>
  <c r="W135" i="68" s="1"/>
  <c r="Y134" i="68" a="1"/>
  <c r="Y134" i="68" s="1"/>
  <c r="X134" i="68" a="1"/>
  <c r="X134" i="68" s="1"/>
  <c r="W134" i="68" a="1"/>
  <c r="W134" i="68" s="1"/>
  <c r="Y133" i="68" a="1"/>
  <c r="Y133" i="68" s="1"/>
  <c r="X133" i="68" a="1"/>
  <c r="X133" i="68" s="1"/>
  <c r="W133" i="68" a="1"/>
  <c r="W133" i="68" s="1"/>
  <c r="Y132" i="68" a="1"/>
  <c r="Y132" i="68" s="1"/>
  <c r="X132" i="68" a="1"/>
  <c r="X132" i="68" s="1"/>
  <c r="W132" i="68" a="1"/>
  <c r="W132" i="68" s="1"/>
  <c r="Y131" i="68"/>
  <c r="Y131" i="68" a="1"/>
  <c r="X131" i="68" a="1"/>
  <c r="X131" i="68" s="1"/>
  <c r="W131" i="68" a="1"/>
  <c r="W131" i="68" s="1"/>
  <c r="Y130" i="68" a="1"/>
  <c r="Y130" i="68" s="1"/>
  <c r="X130" i="68" a="1"/>
  <c r="X130" i="68" s="1"/>
  <c r="W130" i="68" a="1"/>
  <c r="W130" i="68" s="1"/>
  <c r="Y129" i="68" a="1"/>
  <c r="Y129" i="68" s="1"/>
  <c r="X129" i="68" a="1"/>
  <c r="X129" i="68" s="1"/>
  <c r="W129" i="68" a="1"/>
  <c r="W129" i="68" s="1"/>
  <c r="Y128" i="68" a="1"/>
  <c r="Y128" i="68" s="1"/>
  <c r="X128" i="68" a="1"/>
  <c r="X128" i="68" s="1"/>
  <c r="W128" i="68"/>
  <c r="W128" i="68" a="1"/>
  <c r="Y127" i="68" a="1"/>
  <c r="Y127" i="68" s="1"/>
  <c r="X127" i="68" a="1"/>
  <c r="X127" i="68" s="1"/>
  <c r="W127" i="68" a="1"/>
  <c r="W127" i="68" s="1"/>
  <c r="Y126" i="68" a="1"/>
  <c r="Y126" i="68" s="1"/>
  <c r="X126" i="68" a="1"/>
  <c r="X126" i="68" s="1"/>
  <c r="W126" i="68" a="1"/>
  <c r="W126" i="68" s="1"/>
  <c r="Y125" i="68" a="1"/>
  <c r="Y125" i="68" s="1"/>
  <c r="X125" i="68" a="1"/>
  <c r="X125" i="68" s="1"/>
  <c r="W125" i="68" a="1"/>
  <c r="W125" i="68" s="1"/>
  <c r="Y124" i="68" a="1"/>
  <c r="Y124" i="68" s="1"/>
  <c r="X124" i="68"/>
  <c r="X124" i="68" a="1"/>
  <c r="W124" i="68" a="1"/>
  <c r="W124" i="68" s="1"/>
  <c r="Y123" i="68" a="1"/>
  <c r="Y123" i="68" s="1"/>
  <c r="X123" i="68" a="1"/>
  <c r="X123" i="68" s="1"/>
  <c r="W123" i="68" a="1"/>
  <c r="W123" i="68" s="1"/>
  <c r="Y122" i="68" a="1"/>
  <c r="Y122" i="68" s="1"/>
  <c r="X122" i="68" a="1"/>
  <c r="X122" i="68" s="1"/>
  <c r="W122" i="68" a="1"/>
  <c r="W122" i="68" s="1"/>
  <c r="Y121" i="68" a="1"/>
  <c r="Y121" i="68" s="1"/>
  <c r="X121" i="68" a="1"/>
  <c r="X121" i="68" s="1"/>
  <c r="W121" i="68" a="1"/>
  <c r="W121" i="68" s="1"/>
  <c r="Y120" i="68"/>
  <c r="Y120" i="68" a="1"/>
  <c r="X120" i="68" a="1"/>
  <c r="X120" i="68" s="1"/>
  <c r="W120" i="68" a="1"/>
  <c r="W120" i="68" s="1"/>
  <c r="Y119" i="68" a="1"/>
  <c r="Y119" i="68" s="1"/>
  <c r="X119" i="68" a="1"/>
  <c r="X119" i="68" s="1"/>
  <c r="W119" i="68" a="1"/>
  <c r="W119" i="68" s="1"/>
  <c r="Y118" i="68"/>
  <c r="Y118" i="68" a="1"/>
  <c r="X118" i="68" a="1"/>
  <c r="X118" i="68" s="1"/>
  <c r="W118" i="68" a="1"/>
  <c r="W118" i="68" s="1"/>
  <c r="Y117" i="68" a="1"/>
  <c r="Y117" i="68" s="1"/>
  <c r="X117" i="68" a="1"/>
  <c r="X117" i="68" s="1"/>
  <c r="W117" i="68" a="1"/>
  <c r="W117" i="68" s="1"/>
  <c r="Y116" i="68" a="1"/>
  <c r="Y116" i="68" s="1"/>
  <c r="X116" i="68" a="1"/>
  <c r="X116" i="68" s="1"/>
  <c r="W116" i="68" a="1"/>
  <c r="W116" i="68" s="1"/>
  <c r="Y115" i="68" a="1"/>
  <c r="Y115" i="68" s="1"/>
  <c r="X115" i="68" a="1"/>
  <c r="X115" i="68" s="1"/>
  <c r="W115" i="68" a="1"/>
  <c r="W115" i="68" s="1"/>
  <c r="Y114" i="68" a="1"/>
  <c r="Y114" i="68" s="1"/>
  <c r="X114" i="68" a="1"/>
  <c r="X114" i="68" s="1"/>
  <c r="W114" i="68"/>
  <c r="W114" i="68" a="1"/>
  <c r="Y113" i="68" a="1"/>
  <c r="Y113" i="68" s="1"/>
  <c r="X113" i="68" a="1"/>
  <c r="X113" i="68" s="1"/>
  <c r="W113" i="68" a="1"/>
  <c r="W113" i="68" s="1"/>
  <c r="Y112" i="68" a="1"/>
  <c r="Y112" i="68" s="1"/>
  <c r="X112" i="68" a="1"/>
  <c r="X112" i="68" s="1"/>
  <c r="W112" i="68" a="1"/>
  <c r="W112" i="68" s="1"/>
  <c r="Y111" i="68"/>
  <c r="Y111" i="68" a="1"/>
  <c r="X111" i="68" a="1"/>
  <c r="X111" i="68" s="1"/>
  <c r="W111" i="68" a="1"/>
  <c r="W111" i="68" s="1"/>
  <c r="Y110" i="68" a="1"/>
  <c r="Y110" i="68" s="1"/>
  <c r="X110" i="68" a="1"/>
  <c r="X110" i="68" s="1"/>
  <c r="W110" i="68"/>
  <c r="W110" i="68" a="1"/>
  <c r="Y109" i="68" a="1"/>
  <c r="Y109" i="68" s="1"/>
  <c r="X109" i="68" a="1"/>
  <c r="X109" i="68" s="1"/>
  <c r="W109" i="68" a="1"/>
  <c r="W109" i="68" s="1"/>
  <c r="Y108" i="68" a="1"/>
  <c r="Y108" i="68" s="1"/>
  <c r="X108" i="68" a="1"/>
  <c r="X108" i="68" s="1"/>
  <c r="W108" i="68" a="1"/>
  <c r="W108" i="68" s="1"/>
  <c r="Y107" i="68" a="1"/>
  <c r="Y107" i="68" s="1"/>
  <c r="X107" i="68" a="1"/>
  <c r="X107" i="68" s="1"/>
  <c r="W107" i="68" a="1"/>
  <c r="W107" i="68" s="1"/>
  <c r="Y106" i="68" a="1"/>
  <c r="Y106" i="68" s="1"/>
  <c r="X106" i="68" a="1"/>
  <c r="X106" i="68" s="1"/>
  <c r="W106" i="68" a="1"/>
  <c r="W106" i="68" s="1"/>
  <c r="Y105" i="68"/>
  <c r="Y105" i="68" a="1"/>
  <c r="X105" i="68" a="1"/>
  <c r="X105" i="68" s="1"/>
  <c r="W105" i="68" a="1"/>
  <c r="W105" i="68" s="1"/>
  <c r="Y104" i="68"/>
  <c r="Y104" i="68" a="1"/>
  <c r="X104" i="68" a="1"/>
  <c r="X104" i="68" s="1"/>
  <c r="W104" i="68" a="1"/>
  <c r="W104" i="68" s="1"/>
  <c r="Y103" i="68" a="1"/>
  <c r="Y103" i="68" s="1"/>
  <c r="X103" i="68" a="1"/>
  <c r="X103" i="68" s="1"/>
  <c r="W103" i="68"/>
  <c r="W103" i="68" a="1"/>
  <c r="Y102" i="68" a="1"/>
  <c r="Y102" i="68" s="1"/>
  <c r="X102" i="68" a="1"/>
  <c r="X102" i="68" s="1"/>
  <c r="W102" i="68" a="1"/>
  <c r="W102" i="68" s="1"/>
  <c r="Y101" i="68" a="1"/>
  <c r="Y101" i="68" s="1"/>
  <c r="X101" i="68" a="1"/>
  <c r="X101" i="68" s="1"/>
  <c r="W101" i="68" a="1"/>
  <c r="W101" i="68" s="1"/>
  <c r="Y100" i="68" a="1"/>
  <c r="Y100" i="68" s="1"/>
  <c r="X100" i="68" a="1"/>
  <c r="X100" i="68" s="1"/>
  <c r="W100" i="68" a="1"/>
  <c r="W100" i="68" s="1"/>
  <c r="Y99" i="68" a="1"/>
  <c r="Y99" i="68" s="1"/>
  <c r="X99" i="68" a="1"/>
  <c r="X99" i="68" s="1"/>
  <c r="W99" i="68" a="1"/>
  <c r="W99" i="68" s="1"/>
  <c r="Y98" i="68" a="1"/>
  <c r="Y98" i="68" s="1"/>
  <c r="X98" i="68" a="1"/>
  <c r="X98" i="68" s="1"/>
  <c r="W98" i="68" a="1"/>
  <c r="W98" i="68" s="1"/>
  <c r="Y97" i="68"/>
  <c r="Y97" i="68" a="1"/>
  <c r="X97" i="68" a="1"/>
  <c r="X97" i="68" s="1"/>
  <c r="W97" i="68" a="1"/>
  <c r="W97" i="68" s="1"/>
  <c r="Y96" i="68" a="1"/>
  <c r="Y96" i="68" s="1"/>
  <c r="X96" i="68" a="1"/>
  <c r="X96" i="68" s="1"/>
  <c r="W96" i="68"/>
  <c r="W96" i="68" a="1"/>
  <c r="Y95" i="68" a="1"/>
  <c r="Y95" i="68" s="1"/>
  <c r="X95" i="68" a="1"/>
  <c r="X95" i="68" s="1"/>
  <c r="W95" i="68" a="1"/>
  <c r="W95" i="68" s="1"/>
  <c r="Y94" i="68" a="1"/>
  <c r="Y94" i="68" s="1"/>
  <c r="X94" i="68" a="1"/>
  <c r="X94" i="68" s="1"/>
  <c r="W94" i="68" a="1"/>
  <c r="W94" i="68" s="1"/>
  <c r="Y93" i="68" a="1"/>
  <c r="Y93" i="68" s="1"/>
  <c r="X93" i="68" a="1"/>
  <c r="X93" i="68" s="1"/>
  <c r="W93" i="68" a="1"/>
  <c r="W93" i="68" s="1"/>
  <c r="Y92" i="68" a="1"/>
  <c r="Y92" i="68" s="1"/>
  <c r="X92" i="68" a="1"/>
  <c r="X92" i="68" s="1"/>
  <c r="W92" i="68" a="1"/>
  <c r="W92" i="68" s="1"/>
  <c r="Y91" i="68"/>
  <c r="Y91" i="68" a="1"/>
  <c r="X91" i="68" a="1"/>
  <c r="X91" i="68" s="1"/>
  <c r="W91" i="68" a="1"/>
  <c r="W91" i="68" s="1"/>
  <c r="Y90" i="68"/>
  <c r="Y90" i="68" a="1"/>
  <c r="X90" i="68" a="1"/>
  <c r="X90" i="68" s="1"/>
  <c r="W90" i="68" a="1"/>
  <c r="W90" i="68" s="1"/>
  <c r="Y89" i="68" a="1"/>
  <c r="Y89" i="68" s="1"/>
  <c r="X89" i="68" a="1"/>
  <c r="X89" i="68" s="1"/>
  <c r="W89" i="68"/>
  <c r="W89" i="68" a="1"/>
  <c r="Y88" i="68" a="1"/>
  <c r="Y88" i="68" s="1"/>
  <c r="X88" i="68" a="1"/>
  <c r="X88" i="68" s="1"/>
  <c r="W88" i="68" a="1"/>
  <c r="W88" i="68" s="1"/>
  <c r="Y87" i="68" a="1"/>
  <c r="Y87" i="68" s="1"/>
  <c r="X87" i="68" a="1"/>
  <c r="X87" i="68" s="1"/>
  <c r="W87" i="68" a="1"/>
  <c r="W87" i="68" s="1"/>
  <c r="Y86" i="68" a="1"/>
  <c r="Y86" i="68" s="1"/>
  <c r="X86" i="68" a="1"/>
  <c r="X86" i="68" s="1"/>
  <c r="W86" i="68" a="1"/>
  <c r="W86" i="68" s="1"/>
  <c r="Y85" i="68" a="1"/>
  <c r="Y85" i="68" s="1"/>
  <c r="X85" i="68" a="1"/>
  <c r="X85" i="68" s="1"/>
  <c r="W85" i="68" a="1"/>
  <c r="W85" i="68" s="1"/>
  <c r="Y84" i="68" a="1"/>
  <c r="Y84" i="68" s="1"/>
  <c r="X84" i="68" a="1"/>
  <c r="X84" i="68" s="1"/>
  <c r="W84" i="68" a="1"/>
  <c r="W84" i="68" s="1"/>
  <c r="Y83" i="68" a="1"/>
  <c r="Y83" i="68" s="1"/>
  <c r="X83" i="68" a="1"/>
  <c r="X83" i="68" s="1"/>
  <c r="W83" i="68" a="1"/>
  <c r="W83" i="68" s="1"/>
  <c r="Y82" i="68" a="1"/>
  <c r="Y82" i="68" s="1"/>
  <c r="X82" i="68" a="1"/>
  <c r="X82" i="68" s="1"/>
  <c r="W82" i="68"/>
  <c r="W82" i="68" a="1"/>
  <c r="Y81" i="68" a="1"/>
  <c r="Y81" i="68" s="1"/>
  <c r="X81" i="68" a="1"/>
  <c r="X81" i="68" s="1"/>
  <c r="W81" i="68" a="1"/>
  <c r="W81" i="68" s="1"/>
  <c r="Y80" i="68" a="1"/>
  <c r="Y80" i="68" s="1"/>
  <c r="X80" i="68" a="1"/>
  <c r="X80" i="68" s="1"/>
  <c r="W80" i="68"/>
  <c r="W80" i="68" a="1"/>
  <c r="Y79" i="68" a="1"/>
  <c r="Y79" i="68" s="1"/>
  <c r="X79" i="68" a="1"/>
  <c r="X79" i="68" s="1"/>
  <c r="W79" i="68" a="1"/>
  <c r="W79" i="68" s="1"/>
  <c r="Y78" i="68" a="1"/>
  <c r="Y78" i="68" s="1"/>
  <c r="X78" i="68" a="1"/>
  <c r="X78" i="68" s="1"/>
  <c r="W78" i="68" a="1"/>
  <c r="W78" i="68" s="1"/>
  <c r="Y77" i="68" a="1"/>
  <c r="Y77" i="68" s="1"/>
  <c r="X77" i="68" a="1"/>
  <c r="X77" i="68" s="1"/>
  <c r="W77" i="68" a="1"/>
  <c r="W77" i="68" s="1"/>
  <c r="Y76" i="68" a="1"/>
  <c r="Y76" i="68" s="1"/>
  <c r="X76" i="68" a="1"/>
  <c r="X76" i="68" s="1"/>
  <c r="W76" i="68" a="1"/>
  <c r="W76" i="68" s="1"/>
  <c r="Y75" i="68" a="1"/>
  <c r="Y75" i="68" s="1"/>
  <c r="X75" i="68" a="1"/>
  <c r="X75" i="68" s="1"/>
  <c r="W75" i="68"/>
  <c r="W75" i="68" a="1"/>
  <c r="Y74" i="68" a="1"/>
  <c r="Y74" i="68" s="1"/>
  <c r="X74" i="68" a="1"/>
  <c r="X74" i="68" s="1"/>
  <c r="W74" i="68" a="1"/>
  <c r="W74" i="68" s="1"/>
  <c r="Y73" i="68" a="1"/>
  <c r="Y73" i="68" s="1"/>
  <c r="X73" i="68"/>
  <c r="X73" i="68" a="1"/>
  <c r="W73" i="68"/>
  <c r="W73" i="68" a="1"/>
  <c r="Y72" i="68" a="1"/>
  <c r="Y72" i="68" s="1"/>
  <c r="X72" i="68" a="1"/>
  <c r="X72" i="68" s="1"/>
  <c r="W72" i="68" a="1"/>
  <c r="W72" i="68" s="1"/>
  <c r="Y71" i="68" a="1"/>
  <c r="Y71" i="68" s="1"/>
  <c r="X71" i="68" a="1"/>
  <c r="X71" i="68" s="1"/>
  <c r="W71" i="68" a="1"/>
  <c r="W71" i="68" s="1"/>
  <c r="Y70" i="68" a="1"/>
  <c r="Y70" i="68" s="1"/>
  <c r="X70" i="68" a="1"/>
  <c r="X70" i="68" s="1"/>
  <c r="W70" i="68" a="1"/>
  <c r="W70" i="68" s="1"/>
  <c r="Y69" i="68" a="1"/>
  <c r="Y69" i="68" s="1"/>
  <c r="X69" i="68" a="1"/>
  <c r="X69" i="68" s="1"/>
  <c r="W69" i="68" a="1"/>
  <c r="W69" i="68" s="1"/>
  <c r="Y68" i="68" a="1"/>
  <c r="Y68" i="68" s="1"/>
  <c r="X68" i="68" a="1"/>
  <c r="X68" i="68" s="1"/>
  <c r="W68" i="68"/>
  <c r="W68" i="68" a="1"/>
  <c r="Y67" i="68" a="1"/>
  <c r="Y67" i="68" s="1"/>
  <c r="X67" i="68" a="1"/>
  <c r="X67" i="68" s="1"/>
  <c r="W67" i="68" a="1"/>
  <c r="W67" i="68" s="1"/>
  <c r="Y66" i="68" a="1"/>
  <c r="Y66" i="68" s="1"/>
  <c r="X66" i="68" a="1"/>
  <c r="X66" i="68" s="1"/>
  <c r="W66" i="68"/>
  <c r="W66" i="68" a="1"/>
  <c r="Y65" i="68" a="1"/>
  <c r="Y65" i="68" s="1"/>
  <c r="X65" i="68" a="1"/>
  <c r="X65" i="68" s="1"/>
  <c r="W65" i="68" a="1"/>
  <c r="W65" i="68" s="1"/>
  <c r="Y64" i="68" a="1"/>
  <c r="Y64" i="68" s="1"/>
  <c r="X64" i="68" a="1"/>
  <c r="X64" i="68" s="1"/>
  <c r="W64" i="68" a="1"/>
  <c r="W64" i="68" s="1"/>
  <c r="Y63" i="68" a="1"/>
  <c r="Y63" i="68" s="1"/>
  <c r="X63" i="68" a="1"/>
  <c r="X63" i="68" s="1"/>
  <c r="W63" i="68" a="1"/>
  <c r="W63" i="68" s="1"/>
  <c r="Y62" i="68" a="1"/>
  <c r="Y62" i="68" s="1"/>
  <c r="X62" i="68" a="1"/>
  <c r="X62" i="68" s="1"/>
  <c r="W62" i="68" a="1"/>
  <c r="W62" i="68" s="1"/>
  <c r="Y61" i="68" a="1"/>
  <c r="Y61" i="68" s="1"/>
  <c r="X61" i="68" a="1"/>
  <c r="X61" i="68" s="1"/>
  <c r="W61" i="68"/>
  <c r="W61" i="68" a="1"/>
  <c r="Y60" i="68" a="1"/>
  <c r="Y60" i="68" s="1"/>
  <c r="X60" i="68" a="1"/>
  <c r="X60" i="68" s="1"/>
  <c r="W60" i="68" a="1"/>
  <c r="W60" i="68" s="1"/>
  <c r="Y59" i="68" a="1"/>
  <c r="Y59" i="68" s="1"/>
  <c r="X59" i="68" a="1"/>
  <c r="X59" i="68" s="1"/>
  <c r="W59" i="68"/>
  <c r="W59" i="68" a="1"/>
  <c r="Y58" i="68" a="1"/>
  <c r="Y58" i="68" s="1"/>
  <c r="X58" i="68" a="1"/>
  <c r="X58" i="68" s="1"/>
  <c r="W58" i="68" a="1"/>
  <c r="W58" i="68" s="1"/>
  <c r="Y57" i="68" a="1"/>
  <c r="Y57" i="68" s="1"/>
  <c r="X57" i="68" a="1"/>
  <c r="X57" i="68" s="1"/>
  <c r="W57" i="68" a="1"/>
  <c r="W57" i="68" s="1"/>
  <c r="Y56" i="68" a="1"/>
  <c r="Y56" i="68" s="1"/>
  <c r="X56" i="68" a="1"/>
  <c r="X56" i="68" s="1"/>
  <c r="W56" i="68" a="1"/>
  <c r="W56" i="68" s="1"/>
  <c r="Y55" i="68" a="1"/>
  <c r="Y55" i="68" s="1"/>
  <c r="X55" i="68" a="1"/>
  <c r="X55" i="68" s="1"/>
  <c r="W55" i="68" a="1"/>
  <c r="W55" i="68" s="1"/>
  <c r="Y54" i="68" a="1"/>
  <c r="Y54" i="68" s="1"/>
  <c r="X54" i="68" a="1"/>
  <c r="X54" i="68" s="1"/>
  <c r="W54" i="68"/>
  <c r="W54" i="68" a="1"/>
  <c r="Y53" i="68" a="1"/>
  <c r="Y53" i="68" s="1"/>
  <c r="X53" i="68" a="1"/>
  <c r="X53" i="68" s="1"/>
  <c r="W53" i="68" a="1"/>
  <c r="W53" i="68" s="1"/>
  <c r="Y52" i="68" a="1"/>
  <c r="Y52" i="68" s="1"/>
  <c r="X52" i="68" a="1"/>
  <c r="X52" i="68" s="1"/>
  <c r="W52" i="68"/>
  <c r="W52" i="68" a="1"/>
  <c r="Y51" i="68" a="1"/>
  <c r="Y51" i="68" s="1"/>
  <c r="X51" i="68" a="1"/>
  <c r="X51" i="68" s="1"/>
  <c r="W51" i="68" a="1"/>
  <c r="W51" i="68" s="1"/>
  <c r="Y50" i="68" a="1"/>
  <c r="Y50" i="68" s="1"/>
  <c r="X50" i="68" a="1"/>
  <c r="X50" i="68" s="1"/>
  <c r="W50" i="68" a="1"/>
  <c r="W50" i="68" s="1"/>
  <c r="Y49" i="68" a="1"/>
  <c r="Y49" i="68" s="1"/>
  <c r="X49" i="68" a="1"/>
  <c r="X49" i="68" s="1"/>
  <c r="W49" i="68" a="1"/>
  <c r="W49" i="68" s="1"/>
  <c r="Y48" i="68" a="1"/>
  <c r="Y48" i="68" s="1"/>
  <c r="X48" i="68" a="1"/>
  <c r="X48" i="68" s="1"/>
  <c r="W48" i="68" a="1"/>
  <c r="W48" i="68" s="1"/>
  <c r="Y47" i="68" a="1"/>
  <c r="Y47" i="68" s="1"/>
  <c r="X47" i="68" a="1"/>
  <c r="X47" i="68" s="1"/>
  <c r="W47" i="68" a="1"/>
  <c r="W47" i="68" s="1"/>
  <c r="Y46" i="68" a="1"/>
  <c r="Y46" i="68" s="1"/>
  <c r="X46" i="68" a="1"/>
  <c r="X46" i="68" s="1"/>
  <c r="W46" i="68" a="1"/>
  <c r="W46" i="68" s="1"/>
  <c r="Y45" i="68" a="1"/>
  <c r="Y45" i="68" s="1"/>
  <c r="X45" i="68"/>
  <c r="X45" i="68" a="1"/>
  <c r="W45" i="68"/>
  <c r="W45" i="68" a="1"/>
  <c r="Y44" i="68" a="1"/>
  <c r="Y44" i="68" s="1"/>
  <c r="X44" i="68" a="1"/>
  <c r="X44" i="68" s="1"/>
  <c r="W44" i="68" a="1"/>
  <c r="W44" i="68" s="1"/>
  <c r="Y43" i="68" a="1"/>
  <c r="Y43" i="68" s="1"/>
  <c r="X43" i="68"/>
  <c r="X43" i="68" a="1"/>
  <c r="W43" i="68" a="1"/>
  <c r="W43" i="68" s="1"/>
  <c r="Y42" i="68" a="1"/>
  <c r="Y42" i="68" s="1"/>
  <c r="X42" i="68" a="1"/>
  <c r="X42" i="68" s="1"/>
  <c r="W42" i="68" a="1"/>
  <c r="W42" i="68" s="1"/>
  <c r="Y41" i="68" a="1"/>
  <c r="Y41" i="68" s="1"/>
  <c r="X41" i="68" a="1"/>
  <c r="X41" i="68" s="1"/>
  <c r="W41" i="68" a="1"/>
  <c r="W41" i="68" s="1"/>
  <c r="Y40" i="68" a="1"/>
  <c r="Y40" i="68" s="1"/>
  <c r="X40" i="68" a="1"/>
  <c r="X40" i="68" s="1"/>
  <c r="W40" i="68" a="1"/>
  <c r="W40" i="68" s="1"/>
  <c r="Y39" i="68" a="1"/>
  <c r="Y39" i="68" s="1"/>
  <c r="X39" i="68" a="1"/>
  <c r="X39" i="68" s="1"/>
  <c r="W39" i="68" a="1"/>
  <c r="W39" i="68" s="1"/>
  <c r="Y38" i="68" a="1"/>
  <c r="Y38" i="68" s="1"/>
  <c r="X38" i="68" a="1"/>
  <c r="X38" i="68" s="1"/>
  <c r="W38" i="68"/>
  <c r="W38" i="68" a="1"/>
  <c r="Y37" i="68" a="1"/>
  <c r="Y37" i="68" s="1"/>
  <c r="X37" i="68" a="1"/>
  <c r="X37" i="68" s="1"/>
  <c r="W37" i="68" a="1"/>
  <c r="W37" i="68" s="1"/>
  <c r="Y36" i="68" a="1"/>
  <c r="Y36" i="68" s="1"/>
  <c r="X36" i="68"/>
  <c r="X36" i="68" a="1"/>
  <c r="W36" i="68" a="1"/>
  <c r="W36" i="68" s="1"/>
  <c r="Y35" i="68"/>
  <c r="Y35" i="68" a="1"/>
  <c r="X35" i="68" a="1"/>
  <c r="X35" i="68" s="1"/>
  <c r="W35" i="68" a="1"/>
  <c r="W35" i="68" s="1"/>
  <c r="Y34" i="68" a="1"/>
  <c r="Y34" i="68" s="1"/>
  <c r="X34" i="68" a="1"/>
  <c r="X34" i="68" s="1"/>
  <c r="W34" i="68" a="1"/>
  <c r="W34" i="68" s="1"/>
  <c r="Y33" i="68" a="1"/>
  <c r="Y33" i="68" s="1"/>
  <c r="X33" i="68" a="1"/>
  <c r="X33" i="68" s="1"/>
  <c r="W33" i="68" a="1"/>
  <c r="W33" i="68" s="1"/>
  <c r="Y32" i="68" a="1"/>
  <c r="Y32" i="68" s="1"/>
  <c r="X32" i="68" a="1"/>
  <c r="X32" i="68" s="1"/>
  <c r="W32" i="68" a="1"/>
  <c r="W32" i="68" s="1"/>
  <c r="Y31" i="68"/>
  <c r="Y31" i="68" a="1"/>
  <c r="X31" i="68"/>
  <c r="X31" i="68" a="1"/>
  <c r="W31" i="68"/>
  <c r="W31" i="68" a="1"/>
  <c r="Y30" i="68" a="1"/>
  <c r="Y30" i="68" s="1"/>
  <c r="X30" i="68" a="1"/>
  <c r="X30" i="68" s="1"/>
  <c r="W30" i="68" a="1"/>
  <c r="W30" i="68" s="1"/>
  <c r="Y29" i="68" a="1"/>
  <c r="Y29" i="68" s="1"/>
  <c r="X29" i="68"/>
  <c r="X29" i="68" a="1"/>
  <c r="W29" i="68" a="1"/>
  <c r="W29" i="68" s="1"/>
  <c r="Y28" i="68" a="1"/>
  <c r="Y28" i="68" s="1"/>
  <c r="X28" i="68" a="1"/>
  <c r="X28" i="68" s="1"/>
  <c r="W28" i="68" a="1"/>
  <c r="W28" i="68" s="1"/>
  <c r="Y27" i="68" a="1"/>
  <c r="Y27" i="68" s="1"/>
  <c r="X27" i="68" a="1"/>
  <c r="X27" i="68" s="1"/>
  <c r="W27" i="68" a="1"/>
  <c r="W27" i="68" s="1"/>
  <c r="Y26" i="68" a="1"/>
  <c r="Y26" i="68" s="1"/>
  <c r="X26" i="68" a="1"/>
  <c r="X26" i="68" s="1"/>
  <c r="W26" i="68" a="1"/>
  <c r="W26" i="68" s="1"/>
  <c r="Y25" i="68" a="1"/>
  <c r="Y25" i="68" s="1"/>
  <c r="X25" i="68" a="1"/>
  <c r="X25" i="68" s="1"/>
  <c r="W25" i="68" a="1"/>
  <c r="W25" i="68" s="1"/>
  <c r="Y24" i="68" a="1"/>
  <c r="Y24" i="68" s="1"/>
  <c r="X24" i="68" a="1"/>
  <c r="X24" i="68" s="1"/>
  <c r="W24" i="68"/>
  <c r="W24" i="68" a="1"/>
  <c r="Y23" i="68" a="1"/>
  <c r="Y23" i="68" s="1"/>
  <c r="X23" i="68" a="1"/>
  <c r="X23" i="68" s="1"/>
  <c r="W23" i="68" a="1"/>
  <c r="W23" i="68" s="1"/>
  <c r="Y22" i="68" a="1"/>
  <c r="Y22" i="68" s="1"/>
  <c r="X22" i="68"/>
  <c r="X22" i="68" a="1"/>
  <c r="W22" i="68" a="1"/>
  <c r="W22" i="68" s="1"/>
  <c r="Y21" i="68" a="1"/>
  <c r="Y21" i="68" s="1"/>
  <c r="X21" i="68" a="1"/>
  <c r="X21" i="68" s="1"/>
  <c r="W21" i="68" a="1"/>
  <c r="W21" i="68" s="1"/>
  <c r="Y20" i="68" a="1"/>
  <c r="Y20" i="68" s="1"/>
  <c r="X20" i="68" a="1"/>
  <c r="X20" i="68" s="1"/>
  <c r="W20" i="68" a="1"/>
  <c r="W20" i="68" s="1"/>
  <c r="Y19" i="68" a="1"/>
  <c r="Y19" i="68" s="1"/>
  <c r="X19" i="68" a="1"/>
  <c r="X19" i="68" s="1"/>
  <c r="W19" i="68" a="1"/>
  <c r="W19" i="68" s="1"/>
  <c r="Y18" i="68" a="1"/>
  <c r="Y18" i="68" s="1"/>
  <c r="X18" i="68" a="1"/>
  <c r="X18" i="68" s="1"/>
  <c r="W18" i="68"/>
  <c r="W18" i="68" a="1"/>
  <c r="Y17" i="68"/>
  <c r="Y17" i="68" a="1"/>
  <c r="X17" i="68" a="1"/>
  <c r="X17" i="68" s="1"/>
  <c r="W17" i="68" a="1"/>
  <c r="W17" i="68" s="1"/>
  <c r="Y16" i="68" a="1"/>
  <c r="Y16" i="68" s="1"/>
  <c r="X16" i="68" a="1"/>
  <c r="X16" i="68" s="1"/>
  <c r="W16" i="68" a="1"/>
  <c r="W16" i="68" s="1"/>
  <c r="Y15" i="68" a="1"/>
  <c r="Y15" i="68" s="1"/>
  <c r="X15" i="68"/>
  <c r="X15" i="68" a="1"/>
  <c r="W15" i="68" a="1"/>
  <c r="W15" i="68" s="1"/>
  <c r="Y14" i="68" a="1"/>
  <c r="Y14" i="68" s="1"/>
  <c r="X14" i="68" a="1"/>
  <c r="X14" i="68" s="1"/>
  <c r="W14" i="68" a="1"/>
  <c r="W14" i="68" s="1"/>
  <c r="Y13" i="68" a="1"/>
  <c r="Y13" i="68" s="1"/>
  <c r="X13" i="68"/>
  <c r="X13" i="68" a="1"/>
  <c r="W13" i="68" a="1"/>
  <c r="W13" i="68" s="1"/>
  <c r="Y12" i="68" a="1"/>
  <c r="Y12" i="68" s="1"/>
  <c r="X12" i="68" a="1"/>
  <c r="X12" i="68" s="1"/>
  <c r="W12" i="68" a="1"/>
  <c r="W12" i="68" s="1"/>
  <c r="Y11" i="68" a="1"/>
  <c r="Y11" i="68" s="1"/>
  <c r="X11" i="68" a="1"/>
  <c r="X11" i="68" s="1"/>
  <c r="W11" i="68" a="1"/>
  <c r="W11" i="68" s="1"/>
  <c r="Y10" i="68" a="1"/>
  <c r="Y10" i="68" s="1"/>
  <c r="X10" i="68" a="1"/>
  <c r="X10" i="68" s="1"/>
  <c r="W10" i="68" a="1"/>
  <c r="W10" i="68" s="1"/>
  <c r="Y9" i="68" a="1"/>
  <c r="Y9" i="68" s="1"/>
  <c r="X9" i="68" a="1"/>
  <c r="X9" i="68" s="1"/>
  <c r="W9" i="68" a="1"/>
  <c r="W9" i="68" s="1"/>
  <c r="Y8" i="68" a="1"/>
  <c r="Y8" i="68" s="1"/>
  <c r="X8" i="68"/>
  <c r="X8" i="68" a="1"/>
  <c r="W8" i="68" a="1"/>
  <c r="W8" i="68" s="1"/>
  <c r="Y7" i="68" a="1"/>
  <c r="Y7" i="68" s="1"/>
  <c r="X7" i="68" a="1"/>
  <c r="X7" i="68" s="1"/>
  <c r="W7" i="68" a="1"/>
  <c r="W7" i="68" s="1"/>
  <c r="Y6" i="68" a="1"/>
  <c r="Y6" i="68" s="1"/>
  <c r="X6" i="68"/>
  <c r="X6" i="68" a="1"/>
  <c r="W6" i="68" a="1"/>
  <c r="W6" i="68" s="1"/>
  <c r="Y5" i="68" a="1"/>
  <c r="Y5" i="68" s="1"/>
  <c r="X5" i="68" a="1"/>
  <c r="X5" i="68" s="1"/>
  <c r="W5" i="68" a="1"/>
  <c r="W5" i="68" s="1"/>
  <c r="Y4" i="68" a="1"/>
  <c r="Y4" i="68" s="1"/>
  <c r="X4" i="68" a="1"/>
  <c r="X4" i="68" s="1"/>
  <c r="W4" i="68" a="1"/>
  <c r="W4" i="68"/>
  <c r="B157" i="48"/>
  <c r="AA203" i="74" a="1"/>
  <c r="AA203" i="74" s="1"/>
  <c r="Z203" i="74" a="1"/>
  <c r="Z203" i="74" s="1"/>
  <c r="Y203" i="74" a="1"/>
  <c r="Y203" i="74" s="1"/>
  <c r="X203" i="74" a="1"/>
  <c r="X203" i="74" s="1"/>
  <c r="W203" i="74"/>
  <c r="W203" i="74" a="1"/>
  <c r="AA202" i="74" a="1"/>
  <c r="AA202" i="74" s="1"/>
  <c r="Z202" i="74" a="1"/>
  <c r="Z202" i="74" s="1"/>
  <c r="Y202" i="74" a="1"/>
  <c r="Y202" i="74" s="1"/>
  <c r="X202" i="74" a="1"/>
  <c r="X202" i="74" s="1"/>
  <c r="W202" i="74" a="1"/>
  <c r="W202" i="74" s="1"/>
  <c r="AA201" i="74" a="1"/>
  <c r="AA201" i="74" s="1"/>
  <c r="Z201" i="74" a="1"/>
  <c r="Z201" i="74" s="1"/>
  <c r="Y201" i="74"/>
  <c r="Y201" i="74" a="1"/>
  <c r="X201" i="74" a="1"/>
  <c r="X201" i="74" s="1"/>
  <c r="W201" i="74"/>
  <c r="W201" i="74" a="1"/>
  <c r="AA200" i="74"/>
  <c r="AA200" i="74" a="1"/>
  <c r="Z200" i="74" a="1"/>
  <c r="Z200" i="74" s="1"/>
  <c r="Y200" i="74"/>
  <c r="Y200" i="74" a="1"/>
  <c r="X200" i="74" a="1"/>
  <c r="X200" i="74" s="1"/>
  <c r="W200" i="74" a="1"/>
  <c r="W200" i="74" s="1"/>
  <c r="AA199" i="74" a="1"/>
  <c r="AA199" i="74" s="1"/>
  <c r="Z199" i="74"/>
  <c r="Z199" i="74" a="1"/>
  <c r="Y199" i="74" a="1"/>
  <c r="Y199" i="74" s="1"/>
  <c r="X199" i="74" a="1"/>
  <c r="X199" i="74" s="1"/>
  <c r="W199" i="74"/>
  <c r="W199" i="74" a="1"/>
  <c r="AA198" i="74" a="1"/>
  <c r="AA198" i="74" s="1"/>
  <c r="Z198" i="74" a="1"/>
  <c r="Z198" i="74" s="1"/>
  <c r="Y198" i="74" a="1"/>
  <c r="Y198" i="74" s="1"/>
  <c r="X198" i="74" a="1"/>
  <c r="X198" i="74" s="1"/>
  <c r="W198" i="74" a="1"/>
  <c r="W198" i="74" s="1"/>
  <c r="AA197" i="74" a="1"/>
  <c r="AA197" i="74" s="1"/>
  <c r="Z197" i="74" a="1"/>
  <c r="Z197" i="74" s="1"/>
  <c r="Y197" i="74" a="1"/>
  <c r="Y197" i="74" s="1"/>
  <c r="X197" i="74" a="1"/>
  <c r="X197" i="74" s="1"/>
  <c r="W197" i="74"/>
  <c r="W197" i="74" a="1"/>
  <c r="AA196" i="74"/>
  <c r="AA196" i="74" a="1"/>
  <c r="Z196" i="74"/>
  <c r="Z196" i="74" a="1"/>
  <c r="Y196" i="74" a="1"/>
  <c r="Y196" i="74" s="1"/>
  <c r="X196" i="74" a="1"/>
  <c r="X196" i="74" s="1"/>
  <c r="W196" i="74" a="1"/>
  <c r="W196" i="74" s="1"/>
  <c r="AA195" i="74" a="1"/>
  <c r="AA195" i="74" s="1"/>
  <c r="Z195" i="74" a="1"/>
  <c r="Z195" i="74" s="1"/>
  <c r="Y195" i="74"/>
  <c r="Y195" i="74" a="1"/>
  <c r="X195" i="74" a="1"/>
  <c r="X195" i="74" s="1"/>
  <c r="W195" i="74"/>
  <c r="W195" i="74" a="1"/>
  <c r="AA194" i="74" a="1"/>
  <c r="AA194" i="74" s="1"/>
  <c r="Z194" i="74" a="1"/>
  <c r="Z194" i="74" s="1"/>
  <c r="Y194" i="74" a="1"/>
  <c r="Y194" i="74" s="1"/>
  <c r="X194" i="74" a="1"/>
  <c r="X194" i="74" s="1"/>
  <c r="W194" i="74" a="1"/>
  <c r="W194" i="74" s="1"/>
  <c r="AA193" i="74" a="1"/>
  <c r="AA193" i="74" s="1"/>
  <c r="Z193" i="74" a="1"/>
  <c r="Z193" i="74" s="1"/>
  <c r="Y193" i="74"/>
  <c r="Y193" i="74" a="1"/>
  <c r="X193" i="74" a="1"/>
  <c r="X193" i="74" s="1"/>
  <c r="W193" i="74"/>
  <c r="W193" i="74" a="1"/>
  <c r="AA192" i="74" a="1"/>
  <c r="AA192" i="74" s="1"/>
  <c r="Z192" i="74" a="1"/>
  <c r="Z192" i="74" s="1"/>
  <c r="Y192" i="74"/>
  <c r="Y192" i="74" a="1"/>
  <c r="X192" i="74" a="1"/>
  <c r="X192" i="74" s="1"/>
  <c r="W192" i="74" a="1"/>
  <c r="W192" i="74" s="1"/>
  <c r="AA191" i="74" a="1"/>
  <c r="AA191" i="74" s="1"/>
  <c r="Z191" i="74" a="1"/>
  <c r="Z191" i="74" s="1"/>
  <c r="Y191" i="74" a="1"/>
  <c r="Y191" i="74" s="1"/>
  <c r="X191" i="74"/>
  <c r="X191" i="74" a="1"/>
  <c r="W191" i="74"/>
  <c r="W191" i="74" a="1"/>
  <c r="AA190" i="74" a="1"/>
  <c r="AA190" i="74" s="1"/>
  <c r="Z190" i="74" a="1"/>
  <c r="Z190" i="74" s="1"/>
  <c r="Y190" i="74" a="1"/>
  <c r="Y190" i="74" s="1"/>
  <c r="X190" i="74" a="1"/>
  <c r="X190" i="74" s="1"/>
  <c r="W190" i="74" a="1"/>
  <c r="W190" i="74" s="1"/>
  <c r="AA189" i="74" a="1"/>
  <c r="AA189" i="74" s="1"/>
  <c r="Z189" i="74" a="1"/>
  <c r="Z189" i="74" s="1"/>
  <c r="Y189" i="74" a="1"/>
  <c r="Y189" i="74" s="1"/>
  <c r="X189" i="74" a="1"/>
  <c r="X189" i="74" s="1"/>
  <c r="W189" i="74"/>
  <c r="W189" i="74" a="1"/>
  <c r="AA188" i="74" a="1"/>
  <c r="AA188" i="74" s="1"/>
  <c r="Z188" i="74" a="1"/>
  <c r="Z188" i="74" s="1"/>
  <c r="Y188" i="74" a="1"/>
  <c r="Y188" i="74" s="1"/>
  <c r="X188" i="74"/>
  <c r="X188" i="74" a="1"/>
  <c r="W188" i="74" a="1"/>
  <c r="W188" i="74" s="1"/>
  <c r="AA187" i="74" a="1"/>
  <c r="AA187" i="74" s="1"/>
  <c r="Z187" i="74"/>
  <c r="Z187" i="74" a="1"/>
  <c r="Y187" i="74" a="1"/>
  <c r="Y187" i="74" s="1"/>
  <c r="X187" i="74" a="1"/>
  <c r="X187" i="74" s="1"/>
  <c r="W187" i="74"/>
  <c r="W187" i="74" a="1"/>
  <c r="AA186" i="74" a="1"/>
  <c r="AA186" i="74" s="1"/>
  <c r="Z186" i="74"/>
  <c r="Z186" i="74" a="1"/>
  <c r="Y186" i="74" a="1"/>
  <c r="Y186" i="74" s="1"/>
  <c r="X186" i="74" a="1"/>
  <c r="X186" i="74" s="1"/>
  <c r="W186" i="74" a="1"/>
  <c r="W186" i="74" s="1"/>
  <c r="AA185" i="74" a="1"/>
  <c r="AA185" i="74" s="1"/>
  <c r="Z185" i="74" a="1"/>
  <c r="Z185" i="74" s="1"/>
  <c r="Y185" i="74" a="1"/>
  <c r="Y185" i="74" s="1"/>
  <c r="X185" i="74" a="1"/>
  <c r="X185" i="74" s="1"/>
  <c r="W185" i="74"/>
  <c r="W185" i="74" a="1"/>
  <c r="AA184" i="74" a="1"/>
  <c r="AA184" i="74" s="1"/>
  <c r="Z184" i="74" a="1"/>
  <c r="Z184" i="74" s="1"/>
  <c r="Y184" i="74" a="1"/>
  <c r="Y184" i="74" s="1"/>
  <c r="X184" i="74" a="1"/>
  <c r="X184" i="74" s="1"/>
  <c r="W184" i="74"/>
  <c r="W184" i="74" a="1"/>
  <c r="AA183" i="74" a="1"/>
  <c r="AA183" i="74" s="1"/>
  <c r="Z183" i="74"/>
  <c r="Z183" i="74" a="1"/>
  <c r="Y183" i="74" a="1"/>
  <c r="Y183" i="74" s="1"/>
  <c r="X183" i="74" a="1"/>
  <c r="X183" i="74" s="1"/>
  <c r="W183" i="74"/>
  <c r="W183" i="74" a="1"/>
  <c r="AA182" i="74"/>
  <c r="AA182" i="74" a="1"/>
  <c r="Z182" i="74" a="1"/>
  <c r="Z182" i="74" s="1"/>
  <c r="Y182" i="74" a="1"/>
  <c r="Y182" i="74" s="1"/>
  <c r="X182" i="74" a="1"/>
  <c r="X182" i="74" s="1"/>
  <c r="W182" i="74" a="1"/>
  <c r="W182" i="74" s="1"/>
  <c r="AA181" i="74" a="1"/>
  <c r="AA181" i="74" s="1"/>
  <c r="Z181" i="74" a="1"/>
  <c r="Z181" i="74" s="1"/>
  <c r="Y181" i="74" a="1"/>
  <c r="Y181" i="74" s="1"/>
  <c r="X181" i="74" a="1"/>
  <c r="X181" i="74" s="1"/>
  <c r="W181" i="74"/>
  <c r="W181" i="74" a="1"/>
  <c r="AA180" i="74"/>
  <c r="AA180" i="74" a="1"/>
  <c r="Z180" i="74" a="1"/>
  <c r="Z180" i="74" s="1"/>
  <c r="Y180" i="74" a="1"/>
  <c r="Y180" i="74" s="1"/>
  <c r="X180" i="74" a="1"/>
  <c r="X180" i="74" s="1"/>
  <c r="W180" i="74" a="1"/>
  <c r="W180" i="74" s="1"/>
  <c r="AA179" i="74" a="1"/>
  <c r="AA179" i="74" s="1"/>
  <c r="Z179" i="74" a="1"/>
  <c r="Z179" i="74" s="1"/>
  <c r="Y179" i="74" a="1"/>
  <c r="Y179" i="74" s="1"/>
  <c r="X179" i="74" a="1"/>
  <c r="X179" i="74" s="1"/>
  <c r="W179" i="74"/>
  <c r="W179" i="74" a="1"/>
  <c r="AA178" i="74" a="1"/>
  <c r="AA178" i="74" s="1"/>
  <c r="Z178" i="74"/>
  <c r="Z178" i="74" a="1"/>
  <c r="Y178" i="74" a="1"/>
  <c r="Y178" i="74" s="1"/>
  <c r="X178" i="74" a="1"/>
  <c r="X178" i="74" s="1"/>
  <c r="W178" i="74" a="1"/>
  <c r="W178" i="74" s="1"/>
  <c r="AA177" i="74" a="1"/>
  <c r="AA177" i="74" s="1"/>
  <c r="Z177" i="74"/>
  <c r="Z177" i="74" a="1"/>
  <c r="Y177" i="74" a="1"/>
  <c r="Y177" i="74" s="1"/>
  <c r="X177" i="74" a="1"/>
  <c r="X177" i="74" s="1"/>
  <c r="W177" i="74"/>
  <c r="W177" i="74" a="1"/>
  <c r="AA176" i="74" a="1"/>
  <c r="AA176" i="74" s="1"/>
  <c r="Z176" i="74" a="1"/>
  <c r="Z176" i="74" s="1"/>
  <c r="Y176" i="74" a="1"/>
  <c r="Y176" i="74" s="1"/>
  <c r="X176" i="74" a="1"/>
  <c r="X176" i="74" s="1"/>
  <c r="W176" i="74" a="1"/>
  <c r="W176" i="74" s="1"/>
  <c r="AA175" i="74" a="1"/>
  <c r="AA175" i="74" s="1"/>
  <c r="Z175" i="74" a="1"/>
  <c r="Z175" i="74" s="1"/>
  <c r="Y175" i="74" a="1"/>
  <c r="Y175" i="74" s="1"/>
  <c r="X175" i="74"/>
  <c r="X175" i="74" a="1"/>
  <c r="W175" i="74"/>
  <c r="W175" i="74" a="1"/>
  <c r="AA174" i="74" a="1"/>
  <c r="AA174" i="74" s="1"/>
  <c r="Z174" i="74" a="1"/>
  <c r="Z174" i="74" s="1"/>
  <c r="Y174" i="74"/>
  <c r="Y174" i="74" a="1"/>
  <c r="X174" i="74" a="1"/>
  <c r="X174" i="74" s="1"/>
  <c r="W174" i="74"/>
  <c r="W174" i="74" a="1"/>
  <c r="AA173" i="74" a="1"/>
  <c r="AA173" i="74" s="1"/>
  <c r="Z173" i="74" a="1"/>
  <c r="Z173" i="74" s="1"/>
  <c r="Y173" i="74"/>
  <c r="Y173" i="74" a="1"/>
  <c r="X173" i="74" a="1"/>
  <c r="X173" i="74" s="1"/>
  <c r="W173" i="74"/>
  <c r="W173" i="74" a="1"/>
  <c r="AA172" i="74" a="1"/>
  <c r="AA172" i="74" s="1"/>
  <c r="Z172" i="74" a="1"/>
  <c r="Z172" i="74" s="1"/>
  <c r="Y172" i="74" a="1"/>
  <c r="Y172" i="74" s="1"/>
  <c r="X172" i="74" a="1"/>
  <c r="X172" i="74" s="1"/>
  <c r="W172" i="74" a="1"/>
  <c r="W172" i="74" s="1"/>
  <c r="AA171" i="74" a="1"/>
  <c r="AA171" i="74" s="1"/>
  <c r="Z171" i="74" a="1"/>
  <c r="Z171" i="74" s="1"/>
  <c r="Y171" i="74"/>
  <c r="Y171" i="74" a="1"/>
  <c r="X171" i="74" a="1"/>
  <c r="X171" i="74" s="1"/>
  <c r="W171" i="74"/>
  <c r="W171" i="74" a="1"/>
  <c r="AA170" i="74" a="1"/>
  <c r="AA170" i="74" s="1"/>
  <c r="Z170" i="74" a="1"/>
  <c r="Z170" i="74" s="1"/>
  <c r="Y170" i="74"/>
  <c r="Y170" i="74" a="1"/>
  <c r="X170" i="74"/>
  <c r="X170" i="74" a="1"/>
  <c r="W170" i="74" a="1"/>
  <c r="W170" i="74" s="1"/>
  <c r="AA169" i="74" a="1"/>
  <c r="AA169" i="74" s="1"/>
  <c r="Z169" i="74" a="1"/>
  <c r="Z169" i="74" s="1"/>
  <c r="Y169" i="74" a="1"/>
  <c r="Y169" i="74" s="1"/>
  <c r="X169" i="74"/>
  <c r="X169" i="74" a="1"/>
  <c r="W169" i="74"/>
  <c r="W169" i="74" a="1"/>
  <c r="AA168" i="74" a="1"/>
  <c r="AA168" i="74" s="1"/>
  <c r="Z168" i="74" a="1"/>
  <c r="Z168" i="74" s="1"/>
  <c r="Y168" i="74" a="1"/>
  <c r="Y168" i="74" s="1"/>
  <c r="X168" i="74"/>
  <c r="X168" i="74" a="1"/>
  <c r="W168" i="74" a="1"/>
  <c r="W168" i="74" s="1"/>
  <c r="AA167" i="74" a="1"/>
  <c r="AA167" i="74" s="1"/>
  <c r="Z167" i="74" a="1"/>
  <c r="Z167" i="74" s="1"/>
  <c r="Y167" i="74" a="1"/>
  <c r="Y167" i="74" s="1"/>
  <c r="X167" i="74" a="1"/>
  <c r="X167" i="74" s="1"/>
  <c r="W167" i="74"/>
  <c r="W167" i="74" a="1"/>
  <c r="AA166" i="74" a="1"/>
  <c r="AA166" i="74" s="1"/>
  <c r="Z166" i="74" a="1"/>
  <c r="Z166" i="74" s="1"/>
  <c r="Y166" i="74" a="1"/>
  <c r="Y166" i="74" s="1"/>
  <c r="X166" i="74" a="1"/>
  <c r="X166" i="74" s="1"/>
  <c r="W166" i="74"/>
  <c r="W166" i="74" a="1"/>
  <c r="AA165" i="74" a="1"/>
  <c r="AA165" i="74" s="1"/>
  <c r="Z165" i="74" a="1"/>
  <c r="Z165" i="74" s="1"/>
  <c r="Y165" i="74" a="1"/>
  <c r="Y165" i="74" s="1"/>
  <c r="X165" i="74" a="1"/>
  <c r="X165" i="74" s="1"/>
  <c r="W165" i="74"/>
  <c r="W165" i="74" a="1"/>
  <c r="AA164" i="74" a="1"/>
  <c r="AA164" i="74" s="1"/>
  <c r="Z164" i="74" a="1"/>
  <c r="Z164" i="74" s="1"/>
  <c r="Y164" i="74" a="1"/>
  <c r="Y164" i="74" s="1"/>
  <c r="X164" i="74" a="1"/>
  <c r="X164" i="74" s="1"/>
  <c r="W164" i="74" a="1"/>
  <c r="W164" i="74" s="1"/>
  <c r="AA163" i="74" a="1"/>
  <c r="AA163" i="74" s="1"/>
  <c r="Z163" i="74" a="1"/>
  <c r="Z163" i="74" s="1"/>
  <c r="Y163" i="74" a="1"/>
  <c r="Y163" i="74" s="1"/>
  <c r="X163" i="74" a="1"/>
  <c r="X163" i="74" s="1"/>
  <c r="W163" i="74"/>
  <c r="W163" i="74" a="1"/>
  <c r="AA162" i="74" a="1"/>
  <c r="AA162" i="74" s="1"/>
  <c r="Z162" i="74" a="1"/>
  <c r="Z162" i="74" s="1"/>
  <c r="Y162" i="74"/>
  <c r="Y162" i="74" a="1"/>
  <c r="X162" i="74" a="1"/>
  <c r="X162" i="74" s="1"/>
  <c r="W162" i="74" a="1"/>
  <c r="W162" i="74" s="1"/>
  <c r="AA161" i="74" a="1"/>
  <c r="AA161" i="74" s="1"/>
  <c r="Z161" i="74" a="1"/>
  <c r="Z161" i="74" s="1"/>
  <c r="Y161" i="74"/>
  <c r="Y161" i="74" a="1"/>
  <c r="X161" i="74" a="1"/>
  <c r="X161" i="74" s="1"/>
  <c r="W161" i="74"/>
  <c r="W161" i="74" a="1"/>
  <c r="AA160" i="74"/>
  <c r="AA160" i="74" a="1"/>
  <c r="Z160" i="74" a="1"/>
  <c r="Z160" i="74" s="1"/>
  <c r="Y160" i="74" a="1"/>
  <c r="Y160" i="74" s="1"/>
  <c r="X160" i="74" a="1"/>
  <c r="X160" i="74" s="1"/>
  <c r="W160" i="74" a="1"/>
  <c r="W160" i="74" s="1"/>
  <c r="AA159" i="74" a="1"/>
  <c r="AA159" i="74" s="1"/>
  <c r="Z159" i="74"/>
  <c r="Z159" i="74" a="1"/>
  <c r="Y159" i="74" a="1"/>
  <c r="Y159" i="74" s="1"/>
  <c r="X159" i="74" a="1"/>
  <c r="X159" i="74" s="1"/>
  <c r="W159" i="74"/>
  <c r="W159" i="74" a="1"/>
  <c r="AA158" i="74" a="1"/>
  <c r="AA158" i="74" s="1"/>
  <c r="Z158" i="74" a="1"/>
  <c r="Z158" i="74" s="1"/>
  <c r="Y158" i="74" a="1"/>
  <c r="Y158" i="74" s="1"/>
  <c r="X158" i="74" a="1"/>
  <c r="X158" i="74" s="1"/>
  <c r="W158" i="74" a="1"/>
  <c r="W158" i="74" s="1"/>
  <c r="AA157" i="74" a="1"/>
  <c r="AA157" i="74" s="1"/>
  <c r="Z157" i="74" a="1"/>
  <c r="Z157" i="74" s="1"/>
  <c r="Y157" i="74" a="1"/>
  <c r="Y157" i="74" s="1"/>
  <c r="X157" i="74" a="1"/>
  <c r="X157" i="74" s="1"/>
  <c r="W157" i="74"/>
  <c r="W157" i="74" a="1"/>
  <c r="AA156" i="74" a="1"/>
  <c r="AA156" i="74" s="1"/>
  <c r="Z156" i="74"/>
  <c r="Z156" i="74" a="1"/>
  <c r="Y156" i="74" a="1"/>
  <c r="Y156" i="74" s="1"/>
  <c r="X156" i="74" a="1"/>
  <c r="X156" i="74" s="1"/>
  <c r="W156" i="74"/>
  <c r="W156" i="74" a="1"/>
  <c r="AA155" i="74" a="1"/>
  <c r="AA155" i="74" s="1"/>
  <c r="Z155" i="74" a="1"/>
  <c r="Z155" i="74" s="1"/>
  <c r="Y155" i="74"/>
  <c r="Y155" i="74" a="1"/>
  <c r="X155" i="74" a="1"/>
  <c r="X155" i="74" s="1"/>
  <c r="W155" i="74"/>
  <c r="W155" i="74" a="1"/>
  <c r="AA154" i="74" a="1"/>
  <c r="AA154" i="74" s="1"/>
  <c r="Z154" i="74" a="1"/>
  <c r="Z154" i="74" s="1"/>
  <c r="Y154" i="74" a="1"/>
  <c r="Y154" i="74" s="1"/>
  <c r="X154" i="74" a="1"/>
  <c r="X154" i="74" s="1"/>
  <c r="W154" i="74" a="1"/>
  <c r="W154" i="74" s="1"/>
  <c r="AA153" i="74" a="1"/>
  <c r="AA153" i="74" s="1"/>
  <c r="Z153" i="74" a="1"/>
  <c r="Z153" i="74" s="1"/>
  <c r="Y153" i="74" a="1"/>
  <c r="Y153" i="74" s="1"/>
  <c r="X153" i="74" a="1"/>
  <c r="X153" i="74" s="1"/>
  <c r="W153" i="74"/>
  <c r="W153" i="74" a="1"/>
  <c r="AA152" i="74" a="1"/>
  <c r="AA152" i="74" s="1"/>
  <c r="Z152" i="74" a="1"/>
  <c r="Z152" i="74" s="1"/>
  <c r="Y152" i="74"/>
  <c r="Y152" i="74" a="1"/>
  <c r="X152" i="74" a="1"/>
  <c r="X152" i="74" s="1"/>
  <c r="W152" i="74"/>
  <c r="W152" i="74" a="1"/>
  <c r="AA151" i="74" a="1"/>
  <c r="AA151" i="74" s="1"/>
  <c r="Z151" i="74" a="1"/>
  <c r="Z151" i="74" s="1"/>
  <c r="Y151" i="74" a="1"/>
  <c r="Y151" i="74" s="1"/>
  <c r="X151" i="74"/>
  <c r="X151" i="74" a="1"/>
  <c r="W151" i="74"/>
  <c r="W151" i="74" a="1"/>
  <c r="AA150" i="74"/>
  <c r="AA150" i="74" a="1"/>
  <c r="Z150" i="74" a="1"/>
  <c r="Z150" i="74" s="1"/>
  <c r="Y150" i="74" a="1"/>
  <c r="Y150" i="74" s="1"/>
  <c r="X150" i="74" a="1"/>
  <c r="X150" i="74" s="1"/>
  <c r="W150" i="74" a="1"/>
  <c r="W150" i="74" s="1"/>
  <c r="AA149" i="74" a="1"/>
  <c r="AA149" i="74" s="1"/>
  <c r="Z149" i="74" a="1"/>
  <c r="Z149" i="74" s="1"/>
  <c r="Y149" i="74" a="1"/>
  <c r="Y149" i="74" s="1"/>
  <c r="X149" i="74" a="1"/>
  <c r="X149" i="74" s="1"/>
  <c r="W149" i="74"/>
  <c r="W149" i="74" a="1"/>
  <c r="AA148" i="74" a="1"/>
  <c r="AA148" i="74" s="1"/>
  <c r="Z148" i="74"/>
  <c r="Z148" i="74" a="1"/>
  <c r="Y148" i="74" a="1"/>
  <c r="Y148" i="74" s="1"/>
  <c r="X148" i="74"/>
  <c r="X148" i="74" a="1"/>
  <c r="W148" i="74" a="1"/>
  <c r="W148" i="74" s="1"/>
  <c r="AA147" i="74" a="1"/>
  <c r="AA147" i="74" s="1"/>
  <c r="Z147" i="74"/>
  <c r="Z147" i="74" a="1"/>
  <c r="Y147" i="74" a="1"/>
  <c r="Y147" i="74" s="1"/>
  <c r="X147" i="74" a="1"/>
  <c r="X147" i="74" s="1"/>
  <c r="W147" i="74"/>
  <c r="W147" i="74" a="1"/>
  <c r="AA146" i="74" a="1"/>
  <c r="AA146" i="74" s="1"/>
  <c r="Z146" i="74" a="1"/>
  <c r="Z146" i="74" s="1"/>
  <c r="Y146" i="74"/>
  <c r="Y146" i="74" a="1"/>
  <c r="X146" i="74" a="1"/>
  <c r="X146" i="74" s="1"/>
  <c r="W146" i="74" a="1"/>
  <c r="W146" i="74" s="1"/>
  <c r="AA145" i="74" a="1"/>
  <c r="AA145" i="74" s="1"/>
  <c r="Z145" i="74" a="1"/>
  <c r="Z145" i="74" s="1"/>
  <c r="Y145" i="74" a="1"/>
  <c r="Y145" i="74" s="1"/>
  <c r="X145" i="74"/>
  <c r="X145" i="74" a="1"/>
  <c r="W145" i="74" a="1"/>
  <c r="W145" i="74" s="1"/>
  <c r="AA144" i="74" a="1"/>
  <c r="AA144" i="74" s="1"/>
  <c r="Z144" i="74" a="1"/>
  <c r="Z144" i="74" s="1"/>
  <c r="Y144" i="74" a="1"/>
  <c r="Y144" i="74" s="1"/>
  <c r="X144" i="74" a="1"/>
  <c r="X144" i="74" s="1"/>
  <c r="W144" i="74"/>
  <c r="W144" i="74" a="1"/>
  <c r="AA143" i="74" a="1"/>
  <c r="AA143" i="74" s="1"/>
  <c r="Z143" i="74" a="1"/>
  <c r="Z143" i="74" s="1"/>
  <c r="Y143" i="74" a="1"/>
  <c r="Y143" i="74" s="1"/>
  <c r="X143" i="74" a="1"/>
  <c r="X143" i="74" s="1"/>
  <c r="W143" i="74"/>
  <c r="W143" i="74" a="1"/>
  <c r="AA142" i="74"/>
  <c r="AA142" i="74" a="1"/>
  <c r="Z142" i="74" a="1"/>
  <c r="Z142" i="74" s="1"/>
  <c r="Y142" i="74" a="1"/>
  <c r="Y142" i="74" s="1"/>
  <c r="X142" i="74" a="1"/>
  <c r="X142" i="74" s="1"/>
  <c r="W142" i="74" a="1"/>
  <c r="W142" i="74" s="1"/>
  <c r="AA141" i="74" a="1"/>
  <c r="AA141" i="74" s="1"/>
  <c r="Z141" i="74" a="1"/>
  <c r="Z141" i="74" s="1"/>
  <c r="Y141" i="74" a="1"/>
  <c r="Y141" i="74" s="1"/>
  <c r="X141" i="74" a="1"/>
  <c r="X141" i="74" s="1"/>
  <c r="W141" i="74" a="1"/>
  <c r="W141" i="74" s="1"/>
  <c r="AA140" i="74"/>
  <c r="AA140" i="74" a="1"/>
  <c r="Z140" i="74" a="1"/>
  <c r="Z140" i="74" s="1"/>
  <c r="Y140" i="74" a="1"/>
  <c r="Y140" i="74" s="1"/>
  <c r="X140" i="74" a="1"/>
  <c r="X140" i="74" s="1"/>
  <c r="W140" i="74" a="1"/>
  <c r="W140" i="74" s="1"/>
  <c r="AA139" i="74" a="1"/>
  <c r="AA139" i="74" s="1"/>
  <c r="Z139" i="74" a="1"/>
  <c r="Z139" i="74" s="1"/>
  <c r="Y139" i="74" a="1"/>
  <c r="Y139" i="74" s="1"/>
  <c r="X139" i="74" a="1"/>
  <c r="X139" i="74" s="1"/>
  <c r="W139" i="74" a="1"/>
  <c r="W139" i="74" s="1"/>
  <c r="AA138" i="74" a="1"/>
  <c r="AA138" i="74" s="1"/>
  <c r="Z138" i="74"/>
  <c r="Z138" i="74" a="1"/>
  <c r="Y138" i="74" a="1"/>
  <c r="Y138" i="74" s="1"/>
  <c r="X138" i="74" a="1"/>
  <c r="X138" i="74" s="1"/>
  <c r="W138" i="74" a="1"/>
  <c r="W138" i="74" s="1"/>
  <c r="AA137" i="74" a="1"/>
  <c r="AA137" i="74" s="1"/>
  <c r="Z137" i="74"/>
  <c r="Z137" i="74" a="1"/>
  <c r="Y137" i="74" a="1"/>
  <c r="Y137" i="74" s="1"/>
  <c r="X137" i="74" a="1"/>
  <c r="X137" i="74" s="1"/>
  <c r="W137" i="74"/>
  <c r="W137" i="74" a="1"/>
  <c r="AA136" i="74" a="1"/>
  <c r="AA136" i="74" s="1"/>
  <c r="Z136" i="74" a="1"/>
  <c r="Z136" i="74" s="1"/>
  <c r="Y136" i="74" a="1"/>
  <c r="Y136" i="74" s="1"/>
  <c r="X136" i="74" a="1"/>
  <c r="X136" i="74" s="1"/>
  <c r="W136" i="74"/>
  <c r="W136" i="74" a="1"/>
  <c r="AA135" i="74" a="1"/>
  <c r="AA135" i="74" s="1"/>
  <c r="Z135" i="74" a="1"/>
  <c r="Z135" i="74" s="1"/>
  <c r="Y135" i="74" a="1"/>
  <c r="Y135" i="74" s="1"/>
  <c r="X135" i="74" a="1"/>
  <c r="X135" i="74" s="1"/>
  <c r="W135" i="74" a="1"/>
  <c r="W135" i="74" s="1"/>
  <c r="AA134" i="74" a="1"/>
  <c r="AA134" i="74" s="1"/>
  <c r="Z134" i="74" a="1"/>
  <c r="Z134" i="74" s="1"/>
  <c r="Y134" i="74"/>
  <c r="Y134" i="74" a="1"/>
  <c r="X134" i="74" a="1"/>
  <c r="X134" i="74" s="1"/>
  <c r="W134" i="74" a="1"/>
  <c r="W134" i="74" s="1"/>
  <c r="AA133" i="74" a="1"/>
  <c r="AA133" i="74" s="1"/>
  <c r="Z133" i="74"/>
  <c r="Z133" i="74" a="1"/>
  <c r="Y133" i="74"/>
  <c r="Y133" i="74" a="1"/>
  <c r="X133" i="74" a="1"/>
  <c r="X133" i="74" s="1"/>
  <c r="W133" i="74" a="1"/>
  <c r="W133" i="74" s="1"/>
  <c r="AA132" i="74" a="1"/>
  <c r="AA132" i="74" s="1"/>
  <c r="Z132" i="74" a="1"/>
  <c r="Z132" i="74" s="1"/>
  <c r="Y132" i="74"/>
  <c r="Y132" i="74" a="1"/>
  <c r="X132" i="74" a="1"/>
  <c r="X132" i="74" s="1"/>
  <c r="W132" i="74" a="1"/>
  <c r="W132" i="74" s="1"/>
  <c r="AA131" i="74" a="1"/>
  <c r="AA131" i="74" s="1"/>
  <c r="Z131" i="74" a="1"/>
  <c r="Z131" i="74" s="1"/>
  <c r="Y131" i="74" a="1"/>
  <c r="Y131" i="74" s="1"/>
  <c r="X131" i="74" a="1"/>
  <c r="X131" i="74" s="1"/>
  <c r="W131" i="74" a="1"/>
  <c r="W131" i="74" s="1"/>
  <c r="AA130" i="74" a="1"/>
  <c r="AA130" i="74" s="1"/>
  <c r="Z130" i="74" a="1"/>
  <c r="Z130" i="74" s="1"/>
  <c r="Y130" i="74" a="1"/>
  <c r="Y130" i="74" s="1"/>
  <c r="X130" i="74"/>
  <c r="X130" i="74" a="1"/>
  <c r="W130" i="74" a="1"/>
  <c r="W130" i="74" s="1"/>
  <c r="AA129" i="74" a="1"/>
  <c r="AA129" i="74" s="1"/>
  <c r="Z129" i="74" a="1"/>
  <c r="Z129" i="74" s="1"/>
  <c r="Y129" i="74" a="1"/>
  <c r="Y129" i="74" s="1"/>
  <c r="X129" i="74"/>
  <c r="X129" i="74" a="1"/>
  <c r="W129" i="74" a="1"/>
  <c r="W129" i="74" s="1"/>
  <c r="AA128" i="74" a="1"/>
  <c r="AA128" i="74" s="1"/>
  <c r="Z128" i="74" a="1"/>
  <c r="Z128" i="74" s="1"/>
  <c r="Y128" i="74" a="1"/>
  <c r="Y128" i="74" s="1"/>
  <c r="X128" i="74" a="1"/>
  <c r="X128" i="74" s="1"/>
  <c r="W128" i="74" a="1"/>
  <c r="W128" i="74" s="1"/>
  <c r="AA127" i="74" a="1"/>
  <c r="AA127" i="74" s="1"/>
  <c r="Z127" i="74"/>
  <c r="Z127" i="74" a="1"/>
  <c r="Y127" i="74" a="1"/>
  <c r="Y127" i="74" s="1"/>
  <c r="X127" i="74" a="1"/>
  <c r="X127" i="74" s="1"/>
  <c r="W127" i="74" a="1"/>
  <c r="W127" i="74" s="1"/>
  <c r="AA126" i="74" a="1"/>
  <c r="AA126" i="74" s="1"/>
  <c r="Z126" i="74"/>
  <c r="Z126" i="74" a="1"/>
  <c r="Y126" i="74" a="1"/>
  <c r="Y126" i="74" s="1"/>
  <c r="X126" i="74" a="1"/>
  <c r="X126" i="74" s="1"/>
  <c r="W126" i="74"/>
  <c r="W126" i="74" a="1"/>
  <c r="AA125" i="74" a="1"/>
  <c r="AA125" i="74" s="1"/>
  <c r="Z125" i="74" a="1"/>
  <c r="Z125" i="74" s="1"/>
  <c r="Y125" i="74"/>
  <c r="Y125" i="74" a="1"/>
  <c r="X125" i="74" a="1"/>
  <c r="X125" i="74" s="1"/>
  <c r="W125" i="74"/>
  <c r="W125" i="74" a="1"/>
  <c r="AA124" i="74" a="1"/>
  <c r="AA124" i="74" s="1"/>
  <c r="Z124" i="74" a="1"/>
  <c r="Z124" i="74" s="1"/>
  <c r="Y124" i="74"/>
  <c r="Y124" i="74" a="1"/>
  <c r="X124" i="74" a="1"/>
  <c r="X124" i="74" s="1"/>
  <c r="W124" i="74" a="1"/>
  <c r="W124" i="74" s="1"/>
  <c r="AA123" i="74" a="1"/>
  <c r="AA123" i="74" s="1"/>
  <c r="Z123" i="74" a="1"/>
  <c r="Z123" i="74" s="1"/>
  <c r="Y123" i="74" a="1"/>
  <c r="Y123" i="74" s="1"/>
  <c r="X123" i="74" a="1"/>
  <c r="X123" i="74" s="1"/>
  <c r="W123" i="74" a="1"/>
  <c r="W123" i="74" s="1"/>
  <c r="AA122" i="74" a="1"/>
  <c r="AA122" i="74" s="1"/>
  <c r="Z122" i="74" a="1"/>
  <c r="Z122" i="74" s="1"/>
  <c r="Y122" i="74" a="1"/>
  <c r="Y122" i="74" s="1"/>
  <c r="X122" i="74"/>
  <c r="X122" i="74" a="1"/>
  <c r="W122" i="74" a="1"/>
  <c r="W122" i="74" s="1"/>
  <c r="AA121" i="74" a="1"/>
  <c r="AA121" i="74" s="1"/>
  <c r="Z121" i="74" a="1"/>
  <c r="Z121" i="74" s="1"/>
  <c r="Y121" i="74" a="1"/>
  <c r="Y121" i="74" s="1"/>
  <c r="X121" i="74" a="1"/>
  <c r="X121" i="74" s="1"/>
  <c r="W121" i="74" a="1"/>
  <c r="W121" i="74" s="1"/>
  <c r="AA120" i="74"/>
  <c r="AA120" i="74" a="1"/>
  <c r="Z120" i="74" a="1"/>
  <c r="Z120" i="74" s="1"/>
  <c r="Y120" i="74" a="1"/>
  <c r="Y120" i="74" s="1"/>
  <c r="X120" i="74" a="1"/>
  <c r="X120" i="74" s="1"/>
  <c r="W120" i="74" a="1"/>
  <c r="W120" i="74" s="1"/>
  <c r="AA119" i="74" a="1"/>
  <c r="AA119" i="74" s="1"/>
  <c r="Z119" i="74"/>
  <c r="Z119" i="74" a="1"/>
  <c r="Y119" i="74" a="1"/>
  <c r="Y119" i="74" s="1"/>
  <c r="X119" i="74" a="1"/>
  <c r="X119" i="74" s="1"/>
  <c r="W119" i="74" a="1"/>
  <c r="W119" i="74" s="1"/>
  <c r="AA118" i="74" a="1"/>
  <c r="AA118" i="74" s="1"/>
  <c r="Z118" i="74" a="1"/>
  <c r="Z118" i="74" s="1"/>
  <c r="Y118" i="74"/>
  <c r="Y118" i="74" a="1"/>
  <c r="X118" i="74" a="1"/>
  <c r="X118" i="74" s="1"/>
  <c r="W118" i="74" a="1"/>
  <c r="W118" i="74" s="1"/>
  <c r="AA117" i="74" a="1"/>
  <c r="AA117" i="74" s="1"/>
  <c r="Z117" i="74" a="1"/>
  <c r="Z117" i="74" s="1"/>
  <c r="Y117" i="74" a="1"/>
  <c r="Y117" i="74" s="1"/>
  <c r="X117" i="74" a="1"/>
  <c r="X117" i="74" s="1"/>
  <c r="W117" i="74" a="1"/>
  <c r="W117" i="74" s="1"/>
  <c r="AA116" i="74" a="1"/>
  <c r="AA116" i="74" s="1"/>
  <c r="Z116" i="74"/>
  <c r="Z116" i="74" a="1"/>
  <c r="Y116" i="74" a="1"/>
  <c r="Y116" i="74" s="1"/>
  <c r="X116" i="74" a="1"/>
  <c r="X116" i="74" s="1"/>
  <c r="W116" i="74" a="1"/>
  <c r="W116" i="74" s="1"/>
  <c r="AA115" i="74" a="1"/>
  <c r="AA115" i="74" s="1"/>
  <c r="Z115" i="74" a="1"/>
  <c r="Z115" i="74" s="1"/>
  <c r="Y115" i="74"/>
  <c r="Y115" i="74" a="1"/>
  <c r="X115" i="74" a="1"/>
  <c r="X115" i="74" s="1"/>
  <c r="W115" i="74"/>
  <c r="W115" i="74" a="1"/>
  <c r="AA114" i="74" a="1"/>
  <c r="AA114" i="74" s="1"/>
  <c r="Z114" i="74" a="1"/>
  <c r="Z114" i="74" s="1"/>
  <c r="Y114" i="74" a="1"/>
  <c r="Y114" i="74" s="1"/>
  <c r="X114" i="74" a="1"/>
  <c r="X114" i="74" s="1"/>
  <c r="W114" i="74" a="1"/>
  <c r="W114" i="74" s="1"/>
  <c r="AA113" i="74" a="1"/>
  <c r="AA113" i="74" s="1"/>
  <c r="Z113" i="74" a="1"/>
  <c r="Z113" i="74" s="1"/>
  <c r="Y113" i="74" a="1"/>
  <c r="Y113" i="74" s="1"/>
  <c r="X113" i="74" a="1"/>
  <c r="X113" i="74" s="1"/>
  <c r="W113" i="74" a="1"/>
  <c r="W113" i="74" s="1"/>
  <c r="AA112" i="74" a="1"/>
  <c r="AA112" i="74" s="1"/>
  <c r="Z112" i="74" a="1"/>
  <c r="Z112" i="74" s="1"/>
  <c r="Y112" i="74"/>
  <c r="Y112" i="74" a="1"/>
  <c r="X112" i="74" a="1"/>
  <c r="X112" i="74" s="1"/>
  <c r="W112" i="74" a="1"/>
  <c r="W112" i="74" s="1"/>
  <c r="AA111" i="74" a="1"/>
  <c r="AA111" i="74" s="1"/>
  <c r="Z111" i="74" a="1"/>
  <c r="Z111" i="74" s="1"/>
  <c r="Y111" i="74"/>
  <c r="Y111" i="74" a="1"/>
  <c r="X111" i="74"/>
  <c r="X111" i="74" a="1"/>
  <c r="W111" i="74" a="1"/>
  <c r="W111" i="74" s="1"/>
  <c r="AA110" i="74" a="1"/>
  <c r="AA110" i="74" s="1"/>
  <c r="Z110" i="74" a="1"/>
  <c r="Z110" i="74" s="1"/>
  <c r="Y110" i="74"/>
  <c r="Y110" i="74" a="1"/>
  <c r="X110" i="74" a="1"/>
  <c r="X110" i="74" s="1"/>
  <c r="W110" i="74" a="1"/>
  <c r="W110" i="74" s="1"/>
  <c r="AA109" i="74" a="1"/>
  <c r="AA109" i="74" s="1"/>
  <c r="Z109" i="74" a="1"/>
  <c r="Z109" i="74" s="1"/>
  <c r="Y109" i="74" a="1"/>
  <c r="Y109" i="74" s="1"/>
  <c r="X109" i="74" a="1"/>
  <c r="X109" i="74" s="1"/>
  <c r="W109" i="74" a="1"/>
  <c r="W109" i="74" s="1"/>
  <c r="AA108" i="74" a="1"/>
  <c r="AA108" i="74" s="1"/>
  <c r="Z108" i="74" a="1"/>
  <c r="Z108" i="74" s="1"/>
  <c r="Y108" i="74" a="1"/>
  <c r="Y108" i="74" s="1"/>
  <c r="X108" i="74"/>
  <c r="X108" i="74" a="1"/>
  <c r="W108" i="74" a="1"/>
  <c r="W108" i="74" s="1"/>
  <c r="AA107" i="74" a="1"/>
  <c r="AA107" i="74" s="1"/>
  <c r="Z107" i="74" a="1"/>
  <c r="Z107" i="74" s="1"/>
  <c r="Y107" i="74" a="1"/>
  <c r="Y107" i="74" s="1"/>
  <c r="X107" i="74" a="1"/>
  <c r="X107" i="74" s="1"/>
  <c r="W107" i="74"/>
  <c r="W107" i="74" a="1"/>
  <c r="AA106" i="74" a="1"/>
  <c r="AA106" i="74" s="1"/>
  <c r="Z106" i="74" a="1"/>
  <c r="Z106" i="74" s="1"/>
  <c r="Y106" i="74" a="1"/>
  <c r="Y106" i="74" s="1"/>
  <c r="X106" i="74" a="1"/>
  <c r="X106" i="74" s="1"/>
  <c r="W106" i="74" a="1"/>
  <c r="W106" i="74" s="1"/>
  <c r="AA105" i="74" a="1"/>
  <c r="AA105" i="74" s="1"/>
  <c r="Z105" i="74"/>
  <c r="Z105" i="74" a="1"/>
  <c r="Y105" i="74" a="1"/>
  <c r="Y105" i="74" s="1"/>
  <c r="X105" i="74" a="1"/>
  <c r="X105" i="74" s="1"/>
  <c r="W105" i="74" a="1"/>
  <c r="W105" i="74" s="1"/>
  <c r="AA104" i="74" a="1"/>
  <c r="AA104" i="74" s="1"/>
  <c r="Z104" i="74" a="1"/>
  <c r="Z104" i="74" s="1"/>
  <c r="Y104" i="74"/>
  <c r="Y104" i="74" a="1"/>
  <c r="X104" i="74" a="1"/>
  <c r="X104" i="74" s="1"/>
  <c r="W104" i="74"/>
  <c r="W104" i="74" a="1"/>
  <c r="AA103" i="74" a="1"/>
  <c r="AA103" i="74" s="1"/>
  <c r="Z103" i="74" a="1"/>
  <c r="Z103" i="74" s="1"/>
  <c r="Y103" i="74"/>
  <c r="Y103" i="74" a="1"/>
  <c r="X103" i="74" a="1"/>
  <c r="X103" i="74" s="1"/>
  <c r="W103" i="74" a="1"/>
  <c r="W103" i="74" s="1"/>
  <c r="AA102" i="74"/>
  <c r="AA102" i="74" a="1"/>
  <c r="Z102" i="74" a="1"/>
  <c r="Z102" i="74" s="1"/>
  <c r="Y102" i="74" a="1"/>
  <c r="Y102" i="74" s="1"/>
  <c r="X102" i="74"/>
  <c r="X102" i="74" a="1"/>
  <c r="W102" i="74" a="1"/>
  <c r="W102" i="74" s="1"/>
  <c r="AA101" i="74" a="1"/>
  <c r="AA101" i="74" s="1"/>
  <c r="Z101" i="74" a="1"/>
  <c r="Z101" i="74" s="1"/>
  <c r="Y101" i="74" a="1"/>
  <c r="Y101" i="74" s="1"/>
  <c r="X101" i="74" a="1"/>
  <c r="X101" i="74" s="1"/>
  <c r="W101" i="74" a="1"/>
  <c r="W101" i="74" s="1"/>
  <c r="AA100" i="74" a="1"/>
  <c r="AA100" i="74" s="1"/>
  <c r="Z100" i="74" a="1"/>
  <c r="Z100" i="74" s="1"/>
  <c r="Y100" i="74" a="1"/>
  <c r="Y100" i="74" s="1"/>
  <c r="X100" i="74" a="1"/>
  <c r="X100" i="74" s="1"/>
  <c r="W100" i="74" a="1"/>
  <c r="W100" i="74" s="1"/>
  <c r="AA99" i="74" a="1"/>
  <c r="AA99" i="74" s="1"/>
  <c r="Z99" i="74" a="1"/>
  <c r="Z99" i="74" s="1"/>
  <c r="Y99" i="74" a="1"/>
  <c r="Y99" i="74" s="1"/>
  <c r="X99" i="74" a="1"/>
  <c r="X99" i="74" s="1"/>
  <c r="W99" i="74" a="1"/>
  <c r="W99" i="74" s="1"/>
  <c r="AA98" i="74"/>
  <c r="AA98" i="74" a="1"/>
  <c r="Z98" i="74"/>
  <c r="Z98" i="74" a="1"/>
  <c r="Y98" i="74" a="1"/>
  <c r="Y98" i="74" s="1"/>
  <c r="X98" i="74" a="1"/>
  <c r="X98" i="74" s="1"/>
  <c r="W98" i="74" a="1"/>
  <c r="W98" i="74" s="1"/>
  <c r="AA97" i="74" a="1"/>
  <c r="AA97" i="74" s="1"/>
  <c r="Z97" i="74"/>
  <c r="Z97" i="74" a="1"/>
  <c r="Y97" i="74" a="1"/>
  <c r="Y97" i="74" s="1"/>
  <c r="X97" i="74" a="1"/>
  <c r="X97" i="74" s="1"/>
  <c r="W97" i="74" a="1"/>
  <c r="W97" i="74" s="1"/>
  <c r="AA96" i="74" a="1"/>
  <c r="AA96" i="74" s="1"/>
  <c r="Z96" i="74" a="1"/>
  <c r="Z96" i="74" s="1"/>
  <c r="Y96" i="74" a="1"/>
  <c r="Y96" i="74" s="1"/>
  <c r="X96" i="74" a="1"/>
  <c r="X96" i="74" s="1"/>
  <c r="W96" i="74" a="1"/>
  <c r="W96" i="74" s="1"/>
  <c r="AA95" i="74" a="1"/>
  <c r="AA95" i="74" s="1"/>
  <c r="Z95" i="74" a="1"/>
  <c r="Z95" i="74" s="1"/>
  <c r="Y95" i="74" a="1"/>
  <c r="Y95" i="74" s="1"/>
  <c r="X95" i="74" a="1"/>
  <c r="X95" i="74" s="1"/>
  <c r="W95" i="74" a="1"/>
  <c r="W95" i="74" s="1"/>
  <c r="AA94" i="74" a="1"/>
  <c r="AA94" i="74" s="1"/>
  <c r="Z94" i="74" a="1"/>
  <c r="Z94" i="74" s="1"/>
  <c r="Y94" i="74"/>
  <c r="Y94" i="74" a="1"/>
  <c r="X94" i="74" a="1"/>
  <c r="X94" i="74" s="1"/>
  <c r="W94" i="74" a="1"/>
  <c r="W94" i="74" s="1"/>
  <c r="AA93" i="74" a="1"/>
  <c r="AA93" i="74" s="1"/>
  <c r="Z93" i="74" a="1"/>
  <c r="Z93" i="74" s="1"/>
  <c r="Y93" i="74"/>
  <c r="Y93" i="74" a="1"/>
  <c r="X93" i="74" a="1"/>
  <c r="X93" i="74" s="1"/>
  <c r="W93" i="74" a="1"/>
  <c r="W93" i="74" s="1"/>
  <c r="AA92" i="74"/>
  <c r="AA92" i="74" a="1"/>
  <c r="Z92" i="74" a="1"/>
  <c r="Z92" i="74" s="1"/>
  <c r="Y92" i="74" a="1"/>
  <c r="Y92" i="74" s="1"/>
  <c r="X92" i="74" a="1"/>
  <c r="X92" i="74" s="1"/>
  <c r="W92" i="74" a="1"/>
  <c r="W92" i="74" s="1"/>
  <c r="AA91" i="74" a="1"/>
  <c r="AA91" i="74" s="1"/>
  <c r="Z91" i="74" a="1"/>
  <c r="Z91" i="74" s="1"/>
  <c r="Y91" i="74" a="1"/>
  <c r="Y91" i="74" s="1"/>
  <c r="X91" i="74" a="1"/>
  <c r="X91" i="74" s="1"/>
  <c r="W91" i="74" a="1"/>
  <c r="W91" i="74" s="1"/>
  <c r="AA90" i="74" a="1"/>
  <c r="AA90" i="74" s="1"/>
  <c r="Z90" i="74" a="1"/>
  <c r="Z90" i="74" s="1"/>
  <c r="Y90" i="74" a="1"/>
  <c r="Y90" i="74" s="1"/>
  <c r="X90" i="74"/>
  <c r="X90" i="74" a="1"/>
  <c r="W90" i="74" a="1"/>
  <c r="W90" i="74" s="1"/>
  <c r="AA89" i="74" a="1"/>
  <c r="AA89" i="74" s="1"/>
  <c r="Z89" i="74" a="1"/>
  <c r="Z89" i="74" s="1"/>
  <c r="Y89" i="74" a="1"/>
  <c r="Y89" i="74" s="1"/>
  <c r="X89" i="74"/>
  <c r="X89" i="74" a="1"/>
  <c r="W89" i="74" a="1"/>
  <c r="W89" i="74" s="1"/>
  <c r="AA88" i="74" a="1"/>
  <c r="AA88" i="74" s="1"/>
  <c r="Z88" i="74" a="1"/>
  <c r="Z88" i="74" s="1"/>
  <c r="Y88" i="74" a="1"/>
  <c r="Y88" i="74" s="1"/>
  <c r="X88" i="74" a="1"/>
  <c r="X88" i="74" s="1"/>
  <c r="W88" i="74" a="1"/>
  <c r="W88" i="74" s="1"/>
  <c r="AA87" i="74" a="1"/>
  <c r="AA87" i="74" s="1"/>
  <c r="Z87" i="74" a="1"/>
  <c r="Z87" i="74" s="1"/>
  <c r="Y87" i="74" a="1"/>
  <c r="Y87" i="74" s="1"/>
  <c r="X87" i="74"/>
  <c r="X87" i="74" a="1"/>
  <c r="W87" i="74" a="1"/>
  <c r="W87" i="74" s="1"/>
  <c r="AA86" i="74" a="1"/>
  <c r="AA86" i="74" s="1"/>
  <c r="Z86" i="74" a="1"/>
  <c r="Z86" i="74" s="1"/>
  <c r="Y86" i="74" a="1"/>
  <c r="Y86" i="74" s="1"/>
  <c r="X86" i="74" a="1"/>
  <c r="X86" i="74" s="1"/>
  <c r="W86" i="74"/>
  <c r="W86" i="74" a="1"/>
  <c r="AA85" i="74" a="1"/>
  <c r="AA85" i="74" s="1"/>
  <c r="Z85" i="74" a="1"/>
  <c r="Z85" i="74" s="1"/>
  <c r="Y85" i="74" a="1"/>
  <c r="Y85" i="74" s="1"/>
  <c r="X85" i="74"/>
  <c r="X85" i="74" a="1"/>
  <c r="W85" i="74"/>
  <c r="W85" i="74" a="1"/>
  <c r="AA84" i="74" a="1"/>
  <c r="AA84" i="74" s="1"/>
  <c r="Z84" i="74" a="1"/>
  <c r="Z84" i="74" s="1"/>
  <c r="Y84" i="74" a="1"/>
  <c r="Y84" i="74" s="1"/>
  <c r="X84" i="74" a="1"/>
  <c r="X84" i="74" s="1"/>
  <c r="W84" i="74"/>
  <c r="W84" i="74" a="1"/>
  <c r="AA83" i="74" a="1"/>
  <c r="AA83" i="74" s="1"/>
  <c r="Z83" i="74" a="1"/>
  <c r="Z83" i="74" s="1"/>
  <c r="Y83" i="74" a="1"/>
  <c r="Y83" i="74" s="1"/>
  <c r="X83" i="74" a="1"/>
  <c r="X83" i="74" s="1"/>
  <c r="W83" i="74" a="1"/>
  <c r="W83" i="74" s="1"/>
  <c r="AA82" i="74" a="1"/>
  <c r="AA82" i="74" s="1"/>
  <c r="Z82" i="74" a="1"/>
  <c r="Z82" i="74" s="1"/>
  <c r="Y82" i="74" a="1"/>
  <c r="Y82" i="74" s="1"/>
  <c r="X82" i="74" a="1"/>
  <c r="X82" i="74" s="1"/>
  <c r="W82" i="74" a="1"/>
  <c r="W82" i="74" s="1"/>
  <c r="AA81" i="74" a="1"/>
  <c r="AA81" i="74" s="1"/>
  <c r="Z81" i="74" a="1"/>
  <c r="Z81" i="74" s="1"/>
  <c r="Y81" i="74"/>
  <c r="Y81" i="74" a="1"/>
  <c r="X81" i="74" a="1"/>
  <c r="X81" i="74" s="1"/>
  <c r="W81" i="74" a="1"/>
  <c r="W81" i="74" s="1"/>
  <c r="AA80" i="74"/>
  <c r="AA80" i="74" a="1"/>
  <c r="Z80" i="74" a="1"/>
  <c r="Z80" i="74" s="1"/>
  <c r="Y80" i="74"/>
  <c r="Y80" i="74" a="1"/>
  <c r="X80" i="74" a="1"/>
  <c r="X80" i="74" s="1"/>
  <c r="W80" i="74" a="1"/>
  <c r="W80" i="74" s="1"/>
  <c r="AA79" i="74" a="1"/>
  <c r="AA79" i="74" s="1"/>
  <c r="Z79" i="74"/>
  <c r="Z79" i="74" a="1"/>
  <c r="Y79" i="74" a="1"/>
  <c r="Y79" i="74" s="1"/>
  <c r="X79" i="74"/>
  <c r="X79" i="74" a="1"/>
  <c r="W79" i="74" a="1"/>
  <c r="W79" i="74" s="1"/>
  <c r="AA78" i="74" a="1"/>
  <c r="AA78" i="74" s="1"/>
  <c r="Z78" i="74" a="1"/>
  <c r="Z78" i="74" s="1"/>
  <c r="Y78" i="74" a="1"/>
  <c r="Y78" i="74" s="1"/>
  <c r="X78" i="74"/>
  <c r="X78" i="74" a="1"/>
  <c r="W78" i="74" a="1"/>
  <c r="W78" i="74" s="1"/>
  <c r="AA77" i="74" a="1"/>
  <c r="AA77" i="74" s="1"/>
  <c r="Z77" i="74" a="1"/>
  <c r="Z77" i="74" s="1"/>
  <c r="Y77" i="74" a="1"/>
  <c r="Y77" i="74" s="1"/>
  <c r="X77" i="74" a="1"/>
  <c r="X77" i="74" s="1"/>
  <c r="W77" i="74" a="1"/>
  <c r="W77" i="74" s="1"/>
  <c r="AA76" i="74" a="1"/>
  <c r="AA76" i="74" s="1"/>
  <c r="Z76" i="74"/>
  <c r="Z76" i="74" a="1"/>
  <c r="Y76" i="74" a="1"/>
  <c r="Y76" i="74" s="1"/>
  <c r="X76" i="74" a="1"/>
  <c r="X76" i="74" s="1"/>
  <c r="W76" i="74" a="1"/>
  <c r="W76" i="74" s="1"/>
  <c r="AA75" i="74" a="1"/>
  <c r="AA75" i="74" s="1"/>
  <c r="Z75" i="74" a="1"/>
  <c r="Z75" i="74" s="1"/>
  <c r="Y75" i="74"/>
  <c r="Y75" i="74" a="1"/>
  <c r="X75" i="74" a="1"/>
  <c r="X75" i="74" s="1"/>
  <c r="W75" i="74" a="1"/>
  <c r="W75" i="74" s="1"/>
  <c r="AA74" i="74" a="1"/>
  <c r="AA74" i="74" s="1"/>
  <c r="Z74" i="74" a="1"/>
  <c r="Z74" i="74" s="1"/>
  <c r="Y74" i="74" a="1"/>
  <c r="Y74" i="74" s="1"/>
  <c r="X74" i="74" a="1"/>
  <c r="X74" i="74" s="1"/>
  <c r="W74" i="74" a="1"/>
  <c r="W74" i="74" s="1"/>
  <c r="AA73" i="74" a="1"/>
  <c r="AA73" i="74" s="1"/>
  <c r="Z73" i="74"/>
  <c r="Z73" i="74" a="1"/>
  <c r="Y73" i="74" a="1"/>
  <c r="Y73" i="74" s="1"/>
  <c r="X73" i="74" a="1"/>
  <c r="X73" i="74" s="1"/>
  <c r="W73" i="74" a="1"/>
  <c r="W73" i="74" s="1"/>
  <c r="AA72" i="74" a="1"/>
  <c r="AA72" i="74" s="1"/>
  <c r="Z72" i="74"/>
  <c r="Z72" i="74" a="1"/>
  <c r="Y72" i="74"/>
  <c r="Y72" i="74" a="1"/>
  <c r="X72" i="74" a="1"/>
  <c r="X72" i="74" s="1"/>
  <c r="W72" i="74" a="1"/>
  <c r="W72" i="74" s="1"/>
  <c r="AA71" i="74" a="1"/>
  <c r="AA71" i="74" s="1"/>
  <c r="Z71" i="74" a="1"/>
  <c r="Z71" i="74" s="1"/>
  <c r="Y71" i="74" a="1"/>
  <c r="Y71" i="74" s="1"/>
  <c r="X71" i="74"/>
  <c r="X71" i="74" a="1"/>
  <c r="W71" i="74" a="1"/>
  <c r="W71" i="74" s="1"/>
  <c r="AA70" i="74" a="1"/>
  <c r="AA70" i="74" s="1"/>
  <c r="Z70" i="74" a="1"/>
  <c r="Z70" i="74" s="1"/>
  <c r="Y70" i="74" a="1"/>
  <c r="Y70" i="74" s="1"/>
  <c r="X70" i="74" a="1"/>
  <c r="X70" i="74" s="1"/>
  <c r="W70" i="74" a="1"/>
  <c r="W70" i="74" s="1"/>
  <c r="AA69" i="74" a="1"/>
  <c r="AA69" i="74" s="1"/>
  <c r="Z69" i="74" a="1"/>
  <c r="Z69" i="74" s="1"/>
  <c r="Y69" i="74" a="1"/>
  <c r="Y69" i="74" s="1"/>
  <c r="X69" i="74" a="1"/>
  <c r="X69" i="74" s="1"/>
  <c r="W69" i="74" a="1"/>
  <c r="W69" i="74" s="1"/>
  <c r="AA68" i="74" a="1"/>
  <c r="AA68" i="74" s="1"/>
  <c r="Z68" i="74" a="1"/>
  <c r="Z68" i="74" s="1"/>
  <c r="Y68" i="74" a="1"/>
  <c r="Y68" i="74" s="1"/>
  <c r="X68" i="74"/>
  <c r="X68" i="74" a="1"/>
  <c r="W68" i="74" a="1"/>
  <c r="W68" i="74" s="1"/>
  <c r="AA67" i="74" a="1"/>
  <c r="AA67" i="74" s="1"/>
  <c r="Z67" i="74" a="1"/>
  <c r="Z67" i="74" s="1"/>
  <c r="Y67" i="74" a="1"/>
  <c r="Y67" i="74" s="1"/>
  <c r="X67" i="74" a="1"/>
  <c r="X67" i="74" s="1"/>
  <c r="W67" i="74"/>
  <c r="W67" i="74" a="1"/>
  <c r="AA66" i="74"/>
  <c r="AA66" i="74" a="1"/>
  <c r="Z66" i="74" a="1"/>
  <c r="Z66" i="74" s="1"/>
  <c r="Y66" i="74" a="1"/>
  <c r="Y66" i="74" s="1"/>
  <c r="X66" i="74" a="1"/>
  <c r="X66" i="74" s="1"/>
  <c r="W66" i="74" a="1"/>
  <c r="W66" i="74" s="1"/>
  <c r="AA65" i="74" a="1"/>
  <c r="AA65" i="74" s="1"/>
  <c r="Z65" i="74" a="1"/>
  <c r="Z65" i="74" s="1"/>
  <c r="Y65" i="74" a="1"/>
  <c r="Y65" i="74" s="1"/>
  <c r="X65" i="74" a="1"/>
  <c r="X65" i="74" s="1"/>
  <c r="W65" i="74" a="1"/>
  <c r="W65" i="74" s="1"/>
  <c r="AA64" i="74" a="1"/>
  <c r="AA64" i="74" s="1"/>
  <c r="Z64" i="74" a="1"/>
  <c r="Z64" i="74" s="1"/>
  <c r="Y64" i="74" a="1"/>
  <c r="Y64" i="74" s="1"/>
  <c r="X64" i="74" a="1"/>
  <c r="X64" i="74" s="1"/>
  <c r="W64" i="74"/>
  <c r="W64" i="74" a="1"/>
  <c r="AA63" i="74" a="1"/>
  <c r="AA63" i="74" s="1"/>
  <c r="Z63" i="74" a="1"/>
  <c r="Z63" i="74" s="1"/>
  <c r="Y63" i="74" a="1"/>
  <c r="Y63" i="74" s="1"/>
  <c r="X63" i="74" a="1"/>
  <c r="X63" i="74" s="1"/>
  <c r="W63" i="74" a="1"/>
  <c r="W63" i="74" s="1"/>
  <c r="AA62" i="74"/>
  <c r="AA62" i="74" a="1"/>
  <c r="Z62" i="74" a="1"/>
  <c r="Z62" i="74" s="1"/>
  <c r="Y62" i="74"/>
  <c r="Y62" i="74" a="1"/>
  <c r="X62" i="74" a="1"/>
  <c r="X62" i="74" s="1"/>
  <c r="W62" i="74" a="1"/>
  <c r="W62" i="74" s="1"/>
  <c r="AA61" i="74" a="1"/>
  <c r="AA61" i="74" s="1"/>
  <c r="Z61" i="74" a="1"/>
  <c r="Z61" i="74" s="1"/>
  <c r="Y61" i="74" a="1"/>
  <c r="Y61" i="74" s="1"/>
  <c r="X61" i="74"/>
  <c r="X61" i="74" a="1"/>
  <c r="W61" i="74" a="1"/>
  <c r="W61" i="74" s="1"/>
  <c r="AA60" i="74" a="1"/>
  <c r="AA60" i="74" s="1"/>
  <c r="Z60" i="74" a="1"/>
  <c r="Z60" i="74" s="1"/>
  <c r="Y60" i="74" a="1"/>
  <c r="Y60" i="74" s="1"/>
  <c r="X60" i="74" a="1"/>
  <c r="X60" i="74" s="1"/>
  <c r="W60" i="74" a="1"/>
  <c r="W60" i="74" s="1"/>
  <c r="AA59" i="74" a="1"/>
  <c r="AA59" i="74" s="1"/>
  <c r="Z59" i="74" a="1"/>
  <c r="Z59" i="74" s="1"/>
  <c r="Y59" i="74" a="1"/>
  <c r="Y59" i="74" s="1"/>
  <c r="X59" i="74" a="1"/>
  <c r="X59" i="74" s="1"/>
  <c r="W59" i="74" a="1"/>
  <c r="W59" i="74" s="1"/>
  <c r="AA58" i="74"/>
  <c r="AA58" i="74" a="1"/>
  <c r="Z58" i="74"/>
  <c r="Z58" i="74" a="1"/>
  <c r="Y58" i="74" a="1"/>
  <c r="Y58" i="74" s="1"/>
  <c r="X58" i="74" a="1"/>
  <c r="X58" i="74" s="1"/>
  <c r="W58" i="74" a="1"/>
  <c r="W58" i="74" s="1"/>
  <c r="AA57" i="74" a="1"/>
  <c r="AA57" i="74" s="1"/>
  <c r="Z57" i="74"/>
  <c r="Z57" i="74" a="1"/>
  <c r="Y57" i="74" a="1"/>
  <c r="Y57" i="74" s="1"/>
  <c r="X57" i="74"/>
  <c r="X57" i="74" a="1"/>
  <c r="W57" i="74" a="1"/>
  <c r="W57" i="74" s="1"/>
  <c r="AA56" i="74" a="1"/>
  <c r="AA56" i="74" s="1"/>
  <c r="Z56" i="74"/>
  <c r="Z56" i="74" a="1"/>
  <c r="Y56" i="74" a="1"/>
  <c r="Y56" i="74" s="1"/>
  <c r="X56" i="74" a="1"/>
  <c r="X56" i="74" s="1"/>
  <c r="W56" i="74" a="1"/>
  <c r="W56" i="74" s="1"/>
  <c r="AA55" i="74" a="1"/>
  <c r="AA55" i="74" s="1"/>
  <c r="Z55" i="74" a="1"/>
  <c r="Z55" i="74" s="1"/>
  <c r="Y55" i="74" a="1"/>
  <c r="Y55" i="74" s="1"/>
  <c r="X55" i="74" a="1"/>
  <c r="X55" i="74" s="1"/>
  <c r="W55" i="74" a="1"/>
  <c r="W55" i="74" s="1"/>
  <c r="AA54" i="74" a="1"/>
  <c r="AA54" i="74" s="1"/>
  <c r="Z54" i="74" a="1"/>
  <c r="Z54" i="74" s="1"/>
  <c r="Y54" i="74"/>
  <c r="Y54" i="74" a="1"/>
  <c r="X54" i="74" a="1"/>
  <c r="X54" i="74" s="1"/>
  <c r="W54" i="74" a="1"/>
  <c r="W54" i="74" s="1"/>
  <c r="AA53" i="74" a="1"/>
  <c r="AA53" i="74" s="1"/>
  <c r="Z53" i="74" a="1"/>
  <c r="Z53" i="74" s="1"/>
  <c r="Y53" i="74"/>
  <c r="Y53" i="74" a="1"/>
  <c r="X53" i="74" a="1"/>
  <c r="X53" i="74" s="1"/>
  <c r="W53" i="74" a="1"/>
  <c r="W53" i="74" s="1"/>
  <c r="AA52" i="74" a="1"/>
  <c r="AA52" i="74" s="1"/>
  <c r="Z52" i="74" a="1"/>
  <c r="Z52" i="74" s="1"/>
  <c r="Y52" i="74" a="1"/>
  <c r="Y52" i="74" s="1"/>
  <c r="X52" i="74" a="1"/>
  <c r="X52" i="74" s="1"/>
  <c r="W52" i="74" a="1"/>
  <c r="W52" i="74" s="1"/>
  <c r="AA51" i="74" a="1"/>
  <c r="AA51" i="74" s="1"/>
  <c r="Z51" i="74" a="1"/>
  <c r="Z51" i="74" s="1"/>
  <c r="Y51" i="74" a="1"/>
  <c r="Y51" i="74" s="1"/>
  <c r="X51" i="74" a="1"/>
  <c r="X51" i="74" s="1"/>
  <c r="W51" i="74"/>
  <c r="W51" i="74" a="1"/>
  <c r="AA50" i="74" a="1"/>
  <c r="AA50" i="74" s="1"/>
  <c r="Z50" i="74" a="1"/>
  <c r="Z50" i="74" s="1"/>
  <c r="Y50" i="74"/>
  <c r="Y50" i="74" a="1"/>
  <c r="X50" i="74"/>
  <c r="X50" i="74" a="1"/>
  <c r="W50" i="74" a="1"/>
  <c r="W50" i="74" s="1"/>
  <c r="AA49" i="74" a="1"/>
  <c r="AA49" i="74" s="1"/>
  <c r="Z49" i="74" a="1"/>
  <c r="Z49" i="74" s="1"/>
  <c r="Y49" i="74" a="1"/>
  <c r="Y49" i="74" s="1"/>
  <c r="X49" i="74"/>
  <c r="X49" i="74" a="1"/>
  <c r="W49" i="74"/>
  <c r="W49" i="74" a="1"/>
  <c r="AA48" i="74" a="1"/>
  <c r="AA48" i="74" s="1"/>
  <c r="Z48" i="74" a="1"/>
  <c r="Z48" i="74" s="1"/>
  <c r="Y48" i="74" a="1"/>
  <c r="Y48" i="74" s="1"/>
  <c r="X48" i="74" a="1"/>
  <c r="X48" i="74" s="1"/>
  <c r="W48" i="74" a="1"/>
  <c r="W48" i="74" s="1"/>
  <c r="AA47" i="74" a="1"/>
  <c r="AA47" i="74" s="1"/>
  <c r="Z47" i="74"/>
  <c r="Z47" i="74" a="1"/>
  <c r="Y47" i="74" a="1"/>
  <c r="Y47" i="74" s="1"/>
  <c r="X47" i="74" a="1"/>
  <c r="X47" i="74" s="1"/>
  <c r="W47" i="74" a="1"/>
  <c r="W47" i="74" s="1"/>
  <c r="AA46" i="74" a="1"/>
  <c r="AA46" i="74" s="1"/>
  <c r="Z46" i="74"/>
  <c r="Z46" i="74" a="1"/>
  <c r="Y46" i="74" a="1"/>
  <c r="Y46" i="74" s="1"/>
  <c r="X46" i="74" a="1"/>
  <c r="X46" i="74" s="1"/>
  <c r="W46" i="74"/>
  <c r="W46" i="74" a="1"/>
  <c r="AA45" i="74" a="1"/>
  <c r="AA45" i="74" s="1"/>
  <c r="Z45" i="74" a="1"/>
  <c r="Z45" i="74" s="1"/>
  <c r="Y45" i="74"/>
  <c r="Y45" i="74" a="1"/>
  <c r="X45" i="74" a="1"/>
  <c r="X45" i="74" s="1"/>
  <c r="W45" i="74"/>
  <c r="W45" i="74" a="1"/>
  <c r="AA44" i="74" a="1"/>
  <c r="AA44" i="74" s="1"/>
  <c r="Z44" i="74" a="1"/>
  <c r="Z44" i="74" s="1"/>
  <c r="Y44" i="74" a="1"/>
  <c r="Y44" i="74" s="1"/>
  <c r="X44" i="74" a="1"/>
  <c r="X44" i="74" s="1"/>
  <c r="W44" i="74" a="1"/>
  <c r="W44" i="74" s="1"/>
  <c r="AA43" i="74" a="1"/>
  <c r="AA43" i="74" s="1"/>
  <c r="Z43" i="74"/>
  <c r="Z43" i="74" a="1"/>
  <c r="Y43" i="74" a="1"/>
  <c r="Y43" i="74" s="1"/>
  <c r="X43" i="74" a="1"/>
  <c r="X43" i="74" s="1"/>
  <c r="W43" i="74" a="1"/>
  <c r="W43" i="74" s="1"/>
  <c r="AA42" i="74" a="1"/>
  <c r="AA42" i="74" s="1"/>
  <c r="Z42" i="74" a="1"/>
  <c r="Z42" i="74" s="1"/>
  <c r="Y42" i="74"/>
  <c r="Y42" i="74" a="1"/>
  <c r="X42" i="74" a="1"/>
  <c r="X42" i="74" s="1"/>
  <c r="W42" i="74" a="1"/>
  <c r="W42" i="74" s="1"/>
  <c r="AA41" i="74" a="1"/>
  <c r="AA41" i="74" s="1"/>
  <c r="Z41" i="74" a="1"/>
  <c r="Z41" i="74" s="1"/>
  <c r="Y41" i="74" a="1"/>
  <c r="Y41" i="74" s="1"/>
  <c r="X41" i="74" a="1"/>
  <c r="X41" i="74" s="1"/>
  <c r="W41" i="74"/>
  <c r="W41" i="74" a="1"/>
  <c r="AA40" i="74"/>
  <c r="AA40" i="74" a="1"/>
  <c r="Z40" i="74" a="1"/>
  <c r="Z40" i="74" s="1"/>
  <c r="Y40" i="74" a="1"/>
  <c r="Y40" i="74" s="1"/>
  <c r="X40" i="74" a="1"/>
  <c r="X40" i="74" s="1"/>
  <c r="W40" i="74" a="1"/>
  <c r="W40" i="74" s="1"/>
  <c r="AA39" i="74" a="1"/>
  <c r="AA39" i="74" s="1"/>
  <c r="Z39" i="74"/>
  <c r="Z39" i="74" a="1"/>
  <c r="Y39" i="74" a="1"/>
  <c r="Y39" i="74" s="1"/>
  <c r="X39" i="74" a="1"/>
  <c r="X39" i="74" s="1"/>
  <c r="W39" i="74" a="1"/>
  <c r="W39" i="74" s="1"/>
  <c r="AA38" i="74" a="1"/>
  <c r="AA38" i="74" s="1"/>
  <c r="Z38" i="74" a="1"/>
  <c r="Z38" i="74" s="1"/>
  <c r="Y38" i="74" a="1"/>
  <c r="Y38" i="74" s="1"/>
  <c r="X38" i="74" a="1"/>
  <c r="X38" i="74" s="1"/>
  <c r="W38" i="74" a="1"/>
  <c r="W38" i="74" s="1"/>
  <c r="AA37" i="74" a="1"/>
  <c r="AA37" i="74" s="1"/>
  <c r="Z37" i="74" a="1"/>
  <c r="Z37" i="74" s="1"/>
  <c r="Y37" i="74" a="1"/>
  <c r="Y37" i="74" s="1"/>
  <c r="X37" i="74" a="1"/>
  <c r="X37" i="74" s="1"/>
  <c r="W37" i="74" a="1"/>
  <c r="W37" i="74" s="1"/>
  <c r="AA36" i="74" a="1"/>
  <c r="AA36" i="74" s="1"/>
  <c r="Z36" i="74"/>
  <c r="Z36" i="74" a="1"/>
  <c r="Y36" i="74" a="1"/>
  <c r="Y36" i="74" s="1"/>
  <c r="X36" i="74" a="1"/>
  <c r="X36" i="74" s="1"/>
  <c r="W36" i="74" a="1"/>
  <c r="W36" i="74" s="1"/>
  <c r="AA35" i="74" a="1"/>
  <c r="AA35" i="74" s="1"/>
  <c r="Z35" i="74"/>
  <c r="Z35" i="74" a="1"/>
  <c r="Y35" i="74"/>
  <c r="Y35" i="74" a="1"/>
  <c r="X35" i="74" a="1"/>
  <c r="X35" i="74" s="1"/>
  <c r="W35" i="74" a="1"/>
  <c r="W35" i="74" s="1"/>
  <c r="AA34" i="74" a="1"/>
  <c r="AA34" i="74" s="1"/>
  <c r="Z34" i="74" a="1"/>
  <c r="Z34" i="74" s="1"/>
  <c r="Y34" i="74" a="1"/>
  <c r="Y34" i="74" s="1"/>
  <c r="X34" i="74" a="1"/>
  <c r="X34" i="74" s="1"/>
  <c r="W34" i="74" a="1"/>
  <c r="W34" i="74" s="1"/>
  <c r="AA33" i="74" a="1"/>
  <c r="AA33" i="74" s="1"/>
  <c r="Z33" i="74" a="1"/>
  <c r="Z33" i="74" s="1"/>
  <c r="Y33" i="74"/>
  <c r="Y33" i="74" a="1"/>
  <c r="X33" i="74" a="1"/>
  <c r="X33" i="74" s="1"/>
  <c r="W33" i="74" a="1"/>
  <c r="W33" i="74" s="1"/>
  <c r="AA32" i="74" a="1"/>
  <c r="AA32" i="74" s="1"/>
  <c r="Z32" i="74" a="1"/>
  <c r="Z32" i="74" s="1"/>
  <c r="Y32" i="74" a="1"/>
  <c r="Y32" i="74" s="1"/>
  <c r="X32" i="74" a="1"/>
  <c r="X32" i="74" s="1"/>
  <c r="W32" i="74" a="1"/>
  <c r="W32" i="74" s="1"/>
  <c r="AA31" i="74" a="1"/>
  <c r="AA31" i="74" s="1"/>
  <c r="Z31" i="74" a="1"/>
  <c r="Z31" i="74" s="1"/>
  <c r="Y31" i="74"/>
  <c r="Y31" i="74" a="1"/>
  <c r="X31" i="74" a="1"/>
  <c r="X31" i="74" s="1"/>
  <c r="W31" i="74" a="1"/>
  <c r="W31" i="74" s="1"/>
  <c r="AA30" i="74" a="1"/>
  <c r="AA30" i="74" s="1"/>
  <c r="Z30" i="74"/>
  <c r="Z30" i="74" a="1"/>
  <c r="Y30" i="74" a="1"/>
  <c r="Y30" i="74" s="1"/>
  <c r="X30" i="74"/>
  <c r="X30" i="74" a="1"/>
  <c r="W30" i="74" a="1"/>
  <c r="W30" i="74" s="1"/>
  <c r="AA29" i="74" a="1"/>
  <c r="AA29" i="74" s="1"/>
  <c r="Z29" i="74" a="1"/>
  <c r="Z29" i="74" s="1"/>
  <c r="Y29" i="74"/>
  <c r="Y29" i="74" a="1"/>
  <c r="X29" i="74" a="1"/>
  <c r="X29" i="74" s="1"/>
  <c r="W29" i="74" a="1"/>
  <c r="W29" i="74" s="1"/>
  <c r="AA28" i="74" a="1"/>
  <c r="AA28" i="74" s="1"/>
  <c r="Z28" i="74" a="1"/>
  <c r="Z28" i="74" s="1"/>
  <c r="Y28" i="74" a="1"/>
  <c r="Y28" i="74" s="1"/>
  <c r="X28" i="74" a="1"/>
  <c r="X28" i="74" s="1"/>
  <c r="W28" i="74" a="1"/>
  <c r="W28" i="74" s="1"/>
  <c r="AA27" i="74" a="1"/>
  <c r="AA27" i="74" s="1"/>
  <c r="Z27" i="74" a="1"/>
  <c r="Z27" i="74" s="1"/>
  <c r="Y27" i="74"/>
  <c r="Y27" i="74" a="1"/>
  <c r="X27" i="74"/>
  <c r="X27" i="74" a="1"/>
  <c r="W27" i="74" a="1"/>
  <c r="W27" i="74" s="1"/>
  <c r="AA26" i="74" a="1"/>
  <c r="AA26" i="74" s="1"/>
  <c r="Z26" i="74"/>
  <c r="Z26" i="74" a="1"/>
  <c r="Y26" i="74" a="1"/>
  <c r="Y26" i="74" s="1"/>
  <c r="X26" i="74" a="1"/>
  <c r="X26" i="74" s="1"/>
  <c r="W26" i="74"/>
  <c r="W26" i="74" a="1"/>
  <c r="AA25" i="74" a="1"/>
  <c r="AA25" i="74" s="1"/>
  <c r="Z25" i="74" a="1"/>
  <c r="Z25" i="74" s="1"/>
  <c r="Y25" i="74"/>
  <c r="Y25" i="74" a="1"/>
  <c r="X25" i="74"/>
  <c r="X25" i="74" a="1"/>
  <c r="W25" i="74" a="1"/>
  <c r="W25" i="74" s="1"/>
  <c r="AA24" i="74" a="1"/>
  <c r="AA24" i="74" s="1"/>
  <c r="Z24" i="74" a="1"/>
  <c r="Z24" i="74" s="1"/>
  <c r="Y24" i="74" a="1"/>
  <c r="Y24" i="74" s="1"/>
  <c r="X24" i="74" a="1"/>
  <c r="X24" i="74" s="1"/>
  <c r="W24" i="74"/>
  <c r="W24" i="74" a="1"/>
  <c r="AA23" i="74" a="1"/>
  <c r="AA23" i="74" s="1"/>
  <c r="Z23" i="74" a="1"/>
  <c r="Z23" i="74" s="1"/>
  <c r="Y23" i="74"/>
  <c r="Y23" i="74" a="1"/>
  <c r="X23" i="74" a="1"/>
  <c r="X23" i="74" s="1"/>
  <c r="W23" i="74"/>
  <c r="W23" i="74" a="1"/>
  <c r="AA22" i="74" a="1"/>
  <c r="AA22" i="74" s="1"/>
  <c r="Z22" i="74" a="1"/>
  <c r="Z22" i="74" s="1"/>
  <c r="Y22" i="74" a="1"/>
  <c r="Y22" i="74" s="1"/>
  <c r="X22" i="74" a="1"/>
  <c r="X22" i="74" s="1"/>
  <c r="W22" i="74" a="1"/>
  <c r="W22" i="74" s="1"/>
  <c r="AA21" i="74"/>
  <c r="AA21" i="74" a="1"/>
  <c r="Z21" i="74" a="1"/>
  <c r="Z21" i="74" s="1"/>
  <c r="Y21" i="74"/>
  <c r="Y21" i="74" a="1"/>
  <c r="X21" i="74" a="1"/>
  <c r="X21" i="74" s="1"/>
  <c r="W21" i="74" a="1"/>
  <c r="W21" i="74" s="1"/>
  <c r="AA20" i="74" a="1"/>
  <c r="AA20" i="74" s="1"/>
  <c r="Z20" i="74" a="1"/>
  <c r="Z20" i="74" s="1"/>
  <c r="Y20" i="74" a="1"/>
  <c r="Y20" i="74" s="1"/>
  <c r="X20" i="74" a="1"/>
  <c r="X20" i="74" s="1"/>
  <c r="W20" i="74"/>
  <c r="W20" i="74" a="1"/>
  <c r="AA19" i="74" a="1"/>
  <c r="AA19" i="74" s="1"/>
  <c r="Z19" i="74" a="1"/>
  <c r="Z19" i="74" s="1"/>
  <c r="Y19" i="74"/>
  <c r="Y19" i="74" a="1"/>
  <c r="X19" i="74" a="1"/>
  <c r="X19" i="74" s="1"/>
  <c r="W19" i="74" a="1"/>
  <c r="W19" i="74" s="1"/>
  <c r="AA18" i="74"/>
  <c r="AA18" i="74" a="1"/>
  <c r="Z18" i="74" a="1"/>
  <c r="Z18" i="74" s="1"/>
  <c r="Y18" i="74" a="1"/>
  <c r="Y18" i="74" s="1"/>
  <c r="X18" i="74" a="1"/>
  <c r="X18" i="74" s="1"/>
  <c r="W18" i="74" a="1"/>
  <c r="W18" i="74" s="1"/>
  <c r="AA17" i="74" a="1"/>
  <c r="AA17" i="74" s="1"/>
  <c r="Z17" i="74"/>
  <c r="Z17" i="74" a="1"/>
  <c r="Y17" i="74"/>
  <c r="Y17" i="74" a="1"/>
  <c r="X17" i="74" a="1"/>
  <c r="X17" i="74" s="1"/>
  <c r="W17" i="74" a="1"/>
  <c r="W17" i="74" s="1"/>
  <c r="AA16" i="74" a="1"/>
  <c r="AA16" i="74" s="1"/>
  <c r="Z16" i="74" a="1"/>
  <c r="Z16" i="74" s="1"/>
  <c r="Y16" i="74" a="1"/>
  <c r="Y16" i="74" s="1"/>
  <c r="X16" i="74" a="1"/>
  <c r="X16" i="74" s="1"/>
  <c r="W16" i="74" a="1"/>
  <c r="W16" i="74" s="1"/>
  <c r="AA15" i="74" a="1"/>
  <c r="AA15" i="74" s="1"/>
  <c r="Z15" i="74" a="1"/>
  <c r="Z15" i="74" s="1"/>
  <c r="Y15" i="74"/>
  <c r="Y15" i="74" a="1"/>
  <c r="X15" i="74" a="1"/>
  <c r="X15" i="74" s="1"/>
  <c r="W15" i="74" a="1"/>
  <c r="W15" i="74" s="1"/>
  <c r="AA14" i="74" a="1"/>
  <c r="AA14" i="74" s="1"/>
  <c r="Z14" i="74"/>
  <c r="Z14" i="74" a="1"/>
  <c r="Y14" i="74" a="1"/>
  <c r="Y14" i="74" s="1"/>
  <c r="X14" i="74" a="1"/>
  <c r="X14" i="74" s="1"/>
  <c r="W14" i="74" a="1"/>
  <c r="W14" i="74" s="1"/>
  <c r="AA13" i="74" a="1"/>
  <c r="AA13" i="74" s="1"/>
  <c r="Z13" i="74" a="1"/>
  <c r="Z13" i="74" s="1"/>
  <c r="Y13" i="74"/>
  <c r="Y13" i="74" a="1"/>
  <c r="X13" i="74" a="1"/>
  <c r="X13" i="74" s="1"/>
  <c r="W13" i="74" a="1"/>
  <c r="W13" i="74" s="1"/>
  <c r="AA12" i="74" a="1"/>
  <c r="AA12" i="74" s="1"/>
  <c r="Z12" i="74"/>
  <c r="Z12" i="74" a="1"/>
  <c r="Y12" i="74" a="1"/>
  <c r="Y12" i="74" s="1"/>
  <c r="X12" i="74" a="1"/>
  <c r="X12" i="74" s="1"/>
  <c r="W12" i="74" a="1"/>
  <c r="W12" i="74" s="1"/>
  <c r="AA11" i="74" a="1"/>
  <c r="AA11" i="74" s="1"/>
  <c r="Z11" i="74" a="1"/>
  <c r="Z11" i="74" s="1"/>
  <c r="Y11" i="74"/>
  <c r="Y11" i="74" a="1"/>
  <c r="W11" i="74" a="1"/>
  <c r="W11" i="74" s="1"/>
  <c r="AA10" i="74" a="1"/>
  <c r="AA10" i="74" s="1"/>
  <c r="Z10" i="74" a="1"/>
  <c r="Z10" i="74" s="1"/>
  <c r="Y10" i="74" a="1"/>
  <c r="Y10" i="74" s="1"/>
  <c r="X10" i="74" a="1"/>
  <c r="X10" i="74" s="1"/>
  <c r="W10" i="74" a="1"/>
  <c r="W10" i="74" s="1"/>
  <c r="AA9" i="74" a="1"/>
  <c r="AA9" i="74" s="1"/>
  <c r="Z9" i="74" a="1"/>
  <c r="Z9" i="74" s="1"/>
  <c r="Y9" i="74"/>
  <c r="Y9" i="74" a="1"/>
  <c r="X9" i="74"/>
  <c r="X9" i="74" a="1"/>
  <c r="W9" i="74" a="1"/>
  <c r="W9" i="74" s="1"/>
  <c r="AA8" i="74" a="1"/>
  <c r="AA8" i="74" s="1"/>
  <c r="Z8" i="74"/>
  <c r="Z8" i="74" a="1"/>
  <c r="Y8" i="74" a="1"/>
  <c r="Y8" i="74" s="1"/>
  <c r="X8" i="74"/>
  <c r="X8" i="74" a="1"/>
  <c r="W8" i="74" a="1"/>
  <c r="W8" i="74" s="1"/>
  <c r="AA7" i="74" a="1"/>
  <c r="AA7" i="74" s="1"/>
  <c r="Z7" i="74" a="1"/>
  <c r="Z7" i="74" s="1"/>
  <c r="Y7" i="74"/>
  <c r="Y7" i="74" a="1"/>
  <c r="X7" i="74"/>
  <c r="X7" i="74" a="1"/>
  <c r="W7" i="74" a="1"/>
  <c r="W7" i="74" s="1"/>
  <c r="AA6" i="74" a="1"/>
  <c r="AA6" i="74" s="1"/>
  <c r="Z6" i="74" a="1"/>
  <c r="Z6" i="74" s="1"/>
  <c r="Y6" i="74" a="1"/>
  <c r="Y6" i="74" s="1"/>
  <c r="X6" i="74" a="1"/>
  <c r="X6" i="74" s="1"/>
  <c r="W6" i="74" a="1"/>
  <c r="W6" i="74" s="1"/>
  <c r="AA5" i="74" a="1"/>
  <c r="AA5" i="74" s="1"/>
  <c r="Z5" i="74" a="1"/>
  <c r="Z5" i="74" s="1"/>
  <c r="Y5" i="74"/>
  <c r="Y5" i="74" a="1"/>
  <c r="X5" i="74" a="1"/>
  <c r="X5" i="74" s="1"/>
  <c r="W5" i="74"/>
  <c r="W5" i="74" a="1"/>
  <c r="AA4" i="74" a="1"/>
  <c r="AA4" i="74" s="1"/>
  <c r="Z4" i="74" a="1"/>
  <c r="Z4" i="74" s="1"/>
  <c r="Y4" i="74" a="1"/>
  <c r="Y4" i="74" s="1"/>
  <c r="X4" i="74" a="1"/>
  <c r="X4" i="74" s="1"/>
  <c r="W4" i="74" a="1"/>
  <c r="W4" i="74" s="1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Y203" i="72" a="1"/>
  <c r="Y203" i="72" s="1"/>
  <c r="X203" i="72" a="1"/>
  <c r="X203" i="72" s="1"/>
  <c r="W203" i="72" a="1"/>
  <c r="W203" i="72" s="1"/>
  <c r="Y202" i="72" a="1"/>
  <c r="Y202" i="72" s="1"/>
  <c r="X202" i="72"/>
  <c r="X202" i="72" a="1"/>
  <c r="W202" i="72" a="1"/>
  <c r="W202" i="72" s="1"/>
  <c r="Y201" i="72" a="1"/>
  <c r="Y201" i="72" s="1"/>
  <c r="X201" i="72"/>
  <c r="X201" i="72" a="1"/>
  <c r="W201" i="72" a="1"/>
  <c r="W201" i="72" s="1"/>
  <c r="Y200" i="72" a="1"/>
  <c r="Y200" i="72" s="1"/>
  <c r="X200" i="72" a="1"/>
  <c r="X200" i="72" s="1"/>
  <c r="W200" i="72" a="1"/>
  <c r="W200" i="72" s="1"/>
  <c r="Y199" i="72" a="1"/>
  <c r="Y199" i="72" s="1"/>
  <c r="X199" i="72" a="1"/>
  <c r="X199" i="72" s="1"/>
  <c r="W199" i="72"/>
  <c r="W199" i="72" a="1"/>
  <c r="Y198" i="72" a="1"/>
  <c r="Y198" i="72" s="1"/>
  <c r="X198" i="72" a="1"/>
  <c r="X198" i="72" s="1"/>
  <c r="W198" i="72" a="1"/>
  <c r="W198" i="72" s="1"/>
  <c r="Y197" i="72" a="1"/>
  <c r="Y197" i="72" s="1"/>
  <c r="X197" i="72" a="1"/>
  <c r="X197" i="72" s="1"/>
  <c r="W197" i="72" a="1"/>
  <c r="W197" i="72" s="1"/>
  <c r="Y196" i="72" a="1"/>
  <c r="Y196" i="72" s="1"/>
  <c r="X196" i="72" a="1"/>
  <c r="X196" i="72" s="1"/>
  <c r="W196" i="72" a="1"/>
  <c r="W196" i="72" s="1"/>
  <c r="Y195" i="72"/>
  <c r="Y195" i="72" a="1"/>
  <c r="X195" i="72" a="1"/>
  <c r="X195" i="72" s="1"/>
  <c r="W195" i="72" a="1"/>
  <c r="W195" i="72" s="1"/>
  <c r="Y194" i="72" a="1"/>
  <c r="Y194" i="72" s="1"/>
  <c r="X194" i="72" a="1"/>
  <c r="X194" i="72" s="1"/>
  <c r="W194" i="72" a="1"/>
  <c r="W194" i="72" s="1"/>
  <c r="Y193" i="72" a="1"/>
  <c r="Y193" i="72" s="1"/>
  <c r="X193" i="72" a="1"/>
  <c r="X193" i="72" s="1"/>
  <c r="W193" i="72" a="1"/>
  <c r="W193" i="72" s="1"/>
  <c r="Y192" i="72" a="1"/>
  <c r="Y192" i="72" s="1"/>
  <c r="X192" i="72"/>
  <c r="X192" i="72" a="1"/>
  <c r="W192" i="72" a="1"/>
  <c r="W192" i="72" s="1"/>
  <c r="Y191" i="72" a="1"/>
  <c r="Y191" i="72" s="1"/>
  <c r="X191" i="72" a="1"/>
  <c r="X191" i="72" s="1"/>
  <c r="W191" i="72" a="1"/>
  <c r="W191" i="72" s="1"/>
  <c r="Y190" i="72" a="1"/>
  <c r="Y190" i="72" s="1"/>
  <c r="X190" i="72" a="1"/>
  <c r="X190" i="72" s="1"/>
  <c r="W190" i="72" a="1"/>
  <c r="W190" i="72" s="1"/>
  <c r="Y189" i="72" a="1"/>
  <c r="Y189" i="72" s="1"/>
  <c r="W189" i="72"/>
  <c r="W189" i="72" a="1"/>
  <c r="Y188" i="72" a="1"/>
  <c r="Y188" i="72" s="1"/>
  <c r="X188" i="72" a="1"/>
  <c r="X188" i="72" s="1"/>
  <c r="W188" i="72" a="1"/>
  <c r="W188" i="72" s="1"/>
  <c r="Y187" i="72"/>
  <c r="Y187" i="72" a="1"/>
  <c r="X187" i="72"/>
  <c r="X187" i="72" a="1"/>
  <c r="W187" i="72" a="1"/>
  <c r="W187" i="72" s="1"/>
  <c r="Y186" i="72" a="1"/>
  <c r="Y186" i="72" s="1"/>
  <c r="W186" i="72" a="1"/>
  <c r="W186" i="72" s="1"/>
  <c r="Y185" i="72"/>
  <c r="Y185" i="72" a="1"/>
  <c r="X185" i="72" a="1"/>
  <c r="X185" i="72" s="1"/>
  <c r="W185" i="72" a="1"/>
  <c r="W185" i="72" s="1"/>
  <c r="Y184" i="72" a="1"/>
  <c r="Y184" i="72" s="1"/>
  <c r="X184" i="72" a="1"/>
  <c r="X184" i="72" s="1"/>
  <c r="W184" i="72" a="1"/>
  <c r="W184" i="72" s="1"/>
  <c r="Y183" i="72" a="1"/>
  <c r="Y183" i="72" s="1"/>
  <c r="X183" i="72" a="1"/>
  <c r="X183" i="72" s="1"/>
  <c r="W183" i="72" a="1"/>
  <c r="W183" i="72" s="1"/>
  <c r="Y182" i="72" a="1"/>
  <c r="Y182" i="72" s="1"/>
  <c r="X182" i="72"/>
  <c r="X182" i="72" a="1"/>
  <c r="W182" i="72" a="1"/>
  <c r="W182" i="72" s="1"/>
  <c r="Y181" i="72" a="1"/>
  <c r="Y181" i="72" s="1"/>
  <c r="X181" i="72" a="1"/>
  <c r="X181" i="72" s="1"/>
  <c r="W181" i="72" a="1"/>
  <c r="W181" i="72" s="1"/>
  <c r="Y180" i="72" a="1"/>
  <c r="Y180" i="72" s="1"/>
  <c r="X180" i="72" a="1"/>
  <c r="X180" i="72" s="1"/>
  <c r="W180" i="72" a="1"/>
  <c r="W180" i="72" s="1"/>
  <c r="Y179" i="72" a="1"/>
  <c r="Y179" i="72" s="1"/>
  <c r="X179" i="72" a="1"/>
  <c r="X179" i="72" s="1"/>
  <c r="Y178" i="72" a="1"/>
  <c r="Y178" i="72" s="1"/>
  <c r="X178" i="72" a="1"/>
  <c r="X178" i="72" s="1"/>
  <c r="W178" i="72" a="1"/>
  <c r="W178" i="72" s="1"/>
  <c r="Y177" i="72"/>
  <c r="Y177" i="72" a="1"/>
  <c r="X177" i="72" a="1"/>
  <c r="X177" i="72" s="1"/>
  <c r="W177" i="72" a="1"/>
  <c r="W177" i="72" s="1"/>
  <c r="Y176" i="72" a="1"/>
  <c r="Y176" i="72" s="1"/>
  <c r="X176" i="72" a="1"/>
  <c r="X176" i="72" s="1"/>
  <c r="Y175" i="72"/>
  <c r="Y175" i="72" a="1"/>
  <c r="X175" i="72" a="1"/>
  <c r="X175" i="72" s="1"/>
  <c r="W175" i="72" a="1"/>
  <c r="W175" i="72" s="1"/>
  <c r="X174" i="72" a="1"/>
  <c r="X174" i="72" s="1"/>
  <c r="W174" i="72" a="1"/>
  <c r="W174" i="72" s="1"/>
  <c r="Y173" i="72" a="1"/>
  <c r="Y173" i="72" s="1"/>
  <c r="X173" i="72" a="1"/>
  <c r="X173" i="72" s="1"/>
  <c r="W173" i="72" a="1"/>
  <c r="W173" i="72" s="1"/>
  <c r="Y172" i="72" a="1"/>
  <c r="Y172" i="72" s="1"/>
  <c r="X172" i="72"/>
  <c r="X172" i="72" a="1"/>
  <c r="W172" i="72" a="1"/>
  <c r="W172" i="72" s="1"/>
  <c r="X171" i="72" a="1"/>
  <c r="X171" i="72" s="1"/>
  <c r="W171" i="72" a="1"/>
  <c r="W171" i="72" s="1"/>
  <c r="Y170" i="72" a="1"/>
  <c r="Y170" i="72" s="1"/>
  <c r="X170" i="72" a="1"/>
  <c r="X170" i="72" s="1"/>
  <c r="W170" i="72" a="1"/>
  <c r="W170" i="72" s="1"/>
  <c r="Y169" i="72" a="1"/>
  <c r="Y169" i="72" s="1"/>
  <c r="X169" i="72"/>
  <c r="X169" i="72" a="1"/>
  <c r="W169" i="72"/>
  <c r="W169" i="72" a="1"/>
  <c r="Y168" i="72" a="1"/>
  <c r="Y168" i="72" s="1"/>
  <c r="X168" i="72" a="1"/>
  <c r="X168" i="72" s="1"/>
  <c r="W168" i="72" a="1"/>
  <c r="W168" i="72" s="1"/>
  <c r="Y167" i="72" a="1"/>
  <c r="Y167" i="72" s="1"/>
  <c r="X167" i="72" a="1"/>
  <c r="X167" i="72" s="1"/>
  <c r="W167" i="72" a="1"/>
  <c r="W167" i="72" s="1"/>
  <c r="Y166" i="72" a="1"/>
  <c r="Y166" i="72" s="1"/>
  <c r="X166" i="72" a="1"/>
  <c r="X166" i="72" s="1"/>
  <c r="W166" i="72" a="1"/>
  <c r="W166" i="72" s="1"/>
  <c r="Y165" i="72"/>
  <c r="Y165" i="72" a="1"/>
  <c r="X165" i="72" a="1"/>
  <c r="X165" i="72" s="1"/>
  <c r="W165" i="72" a="1"/>
  <c r="W165" i="72" s="1"/>
  <c r="Y164" i="72" a="1"/>
  <c r="Y164" i="72" s="1"/>
  <c r="X164" i="72"/>
  <c r="X164" i="72" a="1"/>
  <c r="W164" i="72"/>
  <c r="W164" i="72" a="1"/>
  <c r="Y163" i="72" a="1"/>
  <c r="Y163" i="72" s="1"/>
  <c r="X163" i="72" a="1"/>
  <c r="X163" i="72" s="1"/>
  <c r="W163" i="72" a="1"/>
  <c r="W163" i="72" s="1"/>
  <c r="Y162" i="72" a="1"/>
  <c r="Y162" i="72" s="1"/>
  <c r="X162" i="72"/>
  <c r="X162" i="72" a="1"/>
  <c r="W162" i="72" a="1"/>
  <c r="W162" i="72" s="1"/>
  <c r="Y161" i="72" a="1"/>
  <c r="Y161" i="72" s="1"/>
  <c r="X161" i="72"/>
  <c r="X161" i="72" a="1"/>
  <c r="W161" i="72" a="1"/>
  <c r="W161" i="72" s="1"/>
  <c r="Y160" i="72" a="1"/>
  <c r="Y160" i="72" s="1"/>
  <c r="X160" i="72" a="1"/>
  <c r="X160" i="72" s="1"/>
  <c r="Y159" i="72" a="1"/>
  <c r="Y159" i="72" s="1"/>
  <c r="X159" i="72"/>
  <c r="X159" i="72" a="1"/>
  <c r="W159" i="72"/>
  <c r="W159" i="72" a="1"/>
  <c r="Y158" i="72" a="1"/>
  <c r="Y158" i="72" s="1"/>
  <c r="X158" i="72" a="1"/>
  <c r="X158" i="72" s="1"/>
  <c r="W158" i="72" a="1"/>
  <c r="W158" i="72" s="1"/>
  <c r="Y157" i="72" a="1"/>
  <c r="Y157" i="72" s="1"/>
  <c r="X157" i="72" a="1"/>
  <c r="X157" i="72" s="1"/>
  <c r="Y156" i="72" a="1"/>
  <c r="Y156" i="72" s="1"/>
  <c r="X156" i="72" a="1"/>
  <c r="X156" i="72" s="1"/>
  <c r="W156" i="72" a="1"/>
  <c r="W156" i="72" s="1"/>
  <c r="Y155" i="72"/>
  <c r="Y155" i="72" a="1"/>
  <c r="X155" i="72" a="1"/>
  <c r="X155" i="72" s="1"/>
  <c r="W155" i="72" a="1"/>
  <c r="W155" i="72" s="1"/>
  <c r="Y154" i="72" a="1"/>
  <c r="Y154" i="72" s="1"/>
  <c r="X154" i="72" a="1"/>
  <c r="X154" i="72" s="1"/>
  <c r="W154" i="72" a="1"/>
  <c r="W154" i="72" s="1"/>
  <c r="Y153" i="72" a="1"/>
  <c r="Y153" i="72" s="1"/>
  <c r="X153" i="72" a="1"/>
  <c r="X153" i="72" s="1"/>
  <c r="W153" i="72" a="1"/>
  <c r="W153" i="72" s="1"/>
  <c r="Y152" i="72" a="1"/>
  <c r="Y152" i="72" s="1"/>
  <c r="X152" i="72"/>
  <c r="X152" i="72" a="1"/>
  <c r="W152" i="72" a="1"/>
  <c r="W152" i="72" s="1"/>
  <c r="Y151" i="72" a="1"/>
  <c r="Y151" i="72" s="1"/>
  <c r="X151" i="72" a="1"/>
  <c r="X151" i="72" s="1"/>
  <c r="W151" i="72" a="1"/>
  <c r="W151" i="72" s="1"/>
  <c r="Y150" i="72"/>
  <c r="Y150" i="72" a="1"/>
  <c r="X150" i="72" a="1"/>
  <c r="X150" i="72" s="1"/>
  <c r="W150" i="72" a="1"/>
  <c r="W150" i="72" s="1"/>
  <c r="Y149" i="72" a="1"/>
  <c r="Y149" i="72" s="1"/>
  <c r="W149" i="72"/>
  <c r="W149" i="72" a="1"/>
  <c r="Y148" i="72" a="1"/>
  <c r="Y148" i="72" s="1"/>
  <c r="X148" i="72" a="1"/>
  <c r="X148" i="72" s="1"/>
  <c r="W148" i="72"/>
  <c r="W148" i="72" a="1"/>
  <c r="Y147" i="72" a="1"/>
  <c r="Y147" i="72" s="1"/>
  <c r="X147" i="72" a="1"/>
  <c r="X147" i="72" s="1"/>
  <c r="W147" i="72" a="1"/>
  <c r="W147" i="72" s="1"/>
  <c r="Y146" i="72" a="1"/>
  <c r="Y146" i="72" s="1"/>
  <c r="W146" i="72"/>
  <c r="W146" i="72" a="1"/>
  <c r="Y145" i="72"/>
  <c r="Y145" i="72" a="1"/>
  <c r="X145" i="72" a="1"/>
  <c r="X145" i="72" s="1"/>
  <c r="W145" i="72" a="1"/>
  <c r="W145" i="72" s="1"/>
  <c r="Y144" i="72" a="1"/>
  <c r="Y144" i="72" s="1"/>
  <c r="X144" i="72" a="1"/>
  <c r="X144" i="72" s="1"/>
  <c r="W144" i="72" a="1"/>
  <c r="W144" i="72" s="1"/>
  <c r="Y143" i="72" a="1"/>
  <c r="Y143" i="72" s="1"/>
  <c r="X143" i="72" a="1"/>
  <c r="X143" i="72" s="1"/>
  <c r="W143" i="72" a="1"/>
  <c r="W143" i="72" s="1"/>
  <c r="Y142" i="72" a="1"/>
  <c r="Y142" i="72" s="1"/>
  <c r="X142" i="72"/>
  <c r="X142" i="72" a="1"/>
  <c r="W142" i="72" a="1"/>
  <c r="W142" i="72" s="1"/>
  <c r="Y141" i="72" a="1"/>
  <c r="Y141" i="72" s="1"/>
  <c r="X141" i="72" a="1"/>
  <c r="X141" i="72" s="1"/>
  <c r="W141" i="72" a="1"/>
  <c r="W141" i="72" s="1"/>
  <c r="Y140" i="72" a="1"/>
  <c r="Y140" i="72" s="1"/>
  <c r="X140" i="72" a="1"/>
  <c r="X140" i="72" s="1"/>
  <c r="W140" i="72" a="1"/>
  <c r="W140" i="72" s="1"/>
  <c r="Y139" i="72" a="1"/>
  <c r="Y139" i="72" s="1"/>
  <c r="X139" i="72"/>
  <c r="X139" i="72" a="1"/>
  <c r="W139" i="72"/>
  <c r="W139" i="72" a="1"/>
  <c r="Y138" i="72" a="1"/>
  <c r="Y138" i="72" s="1"/>
  <c r="X138" i="72" a="1"/>
  <c r="X138" i="72" s="1"/>
  <c r="W138" i="72" a="1"/>
  <c r="W138" i="72" s="1"/>
  <c r="Y137" i="72" a="1"/>
  <c r="Y137" i="72" s="1"/>
  <c r="X137" i="72"/>
  <c r="X137" i="72" a="1"/>
  <c r="W137" i="72" a="1"/>
  <c r="W137" i="72" s="1"/>
  <c r="Y136" i="72" a="1"/>
  <c r="Y136" i="72" s="1"/>
  <c r="X136" i="72" a="1"/>
  <c r="X136" i="72" s="1"/>
  <c r="W136" i="72" a="1"/>
  <c r="W136" i="72" s="1"/>
  <c r="Y135" i="72"/>
  <c r="Y135" i="72" a="1"/>
  <c r="X135" i="72" a="1"/>
  <c r="X135" i="72" s="1"/>
  <c r="W135" i="72" a="1"/>
  <c r="W135" i="72" s="1"/>
  <c r="Y134" i="72"/>
  <c r="Y134" i="72" a="1"/>
  <c r="X134" i="72" a="1"/>
  <c r="X134" i="72" s="1"/>
  <c r="W134" i="72" a="1"/>
  <c r="W134" i="72" s="1"/>
  <c r="Y133" i="72" a="1"/>
  <c r="Y133" i="72" s="1"/>
  <c r="X133" i="72" a="1"/>
  <c r="X133" i="72" s="1"/>
  <c r="W133" i="72" a="1"/>
  <c r="W133" i="72" s="1"/>
  <c r="Y132" i="72"/>
  <c r="Y132" i="72" a="1"/>
  <c r="X132" i="72"/>
  <c r="X132" i="72" a="1"/>
  <c r="W132" i="72" a="1"/>
  <c r="W132" i="72" s="1"/>
  <c r="Y131" i="72" a="1"/>
  <c r="Y131" i="72" s="1"/>
  <c r="X131" i="72" a="1"/>
  <c r="X131" i="72" s="1"/>
  <c r="W131" i="72" a="1"/>
  <c r="W131" i="72" s="1"/>
  <c r="Y130" i="72" a="1"/>
  <c r="Y130" i="72" s="1"/>
  <c r="X130" i="72" a="1"/>
  <c r="X130" i="72" s="1"/>
  <c r="W130" i="72" a="1"/>
  <c r="W130" i="72" s="1"/>
  <c r="Y129" i="72" a="1"/>
  <c r="Y129" i="72" s="1"/>
  <c r="X129" i="72" a="1"/>
  <c r="X129" i="72" s="1"/>
  <c r="W129" i="72"/>
  <c r="W129" i="72" a="1"/>
  <c r="Y128" i="72" a="1"/>
  <c r="Y128" i="72" s="1"/>
  <c r="X128" i="72" a="1"/>
  <c r="X128" i="72" s="1"/>
  <c r="W128" i="72" a="1"/>
  <c r="W128" i="72" s="1"/>
  <c r="Y127" i="72" a="1"/>
  <c r="Y127" i="72" s="1"/>
  <c r="X127" i="72" a="1"/>
  <c r="X127" i="72" s="1"/>
  <c r="W127" i="72" a="1"/>
  <c r="W127" i="72" s="1"/>
  <c r="X126" i="72" a="1"/>
  <c r="X126" i="72" s="1"/>
  <c r="W126" i="72" a="1"/>
  <c r="W126" i="72" s="1"/>
  <c r="Y125" i="72"/>
  <c r="Y125" i="72" a="1"/>
  <c r="X125" i="72" a="1"/>
  <c r="X125" i="72" s="1"/>
  <c r="W125" i="72" a="1"/>
  <c r="W125" i="72" s="1"/>
  <c r="Y124" i="72"/>
  <c r="Y124" i="72" a="1"/>
  <c r="X124" i="72" a="1"/>
  <c r="X124" i="72" s="1"/>
  <c r="W124" i="72"/>
  <c r="W124" i="72" a="1"/>
  <c r="X123" i="72" a="1"/>
  <c r="X123" i="72" s="1"/>
  <c r="W123" i="72" a="1"/>
  <c r="W123" i="72" s="1"/>
  <c r="Y122" i="72" a="1"/>
  <c r="Y122" i="72" s="1"/>
  <c r="X122" i="72"/>
  <c r="X122" i="72" a="1"/>
  <c r="W122" i="72" a="1"/>
  <c r="W122" i="72" s="1"/>
  <c r="Y121" i="72" a="1"/>
  <c r="Y121" i="72" s="1"/>
  <c r="X121" i="72"/>
  <c r="X121" i="72" a="1"/>
  <c r="W121" i="72" a="1"/>
  <c r="W121" i="72" s="1"/>
  <c r="Y120" i="72" a="1"/>
  <c r="Y120" i="72" s="1"/>
  <c r="X120" i="72" a="1"/>
  <c r="X120" i="72" s="1"/>
  <c r="W120" i="72"/>
  <c r="W120" i="72" a="1"/>
  <c r="Y119" i="72" a="1"/>
  <c r="Y119" i="72" s="1"/>
  <c r="X119" i="72" a="1"/>
  <c r="X119" i="72" s="1"/>
  <c r="W119" i="72"/>
  <c r="W119" i="72" a="1"/>
  <c r="Y118" i="72" a="1"/>
  <c r="Y118" i="72" s="1"/>
  <c r="X118" i="72" a="1"/>
  <c r="X118" i="72" s="1"/>
  <c r="W118" i="72" a="1"/>
  <c r="W118" i="72" s="1"/>
  <c r="Y117" i="72" a="1"/>
  <c r="Y117" i="72" s="1"/>
  <c r="X117" i="72"/>
  <c r="X117" i="72" a="1"/>
  <c r="W117" i="72" a="1"/>
  <c r="W117" i="72" s="1"/>
  <c r="Y116" i="72" a="1"/>
  <c r="Y116" i="72" s="1"/>
  <c r="X116" i="72" a="1"/>
  <c r="X116" i="72" s="1"/>
  <c r="W116" i="72" a="1"/>
  <c r="W116" i="72" s="1"/>
  <c r="Y115" i="72"/>
  <c r="Y115" i="72" a="1"/>
  <c r="X115" i="72" a="1"/>
  <c r="X115" i="72" s="1"/>
  <c r="W115" i="72" a="1"/>
  <c r="W115" i="72" s="1"/>
  <c r="Y114" i="72" a="1"/>
  <c r="Y114" i="72" s="1"/>
  <c r="X114" i="72" a="1"/>
  <c r="X114" i="72" s="1"/>
  <c r="W114" i="72" a="1"/>
  <c r="W114" i="72" s="1"/>
  <c r="Y113" i="72" a="1"/>
  <c r="Y113" i="72" s="1"/>
  <c r="X113" i="72" a="1"/>
  <c r="X113" i="72" s="1"/>
  <c r="W113" i="72" a="1"/>
  <c r="W113" i="72" s="1"/>
  <c r="Y112" i="72" a="1"/>
  <c r="Y112" i="72" s="1"/>
  <c r="X112" i="72"/>
  <c r="X112" i="72" a="1"/>
  <c r="W112" i="72" a="1"/>
  <c r="W112" i="72" s="1"/>
  <c r="X111" i="72" a="1"/>
  <c r="X111" i="72" s="1"/>
  <c r="W111" i="72" a="1"/>
  <c r="W111" i="72" s="1"/>
  <c r="Y110" i="72" a="1"/>
  <c r="Y110" i="72" s="1"/>
  <c r="X110" i="72" a="1"/>
  <c r="X110" i="72" s="1"/>
  <c r="W110" i="72" a="1"/>
  <c r="W110" i="72" s="1"/>
  <c r="Y109" i="72" a="1"/>
  <c r="Y109" i="72" s="1"/>
  <c r="X109" i="72" a="1"/>
  <c r="X109" i="72" s="1"/>
  <c r="W109" i="72"/>
  <c r="W109" i="72" a="1"/>
  <c r="X108" i="72" a="1"/>
  <c r="X108" i="72" s="1"/>
  <c r="W108" i="72" a="1"/>
  <c r="W108" i="72" s="1"/>
  <c r="Y107" i="72" a="1"/>
  <c r="Y107" i="72" s="1"/>
  <c r="X107" i="72" a="1"/>
  <c r="X107" i="72" s="1"/>
  <c r="W107" i="72" a="1"/>
  <c r="W107" i="72" s="1"/>
  <c r="Y106" i="72" a="1"/>
  <c r="Y106" i="72" s="1"/>
  <c r="X106" i="72" a="1"/>
  <c r="X106" i="72" s="1"/>
  <c r="W106" i="72" a="1"/>
  <c r="W106" i="72" s="1"/>
  <c r="Y105" i="72"/>
  <c r="Y105" i="72" a="1"/>
  <c r="X105" i="72" a="1"/>
  <c r="X105" i="72" s="1"/>
  <c r="W105" i="72" a="1"/>
  <c r="W105" i="72" s="1"/>
  <c r="Y104" i="72"/>
  <c r="Y104" i="72" a="1"/>
  <c r="X104" i="72" a="1"/>
  <c r="X104" i="72" s="1"/>
  <c r="W104" i="72" a="1"/>
  <c r="W104" i="72" s="1"/>
  <c r="Y103" i="72" a="1"/>
  <c r="Y103" i="72" s="1"/>
  <c r="X103" i="72" a="1"/>
  <c r="X103" i="72" s="1"/>
  <c r="W103" i="72" a="1"/>
  <c r="W103" i="72" s="1"/>
  <c r="Y102" i="72" a="1"/>
  <c r="Y102" i="72" s="1"/>
  <c r="X102" i="72"/>
  <c r="X102" i="72" a="1"/>
  <c r="Y101" i="72" a="1"/>
  <c r="Y101" i="72" s="1"/>
  <c r="X101" i="72" a="1"/>
  <c r="X101" i="72" s="1"/>
  <c r="W101" i="72" a="1"/>
  <c r="W101" i="72" s="1"/>
  <c r="Y100" i="72"/>
  <c r="Y100" i="72" a="1"/>
  <c r="X100" i="72" a="1"/>
  <c r="X100" i="72" s="1"/>
  <c r="W100" i="72" a="1"/>
  <c r="W100" i="72" s="1"/>
  <c r="Y99" i="72" a="1"/>
  <c r="Y99" i="72" s="1"/>
  <c r="X99" i="72" a="1"/>
  <c r="X99" i="72" s="1"/>
  <c r="Y98" i="72" a="1"/>
  <c r="Y98" i="72" s="1"/>
  <c r="X98" i="72" a="1"/>
  <c r="X98" i="72" s="1"/>
  <c r="W98" i="72" a="1"/>
  <c r="W98" i="72" s="1"/>
  <c r="Y97" i="72" a="1"/>
  <c r="Y97" i="72" s="1"/>
  <c r="X97" i="72" a="1"/>
  <c r="X97" i="72" s="1"/>
  <c r="W97" i="72" a="1"/>
  <c r="W97" i="72" s="1"/>
  <c r="Y96" i="72" a="1"/>
  <c r="Y96" i="72" s="1"/>
  <c r="X96" i="72" a="1"/>
  <c r="X96" i="72" s="1"/>
  <c r="W96" i="72" a="1"/>
  <c r="W96" i="72" s="1"/>
  <c r="Y95" i="72"/>
  <c r="Y95" i="72" a="1"/>
  <c r="X95" i="72" a="1"/>
  <c r="X95" i="72" s="1"/>
  <c r="W95" i="72" a="1"/>
  <c r="W95" i="72" s="1"/>
  <c r="Y94" i="72" a="1"/>
  <c r="Y94" i="72" s="1"/>
  <c r="X94" i="72" a="1"/>
  <c r="X94" i="72" s="1"/>
  <c r="W94" i="72" a="1"/>
  <c r="W94" i="72" s="1"/>
  <c r="X93" i="72" a="1"/>
  <c r="X93" i="72" s="1"/>
  <c r="W93" i="72" a="1"/>
  <c r="W93" i="72" s="1"/>
  <c r="Y92" i="72"/>
  <c r="Y92" i="72" a="1"/>
  <c r="X92" i="72"/>
  <c r="X92" i="72" a="1"/>
  <c r="W92" i="72" a="1"/>
  <c r="W92" i="72" s="1"/>
  <c r="Y91" i="72" a="1"/>
  <c r="Y91" i="72" s="1"/>
  <c r="W91" i="72" a="1"/>
  <c r="W91" i="72" s="1"/>
  <c r="X90" i="72" a="1"/>
  <c r="X90" i="72" s="1"/>
  <c r="W90" i="72" a="1"/>
  <c r="W90" i="72" s="1"/>
  <c r="Y89" i="72" a="1"/>
  <c r="Y89" i="72" s="1"/>
  <c r="X89" i="72" a="1"/>
  <c r="X89" i="72" s="1"/>
  <c r="Y88" i="72" a="1"/>
  <c r="Y88" i="72" s="1"/>
  <c r="W88" i="72"/>
  <c r="W88" i="72" a="1"/>
  <c r="Y87" i="72" a="1"/>
  <c r="Y87" i="72" s="1"/>
  <c r="X87" i="72" a="1"/>
  <c r="X87" i="72" s="1"/>
  <c r="W87" i="72" a="1"/>
  <c r="W87" i="72" s="1"/>
  <c r="Y86" i="72" a="1"/>
  <c r="Y86" i="72" s="1"/>
  <c r="X86" i="72" a="1"/>
  <c r="X86" i="72" s="1"/>
  <c r="Y85" i="72"/>
  <c r="Y85" i="72" a="1"/>
  <c r="X85" i="72" a="1"/>
  <c r="X85" i="72" s="1"/>
  <c r="W85" i="72" a="1"/>
  <c r="W85" i="72" s="1"/>
  <c r="Y84" i="72" a="1"/>
  <c r="Y84" i="72" s="1"/>
  <c r="X84" i="72" a="1"/>
  <c r="X84" i="72" s="1"/>
  <c r="W84" i="72"/>
  <c r="W84" i="72" a="1"/>
  <c r="Y83" i="72" a="1"/>
  <c r="Y83" i="72" s="1"/>
  <c r="X83" i="72" a="1"/>
  <c r="X83" i="72" s="1"/>
  <c r="W83" i="72" a="1"/>
  <c r="W83" i="72" s="1"/>
  <c r="Y82" i="72" a="1"/>
  <c r="Y82" i="72" s="1"/>
  <c r="X82" i="72"/>
  <c r="X82" i="72" a="1"/>
  <c r="W82" i="72" a="1"/>
  <c r="W82" i="72" s="1"/>
  <c r="Y81" i="72" a="1"/>
  <c r="Y81" i="72" s="1"/>
  <c r="X81" i="72" a="1"/>
  <c r="X81" i="72" s="1"/>
  <c r="W81" i="72" a="1"/>
  <c r="W81" i="72" s="1"/>
  <c r="Y80" i="72" a="1"/>
  <c r="Y80" i="72" s="1"/>
  <c r="X80" i="72" a="1"/>
  <c r="X80" i="72" s="1"/>
  <c r="W80" i="72" a="1"/>
  <c r="W80" i="72" s="1"/>
  <c r="Y79" i="72" a="1"/>
  <c r="Y79" i="72" s="1"/>
  <c r="X79" i="72" a="1"/>
  <c r="X79" i="72" s="1"/>
  <c r="W79" i="72"/>
  <c r="W79" i="72" a="1"/>
  <c r="Y78" i="72" a="1"/>
  <c r="Y78" i="72" s="1"/>
  <c r="X78" i="72" a="1"/>
  <c r="X78" i="72" s="1"/>
  <c r="W78" i="72" a="1"/>
  <c r="W78" i="72" s="1"/>
  <c r="Y77" i="72" a="1"/>
  <c r="Y77" i="72" s="1"/>
  <c r="X77" i="72" a="1"/>
  <c r="X77" i="72" s="1"/>
  <c r="W77" i="72" a="1"/>
  <c r="W77" i="72" s="1"/>
  <c r="Y76" i="72" a="1"/>
  <c r="Y76" i="72" s="1"/>
  <c r="X76" i="72" a="1"/>
  <c r="X76" i="72" s="1"/>
  <c r="W76" i="72"/>
  <c r="W76" i="72" a="1"/>
  <c r="Y75" i="72"/>
  <c r="Y75" i="72" a="1"/>
  <c r="X75" i="72" a="1"/>
  <c r="X75" i="72" s="1"/>
  <c r="W75" i="72" a="1"/>
  <c r="W75" i="72" s="1"/>
  <c r="Y74" i="72" a="1"/>
  <c r="Y74" i="72" s="1"/>
  <c r="X74" i="72" a="1"/>
  <c r="X74" i="72" s="1"/>
  <c r="W74" i="72" a="1"/>
  <c r="W74" i="72" s="1"/>
  <c r="Y73" i="72" a="1"/>
  <c r="Y73" i="72" s="1"/>
  <c r="X73" i="72" a="1"/>
  <c r="X73" i="72" s="1"/>
  <c r="W73" i="72" a="1"/>
  <c r="W73" i="72" s="1"/>
  <c r="Y72" i="72" a="1"/>
  <c r="Y72" i="72" s="1"/>
  <c r="W72" i="72" a="1"/>
  <c r="W72" i="72" s="1"/>
  <c r="Y71" i="72" a="1"/>
  <c r="Y71" i="72" s="1"/>
  <c r="X71" i="72" a="1"/>
  <c r="X71" i="72" s="1"/>
  <c r="W71" i="72" a="1"/>
  <c r="W71" i="72" s="1"/>
  <c r="Y70" i="72" a="1"/>
  <c r="Y70" i="72" s="1"/>
  <c r="X70" i="72" a="1"/>
  <c r="X70" i="72" s="1"/>
  <c r="W70" i="72" a="1"/>
  <c r="W70" i="72" s="1"/>
  <c r="Y69" i="72" a="1"/>
  <c r="Y69" i="72" s="1"/>
  <c r="Y68" i="72" a="1"/>
  <c r="Y68" i="72" s="1"/>
  <c r="X68" i="72" a="1"/>
  <c r="X68" i="72" s="1"/>
  <c r="W68" i="72" a="1"/>
  <c r="W68" i="72" s="1"/>
  <c r="Y67" i="72" a="1"/>
  <c r="Y67" i="72" s="1"/>
  <c r="X67" i="72"/>
  <c r="X67" i="72" a="1"/>
  <c r="W67" i="72" a="1"/>
  <c r="W67" i="72" s="1"/>
  <c r="Y66" i="72" a="1"/>
  <c r="Y66" i="72" s="1"/>
  <c r="X66" i="72" a="1"/>
  <c r="X66" i="72" s="1"/>
  <c r="Y65" i="72"/>
  <c r="Y65" i="72" a="1"/>
  <c r="X65" i="72" a="1"/>
  <c r="X65" i="72" s="1"/>
  <c r="W65" i="72" a="1"/>
  <c r="W65" i="72" s="1"/>
  <c r="Y64" i="72" a="1"/>
  <c r="Y64" i="72" s="1"/>
  <c r="X64" i="72" a="1"/>
  <c r="X64" i="72" s="1"/>
  <c r="W64" i="72"/>
  <c r="W64" i="72" a="1"/>
  <c r="X63" i="72" a="1"/>
  <c r="X63" i="72" s="1"/>
  <c r="W63" i="72" a="1"/>
  <c r="W63" i="72" s="1"/>
  <c r="Y62" i="72" a="1"/>
  <c r="Y62" i="72" s="1"/>
  <c r="X62" i="72"/>
  <c r="X62" i="72" a="1"/>
  <c r="W62" i="72" a="1"/>
  <c r="W62" i="72" s="1"/>
  <c r="Y61" i="72" a="1"/>
  <c r="Y61" i="72" s="1"/>
  <c r="X61" i="72" a="1"/>
  <c r="X61" i="72" s="1"/>
  <c r="W61" i="72" a="1"/>
  <c r="W61" i="72" s="1"/>
  <c r="X60" i="72" a="1"/>
  <c r="X60" i="72" s="1"/>
  <c r="W60" i="72" a="1"/>
  <c r="W60" i="72" s="1"/>
  <c r="Y59" i="72" a="1"/>
  <c r="Y59" i="72" s="1"/>
  <c r="X59" i="72" a="1"/>
  <c r="X59" i="72" s="1"/>
  <c r="W59" i="72"/>
  <c r="W59" i="72" a="1"/>
  <c r="Y58" i="72" a="1"/>
  <c r="Y58" i="72" s="1"/>
  <c r="X58" i="72" a="1"/>
  <c r="X58" i="72" s="1"/>
  <c r="W58" i="72" a="1"/>
  <c r="W58" i="72" s="1"/>
  <c r="Y57" i="72" a="1"/>
  <c r="Y57" i="72" s="1"/>
  <c r="X57" i="72" a="1"/>
  <c r="X57" i="72" s="1"/>
  <c r="W57" i="72" a="1"/>
  <c r="W57" i="72" s="1"/>
  <c r="Y56" i="72" a="1"/>
  <c r="Y56" i="72" s="1"/>
  <c r="X56" i="72" a="1"/>
  <c r="X56" i="72" s="1"/>
  <c r="W56" i="72" a="1"/>
  <c r="W56" i="72" s="1"/>
  <c r="Y55" i="72"/>
  <c r="Y55" i="72" a="1"/>
  <c r="X55" i="72" a="1"/>
  <c r="X55" i="72" s="1"/>
  <c r="W55" i="72" a="1"/>
  <c r="W55" i="72" s="1"/>
  <c r="Y54" i="72"/>
  <c r="Y54" i="72" a="1"/>
  <c r="X54" i="72" a="1"/>
  <c r="X54" i="72" s="1"/>
  <c r="W54" i="72" a="1"/>
  <c r="W54" i="72" s="1"/>
  <c r="Y53" i="72" a="1"/>
  <c r="Y53" i="72" s="1"/>
  <c r="X53" i="72" a="1"/>
  <c r="X53" i="72" s="1"/>
  <c r="W53" i="72" a="1"/>
  <c r="W53" i="72" s="1"/>
  <c r="Y52" i="72" a="1"/>
  <c r="Y52" i="72" s="1"/>
  <c r="X52" i="72"/>
  <c r="X52" i="72" a="1"/>
  <c r="W52" i="72" a="1"/>
  <c r="W52" i="72" s="1"/>
  <c r="Y51" i="72" a="1"/>
  <c r="Y51" i="72" s="1"/>
  <c r="X51" i="72" a="1"/>
  <c r="X51" i="72" s="1"/>
  <c r="Y50" i="72"/>
  <c r="Y50" i="72" a="1"/>
  <c r="X50" i="72" a="1"/>
  <c r="X50" i="72" s="1"/>
  <c r="W50" i="72" a="1"/>
  <c r="W50" i="72" s="1"/>
  <c r="Y49" i="72" a="1"/>
  <c r="Y49" i="72" s="1"/>
  <c r="X49" i="72" a="1"/>
  <c r="X49" i="72" s="1"/>
  <c r="W49" i="72"/>
  <c r="W49" i="72" a="1"/>
  <c r="Y48" i="72" a="1"/>
  <c r="Y48" i="72" s="1"/>
  <c r="Y47" i="72" a="1"/>
  <c r="Y47" i="72" s="1"/>
  <c r="X47" i="72"/>
  <c r="X47" i="72" a="1"/>
  <c r="W47" i="72" a="1"/>
  <c r="W47" i="72" s="1"/>
  <c r="Y46" i="72" a="1"/>
  <c r="Y46" i="72" s="1"/>
  <c r="X46" i="72" a="1"/>
  <c r="X46" i="72" s="1"/>
  <c r="W46" i="72" a="1"/>
  <c r="W46" i="72" s="1"/>
  <c r="Y45" i="72"/>
  <c r="Y45" i="72" a="1"/>
  <c r="W45" i="72" a="1"/>
  <c r="W45" i="72" s="1"/>
  <c r="Y44" i="72"/>
  <c r="Y44" i="72" a="1"/>
  <c r="X44" i="72" a="1"/>
  <c r="X44" i="72" s="1"/>
  <c r="W44" i="72" a="1"/>
  <c r="W44" i="72" s="1"/>
  <c r="Y43" i="72" a="1"/>
  <c r="Y43" i="72" s="1"/>
  <c r="X43" i="72" a="1"/>
  <c r="X43" i="72" s="1"/>
  <c r="W43" i="72" a="1"/>
  <c r="W43" i="72" s="1"/>
  <c r="Y42" i="72" a="1"/>
  <c r="Y42" i="72" s="1"/>
  <c r="X42" i="72"/>
  <c r="X42" i="72" a="1"/>
  <c r="W42" i="72" a="1"/>
  <c r="W42" i="72" s="1"/>
  <c r="Y41" i="72" a="1"/>
  <c r="Y41" i="72" s="1"/>
  <c r="X41" i="72" a="1"/>
  <c r="X41" i="72" s="1"/>
  <c r="W41" i="72" a="1"/>
  <c r="W41" i="72" s="1"/>
  <c r="Y40" i="72" a="1"/>
  <c r="Y40" i="72" s="1"/>
  <c r="X40" i="72" a="1"/>
  <c r="X40" i="72" s="1"/>
  <c r="W40" i="72" a="1"/>
  <c r="W40" i="72" s="1"/>
  <c r="Y39" i="72" a="1"/>
  <c r="Y39" i="72" s="1"/>
  <c r="X39" i="72" a="1"/>
  <c r="X39" i="72" s="1"/>
  <c r="W39" i="72"/>
  <c r="W39" i="72" a="1"/>
  <c r="Y38" i="72" a="1"/>
  <c r="Y38" i="72" s="1"/>
  <c r="X38" i="72" a="1"/>
  <c r="X38" i="72" s="1"/>
  <c r="W38" i="72"/>
  <c r="W38" i="72" a="1"/>
  <c r="Y37" i="72" a="1"/>
  <c r="Y37" i="72" s="1"/>
  <c r="X37" i="72" a="1"/>
  <c r="X37" i="72" s="1"/>
  <c r="W37" i="72" a="1"/>
  <c r="W37" i="72" s="1"/>
  <c r="Y36" i="72" a="1"/>
  <c r="Y36" i="72" s="1"/>
  <c r="X36" i="72" a="1"/>
  <c r="X36" i="72" s="1"/>
  <c r="W36" i="72" a="1"/>
  <c r="W36" i="72" s="1"/>
  <c r="Y35" i="72"/>
  <c r="Y35" i="72" a="1"/>
  <c r="X35" i="72" a="1"/>
  <c r="X35" i="72" s="1"/>
  <c r="W35" i="72" a="1"/>
  <c r="W35" i="72" s="1"/>
  <c r="Y34" i="72" a="1"/>
  <c r="Y34" i="72" s="1"/>
  <c r="X34" i="72" a="1"/>
  <c r="X34" i="72" s="1"/>
  <c r="W34" i="72"/>
  <c r="W34" i="72" a="1"/>
  <c r="Y33" i="72" a="1"/>
  <c r="Y33" i="72" s="1"/>
  <c r="X33" i="72" a="1"/>
  <c r="X33" i="72" s="1"/>
  <c r="W33" i="72" a="1"/>
  <c r="W33" i="72" s="1"/>
  <c r="Y32" i="72" a="1"/>
  <c r="Y32" i="72" s="1"/>
  <c r="X32" i="72"/>
  <c r="X32" i="72" a="1"/>
  <c r="W32" i="72" a="1"/>
  <c r="W32" i="72" s="1"/>
  <c r="Y31" i="72" a="1"/>
  <c r="Y31" i="72" s="1"/>
  <c r="X31" i="72" a="1"/>
  <c r="X31" i="72" s="1"/>
  <c r="W31" i="72" a="1"/>
  <c r="W31" i="72" s="1"/>
  <c r="Y30" i="72" a="1"/>
  <c r="Y30" i="72" s="1"/>
  <c r="X30" i="72" a="1"/>
  <c r="X30" i="72" s="1"/>
  <c r="W30" i="72" a="1"/>
  <c r="W30" i="72" s="1"/>
  <c r="Y29" i="72" a="1"/>
  <c r="Y29" i="72" s="1"/>
  <c r="X29" i="72" a="1"/>
  <c r="X29" i="72" s="1"/>
  <c r="W29" i="72"/>
  <c r="W29" i="72" a="1"/>
  <c r="Y28" i="72" a="1"/>
  <c r="Y28" i="72" s="1"/>
  <c r="X28" i="72" a="1"/>
  <c r="X28" i="72" s="1"/>
  <c r="W28" i="72"/>
  <c r="W28" i="72" a="1"/>
  <c r="Y27" i="72" a="1"/>
  <c r="Y27" i="72" s="1"/>
  <c r="X27" i="72" a="1"/>
  <c r="X27" i="72" s="1"/>
  <c r="W27" i="72" a="1"/>
  <c r="W27" i="72" s="1"/>
  <c r="Y26" i="72" a="1"/>
  <c r="Y26" i="72" s="1"/>
  <c r="X26" i="72" a="1"/>
  <c r="X26" i="72" s="1"/>
  <c r="W26" i="72" a="1"/>
  <c r="W26" i="72" s="1"/>
  <c r="Y25" i="72"/>
  <c r="Y25" i="72" a="1"/>
  <c r="X25" i="72" a="1"/>
  <c r="X25" i="72" s="1"/>
  <c r="W25" i="72" a="1"/>
  <c r="W25" i="72" s="1"/>
  <c r="Y24" i="72" a="1"/>
  <c r="Y24" i="72" s="1"/>
  <c r="X24" i="72" a="1"/>
  <c r="X24" i="72" s="1"/>
  <c r="W24" i="72" a="1"/>
  <c r="W24" i="72" s="1"/>
  <c r="Y23" i="72" a="1"/>
  <c r="Y23" i="72" s="1"/>
  <c r="X23" i="72" a="1"/>
  <c r="X23" i="72" s="1"/>
  <c r="W23" i="72" a="1"/>
  <c r="W23" i="72" s="1"/>
  <c r="Y22" i="72" a="1"/>
  <c r="Y22" i="72" s="1"/>
  <c r="X22" i="72"/>
  <c r="X22" i="72" a="1"/>
  <c r="W22" i="72" a="1"/>
  <c r="W22" i="72" s="1"/>
  <c r="Y21" i="72" a="1"/>
  <c r="Y21" i="72" s="1"/>
  <c r="X21" i="72"/>
  <c r="X21" i="72" a="1"/>
  <c r="W21" i="72" a="1"/>
  <c r="W21" i="72" s="1"/>
  <c r="Y20" i="72" a="1"/>
  <c r="Y20" i="72" s="1"/>
  <c r="X20" i="72" a="1"/>
  <c r="X20" i="72" s="1"/>
  <c r="W20" i="72" a="1"/>
  <c r="W20" i="72" s="1"/>
  <c r="Y19" i="72" a="1"/>
  <c r="Y19" i="72" s="1"/>
  <c r="X19" i="72" a="1"/>
  <c r="X19" i="72" s="1"/>
  <c r="W19" i="72"/>
  <c r="W19" i="72" a="1"/>
  <c r="Y18" i="72" a="1"/>
  <c r="Y18" i="72" s="1"/>
  <c r="X18" i="72" a="1"/>
  <c r="X18" i="72" s="1"/>
  <c r="W18" i="72" a="1"/>
  <c r="W18" i="72" s="1"/>
  <c r="Y17" i="72" a="1"/>
  <c r="Y17" i="72" s="1"/>
  <c r="X17" i="72"/>
  <c r="X17" i="72" a="1"/>
  <c r="W17" i="72" a="1"/>
  <c r="W17" i="72" s="1"/>
  <c r="Y16" i="72" a="1"/>
  <c r="Y16" i="72" s="1"/>
  <c r="X16" i="72" a="1"/>
  <c r="X16" i="72" s="1"/>
  <c r="W16" i="72" a="1"/>
  <c r="W16" i="72" s="1"/>
  <c r="Y15" i="72"/>
  <c r="Y15" i="72" a="1"/>
  <c r="X15" i="72" a="1"/>
  <c r="X15" i="72" s="1"/>
  <c r="W15" i="72" a="1"/>
  <c r="W15" i="72" s="1"/>
  <c r="Y14" i="72" a="1"/>
  <c r="Y14" i="72" s="1"/>
  <c r="X14" i="72" a="1"/>
  <c r="X14" i="72" s="1"/>
  <c r="W14" i="72" a="1"/>
  <c r="W14" i="72" s="1"/>
  <c r="Y13" i="72" a="1"/>
  <c r="Y13" i="72" s="1"/>
  <c r="W13" i="72" a="1"/>
  <c r="W13" i="72" s="1"/>
  <c r="Y12" i="72" a="1"/>
  <c r="Y12" i="72" s="1"/>
  <c r="X12" i="72" a="1"/>
  <c r="X12" i="72" s="1"/>
  <c r="W12" i="72" a="1"/>
  <c r="W12" i="72" s="1"/>
  <c r="Y11" i="72" a="1"/>
  <c r="Y11" i="72" s="1"/>
  <c r="X11" i="72" a="1"/>
  <c r="X11" i="72" s="1"/>
  <c r="W11" i="72" a="1"/>
  <c r="W11" i="72" s="1"/>
  <c r="Y10" i="72" a="1"/>
  <c r="Y10" i="72" s="1"/>
  <c r="W10" i="72" a="1"/>
  <c r="W10" i="72" s="1"/>
  <c r="Y9" i="72" a="1"/>
  <c r="Y9" i="72" s="1"/>
  <c r="X9" i="72" a="1"/>
  <c r="X9" i="72" s="1"/>
  <c r="W9" i="72"/>
  <c r="W9" i="72" a="1"/>
  <c r="Y8" i="72" a="1"/>
  <c r="Y8" i="72" s="1"/>
  <c r="X8" i="72" a="1"/>
  <c r="X8" i="72" s="1"/>
  <c r="W8" i="72" a="1"/>
  <c r="W8" i="72" s="1"/>
  <c r="Y7" i="72" a="1"/>
  <c r="Y7" i="72" s="1"/>
  <c r="X7" i="72" a="1"/>
  <c r="X7" i="72" s="1"/>
  <c r="W7" i="72" a="1"/>
  <c r="W7" i="72" s="1"/>
  <c r="X6" i="72" a="1"/>
  <c r="X6" i="72" s="1"/>
  <c r="W6" i="72" a="1"/>
  <c r="W6" i="72" s="1"/>
  <c r="Y5" i="72"/>
  <c r="Y5" i="72" a="1"/>
  <c r="X5" i="72" a="1"/>
  <c r="X5" i="72" s="1"/>
  <c r="W5" i="72" a="1"/>
  <c r="W5" i="72" s="1"/>
  <c r="Y4" i="72"/>
  <c r="Y4" i="72" a="1"/>
  <c r="X4" i="72" a="1"/>
  <c r="X4" i="72" s="1"/>
  <c r="C80" i="48"/>
  <c r="W4" i="72" a="1"/>
  <c r="W4" i="72" s="1"/>
  <c r="AO74" i="72"/>
  <c r="AN74" i="72"/>
  <c r="AM74" i="72"/>
  <c r="AL74" i="72"/>
  <c r="AK74" i="72"/>
  <c r="AH74" i="72"/>
  <c r="AG74" i="72"/>
  <c r="AF74" i="72"/>
  <c r="AE74" i="72"/>
  <c r="AD74" i="72"/>
  <c r="AO50" i="72"/>
  <c r="AN50" i="72"/>
  <c r="AM50" i="72"/>
  <c r="AL50" i="72"/>
  <c r="AK50" i="72"/>
  <c r="AH50" i="72"/>
  <c r="AG50" i="72"/>
  <c r="AF50" i="72"/>
  <c r="AE50" i="72"/>
  <c r="AD50" i="72"/>
  <c r="AO26" i="72"/>
  <c r="AN26" i="72"/>
  <c r="AM26" i="72"/>
  <c r="AL26" i="72"/>
  <c r="AK26" i="72"/>
  <c r="AH26" i="72"/>
  <c r="AG26" i="72"/>
  <c r="AF26" i="72"/>
  <c r="AE26" i="72"/>
  <c r="AD26" i="72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AO21" i="75" a="1"/>
  <c r="AO21" i="75" s="1"/>
  <c r="AO23" i="75" s="1" a="1"/>
  <c r="AO23" i="75" s="1"/>
  <c r="AO26" i="75" a="1"/>
  <c r="AO26" i="75" s="1"/>
  <c r="AO28" i="75" s="1" a="1"/>
  <c r="AO28" i="75" s="1"/>
  <c r="AG19" i="75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C19" i="75" a="1"/>
  <c r="AC19" i="75" s="1"/>
  <c r="Y19" i="75" a="1"/>
  <c r="Y19" i="75" s="1"/>
  <c r="C96" i="75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C32" i="75"/>
  <c r="U19" i="75" l="1"/>
  <c r="U32" i="75"/>
  <c r="I83" i="75"/>
  <c r="J88" i="75" a="1"/>
  <c r="J88" i="75" s="1"/>
  <c r="D83" i="75" s="1" a="1"/>
  <c r="D83" i="75" s="1"/>
  <c r="D96" i="75" s="1"/>
  <c r="I19" i="75"/>
  <c r="K24" i="75" a="1"/>
  <c r="K24" i="75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V19" i="75" l="1"/>
  <c r="V32" i="75"/>
  <c r="J5" i="30" l="1"/>
  <c r="V33" i="75" l="1"/>
  <c r="U33" i="75"/>
  <c r="T19" i="75" s="1" a="1"/>
  <c r="T19" i="75" s="1"/>
  <c r="D19" i="75" a="1"/>
  <c r="J8" i="30"/>
  <c r="D19" i="75" l="1"/>
  <c r="D32" i="75" s="1"/>
  <c r="D34" i="75"/>
  <c r="AO74" i="71"/>
  <c r="AN74" i="71"/>
  <c r="AM74" i="71"/>
  <c r="AL74" i="71"/>
  <c r="AK74" i="71"/>
  <c r="AH74" i="71"/>
  <c r="AG74" i="71"/>
  <c r="AF74" i="71"/>
  <c r="AE74" i="71"/>
  <c r="AD74" i="71"/>
  <c r="AO50" i="71"/>
  <c r="AN50" i="71"/>
  <c r="AM50" i="71"/>
  <c r="AL50" i="71"/>
  <c r="AK50" i="71"/>
  <c r="AH50" i="71"/>
  <c r="AG50" i="71"/>
  <c r="AF50" i="71"/>
  <c r="AE50" i="71"/>
  <c r="AD50" i="71"/>
  <c r="AO26" i="71"/>
  <c r="AN26" i="71"/>
  <c r="AM26" i="71"/>
  <c r="AL26" i="71"/>
  <c r="AK26" i="71"/>
  <c r="AH26" i="71"/>
  <c r="AG26" i="71"/>
  <c r="AF26" i="71"/>
  <c r="AE26" i="71"/>
  <c r="AD26" i="71"/>
  <c r="J4" i="71" a="1"/>
  <c r="J4" i="71" s="1"/>
  <c r="AO74" i="70"/>
  <c r="AN74" i="70"/>
  <c r="AM74" i="70"/>
  <c r="AL74" i="70"/>
  <c r="AK74" i="70"/>
  <c r="AH74" i="70"/>
  <c r="AG74" i="70"/>
  <c r="AF74" i="70"/>
  <c r="AE74" i="70"/>
  <c r="AD74" i="70"/>
  <c r="AO50" i="70"/>
  <c r="AN50" i="70"/>
  <c r="AM50" i="70"/>
  <c r="AL50" i="70"/>
  <c r="AK50" i="70"/>
  <c r="AH50" i="70"/>
  <c r="AG50" i="70"/>
  <c r="AF50" i="70"/>
  <c r="AE50" i="70"/>
  <c r="AD50" i="70"/>
  <c r="AO26" i="70"/>
  <c r="AN26" i="70"/>
  <c r="AM26" i="70"/>
  <c r="AL26" i="70"/>
  <c r="AK26" i="70"/>
  <c r="AH26" i="70"/>
  <c r="AG26" i="70"/>
  <c r="AF26" i="70"/>
  <c r="AE26" i="70"/>
  <c r="AD26" i="70"/>
  <c r="J4" i="70" a="1"/>
  <c r="J4" i="70" s="1"/>
  <c r="AO74" i="69"/>
  <c r="AN74" i="69"/>
  <c r="AM74" i="69"/>
  <c r="AL74" i="69"/>
  <c r="AK74" i="69"/>
  <c r="AH74" i="69"/>
  <c r="AG74" i="69"/>
  <c r="AF74" i="69"/>
  <c r="AE74" i="69"/>
  <c r="AD74" i="69"/>
  <c r="AO50" i="69"/>
  <c r="AN50" i="69"/>
  <c r="AM50" i="69"/>
  <c r="AL50" i="69"/>
  <c r="AK50" i="69"/>
  <c r="AH50" i="69"/>
  <c r="AG50" i="69"/>
  <c r="AF50" i="69"/>
  <c r="AE50" i="69"/>
  <c r="AD50" i="69"/>
  <c r="AO26" i="69"/>
  <c r="AN26" i="69"/>
  <c r="AM26" i="69"/>
  <c r="AL26" i="69"/>
  <c r="AK26" i="69"/>
  <c r="AH26" i="69"/>
  <c r="AG26" i="69"/>
  <c r="AF26" i="69"/>
  <c r="AE26" i="69"/>
  <c r="AD26" i="69"/>
  <c r="J4" i="69" a="1"/>
  <c r="J4" i="69" s="1"/>
  <c r="J4" i="74" a="1"/>
  <c r="J4" i="74" s="1"/>
  <c r="AO74" i="68"/>
  <c r="AN74" i="68"/>
  <c r="AM74" i="68"/>
  <c r="AL74" i="68"/>
  <c r="AK74" i="68"/>
  <c r="AH74" i="68"/>
  <c r="AG74" i="68"/>
  <c r="AF74" i="68"/>
  <c r="AE74" i="68"/>
  <c r="AD74" i="68"/>
  <c r="AO50" i="68"/>
  <c r="AN50" i="68"/>
  <c r="AM50" i="68"/>
  <c r="AL50" i="68"/>
  <c r="AK50" i="68"/>
  <c r="AH50" i="68"/>
  <c r="AG50" i="68"/>
  <c r="AF50" i="68"/>
  <c r="AE50" i="68"/>
  <c r="AD50" i="68"/>
  <c r="AO26" i="68"/>
  <c r="AN26" i="68"/>
  <c r="AM26" i="68"/>
  <c r="AL26" i="68"/>
  <c r="AK26" i="68"/>
  <c r="AH26" i="68"/>
  <c r="AG26" i="68"/>
  <c r="AF26" i="68"/>
  <c r="AE26" i="68"/>
  <c r="AD26" i="68"/>
  <c r="AO74" i="13" l="1"/>
  <c r="AN74" i="13"/>
  <c r="AM74" i="13"/>
  <c r="AL74" i="13"/>
  <c r="AK74" i="13"/>
  <c r="AH74" i="13"/>
  <c r="AG74" i="13"/>
  <c r="AF74" i="13"/>
  <c r="AE74" i="13"/>
  <c r="AD74" i="13"/>
  <c r="AO50" i="13"/>
  <c r="AN50" i="13"/>
  <c r="AM50" i="13"/>
  <c r="AL50" i="13"/>
  <c r="AK50" i="13"/>
  <c r="AH50" i="13"/>
  <c r="AG50" i="13"/>
  <c r="AF50" i="13"/>
  <c r="AE50" i="13"/>
  <c r="AD50" i="13"/>
  <c r="AO26" i="13"/>
  <c r="AN26" i="13"/>
  <c r="AM26" i="13"/>
  <c r="AL26" i="13"/>
  <c r="AK26" i="13"/>
  <c r="AH26" i="13"/>
  <c r="AG26" i="13"/>
  <c r="AF26" i="13"/>
  <c r="AE26" i="13"/>
  <c r="AD26" i="13"/>
  <c r="B5" i="30" l="1" a="1"/>
  <c r="B5" i="30" s="1"/>
  <c r="H4" i="74" l="1" a="1"/>
  <c r="H4" i="74" s="1"/>
  <c r="A4" i="74" a="1"/>
  <c r="D21" i="74" s="1"/>
  <c r="E6" i="74" l="1"/>
  <c r="F9" i="74"/>
  <c r="F13" i="74"/>
  <c r="F17" i="74"/>
  <c r="F21" i="74"/>
  <c r="A4" i="74"/>
  <c r="Q4" i="74" s="1" a="1"/>
  <c r="Q4" i="74" s="1"/>
  <c r="F6" i="74"/>
  <c r="G9" i="74"/>
  <c r="G13" i="74"/>
  <c r="G17" i="74"/>
  <c r="G21" i="74"/>
  <c r="G7" i="74"/>
  <c r="G11" i="74"/>
  <c r="G15" i="74"/>
  <c r="G19" i="74"/>
  <c r="G23" i="74"/>
  <c r="E7" i="74"/>
  <c r="E11" i="74"/>
  <c r="E15" i="74"/>
  <c r="E19" i="74"/>
  <c r="E23" i="74"/>
  <c r="F7" i="74"/>
  <c r="F11" i="74"/>
  <c r="F15" i="74"/>
  <c r="F19" i="74"/>
  <c r="F23" i="74"/>
  <c r="C8" i="74"/>
  <c r="C12" i="74"/>
  <c r="C16" i="74"/>
  <c r="C20" i="74"/>
  <c r="E17" i="74"/>
  <c r="G6" i="74"/>
  <c r="C14" i="74"/>
  <c r="D14" i="74"/>
  <c r="D18" i="74"/>
  <c r="D22" i="74"/>
  <c r="E10" i="74"/>
  <c r="E14" i="74"/>
  <c r="E18" i="74"/>
  <c r="E22" i="74"/>
  <c r="F10" i="74"/>
  <c r="F14" i="74"/>
  <c r="F18" i="74"/>
  <c r="F22" i="74"/>
  <c r="G10" i="74"/>
  <c r="G14" i="74"/>
  <c r="G18" i="74"/>
  <c r="G22" i="74"/>
  <c r="D7" i="74"/>
  <c r="D11" i="74"/>
  <c r="D15" i="74"/>
  <c r="D19" i="74"/>
  <c r="D23" i="74"/>
  <c r="D5" i="74"/>
  <c r="F16" i="74"/>
  <c r="D6" i="74"/>
  <c r="E9" i="74"/>
  <c r="E13" i="74"/>
  <c r="E21" i="74"/>
  <c r="C10" i="74"/>
  <c r="C18" i="74"/>
  <c r="C22" i="74"/>
  <c r="D10" i="74"/>
  <c r="C7" i="74"/>
  <c r="C11" i="74"/>
  <c r="C15" i="74"/>
  <c r="C19" i="74"/>
  <c r="C23" i="74"/>
  <c r="C5" i="74"/>
  <c r="D8" i="74"/>
  <c r="D12" i="74"/>
  <c r="D16" i="74"/>
  <c r="D20" i="74"/>
  <c r="E8" i="74"/>
  <c r="E12" i="74"/>
  <c r="E16" i="74"/>
  <c r="E20" i="74"/>
  <c r="E5" i="74"/>
  <c r="F8" i="74"/>
  <c r="F12" i="74"/>
  <c r="F20" i="74"/>
  <c r="F5" i="74"/>
  <c r="G8" i="74"/>
  <c r="G12" i="74"/>
  <c r="G16" i="74"/>
  <c r="G20" i="74"/>
  <c r="G5" i="74"/>
  <c r="C9" i="74"/>
  <c r="C13" i="74"/>
  <c r="C17" i="74"/>
  <c r="C21" i="74"/>
  <c r="C6" i="74"/>
  <c r="D9" i="74"/>
  <c r="D13" i="74"/>
  <c r="D17" i="74"/>
  <c r="AJ54" i="74" l="1" a="1"/>
  <c r="AJ54" i="74" s="1"/>
  <c r="AC54" i="74" a="1"/>
  <c r="AC54" i="74" s="1"/>
  <c r="AJ6" i="74" a="1"/>
  <c r="AJ6" i="74" s="1"/>
  <c r="AC6" i="74" a="1"/>
  <c r="AC6" i="74" s="1"/>
  <c r="AJ30" i="74" a="1"/>
  <c r="AJ30" i="74" s="1"/>
  <c r="AC30" i="74" a="1"/>
  <c r="AC30" i="74" s="1"/>
  <c r="D4" i="74"/>
  <c r="D24" i="74" s="1"/>
  <c r="C4" i="74"/>
  <c r="G4" i="74"/>
  <c r="G24" i="74" s="1"/>
  <c r="F4" i="74"/>
  <c r="F24" i="74" s="1"/>
  <c r="E4" i="74"/>
  <c r="E24" i="74" s="1"/>
  <c r="E27" i="74" l="1"/>
  <c r="E26" i="74"/>
  <c r="G27" i="74"/>
  <c r="G26" i="74"/>
  <c r="D27" i="74"/>
  <c r="D26" i="74"/>
  <c r="F27" i="74"/>
  <c r="F26" i="74"/>
  <c r="C24" i="74"/>
  <c r="C27" i="74" l="1"/>
  <c r="C26" i="74"/>
  <c r="J4" i="72" a="1"/>
  <c r="J4" i="72" s="1"/>
  <c r="H4" i="72" a="1"/>
  <c r="H4" i="72" s="1"/>
  <c r="A4" i="72" a="1"/>
  <c r="F21" i="72" s="1"/>
  <c r="H4" i="71" a="1"/>
  <c r="H4" i="71" s="1"/>
  <c r="A4" i="71" a="1"/>
  <c r="F21" i="71" s="1"/>
  <c r="H4" i="70" a="1"/>
  <c r="H4" i="70" s="1"/>
  <c r="A4" i="70" a="1"/>
  <c r="F21" i="70" s="1"/>
  <c r="H4" i="69" a="1"/>
  <c r="H4" i="69" s="1"/>
  <c r="A4" i="69" a="1"/>
  <c r="F21" i="69" s="1"/>
  <c r="H4" i="68" a="1"/>
  <c r="H4" i="68" s="1"/>
  <c r="A4" i="68" a="1"/>
  <c r="J19" i="30"/>
  <c r="J12" i="30"/>
  <c r="E17" i="69" l="1"/>
  <c r="D11" i="69"/>
  <c r="D17" i="69"/>
  <c r="F20" i="69"/>
  <c r="C21" i="69"/>
  <c r="E11" i="69"/>
  <c r="G17" i="69"/>
  <c r="G20" i="69"/>
  <c r="E21" i="69"/>
  <c r="G21" i="69"/>
  <c r="G7" i="69"/>
  <c r="D7" i="69"/>
  <c r="E7" i="69"/>
  <c r="C10" i="69"/>
  <c r="G10" i="69"/>
  <c r="E20" i="71"/>
  <c r="F7" i="69"/>
  <c r="C11" i="69"/>
  <c r="D14" i="72"/>
  <c r="D12" i="69"/>
  <c r="E12" i="69"/>
  <c r="G7" i="72"/>
  <c r="C22" i="69"/>
  <c r="D9" i="72"/>
  <c r="G9" i="72"/>
  <c r="D8" i="72"/>
  <c r="C15" i="72"/>
  <c r="D5" i="69"/>
  <c r="G15" i="69"/>
  <c r="D19" i="72"/>
  <c r="E5" i="69"/>
  <c r="C16" i="69"/>
  <c r="E19" i="72"/>
  <c r="D16" i="69"/>
  <c r="F19" i="71"/>
  <c r="F19" i="72"/>
  <c r="F6" i="69"/>
  <c r="E16" i="69"/>
  <c r="G19" i="71"/>
  <c r="G6" i="69"/>
  <c r="F16" i="69"/>
  <c r="C20" i="71"/>
  <c r="C20" i="72"/>
  <c r="C8" i="72"/>
  <c r="E8" i="72"/>
  <c r="F11" i="69"/>
  <c r="D22" i="69"/>
  <c r="G11" i="69"/>
  <c r="F22" i="69"/>
  <c r="C14" i="72"/>
  <c r="E14" i="72"/>
  <c r="C5" i="69"/>
  <c r="F15" i="69"/>
  <c r="E19" i="71"/>
  <c r="F5" i="69"/>
  <c r="G19" i="72"/>
  <c r="C7" i="69"/>
  <c r="G16" i="69"/>
  <c r="D20" i="71"/>
  <c r="G17" i="70"/>
  <c r="C18" i="70"/>
  <c r="E22" i="70"/>
  <c r="F14" i="72"/>
  <c r="D18" i="70"/>
  <c r="F22" i="70"/>
  <c r="G22" i="70"/>
  <c r="G14" i="72"/>
  <c r="D20" i="72"/>
  <c r="C12" i="69"/>
  <c r="E22" i="69"/>
  <c r="D21" i="72"/>
  <c r="F12" i="69"/>
  <c r="C13" i="69"/>
  <c r="C11" i="72"/>
  <c r="E16" i="72"/>
  <c r="C22" i="72"/>
  <c r="F11" i="68"/>
  <c r="G8" i="71"/>
  <c r="F5" i="72"/>
  <c r="D11" i="72"/>
  <c r="F16" i="72"/>
  <c r="G22" i="72"/>
  <c r="C8" i="71"/>
  <c r="E10" i="72"/>
  <c r="F15" i="72"/>
  <c r="C21" i="72"/>
  <c r="F14" i="68"/>
  <c r="E23" i="69"/>
  <c r="C5" i="72"/>
  <c r="F23" i="69"/>
  <c r="G21" i="72"/>
  <c r="G23" i="69"/>
  <c r="E22" i="68"/>
  <c r="F22" i="68"/>
  <c r="C9" i="71"/>
  <c r="G22" i="68"/>
  <c r="E8" i="69"/>
  <c r="G13" i="69"/>
  <c r="E19" i="69"/>
  <c r="E8" i="70"/>
  <c r="C13" i="71"/>
  <c r="C6" i="72"/>
  <c r="G11" i="72"/>
  <c r="C17" i="72"/>
  <c r="D23" i="72"/>
  <c r="C10" i="72"/>
  <c r="D15" i="72"/>
  <c r="F20" i="72"/>
  <c r="G11" i="68"/>
  <c r="E5" i="72"/>
  <c r="E18" i="69"/>
  <c r="D19" i="69"/>
  <c r="E11" i="72"/>
  <c r="F19" i="69"/>
  <c r="F8" i="70"/>
  <c r="D13" i="71"/>
  <c r="F6" i="72"/>
  <c r="C12" i="72"/>
  <c r="D17" i="72"/>
  <c r="E23" i="72"/>
  <c r="C11" i="68"/>
  <c r="E8" i="71"/>
  <c r="G10" i="72"/>
  <c r="G19" i="68"/>
  <c r="D18" i="69"/>
  <c r="D13" i="69"/>
  <c r="D8" i="69"/>
  <c r="G5" i="72"/>
  <c r="G8" i="70"/>
  <c r="G6" i="72"/>
  <c r="E18" i="72"/>
  <c r="F23" i="72"/>
  <c r="D8" i="71"/>
  <c r="F10" i="72"/>
  <c r="C18" i="69"/>
  <c r="D5" i="72"/>
  <c r="D16" i="72"/>
  <c r="F8" i="71"/>
  <c r="C8" i="69"/>
  <c r="E13" i="69"/>
  <c r="C23" i="72"/>
  <c r="G8" i="69"/>
  <c r="C9" i="69"/>
  <c r="G19" i="69"/>
  <c r="F14" i="71"/>
  <c r="E23" i="68"/>
  <c r="D9" i="69"/>
  <c r="C15" i="69"/>
  <c r="C20" i="69"/>
  <c r="C13" i="70"/>
  <c r="G14" i="71"/>
  <c r="C7" i="72"/>
  <c r="E12" i="72"/>
  <c r="F18" i="72"/>
  <c r="G23" i="72"/>
  <c r="E11" i="68"/>
  <c r="E9" i="69"/>
  <c r="D15" i="69"/>
  <c r="D20" i="69"/>
  <c r="D13" i="70"/>
  <c r="C15" i="71"/>
  <c r="E7" i="72"/>
  <c r="F12" i="72"/>
  <c r="G18" i="72"/>
  <c r="G10" i="68"/>
  <c r="D10" i="72"/>
  <c r="E15" i="72"/>
  <c r="G20" i="72"/>
  <c r="E14" i="68"/>
  <c r="G15" i="72"/>
  <c r="F19" i="68"/>
  <c r="G16" i="72"/>
  <c r="C23" i="68"/>
  <c r="C14" i="69"/>
  <c r="D14" i="69"/>
  <c r="D12" i="72"/>
  <c r="A4" i="69"/>
  <c r="AC30" i="69" s="1" a="1"/>
  <c r="AC30" i="69" s="1"/>
  <c r="G9" i="69"/>
  <c r="E15" i="69"/>
  <c r="E20" i="69"/>
  <c r="E13" i="70"/>
  <c r="D15" i="71"/>
  <c r="F7" i="72"/>
  <c r="G12" i="72"/>
  <c r="C19" i="72"/>
  <c r="J22" i="30"/>
  <c r="L19" i="30" s="1" a="1"/>
  <c r="L19" i="30" s="1"/>
  <c r="K22" i="30" s="1"/>
  <c r="J15" i="30"/>
  <c r="L12" i="30" s="1" a="1"/>
  <c r="L12" i="30" s="1"/>
  <c r="K15" i="30" s="1"/>
  <c r="F15" i="71"/>
  <c r="G20" i="71"/>
  <c r="C15" i="68"/>
  <c r="G23" i="68"/>
  <c r="F5" i="70"/>
  <c r="E10" i="70"/>
  <c r="C15" i="70"/>
  <c r="C20" i="70"/>
  <c r="D5" i="71"/>
  <c r="G10" i="71"/>
  <c r="C16" i="71"/>
  <c r="D21" i="71"/>
  <c r="A4" i="70"/>
  <c r="F4" i="70" s="1"/>
  <c r="D9" i="70"/>
  <c r="C14" i="70"/>
  <c r="F18" i="70"/>
  <c r="D23" i="70"/>
  <c r="C5" i="70"/>
  <c r="G9" i="70"/>
  <c r="C19" i="70"/>
  <c r="D5" i="70"/>
  <c r="C10" i="70"/>
  <c r="F14" i="70"/>
  <c r="D19" i="70"/>
  <c r="E9" i="71"/>
  <c r="G14" i="68"/>
  <c r="F23" i="68"/>
  <c r="E5" i="70"/>
  <c r="D10" i="70"/>
  <c r="G14" i="70"/>
  <c r="G19" i="70"/>
  <c r="C5" i="71"/>
  <c r="F10" i="71"/>
  <c r="G15" i="71"/>
  <c r="C21" i="71"/>
  <c r="F8" i="69"/>
  <c r="G12" i="69"/>
  <c r="C17" i="69"/>
  <c r="D21" i="69"/>
  <c r="G5" i="70"/>
  <c r="F10" i="70"/>
  <c r="D15" i="70"/>
  <c r="D20" i="70"/>
  <c r="E5" i="71"/>
  <c r="C11" i="71"/>
  <c r="D16" i="71"/>
  <c r="F22" i="71"/>
  <c r="D7" i="72"/>
  <c r="F11" i="72"/>
  <c r="C16" i="72"/>
  <c r="E20" i="72"/>
  <c r="E14" i="70"/>
  <c r="D6" i="70"/>
  <c r="C23" i="71"/>
  <c r="F6" i="70"/>
  <c r="D11" i="70"/>
  <c r="D16" i="70"/>
  <c r="G20" i="70"/>
  <c r="C6" i="71"/>
  <c r="F11" i="71"/>
  <c r="G16" i="71"/>
  <c r="D23" i="71"/>
  <c r="C9" i="70"/>
  <c r="G13" i="70"/>
  <c r="E18" i="70"/>
  <c r="C23" i="70"/>
  <c r="E9" i="70"/>
  <c r="D14" i="70"/>
  <c r="G18" i="70"/>
  <c r="G23" i="70"/>
  <c r="E4" i="69"/>
  <c r="E16" i="70"/>
  <c r="D6" i="71"/>
  <c r="G11" i="71"/>
  <c r="E23" i="71"/>
  <c r="E15" i="68"/>
  <c r="F15" i="68"/>
  <c r="E18" i="68"/>
  <c r="F18" i="71"/>
  <c r="D9" i="71"/>
  <c r="E15" i="71"/>
  <c r="F20" i="71"/>
  <c r="C6" i="70"/>
  <c r="G10" i="70"/>
  <c r="G15" i="70"/>
  <c r="E20" i="70"/>
  <c r="F5" i="71"/>
  <c r="D11" i="71"/>
  <c r="E16" i="71"/>
  <c r="G22" i="71"/>
  <c r="E7" i="68"/>
  <c r="F18" i="68"/>
  <c r="C7" i="70"/>
  <c r="C12" i="70"/>
  <c r="F16" i="70"/>
  <c r="C7" i="71"/>
  <c r="C12" i="71"/>
  <c r="D17" i="71"/>
  <c r="F23" i="71"/>
  <c r="D7" i="70"/>
  <c r="D12" i="70"/>
  <c r="G16" i="70"/>
  <c r="E21" i="70"/>
  <c r="D7" i="71"/>
  <c r="D12" i="71"/>
  <c r="G23" i="71"/>
  <c r="F8" i="72"/>
  <c r="C13" i="72"/>
  <c r="G17" i="72"/>
  <c r="D22" i="72"/>
  <c r="D21" i="70"/>
  <c r="F7" i="68"/>
  <c r="G18" i="68"/>
  <c r="G7" i="68"/>
  <c r="G5" i="69"/>
  <c r="D10" i="69"/>
  <c r="F18" i="69"/>
  <c r="G7" i="70"/>
  <c r="E12" i="70"/>
  <c r="C17" i="70"/>
  <c r="E7" i="71"/>
  <c r="E12" i="71"/>
  <c r="E10" i="68"/>
  <c r="C6" i="69"/>
  <c r="E10" i="69"/>
  <c r="F14" i="69"/>
  <c r="G18" i="69"/>
  <c r="C23" i="69"/>
  <c r="C8" i="70"/>
  <c r="F12" i="70"/>
  <c r="D17" i="70"/>
  <c r="C22" i="70"/>
  <c r="F7" i="71"/>
  <c r="F12" i="71"/>
  <c r="C19" i="71"/>
  <c r="A4" i="72"/>
  <c r="E4" i="72" s="1"/>
  <c r="G8" i="72"/>
  <c r="D13" i="72"/>
  <c r="C18" i="72"/>
  <c r="E22" i="72"/>
  <c r="C11" i="70"/>
  <c r="C16" i="70"/>
  <c r="F20" i="70"/>
  <c r="G5" i="71"/>
  <c r="E11" i="71"/>
  <c r="F16" i="71"/>
  <c r="C7" i="68"/>
  <c r="G15" i="68"/>
  <c r="G6" i="70"/>
  <c r="G11" i="70"/>
  <c r="C21" i="70"/>
  <c r="C17" i="71"/>
  <c r="C19" i="68"/>
  <c r="E14" i="69"/>
  <c r="G22" i="69"/>
  <c r="G21" i="70"/>
  <c r="G18" i="71"/>
  <c r="F10" i="68"/>
  <c r="E19" i="68"/>
  <c r="D6" i="69"/>
  <c r="F10" i="69"/>
  <c r="G14" i="69"/>
  <c r="C19" i="69"/>
  <c r="D23" i="69"/>
  <c r="D8" i="70"/>
  <c r="G12" i="70"/>
  <c r="E17" i="70"/>
  <c r="D22" i="70"/>
  <c r="G7" i="71"/>
  <c r="G12" i="71"/>
  <c r="D19" i="71"/>
  <c r="C9" i="72"/>
  <c r="G13" i="72"/>
  <c r="D18" i="72"/>
  <c r="F22" i="72"/>
  <c r="L5" i="30" a="1"/>
  <c r="Q4" i="72" a="1"/>
  <c r="Q4" i="72" s="1"/>
  <c r="C4" i="72"/>
  <c r="D6" i="72"/>
  <c r="E9" i="72"/>
  <c r="E13" i="72"/>
  <c r="E17" i="72"/>
  <c r="E21" i="72"/>
  <c r="E6" i="72"/>
  <c r="F9" i="72"/>
  <c r="F13" i="72"/>
  <c r="F17" i="72"/>
  <c r="E13" i="71"/>
  <c r="E17" i="71"/>
  <c r="E21" i="71"/>
  <c r="A4" i="71"/>
  <c r="F6" i="71"/>
  <c r="G9" i="71"/>
  <c r="G13" i="71"/>
  <c r="G17" i="71"/>
  <c r="G21" i="71"/>
  <c r="G6" i="71"/>
  <c r="C10" i="71"/>
  <c r="C14" i="71"/>
  <c r="C18" i="71"/>
  <c r="C22" i="71"/>
  <c r="D10" i="71"/>
  <c r="D14" i="71"/>
  <c r="D18" i="71"/>
  <c r="D22" i="71"/>
  <c r="E10" i="71"/>
  <c r="E14" i="71"/>
  <c r="E18" i="71"/>
  <c r="E22" i="71"/>
  <c r="E6" i="71"/>
  <c r="F9" i="71"/>
  <c r="F13" i="71"/>
  <c r="F17" i="71"/>
  <c r="E7" i="70"/>
  <c r="E11" i="70"/>
  <c r="E15" i="70"/>
  <c r="E19" i="70"/>
  <c r="E23" i="70"/>
  <c r="F7" i="70"/>
  <c r="F11" i="70"/>
  <c r="F15" i="70"/>
  <c r="F19" i="70"/>
  <c r="F23" i="70"/>
  <c r="E6" i="70"/>
  <c r="F9" i="70"/>
  <c r="F13" i="70"/>
  <c r="F17" i="70"/>
  <c r="E6" i="69"/>
  <c r="F9" i="69"/>
  <c r="F13" i="69"/>
  <c r="F17" i="69"/>
  <c r="E6" i="68"/>
  <c r="F9" i="68"/>
  <c r="F13" i="68"/>
  <c r="F17" i="68"/>
  <c r="F21" i="68"/>
  <c r="A4" i="68"/>
  <c r="F6" i="68"/>
  <c r="G9" i="68"/>
  <c r="G13" i="68"/>
  <c r="G17" i="68"/>
  <c r="G21" i="68"/>
  <c r="F5" i="68"/>
  <c r="G8" i="68"/>
  <c r="G12" i="68"/>
  <c r="G16" i="68"/>
  <c r="G20" i="68"/>
  <c r="G5" i="68"/>
  <c r="C9" i="68"/>
  <c r="C13" i="68"/>
  <c r="C17" i="68"/>
  <c r="C21" i="68"/>
  <c r="C6" i="68"/>
  <c r="E9" i="68"/>
  <c r="E13" i="68"/>
  <c r="E17" i="68"/>
  <c r="E21" i="68"/>
  <c r="G6" i="68"/>
  <c r="C10" i="68"/>
  <c r="C14" i="68"/>
  <c r="C18" i="68"/>
  <c r="C22" i="68"/>
  <c r="C8" i="68"/>
  <c r="C12" i="68"/>
  <c r="C16" i="68"/>
  <c r="C20" i="68"/>
  <c r="C5" i="68"/>
  <c r="E8" i="68"/>
  <c r="E12" i="68"/>
  <c r="E16" i="68"/>
  <c r="E20" i="68"/>
  <c r="E5" i="68"/>
  <c r="F8" i="68"/>
  <c r="F12" i="68"/>
  <c r="F16" i="68"/>
  <c r="F20" i="68"/>
  <c r="F4" i="72" l="1"/>
  <c r="F24" i="72" s="1"/>
  <c r="F27" i="72" s="1"/>
  <c r="G4" i="69"/>
  <c r="G24" i="69" s="1"/>
  <c r="AJ30" i="69" a="1"/>
  <c r="AJ30" i="69" s="1"/>
  <c r="AC6" i="69" a="1"/>
  <c r="AC6" i="69" s="1"/>
  <c r="AC54" i="69" a="1"/>
  <c r="AC54" i="69" s="1"/>
  <c r="AJ54" i="69" a="1"/>
  <c r="AJ54" i="69" s="1"/>
  <c r="D4" i="69"/>
  <c r="D24" i="69" s="1"/>
  <c r="C4" i="69"/>
  <c r="C24" i="69" s="1"/>
  <c r="F4" i="69"/>
  <c r="F24" i="69" s="1"/>
  <c r="AJ6" i="69" a="1"/>
  <c r="AJ6" i="69" s="1"/>
  <c r="G4" i="70"/>
  <c r="G24" i="70" s="1"/>
  <c r="D4" i="70"/>
  <c r="D24" i="70" s="1"/>
  <c r="D4" i="72"/>
  <c r="D24" i="72" s="1"/>
  <c r="D26" i="72" s="1"/>
  <c r="AJ30" i="72" a="1"/>
  <c r="AJ30" i="72" s="1"/>
  <c r="AC30" i="72" a="1"/>
  <c r="AC30" i="72" s="1"/>
  <c r="AJ6" i="72" a="1"/>
  <c r="AJ6" i="72" s="1"/>
  <c r="AC6" i="72" a="1"/>
  <c r="AC6" i="72" s="1"/>
  <c r="AJ54" i="72" a="1"/>
  <c r="AJ54" i="72" s="1"/>
  <c r="AC54" i="72" a="1"/>
  <c r="AC54" i="72" s="1"/>
  <c r="L5" i="30"/>
  <c r="G2" i="75"/>
  <c r="C24" i="72"/>
  <c r="C26" i="72" s="1"/>
  <c r="E4" i="70"/>
  <c r="E24" i="70" s="1"/>
  <c r="AJ30" i="70" a="1"/>
  <c r="AJ30" i="70" s="1"/>
  <c r="AJ54" i="70" a="1"/>
  <c r="AJ54" i="70" s="1"/>
  <c r="AJ6" i="70" a="1"/>
  <c r="AJ6" i="70" s="1"/>
  <c r="AC30" i="70" a="1"/>
  <c r="AC30" i="70" s="1"/>
  <c r="AC6" i="70" a="1"/>
  <c r="AC6" i="70" s="1"/>
  <c r="AC54" i="70" a="1"/>
  <c r="AC54" i="70" s="1"/>
  <c r="AJ54" i="68" a="1"/>
  <c r="AJ54" i="68" s="1"/>
  <c r="AJ6" i="68" a="1"/>
  <c r="AJ6" i="68" s="1"/>
  <c r="AC6" i="68" a="1"/>
  <c r="AC6" i="68" s="1"/>
  <c r="AC54" i="68" a="1"/>
  <c r="AC54" i="68" s="1"/>
  <c r="AJ30" i="68" a="1"/>
  <c r="AJ30" i="68" s="1"/>
  <c r="AC30" i="68" a="1"/>
  <c r="AC30" i="68" s="1"/>
  <c r="C4" i="70"/>
  <c r="C24" i="70" s="1"/>
  <c r="AJ54" i="71" a="1"/>
  <c r="AJ54" i="71" s="1"/>
  <c r="AC54" i="71" a="1"/>
  <c r="AC54" i="71" s="1"/>
  <c r="AC6" i="71" a="1"/>
  <c r="AC6" i="71" s="1"/>
  <c r="AJ30" i="71" a="1"/>
  <c r="AJ30" i="71" s="1"/>
  <c r="AC30" i="71" a="1"/>
  <c r="AC30" i="71" s="1"/>
  <c r="AJ6" i="71" a="1"/>
  <c r="AJ6" i="71" s="1"/>
  <c r="G4" i="72"/>
  <c r="E24" i="69"/>
  <c r="E24" i="72"/>
  <c r="E26" i="72" s="1"/>
  <c r="G4" i="71"/>
  <c r="G24" i="71" s="1"/>
  <c r="E4" i="71"/>
  <c r="E24" i="71" s="1"/>
  <c r="D4" i="71"/>
  <c r="C4" i="71"/>
  <c r="C24" i="71" s="1"/>
  <c r="F4" i="71"/>
  <c r="F24" i="71" s="1"/>
  <c r="F24" i="70"/>
  <c r="E4" i="68"/>
  <c r="E24" i="68" s="1"/>
  <c r="F4" i="68"/>
  <c r="F24" i="68" s="1"/>
  <c r="G4" i="68"/>
  <c r="G24" i="68" s="1"/>
  <c r="C4" i="68"/>
  <c r="H250" i="48"/>
  <c r="H29" i="48"/>
  <c r="F27" i="71" l="1"/>
  <c r="F26" i="71"/>
  <c r="E26" i="69"/>
  <c r="E27" i="69"/>
  <c r="E27" i="68"/>
  <c r="E26" i="68"/>
  <c r="D26" i="70"/>
  <c r="D27" i="70"/>
  <c r="E27" i="70"/>
  <c r="E26" i="70"/>
  <c r="F27" i="70"/>
  <c r="F26" i="70"/>
  <c r="G26" i="71"/>
  <c r="G27" i="71"/>
  <c r="E27" i="71"/>
  <c r="E26" i="71"/>
  <c r="G27" i="68"/>
  <c r="G26" i="68"/>
  <c r="G27" i="69"/>
  <c r="G26" i="69"/>
  <c r="C26" i="71"/>
  <c r="C27" i="71"/>
  <c r="F27" i="68"/>
  <c r="F26" i="68"/>
  <c r="G27" i="70"/>
  <c r="G26" i="70"/>
  <c r="F27" i="69"/>
  <c r="F26" i="69"/>
  <c r="C26" i="70"/>
  <c r="C27" i="70"/>
  <c r="C26" i="69"/>
  <c r="C27" i="69"/>
  <c r="D27" i="69"/>
  <c r="D26" i="69"/>
  <c r="F26" i="72"/>
  <c r="C27" i="72"/>
  <c r="G24" i="72"/>
  <c r="G27" i="72" s="1"/>
  <c r="E27" i="72"/>
  <c r="D27" i="72"/>
  <c r="D24" i="71"/>
  <c r="D27" i="71" s="1"/>
  <c r="K8" i="30"/>
  <c r="F2" i="75"/>
  <c r="F4" i="75" s="1" a="1"/>
  <c r="F4" i="75" s="1"/>
  <c r="C24" i="68"/>
  <c r="O229" i="48" a="1"/>
  <c r="O229" i="48" s="1"/>
  <c r="O159" i="48" a="1"/>
  <c r="O159" i="48" s="1"/>
  <c r="O16" i="48" a="1"/>
  <c r="O16" i="48" s="1"/>
  <c r="G26" i="72" l="1"/>
  <c r="C26" i="68"/>
  <c r="C27" i="68"/>
  <c r="D26" i="7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H4" i="13" a="1"/>
  <c r="H4" i="13" s="1"/>
  <c r="A4" i="13" a="1"/>
  <c r="C22" i="13" l="1"/>
  <c r="G22" i="13"/>
  <c r="C23" i="13"/>
  <c r="G23" i="13"/>
  <c r="A4" i="13"/>
  <c r="Q4" i="13" s="1" a="1"/>
  <c r="Q4" i="13" s="1"/>
  <c r="E13" i="13"/>
  <c r="C21" i="13"/>
  <c r="F6" i="13"/>
  <c r="F13" i="13"/>
  <c r="G6" i="13"/>
  <c r="G13" i="13"/>
  <c r="G20" i="13"/>
  <c r="C7" i="13"/>
  <c r="C14" i="13"/>
  <c r="E7" i="13"/>
  <c r="E14" i="13"/>
  <c r="F7" i="13"/>
  <c r="F14" i="13"/>
  <c r="G7" i="13"/>
  <c r="G16" i="13"/>
  <c r="C10" i="13"/>
  <c r="C17" i="13"/>
  <c r="E10" i="13"/>
  <c r="F10" i="13"/>
  <c r="G10" i="13"/>
  <c r="G17" i="13"/>
  <c r="C11" i="13"/>
  <c r="C20" i="13"/>
  <c r="C8" i="13"/>
  <c r="E11" i="13"/>
  <c r="G14" i="13"/>
  <c r="C18" i="13"/>
  <c r="F11" i="13"/>
  <c r="C5" i="13"/>
  <c r="G11" i="13"/>
  <c r="C15" i="13"/>
  <c r="F8" i="13"/>
  <c r="E5" i="13"/>
  <c r="C12" i="13"/>
  <c r="G18" i="13"/>
  <c r="G5" i="13"/>
  <c r="E12" i="13"/>
  <c r="F9" i="13"/>
  <c r="E8" i="13"/>
  <c r="G21" i="13"/>
  <c r="G8" i="13"/>
  <c r="F5" i="13"/>
  <c r="C9" i="13"/>
  <c r="G15" i="13"/>
  <c r="C19" i="13"/>
  <c r="F12" i="13"/>
  <c r="C6" i="13"/>
  <c r="E9" i="13"/>
  <c r="G12" i="13"/>
  <c r="C16" i="13"/>
  <c r="E6" i="13"/>
  <c r="G9" i="13"/>
  <c r="C13" i="13"/>
  <c r="G19" i="13"/>
  <c r="AC30" i="13" l="1" a="1"/>
  <c r="AC30" i="13" s="1"/>
  <c r="AC54" i="13" a="1"/>
  <c r="AC54" i="13" s="1"/>
  <c r="AJ6" i="13" a="1"/>
  <c r="AJ6" i="13" s="1"/>
  <c r="AC6" i="13" a="1"/>
  <c r="AC6" i="13" s="1"/>
  <c r="AJ54" i="13" a="1"/>
  <c r="AJ54" i="13" s="1"/>
  <c r="AJ30" i="13" a="1"/>
  <c r="AJ30" i="13" s="1"/>
  <c r="E4" i="13"/>
  <c r="E24" i="13" s="1"/>
  <c r="F4" i="13"/>
  <c r="F24" i="13" s="1"/>
  <c r="C4" i="13"/>
  <c r="C24" i="13" s="1"/>
  <c r="G4" i="13"/>
  <c r="G24" i="13" s="1"/>
  <c r="G27" i="13" l="1"/>
  <c r="G26" i="13"/>
  <c r="F27" i="13"/>
  <c r="F26" i="13"/>
  <c r="E27" i="13"/>
  <c r="E26" i="13"/>
  <c r="C27" i="13"/>
  <c r="C26" i="13"/>
  <c r="B41" i="4"/>
  <c r="A18" i="4" l="1"/>
  <c r="A11" i="4" a="1"/>
  <c r="A11" i="4" s="1"/>
  <c r="M81" i="48" l="1"/>
  <c r="C229" i="48" l="1" a="1"/>
  <c r="C229" i="48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E229" i="48" l="1" a="1"/>
  <c r="E229" i="48" s="1"/>
  <c r="J229" i="48" s="1" a="1"/>
  <c r="J229" i="48" s="1"/>
  <c r="K229" i="48" s="1" a="1"/>
  <c r="K229" i="48" l="1"/>
  <c r="L229" i="48" s="1" a="1"/>
  <c r="L229" i="48" s="1"/>
  <c r="K4" i="76" l="1" a="1"/>
  <c r="K4" i="76" s="1"/>
  <c r="J9" i="48" a="1"/>
  <c r="J9" i="48" s="1"/>
  <c r="M229" i="48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J7" i="48" s="1" a="1"/>
  <c r="J7" i="48" s="1"/>
  <c r="J8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S159" i="48" s="1" a="1"/>
  <c r="S15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P159" i="48" l="1" a="1"/>
  <c r="P159" i="48" s="1"/>
  <c r="K80" i="48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  <c r="D4" i="13"/>
  <c r="D8" i="13"/>
  <c r="D12" i="13"/>
  <c r="D10" i="13"/>
  <c r="D6" i="13"/>
  <c r="D13" i="13"/>
  <c r="D11" i="13"/>
  <c r="D14" i="13"/>
  <c r="D7" i="13"/>
  <c r="D5" i="13"/>
  <c r="D9" i="13"/>
  <c r="J4" i="13" a="1"/>
  <c r="J4" i="13" s="1"/>
  <c r="D24" i="13" l="1"/>
  <c r="D27" i="13" s="1"/>
  <c r="D26" i="13" l="1"/>
  <c r="D4" i="68"/>
  <c r="Q4" i="68" a="1"/>
  <c r="Q4" i="68" s="1"/>
  <c r="D9" i="68"/>
  <c r="D11" i="68"/>
  <c r="D18" i="68"/>
  <c r="D21" i="68"/>
  <c r="D17" i="68"/>
  <c r="D10" i="68"/>
  <c r="D23" i="68"/>
  <c r="D6" i="68"/>
  <c r="D19" i="68"/>
  <c r="D12" i="68"/>
  <c r="D7" i="68"/>
  <c r="D5" i="68"/>
  <c r="D13" i="68"/>
  <c r="D14" i="68"/>
  <c r="D20" i="68"/>
  <c r="D16" i="68"/>
  <c r="D8" i="68"/>
  <c r="D22" i="68"/>
  <c r="J4" i="68" a="1"/>
  <c r="J4" i="68" s="1"/>
  <c r="D15" i="68"/>
  <c r="D24" i="68" l="1"/>
  <c r="D27" i="68" s="1"/>
  <c r="D26" i="68" l="1"/>
  <c r="AK30" i="74" l="1" a="1"/>
  <c r="AK30" i="74" s="1"/>
  <c r="AK50" i="74" s="1"/>
  <c r="AK6" i="74" a="1"/>
  <c r="AO26" i="74" s="1"/>
  <c r="AD30" i="74" a="1"/>
  <c r="AH50" i="74" s="1"/>
  <c r="AD54" i="74" a="1"/>
  <c r="AH74" i="74" s="1"/>
  <c r="AD26" i="74"/>
  <c r="AK54" i="74" a="1"/>
  <c r="AM74" i="74" s="1"/>
  <c r="AH26" i="74"/>
  <c r="AE26" i="74"/>
  <c r="AG26" i="74"/>
  <c r="AF26" i="74"/>
  <c r="AQ17" i="74" a="1"/>
  <c r="AQ17" i="74" s="1"/>
  <c r="AE50" i="74" l="1"/>
  <c r="AG50" i="74"/>
  <c r="AD30" i="74"/>
  <c r="AD50" i="74" s="1"/>
  <c r="AF50" i="74"/>
  <c r="AK6" i="74"/>
  <c r="AK26" i="74" s="1"/>
  <c r="AN74" i="74"/>
  <c r="AN26" i="74"/>
  <c r="AL74" i="74"/>
  <c r="AK54" i="74"/>
  <c r="AK74" i="74" s="1"/>
  <c r="AO74" i="74"/>
  <c r="AE74" i="74"/>
  <c r="AN50" i="74"/>
  <c r="AM26" i="74"/>
  <c r="AL26" i="74"/>
  <c r="AF74" i="74"/>
  <c r="AG74" i="74"/>
  <c r="AO50" i="74"/>
  <c r="AD54" i="74"/>
  <c r="AD74" i="74" s="1"/>
  <c r="AM50" i="74"/>
  <c r="AL50" i="7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<sst xmlns="http://schemas.openxmlformats.org/spreadsheetml/2006/main" count="8135" uniqueCount="332">
  <si>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</si>
  <si>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</si>
  <si>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</si>
  <si>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</si>
  <si>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</si>
  <si>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Symbol</t>
    <phoneticPr fontId="22" type="noConversion"/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</si>
  <si>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</si>
  <si>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</si>
  <si>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</si>
  <si>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</si>
  <si>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</si>
  <si>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</si>
  <si>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</si>
  <si>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</si>
  <si>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</si>
  <si>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</si>
  <si>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</si>
  <si>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</si>
  <si>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</si>
  <si>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</si>
  <si>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</si>
  <si>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</si>
  <si>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</si>
  <si>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</si>
  <si>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</si>
  <si>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</si>
  <si>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</si>
  <si>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</si>
  <si>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</si>
  <si>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</si>
  <si>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</si>
  <si>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</si>
  <si>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</si>
  <si>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</si>
  <si>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</si>
  <si>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</si>
  <si>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</si>
  <si>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</si>
  <si>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</si>
  <si>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</si>
  <si>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</si>
  <si>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</si>
  <si>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</si>
  <si>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</si>
  <si>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</si>
  <si>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</si>
  <si>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</si>
  <si>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</si>
  <si>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</si>
  <si>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</si>
  <si>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</si>
  <si>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</si>
  <si>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</si>
  <si>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</si>
  <si>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</si>
  <si>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</si>
  <si>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</si>
  <si>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</si>
  <si>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</si>
  <si>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</si>
  <si>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</si>
  <si>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</si>
  <si>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</si>
  <si>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</si>
  <si>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</si>
  <si>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</si>
  <si>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</si>
  <si>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</si>
  <si>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</si>
  <si>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</si>
  <si>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</si>
  <si>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</si>
  <si>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</si>
  <si>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</si>
  <si>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</si>
  <si>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</si>
  <si>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</si>
  <si>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</si>
  <si>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</si>
  <si>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</si>
  <si>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</si>
  <si>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Compare</t>
    <phoneticPr fontId="20" type="noConversion"/>
  </si>
  <si>
    <t>RTP</t>
  </si>
  <si>
    <t>Avg Multi</t>
    <phoneticPr fontId="20" type="noConversion"/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</si>
  <si>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</si>
  <si>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</si>
  <si>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</si>
  <si>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</si>
  <si>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</si>
  <si>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</si>
  <si>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</si>
  <si>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</si>
  <si>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</si>
  <si>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</si>
  <si>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</si>
  <si>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</si>
  <si>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</si>
  <si>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</si>
  <si>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</si>
  <si>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</si>
  <si>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</si>
  <si>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</si>
  <si>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</si>
  <si>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H026192</t>
    <phoneticPr fontId="22" type="noConversion"/>
  </si>
  <si>
    <t>M5</t>
  </si>
  <si>
    <t>G5</t>
  </si>
  <si>
    <t>BG_Symbol</t>
    <phoneticPr fontId="20" type="noConversion"/>
  </si>
  <si>
    <t>BG_Symbol (2)</t>
    <phoneticPr fontId="20" type="noConversion"/>
  </si>
  <si>
    <t xml:space="preserve">3+ Combo </t>
    <phoneticPr fontId="20" type="noConversion"/>
  </si>
  <si>
    <t xml:space="preserve">1 Combo </t>
    <phoneticPr fontId="20" type="noConversion"/>
  </si>
  <si>
    <t xml:space="preserve">2 Combo </t>
    <phoneticPr fontId="20" type="noConversion"/>
  </si>
  <si>
    <t>Symbol</t>
    <phoneticPr fontId="20" type="noConversion"/>
  </si>
  <si>
    <t>Symbol ID</t>
    <phoneticPr fontId="20" type="noConversion"/>
  </si>
  <si>
    <t>Symbol Weight</t>
    <phoneticPr fontId="22" type="noConversion"/>
  </si>
  <si>
    <t>FG_Symbol</t>
  </si>
  <si>
    <t>FG_Symbol</t>
    <phoneticPr fontId="20" type="noConversion"/>
  </si>
  <si>
    <t>FG_Symbol (2)</t>
  </si>
  <si>
    <t>FG_Symbol (2)</t>
    <phoneticPr fontId="20" type="noConversion"/>
  </si>
  <si>
    <t>FG_Symbol (3)</t>
  </si>
  <si>
    <t>FG_Symbol (3)</t>
    <phoneticPr fontId="20" type="noConversion"/>
  </si>
  <si>
    <t>Worksheet Name</t>
  </si>
  <si>
    <t>Worksheet Name</t>
    <phoneticPr fontId="20" type="noConversion"/>
  </si>
  <si>
    <t>BG_Symbol</t>
  </si>
  <si>
    <t>BG_Symbol (2)</t>
  </si>
  <si>
    <t>Worksheet Name \ Multiple</t>
    <phoneticPr fontId="20" type="noConversion"/>
  </si>
  <si>
    <t>Eliminate Wheel Weight A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</si>
  <si>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</si>
  <si>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</si>
  <si>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</si>
  <si>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</si>
  <si>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</si>
  <si>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</si>
  <si>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</si>
  <si>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</si>
  <si>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</si>
  <si>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</si>
  <si>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</si>
  <si>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</si>
  <si>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</si>
  <si>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</si>
  <si>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</si>
  <si>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</si>
  <si>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</si>
  <si>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</si>
  <si>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</si>
  <si>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</si>
  <si>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</si>
  <si>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</si>
  <si>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</si>
  <si>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</si>
  <si>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</si>
  <si>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</si>
  <si>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</si>
  <si>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</si>
  <si>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</si>
  <si>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</si>
  <si>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</si>
  <si>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</si>
  <si>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</si>
  <si>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</si>
  <si>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</si>
  <si>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</si>
  <si>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</si>
  <si>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</si>
  <si>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</si>
  <si>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</si>
  <si>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</si>
  <si>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</si>
  <si>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</si>
  <si>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</si>
  <si>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</si>
  <si>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</si>
  <si>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</si>
  <si>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</si>
  <si>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</si>
  <si>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</si>
  <si>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</si>
  <si>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</si>
  <si>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</si>
  <si>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</si>
  <si>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</si>
  <si>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</si>
  <si>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</si>
  <si>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</si>
  <si>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</si>
  <si>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</si>
  <si>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</si>
  <si>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</si>
  <si>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</si>
  <si>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</si>
  <si>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</si>
  <si>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</si>
  <si>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</si>
  <si>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</si>
  <si>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</si>
  <si>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</si>
  <si>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</si>
  <si>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</si>
  <si>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</si>
  <si>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</si>
  <si>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</si>
  <si>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</si>
  <si>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</si>
  <si>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</si>
  <si>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</si>
  <si>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</si>
  <si>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</si>
  <si>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</si>
  <si>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</si>
  <si>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</si>
  <si>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t>Normal Symbol</t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</si>
  <si>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</si>
  <si>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</si>
  <si>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</si>
  <si>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</si>
  <si>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</si>
  <si>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</si>
  <si>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r>
      <rPr>
        <sz val="12"/>
        <color theme="1"/>
        <rFont val="微軟正黑體"/>
        <family val="2"/>
        <charset val="136"/>
      </rPr>
      <t>墨西哥狂歡</t>
    </r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</si>
  <si>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</si>
  <si>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</si>
  <si>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</si>
  <si>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</si>
  <si>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</si>
  <si>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</si>
  <si>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</si>
  <si>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</si>
  <si>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</si>
  <si>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</si>
  <si>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</si>
  <si>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</si>
  <si>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</si>
  <si>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</si>
  <si>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</si>
  <si>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</si>
  <si>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</si>
  <si>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</si>
  <si>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</si>
  <si>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</si>
  <si>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</si>
  <si>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</si>
  <si>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</si>
  <si>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</si>
  <si>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</si>
  <si>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</si>
  <si>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</si>
  <si>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</si>
  <si>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</si>
  <si>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</si>
  <si>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</si>
  <si>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</si>
  <si>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</si>
  <si>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</si>
  <si>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</si>
  <si>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</si>
  <si>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</si>
  <si>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</si>
  <si>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</si>
  <si>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</si>
  <si>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</si>
  <si>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</si>
  <si>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</si>
  <si>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</si>
  <si>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</si>
  <si>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</si>
  <si>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</si>
  <si>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</si>
  <si>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</si>
  <si>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</si>
  <si>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</si>
  <si>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</si>
  <si>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</si>
  <si>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</si>
  <si>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</si>
  <si>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</si>
  <si>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</si>
  <si>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</si>
  <si>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</si>
  <si>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</si>
  <si>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</si>
  <si>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</si>
  <si>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</si>
  <si>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</si>
  <si>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</si>
  <si>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</si>
  <si>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</si>
  <si>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M5</t>
    <phoneticPr fontId="20" type="noConversion"/>
  </si>
  <si>
    <t>G1</t>
    <phoneticPr fontId="20" type="noConversion"/>
  </si>
  <si>
    <t>G5</t>
    <phoneticPr fontId="20" type="noConversion"/>
  </si>
  <si>
    <t>G4</t>
    <phoneticPr fontId="20" type="noConversion"/>
  </si>
  <si>
    <t>目標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</si>
  <si>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</si>
  <si>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</si>
  <si>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</si>
  <si>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</si>
  <si>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</si>
  <si>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</si>
  <si>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</si>
  <si>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AB</t>
    <phoneticPr fontId="20" type="noConversion"/>
  </si>
  <si>
    <t>Newbie</t>
  </si>
  <si>
    <t>Oldhand</t>
  </si>
  <si>
    <t>But Feature</t>
    <phoneticPr fontId="20" type="noConversion"/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</si>
  <si>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</si>
  <si>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</si>
  <si>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</si>
  <si>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</si>
  <si>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Rainbow M1</t>
    <phoneticPr fontId="20" type="noConversion"/>
  </si>
  <si>
    <t>Rainbow M2</t>
    <phoneticPr fontId="20" type="noConversion"/>
  </si>
  <si>
    <t>Rainbow M3</t>
    <phoneticPr fontId="20" type="noConversion"/>
  </si>
  <si>
    <t>Rainbow M4</t>
    <phoneticPr fontId="20" type="noConversion"/>
  </si>
  <si>
    <t>Rainbow M5</t>
    <phoneticPr fontId="20" type="noConversion"/>
  </si>
  <si>
    <t>Rainbow A</t>
    <phoneticPr fontId="20" type="noConversion"/>
  </si>
  <si>
    <t>Rainbow K</t>
    <phoneticPr fontId="20" type="noConversion"/>
  </si>
  <si>
    <t>Rainbow Q</t>
    <phoneticPr fontId="20" type="noConversion"/>
  </si>
  <si>
    <t>Rainbow J</t>
    <phoneticPr fontId="20" type="noConversion"/>
  </si>
  <si>
    <t>Rainbow Symbol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</si>
  <si>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</si>
  <si>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</si>
  <si>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</si>
  <si>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</si>
  <si>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</si>
  <si>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</si>
  <si>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</si>
  <si>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</si>
  <si>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</si>
  <si>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</si>
  <si>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</si>
  <si>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</si>
  <si>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</si>
  <si>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目前</t>
  </si>
  <si>
    <t>1.0.0.9</t>
    <phoneticPr fontId="20" type="noConversion"/>
  </si>
  <si>
    <t>H026192_2606171759_betmode0</t>
    <phoneticPr fontId="20" type="noConversion"/>
  </si>
  <si>
    <t>Fix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</si>
</sst>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  <numFmt numFmtId="184" formatCode="0.0000000"/>
  </numFmts>
  <fonts count="33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細明體"/>
      <family val="3"/>
      <charset val="136"/>
    </font>
    <font>
      <sz val="8"/>
      <color rgb="FF121212"/>
      <name val="Cascadia Code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4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0" fontId="25" fillId="33" borderId="11" xfId="1" applyNumberFormat="1" applyFont="1" applyFill="1" applyBorder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0" fontId="19" fillId="0" borderId="11" xfId="0" applyFont="1" applyFill="1" applyBorder="1" applyAlignment="1">
      <alignment horizontal="center" vertical="center" wrapText="1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19" fillId="40" borderId="1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0" fontId="19" fillId="33" borderId="11" xfId="0" applyFont="1" applyFill="1" applyBorder="1" applyAlignment="1">
      <alignment vertical="center"/>
    </xf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0" fontId="25" fillId="33" borderId="15" xfId="0" applyFont="1" applyFill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19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27" fillId="0" borderId="0" xfId="0" applyNumberFormat="1" applyFont="1" applyFill="1" applyBorder="1"/>
    <xf numFmtId="0" fontId="19" fillId="0" borderId="15" xfId="0" applyNumberFormat="1" applyFont="1" applyFill="1" applyBorder="1"/>
    <xf numFmtId="0" fontId="19" fillId="34" borderId="15" xfId="0" applyNumberFormat="1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0" xfId="0" applyFont="1" applyFill="1" applyBorder="1"/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33" borderId="15" xfId="0" applyNumberFormat="1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0" borderId="10" xfId="0" applyNumberFormat="1" applyFont="1" applyFill="1" applyBorder="1"/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31" fillId="34" borderId="11" xfId="0" applyFont="1" applyFill="1" applyBorder="1" applyAlignment="1">
      <alignment horizontal="center"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2" fontId="25" fillId="33" borderId="11" xfId="0" applyNumberFormat="1" applyFont="1" applyFill="1" applyBorder="1" applyAlignment="1">
      <alignment vertical="center"/>
    </xf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0" fontId="32" fillId="0" borderId="0" xfId="0" applyFont="1"/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0" fontId="25" fillId="33" borderId="15" xfId="0" applyFont="1" applyFill="1" applyBorder="1" applyAlignment="1">
      <alignment vertic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184" fontId="27" fillId="0" borderId="0" xfId="0" applyNumberFormat="1" applyFont="1"/>
    <xf numFmtId="1" fontId="25" fillId="33" borderId="11" xfId="0" applyNumberFormat="1" applyFont="1" applyFill="1" applyBorder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5" fillId="33" borderId="14" xfId="0" applyFont="1" applyFill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25" fillId="35" borderId="15" xfId="0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 vertical="center"/>
    </xf>
    <xf numFmtId="0" fontId="25" fillId="33" borderId="15" xfId="0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8"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H10" sqref="H10"/>
    </sheetView>
  </sheetViews>
  <sheetFormatPr defaultColWidth="8.88671875" defaultRowHeight="15.6" x14ac:dyDescent="0.3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 x14ac:dyDescent="0.3">
      <c r="A2" s="18" t="s">
        <v>39</v>
      </c>
      <c r="B2" s="38" t="s">
        <v>103</v>
      </c>
      <c r="C2" s="5"/>
    </row>
    <row r="3" spans="1:9" x14ac:dyDescent="0.3">
      <c r="A3" s="18" t="s">
        <v>40</v>
      </c>
      <c r="B3" s="38" t="s">
        <v>329</v>
      </c>
      <c r="C3" s="19"/>
    </row>
    <row r="4" spans="1:9" x14ac:dyDescent="0.3">
      <c r="C4" s="28"/>
    </row>
    <row r="5" spans="1:9" x14ac:dyDescent="0.3">
      <c r="C5" s="28"/>
    </row>
    <row r="6" spans="1:9" x14ac:dyDescent="0.3">
      <c r="A6" s="20" t="s">
        <v>56</v>
      </c>
      <c r="C6" s="28"/>
    </row>
    <row r="7" spans="1:9" x14ac:dyDescent="0.3">
      <c r="A7" s="37">
        <v>100</v>
      </c>
      <c r="C7" s="28"/>
    </row>
    <row r="8" spans="1:9" x14ac:dyDescent="0.3">
      <c r="C8" s="28"/>
    </row>
    <row r="9" spans="1:9" x14ac:dyDescent="0.3">
      <c r="C9" s="28"/>
    </row>
    <row r="10" spans="1:9" x14ac:dyDescent="0.3">
      <c r="A10" s="20" t="s">
        <v>51</v>
      </c>
      <c r="B10" s="20" t="s">
        <v>54</v>
      </c>
      <c r="C10" s="33" t="s">
        <v>38</v>
      </c>
      <c r="D10" s="33" t="s">
        <v>52</v>
      </c>
      <c r="G10" s="7"/>
      <c r="H10" s="7"/>
      <c r="I10" s="7"/>
    </row>
    <row r="11" spans="1:9" x14ac:dyDescent="0.3">
      <c r="A11" s="42" cm="1">
        <f t="array" ref="A11:A13">B11:B13*A7</f>
        <v>100</v>
      </c>
      <c r="B11" s="37">
        <v>1</v>
      </c>
      <c r="C11" s="102">
        <f>SUM(B18:B19)</f>
        <v>0.9399997819875634</v>
      </c>
      <c r="D11" s="102" t="s">
        <v>53</v>
      </c>
      <c r="G11" s="7"/>
      <c r="H11" s="7"/>
      <c r="I11" s="7"/>
    </row>
    <row r="12" spans="1:9" x14ac:dyDescent="0.3">
      <c r="A12" s="42">
        <v>200</v>
      </c>
      <c r="B12" s="37">
        <v>2</v>
      </c>
      <c r="C12" s="196">
        <f>B22+B23</f>
        <v>0.94000016845083267</v>
      </c>
      <c r="D12" s="196" t="s">
        <v>290</v>
      </c>
      <c r="G12" s="7"/>
      <c r="H12" s="7"/>
      <c r="I12" s="7"/>
    </row>
    <row r="13" spans="1:9" x14ac:dyDescent="0.3">
      <c r="A13" s="42">
        <v>7500</v>
      </c>
      <c r="B13" s="37">
        <v>75</v>
      </c>
      <c r="C13" s="49">
        <f>SUM(B26:B27)</f>
        <v>0.92499988821796042</v>
      </c>
      <c r="D13" s="49" t="s">
        <v>55</v>
      </c>
    </row>
    <row r="14" spans="1:9" x14ac:dyDescent="0.3">
      <c r="A14" s="23"/>
      <c r="B14" s="23"/>
      <c r="C14" s="24"/>
      <c r="D14" s="2"/>
      <c r="F14" s="3"/>
    </row>
    <row r="15" spans="1:9" x14ac:dyDescent="0.3">
      <c r="A15" s="10"/>
      <c r="B15" s="10"/>
      <c r="C15" s="24"/>
      <c r="D15" s="24"/>
      <c r="F15" s="4"/>
    </row>
    <row r="16" spans="1:9" x14ac:dyDescent="0.3">
      <c r="A16" s="27" t="s">
        <v>24</v>
      </c>
      <c r="B16" s="11"/>
      <c r="C16" s="47"/>
      <c r="D16" s="44"/>
      <c r="E16" s="48"/>
      <c r="F16" s="7"/>
      <c r="G16" s="7"/>
      <c r="H16" s="7"/>
      <c r="I16" s="12"/>
    </row>
    <row r="17" spans="1:9" x14ac:dyDescent="0.3">
      <c r="A17" s="33" t="s">
        <v>52</v>
      </c>
      <c r="B17" s="20" t="s">
        <v>0</v>
      </c>
      <c r="C17" s="20" t="s">
        <v>1</v>
      </c>
      <c r="D17" s="20" t="s">
        <v>2</v>
      </c>
      <c r="E17" s="20" t="s">
        <v>12</v>
      </c>
      <c r="F17" s="105"/>
      <c r="G17" s="7"/>
      <c r="H17" s="7"/>
      <c r="I17" s="12"/>
    </row>
    <row r="18" spans="1:9" x14ac:dyDescent="0.3">
      <c r="A18" s="222" t="str">
        <f>D11</f>
        <v>Normal Bet</v>
      </c>
      <c r="B18" s="41">
        <f>Multiplier_Weight_Oldhand!C7</f>
        <v>0.6999997047247829</v>
      </c>
      <c r="C18" s="223">
        <f>1/D18</f>
        <v>4.1782418791279346E-3</v>
      </c>
      <c r="D18" s="225">
        <f>Multiplier_Weight_Oldhand!G7</f>
        <v>239.3351148470887</v>
      </c>
      <c r="E18" s="29" t="s">
        <v>49</v>
      </c>
      <c r="F18" s="105"/>
      <c r="G18" s="7"/>
      <c r="H18" s="7"/>
      <c r="I18" s="12"/>
    </row>
    <row r="19" spans="1:9" x14ac:dyDescent="0.3">
      <c r="A19" s="222"/>
      <c r="B19" s="41">
        <f>Multiplier_Weight_Oldhand!D7</f>
        <v>0.2400000772627805</v>
      </c>
      <c r="C19" s="224"/>
      <c r="D19" s="226"/>
      <c r="E19" s="29" t="s">
        <v>57</v>
      </c>
      <c r="F19" s="105"/>
      <c r="G19" s="7"/>
      <c r="H19" s="7"/>
      <c r="I19" s="12"/>
    </row>
    <row r="20" spans="1:9" x14ac:dyDescent="0.3">
      <c r="A20" s="45"/>
      <c r="B20" s="46"/>
      <c r="C20" s="47"/>
      <c r="D20" s="44"/>
      <c r="E20" s="7"/>
      <c r="F20" s="105"/>
      <c r="G20" s="7"/>
      <c r="H20" s="7"/>
      <c r="I20" s="12"/>
    </row>
    <row r="21" spans="1:9" x14ac:dyDescent="0.3">
      <c r="A21" s="33" t="s">
        <v>52</v>
      </c>
      <c r="B21" s="20" t="s">
        <v>0</v>
      </c>
      <c r="C21" s="20" t="s">
        <v>1</v>
      </c>
      <c r="D21" s="20" t="s">
        <v>2</v>
      </c>
      <c r="E21" s="20" t="s">
        <v>12</v>
      </c>
      <c r="F21" s="105"/>
      <c r="G21" s="7"/>
      <c r="H21" s="7"/>
      <c r="I21" s="12"/>
    </row>
    <row r="22" spans="1:9" x14ac:dyDescent="0.3">
      <c r="A22" s="222" t="str">
        <f>D12</f>
        <v>Extra Bet</v>
      </c>
      <c r="B22" s="41">
        <f>Multiplier_Weight_Oldhand!C8</f>
        <v>0.34020707559025376</v>
      </c>
      <c r="C22" s="223">
        <f>1/D22</f>
        <v>2.0883998438532062E-2</v>
      </c>
      <c r="D22" s="225">
        <f>Multiplier_Weight_Oldhand!G8</f>
        <v>47.883550793364741</v>
      </c>
      <c r="E22" s="29" t="s">
        <v>49</v>
      </c>
      <c r="F22" s="105"/>
      <c r="G22" s="7"/>
      <c r="H22" s="7"/>
      <c r="I22" s="12"/>
    </row>
    <row r="23" spans="1:9" x14ac:dyDescent="0.3">
      <c r="A23" s="222"/>
      <c r="B23" s="41">
        <f>Multiplier_Weight_Oldhand!D8</f>
        <v>0.59979309286057891</v>
      </c>
      <c r="C23" s="224"/>
      <c r="D23" s="226"/>
      <c r="E23" s="29" t="s">
        <v>57</v>
      </c>
      <c r="F23" s="105"/>
      <c r="G23" s="7"/>
      <c r="H23" s="7"/>
      <c r="I23" s="12"/>
    </row>
    <row r="24" spans="1:9" x14ac:dyDescent="0.3">
      <c r="A24" s="45"/>
      <c r="B24" s="46"/>
      <c r="C24" s="47"/>
      <c r="D24" s="44"/>
      <c r="E24" s="7"/>
      <c r="F24" s="105"/>
      <c r="G24" s="7"/>
      <c r="H24" s="7"/>
      <c r="I24" s="12"/>
    </row>
    <row r="25" spans="1:9" x14ac:dyDescent="0.3">
      <c r="A25" s="33" t="s">
        <v>52</v>
      </c>
      <c r="B25" s="20" t="s">
        <v>0</v>
      </c>
      <c r="C25" s="20" t="s">
        <v>1</v>
      </c>
      <c r="D25" s="20" t="s">
        <v>2</v>
      </c>
      <c r="E25" s="20" t="s">
        <v>12</v>
      </c>
      <c r="F25" s="105"/>
      <c r="G25" s="7"/>
      <c r="H25" s="7"/>
      <c r="I25" s="12"/>
    </row>
    <row r="26" spans="1:9" x14ac:dyDescent="0.3">
      <c r="A26" s="222" t="str">
        <f>D13</f>
        <v>Buy Feature</v>
      </c>
      <c r="B26" s="41">
        <f>Multiplier_Weight_Oldhand!C9</f>
        <v>0</v>
      </c>
      <c r="C26" s="223">
        <f>1/D26</f>
        <v>1</v>
      </c>
      <c r="D26" s="227">
        <v>1</v>
      </c>
      <c r="E26" s="29" t="s">
        <v>49</v>
      </c>
      <c r="F26" s="105"/>
      <c r="G26" s="7"/>
      <c r="H26" s="7"/>
      <c r="I26" s="12"/>
    </row>
    <row r="27" spans="1:9" x14ac:dyDescent="0.3">
      <c r="A27" s="222"/>
      <c r="B27" s="41">
        <f>Multiplier_Weight_Oldhand!D9</f>
        <v>0.92499988821796042</v>
      </c>
      <c r="C27" s="224"/>
      <c r="D27" s="228"/>
      <c r="E27" s="29" t="s">
        <v>57</v>
      </c>
      <c r="F27" s="105"/>
      <c r="G27" s="7"/>
      <c r="H27" s="7"/>
      <c r="I27" s="12"/>
    </row>
    <row r="28" spans="1:9" x14ac:dyDescent="0.3">
      <c r="A28" s="45"/>
      <c r="B28" s="46"/>
      <c r="C28" s="47"/>
      <c r="D28" s="44"/>
      <c r="E28" s="7"/>
      <c r="F28" s="7"/>
      <c r="G28" s="7"/>
      <c r="H28" s="7"/>
      <c r="I28" s="12"/>
    </row>
    <row r="29" spans="1:9" x14ac:dyDescent="0.3">
      <c r="A29" s="45"/>
      <c r="B29" s="46"/>
      <c r="C29" s="47"/>
      <c r="D29" s="44"/>
      <c r="E29" s="7"/>
      <c r="F29" s="7"/>
      <c r="G29" s="7"/>
      <c r="H29" s="7"/>
      <c r="I29" s="12"/>
    </row>
    <row r="30" spans="1:9" x14ac:dyDescent="0.3">
      <c r="A30" s="20" t="s">
        <v>3</v>
      </c>
      <c r="B30" s="20">
        <v>1</v>
      </c>
      <c r="C30" s="20">
        <v>2</v>
      </c>
      <c r="D30" s="20">
        <v>3</v>
      </c>
      <c r="E30" s="20">
        <v>4</v>
      </c>
      <c r="F30" s="20">
        <v>5</v>
      </c>
      <c r="G30" s="7"/>
      <c r="H30" s="7"/>
    </row>
    <row r="31" spans="1:9" x14ac:dyDescent="0.3">
      <c r="A31" s="21" t="s">
        <v>4</v>
      </c>
      <c r="B31" s="22">
        <v>3</v>
      </c>
      <c r="C31" s="22">
        <v>3</v>
      </c>
      <c r="D31" s="22">
        <v>3</v>
      </c>
      <c r="E31" s="22">
        <v>3</v>
      </c>
      <c r="F31" s="22">
        <v>3</v>
      </c>
      <c r="G31" s="7"/>
      <c r="H31" s="7"/>
    </row>
    <row r="32" spans="1:9" x14ac:dyDescent="0.3">
      <c r="A32" s="31"/>
      <c r="B32" s="31"/>
      <c r="C32" s="31"/>
      <c r="D32" s="31"/>
      <c r="E32" s="31"/>
      <c r="F32" s="31"/>
      <c r="G32" s="31"/>
    </row>
    <row r="33" spans="1:7" x14ac:dyDescent="0.3">
      <c r="A33" s="31"/>
      <c r="B33" s="31"/>
      <c r="C33" s="31"/>
      <c r="D33" s="31"/>
      <c r="E33" s="31"/>
      <c r="F33" s="31"/>
      <c r="G33" s="31"/>
    </row>
    <row r="34" spans="1:7" x14ac:dyDescent="0.3">
      <c r="A34" s="1" t="s">
        <v>47</v>
      </c>
    </row>
    <row r="35" spans="1:7" x14ac:dyDescent="0.3">
      <c r="A35" s="20" t="s">
        <v>41</v>
      </c>
      <c r="B35" s="20" t="s">
        <v>49</v>
      </c>
      <c r="C35" s="20" t="s">
        <v>50</v>
      </c>
    </row>
    <row r="36" spans="1:7" x14ac:dyDescent="0.3">
      <c r="A36" s="22">
        <v>3</v>
      </c>
      <c r="B36" s="39">
        <v>15</v>
      </c>
      <c r="C36" s="39">
        <v>15</v>
      </c>
    </row>
    <row r="37" spans="1:7" x14ac:dyDescent="0.3">
      <c r="A37" s="22">
        <v>4</v>
      </c>
      <c r="B37" s="39">
        <v>17</v>
      </c>
      <c r="C37" s="39">
        <v>17</v>
      </c>
    </row>
    <row r="38" spans="1:7" x14ac:dyDescent="0.3">
      <c r="A38" s="8">
        <v>5</v>
      </c>
      <c r="B38" s="40">
        <v>19</v>
      </c>
      <c r="C38" s="40">
        <v>19</v>
      </c>
    </row>
    <row r="39" spans="1:7" x14ac:dyDescent="0.3">
      <c r="A39" s="149" t="s">
        <v>145</v>
      </c>
      <c r="B39" s="32"/>
    </row>
    <row r="41" spans="1:7" x14ac:dyDescent="0.3">
      <c r="A41" s="1" t="s">
        <v>46</v>
      </c>
      <c r="B41" s="1" t="str">
        <f>"All wins show for "&amp;A7&amp;" credit bet."</f>
        <v>All wins show for 100 credit bet.</v>
      </c>
    </row>
    <row r="42" spans="1:7" x14ac:dyDescent="0.3">
      <c r="A42" s="20" t="s">
        <v>42</v>
      </c>
      <c r="B42" s="20" t="s">
        <v>43</v>
      </c>
      <c r="C42" s="20">
        <v>3</v>
      </c>
      <c r="D42" s="20">
        <v>4</v>
      </c>
      <c r="E42" s="20">
        <v>5</v>
      </c>
      <c r="F42" s="20" t="s">
        <v>48</v>
      </c>
    </row>
    <row r="43" spans="1:7" x14ac:dyDescent="0.3">
      <c r="A43" s="22" t="s">
        <v>25</v>
      </c>
      <c r="B43" s="22" t="s">
        <v>44</v>
      </c>
      <c r="C43" s="34">
        <v>0</v>
      </c>
      <c r="D43" s="34">
        <v>0</v>
      </c>
      <c r="E43" s="34">
        <v>0</v>
      </c>
      <c r="F43" s="35">
        <v>0</v>
      </c>
    </row>
    <row r="44" spans="1:7" x14ac:dyDescent="0.3">
      <c r="A44" s="8" t="s">
        <v>30</v>
      </c>
      <c r="B44" s="8" t="s">
        <v>45</v>
      </c>
      <c r="C44" s="30">
        <v>0</v>
      </c>
      <c r="D44" s="30">
        <v>0</v>
      </c>
      <c r="E44" s="30">
        <v>0</v>
      </c>
      <c r="F44" s="36">
        <v>1</v>
      </c>
    </row>
    <row r="45" spans="1:7" x14ac:dyDescent="0.3">
      <c r="A45" s="139" t="s">
        <v>26</v>
      </c>
      <c r="B45" s="139" t="s">
        <v>26</v>
      </c>
      <c r="C45" s="139">
        <v>250</v>
      </c>
      <c r="D45" s="139">
        <v>1250</v>
      </c>
      <c r="E45" s="139">
        <v>5000</v>
      </c>
      <c r="F45" s="140">
        <v>2</v>
      </c>
    </row>
    <row r="46" spans="1:7" x14ac:dyDescent="0.3">
      <c r="A46" s="139" t="s">
        <v>27</v>
      </c>
      <c r="B46" s="139" t="s">
        <v>27</v>
      </c>
      <c r="C46" s="139">
        <v>100</v>
      </c>
      <c r="D46" s="139">
        <v>500</v>
      </c>
      <c r="E46" s="139">
        <v>2000</v>
      </c>
      <c r="F46" s="141">
        <v>3</v>
      </c>
    </row>
    <row r="47" spans="1:7" x14ac:dyDescent="0.3">
      <c r="A47" s="139" t="s">
        <v>28</v>
      </c>
      <c r="B47" s="139" t="s">
        <v>28</v>
      </c>
      <c r="C47" s="139">
        <v>75</v>
      </c>
      <c r="D47" s="139">
        <v>250</v>
      </c>
      <c r="E47" s="139">
        <v>1000</v>
      </c>
      <c r="F47" s="140">
        <v>4</v>
      </c>
    </row>
    <row r="48" spans="1:7" x14ac:dyDescent="0.3">
      <c r="A48" s="139" t="s">
        <v>29</v>
      </c>
      <c r="B48" s="139" t="s">
        <v>29</v>
      </c>
      <c r="C48" s="139">
        <v>50</v>
      </c>
      <c r="D48" s="139">
        <v>200</v>
      </c>
      <c r="E48" s="139">
        <v>750</v>
      </c>
      <c r="F48" s="141">
        <v>5</v>
      </c>
    </row>
    <row r="49" spans="1:9" x14ac:dyDescent="0.3">
      <c r="A49" s="139" t="s">
        <v>104</v>
      </c>
      <c r="B49" s="139" t="s">
        <v>104</v>
      </c>
      <c r="C49" s="142">
        <v>25</v>
      </c>
      <c r="D49" s="142">
        <v>100</v>
      </c>
      <c r="E49" s="142">
        <v>500</v>
      </c>
      <c r="F49" s="140">
        <v>6</v>
      </c>
    </row>
    <row r="50" spans="1:9" x14ac:dyDescent="0.3">
      <c r="A50" s="139" t="s">
        <v>23</v>
      </c>
      <c r="B50" s="139" t="s">
        <v>23</v>
      </c>
      <c r="C50" s="139">
        <v>10</v>
      </c>
      <c r="D50" s="139">
        <v>50</v>
      </c>
      <c r="E50" s="139">
        <v>250</v>
      </c>
      <c r="F50" s="141">
        <v>7</v>
      </c>
    </row>
    <row r="51" spans="1:9" x14ac:dyDescent="0.3">
      <c r="A51" s="139" t="s">
        <v>31</v>
      </c>
      <c r="B51" s="139" t="s">
        <v>31</v>
      </c>
      <c r="C51" s="139">
        <v>10</v>
      </c>
      <c r="D51" s="139">
        <v>50</v>
      </c>
      <c r="E51" s="139">
        <v>250</v>
      </c>
      <c r="F51" s="140">
        <v>8</v>
      </c>
    </row>
    <row r="52" spans="1:9" x14ac:dyDescent="0.3">
      <c r="A52" s="139" t="s">
        <v>32</v>
      </c>
      <c r="B52" s="139" t="s">
        <v>32</v>
      </c>
      <c r="C52" s="139">
        <v>10</v>
      </c>
      <c r="D52" s="139">
        <v>50</v>
      </c>
      <c r="E52" s="139">
        <v>250</v>
      </c>
      <c r="F52" s="141">
        <v>9</v>
      </c>
    </row>
    <row r="53" spans="1:9" x14ac:dyDescent="0.3">
      <c r="A53" s="139" t="s">
        <v>33</v>
      </c>
      <c r="B53" s="139" t="s">
        <v>33</v>
      </c>
      <c r="C53" s="139">
        <v>10</v>
      </c>
      <c r="D53" s="139">
        <v>50</v>
      </c>
      <c r="E53" s="139">
        <v>250</v>
      </c>
      <c r="F53" s="140">
        <v>10</v>
      </c>
    </row>
    <row r="54" spans="1:9" x14ac:dyDescent="0.3">
      <c r="A54" s="8" t="s">
        <v>86</v>
      </c>
      <c r="B54" s="8" t="s">
        <v>305</v>
      </c>
      <c r="C54" s="30">
        <v>250</v>
      </c>
      <c r="D54" s="30">
        <v>1250</v>
      </c>
      <c r="E54" s="30">
        <v>5000</v>
      </c>
      <c r="F54" s="36">
        <v>11</v>
      </c>
    </row>
    <row r="55" spans="1:9" x14ac:dyDescent="0.3">
      <c r="A55" s="8" t="s">
        <v>87</v>
      </c>
      <c r="B55" s="8" t="s">
        <v>306</v>
      </c>
      <c r="C55" s="30">
        <v>100</v>
      </c>
      <c r="D55" s="30">
        <v>500</v>
      </c>
      <c r="E55" s="30">
        <v>2000</v>
      </c>
      <c r="F55" s="35">
        <v>12</v>
      </c>
    </row>
    <row r="56" spans="1:9" x14ac:dyDescent="0.3">
      <c r="A56" s="8" t="s">
        <v>88</v>
      </c>
      <c r="B56" s="8" t="s">
        <v>307</v>
      </c>
      <c r="C56" s="30">
        <v>75</v>
      </c>
      <c r="D56" s="30">
        <v>250</v>
      </c>
      <c r="E56" s="30">
        <v>1000</v>
      </c>
      <c r="F56" s="36">
        <v>13</v>
      </c>
    </row>
    <row r="57" spans="1:9" x14ac:dyDescent="0.3">
      <c r="A57" s="8" t="s">
        <v>89</v>
      </c>
      <c r="B57" s="8" t="s">
        <v>308</v>
      </c>
      <c r="C57" s="30">
        <v>50</v>
      </c>
      <c r="D57" s="30">
        <v>200</v>
      </c>
      <c r="E57" s="30">
        <v>750</v>
      </c>
      <c r="F57" s="35">
        <v>14</v>
      </c>
    </row>
    <row r="58" spans="1:9" x14ac:dyDescent="0.3">
      <c r="A58" s="8" t="s">
        <v>105</v>
      </c>
      <c r="B58" s="8" t="s">
        <v>309</v>
      </c>
      <c r="C58" s="127">
        <v>25</v>
      </c>
      <c r="D58" s="127">
        <v>100</v>
      </c>
      <c r="E58" s="127">
        <v>500</v>
      </c>
      <c r="F58" s="36">
        <v>15</v>
      </c>
    </row>
    <row r="59" spans="1:9" x14ac:dyDescent="0.3">
      <c r="A59" s="8" t="s">
        <v>91</v>
      </c>
      <c r="B59" s="8" t="s">
        <v>310</v>
      </c>
      <c r="C59" s="30">
        <v>10</v>
      </c>
      <c r="D59" s="30">
        <v>50</v>
      </c>
      <c r="E59" s="30">
        <v>250</v>
      </c>
      <c r="F59" s="35">
        <v>16</v>
      </c>
    </row>
    <row r="60" spans="1:9" x14ac:dyDescent="0.3">
      <c r="A60" s="8" t="s">
        <v>92</v>
      </c>
      <c r="B60" s="8" t="s">
        <v>311</v>
      </c>
      <c r="C60" s="30">
        <v>10</v>
      </c>
      <c r="D60" s="30">
        <v>50</v>
      </c>
      <c r="E60" s="30">
        <v>250</v>
      </c>
      <c r="F60" s="36">
        <v>17</v>
      </c>
    </row>
    <row r="61" spans="1:9" x14ac:dyDescent="0.3">
      <c r="A61" s="8" t="s">
        <v>94</v>
      </c>
      <c r="B61" s="8" t="s">
        <v>312</v>
      </c>
      <c r="C61" s="30">
        <v>10</v>
      </c>
      <c r="D61" s="30">
        <v>50</v>
      </c>
      <c r="E61" s="30">
        <v>250</v>
      </c>
      <c r="F61" s="35">
        <v>18</v>
      </c>
    </row>
    <row r="62" spans="1:9" x14ac:dyDescent="0.3">
      <c r="A62" s="8" t="s">
        <v>96</v>
      </c>
      <c r="B62" s="8" t="s">
        <v>313</v>
      </c>
      <c r="C62" s="30">
        <v>10</v>
      </c>
      <c r="D62" s="30">
        <v>50</v>
      </c>
      <c r="E62" s="30">
        <v>250</v>
      </c>
      <c r="F62" s="36">
        <v>19</v>
      </c>
    </row>
    <row r="63" spans="1:9" x14ac:dyDescent="0.3">
      <c r="A63" s="24"/>
      <c r="B63" s="24"/>
      <c r="C63" s="24"/>
      <c r="D63" s="24"/>
      <c r="E63" s="24"/>
      <c r="F63" s="24"/>
      <c r="G63" s="24"/>
      <c r="H63" s="24"/>
      <c r="I63" s="24"/>
    </row>
    <row r="64" spans="1:9" x14ac:dyDescent="0.3">
      <c r="A64" s="24"/>
      <c r="B64" s="24"/>
      <c r="C64" s="24"/>
      <c r="D64" s="24"/>
      <c r="E64" s="24"/>
      <c r="F64" s="24"/>
      <c r="G64" s="24"/>
      <c r="H64" s="24"/>
      <c r="I64" s="24"/>
    </row>
    <row r="65" spans="1:9" x14ac:dyDescent="0.3">
      <c r="A65" s="24"/>
      <c r="B65" s="24"/>
      <c r="C65" s="24"/>
      <c r="D65" s="24"/>
      <c r="E65" s="24"/>
      <c r="F65" s="24"/>
      <c r="G65" s="24"/>
      <c r="H65" s="24"/>
      <c r="I65" s="24"/>
    </row>
    <row r="66" spans="1:9" x14ac:dyDescent="0.3">
      <c r="A66" s="24"/>
      <c r="B66" s="24"/>
      <c r="C66" s="24"/>
      <c r="D66" s="24"/>
      <c r="E66" s="24"/>
      <c r="F66" s="24"/>
      <c r="G66" s="24"/>
      <c r="H66" s="24"/>
      <c r="I66" s="24"/>
    </row>
    <row r="67" spans="1:9" x14ac:dyDescent="0.3">
      <c r="A67" s="24"/>
      <c r="B67" s="24"/>
      <c r="C67" s="24"/>
      <c r="D67" s="24"/>
      <c r="E67" s="24"/>
      <c r="F67" s="24"/>
      <c r="G67" s="24"/>
      <c r="H67" s="24"/>
      <c r="I67" s="24"/>
    </row>
    <row r="68" spans="1:9" x14ac:dyDescent="0.3">
      <c r="A68" s="24"/>
      <c r="B68" s="24"/>
      <c r="C68" s="24"/>
      <c r="D68" s="24"/>
      <c r="E68" s="24"/>
      <c r="F68" s="24"/>
      <c r="G68" s="24"/>
      <c r="H68" s="24"/>
      <c r="I68" s="24"/>
    </row>
    <row r="69" spans="1:9" x14ac:dyDescent="0.3">
      <c r="A69" s="24"/>
      <c r="B69" s="24"/>
      <c r="C69" s="24"/>
      <c r="D69" s="24"/>
      <c r="E69" s="24"/>
      <c r="F69" s="24"/>
      <c r="G69" s="24"/>
      <c r="H69" s="24"/>
      <c r="I69" s="24"/>
    </row>
    <row r="70" spans="1:9" x14ac:dyDescent="0.3">
      <c r="A70" s="24"/>
      <c r="B70" s="24"/>
      <c r="C70" s="24"/>
      <c r="D70" s="24"/>
      <c r="E70" s="24"/>
      <c r="F70" s="24"/>
      <c r="G70" s="24"/>
      <c r="H70" s="24"/>
      <c r="I70" s="24"/>
    </row>
    <row r="71" spans="1:9" x14ac:dyDescent="0.3">
      <c r="A71" s="24"/>
      <c r="B71" s="24"/>
      <c r="C71" s="24"/>
      <c r="D71" s="24"/>
      <c r="E71" s="24"/>
      <c r="F71" s="24"/>
      <c r="G71" s="24"/>
      <c r="H71" s="24"/>
      <c r="I71" s="24"/>
    </row>
    <row r="72" spans="1:9" x14ac:dyDescent="0.3">
      <c r="A72" s="24"/>
      <c r="B72" s="24"/>
      <c r="C72" s="24"/>
      <c r="D72" s="24"/>
      <c r="E72" s="24"/>
      <c r="F72" s="24"/>
      <c r="G72" s="24"/>
      <c r="H72" s="24"/>
      <c r="I72" s="24"/>
    </row>
    <row r="73" spans="1:9" x14ac:dyDescent="0.3">
      <c r="A73" s="24"/>
      <c r="B73" s="24"/>
      <c r="C73" s="24"/>
      <c r="D73" s="24"/>
      <c r="E73" s="24"/>
      <c r="F73" s="24"/>
      <c r="G73" s="24"/>
      <c r="H73" s="24"/>
      <c r="I73" s="24"/>
    </row>
    <row r="74" spans="1:9" x14ac:dyDescent="0.3">
      <c r="A74" s="24"/>
      <c r="B74" s="24"/>
      <c r="C74" s="24"/>
      <c r="D74" s="24"/>
      <c r="E74" s="24"/>
      <c r="F74" s="24"/>
      <c r="G74" s="24"/>
      <c r="H74" s="24"/>
      <c r="I74" s="24"/>
    </row>
    <row r="75" spans="1:9" x14ac:dyDescent="0.3">
      <c r="A75" s="24"/>
      <c r="B75" s="24"/>
      <c r="C75" s="24"/>
      <c r="D75" s="24"/>
      <c r="E75" s="24"/>
      <c r="F75" s="24"/>
      <c r="G75" s="24"/>
      <c r="H75" s="24"/>
      <c r="I75" s="24"/>
    </row>
    <row r="76" spans="1:9" x14ac:dyDescent="0.3">
      <c r="A76" s="24"/>
      <c r="B76" s="24"/>
      <c r="C76" s="24"/>
      <c r="D76" s="24"/>
      <c r="E76" s="24"/>
      <c r="F76" s="24"/>
      <c r="G76" s="24"/>
      <c r="H76" s="24"/>
      <c r="I76" s="24"/>
    </row>
    <row r="77" spans="1:9" x14ac:dyDescent="0.3">
      <c r="A77" s="24"/>
      <c r="B77" s="24"/>
      <c r="C77" s="24"/>
      <c r="D77" s="24"/>
      <c r="E77" s="24"/>
      <c r="F77" s="24"/>
      <c r="G77" s="24"/>
      <c r="H77" s="24"/>
      <c r="I77" s="24"/>
    </row>
    <row r="78" spans="1:9" x14ac:dyDescent="0.3">
      <c r="A78" s="24"/>
      <c r="B78" s="24"/>
      <c r="C78" s="24"/>
      <c r="D78" s="24"/>
      <c r="E78" s="24"/>
      <c r="F78" s="24"/>
      <c r="G78" s="24"/>
      <c r="H78" s="24"/>
      <c r="I78" s="24"/>
    </row>
    <row r="79" spans="1:9" x14ac:dyDescent="0.3">
      <c r="A79" s="24"/>
      <c r="B79" s="24"/>
      <c r="C79" s="24"/>
      <c r="D79" s="24"/>
      <c r="E79" s="24"/>
      <c r="F79" s="24"/>
      <c r="G79" s="24"/>
      <c r="H79" s="24"/>
      <c r="I79" s="24"/>
    </row>
    <row r="80" spans="1:9" x14ac:dyDescent="0.3">
      <c r="A80" s="24"/>
      <c r="B80" s="24"/>
      <c r="C80" s="24"/>
      <c r="D80" s="24"/>
      <c r="E80" s="24"/>
      <c r="F80" s="24"/>
      <c r="G80" s="24"/>
      <c r="H80" s="24"/>
      <c r="I80" s="24"/>
    </row>
    <row r="81" spans="1:9" x14ac:dyDescent="0.3">
      <c r="A81" s="24"/>
      <c r="B81" s="24"/>
      <c r="C81" s="24"/>
      <c r="D81" s="24"/>
      <c r="E81" s="24"/>
      <c r="F81" s="24"/>
      <c r="G81" s="24"/>
      <c r="H81" s="24"/>
      <c r="I81" s="24"/>
    </row>
    <row r="82" spans="1:9" x14ac:dyDescent="0.3">
      <c r="A82" s="24"/>
      <c r="B82" s="24"/>
      <c r="C82" s="24"/>
      <c r="D82" s="24"/>
      <c r="E82" s="24"/>
      <c r="F82" s="24"/>
      <c r="G82" s="24"/>
      <c r="H82" s="24"/>
      <c r="I82" s="24"/>
    </row>
    <row r="83" spans="1:9" x14ac:dyDescent="0.3">
      <c r="A83" s="24"/>
      <c r="B83" s="24"/>
      <c r="C83" s="24"/>
      <c r="D83" s="24"/>
      <c r="E83" s="24"/>
      <c r="F83" s="24"/>
      <c r="G83" s="24"/>
      <c r="H83" s="24"/>
      <c r="I83" s="24"/>
    </row>
    <row r="84" spans="1:9" x14ac:dyDescent="0.3">
      <c r="A84" s="24"/>
      <c r="B84" s="24"/>
      <c r="C84" s="24"/>
      <c r="D84" s="24"/>
      <c r="E84" s="24"/>
      <c r="F84" s="24"/>
      <c r="G84" s="24"/>
      <c r="H84" s="24"/>
      <c r="I84" s="24"/>
    </row>
    <row r="85" spans="1:9" x14ac:dyDescent="0.3">
      <c r="B85" s="6"/>
      <c r="C85" s="6"/>
      <c r="D85" s="6"/>
    </row>
    <row r="87" spans="1:9" x14ac:dyDescent="0.3">
      <c r="F87" s="24"/>
      <c r="G87" s="24"/>
      <c r="H87" s="24"/>
      <c r="I87" s="24"/>
    </row>
    <row r="92" spans="1:9" x14ac:dyDescent="0.3">
      <c r="F92" s="24"/>
      <c r="G92" s="24"/>
      <c r="H92" s="24"/>
      <c r="I92" s="24"/>
    </row>
    <row r="97" spans="6:7" x14ac:dyDescent="0.3">
      <c r="F97" s="24"/>
      <c r="G97" s="24"/>
    </row>
    <row r="102" spans="6:7" x14ac:dyDescent="0.3">
      <c r="F102" s="24"/>
      <c r="G102" s="24"/>
    </row>
    <row r="107" spans="6:7" x14ac:dyDescent="0.3">
      <c r="F107" s="24"/>
      <c r="G107" s="24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 x14ac:dyDescent="0.3"/>
  <cols>
    <col min="1" max="16384" width="8.88671875" style="24"/>
  </cols>
  <sheetData>
    <row r="3" spans="2:2" x14ac:dyDescent="0.3">
      <c r="B3" s="24" t="s">
        <v>151</v>
      </c>
    </row>
    <row r="5" spans="2:2" x14ac:dyDescent="0.3">
      <c r="B5" s="24" t="s">
        <v>152</v>
      </c>
    </row>
    <row r="7" spans="2:2" x14ac:dyDescent="0.3">
      <c r="B7" s="24" t="s">
        <v>153</v>
      </c>
    </row>
    <row r="8" spans="2:2" x14ac:dyDescent="0.3">
      <c r="B8" s="24" t="s">
        <v>154</v>
      </c>
    </row>
    <row r="9" spans="2:2" x14ac:dyDescent="0.3">
      <c r="B9" s="24" t="s">
        <v>155</v>
      </c>
    </row>
    <row r="10" spans="2:2" x14ac:dyDescent="0.3">
      <c r="B10" s="24" t="s">
        <v>156</v>
      </c>
    </row>
    <row r="11" spans="2:2" x14ac:dyDescent="0.3">
      <c r="B11" s="24" t="s">
        <v>315</v>
      </c>
    </row>
    <row r="12" spans="2:2" x14ac:dyDescent="0.3">
      <c r="B12" s="24" t="s">
        <v>316</v>
      </c>
    </row>
    <row r="13" spans="2:2" x14ac:dyDescent="0.3">
      <c r="B13" s="24" t="s">
        <v>157</v>
      </c>
    </row>
    <row r="14" spans="2:2" x14ac:dyDescent="0.3">
      <c r="B14" s="24" t="s">
        <v>317</v>
      </c>
    </row>
    <row r="15" spans="2:2" x14ac:dyDescent="0.3">
      <c r="B15" s="24" t="s">
        <v>318</v>
      </c>
    </row>
    <row r="16" spans="2:2" x14ac:dyDescent="0.3">
      <c r="B16" s="24" t="s">
        <v>158</v>
      </c>
    </row>
    <row r="18" spans="2:2" x14ac:dyDescent="0.3">
      <c r="B18" s="24" t="s">
        <v>159</v>
      </c>
    </row>
    <row r="19" spans="2:2" x14ac:dyDescent="0.3">
      <c r="B19" s="24" t="s">
        <v>150</v>
      </c>
    </row>
    <row r="20" spans="2:2" x14ac:dyDescent="0.3">
      <c r="B20" s="24" t="s">
        <v>160</v>
      </c>
    </row>
    <row r="21" spans="2:2" x14ac:dyDescent="0.3">
      <c r="B21" s="24" t="s">
        <v>161</v>
      </c>
    </row>
    <row r="22" spans="2:2" x14ac:dyDescent="0.3">
      <c r="B22" s="24" t="s">
        <v>319</v>
      </c>
    </row>
    <row r="23" spans="2:2" x14ac:dyDescent="0.3">
      <c r="B23" s="24" t="s">
        <v>162</v>
      </c>
    </row>
    <row r="24" spans="2:2" x14ac:dyDescent="0.3">
      <c r="B24" s="24" t="s">
        <v>320</v>
      </c>
    </row>
    <row r="25" spans="2:2" x14ac:dyDescent="0.3">
      <c r="B25" s="24" t="s">
        <v>163</v>
      </c>
    </row>
    <row r="26" spans="2:2" x14ac:dyDescent="0.3">
      <c r="B26" s="24" t="s">
        <v>164</v>
      </c>
    </row>
    <row r="28" spans="2:2" x14ac:dyDescent="0.3">
      <c r="B28" s="24" t="s">
        <v>165</v>
      </c>
    </row>
    <row r="30" spans="2:2" x14ac:dyDescent="0.3">
      <c r="B30" s="24" t="s">
        <v>166</v>
      </c>
    </row>
    <row r="31" spans="2:2" x14ac:dyDescent="0.3">
      <c r="B31" s="24" t="s">
        <v>167</v>
      </c>
    </row>
    <row r="33" spans="2:2" x14ac:dyDescent="0.3">
      <c r="B33" s="24" t="s">
        <v>168</v>
      </c>
    </row>
    <row r="35" spans="2:2" x14ac:dyDescent="0.3">
      <c r="B35" s="24" t="s">
        <v>169</v>
      </c>
    </row>
    <row r="37" spans="2:2" x14ac:dyDescent="0.3">
      <c r="B37" s="24" t="s">
        <v>170</v>
      </c>
    </row>
    <row r="38" spans="2:2" x14ac:dyDescent="0.3">
      <c r="B38" s="24" t="s">
        <v>171</v>
      </c>
    </row>
    <row r="39" spans="2:2" x14ac:dyDescent="0.3">
      <c r="B39" s="24" t="s">
        <v>172</v>
      </c>
    </row>
    <row r="40" spans="2:2" x14ac:dyDescent="0.3">
      <c r="B40" s="24" t="s">
        <v>173</v>
      </c>
    </row>
    <row r="42" spans="2:2" x14ac:dyDescent="0.3">
      <c r="B42" s="24" t="s">
        <v>174</v>
      </c>
    </row>
    <row r="43" spans="2:2" x14ac:dyDescent="0.3">
      <c r="B43" s="24" t="s">
        <v>150</v>
      </c>
    </row>
    <row r="44" spans="2:2" x14ac:dyDescent="0.3">
      <c r="B44" s="24" t="s">
        <v>175</v>
      </c>
    </row>
    <row r="46" spans="2:2" x14ac:dyDescent="0.3">
      <c r="B46" s="24" t="s">
        <v>176</v>
      </c>
    </row>
    <row r="47" spans="2:2" x14ac:dyDescent="0.3">
      <c r="B47" s="24" t="s">
        <v>177</v>
      </c>
    </row>
    <row r="48" spans="2:2" x14ac:dyDescent="0.3">
      <c r="B48" s="24" t="s">
        <v>321</v>
      </c>
    </row>
    <row r="49" spans="2:2" x14ac:dyDescent="0.3">
      <c r="B49" s="24" t="s">
        <v>178</v>
      </c>
    </row>
    <row r="50" spans="2:2" x14ac:dyDescent="0.3">
      <c r="B50" s="24" t="s">
        <v>179</v>
      </c>
    </row>
    <row r="51" spans="2:2" x14ac:dyDescent="0.3">
      <c r="B51" s="24" t="s">
        <v>180</v>
      </c>
    </row>
    <row r="53" spans="2:2" x14ac:dyDescent="0.3">
      <c r="B53" s="24" t="s">
        <v>181</v>
      </c>
    </row>
    <row r="55" spans="2:2" x14ac:dyDescent="0.3">
      <c r="B55" s="24" t="s">
        <v>182</v>
      </c>
    </row>
    <row r="56" spans="2:2" x14ac:dyDescent="0.3">
      <c r="B56" s="24" t="s">
        <v>322</v>
      </c>
    </row>
    <row r="57" spans="2:2" x14ac:dyDescent="0.3">
      <c r="B57" s="24" t="s">
        <v>183</v>
      </c>
    </row>
    <row r="58" spans="2:2" x14ac:dyDescent="0.3">
      <c r="B58" s="24" t="s">
        <v>323</v>
      </c>
    </row>
    <row r="59" spans="2:2" x14ac:dyDescent="0.3">
      <c r="B59" s="24" t="s">
        <v>184</v>
      </c>
    </row>
    <row r="60" spans="2:2" x14ac:dyDescent="0.3">
      <c r="B60" s="24" t="s">
        <v>185</v>
      </c>
    </row>
    <row r="62" spans="2:2" x14ac:dyDescent="0.3">
      <c r="B62" s="24" t="s">
        <v>186</v>
      </c>
    </row>
    <row r="64" spans="2:2" x14ac:dyDescent="0.3">
      <c r="B64" s="24" t="s">
        <v>187</v>
      </c>
    </row>
    <row r="65" spans="2:2" x14ac:dyDescent="0.3">
      <c r="B65" s="24" t="s">
        <v>188</v>
      </c>
    </row>
    <row r="67" spans="2:2" x14ac:dyDescent="0.3">
      <c r="B67" s="24" t="s">
        <v>189</v>
      </c>
    </row>
    <row r="69" spans="2:2" x14ac:dyDescent="0.3">
      <c r="B69" s="24" t="s">
        <v>190</v>
      </c>
    </row>
    <row r="70" spans="2:2" x14ac:dyDescent="0.3">
      <c r="B70" s="24" t="s">
        <v>191</v>
      </c>
    </row>
    <row r="71" spans="2:2" x14ac:dyDescent="0.3">
      <c r="B71" s="24" t="s">
        <v>324</v>
      </c>
    </row>
    <row r="72" spans="2:2" x14ac:dyDescent="0.3">
      <c r="B72" s="24" t="s">
        <v>192</v>
      </c>
    </row>
    <row r="73" spans="2:2" x14ac:dyDescent="0.3">
      <c r="B73" s="24" t="s">
        <v>325</v>
      </c>
    </row>
    <row r="74" spans="2:2" x14ac:dyDescent="0.3">
      <c r="B74" s="24" t="s">
        <v>193</v>
      </c>
    </row>
    <row r="75" spans="2:2" x14ac:dyDescent="0.3">
      <c r="B75" s="24" t="s">
        <v>194</v>
      </c>
    </row>
    <row r="77" spans="2:2" x14ac:dyDescent="0.3">
      <c r="B77" s="24" t="s">
        <v>195</v>
      </c>
    </row>
    <row r="79" spans="2:2" x14ac:dyDescent="0.3">
      <c r="B79" s="24" t="s">
        <v>196</v>
      </c>
    </row>
    <row r="80" spans="2:2" x14ac:dyDescent="0.3">
      <c r="B80" s="24" t="s">
        <v>197</v>
      </c>
    </row>
    <row r="81" spans="2:2" x14ac:dyDescent="0.3">
      <c r="B81" s="24" t="s">
        <v>198</v>
      </c>
    </row>
    <row r="82" spans="2:2" x14ac:dyDescent="0.3">
      <c r="B82" s="24" t="s">
        <v>326</v>
      </c>
    </row>
    <row r="83" spans="2:2" x14ac:dyDescent="0.3">
      <c r="B83" s="24" t="s">
        <v>199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B3:AL132"/>
  <sheetViews>
    <sheetView workbookViewId="0"/>
  </sheetViews>
  <sheetFormatPr defaultColWidth="8.88671875" defaultRowHeight="15.6" x14ac:dyDescent="0.3"/>
  <cols>
    <col min="1" max="4" width="8.88671875" style="110"/>
    <col min="5" max="5" width="9.5546875" style="110" bestFit="1" customWidth="1"/>
    <col min="6" max="8" width="8.88671875" style="110"/>
    <col min="9" max="9" width="57.6640625" style="110" customWidth="1"/>
    <col min="10" max="10" width="16.21875" style="110" bestFit="1" customWidth="1"/>
    <col min="11" max="11" width="10.5546875" style="110" customWidth="1"/>
    <col min="12" max="12" width="11" style="110" bestFit="1" customWidth="1"/>
    <col min="13" max="13" width="8.88671875" style="110"/>
    <col min="14" max="14" width="40.21875" style="110" customWidth="1"/>
    <col min="15" max="27" width="8.88671875" style="17" customWidth="1"/>
    <col min="28" max="28" width="11.6640625" style="50" bestFit="1" customWidth="1"/>
    <col min="29" max="29" width="37.33203125" style="17" customWidth="1"/>
    <col min="30" max="38" width="10.6640625" style="17" customWidth="1"/>
    <col min="39" max="16384" width="8.88671875" style="110"/>
  </cols>
  <sheetData>
    <row r="3" spans="2:38" x14ac:dyDescent="0.3">
      <c r="B3" s="110" t="s">
        <v>140</v>
      </c>
      <c r="I3" s="17" t="s">
        <v>131</v>
      </c>
      <c r="J3" s="17"/>
      <c r="K3" s="17"/>
      <c r="N3" s="110" t="s">
        <v>127</v>
      </c>
      <c r="Y3" s="17">
        <f>10000/SUM(Y8:AA8)</f>
        <v>4.7619047619047619</v>
      </c>
      <c r="AA3" s="17">
        <f>10000/AA8</f>
        <v>10</v>
      </c>
      <c r="AC3" s="17" t="s">
        <v>126</v>
      </c>
    </row>
    <row r="4" spans="2:38" x14ac:dyDescent="0.3">
      <c r="B4" s="138" t="s">
        <v>135</v>
      </c>
      <c r="C4" s="138" t="s">
        <v>139</v>
      </c>
      <c r="D4" s="138" t="s">
        <v>14</v>
      </c>
      <c r="E4" s="138" t="s">
        <v>15</v>
      </c>
      <c r="F4" s="138" t="s">
        <v>16</v>
      </c>
      <c r="G4" s="138" t="s">
        <v>17</v>
      </c>
      <c r="I4" s="129" t="s">
        <v>120</v>
      </c>
      <c r="J4" s="130" t="s">
        <v>98</v>
      </c>
      <c r="K4" s="130" t="s">
        <v>136</v>
      </c>
      <c r="N4" s="138" t="s">
        <v>124</v>
      </c>
      <c r="O4" s="130" cm="1">
        <f t="array" ref="O4:AA4">TRANSPOSE(I26:I38)</f>
        <v>0</v>
      </c>
      <c r="P4" s="130">
        <v>2</v>
      </c>
      <c r="Q4" s="130">
        <v>3</v>
      </c>
      <c r="R4" s="130">
        <v>5</v>
      </c>
      <c r="S4" s="130">
        <v>8</v>
      </c>
      <c r="T4" s="130">
        <v>10</v>
      </c>
      <c r="U4" s="130">
        <v>15</v>
      </c>
      <c r="V4" s="130">
        <v>20</v>
      </c>
      <c r="W4" s="130">
        <v>25</v>
      </c>
      <c r="X4" s="130">
        <v>50</v>
      </c>
      <c r="Y4" s="130">
        <v>100</v>
      </c>
      <c r="Z4" s="130">
        <v>500</v>
      </c>
      <c r="AA4" s="130">
        <v>1000</v>
      </c>
      <c r="AC4" s="130" t="s">
        <v>124</v>
      </c>
      <c r="AD4" s="130">
        <v>1</v>
      </c>
      <c r="AE4" s="130">
        <v>2</v>
      </c>
      <c r="AF4" s="130">
        <v>3</v>
      </c>
      <c r="AG4" s="130">
        <v>4</v>
      </c>
      <c r="AH4" s="130">
        <v>5</v>
      </c>
      <c r="AI4" s="130">
        <v>6</v>
      </c>
      <c r="AJ4" s="130">
        <v>7</v>
      </c>
      <c r="AK4" s="130">
        <v>8</v>
      </c>
      <c r="AL4" s="130">
        <v>9</v>
      </c>
    </row>
    <row r="5" spans="2:38" x14ac:dyDescent="0.3">
      <c r="B5" s="137" cm="1">
        <f t="array" ref="B5:B24">_xlfn.SEQUENCE(20,,0)</f>
        <v>0</v>
      </c>
      <c r="C5" s="147">
        <v>1</v>
      </c>
      <c r="D5" s="147">
        <v>1</v>
      </c>
      <c r="E5" s="147">
        <v>1</v>
      </c>
      <c r="F5" s="147">
        <v>1</v>
      </c>
      <c r="G5" s="147">
        <v>1</v>
      </c>
      <c r="I5" s="120" t="s">
        <v>106</v>
      </c>
      <c r="J5" s="131">
        <f>10000-J6-J7</f>
        <v>7000</v>
      </c>
      <c r="K5" s="143"/>
      <c r="L5" s="135" cm="1">
        <f t="array" ref="L5:L7">J5:J7/J8</f>
        <v>0.7</v>
      </c>
      <c r="N5" s="137" t="s">
        <v>122</v>
      </c>
      <c r="O5" s="209">
        <f t="shared" ref="O5:O11" si="0">10000-SUM(P5:AA5)</f>
        <v>0</v>
      </c>
      <c r="P5" s="210">
        <v>0</v>
      </c>
      <c r="Q5" s="210">
        <v>0</v>
      </c>
      <c r="R5" s="210">
        <v>0</v>
      </c>
      <c r="S5" s="210">
        <v>0</v>
      </c>
      <c r="T5" s="132">
        <f>10000-SUM(U5:AA5)</f>
        <v>2680</v>
      </c>
      <c r="U5" s="132">
        <v>3000</v>
      </c>
      <c r="V5" s="132">
        <v>2000</v>
      </c>
      <c r="W5" s="132">
        <v>500</v>
      </c>
      <c r="X5" s="132">
        <v>100</v>
      </c>
      <c r="Y5" s="132">
        <v>1200</v>
      </c>
      <c r="Z5" s="132">
        <v>20</v>
      </c>
      <c r="AA5" s="132">
        <v>500</v>
      </c>
      <c r="AB5" s="151" cm="1">
        <f t="array" ref="AB5">SUMPRODUCT(O5:AA5/SUM(O5:AA5),$O$4:$AA$4)</f>
        <v>75.930000000000007</v>
      </c>
      <c r="AC5" s="120" t="s">
        <v>122</v>
      </c>
      <c r="AD5" s="132">
        <v>300</v>
      </c>
      <c r="AE5" s="132">
        <v>600</v>
      </c>
      <c r="AF5" s="132">
        <v>1080</v>
      </c>
      <c r="AG5" s="132">
        <v>1440</v>
      </c>
      <c r="AH5" s="132">
        <v>2250</v>
      </c>
      <c r="AI5" s="132">
        <v>2700</v>
      </c>
      <c r="AJ5" s="132">
        <v>3150</v>
      </c>
      <c r="AK5" s="132">
        <v>3600</v>
      </c>
      <c r="AL5" s="132">
        <v>4050</v>
      </c>
    </row>
    <row r="6" spans="2:38" x14ac:dyDescent="0.3">
      <c r="B6" s="137">
        <v>1</v>
      </c>
      <c r="C6" s="147">
        <v>0</v>
      </c>
      <c r="D6" s="147">
        <v>0</v>
      </c>
      <c r="E6" s="147">
        <v>0</v>
      </c>
      <c r="F6" s="147">
        <v>0</v>
      </c>
      <c r="G6" s="147">
        <v>0</v>
      </c>
      <c r="I6" s="120" t="s">
        <v>107</v>
      </c>
      <c r="J6" s="132">
        <v>1000</v>
      </c>
      <c r="K6" s="144"/>
      <c r="L6" s="135">
        <v>0.1</v>
      </c>
      <c r="N6" s="137" t="s">
        <v>123</v>
      </c>
      <c r="O6" s="209">
        <f t="shared" si="0"/>
        <v>0</v>
      </c>
      <c r="P6" s="210">
        <v>0</v>
      </c>
      <c r="Q6" s="210">
        <v>0</v>
      </c>
      <c r="R6" s="210">
        <v>0</v>
      </c>
      <c r="S6" s="210">
        <v>0</v>
      </c>
      <c r="T6" s="132">
        <f>10000-SUM(U6:AA6)</f>
        <v>2680</v>
      </c>
      <c r="U6" s="132">
        <v>3000</v>
      </c>
      <c r="V6" s="132">
        <v>2000</v>
      </c>
      <c r="W6" s="132">
        <v>500</v>
      </c>
      <c r="X6" s="132">
        <v>100</v>
      </c>
      <c r="Y6" s="132">
        <v>1200</v>
      </c>
      <c r="Z6" s="132">
        <v>20</v>
      </c>
      <c r="AA6" s="132">
        <v>500</v>
      </c>
      <c r="AB6" s="151" cm="1">
        <f t="array" ref="AB6">SUMPRODUCT(O6:AA6/SUM(O6:AA6),$O$4:$AA$4)</f>
        <v>75.930000000000007</v>
      </c>
      <c r="AC6" s="120" t="s">
        <v>123</v>
      </c>
      <c r="AD6" s="210">
        <v>0</v>
      </c>
      <c r="AE6" s="210">
        <v>0</v>
      </c>
      <c r="AF6" s="132">
        <v>525</v>
      </c>
      <c r="AG6" s="132">
        <v>700</v>
      </c>
      <c r="AH6" s="132">
        <v>1750</v>
      </c>
      <c r="AI6" s="132">
        <v>2100</v>
      </c>
      <c r="AJ6" s="132">
        <v>3675</v>
      </c>
      <c r="AK6" s="132">
        <v>4200</v>
      </c>
      <c r="AL6" s="132">
        <v>4725</v>
      </c>
    </row>
    <row r="7" spans="2:38" x14ac:dyDescent="0.3">
      <c r="B7" s="137">
        <v>2</v>
      </c>
      <c r="C7" s="147">
        <v>2</v>
      </c>
      <c r="D7" s="147">
        <v>2</v>
      </c>
      <c r="E7" s="147">
        <v>2</v>
      </c>
      <c r="F7" s="147">
        <v>2</v>
      </c>
      <c r="G7" s="147">
        <v>2</v>
      </c>
      <c r="I7" s="120" t="s">
        <v>134</v>
      </c>
      <c r="J7" s="132">
        <v>2000</v>
      </c>
      <c r="K7" s="144"/>
      <c r="L7" s="135">
        <v>0.2</v>
      </c>
      <c r="N7" s="137" t="s">
        <v>134</v>
      </c>
      <c r="O7" s="209">
        <f t="shared" si="0"/>
        <v>10000</v>
      </c>
      <c r="P7" s="210">
        <v>0</v>
      </c>
      <c r="Q7" s="210">
        <v>0</v>
      </c>
      <c r="R7" s="210">
        <v>0</v>
      </c>
      <c r="S7" s="210">
        <v>0</v>
      </c>
      <c r="T7" s="210">
        <v>0</v>
      </c>
      <c r="U7" s="210">
        <v>0</v>
      </c>
      <c r="V7" s="210">
        <v>0</v>
      </c>
      <c r="W7" s="210">
        <v>0</v>
      </c>
      <c r="X7" s="210">
        <v>0</v>
      </c>
      <c r="Y7" s="210">
        <v>0</v>
      </c>
      <c r="Z7" s="210">
        <v>0</v>
      </c>
      <c r="AA7" s="210">
        <v>0</v>
      </c>
      <c r="AB7" s="151" cm="1">
        <f t="array" ref="AB7">SUMPRODUCT(O7:AA7/SUM(O7:AA7),$O$4:$AA$4)</f>
        <v>0</v>
      </c>
      <c r="AC7" s="120" t="s">
        <v>134</v>
      </c>
      <c r="AD7" s="210">
        <v>0</v>
      </c>
      <c r="AE7" s="210">
        <v>0</v>
      </c>
      <c r="AF7" s="210">
        <v>0</v>
      </c>
      <c r="AG7" s="210">
        <v>0</v>
      </c>
      <c r="AH7" s="210">
        <v>0</v>
      </c>
      <c r="AI7" s="210">
        <v>0</v>
      </c>
      <c r="AJ7" s="210">
        <v>0</v>
      </c>
      <c r="AK7" s="210">
        <v>0</v>
      </c>
      <c r="AL7" s="210">
        <v>0</v>
      </c>
    </row>
    <row r="8" spans="2:38" x14ac:dyDescent="0.3">
      <c r="B8" s="137">
        <v>3</v>
      </c>
      <c r="C8" s="147">
        <v>0</v>
      </c>
      <c r="D8" s="147">
        <v>1</v>
      </c>
      <c r="E8" s="147">
        <v>2</v>
      </c>
      <c r="F8" s="147">
        <v>1</v>
      </c>
      <c r="G8" s="147">
        <v>0</v>
      </c>
      <c r="I8" s="17"/>
      <c r="J8" s="50">
        <f>SUM(J5:J7)</f>
        <v>10000</v>
      </c>
      <c r="K8" s="50">
        <f>SUMPRODUCT(K5:K7,_xlfn.ANCHORARRAY(L5))</f>
        <v>0</v>
      </c>
      <c r="L8" s="136"/>
      <c r="N8" s="137" t="s">
        <v>114</v>
      </c>
      <c r="O8" s="209">
        <f t="shared" si="0"/>
        <v>0</v>
      </c>
      <c r="P8" s="210">
        <v>0</v>
      </c>
      <c r="Q8" s="210">
        <v>0</v>
      </c>
      <c r="R8" s="210">
        <v>0</v>
      </c>
      <c r="S8" s="210">
        <v>0</v>
      </c>
      <c r="T8" s="132">
        <f>10000-SUM(U8:AA8)</f>
        <v>3600</v>
      </c>
      <c r="U8" s="132">
        <v>2500</v>
      </c>
      <c r="V8" s="132">
        <v>1500</v>
      </c>
      <c r="W8" s="132">
        <v>250</v>
      </c>
      <c r="X8" s="132">
        <v>50</v>
      </c>
      <c r="Y8" s="132">
        <v>1000</v>
      </c>
      <c r="Z8" s="132">
        <v>100</v>
      </c>
      <c r="AA8" s="132">
        <v>1000</v>
      </c>
      <c r="AB8" s="151" cm="1">
        <f t="array" ref="AB8">SUMPRODUCT(O8:AA8/SUM(O8:AA8),$O$4:$AA$4)</f>
        <v>126.22499999999999</v>
      </c>
      <c r="AC8" s="120" t="s">
        <v>114</v>
      </c>
      <c r="AD8" s="210">
        <v>0</v>
      </c>
      <c r="AE8" s="210">
        <v>0</v>
      </c>
      <c r="AF8" s="132">
        <v>525</v>
      </c>
      <c r="AG8" s="132">
        <v>700</v>
      </c>
      <c r="AH8" s="132">
        <v>1750</v>
      </c>
      <c r="AI8" s="132">
        <v>2100</v>
      </c>
      <c r="AJ8" s="132">
        <v>3675</v>
      </c>
      <c r="AK8" s="132">
        <v>4200</v>
      </c>
      <c r="AL8" s="132">
        <v>4725</v>
      </c>
    </row>
    <row r="9" spans="2:38" x14ac:dyDescent="0.3">
      <c r="B9" s="137">
        <v>4</v>
      </c>
      <c r="C9" s="147">
        <v>2</v>
      </c>
      <c r="D9" s="147">
        <v>1</v>
      </c>
      <c r="E9" s="147">
        <v>0</v>
      </c>
      <c r="F9" s="147">
        <v>1</v>
      </c>
      <c r="G9" s="147">
        <v>2</v>
      </c>
      <c r="L9" s="136"/>
      <c r="N9" s="137" t="s">
        <v>116</v>
      </c>
      <c r="O9" s="209">
        <f t="shared" si="0"/>
        <v>0</v>
      </c>
      <c r="P9" s="210">
        <v>0</v>
      </c>
      <c r="Q9" s="210">
        <v>0</v>
      </c>
      <c r="R9" s="210">
        <v>0</v>
      </c>
      <c r="S9" s="210">
        <v>0</v>
      </c>
      <c r="T9" s="132">
        <f>10000-SUM(U9:AA9)</f>
        <v>3430</v>
      </c>
      <c r="U9" s="132">
        <v>2500</v>
      </c>
      <c r="V9" s="132">
        <v>2000</v>
      </c>
      <c r="W9" s="132">
        <v>500</v>
      </c>
      <c r="X9" s="132">
        <v>100</v>
      </c>
      <c r="Y9" s="132">
        <v>700</v>
      </c>
      <c r="Z9" s="132">
        <v>70</v>
      </c>
      <c r="AA9" s="132">
        <v>700</v>
      </c>
      <c r="AB9" s="151" cm="1">
        <f t="array" ref="AB9">SUMPRODUCT(O9:AA9/SUM(O9:AA9),$O$4:$AA$4)</f>
        <v>93.43</v>
      </c>
      <c r="AC9" s="120" t="s">
        <v>116</v>
      </c>
      <c r="AD9" s="210">
        <v>0</v>
      </c>
      <c r="AE9" s="210">
        <v>0</v>
      </c>
      <c r="AF9" s="132">
        <v>525</v>
      </c>
      <c r="AG9" s="132">
        <v>700</v>
      </c>
      <c r="AH9" s="132">
        <v>1750</v>
      </c>
      <c r="AI9" s="132">
        <v>2100</v>
      </c>
      <c r="AJ9" s="132">
        <v>3675</v>
      </c>
      <c r="AK9" s="132">
        <v>4200</v>
      </c>
      <c r="AL9" s="132">
        <v>4725</v>
      </c>
    </row>
    <row r="10" spans="2:38" x14ac:dyDescent="0.3">
      <c r="B10" s="137">
        <v>5</v>
      </c>
      <c r="C10" s="147">
        <v>0</v>
      </c>
      <c r="D10" s="147">
        <v>0</v>
      </c>
      <c r="E10" s="147">
        <v>1</v>
      </c>
      <c r="F10" s="147">
        <v>0</v>
      </c>
      <c r="G10" s="147">
        <v>0</v>
      </c>
      <c r="I10" s="17" t="s">
        <v>130</v>
      </c>
      <c r="J10" s="17"/>
      <c r="K10" s="17"/>
      <c r="L10" s="136"/>
      <c r="N10" s="137" t="s">
        <v>118</v>
      </c>
      <c r="O10" s="209">
        <f t="shared" si="0"/>
        <v>0</v>
      </c>
      <c r="P10" s="210">
        <v>0</v>
      </c>
      <c r="Q10" s="210">
        <v>0</v>
      </c>
      <c r="R10" s="210">
        <v>0</v>
      </c>
      <c r="S10" s="210">
        <v>0</v>
      </c>
      <c r="T10" s="132">
        <f>10000-SUM(U10:AA10)</f>
        <v>4480</v>
      </c>
      <c r="U10" s="132">
        <v>2500</v>
      </c>
      <c r="V10" s="132">
        <v>2000</v>
      </c>
      <c r="W10" s="132">
        <v>500</v>
      </c>
      <c r="X10" s="132">
        <v>100</v>
      </c>
      <c r="Y10" s="132">
        <v>200</v>
      </c>
      <c r="Z10" s="132">
        <v>20</v>
      </c>
      <c r="AA10" s="132">
        <v>200</v>
      </c>
      <c r="AB10" s="151" cm="1">
        <f t="array" ref="AB10">SUMPRODUCT(O10:AA10/SUM(O10:AA10),$O$4:$AA$4)</f>
        <v>36.980000000000004</v>
      </c>
      <c r="AC10" s="120" t="s">
        <v>118</v>
      </c>
      <c r="AD10" s="210">
        <v>0</v>
      </c>
      <c r="AE10" s="210">
        <v>0</v>
      </c>
      <c r="AF10" s="132">
        <v>525</v>
      </c>
      <c r="AG10" s="132">
        <v>700</v>
      </c>
      <c r="AH10" s="132">
        <v>1750</v>
      </c>
      <c r="AI10" s="132">
        <v>2100</v>
      </c>
      <c r="AJ10" s="132">
        <v>3675</v>
      </c>
      <c r="AK10" s="132">
        <v>4200</v>
      </c>
      <c r="AL10" s="132">
        <v>4725</v>
      </c>
    </row>
    <row r="11" spans="2:38" ht="15.6" customHeight="1" x14ac:dyDescent="0.3">
      <c r="B11" s="137">
        <v>6</v>
      </c>
      <c r="C11" s="147">
        <v>2</v>
      </c>
      <c r="D11" s="147">
        <v>2</v>
      </c>
      <c r="E11" s="147">
        <v>1</v>
      </c>
      <c r="F11" s="147">
        <v>2</v>
      </c>
      <c r="G11" s="147">
        <v>2</v>
      </c>
      <c r="I11" s="129" t="s">
        <v>121</v>
      </c>
      <c r="J11" s="130" t="s">
        <v>98</v>
      </c>
      <c r="K11" s="130" t="s">
        <v>136</v>
      </c>
      <c r="N11" s="137" t="s">
        <v>133</v>
      </c>
      <c r="O11" s="209">
        <f t="shared" si="0"/>
        <v>10000</v>
      </c>
      <c r="P11" s="210">
        <v>0</v>
      </c>
      <c r="Q11" s="210">
        <v>0</v>
      </c>
      <c r="R11" s="210">
        <v>0</v>
      </c>
      <c r="S11" s="210">
        <v>0</v>
      </c>
      <c r="T11" s="210">
        <v>0</v>
      </c>
      <c r="U11" s="210">
        <v>0</v>
      </c>
      <c r="V11" s="210">
        <v>0</v>
      </c>
      <c r="W11" s="210">
        <v>0</v>
      </c>
      <c r="X11" s="210">
        <v>0</v>
      </c>
      <c r="Y11" s="210">
        <v>0</v>
      </c>
      <c r="Z11" s="210">
        <v>0</v>
      </c>
      <c r="AA11" s="210">
        <v>0</v>
      </c>
      <c r="AB11" s="151" cm="1">
        <f t="array" ref="AB11">SUMPRODUCT(O11:AA11/SUM(O11:AA11),$O$4:$AA$4)</f>
        <v>0</v>
      </c>
      <c r="AC11" s="120" t="s">
        <v>133</v>
      </c>
      <c r="AD11" s="210">
        <v>0</v>
      </c>
      <c r="AE11" s="210">
        <v>0</v>
      </c>
      <c r="AF11" s="210">
        <v>0</v>
      </c>
      <c r="AG11" s="210">
        <v>0</v>
      </c>
      <c r="AH11" s="210">
        <v>0</v>
      </c>
      <c r="AI11" s="210">
        <v>0</v>
      </c>
      <c r="AJ11" s="210">
        <v>0</v>
      </c>
      <c r="AK11" s="210">
        <v>0</v>
      </c>
      <c r="AL11" s="210">
        <v>0</v>
      </c>
    </row>
    <row r="12" spans="2:38" ht="15.6" customHeight="1" x14ac:dyDescent="0.3">
      <c r="B12" s="137">
        <v>7</v>
      </c>
      <c r="C12" s="147">
        <v>1</v>
      </c>
      <c r="D12" s="147">
        <v>2</v>
      </c>
      <c r="E12" s="147">
        <v>2</v>
      </c>
      <c r="F12" s="147">
        <v>2</v>
      </c>
      <c r="G12" s="147">
        <v>1</v>
      </c>
      <c r="I12" s="120" t="s">
        <v>115</v>
      </c>
      <c r="J12" s="131">
        <f>10000-SUM(J13:J14)</f>
        <v>10000</v>
      </c>
      <c r="K12" s="143"/>
      <c r="L12" s="135" cm="1">
        <f t="array" ref="L12:L14">J12:J14/SUM(J15)</f>
        <v>1</v>
      </c>
    </row>
    <row r="13" spans="2:38" ht="15.6" customHeight="1" x14ac:dyDescent="0.3">
      <c r="B13" s="137">
        <v>8</v>
      </c>
      <c r="C13" s="147">
        <v>1</v>
      </c>
      <c r="D13" s="147">
        <v>0</v>
      </c>
      <c r="E13" s="147">
        <v>0</v>
      </c>
      <c r="F13" s="147">
        <v>0</v>
      </c>
      <c r="G13" s="147">
        <v>1</v>
      </c>
      <c r="I13" s="120" t="s">
        <v>117</v>
      </c>
      <c r="J13" s="132">
        <v>0</v>
      </c>
      <c r="K13" s="144"/>
      <c r="L13" s="135">
        <v>0</v>
      </c>
    </row>
    <row r="14" spans="2:38" ht="15.6" customHeight="1" x14ac:dyDescent="0.3">
      <c r="B14" s="137">
        <v>9</v>
      </c>
      <c r="C14" s="147">
        <v>0</v>
      </c>
      <c r="D14" s="147">
        <v>1</v>
      </c>
      <c r="E14" s="147">
        <v>1</v>
      </c>
      <c r="F14" s="147">
        <v>1</v>
      </c>
      <c r="G14" s="147">
        <v>0</v>
      </c>
      <c r="I14" s="120" t="s">
        <v>119</v>
      </c>
      <c r="J14" s="132">
        <v>0</v>
      </c>
      <c r="K14" s="144"/>
      <c r="L14" s="135">
        <v>0</v>
      </c>
      <c r="N14" s="110" t="s">
        <v>143</v>
      </c>
      <c r="AD14" s="172"/>
      <c r="AE14" s="172"/>
      <c r="AF14" s="172"/>
      <c r="AG14" s="172"/>
      <c r="AH14" s="172"/>
      <c r="AI14" s="172"/>
      <c r="AJ14" s="172"/>
      <c r="AK14" s="172"/>
      <c r="AL14" s="172"/>
    </row>
    <row r="15" spans="2:38" ht="15.6" customHeight="1" x14ac:dyDescent="0.3">
      <c r="B15" s="137">
        <v>10</v>
      </c>
      <c r="C15" s="147">
        <v>2</v>
      </c>
      <c r="D15" s="147">
        <v>1</v>
      </c>
      <c r="E15" s="147">
        <v>1</v>
      </c>
      <c r="F15" s="147">
        <v>1</v>
      </c>
      <c r="G15" s="147">
        <v>2</v>
      </c>
      <c r="J15" s="50">
        <f>SUM(J12:J14)</f>
        <v>10000</v>
      </c>
      <c r="K15" s="50">
        <f>SUMPRODUCT(K12:K14,_xlfn.ANCHORARRAY(L12))</f>
        <v>0</v>
      </c>
      <c r="L15" s="136"/>
      <c r="N15" s="138" t="s">
        <v>124</v>
      </c>
      <c r="O15" s="130" cm="1">
        <f t="array" ref="O15:AA15">TRANSPOSE(I26:I38)</f>
        <v>0</v>
      </c>
      <c r="P15" s="130">
        <v>2</v>
      </c>
      <c r="Q15" s="130">
        <v>3</v>
      </c>
      <c r="R15" s="130">
        <v>5</v>
      </c>
      <c r="S15" s="130">
        <v>8</v>
      </c>
      <c r="T15" s="130">
        <v>10</v>
      </c>
      <c r="U15" s="130">
        <v>15</v>
      </c>
      <c r="V15" s="130">
        <v>20</v>
      </c>
      <c r="W15" s="130">
        <v>25</v>
      </c>
      <c r="X15" s="130">
        <v>50</v>
      </c>
      <c r="Y15" s="130">
        <v>100</v>
      </c>
      <c r="Z15" s="130">
        <v>500</v>
      </c>
      <c r="AA15" s="130">
        <v>1000</v>
      </c>
    </row>
    <row r="16" spans="2:38" ht="15.6" customHeight="1" x14ac:dyDescent="0.3">
      <c r="B16" s="137">
        <v>11</v>
      </c>
      <c r="C16" s="147">
        <v>1</v>
      </c>
      <c r="D16" s="147">
        <v>1</v>
      </c>
      <c r="E16" s="147">
        <v>0</v>
      </c>
      <c r="F16" s="147">
        <v>1</v>
      </c>
      <c r="G16" s="147">
        <v>1</v>
      </c>
      <c r="L16" s="136"/>
      <c r="N16" s="150" t="s">
        <v>122</v>
      </c>
      <c r="O16" s="209">
        <f t="shared" ref="O16:O22" si="1">10000-SUM(P16:AA16)</f>
        <v>10000</v>
      </c>
      <c r="P16" s="209">
        <v>0</v>
      </c>
      <c r="Q16" s="209">
        <v>0</v>
      </c>
      <c r="R16" s="209">
        <v>0</v>
      </c>
      <c r="S16" s="209">
        <v>0</v>
      </c>
      <c r="T16" s="209">
        <v>0</v>
      </c>
      <c r="U16" s="209">
        <v>0</v>
      </c>
      <c r="V16" s="209">
        <v>0</v>
      </c>
      <c r="W16" s="209">
        <v>0</v>
      </c>
      <c r="X16" s="209">
        <v>0</v>
      </c>
      <c r="Y16" s="209">
        <v>0</v>
      </c>
      <c r="Z16" s="209">
        <v>0</v>
      </c>
      <c r="AA16" s="209">
        <v>0</v>
      </c>
      <c r="AB16" s="151" cm="1">
        <f t="array" ref="AB16">SUMPRODUCT(O16:AA16/SUM(O16:AA16),$O$4:$AA$4)</f>
        <v>0</v>
      </c>
      <c r="AD16" s="166"/>
      <c r="AE16" s="166"/>
    </row>
    <row r="17" spans="2:31" ht="15.6" customHeight="1" x14ac:dyDescent="0.3">
      <c r="B17" s="137">
        <v>12</v>
      </c>
      <c r="C17" s="147">
        <v>1</v>
      </c>
      <c r="D17" s="147">
        <v>1</v>
      </c>
      <c r="E17" s="147">
        <v>2</v>
      </c>
      <c r="F17" s="147">
        <v>1</v>
      </c>
      <c r="G17" s="147">
        <v>1</v>
      </c>
      <c r="I17" s="17" t="s">
        <v>132</v>
      </c>
      <c r="J17" s="17"/>
      <c r="K17" s="17"/>
      <c r="L17" s="136"/>
      <c r="N17" s="137" t="s">
        <v>123</v>
      </c>
      <c r="O17" s="210">
        <f t="shared" si="1"/>
        <v>0</v>
      </c>
      <c r="P17" s="131">
        <f>10000-SUM(Q17:AA17)</f>
        <v>3600</v>
      </c>
      <c r="Q17" s="131">
        <v>3400</v>
      </c>
      <c r="R17" s="131">
        <v>1500</v>
      </c>
      <c r="S17" s="131">
        <v>1500</v>
      </c>
      <c r="T17" s="209">
        <v>0</v>
      </c>
      <c r="U17" s="209">
        <v>0</v>
      </c>
      <c r="V17" s="209">
        <v>0</v>
      </c>
      <c r="W17" s="209">
        <v>0</v>
      </c>
      <c r="X17" s="209">
        <v>0</v>
      </c>
      <c r="Y17" s="209">
        <v>0</v>
      </c>
      <c r="Z17" s="209">
        <v>0</v>
      </c>
      <c r="AA17" s="209">
        <v>0</v>
      </c>
      <c r="AB17" s="151" cm="1">
        <f t="array" ref="AB17">SUMPRODUCT(O17:AA17/SUM(O17:AA17),$O$4:$AA$4)</f>
        <v>3.6900000000000004</v>
      </c>
      <c r="AD17" s="166"/>
      <c r="AE17" s="166"/>
    </row>
    <row r="18" spans="2:31" ht="15.6" customHeight="1" x14ac:dyDescent="0.3">
      <c r="B18" s="137">
        <v>13</v>
      </c>
      <c r="C18" s="147">
        <v>1</v>
      </c>
      <c r="D18" s="147">
        <v>0</v>
      </c>
      <c r="E18" s="147">
        <v>1</v>
      </c>
      <c r="F18" s="147">
        <v>0</v>
      </c>
      <c r="G18" s="147">
        <v>1</v>
      </c>
      <c r="I18" s="129" t="s">
        <v>121</v>
      </c>
      <c r="J18" s="130" t="s">
        <v>98</v>
      </c>
      <c r="K18" s="130" t="s">
        <v>136</v>
      </c>
      <c r="N18" s="137" t="s">
        <v>134</v>
      </c>
      <c r="O18" s="210">
        <f t="shared" si="1"/>
        <v>10000</v>
      </c>
      <c r="P18" s="209">
        <v>0</v>
      </c>
      <c r="Q18" s="209">
        <v>0</v>
      </c>
      <c r="R18" s="209">
        <v>0</v>
      </c>
      <c r="S18" s="209">
        <v>0</v>
      </c>
      <c r="T18" s="209">
        <v>0</v>
      </c>
      <c r="U18" s="209">
        <v>0</v>
      </c>
      <c r="V18" s="209">
        <v>0</v>
      </c>
      <c r="W18" s="209">
        <v>0</v>
      </c>
      <c r="X18" s="209">
        <v>0</v>
      </c>
      <c r="Y18" s="209">
        <v>0</v>
      </c>
      <c r="Z18" s="209">
        <v>0</v>
      </c>
      <c r="AA18" s="209">
        <v>0</v>
      </c>
      <c r="AB18" s="151" cm="1">
        <f t="array" ref="AB18">SUMPRODUCT(O18:AA18/SUM(O18:AA18),$O$4:$AA$4)</f>
        <v>0</v>
      </c>
      <c r="AD18" s="166"/>
      <c r="AE18" s="166"/>
    </row>
    <row r="19" spans="2:31" ht="15.6" customHeight="1" x14ac:dyDescent="0.3">
      <c r="B19" s="137">
        <v>14</v>
      </c>
      <c r="C19" s="147">
        <v>1</v>
      </c>
      <c r="D19" s="147">
        <v>2</v>
      </c>
      <c r="E19" s="147">
        <v>1</v>
      </c>
      <c r="F19" s="147">
        <v>2</v>
      </c>
      <c r="G19" s="147">
        <v>1</v>
      </c>
      <c r="I19" s="120" t="s">
        <v>115</v>
      </c>
      <c r="J19" s="131">
        <f>10000-SUM(J20:J21)</f>
        <v>10000</v>
      </c>
      <c r="K19" s="143"/>
      <c r="L19" s="135" cm="1">
        <f t="array" ref="L19:L21">J19:J21/SUM(J22)</f>
        <v>1</v>
      </c>
      <c r="N19" s="137" t="s">
        <v>114</v>
      </c>
      <c r="O19" s="210">
        <f t="shared" si="1"/>
        <v>0</v>
      </c>
      <c r="P19" s="131">
        <f>10000-SUM(Q19:AA19)</f>
        <v>6000</v>
      </c>
      <c r="Q19" s="132">
        <v>2800</v>
      </c>
      <c r="R19" s="132">
        <v>900</v>
      </c>
      <c r="S19" s="132">
        <v>300</v>
      </c>
      <c r="T19" s="210">
        <v>0</v>
      </c>
      <c r="U19" s="210">
        <v>0</v>
      </c>
      <c r="V19" s="210">
        <v>0</v>
      </c>
      <c r="W19" s="210">
        <v>0</v>
      </c>
      <c r="X19" s="210">
        <v>0</v>
      </c>
      <c r="Y19" s="210">
        <v>0</v>
      </c>
      <c r="Z19" s="210">
        <v>0</v>
      </c>
      <c r="AA19" s="210">
        <v>0</v>
      </c>
      <c r="AB19" s="151" cm="1">
        <f t="array" ref="AB19">SUMPRODUCT(O19:AA19/SUM(O19:AA19),$O$4:$AA$4)</f>
        <v>2.7300000000000004</v>
      </c>
    </row>
    <row r="20" spans="2:31" ht="15.6" customHeight="1" x14ac:dyDescent="0.3">
      <c r="B20" s="137">
        <v>15</v>
      </c>
      <c r="C20" s="147">
        <v>0</v>
      </c>
      <c r="D20" s="147">
        <v>1</v>
      </c>
      <c r="E20" s="147">
        <v>0</v>
      </c>
      <c r="F20" s="147">
        <v>1</v>
      </c>
      <c r="G20" s="147">
        <v>0</v>
      </c>
      <c r="I20" s="120" t="s">
        <v>117</v>
      </c>
      <c r="J20" s="132">
        <v>0</v>
      </c>
      <c r="K20" s="144"/>
      <c r="L20" s="135">
        <v>0</v>
      </c>
      <c r="N20" s="137" t="s">
        <v>116</v>
      </c>
      <c r="O20" s="210">
        <f t="shared" si="1"/>
        <v>0</v>
      </c>
      <c r="P20" s="131">
        <f t="shared" ref="P20:P21" si="2">10000-SUM(Q20:AA20)</f>
        <v>6000</v>
      </c>
      <c r="Q20" s="132">
        <v>2800</v>
      </c>
      <c r="R20" s="132">
        <v>900</v>
      </c>
      <c r="S20" s="132">
        <v>300</v>
      </c>
      <c r="T20" s="210">
        <v>0</v>
      </c>
      <c r="U20" s="210">
        <v>0</v>
      </c>
      <c r="V20" s="210">
        <v>0</v>
      </c>
      <c r="W20" s="210">
        <v>0</v>
      </c>
      <c r="X20" s="210">
        <v>0</v>
      </c>
      <c r="Y20" s="210">
        <v>0</v>
      </c>
      <c r="Z20" s="210">
        <v>0</v>
      </c>
      <c r="AA20" s="210">
        <v>0</v>
      </c>
      <c r="AB20" s="151" cm="1">
        <f t="array" ref="AB20">SUMPRODUCT(O20:AA20/SUM(O20:AA20),$O$4:$AA$4)</f>
        <v>2.7300000000000004</v>
      </c>
    </row>
    <row r="21" spans="2:31" ht="15.6" customHeight="1" x14ac:dyDescent="0.3">
      <c r="B21" s="137">
        <v>16</v>
      </c>
      <c r="C21" s="147">
        <v>2</v>
      </c>
      <c r="D21" s="147">
        <v>1</v>
      </c>
      <c r="E21" s="147">
        <v>2</v>
      </c>
      <c r="F21" s="147">
        <v>1</v>
      </c>
      <c r="G21" s="147">
        <v>2</v>
      </c>
      <c r="I21" s="120" t="s">
        <v>119</v>
      </c>
      <c r="J21" s="132">
        <v>0</v>
      </c>
      <c r="K21" s="144"/>
      <c r="L21" s="135">
        <v>0</v>
      </c>
      <c r="N21" s="137" t="s">
        <v>118</v>
      </c>
      <c r="O21" s="210">
        <f t="shared" si="1"/>
        <v>0</v>
      </c>
      <c r="P21" s="131">
        <f t="shared" si="2"/>
        <v>6000</v>
      </c>
      <c r="Q21" s="132">
        <v>2800</v>
      </c>
      <c r="R21" s="132">
        <v>900</v>
      </c>
      <c r="S21" s="132">
        <v>300</v>
      </c>
      <c r="T21" s="210">
        <v>0</v>
      </c>
      <c r="U21" s="210">
        <v>0</v>
      </c>
      <c r="V21" s="210">
        <v>0</v>
      </c>
      <c r="W21" s="210">
        <v>0</v>
      </c>
      <c r="X21" s="210">
        <v>0</v>
      </c>
      <c r="Y21" s="210">
        <v>0</v>
      </c>
      <c r="Z21" s="210">
        <v>0</v>
      </c>
      <c r="AA21" s="210">
        <v>0</v>
      </c>
      <c r="AB21" s="151" cm="1">
        <f t="array" ref="AB21">SUMPRODUCT(O21:AA21/SUM(O21:AA21),$O$4:$AA$4)</f>
        <v>2.7300000000000004</v>
      </c>
    </row>
    <row r="22" spans="2:31" ht="15.6" customHeight="1" x14ac:dyDescent="0.3">
      <c r="B22" s="137">
        <v>17</v>
      </c>
      <c r="C22" s="147">
        <v>0</v>
      </c>
      <c r="D22" s="147">
        <v>0</v>
      </c>
      <c r="E22" s="147">
        <v>1</v>
      </c>
      <c r="F22" s="147">
        <v>2</v>
      </c>
      <c r="G22" s="147">
        <v>2</v>
      </c>
      <c r="J22" s="50">
        <f>SUM(J19:J21)</f>
        <v>10000</v>
      </c>
      <c r="K22" s="50">
        <f>SUMPRODUCT(K19:K21,_xlfn.ANCHORARRAY(L19))</f>
        <v>0</v>
      </c>
      <c r="N22" s="137" t="s">
        <v>133</v>
      </c>
      <c r="O22" s="210">
        <f t="shared" si="1"/>
        <v>10000</v>
      </c>
      <c r="P22" s="209">
        <v>0</v>
      </c>
      <c r="Q22" s="209">
        <v>0</v>
      </c>
      <c r="R22" s="209">
        <v>0</v>
      </c>
      <c r="S22" s="209">
        <v>0</v>
      </c>
      <c r="T22" s="209">
        <v>0</v>
      </c>
      <c r="U22" s="209">
        <v>0</v>
      </c>
      <c r="V22" s="209">
        <v>0</v>
      </c>
      <c r="W22" s="209">
        <v>0</v>
      </c>
      <c r="X22" s="209">
        <v>0</v>
      </c>
      <c r="Y22" s="209">
        <v>0</v>
      </c>
      <c r="Z22" s="209">
        <v>0</v>
      </c>
      <c r="AA22" s="209">
        <v>0</v>
      </c>
      <c r="AB22" s="151" cm="1">
        <f t="array" ref="AB22">SUMPRODUCT(O22:AA22/SUM(O22:AA22),$O$4:$AA$4)</f>
        <v>0</v>
      </c>
    </row>
    <row r="23" spans="2:31" ht="15.6" customHeight="1" x14ac:dyDescent="0.3">
      <c r="B23" s="137">
        <v>18</v>
      </c>
      <c r="C23" s="147">
        <v>2</v>
      </c>
      <c r="D23" s="147">
        <v>2</v>
      </c>
      <c r="E23" s="147">
        <v>1</v>
      </c>
      <c r="F23" s="147">
        <v>0</v>
      </c>
      <c r="G23" s="147">
        <v>0</v>
      </c>
      <c r="P23" s="172"/>
      <c r="Q23" s="172"/>
      <c r="R23" s="172"/>
      <c r="S23" s="172"/>
    </row>
    <row r="24" spans="2:31" ht="15.6" customHeight="1" x14ac:dyDescent="0.3">
      <c r="B24" s="137">
        <v>19</v>
      </c>
      <c r="C24" s="147">
        <v>0</v>
      </c>
      <c r="D24" s="147">
        <v>2</v>
      </c>
      <c r="E24" s="147">
        <v>0</v>
      </c>
      <c r="F24" s="147">
        <v>2</v>
      </c>
      <c r="G24" s="147">
        <v>0</v>
      </c>
      <c r="I24" s="110" t="s">
        <v>138</v>
      </c>
    </row>
    <row r="25" spans="2:31" ht="15.6" customHeight="1" x14ac:dyDescent="0.3">
      <c r="I25" s="138" t="s">
        <v>137</v>
      </c>
      <c r="N25" s="110" t="s">
        <v>144</v>
      </c>
    </row>
    <row r="26" spans="2:31" ht="15.6" customHeight="1" x14ac:dyDescent="0.3">
      <c r="I26" s="145">
        <v>0</v>
      </c>
      <c r="N26" s="138" t="s">
        <v>124</v>
      </c>
      <c r="O26" s="130" cm="1">
        <f t="array" ref="O26:AA26">TRANSPOSE(I26:I38)</f>
        <v>0</v>
      </c>
      <c r="P26" s="130">
        <v>2</v>
      </c>
      <c r="Q26" s="130">
        <v>3</v>
      </c>
      <c r="R26" s="130">
        <v>5</v>
      </c>
      <c r="S26" s="130">
        <v>8</v>
      </c>
      <c r="T26" s="130">
        <v>10</v>
      </c>
      <c r="U26" s="130">
        <v>15</v>
      </c>
      <c r="V26" s="130">
        <v>20</v>
      </c>
      <c r="W26" s="130">
        <v>25</v>
      </c>
      <c r="X26" s="130">
        <v>50</v>
      </c>
      <c r="Y26" s="130">
        <v>100</v>
      </c>
      <c r="Z26" s="130">
        <v>500</v>
      </c>
      <c r="AA26" s="130">
        <v>1000</v>
      </c>
    </row>
    <row r="27" spans="2:31" ht="15.6" customHeight="1" x14ac:dyDescent="0.3">
      <c r="I27" s="146">
        <v>2</v>
      </c>
      <c r="N27" s="150" t="s">
        <v>122</v>
      </c>
      <c r="O27" s="209">
        <f t="shared" ref="O27:O33" si="3">10000-SUM(P27:AA27)</f>
        <v>10000</v>
      </c>
      <c r="P27" s="209">
        <v>0</v>
      </c>
      <c r="Q27" s="209">
        <v>0</v>
      </c>
      <c r="R27" s="209">
        <v>0</v>
      </c>
      <c r="S27" s="209">
        <v>0</v>
      </c>
      <c r="T27" s="209">
        <v>0</v>
      </c>
      <c r="U27" s="209">
        <v>0</v>
      </c>
      <c r="V27" s="209">
        <v>0</v>
      </c>
      <c r="W27" s="209">
        <v>0</v>
      </c>
      <c r="X27" s="209">
        <v>0</v>
      </c>
      <c r="Y27" s="209">
        <v>0</v>
      </c>
      <c r="Z27" s="209">
        <v>0</v>
      </c>
      <c r="AA27" s="209">
        <v>0</v>
      </c>
      <c r="AB27" s="151" cm="1">
        <f t="array" ref="AB27">SUMPRODUCT(O27:AA27/SUM(O27:AA27),$O$4:$AA$4)</f>
        <v>0</v>
      </c>
    </row>
    <row r="28" spans="2:31" x14ac:dyDescent="0.3">
      <c r="I28" s="146">
        <v>3</v>
      </c>
      <c r="N28" s="137" t="s">
        <v>123</v>
      </c>
      <c r="O28" s="209">
        <f t="shared" si="3"/>
        <v>0</v>
      </c>
      <c r="P28" s="131">
        <f>10000-SUM(Q28:AA28)</f>
        <v>3500</v>
      </c>
      <c r="Q28" s="131">
        <v>3400</v>
      </c>
      <c r="R28" s="131">
        <v>1500</v>
      </c>
      <c r="S28" s="131">
        <v>1500</v>
      </c>
      <c r="T28" s="132">
        <v>20</v>
      </c>
      <c r="U28" s="132">
        <v>20</v>
      </c>
      <c r="V28" s="132">
        <v>5</v>
      </c>
      <c r="W28" s="132">
        <v>5</v>
      </c>
      <c r="X28" s="132">
        <v>5</v>
      </c>
      <c r="Y28" s="132">
        <v>20</v>
      </c>
      <c r="Z28" s="132">
        <v>5</v>
      </c>
      <c r="AA28" s="132">
        <v>20</v>
      </c>
      <c r="AB28" s="151" cm="1">
        <f t="array" ref="AB28">SUMPRODUCT(O28:AA28/SUM(O28:AA28),$O$4:$AA$4)</f>
        <v>6.2174999999999994</v>
      </c>
    </row>
    <row r="29" spans="2:31" x14ac:dyDescent="0.3">
      <c r="I29" s="146">
        <v>5</v>
      </c>
      <c r="N29" s="137" t="s">
        <v>134</v>
      </c>
      <c r="O29" s="209">
        <f t="shared" si="3"/>
        <v>10000</v>
      </c>
      <c r="P29" s="209">
        <v>0</v>
      </c>
      <c r="Q29" s="209">
        <v>0</v>
      </c>
      <c r="R29" s="209">
        <v>0</v>
      </c>
      <c r="S29" s="209">
        <v>0</v>
      </c>
      <c r="T29" s="209">
        <v>0</v>
      </c>
      <c r="U29" s="209">
        <v>0</v>
      </c>
      <c r="V29" s="209">
        <v>0</v>
      </c>
      <c r="W29" s="209">
        <v>0</v>
      </c>
      <c r="X29" s="209">
        <v>0</v>
      </c>
      <c r="Y29" s="209">
        <v>0</v>
      </c>
      <c r="Z29" s="209">
        <v>0</v>
      </c>
      <c r="AA29" s="209">
        <v>0</v>
      </c>
      <c r="AB29" s="151" cm="1">
        <f t="array" ref="AB29">SUMPRODUCT(O29:AA29/SUM(O29:AA29),$O$4:$AA$4)</f>
        <v>0</v>
      </c>
      <c r="AD29" s="166"/>
      <c r="AE29" s="166"/>
    </row>
    <row r="30" spans="2:31" x14ac:dyDescent="0.3">
      <c r="I30" s="146">
        <v>8</v>
      </c>
      <c r="N30" s="137" t="s">
        <v>114</v>
      </c>
      <c r="O30" s="209">
        <f t="shared" si="3"/>
        <v>0</v>
      </c>
      <c r="P30" s="131">
        <f>10000-SUM(Q30:AA30)</f>
        <v>5800</v>
      </c>
      <c r="Q30" s="132">
        <v>2800</v>
      </c>
      <c r="R30" s="132">
        <v>900</v>
      </c>
      <c r="S30" s="132">
        <v>300</v>
      </c>
      <c r="T30" s="132">
        <v>20</v>
      </c>
      <c r="U30" s="132">
        <v>20</v>
      </c>
      <c r="V30" s="132">
        <v>5</v>
      </c>
      <c r="W30" s="132">
        <v>5</v>
      </c>
      <c r="X30" s="132">
        <v>5</v>
      </c>
      <c r="Y30" s="132">
        <v>70</v>
      </c>
      <c r="Z30" s="132">
        <v>5</v>
      </c>
      <c r="AA30" s="132">
        <v>70</v>
      </c>
      <c r="AB30" s="151" cm="1">
        <f t="array" ref="AB30">SUMPRODUCT(O30:AA30/SUM(O30:AA30),$O$4:$AA$4)</f>
        <v>10.737500000000001</v>
      </c>
    </row>
    <row r="31" spans="2:31" x14ac:dyDescent="0.3">
      <c r="I31" s="146">
        <v>10</v>
      </c>
      <c r="N31" s="137" t="s">
        <v>116</v>
      </c>
      <c r="O31" s="209">
        <f t="shared" si="3"/>
        <v>0</v>
      </c>
      <c r="P31" s="131">
        <f t="shared" ref="P31:P32" si="4">10000-SUM(Q31:AA31)</f>
        <v>5880</v>
      </c>
      <c r="Q31" s="132">
        <v>2800</v>
      </c>
      <c r="R31" s="132">
        <v>900</v>
      </c>
      <c r="S31" s="132">
        <v>300</v>
      </c>
      <c r="T31" s="132">
        <v>20</v>
      </c>
      <c r="U31" s="132">
        <v>20</v>
      </c>
      <c r="V31" s="132">
        <v>5</v>
      </c>
      <c r="W31" s="132">
        <v>5</v>
      </c>
      <c r="X31" s="132">
        <v>5</v>
      </c>
      <c r="Y31" s="132">
        <v>30</v>
      </c>
      <c r="Z31" s="132">
        <v>5</v>
      </c>
      <c r="AA31" s="132">
        <v>30</v>
      </c>
      <c r="AB31" s="151" cm="1">
        <f t="array" ref="AB31">SUMPRODUCT(O31:AA31/SUM(O31:AA31),$O$4:$AA$4)</f>
        <v>6.3535000000000004</v>
      </c>
      <c r="AD31" s="166"/>
      <c r="AE31" s="166"/>
    </row>
    <row r="32" spans="2:31" x14ac:dyDescent="0.3">
      <c r="I32" s="146">
        <v>15</v>
      </c>
      <c r="N32" s="137" t="s">
        <v>118</v>
      </c>
      <c r="O32" s="209">
        <f t="shared" si="3"/>
        <v>0</v>
      </c>
      <c r="P32" s="131">
        <f t="shared" si="4"/>
        <v>5900</v>
      </c>
      <c r="Q32" s="132">
        <v>2800</v>
      </c>
      <c r="R32" s="132">
        <v>900</v>
      </c>
      <c r="S32" s="132">
        <v>300</v>
      </c>
      <c r="T32" s="132">
        <v>20</v>
      </c>
      <c r="U32" s="132">
        <v>20</v>
      </c>
      <c r="V32" s="132">
        <v>5</v>
      </c>
      <c r="W32" s="132">
        <v>5</v>
      </c>
      <c r="X32" s="132">
        <v>5</v>
      </c>
      <c r="Y32" s="132">
        <v>20</v>
      </c>
      <c r="Z32" s="132">
        <v>5</v>
      </c>
      <c r="AA32" s="132">
        <v>20</v>
      </c>
      <c r="AB32" s="151" cm="1">
        <f t="array" ref="AB32">SUMPRODUCT(O32:AA32/SUM(O32:AA32),$O$4:$AA$4)</f>
        <v>5.2575000000000003</v>
      </c>
      <c r="AD32" s="166"/>
      <c r="AE32" s="166"/>
    </row>
    <row r="33" spans="9:31" x14ac:dyDescent="0.3">
      <c r="I33" s="146">
        <v>20</v>
      </c>
      <c r="N33" s="137" t="s">
        <v>133</v>
      </c>
      <c r="O33" s="209">
        <f t="shared" si="3"/>
        <v>10000</v>
      </c>
      <c r="P33" s="209">
        <v>0</v>
      </c>
      <c r="Q33" s="209">
        <v>0</v>
      </c>
      <c r="R33" s="209">
        <v>0</v>
      </c>
      <c r="S33" s="209">
        <v>0</v>
      </c>
      <c r="T33" s="209">
        <v>0</v>
      </c>
      <c r="U33" s="209">
        <v>0</v>
      </c>
      <c r="V33" s="209">
        <v>0</v>
      </c>
      <c r="W33" s="209">
        <v>0</v>
      </c>
      <c r="X33" s="209">
        <v>0</v>
      </c>
      <c r="Y33" s="209">
        <v>0</v>
      </c>
      <c r="Z33" s="209">
        <v>0</v>
      </c>
      <c r="AA33" s="209">
        <v>0</v>
      </c>
      <c r="AB33" s="151" cm="1">
        <f t="array" ref="AB33">SUMPRODUCT(O33:AA33/SUM(O33:AA33),$O$4:$AA$4)</f>
        <v>0</v>
      </c>
      <c r="AD33" s="166"/>
      <c r="AE33" s="166"/>
    </row>
    <row r="34" spans="9:31" x14ac:dyDescent="0.3">
      <c r="I34" s="146">
        <v>25</v>
      </c>
    </row>
    <row r="35" spans="9:31" x14ac:dyDescent="0.3">
      <c r="I35" s="146">
        <v>50</v>
      </c>
    </row>
    <row r="36" spans="9:31" x14ac:dyDescent="0.3">
      <c r="I36" s="146">
        <v>100</v>
      </c>
      <c r="N36" s="110" t="s">
        <v>129</v>
      </c>
    </row>
    <row r="37" spans="9:31" x14ac:dyDescent="0.3">
      <c r="I37" s="146">
        <v>500</v>
      </c>
      <c r="N37" s="138" t="s">
        <v>124</v>
      </c>
      <c r="O37" s="130" cm="1">
        <f t="array" ref="O37:AA37">TRANSPOSE(I26:I38)</f>
        <v>0</v>
      </c>
      <c r="P37" s="130">
        <v>2</v>
      </c>
      <c r="Q37" s="130">
        <v>3</v>
      </c>
      <c r="R37" s="130">
        <v>5</v>
      </c>
      <c r="S37" s="130">
        <v>8</v>
      </c>
      <c r="T37" s="130">
        <v>10</v>
      </c>
      <c r="U37" s="130">
        <v>15</v>
      </c>
      <c r="V37" s="130">
        <v>20</v>
      </c>
      <c r="W37" s="130">
        <v>25</v>
      </c>
      <c r="X37" s="130">
        <v>50</v>
      </c>
      <c r="Y37" s="130">
        <v>100</v>
      </c>
      <c r="Z37" s="130">
        <v>500</v>
      </c>
      <c r="AA37" s="130">
        <v>1000</v>
      </c>
    </row>
    <row r="38" spans="9:31" x14ac:dyDescent="0.3">
      <c r="I38" s="146">
        <v>1000</v>
      </c>
      <c r="N38" s="137" t="s">
        <v>122</v>
      </c>
      <c r="O38" s="131">
        <f t="shared" ref="O38:O44" si="5">10000-SUM(P38:AA38)</f>
        <v>8500</v>
      </c>
      <c r="P38" s="131">
        <v>500</v>
      </c>
      <c r="Q38" s="131">
        <v>400</v>
      </c>
      <c r="R38" s="131">
        <v>300</v>
      </c>
      <c r="S38" s="131">
        <v>300</v>
      </c>
      <c r="T38" s="209">
        <v>0</v>
      </c>
      <c r="U38" s="209">
        <v>0</v>
      </c>
      <c r="V38" s="209">
        <v>0</v>
      </c>
      <c r="W38" s="209">
        <v>0</v>
      </c>
      <c r="X38" s="209">
        <v>0</v>
      </c>
      <c r="Y38" s="209">
        <v>0</v>
      </c>
      <c r="Z38" s="209">
        <v>0</v>
      </c>
      <c r="AA38" s="209">
        <v>0</v>
      </c>
      <c r="AB38" s="151" cm="1">
        <f t="array" ref="AB38">SUMPRODUCT(P38:AA38/SUM(P38:AA38),$P$4:$AA$4)</f>
        <v>4.0666666666666664</v>
      </c>
      <c r="AC38" s="151"/>
      <c r="AD38" s="166"/>
      <c r="AE38" s="166"/>
    </row>
    <row r="39" spans="9:31" x14ac:dyDescent="0.3">
      <c r="N39" s="137" t="s">
        <v>123</v>
      </c>
      <c r="O39" s="131">
        <f t="shared" si="5"/>
        <v>8500</v>
      </c>
      <c r="P39" s="131">
        <v>500</v>
      </c>
      <c r="Q39" s="131">
        <v>400</v>
      </c>
      <c r="R39" s="131">
        <v>300</v>
      </c>
      <c r="S39" s="131">
        <v>300</v>
      </c>
      <c r="T39" s="209">
        <v>0</v>
      </c>
      <c r="U39" s="209">
        <v>0</v>
      </c>
      <c r="V39" s="209">
        <v>0</v>
      </c>
      <c r="W39" s="209">
        <v>0</v>
      </c>
      <c r="X39" s="209">
        <v>0</v>
      </c>
      <c r="Y39" s="209">
        <v>0</v>
      </c>
      <c r="Z39" s="209">
        <v>0</v>
      </c>
      <c r="AA39" s="209">
        <v>0</v>
      </c>
      <c r="AB39" s="151" cm="1">
        <f t="array" ref="AB39">SUMPRODUCT(P39:AA39/SUM(P39:AA39),$P$4:$AA$4)</f>
        <v>4.0666666666666664</v>
      </c>
      <c r="AC39" s="151"/>
      <c r="AD39" s="166"/>
      <c r="AE39" s="166"/>
    </row>
    <row r="40" spans="9:31" x14ac:dyDescent="0.3">
      <c r="N40" s="137" t="s">
        <v>134</v>
      </c>
      <c r="O40" s="132">
        <f t="shared" si="5"/>
        <v>8500</v>
      </c>
      <c r="P40" s="131">
        <v>500</v>
      </c>
      <c r="Q40" s="131">
        <v>400</v>
      </c>
      <c r="R40" s="131">
        <v>300</v>
      </c>
      <c r="S40" s="131">
        <v>300</v>
      </c>
      <c r="T40" s="209">
        <v>0</v>
      </c>
      <c r="U40" s="209">
        <v>0</v>
      </c>
      <c r="V40" s="209">
        <v>0</v>
      </c>
      <c r="W40" s="209">
        <v>0</v>
      </c>
      <c r="X40" s="209">
        <v>0</v>
      </c>
      <c r="Y40" s="209">
        <v>0</v>
      </c>
      <c r="Z40" s="209">
        <v>0</v>
      </c>
      <c r="AA40" s="209">
        <v>0</v>
      </c>
      <c r="AB40" s="151" cm="1">
        <f t="array" ref="AB40">SUMPRODUCT(P40:AA40/SUM(P40:AA40),$P$4:$AA$4)</f>
        <v>4.0666666666666664</v>
      </c>
      <c r="AC40" s="151"/>
      <c r="AD40" s="166"/>
      <c r="AE40" s="166"/>
    </row>
    <row r="41" spans="9:31" x14ac:dyDescent="0.3">
      <c r="I41" s="17" t="s">
        <v>141</v>
      </c>
      <c r="J41" s="17"/>
      <c r="K41" s="17"/>
      <c r="N41" s="137" t="s">
        <v>114</v>
      </c>
      <c r="O41" s="132">
        <f t="shared" si="5"/>
        <v>6710</v>
      </c>
      <c r="P41" s="131">
        <v>2100</v>
      </c>
      <c r="Q41" s="131">
        <v>860</v>
      </c>
      <c r="R41" s="132">
        <v>220</v>
      </c>
      <c r="S41" s="132">
        <v>110</v>
      </c>
      <c r="T41" s="210">
        <v>0</v>
      </c>
      <c r="U41" s="210">
        <v>0</v>
      </c>
      <c r="V41" s="210">
        <v>0</v>
      </c>
      <c r="W41" s="210">
        <v>0</v>
      </c>
      <c r="X41" s="210">
        <v>0</v>
      </c>
      <c r="Y41" s="210">
        <v>0</v>
      </c>
      <c r="Z41" s="210">
        <v>0</v>
      </c>
      <c r="AA41" s="210">
        <v>0</v>
      </c>
      <c r="AB41" s="151" cm="1">
        <f t="array" ref="AB41">SUMPRODUCT(P41:AA41/SUM(P41:AA41),$P$4:$AA$4)</f>
        <v>2.6626139817629175</v>
      </c>
      <c r="AC41" s="151"/>
      <c r="AD41" s="166"/>
      <c r="AE41" s="166"/>
    </row>
    <row r="42" spans="9:31" x14ac:dyDescent="0.3">
      <c r="I42" s="129"/>
      <c r="J42" s="130" t="s">
        <v>142</v>
      </c>
      <c r="K42" s="130" t="s">
        <v>97</v>
      </c>
      <c r="N42" s="137" t="s">
        <v>116</v>
      </c>
      <c r="O42" s="132">
        <f t="shared" si="5"/>
        <v>6710</v>
      </c>
      <c r="P42" s="131">
        <v>2100</v>
      </c>
      <c r="Q42" s="131">
        <v>860</v>
      </c>
      <c r="R42" s="132">
        <v>220</v>
      </c>
      <c r="S42" s="132">
        <v>110</v>
      </c>
      <c r="T42" s="210">
        <v>0</v>
      </c>
      <c r="U42" s="210">
        <v>0</v>
      </c>
      <c r="V42" s="210">
        <v>0</v>
      </c>
      <c r="W42" s="210">
        <v>0</v>
      </c>
      <c r="X42" s="210">
        <v>0</v>
      </c>
      <c r="Y42" s="210">
        <v>0</v>
      </c>
      <c r="Z42" s="210">
        <v>0</v>
      </c>
      <c r="AA42" s="210">
        <v>0</v>
      </c>
      <c r="AB42" s="151" cm="1">
        <f t="array" ref="AB42">SUMPRODUCT(P42:AA42/SUM(P42:AA42),$P$4:$AA$4)</f>
        <v>2.6626139817629175</v>
      </c>
      <c r="AC42" s="151"/>
      <c r="AD42" s="166"/>
      <c r="AE42" s="166"/>
    </row>
    <row r="43" spans="9:31" x14ac:dyDescent="0.3">
      <c r="I43" s="120" t="s">
        <v>49</v>
      </c>
      <c r="J43" s="131">
        <v>10</v>
      </c>
      <c r="K43" s="131">
        <v>0</v>
      </c>
      <c r="N43" s="137" t="s">
        <v>118</v>
      </c>
      <c r="O43" s="132">
        <f t="shared" si="5"/>
        <v>6710</v>
      </c>
      <c r="P43" s="131">
        <v>2100</v>
      </c>
      <c r="Q43" s="131">
        <v>860</v>
      </c>
      <c r="R43" s="132">
        <v>220</v>
      </c>
      <c r="S43" s="132">
        <v>110</v>
      </c>
      <c r="T43" s="210">
        <v>0</v>
      </c>
      <c r="U43" s="210">
        <v>0</v>
      </c>
      <c r="V43" s="210">
        <v>0</v>
      </c>
      <c r="W43" s="210">
        <v>0</v>
      </c>
      <c r="X43" s="210">
        <v>0</v>
      </c>
      <c r="Y43" s="210">
        <v>0</v>
      </c>
      <c r="Z43" s="210">
        <v>0</v>
      </c>
      <c r="AA43" s="210">
        <v>0</v>
      </c>
      <c r="AB43" s="151" cm="1">
        <f t="array" ref="AB43">SUMPRODUCT(P43:AA43/SUM(P43:AA43),$P$4:$AA$4)</f>
        <v>2.6626139817629175</v>
      </c>
      <c r="AC43" s="151"/>
      <c r="AD43" s="166"/>
      <c r="AE43" s="166"/>
    </row>
    <row r="44" spans="9:31" x14ac:dyDescent="0.3">
      <c r="I44" s="120" t="s">
        <v>50</v>
      </c>
      <c r="J44" s="132">
        <v>10</v>
      </c>
      <c r="K44" s="132">
        <v>0</v>
      </c>
      <c r="N44" s="137" t="s">
        <v>133</v>
      </c>
      <c r="O44" s="210">
        <f t="shared" si="5"/>
        <v>10000</v>
      </c>
      <c r="P44" s="209">
        <v>0</v>
      </c>
      <c r="Q44" s="209">
        <v>0</v>
      </c>
      <c r="R44" s="209">
        <v>0</v>
      </c>
      <c r="S44" s="209">
        <v>0</v>
      </c>
      <c r="T44" s="209">
        <v>0</v>
      </c>
      <c r="U44" s="209">
        <v>0</v>
      </c>
      <c r="V44" s="209">
        <v>0</v>
      </c>
      <c r="W44" s="209">
        <v>0</v>
      </c>
      <c r="X44" s="209">
        <v>0</v>
      </c>
      <c r="Y44" s="209">
        <v>0</v>
      </c>
      <c r="Z44" s="209">
        <v>0</v>
      </c>
      <c r="AA44" s="209">
        <v>0</v>
      </c>
      <c r="AB44" s="151" t="e" cm="1">
        <f t="array" ref="AB44">SUMPRODUCT(P44:AA44/SUM(P44:AA44),$P$4:$AA$4)</f>
        <v>#DIV/0!</v>
      </c>
      <c r="AC44" s="151"/>
      <c r="AD44" s="166"/>
      <c r="AE44" s="166"/>
    </row>
    <row r="46" spans="9:31" x14ac:dyDescent="0.3">
      <c r="P46" s="172"/>
      <c r="Q46" s="172"/>
      <c r="R46" s="172"/>
      <c r="S46" s="172"/>
    </row>
    <row r="47" spans="9:31" x14ac:dyDescent="0.3">
      <c r="N47" s="110" t="s">
        <v>128</v>
      </c>
      <c r="T47" s="17">
        <f>10000/SUM(T52:AA52)</f>
        <v>50</v>
      </c>
    </row>
    <row r="48" spans="9:31" x14ac:dyDescent="0.3">
      <c r="N48" s="138" t="s">
        <v>124</v>
      </c>
      <c r="O48" s="130" cm="1">
        <f t="array" ref="O48:AA48">TRANSPOSE(I26:I38)</f>
        <v>0</v>
      </c>
      <c r="P48" s="130">
        <v>2</v>
      </c>
      <c r="Q48" s="130">
        <v>3</v>
      </c>
      <c r="R48" s="130">
        <v>5</v>
      </c>
      <c r="S48" s="130">
        <v>8</v>
      </c>
      <c r="T48" s="130">
        <v>10</v>
      </c>
      <c r="U48" s="130">
        <v>15</v>
      </c>
      <c r="V48" s="130">
        <v>20</v>
      </c>
      <c r="W48" s="130">
        <v>25</v>
      </c>
      <c r="X48" s="130">
        <v>50</v>
      </c>
      <c r="Y48" s="130">
        <v>100</v>
      </c>
      <c r="Z48" s="130">
        <v>500</v>
      </c>
      <c r="AA48" s="130">
        <v>1000</v>
      </c>
    </row>
    <row r="49" spans="14:31" x14ac:dyDescent="0.3">
      <c r="N49" s="137" t="s">
        <v>122</v>
      </c>
      <c r="O49" s="131">
        <f t="shared" ref="O49:O55" si="6">10000-SUM(P49:AA49)</f>
        <v>8400</v>
      </c>
      <c r="P49" s="131">
        <v>500</v>
      </c>
      <c r="Q49" s="131">
        <v>400</v>
      </c>
      <c r="R49" s="131">
        <v>300</v>
      </c>
      <c r="S49" s="131">
        <v>300</v>
      </c>
      <c r="T49" s="132">
        <v>20</v>
      </c>
      <c r="U49" s="132">
        <v>20</v>
      </c>
      <c r="V49" s="132">
        <v>5</v>
      </c>
      <c r="W49" s="132">
        <v>5</v>
      </c>
      <c r="X49" s="132">
        <v>5</v>
      </c>
      <c r="Y49" s="132">
        <v>20</v>
      </c>
      <c r="Z49" s="132">
        <v>5</v>
      </c>
      <c r="AA49" s="132">
        <v>20</v>
      </c>
      <c r="AB49" s="151" cm="1">
        <f t="array" ref="AB49">SUMPRODUCT(P49:AA49/SUM(P49:AA49),$P$4:$AA$4)</f>
        <v>19.734375</v>
      </c>
      <c r="AC49" s="151"/>
      <c r="AD49" s="166"/>
      <c r="AE49" s="166"/>
    </row>
    <row r="50" spans="14:31" x14ac:dyDescent="0.3">
      <c r="N50" s="137" t="s">
        <v>123</v>
      </c>
      <c r="O50" s="131">
        <f t="shared" si="6"/>
        <v>8400</v>
      </c>
      <c r="P50" s="131">
        <v>500</v>
      </c>
      <c r="Q50" s="131">
        <v>400</v>
      </c>
      <c r="R50" s="131">
        <v>300</v>
      </c>
      <c r="S50" s="131">
        <v>300</v>
      </c>
      <c r="T50" s="132">
        <v>20</v>
      </c>
      <c r="U50" s="132">
        <v>20</v>
      </c>
      <c r="V50" s="132">
        <v>5</v>
      </c>
      <c r="W50" s="132">
        <v>5</v>
      </c>
      <c r="X50" s="132">
        <v>5</v>
      </c>
      <c r="Y50" s="132">
        <v>20</v>
      </c>
      <c r="Z50" s="132">
        <v>5</v>
      </c>
      <c r="AA50" s="132">
        <v>20</v>
      </c>
      <c r="AB50" s="151" cm="1">
        <f t="array" ref="AB50">SUMPRODUCT(P50:AA50/SUM(P50:AA50),$P$4:$AA$4)</f>
        <v>19.734375</v>
      </c>
      <c r="AC50" s="151"/>
      <c r="AD50" s="166"/>
      <c r="AE50" s="166"/>
    </row>
    <row r="51" spans="14:31" x14ac:dyDescent="0.3">
      <c r="N51" s="137" t="s">
        <v>134</v>
      </c>
      <c r="O51" s="131">
        <f t="shared" si="6"/>
        <v>8500</v>
      </c>
      <c r="P51" s="131">
        <v>500</v>
      </c>
      <c r="Q51" s="131">
        <v>400</v>
      </c>
      <c r="R51" s="131">
        <v>300</v>
      </c>
      <c r="S51" s="131">
        <v>300</v>
      </c>
      <c r="T51" s="209">
        <v>0</v>
      </c>
      <c r="U51" s="209">
        <v>0</v>
      </c>
      <c r="V51" s="209">
        <v>0</v>
      </c>
      <c r="W51" s="209">
        <v>0</v>
      </c>
      <c r="X51" s="209">
        <v>0</v>
      </c>
      <c r="Y51" s="209">
        <v>0</v>
      </c>
      <c r="Z51" s="209">
        <v>0</v>
      </c>
      <c r="AA51" s="209">
        <v>0</v>
      </c>
      <c r="AB51" s="151" cm="1">
        <f t="array" ref="AB51">SUMPRODUCT(P51:AA51/SUM(P51:AA51),$P$4:$AA$4)</f>
        <v>4.0666666666666664</v>
      </c>
      <c r="AC51" s="151"/>
      <c r="AD51" s="166"/>
      <c r="AE51" s="166"/>
    </row>
    <row r="52" spans="14:31" x14ac:dyDescent="0.3">
      <c r="N52" s="137" t="s">
        <v>114</v>
      </c>
      <c r="O52" s="131">
        <f t="shared" si="6"/>
        <v>6550</v>
      </c>
      <c r="P52" s="131">
        <v>2000</v>
      </c>
      <c r="Q52" s="131">
        <v>1000</v>
      </c>
      <c r="R52" s="132">
        <v>200</v>
      </c>
      <c r="S52" s="132">
        <v>50</v>
      </c>
      <c r="T52" s="132">
        <v>20</v>
      </c>
      <c r="U52" s="132">
        <v>20</v>
      </c>
      <c r="V52" s="132">
        <v>5</v>
      </c>
      <c r="W52" s="132">
        <v>5</v>
      </c>
      <c r="X52" s="132">
        <v>5</v>
      </c>
      <c r="Y52" s="132">
        <v>70</v>
      </c>
      <c r="Z52" s="132">
        <v>5</v>
      </c>
      <c r="AA52" s="132">
        <v>70</v>
      </c>
      <c r="AB52" s="151" cm="1">
        <f t="array" ref="AB52">SUMPRODUCT(P52:AA52/SUM(P52:AA52),$P$4:$AA$4)</f>
        <v>25.760869565217391</v>
      </c>
      <c r="AC52" s="151"/>
      <c r="AD52" s="166"/>
      <c r="AE52" s="166"/>
    </row>
    <row r="53" spans="14:31" x14ac:dyDescent="0.3">
      <c r="N53" s="137" t="s">
        <v>116</v>
      </c>
      <c r="O53" s="131">
        <f t="shared" si="6"/>
        <v>6630</v>
      </c>
      <c r="P53" s="131">
        <v>2000</v>
      </c>
      <c r="Q53" s="131">
        <v>1000</v>
      </c>
      <c r="R53" s="132">
        <v>200</v>
      </c>
      <c r="S53" s="132">
        <v>50</v>
      </c>
      <c r="T53" s="132">
        <v>20</v>
      </c>
      <c r="U53" s="132">
        <v>20</v>
      </c>
      <c r="V53" s="132">
        <v>5</v>
      </c>
      <c r="W53" s="132">
        <v>5</v>
      </c>
      <c r="X53" s="132">
        <v>5</v>
      </c>
      <c r="Y53" s="132">
        <v>30</v>
      </c>
      <c r="Z53" s="132">
        <v>5</v>
      </c>
      <c r="AA53" s="132">
        <v>30</v>
      </c>
      <c r="AB53" s="151" cm="1">
        <f t="array" ref="AB53">SUMPRODUCT(P53:AA53/SUM(P53:AA53),$P$4:$AA$4)</f>
        <v>13.316023738872405</v>
      </c>
      <c r="AC53" s="151"/>
      <c r="AD53" s="166"/>
      <c r="AE53" s="166"/>
    </row>
    <row r="54" spans="14:31" x14ac:dyDescent="0.3">
      <c r="N54" s="137" t="s">
        <v>118</v>
      </c>
      <c r="O54" s="131">
        <f t="shared" si="6"/>
        <v>6650</v>
      </c>
      <c r="P54" s="131">
        <v>2000</v>
      </c>
      <c r="Q54" s="131">
        <v>1000</v>
      </c>
      <c r="R54" s="132">
        <v>200</v>
      </c>
      <c r="S54" s="132">
        <v>50</v>
      </c>
      <c r="T54" s="132">
        <v>20</v>
      </c>
      <c r="U54" s="132">
        <v>20</v>
      </c>
      <c r="V54" s="132">
        <v>5</v>
      </c>
      <c r="W54" s="132">
        <v>5</v>
      </c>
      <c r="X54" s="132">
        <v>5</v>
      </c>
      <c r="Y54" s="132">
        <v>20</v>
      </c>
      <c r="Z54" s="132">
        <v>5</v>
      </c>
      <c r="AA54" s="132">
        <v>20</v>
      </c>
      <c r="AB54" s="151" cm="1">
        <f t="array" ref="AB54">SUMPRODUCT(P54:AA54/SUM(P54:AA54),$P$4:$AA$4)</f>
        <v>10.111940298507463</v>
      </c>
      <c r="AC54" s="151"/>
      <c r="AD54" s="166"/>
      <c r="AE54" s="166"/>
    </row>
    <row r="55" spans="14:31" x14ac:dyDescent="0.3">
      <c r="N55" s="137" t="s">
        <v>133</v>
      </c>
      <c r="O55" s="210">
        <f t="shared" si="6"/>
        <v>10000</v>
      </c>
      <c r="P55" s="209">
        <v>0</v>
      </c>
      <c r="Q55" s="209">
        <v>0</v>
      </c>
      <c r="R55" s="209">
        <v>0</v>
      </c>
      <c r="S55" s="209">
        <v>0</v>
      </c>
      <c r="T55" s="209">
        <v>0</v>
      </c>
      <c r="U55" s="209">
        <v>0</v>
      </c>
      <c r="V55" s="209">
        <v>0</v>
      </c>
      <c r="W55" s="209">
        <v>0</v>
      </c>
      <c r="X55" s="209">
        <v>0</v>
      </c>
      <c r="Y55" s="209">
        <v>0</v>
      </c>
      <c r="Z55" s="209">
        <v>0</v>
      </c>
      <c r="AA55" s="209">
        <v>0</v>
      </c>
      <c r="AB55" s="151" t="e" cm="1">
        <f t="array" ref="AB55">SUMPRODUCT(P55:AA55/SUM(P55:AA55),$P$4:$AA$4)</f>
        <v>#DIV/0!</v>
      </c>
      <c r="AC55" s="151"/>
      <c r="AD55" s="166"/>
      <c r="AE55" s="166"/>
    </row>
    <row r="70" spans="28:28" x14ac:dyDescent="0.3">
      <c r="AB70" s="17"/>
    </row>
    <row r="71" spans="28:28" x14ac:dyDescent="0.3">
      <c r="AB71" s="17"/>
    </row>
    <row r="72" spans="28:28" x14ac:dyDescent="0.3">
      <c r="AB72" s="17"/>
    </row>
    <row r="73" spans="28:28" x14ac:dyDescent="0.3">
      <c r="AB73" s="17"/>
    </row>
    <row r="74" spans="28:28" x14ac:dyDescent="0.3">
      <c r="AB74" s="17"/>
    </row>
    <row r="75" spans="28:28" x14ac:dyDescent="0.3">
      <c r="AB75" s="17"/>
    </row>
    <row r="76" spans="28:28" x14ac:dyDescent="0.3">
      <c r="AB76" s="17"/>
    </row>
    <row r="77" spans="28:28" x14ac:dyDescent="0.3">
      <c r="AB77" s="17"/>
    </row>
    <row r="78" spans="28:28" x14ac:dyDescent="0.3">
      <c r="AB78" s="17"/>
    </row>
    <row r="79" spans="28:28" x14ac:dyDescent="0.3">
      <c r="AB79" s="17"/>
    </row>
    <row r="80" spans="28:28" x14ac:dyDescent="0.3">
      <c r="AB80" s="17"/>
    </row>
    <row r="81" spans="28:28" x14ac:dyDescent="0.3">
      <c r="AB81" s="17"/>
    </row>
    <row r="82" spans="28:28" x14ac:dyDescent="0.3">
      <c r="AB82" s="17"/>
    </row>
    <row r="83" spans="28:28" x14ac:dyDescent="0.3">
      <c r="AB83" s="17"/>
    </row>
    <row r="84" spans="28:28" x14ac:dyDescent="0.3">
      <c r="AB84" s="17"/>
    </row>
    <row r="85" spans="28:28" x14ac:dyDescent="0.3">
      <c r="AB85" s="17"/>
    </row>
    <row r="86" spans="28:28" x14ac:dyDescent="0.3">
      <c r="AB86" s="17"/>
    </row>
    <row r="87" spans="28:28" x14ac:dyDescent="0.3">
      <c r="AB87" s="17"/>
    </row>
    <row r="88" spans="28:28" x14ac:dyDescent="0.3">
      <c r="AB88" s="17"/>
    </row>
    <row r="89" spans="28:28" x14ac:dyDescent="0.3">
      <c r="AB89" s="17"/>
    </row>
    <row r="90" spans="28:28" x14ac:dyDescent="0.3">
      <c r="AB90" s="17"/>
    </row>
    <row r="91" spans="28:28" x14ac:dyDescent="0.3">
      <c r="AB91" s="17"/>
    </row>
    <row r="92" spans="28:28" x14ac:dyDescent="0.3">
      <c r="AB92" s="17"/>
    </row>
    <row r="93" spans="28:28" x14ac:dyDescent="0.3">
      <c r="AB93" s="17"/>
    </row>
    <row r="94" spans="28:28" x14ac:dyDescent="0.3">
      <c r="AB94" s="17"/>
    </row>
    <row r="95" spans="28:28" x14ac:dyDescent="0.3">
      <c r="AB95" s="17"/>
    </row>
    <row r="96" spans="28:28" x14ac:dyDescent="0.3">
      <c r="AB96" s="17"/>
    </row>
    <row r="97" spans="28:28" x14ac:dyDescent="0.3">
      <c r="AB97" s="17"/>
    </row>
    <row r="98" spans="28:28" x14ac:dyDescent="0.3">
      <c r="AB98" s="17"/>
    </row>
    <row r="99" spans="28:28" x14ac:dyDescent="0.3">
      <c r="AB99" s="17"/>
    </row>
    <row r="100" spans="28:28" x14ac:dyDescent="0.3">
      <c r="AB100" s="17"/>
    </row>
    <row r="101" spans="28:28" x14ac:dyDescent="0.3">
      <c r="AB101" s="17"/>
    </row>
    <row r="102" spans="28:28" x14ac:dyDescent="0.3">
      <c r="AB102" s="17"/>
    </row>
    <row r="103" spans="28:28" x14ac:dyDescent="0.3">
      <c r="AB103" s="17"/>
    </row>
    <row r="104" spans="28:28" x14ac:dyDescent="0.3">
      <c r="AB104" s="17"/>
    </row>
    <row r="105" spans="28:28" x14ac:dyDescent="0.3">
      <c r="AB105" s="17"/>
    </row>
    <row r="106" spans="28:28" x14ac:dyDescent="0.3">
      <c r="AB106" s="17"/>
    </row>
    <row r="107" spans="28:28" x14ac:dyDescent="0.3">
      <c r="AB107" s="17"/>
    </row>
    <row r="108" spans="28:28" x14ac:dyDescent="0.3">
      <c r="AB108" s="17"/>
    </row>
    <row r="109" spans="28:28" x14ac:dyDescent="0.3">
      <c r="AB109" s="17"/>
    </row>
    <row r="110" spans="28:28" x14ac:dyDescent="0.3">
      <c r="AB110" s="17"/>
    </row>
    <row r="111" spans="28:28" x14ac:dyDescent="0.3">
      <c r="AB111" s="17"/>
    </row>
    <row r="112" spans="28:28" x14ac:dyDescent="0.3">
      <c r="AB112" s="17"/>
    </row>
    <row r="113" spans="28:28" x14ac:dyDescent="0.3">
      <c r="AB113" s="17"/>
    </row>
    <row r="114" spans="28:28" x14ac:dyDescent="0.3">
      <c r="AB114" s="17"/>
    </row>
    <row r="115" spans="28:28" x14ac:dyDescent="0.3">
      <c r="AB115" s="17"/>
    </row>
    <row r="116" spans="28:28" x14ac:dyDescent="0.3">
      <c r="AB116" s="17"/>
    </row>
    <row r="117" spans="28:28" x14ac:dyDescent="0.3">
      <c r="AB117" s="17"/>
    </row>
    <row r="118" spans="28:28" x14ac:dyDescent="0.3">
      <c r="AB118" s="17"/>
    </row>
    <row r="119" spans="28:28" x14ac:dyDescent="0.3">
      <c r="AB119" s="17"/>
    </row>
    <row r="120" spans="28:28" x14ac:dyDescent="0.3">
      <c r="AB120" s="17"/>
    </row>
    <row r="121" spans="28:28" x14ac:dyDescent="0.3">
      <c r="AB121" s="17"/>
    </row>
    <row r="122" spans="28:28" x14ac:dyDescent="0.3">
      <c r="AB122" s="17"/>
    </row>
    <row r="123" spans="28:28" x14ac:dyDescent="0.3">
      <c r="AB123" s="17"/>
    </row>
    <row r="124" spans="28:28" x14ac:dyDescent="0.3">
      <c r="AB124" s="17"/>
    </row>
    <row r="125" spans="28:28" x14ac:dyDescent="0.3">
      <c r="AB125" s="17"/>
    </row>
    <row r="126" spans="28:28" x14ac:dyDescent="0.3">
      <c r="AB126" s="17"/>
    </row>
    <row r="127" spans="28:28" x14ac:dyDescent="0.3">
      <c r="AB127" s="17"/>
    </row>
    <row r="128" spans="28:28" x14ac:dyDescent="0.3">
      <c r="AB128" s="17"/>
    </row>
    <row r="129" spans="28:28" x14ac:dyDescent="0.3">
      <c r="AB129" s="17"/>
    </row>
    <row r="130" spans="28:28" hidden="1" x14ac:dyDescent="0.3">
      <c r="AB130" s="17"/>
    </row>
    <row r="131" spans="28:28" x14ac:dyDescent="0.3">
      <c r="AB131" s="17"/>
    </row>
    <row r="132" spans="28:28" x14ac:dyDescent="0.3">
      <c r="AB132" s="17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workbookViewId="0"/>
  </sheetViews>
  <sheetFormatPr defaultRowHeight="16.2" x14ac:dyDescent="0.3"/>
  <cols>
    <col min="1" max="1" width="8.88671875" style="24"/>
    <col min="2" max="2" width="27.109375" style="17" bestFit="1" customWidth="1"/>
    <col min="3" max="11" width="19.44140625" style="17" bestFit="1" customWidth="1"/>
  </cols>
  <sheetData>
    <row r="2" spans="2:11" x14ac:dyDescent="0.3">
      <c r="B2" s="17" t="s">
        <v>23</v>
      </c>
      <c r="C2" s="17" t="s">
        <v>284</v>
      </c>
      <c r="D2" s="17" t="s">
        <v>284</v>
      </c>
      <c r="E2" s="17" t="s">
        <v>284</v>
      </c>
      <c r="F2" s="17" t="s">
        <v>284</v>
      </c>
      <c r="G2" s="17" t="s">
        <v>283</v>
      </c>
      <c r="H2" s="17" t="s">
        <v>283</v>
      </c>
      <c r="I2" s="17" t="s">
        <v>283</v>
      </c>
      <c r="J2" s="17" t="s">
        <v>283</v>
      </c>
      <c r="K2" s="17" t="s">
        <v>283</v>
      </c>
    </row>
    <row r="3" spans="2:11" x14ac:dyDescent="0.3">
      <c r="B3" s="130" t="s">
        <v>327</v>
      </c>
      <c r="C3" s="130" t="s">
        <v>291</v>
      </c>
      <c r="D3" s="130" t="s">
        <v>292</v>
      </c>
      <c r="E3" s="130" t="s">
        <v>293</v>
      </c>
      <c r="F3" s="130" t="s">
        <v>294</v>
      </c>
      <c r="G3" s="130" t="s">
        <v>291</v>
      </c>
      <c r="H3" s="130" t="s">
        <v>292</v>
      </c>
      <c r="I3" s="130" t="s">
        <v>293</v>
      </c>
      <c r="J3" s="130" t="s">
        <v>294</v>
      </c>
      <c r="K3" s="130" t="s">
        <v>295</v>
      </c>
    </row>
    <row r="4" spans="2:11" x14ac:dyDescent="0.3">
      <c r="B4" s="183" t="s">
        <v>282</v>
      </c>
      <c r="C4" s="132" cm="1">
        <f t="array" ref="C4:C68">_xlfn.ANCHORARRAY(Multiplier_Weight_Newbie!L16)</f>
        <v>702890290</v>
      </c>
      <c r="D4" s="132" cm="1">
        <f t="array" ref="D4:D67">_xlfn.ANCHORARRAY(Multiplier_Weight_Newbie!L159)</f>
        <v>0</v>
      </c>
      <c r="E4" s="132" cm="1">
        <f t="array" ref="E4:E68">_xlfn.ANCHORARRAY(Multiplier_Weight_Newbie!L88)</f>
        <v>676821089</v>
      </c>
      <c r="F4" s="132" cm="1">
        <f t="array" ref="F4:F67">_xlfn.ANCHORARRAY(Multiplier_Weight_Newbie!L159)</f>
        <v>0</v>
      </c>
      <c r="G4" s="197" cm="1">
        <f t="array" ref="G4:G68">_xlfn.ANCHORARRAY(Multiplier_Weight_Oldhand!L16)</f>
        <v>716014122</v>
      </c>
      <c r="H4" s="197" cm="1">
        <f t="array" ref="H4:H67">_xlfn.ANCHORARRAY(Multiplier_Weight_Oldhand!L159)</f>
        <v>0</v>
      </c>
      <c r="I4" s="197" cm="1">
        <f t="array" ref="I4:I68">_xlfn.ANCHORARRAY(Multiplier_Weight_Oldhand!L88)</f>
        <v>711575053</v>
      </c>
      <c r="J4" s="197" cm="1">
        <f t="array" ref="J4:J67">_xlfn.ANCHORARRAY(Multiplier_Weight_Oldhand!L159)</f>
        <v>0</v>
      </c>
      <c r="K4" s="197" cm="1">
        <f t="array" ref="K4:K67">_xlfn.ANCHORARRAY(Multiplier_Weight_Oldhand!L229)</f>
        <v>0</v>
      </c>
    </row>
    <row r="5" spans="2:11" x14ac:dyDescent="0.3">
      <c r="B5" s="183" t="s">
        <v>281</v>
      </c>
      <c r="C5" s="132">
        <v>157569794</v>
      </c>
      <c r="D5" s="132">
        <v>0</v>
      </c>
      <c r="E5" s="132">
        <v>150531064</v>
      </c>
      <c r="F5" s="132">
        <v>0</v>
      </c>
      <c r="G5" s="197">
        <v>160511817</v>
      </c>
      <c r="H5" s="197">
        <v>0</v>
      </c>
      <c r="I5" s="197">
        <v>158260656</v>
      </c>
      <c r="J5" s="197">
        <v>0</v>
      </c>
      <c r="K5" s="197">
        <v>0</v>
      </c>
    </row>
    <row r="6" spans="2:11" x14ac:dyDescent="0.3">
      <c r="B6" s="183" t="s">
        <v>280</v>
      </c>
      <c r="C6" s="132">
        <v>44480229</v>
      </c>
      <c r="D6" s="132">
        <v>0</v>
      </c>
      <c r="E6" s="132">
        <v>42186452</v>
      </c>
      <c r="F6" s="132">
        <v>0</v>
      </c>
      <c r="G6" s="197">
        <v>45310730</v>
      </c>
      <c r="H6" s="197">
        <v>0</v>
      </c>
      <c r="I6" s="197">
        <v>44352677</v>
      </c>
      <c r="J6" s="197">
        <v>0</v>
      </c>
      <c r="K6" s="197">
        <v>0</v>
      </c>
    </row>
    <row r="7" spans="2:11" x14ac:dyDescent="0.3">
      <c r="B7" s="183" t="s">
        <v>279</v>
      </c>
      <c r="C7" s="132">
        <v>21086801</v>
      </c>
      <c r="D7" s="132">
        <v>0</v>
      </c>
      <c r="E7" s="132">
        <v>20003911</v>
      </c>
      <c r="F7" s="132">
        <v>0</v>
      </c>
      <c r="G7" s="197">
        <v>21480518</v>
      </c>
      <c r="H7" s="197">
        <v>0</v>
      </c>
      <c r="I7" s="197">
        <v>21031088</v>
      </c>
      <c r="J7" s="197">
        <v>0</v>
      </c>
      <c r="K7" s="197">
        <v>0</v>
      </c>
    </row>
    <row r="8" spans="2:11" x14ac:dyDescent="0.3">
      <c r="B8" s="183" t="s">
        <v>278</v>
      </c>
      <c r="C8" s="132">
        <v>15808669</v>
      </c>
      <c r="D8" s="132">
        <v>0</v>
      </c>
      <c r="E8" s="132">
        <v>17629219</v>
      </c>
      <c r="F8" s="132">
        <v>0</v>
      </c>
      <c r="G8" s="197">
        <v>11611521</v>
      </c>
      <c r="H8" s="197">
        <v>0</v>
      </c>
      <c r="I8" s="197">
        <v>8505556</v>
      </c>
      <c r="J8" s="197">
        <v>0</v>
      </c>
      <c r="K8" s="197">
        <v>0</v>
      </c>
    </row>
    <row r="9" spans="2:11" x14ac:dyDescent="0.3">
      <c r="B9" s="183" t="s">
        <v>277</v>
      </c>
      <c r="C9" s="132">
        <v>12456935</v>
      </c>
      <c r="D9" s="132">
        <v>0</v>
      </c>
      <c r="E9" s="132">
        <v>13891495</v>
      </c>
      <c r="F9" s="132">
        <v>0</v>
      </c>
      <c r="G9" s="197">
        <v>9149661</v>
      </c>
      <c r="H9" s="197">
        <v>0</v>
      </c>
      <c r="I9" s="197">
        <v>6702219</v>
      </c>
      <c r="J9" s="197">
        <v>0</v>
      </c>
      <c r="K9" s="197">
        <v>0</v>
      </c>
    </row>
    <row r="10" spans="2:11" x14ac:dyDescent="0.3">
      <c r="B10" s="183" t="s">
        <v>276</v>
      </c>
      <c r="C10" s="132">
        <v>10250037</v>
      </c>
      <c r="D10" s="132">
        <v>0</v>
      </c>
      <c r="E10" s="132">
        <v>11430446</v>
      </c>
      <c r="F10" s="132">
        <v>0</v>
      </c>
      <c r="G10" s="197">
        <v>7528687</v>
      </c>
      <c r="H10" s="197">
        <v>0</v>
      </c>
      <c r="I10" s="197">
        <v>5514839</v>
      </c>
      <c r="J10" s="197">
        <v>0</v>
      </c>
      <c r="K10" s="197">
        <v>0</v>
      </c>
    </row>
    <row r="11" spans="2:11" x14ac:dyDescent="0.3">
      <c r="B11" s="203" t="s">
        <v>275</v>
      </c>
      <c r="C11" s="132">
        <v>4734005</v>
      </c>
      <c r="D11" s="132">
        <v>0</v>
      </c>
      <c r="E11" s="132">
        <v>6994938</v>
      </c>
      <c r="F11" s="132">
        <v>0</v>
      </c>
      <c r="G11" s="197">
        <v>3477143</v>
      </c>
      <c r="H11" s="197">
        <v>0</v>
      </c>
      <c r="I11" s="197">
        <v>3374842</v>
      </c>
      <c r="J11" s="197">
        <v>0</v>
      </c>
      <c r="K11" s="197">
        <v>0</v>
      </c>
    </row>
    <row r="12" spans="2:11" x14ac:dyDescent="0.3">
      <c r="B12" s="203" t="s">
        <v>274</v>
      </c>
      <c r="C12" s="132">
        <v>4031052</v>
      </c>
      <c r="D12" s="132">
        <v>0</v>
      </c>
      <c r="E12" s="132">
        <v>5956258</v>
      </c>
      <c r="F12" s="132">
        <v>0</v>
      </c>
      <c r="G12" s="197">
        <v>2960821</v>
      </c>
      <c r="H12" s="197">
        <v>0</v>
      </c>
      <c r="I12" s="197">
        <v>2873711</v>
      </c>
      <c r="J12" s="197">
        <v>0</v>
      </c>
      <c r="K12" s="197">
        <v>0</v>
      </c>
    </row>
    <row r="13" spans="2:11" x14ac:dyDescent="0.3">
      <c r="B13" s="203" t="s">
        <v>273</v>
      </c>
      <c r="C13" s="132">
        <v>3634587</v>
      </c>
      <c r="D13" s="132">
        <v>0</v>
      </c>
      <c r="E13" s="132">
        <v>5370444</v>
      </c>
      <c r="F13" s="132">
        <v>0</v>
      </c>
      <c r="G13" s="197">
        <v>2669616</v>
      </c>
      <c r="H13" s="197">
        <v>0</v>
      </c>
      <c r="I13" s="197">
        <v>2591074</v>
      </c>
      <c r="J13" s="197">
        <v>0</v>
      </c>
      <c r="K13" s="197">
        <v>0</v>
      </c>
    </row>
    <row r="14" spans="2:11" x14ac:dyDescent="0.3">
      <c r="B14" s="203" t="s">
        <v>272</v>
      </c>
      <c r="C14" s="132">
        <v>3254240</v>
      </c>
      <c r="D14" s="132">
        <v>0</v>
      </c>
      <c r="E14" s="132">
        <v>4808446</v>
      </c>
      <c r="F14" s="132">
        <v>0</v>
      </c>
      <c r="G14" s="197">
        <v>2390250</v>
      </c>
      <c r="H14" s="197">
        <v>0</v>
      </c>
      <c r="I14" s="197">
        <v>2319927</v>
      </c>
      <c r="J14" s="197">
        <v>0</v>
      </c>
      <c r="K14" s="197">
        <v>0</v>
      </c>
    </row>
    <row r="15" spans="2:11" x14ac:dyDescent="0.3">
      <c r="B15" s="203" t="s">
        <v>271</v>
      </c>
      <c r="C15" s="132">
        <v>4432286</v>
      </c>
      <c r="D15" s="132">
        <v>157609524</v>
      </c>
      <c r="E15" s="132">
        <v>6403584</v>
      </c>
      <c r="F15" s="132">
        <v>157609524</v>
      </c>
      <c r="G15" s="197">
        <v>3255529</v>
      </c>
      <c r="H15" s="197">
        <v>136185892</v>
      </c>
      <c r="I15" s="197">
        <v>3089532</v>
      </c>
      <c r="J15" s="197">
        <v>136185892</v>
      </c>
      <c r="K15" s="197">
        <v>121915312</v>
      </c>
    </row>
    <row r="16" spans="2:11" x14ac:dyDescent="0.3">
      <c r="B16" s="203" t="s">
        <v>270</v>
      </c>
      <c r="C16" s="132">
        <v>7015122</v>
      </c>
      <c r="D16" s="132">
        <v>156285227</v>
      </c>
      <c r="E16" s="132">
        <v>8292402</v>
      </c>
      <c r="F16" s="132">
        <v>156285227</v>
      </c>
      <c r="G16" s="197">
        <v>5152631</v>
      </c>
      <c r="H16" s="197">
        <v>135041605</v>
      </c>
      <c r="I16" s="197">
        <v>4000829</v>
      </c>
      <c r="J16" s="197">
        <v>135041605</v>
      </c>
      <c r="K16" s="197">
        <v>120910585</v>
      </c>
    </row>
    <row r="17" spans="2:11" x14ac:dyDescent="0.3">
      <c r="B17" s="203" t="s">
        <v>269</v>
      </c>
      <c r="C17" s="132">
        <v>2332774</v>
      </c>
      <c r="D17" s="132">
        <v>157115362</v>
      </c>
      <c r="E17" s="132">
        <v>3446893</v>
      </c>
      <c r="F17" s="132">
        <v>157115362</v>
      </c>
      <c r="G17" s="197">
        <v>1713430</v>
      </c>
      <c r="H17" s="197">
        <v>135758901</v>
      </c>
      <c r="I17" s="197">
        <v>1663019</v>
      </c>
      <c r="J17" s="197">
        <v>135758901</v>
      </c>
      <c r="K17" s="197">
        <v>121521261</v>
      </c>
    </row>
    <row r="18" spans="2:11" x14ac:dyDescent="0.3">
      <c r="B18" s="203" t="s">
        <v>268</v>
      </c>
      <c r="C18" s="132">
        <v>676382</v>
      </c>
      <c r="D18" s="132">
        <v>156599399</v>
      </c>
      <c r="E18" s="132">
        <v>1388082</v>
      </c>
      <c r="F18" s="132">
        <v>156599399</v>
      </c>
      <c r="G18" s="197">
        <v>496805</v>
      </c>
      <c r="H18" s="197">
        <v>135313072</v>
      </c>
      <c r="I18" s="197">
        <v>669707</v>
      </c>
      <c r="J18" s="197">
        <v>135313072</v>
      </c>
      <c r="K18" s="197">
        <v>121144595</v>
      </c>
    </row>
    <row r="19" spans="2:11" x14ac:dyDescent="0.3">
      <c r="B19" s="203" t="s">
        <v>267</v>
      </c>
      <c r="C19" s="132">
        <v>564686</v>
      </c>
      <c r="D19" s="132">
        <v>41205889</v>
      </c>
      <c r="E19" s="132">
        <v>1168128</v>
      </c>
      <c r="F19" s="132">
        <v>41205889</v>
      </c>
      <c r="G19" s="197">
        <v>414764</v>
      </c>
      <c r="H19" s="197">
        <v>35604833</v>
      </c>
      <c r="I19" s="197">
        <v>563586</v>
      </c>
      <c r="J19" s="197">
        <v>35604833</v>
      </c>
      <c r="K19" s="197">
        <v>32069605</v>
      </c>
    </row>
    <row r="20" spans="2:11" x14ac:dyDescent="0.3">
      <c r="B20" s="203" t="s">
        <v>266</v>
      </c>
      <c r="C20" s="132">
        <v>733589</v>
      </c>
      <c r="D20" s="132">
        <v>33606830</v>
      </c>
      <c r="E20" s="132">
        <v>1987238</v>
      </c>
      <c r="F20" s="132">
        <v>33606830</v>
      </c>
      <c r="G20" s="197">
        <v>538824</v>
      </c>
      <c r="H20" s="197">
        <v>29038702</v>
      </c>
      <c r="I20" s="197">
        <v>958781</v>
      </c>
      <c r="J20" s="197">
        <v>29038702</v>
      </c>
      <c r="K20" s="197">
        <v>26163045</v>
      </c>
    </row>
    <row r="21" spans="2:11" x14ac:dyDescent="0.3">
      <c r="B21" s="203" t="s">
        <v>265</v>
      </c>
      <c r="C21" s="132">
        <v>0</v>
      </c>
      <c r="D21" s="132">
        <v>33186363</v>
      </c>
      <c r="E21" s="132">
        <v>446863</v>
      </c>
      <c r="F21" s="132">
        <v>33186363</v>
      </c>
      <c r="G21" s="197">
        <v>222133</v>
      </c>
      <c r="H21" s="197">
        <v>28675389</v>
      </c>
      <c r="I21" s="197">
        <v>215597</v>
      </c>
      <c r="J21" s="197">
        <v>28675389</v>
      </c>
      <c r="K21" s="197">
        <v>25833983</v>
      </c>
    </row>
    <row r="22" spans="2:11" x14ac:dyDescent="0.3">
      <c r="B22" s="203" t="s">
        <v>264</v>
      </c>
      <c r="C22" s="132">
        <v>0</v>
      </c>
      <c r="D22" s="132">
        <v>30333406</v>
      </c>
      <c r="E22" s="132">
        <v>451244</v>
      </c>
      <c r="F22" s="132">
        <v>30333406</v>
      </c>
      <c r="G22" s="197">
        <v>224311</v>
      </c>
      <c r="H22" s="197">
        <v>26210230</v>
      </c>
      <c r="I22" s="197">
        <v>217711</v>
      </c>
      <c r="J22" s="197">
        <v>26210230</v>
      </c>
      <c r="K22" s="197">
        <v>23657307</v>
      </c>
    </row>
    <row r="23" spans="2:11" x14ac:dyDescent="0.3">
      <c r="B23" s="203" t="s">
        <v>263</v>
      </c>
      <c r="C23" s="132">
        <v>0</v>
      </c>
      <c r="D23" s="132">
        <v>25649200</v>
      </c>
      <c r="E23" s="132">
        <v>1300003</v>
      </c>
      <c r="F23" s="132">
        <v>25649200</v>
      </c>
      <c r="G23" s="197">
        <v>375227</v>
      </c>
      <c r="H23" s="197">
        <v>22162742</v>
      </c>
      <c r="I23" s="197">
        <v>627211</v>
      </c>
      <c r="J23" s="197">
        <v>22162742</v>
      </c>
      <c r="K23" s="197">
        <v>19965948</v>
      </c>
    </row>
    <row r="24" spans="2:11" x14ac:dyDescent="0.3">
      <c r="B24" s="203" t="s">
        <v>262</v>
      </c>
      <c r="C24" s="132">
        <v>0</v>
      </c>
      <c r="D24" s="132">
        <v>75521728</v>
      </c>
      <c r="E24" s="132">
        <v>0</v>
      </c>
      <c r="F24" s="132">
        <v>75521728</v>
      </c>
      <c r="G24" s="197">
        <v>152552</v>
      </c>
      <c r="H24" s="197">
        <v>65256170</v>
      </c>
      <c r="I24" s="197">
        <v>148064</v>
      </c>
      <c r="J24" s="197">
        <v>65256170</v>
      </c>
      <c r="K24" s="197">
        <v>65331739</v>
      </c>
    </row>
    <row r="25" spans="2:11" x14ac:dyDescent="0.3">
      <c r="B25" s="203" t="s">
        <v>261</v>
      </c>
      <c r="C25" s="132">
        <v>0</v>
      </c>
      <c r="D25" s="132">
        <v>67880474</v>
      </c>
      <c r="E25" s="132">
        <v>0</v>
      </c>
      <c r="F25" s="132">
        <v>67880474</v>
      </c>
      <c r="G25" s="197">
        <v>135752</v>
      </c>
      <c r="H25" s="197">
        <v>58653580</v>
      </c>
      <c r="I25" s="197">
        <v>131758</v>
      </c>
      <c r="J25" s="197">
        <v>58653580</v>
      </c>
      <c r="K25" s="197">
        <v>58671826</v>
      </c>
    </row>
    <row r="26" spans="2:11" x14ac:dyDescent="0.3">
      <c r="B26" s="203" t="s">
        <v>260</v>
      </c>
      <c r="C26" s="132">
        <v>0</v>
      </c>
      <c r="D26" s="132">
        <v>34548576</v>
      </c>
      <c r="E26" s="132">
        <v>0</v>
      </c>
      <c r="F26" s="132">
        <v>34548576</v>
      </c>
      <c r="G26" s="197">
        <v>0</v>
      </c>
      <c r="H26" s="197">
        <v>29852439</v>
      </c>
      <c r="I26" s="197">
        <v>0</v>
      </c>
      <c r="J26" s="197">
        <v>29852439</v>
      </c>
      <c r="K26" s="197">
        <v>26865522</v>
      </c>
    </row>
    <row r="27" spans="2:11" x14ac:dyDescent="0.3">
      <c r="B27" s="203" t="s">
        <v>259</v>
      </c>
      <c r="C27" s="132">
        <v>0</v>
      </c>
      <c r="D27" s="132">
        <v>30458016</v>
      </c>
      <c r="E27" s="132">
        <v>0</v>
      </c>
      <c r="F27" s="132">
        <v>30458016</v>
      </c>
      <c r="G27" s="197">
        <v>0</v>
      </c>
      <c r="H27" s="197">
        <v>26317903</v>
      </c>
      <c r="I27" s="197">
        <v>0</v>
      </c>
      <c r="J27" s="197">
        <v>26317903</v>
      </c>
      <c r="K27" s="197">
        <v>23695970</v>
      </c>
    </row>
    <row r="28" spans="2:11" x14ac:dyDescent="0.3">
      <c r="B28" s="203" t="s">
        <v>258</v>
      </c>
      <c r="C28" s="132">
        <v>0</v>
      </c>
      <c r="D28" s="132">
        <v>0</v>
      </c>
      <c r="E28" s="132">
        <v>0</v>
      </c>
      <c r="F28" s="132">
        <v>0</v>
      </c>
      <c r="G28" s="197">
        <v>89045</v>
      </c>
      <c r="H28" s="197">
        <v>41131499</v>
      </c>
      <c r="I28" s="197">
        <v>119881</v>
      </c>
      <c r="J28" s="197">
        <v>41131499</v>
      </c>
      <c r="K28" s="197">
        <v>52393249</v>
      </c>
    </row>
    <row r="29" spans="2:11" x14ac:dyDescent="0.3">
      <c r="B29" s="203" t="s">
        <v>257</v>
      </c>
      <c r="C29" s="132">
        <v>0</v>
      </c>
      <c r="D29" s="132">
        <v>0</v>
      </c>
      <c r="E29" s="132">
        <v>0</v>
      </c>
      <c r="F29" s="132">
        <v>0</v>
      </c>
      <c r="G29" s="197">
        <v>0</v>
      </c>
      <c r="H29" s="197">
        <v>18029524</v>
      </c>
      <c r="I29" s="197">
        <v>0</v>
      </c>
      <c r="J29" s="197">
        <v>18029524</v>
      </c>
      <c r="K29" s="197">
        <v>24912952</v>
      </c>
    </row>
    <row r="30" spans="2:11" x14ac:dyDescent="0.3">
      <c r="B30" s="203" t="s">
        <v>256</v>
      </c>
      <c r="C30" s="132">
        <v>0</v>
      </c>
      <c r="D30" s="132">
        <v>0</v>
      </c>
      <c r="E30" s="132">
        <v>0</v>
      </c>
      <c r="F30" s="132">
        <v>0</v>
      </c>
      <c r="G30" s="197">
        <v>0</v>
      </c>
      <c r="H30" s="197">
        <v>27597870</v>
      </c>
      <c r="I30" s="197">
        <v>0</v>
      </c>
      <c r="J30" s="197">
        <v>27597870</v>
      </c>
      <c r="K30" s="197">
        <v>38985507</v>
      </c>
    </row>
    <row r="31" spans="2:11" x14ac:dyDescent="0.3">
      <c r="B31" s="203" t="s">
        <v>255</v>
      </c>
      <c r="C31" s="132">
        <v>0</v>
      </c>
      <c r="D31" s="132">
        <v>0</v>
      </c>
      <c r="E31" s="132">
        <v>0</v>
      </c>
      <c r="F31" s="132">
        <v>0</v>
      </c>
      <c r="G31" s="197">
        <v>0</v>
      </c>
      <c r="H31" s="197">
        <v>8215754</v>
      </c>
      <c r="I31" s="197">
        <v>0</v>
      </c>
      <c r="J31" s="197">
        <v>8215754</v>
      </c>
      <c r="K31" s="197">
        <v>19015299</v>
      </c>
    </row>
    <row r="32" spans="2:11" x14ac:dyDescent="0.3">
      <c r="B32" s="203" t="s">
        <v>254</v>
      </c>
      <c r="C32" s="132">
        <v>0</v>
      </c>
      <c r="D32" s="132">
        <v>0</v>
      </c>
      <c r="E32" s="132">
        <v>0</v>
      </c>
      <c r="F32" s="132">
        <v>0</v>
      </c>
      <c r="G32" s="197">
        <v>0</v>
      </c>
      <c r="H32" s="197">
        <v>7081248</v>
      </c>
      <c r="I32" s="197">
        <v>0</v>
      </c>
      <c r="J32" s="197">
        <v>7081248</v>
      </c>
      <c r="K32" s="197">
        <v>16718380</v>
      </c>
    </row>
    <row r="33" spans="2:11" x14ac:dyDescent="0.3">
      <c r="B33" s="203" t="s">
        <v>253</v>
      </c>
      <c r="C33" s="132">
        <v>0</v>
      </c>
      <c r="D33" s="132">
        <v>0</v>
      </c>
      <c r="E33" s="132">
        <v>0</v>
      </c>
      <c r="F33" s="132">
        <v>0</v>
      </c>
      <c r="G33" s="197">
        <v>0</v>
      </c>
      <c r="H33" s="197">
        <v>19172624</v>
      </c>
      <c r="I33" s="197">
        <v>0</v>
      </c>
      <c r="J33" s="197">
        <v>19172624</v>
      </c>
      <c r="K33" s="197">
        <v>32599244</v>
      </c>
    </row>
    <row r="34" spans="2:11" x14ac:dyDescent="0.3">
      <c r="B34" s="203" t="s">
        <v>252</v>
      </c>
      <c r="C34" s="132">
        <v>0</v>
      </c>
      <c r="D34" s="132">
        <v>0</v>
      </c>
      <c r="E34" s="132">
        <v>0</v>
      </c>
      <c r="F34" s="132">
        <v>0</v>
      </c>
      <c r="G34" s="197">
        <v>0</v>
      </c>
      <c r="H34" s="197">
        <v>5584027</v>
      </c>
      <c r="I34" s="197">
        <v>0</v>
      </c>
      <c r="J34" s="197">
        <v>5584027</v>
      </c>
      <c r="K34" s="197">
        <v>12487138</v>
      </c>
    </row>
    <row r="35" spans="2:11" x14ac:dyDescent="0.3">
      <c r="B35" s="203" t="s">
        <v>251</v>
      </c>
      <c r="C35" s="132">
        <v>0</v>
      </c>
      <c r="D35" s="132">
        <v>0</v>
      </c>
      <c r="E35" s="132">
        <v>0</v>
      </c>
      <c r="F35" s="132">
        <v>0</v>
      </c>
      <c r="G35" s="197">
        <v>0</v>
      </c>
      <c r="H35" s="197">
        <v>4571761</v>
      </c>
      <c r="I35" s="197">
        <v>0</v>
      </c>
      <c r="J35" s="197">
        <v>4571761</v>
      </c>
      <c r="K35" s="197">
        <v>10798395</v>
      </c>
    </row>
    <row r="36" spans="2:11" x14ac:dyDescent="0.3">
      <c r="B36" s="203" t="s">
        <v>250</v>
      </c>
      <c r="C36" s="132">
        <v>0</v>
      </c>
      <c r="D36" s="132">
        <v>0</v>
      </c>
      <c r="E36" s="132">
        <v>0</v>
      </c>
      <c r="F36" s="132">
        <v>0</v>
      </c>
      <c r="G36" s="197">
        <v>0</v>
      </c>
      <c r="H36" s="197">
        <v>467689</v>
      </c>
      <c r="I36" s="197">
        <v>0</v>
      </c>
      <c r="J36" s="197">
        <v>467689</v>
      </c>
      <c r="K36" s="197">
        <v>448346</v>
      </c>
    </row>
    <row r="37" spans="2:11" x14ac:dyDescent="0.3">
      <c r="B37" s="203" t="s">
        <v>249</v>
      </c>
      <c r="C37" s="132">
        <v>0</v>
      </c>
      <c r="D37" s="132">
        <v>0</v>
      </c>
      <c r="E37" s="132">
        <v>0</v>
      </c>
      <c r="F37" s="132">
        <v>0</v>
      </c>
      <c r="G37" s="197">
        <v>0</v>
      </c>
      <c r="H37" s="197">
        <v>423075</v>
      </c>
      <c r="I37" s="197">
        <v>0</v>
      </c>
      <c r="J37" s="197">
        <v>423075</v>
      </c>
      <c r="K37" s="197">
        <v>405578</v>
      </c>
    </row>
    <row r="38" spans="2:11" x14ac:dyDescent="0.3">
      <c r="B38" s="203" t="s">
        <v>248</v>
      </c>
      <c r="C38" s="132">
        <v>0</v>
      </c>
      <c r="D38" s="132">
        <v>0</v>
      </c>
      <c r="E38" s="132">
        <v>0</v>
      </c>
      <c r="F38" s="132">
        <v>0</v>
      </c>
      <c r="G38" s="197">
        <v>0</v>
      </c>
      <c r="H38" s="197">
        <v>381228</v>
      </c>
      <c r="I38" s="197">
        <v>0</v>
      </c>
      <c r="J38" s="197">
        <v>381228</v>
      </c>
      <c r="K38" s="197">
        <v>365461</v>
      </c>
    </row>
    <row r="39" spans="2:11" x14ac:dyDescent="0.3">
      <c r="B39" s="203" t="s">
        <v>247</v>
      </c>
      <c r="C39" s="132">
        <v>0</v>
      </c>
      <c r="D39" s="132">
        <v>0</v>
      </c>
      <c r="E39" s="132">
        <v>0</v>
      </c>
      <c r="F39" s="132">
        <v>0</v>
      </c>
      <c r="G39" s="197">
        <v>0</v>
      </c>
      <c r="H39" s="197">
        <v>342860</v>
      </c>
      <c r="I39" s="197">
        <v>0</v>
      </c>
      <c r="J39" s="197">
        <v>342860</v>
      </c>
      <c r="K39" s="197">
        <v>328680</v>
      </c>
    </row>
    <row r="40" spans="2:11" x14ac:dyDescent="0.3">
      <c r="B40" s="203" t="s">
        <v>246</v>
      </c>
      <c r="C40" s="132">
        <v>0</v>
      </c>
      <c r="D40" s="132">
        <v>0</v>
      </c>
      <c r="E40" s="132">
        <v>0</v>
      </c>
      <c r="F40" s="132">
        <v>0</v>
      </c>
      <c r="G40" s="197">
        <v>0</v>
      </c>
      <c r="H40" s="197">
        <v>308620</v>
      </c>
      <c r="I40" s="197">
        <v>0</v>
      </c>
      <c r="J40" s="197">
        <v>308620</v>
      </c>
      <c r="K40" s="197">
        <v>295856</v>
      </c>
    </row>
    <row r="41" spans="2:11" x14ac:dyDescent="0.3">
      <c r="B41" s="203" t="s">
        <v>245</v>
      </c>
      <c r="C41" s="132">
        <v>0</v>
      </c>
      <c r="D41" s="132">
        <v>0</v>
      </c>
      <c r="E41" s="132">
        <v>0</v>
      </c>
      <c r="F41" s="132">
        <v>0</v>
      </c>
      <c r="G41" s="197">
        <v>0</v>
      </c>
      <c r="H41" s="197">
        <v>276545</v>
      </c>
      <c r="I41" s="197">
        <v>0</v>
      </c>
      <c r="J41" s="197">
        <v>276545</v>
      </c>
      <c r="K41" s="197">
        <v>265108</v>
      </c>
    </row>
    <row r="42" spans="2:11" x14ac:dyDescent="0.3">
      <c r="B42" s="203" t="s">
        <v>244</v>
      </c>
      <c r="C42" s="132">
        <v>0</v>
      </c>
      <c r="D42" s="132">
        <v>0</v>
      </c>
      <c r="E42" s="132">
        <v>0</v>
      </c>
      <c r="F42" s="132">
        <v>0</v>
      </c>
      <c r="G42" s="197">
        <v>0</v>
      </c>
      <c r="H42" s="197">
        <v>247992</v>
      </c>
      <c r="I42" s="197">
        <v>0</v>
      </c>
      <c r="J42" s="197">
        <v>247992</v>
      </c>
      <c r="K42" s="197">
        <v>237736</v>
      </c>
    </row>
    <row r="43" spans="2:11" x14ac:dyDescent="0.3">
      <c r="B43" s="203" t="s">
        <v>243</v>
      </c>
      <c r="C43" s="132">
        <v>0</v>
      </c>
      <c r="D43" s="132">
        <v>0</v>
      </c>
      <c r="E43" s="132">
        <v>0</v>
      </c>
      <c r="F43" s="132">
        <v>0</v>
      </c>
      <c r="G43" s="197">
        <v>0</v>
      </c>
      <c r="H43" s="197">
        <v>222972</v>
      </c>
      <c r="I43" s="197">
        <v>0</v>
      </c>
      <c r="J43" s="197">
        <v>222972</v>
      </c>
      <c r="K43" s="197">
        <v>213751</v>
      </c>
    </row>
    <row r="44" spans="2:11" x14ac:dyDescent="0.3">
      <c r="B44" s="203" t="s">
        <v>242</v>
      </c>
      <c r="C44" s="132">
        <v>0</v>
      </c>
      <c r="D44" s="132">
        <v>0</v>
      </c>
      <c r="E44" s="132">
        <v>0</v>
      </c>
      <c r="F44" s="132">
        <v>0</v>
      </c>
      <c r="G44" s="197">
        <v>0</v>
      </c>
      <c r="H44" s="197">
        <v>201068</v>
      </c>
      <c r="I44" s="197">
        <v>0</v>
      </c>
      <c r="J44" s="197">
        <v>201068</v>
      </c>
      <c r="K44" s="197">
        <v>192752</v>
      </c>
    </row>
    <row r="45" spans="2:11" x14ac:dyDescent="0.3">
      <c r="B45" s="203" t="s">
        <v>241</v>
      </c>
      <c r="C45" s="132">
        <v>0</v>
      </c>
      <c r="D45" s="132">
        <v>0</v>
      </c>
      <c r="E45" s="132">
        <v>0</v>
      </c>
      <c r="F45" s="132">
        <v>0</v>
      </c>
      <c r="G45" s="197">
        <v>0</v>
      </c>
      <c r="H45" s="197">
        <v>180294</v>
      </c>
      <c r="I45" s="197">
        <v>0</v>
      </c>
      <c r="J45" s="197">
        <v>180294</v>
      </c>
      <c r="K45" s="197">
        <v>172837</v>
      </c>
    </row>
    <row r="46" spans="2:11" x14ac:dyDescent="0.3">
      <c r="B46" s="203" t="s">
        <v>240</v>
      </c>
      <c r="C46" s="132">
        <v>0</v>
      </c>
      <c r="D46" s="132">
        <v>0</v>
      </c>
      <c r="E46" s="132">
        <v>0</v>
      </c>
      <c r="F46" s="132">
        <v>0</v>
      </c>
      <c r="G46" s="197">
        <v>0</v>
      </c>
      <c r="H46" s="197">
        <v>162960</v>
      </c>
      <c r="I46" s="197">
        <v>0</v>
      </c>
      <c r="J46" s="197">
        <v>162960</v>
      </c>
      <c r="K46" s="197">
        <v>156220</v>
      </c>
    </row>
    <row r="47" spans="2:11" x14ac:dyDescent="0.3">
      <c r="B47" s="203" t="s">
        <v>239</v>
      </c>
      <c r="C47" s="132">
        <v>0</v>
      </c>
      <c r="D47" s="132">
        <v>0</v>
      </c>
      <c r="E47" s="132">
        <v>0</v>
      </c>
      <c r="F47" s="132">
        <v>0</v>
      </c>
      <c r="G47" s="197">
        <v>0</v>
      </c>
      <c r="H47" s="197">
        <v>146978</v>
      </c>
      <c r="I47" s="197">
        <v>0</v>
      </c>
      <c r="J47" s="197">
        <v>146978</v>
      </c>
      <c r="K47" s="197">
        <v>140899</v>
      </c>
    </row>
    <row r="48" spans="2:11" x14ac:dyDescent="0.3">
      <c r="B48" s="183" t="s">
        <v>238</v>
      </c>
      <c r="C48" s="132">
        <v>0</v>
      </c>
      <c r="D48" s="132">
        <v>0</v>
      </c>
      <c r="E48" s="132">
        <v>0</v>
      </c>
      <c r="F48" s="132">
        <v>0</v>
      </c>
      <c r="G48" s="197">
        <v>0</v>
      </c>
      <c r="H48" s="197">
        <v>133047</v>
      </c>
      <c r="I48" s="197">
        <v>0</v>
      </c>
      <c r="J48" s="197">
        <v>133047</v>
      </c>
      <c r="K48" s="197">
        <v>127544</v>
      </c>
    </row>
    <row r="49" spans="2:11" x14ac:dyDescent="0.3">
      <c r="B49" s="183" t="s">
        <v>237</v>
      </c>
      <c r="C49" s="132">
        <v>0</v>
      </c>
      <c r="D49" s="132">
        <v>0</v>
      </c>
      <c r="E49" s="132">
        <v>0</v>
      </c>
      <c r="F49" s="132">
        <v>0</v>
      </c>
      <c r="G49" s="197">
        <v>0</v>
      </c>
      <c r="H49" s="197">
        <v>652015</v>
      </c>
      <c r="I49" s="197">
        <v>0</v>
      </c>
      <c r="J49" s="197">
        <v>652015</v>
      </c>
      <c r="K49" s="197">
        <v>656124</v>
      </c>
    </row>
    <row r="50" spans="2:11" x14ac:dyDescent="0.3">
      <c r="B50" s="183" t="s">
        <v>236</v>
      </c>
      <c r="C50" s="132">
        <v>0</v>
      </c>
      <c r="D50" s="132">
        <v>0</v>
      </c>
      <c r="E50" s="132">
        <v>0</v>
      </c>
      <c r="F50" s="132">
        <v>0</v>
      </c>
      <c r="G50" s="197">
        <v>0</v>
      </c>
      <c r="H50" s="197">
        <v>61764</v>
      </c>
      <c r="I50" s="197">
        <v>0</v>
      </c>
      <c r="J50" s="197">
        <v>61764</v>
      </c>
      <c r="K50" s="197">
        <v>62153</v>
      </c>
    </row>
    <row r="51" spans="2:11" x14ac:dyDescent="0.3">
      <c r="B51" s="183" t="s">
        <v>235</v>
      </c>
      <c r="C51" s="132">
        <v>0</v>
      </c>
      <c r="D51" s="132">
        <v>0</v>
      </c>
      <c r="E51" s="132">
        <v>0</v>
      </c>
      <c r="F51" s="132">
        <v>0</v>
      </c>
      <c r="G51" s="197">
        <v>0</v>
      </c>
      <c r="H51" s="197">
        <v>58286</v>
      </c>
      <c r="I51" s="197">
        <v>0</v>
      </c>
      <c r="J51" s="197">
        <v>58286</v>
      </c>
      <c r="K51" s="197">
        <v>23461</v>
      </c>
    </row>
    <row r="52" spans="2:11" x14ac:dyDescent="0.3">
      <c r="B52" s="183" t="s">
        <v>234</v>
      </c>
      <c r="C52" s="132">
        <v>0</v>
      </c>
      <c r="D52" s="132">
        <v>0</v>
      </c>
      <c r="E52" s="132">
        <v>0</v>
      </c>
      <c r="F52" s="132">
        <v>0</v>
      </c>
      <c r="G52" s="197">
        <v>0</v>
      </c>
      <c r="H52" s="197">
        <v>59167</v>
      </c>
      <c r="I52" s="197">
        <v>0</v>
      </c>
      <c r="J52" s="197">
        <v>59167</v>
      </c>
      <c r="K52" s="197">
        <v>29770</v>
      </c>
    </row>
    <row r="53" spans="2:11" x14ac:dyDescent="0.3">
      <c r="B53" s="183" t="s">
        <v>233</v>
      </c>
      <c r="C53" s="132">
        <v>0</v>
      </c>
      <c r="D53" s="132">
        <v>0</v>
      </c>
      <c r="E53" s="132">
        <v>0</v>
      </c>
      <c r="F53" s="132">
        <v>0</v>
      </c>
      <c r="G53" s="197">
        <v>0</v>
      </c>
      <c r="H53" s="197">
        <v>37280</v>
      </c>
      <c r="I53" s="197">
        <v>0</v>
      </c>
      <c r="J53" s="197">
        <v>37280</v>
      </c>
      <c r="K53" s="197">
        <v>37515</v>
      </c>
    </row>
    <row r="54" spans="2:11" x14ac:dyDescent="0.3">
      <c r="B54" s="183" t="s">
        <v>232</v>
      </c>
      <c r="C54" s="132">
        <v>0</v>
      </c>
      <c r="D54" s="132">
        <v>0</v>
      </c>
      <c r="E54" s="132">
        <v>0</v>
      </c>
      <c r="F54" s="132">
        <v>0</v>
      </c>
      <c r="G54" s="197">
        <v>0</v>
      </c>
      <c r="H54" s="197">
        <v>27142</v>
      </c>
      <c r="I54" s="197">
        <v>0</v>
      </c>
      <c r="J54" s="197">
        <v>27142</v>
      </c>
      <c r="K54" s="197">
        <v>27313</v>
      </c>
    </row>
    <row r="55" spans="2:11" x14ac:dyDescent="0.3">
      <c r="B55" s="183" t="s">
        <v>231</v>
      </c>
      <c r="C55" s="132">
        <v>0</v>
      </c>
      <c r="D55" s="132">
        <v>0</v>
      </c>
      <c r="E55" s="132">
        <v>0</v>
      </c>
      <c r="F55" s="132">
        <v>0</v>
      </c>
      <c r="G55" s="197">
        <v>0</v>
      </c>
      <c r="H55" s="197">
        <v>22299</v>
      </c>
      <c r="I55" s="197">
        <v>0</v>
      </c>
      <c r="J55" s="197">
        <v>22299</v>
      </c>
      <c r="K55" s="197">
        <v>22439</v>
      </c>
    </row>
    <row r="56" spans="2:11" x14ac:dyDescent="0.3">
      <c r="B56" s="183" t="s">
        <v>230</v>
      </c>
      <c r="C56" s="132">
        <v>0</v>
      </c>
      <c r="D56" s="132">
        <v>0</v>
      </c>
      <c r="E56" s="132">
        <v>0</v>
      </c>
      <c r="F56" s="132">
        <v>0</v>
      </c>
      <c r="G56" s="197">
        <v>0</v>
      </c>
      <c r="H56" s="197">
        <v>19632</v>
      </c>
      <c r="I56" s="197">
        <v>0</v>
      </c>
      <c r="J56" s="197">
        <v>19632</v>
      </c>
      <c r="K56" s="197">
        <v>19756</v>
      </c>
    </row>
    <row r="57" spans="2:11" x14ac:dyDescent="0.3">
      <c r="B57" s="183" t="s">
        <v>229</v>
      </c>
      <c r="C57" s="132">
        <v>0</v>
      </c>
      <c r="D57" s="132">
        <v>0</v>
      </c>
      <c r="E57" s="132">
        <v>0</v>
      </c>
      <c r="F57" s="132">
        <v>0</v>
      </c>
      <c r="G57" s="197">
        <v>0</v>
      </c>
      <c r="H57" s="197">
        <v>18191</v>
      </c>
      <c r="I57" s="197">
        <v>0</v>
      </c>
      <c r="J57" s="197">
        <v>18191</v>
      </c>
      <c r="K57" s="197">
        <v>18305</v>
      </c>
    </row>
    <row r="58" spans="2:11" x14ac:dyDescent="0.3">
      <c r="B58" s="183" t="s">
        <v>228</v>
      </c>
      <c r="C58" s="132">
        <v>0</v>
      </c>
      <c r="D58" s="132">
        <v>0</v>
      </c>
      <c r="E58" s="132">
        <v>0</v>
      </c>
      <c r="F58" s="132">
        <v>0</v>
      </c>
      <c r="G58" s="197">
        <v>0</v>
      </c>
      <c r="H58" s="197">
        <v>93111</v>
      </c>
      <c r="I58" s="197">
        <v>0</v>
      </c>
      <c r="J58" s="197">
        <v>93111</v>
      </c>
      <c r="K58" s="197">
        <v>95515</v>
      </c>
    </row>
    <row r="59" spans="2:11" x14ac:dyDescent="0.3">
      <c r="B59" s="183" t="s">
        <v>227</v>
      </c>
      <c r="C59" s="132">
        <v>0</v>
      </c>
      <c r="D59" s="132">
        <v>0</v>
      </c>
      <c r="E59" s="132">
        <v>0</v>
      </c>
      <c r="F59" s="132">
        <v>0</v>
      </c>
      <c r="G59" s="197">
        <v>0</v>
      </c>
      <c r="H59" s="197">
        <v>0</v>
      </c>
      <c r="I59" s="197">
        <v>0</v>
      </c>
      <c r="J59" s="197">
        <v>0</v>
      </c>
      <c r="K59" s="197">
        <v>0</v>
      </c>
    </row>
    <row r="60" spans="2:11" x14ac:dyDescent="0.3">
      <c r="B60" s="183" t="s">
        <v>226</v>
      </c>
      <c r="C60" s="132">
        <v>0</v>
      </c>
      <c r="D60" s="132">
        <v>0</v>
      </c>
      <c r="E60" s="132">
        <v>0</v>
      </c>
      <c r="F60" s="132">
        <v>0</v>
      </c>
      <c r="G60" s="197">
        <v>0</v>
      </c>
      <c r="H60" s="197">
        <v>0</v>
      </c>
      <c r="I60" s="197">
        <v>0</v>
      </c>
      <c r="J60" s="197">
        <v>0</v>
      </c>
      <c r="K60" s="197">
        <v>0</v>
      </c>
    </row>
    <row r="61" spans="2:11" x14ac:dyDescent="0.3">
      <c r="B61" s="183" t="s">
        <v>225</v>
      </c>
      <c r="C61" s="132">
        <v>0</v>
      </c>
      <c r="D61" s="132">
        <v>0</v>
      </c>
      <c r="E61" s="132">
        <v>0</v>
      </c>
      <c r="F61" s="132">
        <v>0</v>
      </c>
      <c r="G61" s="197">
        <v>0</v>
      </c>
      <c r="H61" s="197">
        <v>0</v>
      </c>
      <c r="I61" s="197">
        <v>0</v>
      </c>
      <c r="J61" s="197">
        <v>0</v>
      </c>
      <c r="K61" s="197">
        <v>0</v>
      </c>
    </row>
    <row r="62" spans="2:11" x14ac:dyDescent="0.3">
      <c r="B62" s="183" t="s">
        <v>224</v>
      </c>
      <c r="C62" s="132">
        <v>0</v>
      </c>
      <c r="D62" s="132">
        <v>0</v>
      </c>
      <c r="E62" s="132">
        <v>0</v>
      </c>
      <c r="F62" s="132">
        <v>0</v>
      </c>
      <c r="G62" s="197">
        <v>0</v>
      </c>
      <c r="H62" s="197">
        <v>0</v>
      </c>
      <c r="I62" s="197">
        <v>0</v>
      </c>
      <c r="J62" s="197">
        <v>0</v>
      </c>
      <c r="K62" s="197">
        <v>0</v>
      </c>
    </row>
    <row r="63" spans="2:11" x14ac:dyDescent="0.3">
      <c r="B63" s="183" t="s">
        <v>223</v>
      </c>
      <c r="C63" s="132">
        <v>0</v>
      </c>
      <c r="D63" s="132">
        <v>0</v>
      </c>
      <c r="E63" s="132">
        <v>0</v>
      </c>
      <c r="F63" s="132">
        <v>0</v>
      </c>
      <c r="G63" s="197">
        <v>0</v>
      </c>
      <c r="H63" s="197">
        <v>0</v>
      </c>
      <c r="I63" s="197">
        <v>0</v>
      </c>
      <c r="J63" s="197">
        <v>0</v>
      </c>
      <c r="K63" s="197">
        <v>0</v>
      </c>
    </row>
    <row r="64" spans="2:11" x14ac:dyDescent="0.3">
      <c r="B64" s="183" t="s">
        <v>222</v>
      </c>
      <c r="C64" s="132">
        <v>0</v>
      </c>
      <c r="D64" s="132">
        <v>0</v>
      </c>
      <c r="E64" s="132">
        <v>0</v>
      </c>
      <c r="F64" s="132">
        <v>0</v>
      </c>
      <c r="G64" s="197">
        <v>0</v>
      </c>
      <c r="H64" s="197">
        <v>0</v>
      </c>
      <c r="I64" s="197">
        <v>0</v>
      </c>
      <c r="J64" s="197">
        <v>0</v>
      </c>
      <c r="K64" s="197">
        <v>0</v>
      </c>
    </row>
    <row r="65" spans="2:11" x14ac:dyDescent="0.3">
      <c r="B65" s="183" t="s">
        <v>221</v>
      </c>
      <c r="C65" s="132">
        <v>0</v>
      </c>
      <c r="D65" s="132">
        <v>0</v>
      </c>
      <c r="E65" s="132">
        <v>0</v>
      </c>
      <c r="F65" s="132">
        <v>0</v>
      </c>
      <c r="G65" s="197">
        <v>0</v>
      </c>
      <c r="H65" s="197">
        <v>0</v>
      </c>
      <c r="I65" s="197">
        <v>0</v>
      </c>
      <c r="J65" s="197">
        <v>0</v>
      </c>
      <c r="K65" s="197">
        <v>0</v>
      </c>
    </row>
    <row r="66" spans="2:11" x14ac:dyDescent="0.3">
      <c r="B66" s="183" t="s">
        <v>220</v>
      </c>
      <c r="C66" s="132">
        <v>0</v>
      </c>
      <c r="D66" s="132">
        <v>0</v>
      </c>
      <c r="E66" s="132">
        <v>0</v>
      </c>
      <c r="F66" s="132">
        <v>0</v>
      </c>
      <c r="G66" s="197">
        <v>0</v>
      </c>
      <c r="H66" s="197">
        <v>0</v>
      </c>
      <c r="I66" s="197">
        <v>0</v>
      </c>
      <c r="J66" s="197">
        <v>0</v>
      </c>
      <c r="K66" s="197">
        <v>0</v>
      </c>
    </row>
    <row r="67" spans="2:11" x14ac:dyDescent="0.3">
      <c r="B67" s="183" t="s">
        <v>219</v>
      </c>
      <c r="C67" s="132">
        <v>0</v>
      </c>
      <c r="D67" s="132">
        <v>0</v>
      </c>
      <c r="E67" s="132">
        <v>0</v>
      </c>
      <c r="F67" s="132">
        <v>0</v>
      </c>
      <c r="G67" s="197">
        <v>0</v>
      </c>
      <c r="H67" s="197">
        <v>0</v>
      </c>
      <c r="I67" s="197">
        <v>0</v>
      </c>
      <c r="J67" s="197">
        <v>0</v>
      </c>
      <c r="K67" s="197">
        <v>0</v>
      </c>
    </row>
    <row r="68" spans="2:11" x14ac:dyDescent="0.3">
      <c r="B68" s="183" t="s">
        <v>218</v>
      </c>
      <c r="C68" s="132">
        <v>4178469</v>
      </c>
      <c r="D68" s="144"/>
      <c r="E68" s="132">
        <v>20892345</v>
      </c>
      <c r="F68" s="144"/>
      <c r="G68" s="197">
        <v>4178469</v>
      </c>
      <c r="H68" s="144"/>
      <c r="I68" s="197">
        <v>20892345</v>
      </c>
      <c r="J68" s="144"/>
      <c r="K68" s="14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T314"/>
  <sheetViews>
    <sheetView workbookViewId="0">
      <selection activeCell="L8" sqref="L8"/>
    </sheetView>
  </sheetViews>
  <sheetFormatPr defaultRowHeight="15.6" x14ac:dyDescent="0.3"/>
  <cols>
    <col min="1" max="1" width="19.77734375" style="24" bestFit="1" customWidth="1"/>
    <col min="2" max="2" width="22.88671875" style="24" bestFit="1" customWidth="1"/>
    <col min="3" max="3" width="21" style="24" bestFit="1" customWidth="1"/>
    <col min="4" max="4" width="25.5546875" style="24" bestFit="1" customWidth="1"/>
    <col min="5" max="5" width="13.88671875" style="24" bestFit="1" customWidth="1"/>
    <col min="6" max="6" width="16.77734375" style="24" bestFit="1" customWidth="1"/>
    <col min="7" max="7" width="15.5546875" style="50" bestFit="1" customWidth="1"/>
    <col min="8" max="8" width="25.5546875" style="24" bestFit="1" customWidth="1"/>
    <col min="9" max="9" width="14" style="24" customWidth="1"/>
    <col min="10" max="10" width="12.44140625" style="24" customWidth="1"/>
    <col min="11" max="11" width="15.5546875" style="24" customWidth="1"/>
    <col min="12" max="12" width="15.33203125" style="24" bestFit="1" customWidth="1"/>
    <col min="13" max="13" width="12.44140625" style="24" bestFit="1" customWidth="1"/>
    <col min="14" max="14" width="19.77734375" style="24" bestFit="1" customWidth="1"/>
    <col min="15" max="15" width="12.21875" style="50" customWidth="1"/>
    <col min="16" max="19" width="15.21875" style="24" customWidth="1"/>
    <col min="20" max="20" width="8.88671875" style="24" customWidth="1"/>
    <col min="21" max="16384" width="8.88671875" style="24"/>
  </cols>
  <sheetData>
    <row r="1" spans="1:19" x14ac:dyDescent="0.3">
      <c r="A1" s="51"/>
      <c r="B1" s="51"/>
      <c r="C1" s="1"/>
      <c r="F1" s="1"/>
      <c r="H1" s="13"/>
      <c r="I1" s="51"/>
      <c r="J1" s="51"/>
      <c r="K1" s="51"/>
      <c r="L1" s="51"/>
      <c r="M1" s="51"/>
      <c r="N1" s="51"/>
    </row>
    <row r="2" spans="1:19" x14ac:dyDescent="0.3">
      <c r="A2" s="51" t="s">
        <v>62</v>
      </c>
      <c r="B2" s="67">
        <v>1000000000</v>
      </c>
      <c r="C2" s="1"/>
      <c r="F2" s="104"/>
      <c r="G2" s="104"/>
      <c r="K2" s="51"/>
      <c r="L2" s="51"/>
      <c r="M2" s="51"/>
      <c r="N2" s="51"/>
    </row>
    <row r="3" spans="1:19" x14ac:dyDescent="0.3">
      <c r="A3" s="51" t="s">
        <v>74</v>
      </c>
      <c r="B3" s="67">
        <f>Overview!A7</f>
        <v>100</v>
      </c>
      <c r="C3" s="1"/>
      <c r="F3" s="104"/>
      <c r="G3" s="101"/>
    </row>
    <row r="4" spans="1:19" x14ac:dyDescent="0.3">
      <c r="F4" s="104"/>
      <c r="G4" s="104"/>
      <c r="I4" s="1"/>
      <c r="L4" s="124"/>
      <c r="M4" s="125"/>
      <c r="N4" s="122"/>
      <c r="O4" s="123"/>
    </row>
    <row r="5" spans="1:19" x14ac:dyDescent="0.3">
      <c r="A5" s="51"/>
      <c r="B5" s="51"/>
      <c r="C5" s="1" t="s">
        <v>82</v>
      </c>
      <c r="I5" s="104"/>
      <c r="L5" s="126"/>
      <c r="M5" s="125"/>
      <c r="N5" s="122"/>
      <c r="O5" s="123"/>
    </row>
    <row r="6" spans="1:19" x14ac:dyDescent="0.3">
      <c r="A6" s="90"/>
      <c r="B6" s="85" t="s">
        <v>68</v>
      </c>
      <c r="C6" s="85" t="s">
        <v>49</v>
      </c>
      <c r="D6" s="85" t="s">
        <v>50</v>
      </c>
      <c r="E6" s="85" t="s">
        <v>77</v>
      </c>
      <c r="F6" s="85" t="s">
        <v>69</v>
      </c>
      <c r="G6" s="85" t="s">
        <v>70</v>
      </c>
      <c r="H6" s="85" t="s">
        <v>83</v>
      </c>
      <c r="I6" s="207" t="s">
        <v>99</v>
      </c>
      <c r="J6" s="208" t="s">
        <v>100</v>
      </c>
      <c r="L6" s="101"/>
      <c r="M6" s="101"/>
      <c r="N6" s="116"/>
    </row>
    <row r="7" spans="1:19" x14ac:dyDescent="0.3">
      <c r="A7" s="57" t="s">
        <v>53</v>
      </c>
      <c r="B7" s="57" cm="1">
        <f t="array" ref="B7:B8">Overview!B11:B12</f>
        <v>1</v>
      </c>
      <c r="C7" s="81">
        <f>SUM(N16:N80)</f>
        <v>0.78250645427090548</v>
      </c>
      <c r="D7" s="81">
        <f>SUM(_xlfn.ANCHORARRAY(N159))*F7</f>
        <v>0.1474934678863152</v>
      </c>
      <c r="E7" s="97">
        <f>SUM(C7:D7)</f>
        <v>0.92999992215722072</v>
      </c>
      <c r="F7" s="73">
        <f>M80</f>
        <v>4.1779260910382475E-3</v>
      </c>
      <c r="G7" s="74">
        <f>1/F7</f>
        <v>239.35320496574226</v>
      </c>
      <c r="H7" s="94">
        <f>D7*G7</f>
        <v>35.303034250101327</v>
      </c>
      <c r="I7" s="205" cm="1">
        <f t="array" ref="I7">LOOKUP(2,1/(L16:L79&lt;&gt;0),B16:B79)</f>
        <v>40</v>
      </c>
      <c r="J7" s="205" cm="1">
        <f t="array" ref="J7">LOOKUP(2,1/(_xlfn.ANCHORARRAY(L159)&lt;&gt;0),B16:B79)</f>
        <v>100</v>
      </c>
      <c r="L7" s="104"/>
      <c r="M7" s="101"/>
      <c r="N7" s="116"/>
    </row>
    <row r="8" spans="1:19" x14ac:dyDescent="0.3">
      <c r="A8" s="193" t="s">
        <v>290</v>
      </c>
      <c r="B8" s="193">
        <v>2</v>
      </c>
      <c r="C8" s="194">
        <f>SUM(_xlfn.ANCHORARRAY(N88))/B8</f>
        <v>0.56173379080776109</v>
      </c>
      <c r="D8" s="81">
        <f>SUM(_xlfn.ANCHORARRAY(N159))*F8/B8</f>
        <v>0.36826581307505923</v>
      </c>
      <c r="E8" s="97">
        <f>SUM(C8:D8)</f>
        <v>0.92999960388282032</v>
      </c>
      <c r="F8" s="195">
        <f>M152</f>
        <v>2.0863125275074747E-2</v>
      </c>
      <c r="G8" s="74">
        <f>1/F8</f>
        <v>47.931457383074992</v>
      </c>
      <c r="H8" s="94">
        <f>D8*G8</f>
        <v>17.651517125050663</v>
      </c>
      <c r="I8" s="205" cm="1">
        <f t="array" ref="I8">LOOKUP(2,1/(L88:L151&lt;&gt;0),B16:B79)</f>
        <v>60</v>
      </c>
      <c r="J8" s="206"/>
      <c r="L8" s="104"/>
      <c r="M8" s="101"/>
      <c r="N8" s="116"/>
    </row>
    <row r="9" spans="1:19" x14ac:dyDescent="0.3">
      <c r="A9" s="51"/>
      <c r="B9" s="51"/>
      <c r="C9" s="51"/>
      <c r="D9" s="51"/>
      <c r="E9" s="51"/>
      <c r="F9" s="51"/>
      <c r="G9" s="51"/>
      <c r="H9" s="51"/>
      <c r="I9" s="206"/>
      <c r="J9" s="206"/>
      <c r="L9" s="107"/>
      <c r="M9" s="101"/>
      <c r="N9" s="116"/>
    </row>
    <row r="10" spans="1:19" x14ac:dyDescent="0.3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118"/>
      <c r="M10" s="104"/>
      <c r="N10" s="104"/>
    </row>
    <row r="11" spans="1:19" x14ac:dyDescent="0.3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118"/>
      <c r="M11" s="104"/>
      <c r="N11" s="104"/>
    </row>
    <row r="12" spans="1:19" s="56" customFormat="1" x14ac:dyDescent="0.3">
      <c r="A12" s="229" t="s">
        <v>49</v>
      </c>
      <c r="B12" s="229"/>
      <c r="C12" s="229"/>
      <c r="D12" s="229"/>
      <c r="E12" s="52"/>
      <c r="F12" s="52"/>
      <c r="G12" s="87"/>
      <c r="H12" s="54"/>
      <c r="I12" s="55"/>
      <c r="J12" s="53"/>
      <c r="K12" s="53"/>
      <c r="L12" s="53"/>
      <c r="M12" s="53"/>
      <c r="N12" s="53"/>
      <c r="O12" s="87"/>
    </row>
    <row r="13" spans="1:19" x14ac:dyDescent="0.3">
      <c r="A13" s="51"/>
      <c r="B13" s="51"/>
      <c r="C13" s="1"/>
      <c r="D13" s="1"/>
      <c r="E13" s="1"/>
      <c r="F13" s="1"/>
      <c r="G13" s="50">
        <v>9.9999999999999995E-7</v>
      </c>
      <c r="H13" s="13"/>
      <c r="I13" s="51"/>
      <c r="J13" s="51"/>
      <c r="K13" s="51"/>
      <c r="L13" s="51"/>
      <c r="M13" s="51"/>
      <c r="N13" s="51"/>
    </row>
    <row r="14" spans="1:19" x14ac:dyDescent="0.3">
      <c r="A14" s="69" t="s">
        <v>75</v>
      </c>
      <c r="B14" s="215">
        <f>Multiplier_Weight_Oldhand!B14</f>
        <v>1000000000</v>
      </c>
      <c r="C14" s="1"/>
      <c r="D14" s="1"/>
      <c r="E14" s="1"/>
      <c r="F14" s="1"/>
      <c r="G14" s="50">
        <v>450154</v>
      </c>
      <c r="H14" s="69" t="s">
        <v>76</v>
      </c>
      <c r="I14" s="51"/>
      <c r="J14" s="51"/>
      <c r="K14" s="51"/>
      <c r="L14" s="51"/>
      <c r="M14" s="51"/>
      <c r="N14" s="51"/>
      <c r="P14" s="24" t="s">
        <v>81</v>
      </c>
    </row>
    <row r="15" spans="1:19" ht="16.2" x14ac:dyDescent="0.3">
      <c r="A15" s="129" t="s">
        <v>58</v>
      </c>
      <c r="B15" s="130" t="s">
        <v>59</v>
      </c>
      <c r="C15" s="216" t="s">
        <v>71</v>
      </c>
      <c r="D15" s="20" t="s">
        <v>72</v>
      </c>
      <c r="E15" s="20" t="s">
        <v>73</v>
      </c>
      <c r="F15" s="20" t="s">
        <v>85</v>
      </c>
      <c r="G15" s="89">
        <f>1+G14*G13</f>
        <v>1.4501539999999999</v>
      </c>
      <c r="H15" s="20" t="s">
        <v>61</v>
      </c>
      <c r="I15" s="20" t="s">
        <v>331</v>
      </c>
      <c r="J15" s="20" t="s">
        <v>64</v>
      </c>
      <c r="K15" s="20" t="s">
        <v>65</v>
      </c>
      <c r="L15" s="20" t="s">
        <v>66</v>
      </c>
      <c r="M15" s="20" t="s">
        <v>67</v>
      </c>
      <c r="N15" s="20" t="s">
        <v>60</v>
      </c>
      <c r="O15" s="50">
        <v>0.9</v>
      </c>
      <c r="P15" s="85" t="s">
        <v>84</v>
      </c>
      <c r="Q15" s="185" t="s">
        <v>289</v>
      </c>
      <c r="R15" s="85" t="s">
        <v>217</v>
      </c>
      <c r="S15" s="85" t="s">
        <v>80</v>
      </c>
    </row>
    <row r="16" spans="1:19" x14ac:dyDescent="0.3">
      <c r="A16" s="63">
        <v>-1</v>
      </c>
      <c r="B16" s="63">
        <v>0</v>
      </c>
      <c r="C16" s="95" cm="1">
        <f t="array" ref="C16:D79">Multiplier_Weight_Oldhand!C16:D79</f>
        <v>737428057</v>
      </c>
      <c r="D16" s="95">
        <v>0</v>
      </c>
      <c r="E16" s="68" cm="1">
        <f t="array" ref="E16:E79">_xlfn.LET(_xlpm.x, C16:C79, _xlpm.x/SUM(_xlpm.x))</f>
        <v>0.75568025613499457</v>
      </c>
      <c r="F16" s="91" cm="1">
        <f t="array" ref="F16:F81">_xlfn.LET(_xlpm.x, D16:D81/C16:C81/B3, IF(ISERR(_xlpm.x), 0, _xlpm.x))</f>
        <v>0</v>
      </c>
      <c r="G16" s="89"/>
      <c r="H16" s="60" t="str">
        <f>"("&amp;$A16&amp;", "&amp;$B16&amp;"]"</f>
        <v>(-1, 0]</v>
      </c>
      <c r="I16" s="61">
        <v>0.96</v>
      </c>
      <c r="J16" s="58" cm="1">
        <f t="array" ref="J16:J80">E16:E80*I16:I80</f>
        <v>0.72545304588959481</v>
      </c>
      <c r="K16" s="58" cm="1">
        <f t="array" ref="K16:K79">J16:J79/SUM(_xlfn.ANCHORARRAY(J16))</f>
        <v>0.70289029079295695</v>
      </c>
      <c r="L16" s="115" cm="1">
        <f t="array" ref="L16:L80">INT(K16:K80*$B$2)</f>
        <v>702890290</v>
      </c>
      <c r="M16" s="58" cm="1">
        <f t="array" ref="M16:M80">_xlfn.LET(_xlpm.x, L16:L80, _xlpm.x/SUM(_xlpm.x))</f>
        <v>0.70279896338310521</v>
      </c>
      <c r="N16" s="58" cm="1">
        <f t="array" ref="N16:N80">M16:M80*F16:F80</f>
        <v>0</v>
      </c>
      <c r="O16" s="117" cm="1">
        <f t="array" ref="O16:O79">I16:I79*O15</f>
        <v>0.86399999999999999</v>
      </c>
      <c r="P16" s="58" cm="1">
        <f t="array" ref="P16:P79">M16:M79</f>
        <v>0.70279896338310521</v>
      </c>
      <c r="Q16" s="58">
        <v>0.72294875282443027</v>
      </c>
      <c r="R16" s="58">
        <v>0.72554635178004934</v>
      </c>
      <c r="S16" s="82" cm="1">
        <f t="array" ref="S16:S79">_xlfn.LET(_xlpm.x, Q16:Q79/M16:M79, IF(ISERR(_xlpm.x), 0, ROUND(_xlpm.x,2)))</f>
        <v>1.03</v>
      </c>
    </row>
    <row r="17" spans="1:19" x14ac:dyDescent="0.3">
      <c r="A17" s="57">
        <v>0</v>
      </c>
      <c r="B17" s="57">
        <v>1</v>
      </c>
      <c r="C17" s="95">
        <v>124960454</v>
      </c>
      <c r="D17" s="95">
        <v>5670928890</v>
      </c>
      <c r="E17" s="58">
        <v>0.12805337007331308</v>
      </c>
      <c r="F17" s="92">
        <v>0.453817884656533</v>
      </c>
      <c r="G17" s="89"/>
      <c r="H17" s="60" t="str">
        <f t="shared" ref="H17:H79" si="0">"("&amp;$A17&amp;", "&amp;$B17&amp;"]"</f>
        <v>(0, 1]</v>
      </c>
      <c r="I17" s="61">
        <v>1.27</v>
      </c>
      <c r="J17" s="58">
        <v>0.16262777999310762</v>
      </c>
      <c r="K17" s="58">
        <v>0.15756979478967542</v>
      </c>
      <c r="L17" s="115">
        <v>157569794</v>
      </c>
      <c r="M17" s="58">
        <v>0.15754932093839202</v>
      </c>
      <c r="N17" s="58">
        <v>7.1498699557334289E-2</v>
      </c>
      <c r="O17" s="117">
        <v>1.143</v>
      </c>
      <c r="P17" s="58">
        <v>0.15754932093839202</v>
      </c>
      <c r="Q17" s="58">
        <v>0.16136085442046003</v>
      </c>
      <c r="R17" s="58">
        <v>0.15905886499823757</v>
      </c>
      <c r="S17" s="82">
        <v>1.02</v>
      </c>
    </row>
    <row r="18" spans="1:19" x14ac:dyDescent="0.3">
      <c r="A18" s="57">
        <v>1</v>
      </c>
      <c r="B18" s="57">
        <v>2</v>
      </c>
      <c r="C18" s="95">
        <v>33683617</v>
      </c>
      <c r="D18" s="95">
        <v>5063260970</v>
      </c>
      <c r="E18" s="58">
        <v>3.4517325562123356E-2</v>
      </c>
      <c r="F18" s="92">
        <v>1.5031820870068673</v>
      </c>
      <c r="G18" s="89"/>
      <c r="H18" s="60" t="str">
        <f t="shared" si="0"/>
        <v>(1, 2]</v>
      </c>
      <c r="I18" s="61">
        <v>1.33</v>
      </c>
      <c r="J18" s="58">
        <v>4.590804299762407E-2</v>
      </c>
      <c r="K18" s="58">
        <v>4.4480229113610201E-2</v>
      </c>
      <c r="L18" s="115">
        <v>44480229</v>
      </c>
      <c r="M18" s="58">
        <v>4.4474449678687605E-2</v>
      </c>
      <c r="N18" s="58">
        <v>6.6853196086491526E-2</v>
      </c>
      <c r="O18" s="117">
        <v>1.1970000000000001</v>
      </c>
      <c r="P18" s="58">
        <v>4.4474449678687605E-2</v>
      </c>
      <c r="Q18" s="58">
        <v>4.5756934610305687E-2</v>
      </c>
      <c r="R18" s="58">
        <v>4.9788508988367994E-2</v>
      </c>
      <c r="S18" s="82">
        <v>1.03</v>
      </c>
    </row>
    <row r="19" spans="1:19" x14ac:dyDescent="0.3">
      <c r="A19" s="57">
        <v>2</v>
      </c>
      <c r="B19" s="57">
        <v>3</v>
      </c>
      <c r="C19" s="95">
        <v>15731868</v>
      </c>
      <c r="D19" s="95">
        <v>3966955370</v>
      </c>
      <c r="E19" s="58">
        <v>1.6121249967197715E-2</v>
      </c>
      <c r="F19" s="92">
        <v>2.5216047897172795</v>
      </c>
      <c r="G19" s="89"/>
      <c r="H19" s="60" t="str">
        <f t="shared" si="0"/>
        <v>(2, 3]</v>
      </c>
      <c r="I19" s="61">
        <v>1.35</v>
      </c>
      <c r="J19" s="58">
        <v>2.1763687455716916E-2</v>
      </c>
      <c r="K19" s="58">
        <v>2.1086801814605635E-2</v>
      </c>
      <c r="L19" s="115">
        <v>21086801</v>
      </c>
      <c r="M19" s="58">
        <v>2.1084061189500607E-2</v>
      </c>
      <c r="N19" s="58">
        <v>5.3165669682136936E-2</v>
      </c>
      <c r="O19" s="117">
        <v>1.2150000000000001</v>
      </c>
      <c r="P19" s="58">
        <v>2.1084061189500607E-2</v>
      </c>
      <c r="Q19" s="58">
        <v>2.1758000231243222E-2</v>
      </c>
      <c r="R19" s="58">
        <v>2.1457525555163906E-2</v>
      </c>
      <c r="S19" s="82">
        <v>1.03</v>
      </c>
    </row>
    <row r="20" spans="1:19" x14ac:dyDescent="0.3">
      <c r="A20" s="57">
        <v>3</v>
      </c>
      <c r="B20" s="57">
        <v>4</v>
      </c>
      <c r="C20" s="95">
        <v>7891833</v>
      </c>
      <c r="D20" s="95">
        <v>2817483325</v>
      </c>
      <c r="E20" s="58">
        <v>8.0871650138673833E-3</v>
      </c>
      <c r="F20" s="92">
        <v>3.5701253751821662</v>
      </c>
      <c r="G20" s="89">
        <v>1.391254729845288</v>
      </c>
      <c r="H20" s="60" t="str">
        <f t="shared" si="0"/>
        <v>(3, 4]</v>
      </c>
      <c r="I20" s="198" cm="1">
        <f t="array" ref="I20:I79">G20:G79*G15</f>
        <v>2.0175336115040636</v>
      </c>
      <c r="J20" s="58">
        <v>1.6316127237257172E-2</v>
      </c>
      <c r="K20" s="58">
        <v>1.5808669469913477E-2</v>
      </c>
      <c r="L20" s="115">
        <v>15808669</v>
      </c>
      <c r="M20" s="58">
        <v>1.5806614977803481E-2</v>
      </c>
      <c r="N20" s="58">
        <v>5.6431597227990696E-2</v>
      </c>
      <c r="O20" s="117">
        <v>1.8157802503536573</v>
      </c>
      <c r="P20" s="58">
        <v>1.5806614977803481E-2</v>
      </c>
      <c r="Q20" s="58">
        <v>8.5068854662453865E-3</v>
      </c>
      <c r="R20" s="58">
        <v>9.4289742685935846E-3</v>
      </c>
      <c r="S20" s="82">
        <v>0.54</v>
      </c>
    </row>
    <row r="21" spans="1:19" x14ac:dyDescent="0.3">
      <c r="A21" s="57">
        <v>4</v>
      </c>
      <c r="B21" s="57">
        <v>5</v>
      </c>
      <c r="C21" s="95">
        <v>5580810</v>
      </c>
      <c r="D21" s="95">
        <v>2567489145</v>
      </c>
      <c r="E21" s="58">
        <v>5.7189415160003049E-3</v>
      </c>
      <c r="F21" s="92">
        <v>4.6005672026103737</v>
      </c>
      <c r="G21" s="89">
        <v>1.5502552703990351</v>
      </c>
      <c r="H21" s="60" t="str">
        <f t="shared" si="0"/>
        <v>(4, 5]</v>
      </c>
      <c r="I21" s="61">
        <v>2.2481088813902423</v>
      </c>
      <c r="J21" s="58">
        <v>1.2856803214271663E-2</v>
      </c>
      <c r="K21" s="58">
        <v>1.2456935981109028E-2</v>
      </c>
      <c r="L21" s="115">
        <v>12456935</v>
      </c>
      <c r="M21" s="58">
        <v>1.2455316468990804E-2</v>
      </c>
      <c r="N21" s="58">
        <v>5.7301520445371942E-2</v>
      </c>
      <c r="O21" s="117">
        <v>2.0232979932512181</v>
      </c>
      <c r="P21" s="58">
        <v>1.2455316468990804E-2</v>
      </c>
      <c r="Q21" s="58">
        <v>6.6698354145381805E-3</v>
      </c>
      <c r="R21" s="58">
        <v>6.2566090941134998E-3</v>
      </c>
      <c r="S21" s="82">
        <v>0.54</v>
      </c>
    </row>
    <row r="22" spans="1:19" x14ac:dyDescent="0.3">
      <c r="A22" s="57">
        <v>5</v>
      </c>
      <c r="B22" s="57">
        <v>6</v>
      </c>
      <c r="C22" s="95">
        <v>4164929</v>
      </c>
      <c r="D22" s="95">
        <v>2327993340</v>
      </c>
      <c r="E22" s="58">
        <v>4.2680158201575816E-3</v>
      </c>
      <c r="F22" s="92">
        <v>5.5895150673636929</v>
      </c>
      <c r="G22" s="89">
        <v>1.7092558109527825</v>
      </c>
      <c r="H22" s="60" t="str">
        <f t="shared" si="0"/>
        <v>(5, 6]</v>
      </c>
      <c r="I22" s="61">
        <v>2.4786841512764211</v>
      </c>
      <c r="J22" s="58">
        <v>1.0579063170821633E-2</v>
      </c>
      <c r="K22" s="58">
        <v>1.0250037311977232E-2</v>
      </c>
      <c r="L22" s="115">
        <v>10250037</v>
      </c>
      <c r="M22" s="58">
        <v>1.0248705211503881E-2</v>
      </c>
      <c r="N22" s="58">
        <v>5.7285292200669746E-2</v>
      </c>
      <c r="O22" s="117">
        <v>2.230815736148779</v>
      </c>
      <c r="P22" s="58">
        <v>1.0248705211503881E-2</v>
      </c>
      <c r="Q22" s="58">
        <v>5.4541948981352501E-3</v>
      </c>
      <c r="R22" s="58">
        <v>5.37539654564681E-3</v>
      </c>
      <c r="S22" s="82">
        <v>0.53</v>
      </c>
    </row>
    <row r="23" spans="1:19" x14ac:dyDescent="0.3">
      <c r="A23" s="57">
        <v>6</v>
      </c>
      <c r="B23" s="57">
        <v>7</v>
      </c>
      <c r="C23" s="95">
        <v>2786352</v>
      </c>
      <c r="D23" s="95">
        <v>1828894325</v>
      </c>
      <c r="E23" s="58">
        <v>2.8553174415524773E-3</v>
      </c>
      <c r="F23" s="92">
        <v>6.5637590835615889</v>
      </c>
      <c r="G23" s="89">
        <v>1.18</v>
      </c>
      <c r="H23" s="60" t="str">
        <f t="shared" si="0"/>
        <v>(6, 7]</v>
      </c>
      <c r="I23" s="61">
        <v>1.7111817199999999</v>
      </c>
      <c r="J23" s="58">
        <v>4.8859670107817676E-3</v>
      </c>
      <c r="K23" s="58">
        <v>4.7340055879176082E-3</v>
      </c>
      <c r="L23" s="115">
        <v>4734005</v>
      </c>
      <c r="M23" s="58">
        <v>4.7333899101813419E-3</v>
      </c>
      <c r="N23" s="58">
        <v>3.1068831018991556E-2</v>
      </c>
      <c r="O23" s="117">
        <v>1.540063548</v>
      </c>
      <c r="P23" s="58">
        <v>4.7333899101813419E-3</v>
      </c>
      <c r="Q23" s="58">
        <v>3.3318405313007824E-3</v>
      </c>
      <c r="R23" s="58">
        <v>2.5114557631300671E-3</v>
      </c>
      <c r="S23" s="82">
        <v>0.7</v>
      </c>
    </row>
    <row r="24" spans="1:19" x14ac:dyDescent="0.3">
      <c r="A24" s="57">
        <v>7</v>
      </c>
      <c r="B24" s="57">
        <v>8</v>
      </c>
      <c r="C24" s="95">
        <v>2886263</v>
      </c>
      <c r="D24" s="95">
        <v>2199517210</v>
      </c>
      <c r="E24" s="58">
        <v>2.9577013546054401E-3</v>
      </c>
      <c r="F24" s="92">
        <v>7.6206402881511481</v>
      </c>
      <c r="G24" s="89">
        <v>0.97</v>
      </c>
      <c r="H24" s="60" t="str">
        <f t="shared" si="0"/>
        <v>(7, 8]</v>
      </c>
      <c r="I24" s="61">
        <v>1.4066493799999999</v>
      </c>
      <c r="J24" s="58">
        <v>4.1604487766809025E-3</v>
      </c>
      <c r="K24" s="58">
        <v>4.0310521363714699E-3</v>
      </c>
      <c r="L24" s="115">
        <v>4031052</v>
      </c>
      <c r="M24" s="58">
        <v>4.0305282449461539E-3</v>
      </c>
      <c r="N24" s="58">
        <v>3.0715205925967798E-2</v>
      </c>
      <c r="O24" s="117">
        <v>1.2659844419999999</v>
      </c>
      <c r="P24" s="58">
        <v>4.0305282449461539E-3</v>
      </c>
      <c r="Q24" s="58">
        <v>2.8156200112303422E-3</v>
      </c>
      <c r="R24" s="58">
        <v>3.0842439196334154E-3</v>
      </c>
      <c r="S24" s="82">
        <v>0.7</v>
      </c>
    </row>
    <row r="25" spans="1:19" x14ac:dyDescent="0.3">
      <c r="A25" s="57">
        <v>8</v>
      </c>
      <c r="B25" s="57">
        <v>9</v>
      </c>
      <c r="C25" s="95">
        <v>2121277</v>
      </c>
      <c r="D25" s="95">
        <v>1824061555</v>
      </c>
      <c r="E25" s="58">
        <v>2.1737810644398533E-3</v>
      </c>
      <c r="F25" s="92">
        <v>8.5988843276950622</v>
      </c>
      <c r="G25" s="89">
        <v>1.19</v>
      </c>
      <c r="H25" s="60" t="str">
        <f t="shared" si="0"/>
        <v>(8, 9]</v>
      </c>
      <c r="I25" s="61">
        <v>1.7256832599999998</v>
      </c>
      <c r="J25" s="58">
        <v>3.7512575938088355E-3</v>
      </c>
      <c r="K25" s="58">
        <v>3.6345874566123988E-3</v>
      </c>
      <c r="L25" s="115">
        <v>3634587</v>
      </c>
      <c r="M25" s="58">
        <v>3.6341147576895824E-3</v>
      </c>
      <c r="N25" s="58">
        <v>3.1249332434942288E-2</v>
      </c>
      <c r="O25" s="117">
        <v>1.5531149339999999</v>
      </c>
      <c r="P25" s="58">
        <v>3.6341147576895824E-3</v>
      </c>
      <c r="Q25" s="58">
        <v>2.5445965127515817E-3</v>
      </c>
      <c r="R25" s="58">
        <v>2.687698272823405E-3</v>
      </c>
      <c r="S25" s="82">
        <v>0.7</v>
      </c>
    </row>
    <row r="26" spans="1:19" x14ac:dyDescent="0.3">
      <c r="A26" s="57">
        <v>9</v>
      </c>
      <c r="B26" s="57">
        <v>10</v>
      </c>
      <c r="C26" s="95">
        <v>1982595</v>
      </c>
      <c r="D26" s="95">
        <v>1912247295</v>
      </c>
      <c r="E26" s="58">
        <v>2.0316665241989287E-3</v>
      </c>
      <c r="F26" s="92">
        <v>9.6451735982386726</v>
      </c>
      <c r="G26" s="89">
        <v>1.1399999999999999</v>
      </c>
      <c r="H26" s="60" t="str">
        <f t="shared" si="0"/>
        <v>(9, 10]</v>
      </c>
      <c r="I26" s="61">
        <v>1.6531755599999998</v>
      </c>
      <c r="J26" s="58">
        <v>3.3587014438758171E-3</v>
      </c>
      <c r="K26" s="58">
        <v>3.254240433545416E-3</v>
      </c>
      <c r="L26" s="115">
        <v>3254240</v>
      </c>
      <c r="M26" s="58">
        <v>3.2538171762194019E-3</v>
      </c>
      <c r="N26" s="58">
        <v>3.1383631521566889E-2</v>
      </c>
      <c r="O26" s="117">
        <v>1.4878580039999998</v>
      </c>
      <c r="P26" s="58">
        <v>3.2538171762194019E-3</v>
      </c>
      <c r="Q26" s="58">
        <v>2.2718729170527617E-3</v>
      </c>
      <c r="R26" s="58">
        <v>2.2470919985900597E-3</v>
      </c>
      <c r="S26" s="82">
        <v>0.7</v>
      </c>
    </row>
    <row r="27" spans="1:19" x14ac:dyDescent="0.3">
      <c r="A27" s="57">
        <v>10</v>
      </c>
      <c r="B27" s="57">
        <v>15</v>
      </c>
      <c r="C27" s="95">
        <v>6840763</v>
      </c>
      <c r="D27" s="95">
        <v>8514472135</v>
      </c>
      <c r="E27" s="58">
        <v>7.0100798131129335E-3</v>
      </c>
      <c r="F27" s="92">
        <v>12.446670254473077</v>
      </c>
      <c r="G27" s="89">
        <v>0.45</v>
      </c>
      <c r="H27" s="60" t="str">
        <f t="shared" si="0"/>
        <v>(10, 15]</v>
      </c>
      <c r="I27" s="61">
        <v>0.65256930000000002</v>
      </c>
      <c r="J27" s="58">
        <v>4.5745628765872376E-3</v>
      </c>
      <c r="K27" s="58">
        <v>4.4322866225368586E-3</v>
      </c>
      <c r="L27" s="115">
        <v>4432286</v>
      </c>
      <c r="M27" s="58">
        <v>4.4317101125660027E-3</v>
      </c>
      <c r="N27" s="58">
        <v>5.5160034434522796E-2</v>
      </c>
      <c r="O27" s="117">
        <v>0.58731237000000003</v>
      </c>
      <c r="P27" s="58">
        <v>4.4317101125660027E-3</v>
      </c>
      <c r="Q27" s="58">
        <v>3.0238589193723043E-3</v>
      </c>
      <c r="R27" s="58">
        <v>4.9788508988367992E-3</v>
      </c>
      <c r="S27" s="82">
        <v>0.68</v>
      </c>
    </row>
    <row r="28" spans="1:19" x14ac:dyDescent="0.3">
      <c r="A28" s="57">
        <v>15</v>
      </c>
      <c r="B28" s="57">
        <v>20</v>
      </c>
      <c r="C28" s="95">
        <v>4640184</v>
      </c>
      <c r="D28" s="95">
        <v>8115369895</v>
      </c>
      <c r="E28" s="58">
        <v>4.7550339322572095E-3</v>
      </c>
      <c r="F28" s="92">
        <v>17.489327783122395</v>
      </c>
      <c r="G28" s="89">
        <v>1.05</v>
      </c>
      <c r="H28" s="111" t="str">
        <f t="shared" si="0"/>
        <v>(15, 20]</v>
      </c>
      <c r="I28" s="61">
        <v>1.5226617</v>
      </c>
      <c r="J28" s="58">
        <v>7.2403080508484478E-3</v>
      </c>
      <c r="K28" s="58">
        <v>7.0151228396192556E-3</v>
      </c>
      <c r="L28" s="115">
        <v>7015122</v>
      </c>
      <c r="M28" s="58">
        <v>7.0142105243849876E-3</v>
      </c>
      <c r="N28" s="58">
        <v>0.12267382700079586</v>
      </c>
      <c r="O28" s="117">
        <v>1.3703955300000001</v>
      </c>
      <c r="P28" s="58">
        <v>7.0142105243849876E-3</v>
      </c>
      <c r="Q28" s="58">
        <v>3.9646257171216332E-3</v>
      </c>
      <c r="R28" s="58">
        <v>2.3352132534367291E-3</v>
      </c>
      <c r="S28" s="82">
        <v>0.56999999999999995</v>
      </c>
    </row>
    <row r="29" spans="1:19" x14ac:dyDescent="0.3">
      <c r="A29" s="57">
        <v>20</v>
      </c>
      <c r="B29" s="57">
        <v>25</v>
      </c>
      <c r="C29" s="95">
        <v>3240350</v>
      </c>
      <c r="D29" s="95">
        <v>7303039190</v>
      </c>
      <c r="E29" s="58">
        <v>3.3205524182639413E-3</v>
      </c>
      <c r="F29" s="92">
        <v>22.537809773635562</v>
      </c>
      <c r="G29" s="89">
        <v>0.5</v>
      </c>
      <c r="H29" s="60" t="str">
        <f t="shared" si="0"/>
        <v>(20, 25]</v>
      </c>
      <c r="I29" s="61">
        <v>0.72507699999999997</v>
      </c>
      <c r="J29" s="58">
        <v>2.4076561857775637E-3</v>
      </c>
      <c r="K29" s="58">
        <v>2.3327742107353473E-3</v>
      </c>
      <c r="L29" s="115">
        <v>2332774</v>
      </c>
      <c r="M29" s="58">
        <v>2.3324709024036454E-3</v>
      </c>
      <c r="N29" s="58">
        <v>5.2568785500913436E-2</v>
      </c>
      <c r="O29" s="117">
        <v>0.65256930000000002</v>
      </c>
      <c r="P29" s="58">
        <v>2.3324709024036454E-3</v>
      </c>
      <c r="Q29" s="58">
        <v>1.6558466895929445E-3</v>
      </c>
      <c r="R29" s="58">
        <v>1.8064857243567148E-3</v>
      </c>
      <c r="S29" s="82">
        <v>0.71</v>
      </c>
    </row>
    <row r="30" spans="1:19" x14ac:dyDescent="0.3">
      <c r="A30" s="57">
        <v>25</v>
      </c>
      <c r="B30" s="57">
        <v>30</v>
      </c>
      <c r="C30" s="95">
        <v>2609813</v>
      </c>
      <c r="D30" s="95">
        <v>7187928000</v>
      </c>
      <c r="E30" s="58">
        <v>2.6744088966829732E-3</v>
      </c>
      <c r="F30" s="92">
        <v>27.541927333490943</v>
      </c>
      <c r="G30" s="89">
        <v>0.18</v>
      </c>
      <c r="H30" s="60" t="str">
        <f t="shared" si="0"/>
        <v>(25, 30]</v>
      </c>
      <c r="I30" s="61">
        <v>0.26102771999999996</v>
      </c>
      <c r="J30" s="58">
        <v>6.9809485664887197E-4</v>
      </c>
      <c r="K30" s="58">
        <v>6.7638298518587982E-4</v>
      </c>
      <c r="L30" s="115">
        <v>676382</v>
      </c>
      <c r="M30" s="58">
        <v>6.762941176082991E-4</v>
      </c>
      <c r="N30" s="58">
        <v>1.8626443443235153E-2</v>
      </c>
      <c r="O30" s="117">
        <v>0.23492494799999997</v>
      </c>
      <c r="P30" s="58">
        <v>6.762941176082991E-4</v>
      </c>
      <c r="Q30" s="58">
        <v>6.70909365952092E-4</v>
      </c>
      <c r="R30" s="58">
        <v>8.8121254846669017E-4</v>
      </c>
      <c r="S30" s="82">
        <v>0.99</v>
      </c>
    </row>
    <row r="31" spans="1:19" x14ac:dyDescent="0.3">
      <c r="A31" s="57">
        <v>30</v>
      </c>
      <c r="B31" s="57">
        <v>35</v>
      </c>
      <c r="C31" s="95">
        <v>1960951</v>
      </c>
      <c r="D31" s="95">
        <v>6379124260</v>
      </c>
      <c r="E31" s="58">
        <v>2.0094868101122082E-3</v>
      </c>
      <c r="F31" s="92">
        <v>32.530768285388056</v>
      </c>
      <c r="G31" s="89">
        <v>0.2</v>
      </c>
      <c r="H31" s="60" t="str">
        <f t="shared" si="0"/>
        <v>(30, 35]</v>
      </c>
      <c r="I31" s="61">
        <v>0.29003079999999998</v>
      </c>
      <c r="J31" s="58">
        <v>5.8281306712629178E-4</v>
      </c>
      <c r="K31" s="58">
        <v>5.6468664450638848E-4</v>
      </c>
      <c r="L31" s="115">
        <v>564686</v>
      </c>
      <c r="M31" s="58">
        <v>5.6461263028253269E-4</v>
      </c>
      <c r="N31" s="58">
        <v>1.8367282646724548E-2</v>
      </c>
      <c r="O31" s="117">
        <v>0.26102771999999996</v>
      </c>
      <c r="P31" s="58">
        <v>5.6461263028253269E-4</v>
      </c>
      <c r="Q31" s="58">
        <v>5.6786647344428387E-4</v>
      </c>
      <c r="R31" s="58">
        <v>4.8466690165667957E-4</v>
      </c>
      <c r="S31" s="82">
        <v>1.01</v>
      </c>
    </row>
    <row r="32" spans="1:19" x14ac:dyDescent="0.3">
      <c r="A32" s="57">
        <v>35</v>
      </c>
      <c r="B32" s="57">
        <v>40</v>
      </c>
      <c r="C32" s="95">
        <v>1698327</v>
      </c>
      <c r="D32" s="95">
        <v>6375630385</v>
      </c>
      <c r="E32" s="58">
        <v>1.7403625617149212E-3</v>
      </c>
      <c r="F32" s="92">
        <v>37.540652565730859</v>
      </c>
      <c r="G32" s="89">
        <v>0.3</v>
      </c>
      <c r="H32" s="111" t="str">
        <f t="shared" si="0"/>
        <v>(35, 40]</v>
      </c>
      <c r="I32" s="61">
        <v>0.43504619999999999</v>
      </c>
      <c r="J32" s="58">
        <v>7.5713811909634192E-4</v>
      </c>
      <c r="K32" s="58">
        <v>7.3358990732399836E-4</v>
      </c>
      <c r="L32" s="115">
        <v>733589</v>
      </c>
      <c r="M32" s="58">
        <v>7.334936846961548E-4</v>
      </c>
      <c r="N32" s="58">
        <v>2.7535831576336087E-2</v>
      </c>
      <c r="O32" s="117">
        <v>0.39154158</v>
      </c>
      <c r="P32" s="58">
        <v>7.334936846961548E-4</v>
      </c>
      <c r="Q32" s="58">
        <v>9.7218159420446463E-4</v>
      </c>
      <c r="R32" s="58">
        <v>7.0497003877335212E-4</v>
      </c>
      <c r="S32" s="82">
        <v>1.33</v>
      </c>
    </row>
    <row r="33" spans="1:19" x14ac:dyDescent="0.3">
      <c r="A33" s="57">
        <v>40</v>
      </c>
      <c r="B33" s="57">
        <v>45</v>
      </c>
      <c r="C33" s="95">
        <v>1400288</v>
      </c>
      <c r="D33" s="95">
        <v>5968140920</v>
      </c>
      <c r="E33" s="58">
        <v>1.4349467510194819E-3</v>
      </c>
      <c r="F33" s="92">
        <v>42.620810290454536</v>
      </c>
      <c r="G33" s="89">
        <v>0</v>
      </c>
      <c r="H33" s="60" t="str">
        <f t="shared" si="0"/>
        <v>(40, 45]</v>
      </c>
      <c r="I33" s="61">
        <v>0</v>
      </c>
      <c r="J33" s="58">
        <v>0</v>
      </c>
      <c r="K33" s="58">
        <v>0</v>
      </c>
      <c r="L33" s="115">
        <v>0</v>
      </c>
      <c r="M33" s="58">
        <v>0</v>
      </c>
      <c r="N33" s="58">
        <v>0</v>
      </c>
      <c r="O33" s="117">
        <v>0</v>
      </c>
      <c r="P33" s="58">
        <v>0</v>
      </c>
      <c r="Q33" s="58">
        <v>2.2260372959427685E-4</v>
      </c>
      <c r="R33" s="58">
        <v>3.5248501938667606E-4</v>
      </c>
      <c r="S33" s="82">
        <v>0</v>
      </c>
    </row>
    <row r="34" spans="1:19" x14ac:dyDescent="0.3">
      <c r="A34" s="57">
        <v>45</v>
      </c>
      <c r="B34" s="57">
        <v>50</v>
      </c>
      <c r="C34" s="95">
        <v>1178348</v>
      </c>
      <c r="D34" s="95">
        <v>5615779505</v>
      </c>
      <c r="E34" s="58">
        <v>1.2075134787774403E-3</v>
      </c>
      <c r="F34" s="92">
        <v>47.658073039543495</v>
      </c>
      <c r="G34" s="89">
        <v>0</v>
      </c>
      <c r="H34" s="60" t="str">
        <f t="shared" si="0"/>
        <v>(45, 50]</v>
      </c>
      <c r="I34" s="61">
        <v>0</v>
      </c>
      <c r="J34" s="58">
        <v>0</v>
      </c>
      <c r="K34" s="58">
        <v>0</v>
      </c>
      <c r="L34" s="115">
        <v>0</v>
      </c>
      <c r="M34" s="58">
        <v>0</v>
      </c>
      <c r="N34" s="58">
        <v>0</v>
      </c>
      <c r="O34" s="117">
        <v>0</v>
      </c>
      <c r="P34" s="58">
        <v>0</v>
      </c>
      <c r="Q34" s="58">
        <v>2.1215213191966382E-4</v>
      </c>
      <c r="R34" s="58">
        <v>1.3218188227000352E-4</v>
      </c>
      <c r="S34" s="82">
        <v>0</v>
      </c>
    </row>
    <row r="35" spans="1:19" x14ac:dyDescent="0.3">
      <c r="A35" s="57">
        <v>50</v>
      </c>
      <c r="B35" s="57">
        <v>60</v>
      </c>
      <c r="C35" s="95">
        <v>1971138</v>
      </c>
      <c r="D35" s="95">
        <v>10820608060</v>
      </c>
      <c r="E35" s="58">
        <v>2.0199259501695647E-3</v>
      </c>
      <c r="F35" s="92">
        <v>54.895233413388617</v>
      </c>
      <c r="G35" s="89">
        <v>0</v>
      </c>
      <c r="H35" s="111" t="str">
        <f t="shared" si="0"/>
        <v>(50, 60]</v>
      </c>
      <c r="I35" s="61">
        <v>0</v>
      </c>
      <c r="J35" s="58">
        <v>0</v>
      </c>
      <c r="K35" s="58">
        <v>0</v>
      </c>
      <c r="L35" s="115">
        <v>0</v>
      </c>
      <c r="M35" s="58">
        <v>0</v>
      </c>
      <c r="N35" s="58">
        <v>0</v>
      </c>
      <c r="O35" s="117">
        <v>0</v>
      </c>
      <c r="P35" s="58">
        <v>0</v>
      </c>
      <c r="Q35" s="58">
        <v>6.2280361502472517E-4</v>
      </c>
      <c r="R35" s="58">
        <v>3.0842439196334157E-4</v>
      </c>
      <c r="S35" s="82">
        <v>0</v>
      </c>
    </row>
    <row r="36" spans="1:19" x14ac:dyDescent="0.3">
      <c r="A36" s="57">
        <v>60</v>
      </c>
      <c r="B36" s="57">
        <v>70</v>
      </c>
      <c r="C36" s="95">
        <v>1442495</v>
      </c>
      <c r="D36" s="95">
        <v>9376281050</v>
      </c>
      <c r="E36" s="58">
        <v>1.4781984231899776E-3</v>
      </c>
      <c r="F36" s="92">
        <v>65.00044055611977</v>
      </c>
      <c r="G36" s="89">
        <v>0</v>
      </c>
      <c r="H36" s="60" t="str">
        <f t="shared" si="0"/>
        <v>(60, 70]</v>
      </c>
      <c r="I36" s="61">
        <v>0</v>
      </c>
      <c r="J36" s="58">
        <v>0</v>
      </c>
      <c r="K36" s="58">
        <v>0</v>
      </c>
      <c r="L36" s="115">
        <v>0</v>
      </c>
      <c r="M36" s="58">
        <v>0</v>
      </c>
      <c r="N36" s="58">
        <v>0</v>
      </c>
      <c r="O36" s="117">
        <v>0</v>
      </c>
      <c r="P36" s="58">
        <v>0</v>
      </c>
      <c r="Q36" s="58">
        <v>1.5079862341928023E-4</v>
      </c>
      <c r="R36" s="58">
        <v>1.7624250969333803E-4</v>
      </c>
      <c r="S36" s="82">
        <v>0</v>
      </c>
    </row>
    <row r="37" spans="1:19" x14ac:dyDescent="0.3">
      <c r="A37" s="57">
        <v>70</v>
      </c>
      <c r="B37" s="57">
        <v>80</v>
      </c>
      <c r="C37" s="95">
        <v>1166949</v>
      </c>
      <c r="D37" s="95">
        <v>8750269200</v>
      </c>
      <c r="E37" s="58">
        <v>1.1958323403153017E-3</v>
      </c>
      <c r="F37" s="92">
        <v>74.984161261546134</v>
      </c>
      <c r="G37" s="89">
        <v>0</v>
      </c>
      <c r="H37" s="60" t="str">
        <f t="shared" si="0"/>
        <v>(70, 80]</v>
      </c>
      <c r="I37" s="61">
        <v>0</v>
      </c>
      <c r="J37" s="58">
        <v>0</v>
      </c>
      <c r="K37" s="58">
        <v>0</v>
      </c>
      <c r="L37" s="115">
        <v>0</v>
      </c>
      <c r="M37" s="58">
        <v>0</v>
      </c>
      <c r="N37" s="58">
        <v>0</v>
      </c>
      <c r="O37" s="117">
        <v>0</v>
      </c>
      <c r="P37" s="58">
        <v>0</v>
      </c>
      <c r="Q37" s="58">
        <v>1.2982942429562834E-4</v>
      </c>
      <c r="R37" s="58">
        <v>1.3218188227000352E-4</v>
      </c>
      <c r="S37" s="82">
        <v>0</v>
      </c>
    </row>
    <row r="38" spans="1:19" x14ac:dyDescent="0.3">
      <c r="A38" s="57">
        <v>80</v>
      </c>
      <c r="B38" s="57">
        <v>90</v>
      </c>
      <c r="C38" s="95">
        <v>927868</v>
      </c>
      <c r="D38" s="95">
        <v>7890158495</v>
      </c>
      <c r="E38" s="58">
        <v>9.5083380845579243E-4</v>
      </c>
      <c r="F38" s="92">
        <v>85.03535519060901</v>
      </c>
      <c r="G38" s="89">
        <v>0</v>
      </c>
      <c r="H38" s="60" t="str">
        <f t="shared" si="0"/>
        <v>(80, 90]</v>
      </c>
      <c r="I38" s="61">
        <v>0</v>
      </c>
      <c r="J38" s="58">
        <v>0</v>
      </c>
      <c r="K38" s="58">
        <v>0</v>
      </c>
      <c r="L38" s="115">
        <v>0</v>
      </c>
      <c r="M38" s="58">
        <v>0</v>
      </c>
      <c r="N38" s="58">
        <v>0</v>
      </c>
      <c r="O38" s="117">
        <v>0</v>
      </c>
      <c r="P38" s="58">
        <v>0</v>
      </c>
      <c r="Q38" s="58">
        <v>1.1201240542940448E-4</v>
      </c>
      <c r="R38" s="58">
        <v>0</v>
      </c>
      <c r="S38" s="82">
        <v>0</v>
      </c>
    </row>
    <row r="39" spans="1:19" x14ac:dyDescent="0.3">
      <c r="A39" s="57">
        <v>90</v>
      </c>
      <c r="B39" s="57">
        <v>100</v>
      </c>
      <c r="C39" s="95">
        <v>779276</v>
      </c>
      <c r="D39" s="95">
        <v>7420406090</v>
      </c>
      <c r="E39" s="58">
        <v>7.9856398422857144E-4</v>
      </c>
      <c r="F39" s="92">
        <v>95.221796770335544</v>
      </c>
      <c r="G39" s="89">
        <v>0</v>
      </c>
      <c r="H39" s="60" t="str">
        <f t="shared" si="0"/>
        <v>(90, 100]</v>
      </c>
      <c r="I39" s="61">
        <v>0</v>
      </c>
      <c r="J39" s="58">
        <v>0</v>
      </c>
      <c r="K39" s="58">
        <v>0</v>
      </c>
      <c r="L39" s="115">
        <v>0</v>
      </c>
      <c r="M39" s="58">
        <v>0</v>
      </c>
      <c r="N39" s="58">
        <v>0</v>
      </c>
      <c r="O39" s="117">
        <v>0</v>
      </c>
      <c r="P39" s="58">
        <v>0</v>
      </c>
      <c r="Q39" s="58">
        <v>1.0128479197082886E-4</v>
      </c>
      <c r="R39" s="58">
        <v>8.8121254846669015E-5</v>
      </c>
      <c r="S39" s="82">
        <v>0</v>
      </c>
    </row>
    <row r="40" spans="1:19" x14ac:dyDescent="0.3">
      <c r="A40" s="57">
        <v>100</v>
      </c>
      <c r="B40" s="57">
        <v>120</v>
      </c>
      <c r="C40" s="95">
        <v>1202839</v>
      </c>
      <c r="D40" s="95">
        <v>13188274015</v>
      </c>
      <c r="E40" s="58">
        <v>1.2326106594140081E-3</v>
      </c>
      <c r="F40" s="92">
        <v>109.64288666230478</v>
      </c>
      <c r="G40" s="89">
        <v>0</v>
      </c>
      <c r="H40" s="60" t="str">
        <f t="shared" si="0"/>
        <v>(100, 120]</v>
      </c>
      <c r="I40" s="61">
        <v>0</v>
      </c>
      <c r="J40" s="58">
        <v>0</v>
      </c>
      <c r="K40" s="58">
        <v>0</v>
      </c>
      <c r="L40" s="115">
        <v>0</v>
      </c>
      <c r="M40" s="58">
        <v>0</v>
      </c>
      <c r="N40" s="58">
        <v>0</v>
      </c>
      <c r="O40" s="117">
        <v>0</v>
      </c>
      <c r="P40" s="58">
        <v>0</v>
      </c>
      <c r="Q40" s="58">
        <v>0</v>
      </c>
      <c r="R40" s="58">
        <v>0</v>
      </c>
      <c r="S40" s="82">
        <v>0</v>
      </c>
    </row>
    <row r="41" spans="1:19" x14ac:dyDescent="0.3">
      <c r="A41" s="57">
        <v>120</v>
      </c>
      <c r="B41" s="57">
        <v>140</v>
      </c>
      <c r="C41" s="95">
        <v>863606</v>
      </c>
      <c r="D41" s="95">
        <v>11203591810</v>
      </c>
      <c r="E41" s="58">
        <v>8.8498124947220186E-4</v>
      </c>
      <c r="F41" s="92">
        <v>129.73036095163766</v>
      </c>
      <c r="G41" s="89">
        <v>0</v>
      </c>
      <c r="H41" s="60" t="str">
        <f t="shared" si="0"/>
        <v>(120, 140]</v>
      </c>
      <c r="I41" s="61">
        <v>0</v>
      </c>
      <c r="J41" s="58">
        <v>0</v>
      </c>
      <c r="K41" s="58">
        <v>0</v>
      </c>
      <c r="L41" s="115">
        <v>0</v>
      </c>
      <c r="M41" s="58">
        <v>0</v>
      </c>
      <c r="N41" s="58">
        <v>0</v>
      </c>
      <c r="O41" s="117">
        <v>0</v>
      </c>
      <c r="P41" s="58">
        <v>0</v>
      </c>
      <c r="Q41" s="58">
        <v>0</v>
      </c>
      <c r="R41" s="58">
        <v>4.4060627423334507E-5</v>
      </c>
      <c r="S41" s="82">
        <v>0</v>
      </c>
    </row>
    <row r="42" spans="1:19" x14ac:dyDescent="0.3">
      <c r="A42" s="57">
        <v>140</v>
      </c>
      <c r="B42" s="57">
        <v>160</v>
      </c>
      <c r="C42" s="95">
        <v>669820</v>
      </c>
      <c r="D42" s="95">
        <v>10039701350</v>
      </c>
      <c r="E42" s="58">
        <v>6.8639882136236924E-4</v>
      </c>
      <c r="F42" s="92">
        <v>149.88655683616494</v>
      </c>
      <c r="G42" s="89">
        <v>0</v>
      </c>
      <c r="H42" s="60" t="str">
        <f t="shared" si="0"/>
        <v>(140, 160]</v>
      </c>
      <c r="I42" s="61">
        <v>0</v>
      </c>
      <c r="J42" s="58">
        <v>0</v>
      </c>
      <c r="K42" s="58">
        <v>0</v>
      </c>
      <c r="L42" s="115">
        <v>0</v>
      </c>
      <c r="M42" s="58">
        <v>0</v>
      </c>
      <c r="N42" s="58">
        <v>0</v>
      </c>
      <c r="O42" s="117">
        <v>0</v>
      </c>
      <c r="P42" s="58">
        <v>0</v>
      </c>
      <c r="Q42" s="58">
        <v>0</v>
      </c>
      <c r="R42" s="58">
        <v>8.8121254846669015E-5</v>
      </c>
      <c r="S42" s="82">
        <v>0</v>
      </c>
    </row>
    <row r="43" spans="1:19" x14ac:dyDescent="0.3">
      <c r="A43" s="57">
        <v>160</v>
      </c>
      <c r="B43" s="57">
        <v>180</v>
      </c>
      <c r="C43" s="95">
        <v>511613</v>
      </c>
      <c r="D43" s="95">
        <v>8694591830</v>
      </c>
      <c r="E43" s="58">
        <v>5.2427601474077485E-4</v>
      </c>
      <c r="F43" s="92">
        <v>169.94470097515114</v>
      </c>
      <c r="G43" s="89">
        <v>0</v>
      </c>
      <c r="H43" s="60" t="str">
        <f t="shared" si="0"/>
        <v>(160, 180]</v>
      </c>
      <c r="I43" s="61">
        <v>0</v>
      </c>
      <c r="J43" s="58">
        <v>0</v>
      </c>
      <c r="K43" s="58">
        <v>0</v>
      </c>
      <c r="L43" s="115">
        <v>0</v>
      </c>
      <c r="M43" s="58">
        <v>0</v>
      </c>
      <c r="N43" s="58">
        <v>0</v>
      </c>
      <c r="O43" s="117">
        <v>0</v>
      </c>
      <c r="P43" s="58">
        <v>0</v>
      </c>
      <c r="Q43" s="58">
        <v>0</v>
      </c>
      <c r="R43" s="58">
        <v>0</v>
      </c>
      <c r="S43" s="82">
        <v>0</v>
      </c>
    </row>
    <row r="44" spans="1:19" x14ac:dyDescent="0.3">
      <c r="A44" s="57">
        <v>180</v>
      </c>
      <c r="B44" s="57">
        <v>200</v>
      </c>
      <c r="C44" s="95">
        <v>409885</v>
      </c>
      <c r="D44" s="95">
        <v>7797076525</v>
      </c>
      <c r="E44" s="58">
        <v>4.2003012883179772E-4</v>
      </c>
      <c r="F44" s="92">
        <v>190.22595423106483</v>
      </c>
      <c r="G44" s="89">
        <v>0</v>
      </c>
      <c r="H44" s="60" t="str">
        <f t="shared" si="0"/>
        <v>(180, 200]</v>
      </c>
      <c r="I44" s="61">
        <v>0</v>
      </c>
      <c r="J44" s="58">
        <v>0</v>
      </c>
      <c r="K44" s="58">
        <v>0</v>
      </c>
      <c r="L44" s="115">
        <v>0</v>
      </c>
      <c r="M44" s="58">
        <v>0</v>
      </c>
      <c r="N44" s="58">
        <v>0</v>
      </c>
      <c r="O44" s="117">
        <v>0</v>
      </c>
      <c r="P44" s="58">
        <v>0</v>
      </c>
      <c r="Q44" s="58">
        <v>0</v>
      </c>
      <c r="R44" s="58">
        <v>0</v>
      </c>
      <c r="S44" s="82">
        <v>0</v>
      </c>
    </row>
    <row r="45" spans="1:19" x14ac:dyDescent="0.3">
      <c r="A45" s="57">
        <v>200</v>
      </c>
      <c r="B45" s="57">
        <v>250</v>
      </c>
      <c r="C45" s="95">
        <v>728332</v>
      </c>
      <c r="D45" s="95">
        <v>16286787520</v>
      </c>
      <c r="E45" s="58">
        <v>7.4635906118135787E-4</v>
      </c>
      <c r="F45" s="92">
        <v>223.61762932289122</v>
      </c>
      <c r="G45" s="89">
        <v>0</v>
      </c>
      <c r="H45" s="60" t="str">
        <f t="shared" si="0"/>
        <v>(200, 250]</v>
      </c>
      <c r="I45" s="61">
        <v>0</v>
      </c>
      <c r="J45" s="58">
        <v>0</v>
      </c>
      <c r="K45" s="58">
        <v>0</v>
      </c>
      <c r="L45" s="115">
        <v>0</v>
      </c>
      <c r="M45" s="58">
        <v>0</v>
      </c>
      <c r="N45" s="58">
        <v>0</v>
      </c>
      <c r="O45" s="117">
        <v>0</v>
      </c>
      <c r="P45" s="58">
        <v>0</v>
      </c>
      <c r="Q45" s="58">
        <v>0</v>
      </c>
      <c r="R45" s="58">
        <v>4.4060627423334507E-5</v>
      </c>
      <c r="S45" s="82">
        <v>0</v>
      </c>
    </row>
    <row r="46" spans="1:19" x14ac:dyDescent="0.3">
      <c r="A46" s="57">
        <v>250</v>
      </c>
      <c r="B46" s="57">
        <v>300</v>
      </c>
      <c r="C46" s="95">
        <v>465518</v>
      </c>
      <c r="D46" s="95">
        <v>12746421160</v>
      </c>
      <c r="E46" s="58">
        <v>4.7704011006384912E-4</v>
      </c>
      <c r="F46" s="92">
        <v>273.81156389226624</v>
      </c>
      <c r="G46" s="89">
        <v>0</v>
      </c>
      <c r="H46" s="60" t="str">
        <f t="shared" si="0"/>
        <v>(250, 300]</v>
      </c>
      <c r="I46" s="61">
        <v>0</v>
      </c>
      <c r="J46" s="58">
        <v>0</v>
      </c>
      <c r="K46" s="58">
        <v>0</v>
      </c>
      <c r="L46" s="115">
        <v>0</v>
      </c>
      <c r="M46" s="58">
        <v>0</v>
      </c>
      <c r="N46" s="58">
        <v>0</v>
      </c>
      <c r="O46" s="117">
        <v>0</v>
      </c>
      <c r="P46" s="58">
        <v>0</v>
      </c>
      <c r="Q46" s="58">
        <v>0</v>
      </c>
      <c r="R46" s="58">
        <v>0</v>
      </c>
      <c r="S46" s="82">
        <v>0</v>
      </c>
    </row>
    <row r="47" spans="1:19" x14ac:dyDescent="0.3">
      <c r="A47" s="57">
        <v>300</v>
      </c>
      <c r="B47" s="57">
        <v>350</v>
      </c>
      <c r="C47" s="95">
        <v>316303</v>
      </c>
      <c r="D47" s="95">
        <v>10250701140</v>
      </c>
      <c r="E47" s="58">
        <v>3.2413186586453298E-4</v>
      </c>
      <c r="F47" s="92">
        <v>324.07853039648694</v>
      </c>
      <c r="G47" s="89">
        <v>0</v>
      </c>
      <c r="H47" s="60" t="str">
        <f t="shared" si="0"/>
        <v>(300, 350]</v>
      </c>
      <c r="I47" s="61">
        <v>0</v>
      </c>
      <c r="J47" s="58">
        <v>0</v>
      </c>
      <c r="K47" s="58">
        <v>0</v>
      </c>
      <c r="L47" s="115">
        <v>0</v>
      </c>
      <c r="M47" s="58">
        <v>0</v>
      </c>
      <c r="N47" s="58">
        <v>0</v>
      </c>
      <c r="O47" s="117">
        <v>0</v>
      </c>
      <c r="P47" s="58">
        <v>0</v>
      </c>
      <c r="Q47" s="58">
        <v>0</v>
      </c>
      <c r="R47" s="58">
        <v>0</v>
      </c>
      <c r="S47" s="82">
        <v>0</v>
      </c>
    </row>
    <row r="48" spans="1:19" x14ac:dyDescent="0.3">
      <c r="A48" s="57">
        <v>350</v>
      </c>
      <c r="B48" s="57">
        <v>400</v>
      </c>
      <c r="C48" s="95">
        <v>223740</v>
      </c>
      <c r="D48" s="95">
        <v>8374245655</v>
      </c>
      <c r="E48" s="58">
        <v>2.2927782432835165E-4</v>
      </c>
      <c r="F48" s="92">
        <v>374.28469004201304</v>
      </c>
      <c r="G48" s="89">
        <v>0</v>
      </c>
      <c r="H48" s="60" t="str">
        <f t="shared" si="0"/>
        <v>(350, 400]</v>
      </c>
      <c r="I48" s="61">
        <v>0</v>
      </c>
      <c r="J48" s="58">
        <v>0</v>
      </c>
      <c r="K48" s="58">
        <v>0</v>
      </c>
      <c r="L48" s="115">
        <v>0</v>
      </c>
      <c r="M48" s="58">
        <v>0</v>
      </c>
      <c r="N48" s="58">
        <v>0</v>
      </c>
      <c r="O48" s="117">
        <v>0</v>
      </c>
      <c r="P48" s="58">
        <v>0</v>
      </c>
      <c r="Q48" s="58">
        <v>0</v>
      </c>
      <c r="R48" s="58">
        <v>0</v>
      </c>
      <c r="S48" s="82">
        <v>0</v>
      </c>
    </row>
    <row r="49" spans="1:19" x14ac:dyDescent="0.3">
      <c r="A49" s="57">
        <v>400</v>
      </c>
      <c r="B49" s="57">
        <v>450</v>
      </c>
      <c r="C49" s="95">
        <v>170044</v>
      </c>
      <c r="D49" s="95">
        <v>7217451220</v>
      </c>
      <c r="E49" s="58">
        <v>1.7425278609140175E-4</v>
      </c>
      <c r="F49" s="92">
        <v>424.4460974806521</v>
      </c>
      <c r="G49" s="89">
        <v>0</v>
      </c>
      <c r="H49" s="60" t="str">
        <f t="shared" si="0"/>
        <v>(400, 450]</v>
      </c>
      <c r="I49" s="61">
        <v>0</v>
      </c>
      <c r="J49" s="58">
        <v>0</v>
      </c>
      <c r="K49" s="58">
        <v>0</v>
      </c>
      <c r="L49" s="115">
        <v>0</v>
      </c>
      <c r="M49" s="58">
        <v>0</v>
      </c>
      <c r="N49" s="58">
        <v>0</v>
      </c>
      <c r="O49" s="117">
        <v>0</v>
      </c>
      <c r="P49" s="58">
        <v>0</v>
      </c>
      <c r="Q49" s="58">
        <v>0</v>
      </c>
      <c r="R49" s="58">
        <v>0</v>
      </c>
      <c r="S49" s="82">
        <v>0</v>
      </c>
    </row>
    <row r="50" spans="1:19" x14ac:dyDescent="0.3">
      <c r="A50" s="57">
        <v>450</v>
      </c>
      <c r="B50" s="57">
        <v>500</v>
      </c>
      <c r="C50" s="95">
        <v>135574</v>
      </c>
      <c r="D50" s="95">
        <v>6461924195</v>
      </c>
      <c r="E50" s="58">
        <v>1.3892961363856239E-4</v>
      </c>
      <c r="F50" s="92">
        <v>476.63447231770101</v>
      </c>
      <c r="G50" s="89">
        <v>0</v>
      </c>
      <c r="H50" s="60" t="str">
        <f t="shared" si="0"/>
        <v>(450, 500]</v>
      </c>
      <c r="I50" s="61">
        <v>0</v>
      </c>
      <c r="J50" s="58">
        <v>0</v>
      </c>
      <c r="K50" s="58">
        <v>0</v>
      </c>
      <c r="L50" s="115">
        <v>0</v>
      </c>
      <c r="M50" s="58">
        <v>0</v>
      </c>
      <c r="N50" s="58">
        <v>0</v>
      </c>
      <c r="O50" s="117">
        <v>0</v>
      </c>
      <c r="P50" s="58">
        <v>0</v>
      </c>
      <c r="Q50" s="58">
        <v>0</v>
      </c>
      <c r="R50" s="58">
        <v>0</v>
      </c>
      <c r="S50" s="82">
        <v>0</v>
      </c>
    </row>
    <row r="51" spans="1:19" x14ac:dyDescent="0.3">
      <c r="A51" s="57">
        <v>500</v>
      </c>
      <c r="B51" s="57">
        <v>550</v>
      </c>
      <c r="C51" s="95">
        <v>101112</v>
      </c>
      <c r="D51" s="95">
        <v>5305483430</v>
      </c>
      <c r="E51" s="58">
        <v>1.0361463919499549E-4</v>
      </c>
      <c r="F51" s="92">
        <v>524.71352856238627</v>
      </c>
      <c r="G51" s="89">
        <v>0</v>
      </c>
      <c r="H51" s="60" t="str">
        <f t="shared" si="0"/>
        <v>(500, 550]</v>
      </c>
      <c r="I51" s="61">
        <v>0</v>
      </c>
      <c r="J51" s="58">
        <v>0</v>
      </c>
      <c r="K51" s="58">
        <v>0</v>
      </c>
      <c r="L51" s="115">
        <v>0</v>
      </c>
      <c r="M51" s="58">
        <v>0</v>
      </c>
      <c r="N51" s="58">
        <v>0</v>
      </c>
      <c r="O51" s="117">
        <v>0</v>
      </c>
      <c r="P51" s="58">
        <v>0</v>
      </c>
      <c r="Q51" s="58">
        <v>0</v>
      </c>
      <c r="R51" s="58">
        <v>0</v>
      </c>
      <c r="S51" s="82">
        <v>0</v>
      </c>
    </row>
    <row r="52" spans="1:19" x14ac:dyDescent="0.3">
      <c r="A52" s="57">
        <v>550</v>
      </c>
      <c r="B52" s="57">
        <v>600</v>
      </c>
      <c r="C52" s="95">
        <v>84327</v>
      </c>
      <c r="D52" s="95">
        <v>4862430890</v>
      </c>
      <c r="E52" s="58">
        <v>8.6414190990153342E-5</v>
      </c>
      <c r="F52" s="92">
        <v>576.61613599440273</v>
      </c>
      <c r="G52" s="89">
        <v>0</v>
      </c>
      <c r="H52" s="60" t="str">
        <f t="shared" si="0"/>
        <v>(550, 600]</v>
      </c>
      <c r="I52" s="61">
        <v>0</v>
      </c>
      <c r="J52" s="58">
        <v>0</v>
      </c>
      <c r="K52" s="58">
        <v>0</v>
      </c>
      <c r="L52" s="115">
        <v>0</v>
      </c>
      <c r="M52" s="58">
        <v>0</v>
      </c>
      <c r="N52" s="58">
        <v>0</v>
      </c>
      <c r="O52" s="117">
        <v>0</v>
      </c>
      <c r="P52" s="58">
        <v>0</v>
      </c>
      <c r="Q52" s="58">
        <v>0</v>
      </c>
      <c r="R52" s="58">
        <v>0</v>
      </c>
      <c r="S52" s="82">
        <v>0</v>
      </c>
    </row>
    <row r="53" spans="1:19" x14ac:dyDescent="0.3">
      <c r="A53" s="57">
        <v>600</v>
      </c>
      <c r="B53" s="57">
        <v>650</v>
      </c>
      <c r="C53" s="95">
        <v>64244</v>
      </c>
      <c r="D53" s="95">
        <v>4014187770</v>
      </c>
      <c r="E53" s="58">
        <v>6.583411346272738E-5</v>
      </c>
      <c r="F53" s="92">
        <v>624.83465693294318</v>
      </c>
      <c r="G53" s="89">
        <v>0</v>
      </c>
      <c r="H53" s="60" t="str">
        <f t="shared" si="0"/>
        <v>(600, 650]</v>
      </c>
      <c r="I53" s="61">
        <v>0</v>
      </c>
      <c r="J53" s="58">
        <v>0</v>
      </c>
      <c r="K53" s="58">
        <v>0</v>
      </c>
      <c r="L53" s="115">
        <v>0</v>
      </c>
      <c r="M53" s="58">
        <v>0</v>
      </c>
      <c r="N53" s="58">
        <v>0</v>
      </c>
      <c r="O53" s="117">
        <v>0</v>
      </c>
      <c r="P53" s="58">
        <v>0</v>
      </c>
      <c r="Q53" s="58">
        <v>0</v>
      </c>
      <c r="R53" s="58">
        <v>0</v>
      </c>
      <c r="S53" s="82">
        <v>0</v>
      </c>
    </row>
    <row r="54" spans="1:19" x14ac:dyDescent="0.3">
      <c r="A54" s="57">
        <v>650</v>
      </c>
      <c r="B54" s="57">
        <v>700</v>
      </c>
      <c r="C54" s="95">
        <v>55867</v>
      </c>
      <c r="D54" s="95">
        <v>3783822575</v>
      </c>
      <c r="E54" s="58">
        <v>5.7249773003271751E-5</v>
      </c>
      <c r="F54" s="92">
        <v>677.29116920543424</v>
      </c>
      <c r="G54" s="89">
        <v>0</v>
      </c>
      <c r="H54" s="60" t="str">
        <f t="shared" si="0"/>
        <v>(650, 700]</v>
      </c>
      <c r="I54" s="61">
        <v>0</v>
      </c>
      <c r="J54" s="58">
        <v>0</v>
      </c>
      <c r="K54" s="58">
        <v>0</v>
      </c>
      <c r="L54" s="115">
        <v>0</v>
      </c>
      <c r="M54" s="58">
        <v>0</v>
      </c>
      <c r="N54" s="58">
        <v>0</v>
      </c>
      <c r="O54" s="117">
        <v>0</v>
      </c>
      <c r="P54" s="58">
        <v>0</v>
      </c>
      <c r="Q54" s="58">
        <v>0</v>
      </c>
      <c r="R54" s="58">
        <v>0</v>
      </c>
      <c r="S54" s="82">
        <v>0</v>
      </c>
    </row>
    <row r="55" spans="1:19" x14ac:dyDescent="0.3">
      <c r="A55" s="57">
        <v>700</v>
      </c>
      <c r="B55" s="57">
        <v>750</v>
      </c>
      <c r="C55" s="95">
        <v>48855</v>
      </c>
      <c r="D55" s="95">
        <v>3549139120</v>
      </c>
      <c r="E55" s="58">
        <v>5.0064217875934654E-5</v>
      </c>
      <c r="F55" s="92">
        <v>726.46384607512027</v>
      </c>
      <c r="G55" s="89">
        <v>0</v>
      </c>
      <c r="H55" s="60" t="str">
        <f t="shared" si="0"/>
        <v>(700, 750]</v>
      </c>
      <c r="I55" s="61">
        <v>0</v>
      </c>
      <c r="J55" s="58">
        <v>0</v>
      </c>
      <c r="K55" s="58">
        <v>0</v>
      </c>
      <c r="L55" s="115">
        <v>0</v>
      </c>
      <c r="M55" s="58">
        <v>0</v>
      </c>
      <c r="N55" s="58">
        <v>0</v>
      </c>
      <c r="O55" s="117">
        <v>0</v>
      </c>
      <c r="P55" s="58">
        <v>0</v>
      </c>
      <c r="Q55" s="58">
        <v>0</v>
      </c>
      <c r="R55" s="58">
        <v>0</v>
      </c>
      <c r="S55" s="82">
        <v>0</v>
      </c>
    </row>
    <row r="56" spans="1:19" x14ac:dyDescent="0.3">
      <c r="A56" s="57">
        <v>750</v>
      </c>
      <c r="B56" s="57">
        <v>800</v>
      </c>
      <c r="C56" s="95">
        <v>39264</v>
      </c>
      <c r="D56" s="95">
        <v>3051096245</v>
      </c>
      <c r="E56" s="58">
        <v>4.0235829509378738E-5</v>
      </c>
      <c r="F56" s="92">
        <v>777.07218953748975</v>
      </c>
      <c r="G56" s="89">
        <v>0</v>
      </c>
      <c r="H56" s="60" t="str">
        <f t="shared" si="0"/>
        <v>(750, 800]</v>
      </c>
      <c r="I56" s="61">
        <v>0</v>
      </c>
      <c r="J56" s="58">
        <v>0</v>
      </c>
      <c r="K56" s="58">
        <v>0</v>
      </c>
      <c r="L56" s="115">
        <v>0</v>
      </c>
      <c r="M56" s="58">
        <v>0</v>
      </c>
      <c r="N56" s="58">
        <v>0</v>
      </c>
      <c r="O56" s="117">
        <v>0</v>
      </c>
      <c r="P56" s="58">
        <v>0</v>
      </c>
      <c r="Q56" s="58">
        <v>0</v>
      </c>
      <c r="R56" s="58">
        <v>0</v>
      </c>
      <c r="S56" s="82">
        <v>0</v>
      </c>
    </row>
    <row r="57" spans="1:19" x14ac:dyDescent="0.3">
      <c r="A57" s="57">
        <v>800</v>
      </c>
      <c r="B57" s="57">
        <v>850</v>
      </c>
      <c r="C57" s="95">
        <v>34939</v>
      </c>
      <c r="D57" s="95">
        <v>2884838025</v>
      </c>
      <c r="E57" s="58">
        <v>3.5803780746439073E-5</v>
      </c>
      <c r="F57" s="92">
        <v>825.67847534274028</v>
      </c>
      <c r="G57" s="89">
        <v>0</v>
      </c>
      <c r="H57" s="60" t="str">
        <f t="shared" si="0"/>
        <v>(800, 850]</v>
      </c>
      <c r="I57" s="61">
        <v>0</v>
      </c>
      <c r="J57" s="58">
        <v>0</v>
      </c>
      <c r="K57" s="58">
        <v>0</v>
      </c>
      <c r="L57" s="115">
        <v>0</v>
      </c>
      <c r="M57" s="58">
        <v>0</v>
      </c>
      <c r="N57" s="58">
        <v>0</v>
      </c>
      <c r="O57" s="117">
        <v>0</v>
      </c>
      <c r="P57" s="58">
        <v>0</v>
      </c>
      <c r="Q57" s="58">
        <v>0</v>
      </c>
      <c r="R57" s="58">
        <v>0</v>
      </c>
      <c r="S57" s="82">
        <v>0</v>
      </c>
    </row>
    <row r="58" spans="1:19" x14ac:dyDescent="0.3">
      <c r="A58" s="57">
        <v>850</v>
      </c>
      <c r="B58" s="57">
        <v>900</v>
      </c>
      <c r="C58" s="95">
        <v>28201</v>
      </c>
      <c r="D58" s="95">
        <v>2470406340</v>
      </c>
      <c r="E58" s="58">
        <v>2.8899007436684744E-5</v>
      </c>
      <c r="F58" s="92">
        <v>875.99955320733307</v>
      </c>
      <c r="G58" s="89">
        <v>0</v>
      </c>
      <c r="H58" s="60" t="str">
        <f t="shared" si="0"/>
        <v>(850, 900]</v>
      </c>
      <c r="I58" s="61">
        <v>0</v>
      </c>
      <c r="J58" s="58">
        <v>0</v>
      </c>
      <c r="K58" s="58">
        <v>0</v>
      </c>
      <c r="L58" s="83">
        <v>0</v>
      </c>
      <c r="M58" s="58">
        <v>0</v>
      </c>
      <c r="N58" s="58">
        <v>0</v>
      </c>
      <c r="O58" s="117">
        <v>0</v>
      </c>
      <c r="P58" s="58">
        <v>0</v>
      </c>
      <c r="Q58" s="58">
        <v>0</v>
      </c>
      <c r="R58" s="58">
        <v>0</v>
      </c>
      <c r="S58" s="82">
        <v>0</v>
      </c>
    </row>
    <row r="59" spans="1:19" x14ac:dyDescent="0.3">
      <c r="A59" s="57">
        <v>900</v>
      </c>
      <c r="B59" s="57">
        <v>950</v>
      </c>
      <c r="C59" s="95">
        <v>25694</v>
      </c>
      <c r="D59" s="95">
        <v>2379513120</v>
      </c>
      <c r="E59" s="58">
        <v>2.6329956280918331E-5</v>
      </c>
      <c r="F59" s="92">
        <v>926.09680080952751</v>
      </c>
      <c r="G59" s="89">
        <v>0</v>
      </c>
      <c r="H59" s="60" t="str">
        <f t="shared" si="0"/>
        <v>(900, 950]</v>
      </c>
      <c r="I59" s="61">
        <v>0</v>
      </c>
      <c r="J59" s="58">
        <v>0</v>
      </c>
      <c r="K59" s="58">
        <v>0</v>
      </c>
      <c r="L59" s="83">
        <v>0</v>
      </c>
      <c r="M59" s="58">
        <v>0</v>
      </c>
      <c r="N59" s="58">
        <v>0</v>
      </c>
      <c r="O59" s="117">
        <v>0</v>
      </c>
      <c r="P59" s="58">
        <v>0</v>
      </c>
      <c r="Q59" s="58">
        <v>0</v>
      </c>
      <c r="R59" s="58">
        <v>0</v>
      </c>
      <c r="S59" s="82">
        <v>0</v>
      </c>
    </row>
    <row r="60" spans="1:19" x14ac:dyDescent="0.3">
      <c r="A60" s="57">
        <v>950</v>
      </c>
      <c r="B60" s="57">
        <v>1000</v>
      </c>
      <c r="C60" s="95">
        <v>29078</v>
      </c>
      <c r="D60" s="95">
        <v>2855552985</v>
      </c>
      <c r="E60" s="58">
        <v>2.9797714203181414E-5</v>
      </c>
      <c r="F60" s="92">
        <v>982.03211534493425</v>
      </c>
      <c r="G60" s="89">
        <v>0</v>
      </c>
      <c r="H60" s="60" t="str">
        <f t="shared" si="0"/>
        <v>(950, 1000]</v>
      </c>
      <c r="I60" s="61">
        <v>0</v>
      </c>
      <c r="J60" s="58">
        <v>0</v>
      </c>
      <c r="K60" s="58">
        <v>0</v>
      </c>
      <c r="L60" s="83">
        <v>0</v>
      </c>
      <c r="M60" s="58">
        <v>0</v>
      </c>
      <c r="N60" s="58">
        <v>0</v>
      </c>
      <c r="O60" s="117">
        <v>0</v>
      </c>
      <c r="P60" s="58">
        <v>0</v>
      </c>
      <c r="Q60" s="58">
        <v>0</v>
      </c>
      <c r="R60" s="58">
        <v>0</v>
      </c>
      <c r="S60" s="82">
        <v>0</v>
      </c>
    </row>
    <row r="61" spans="1:19" x14ac:dyDescent="0.3">
      <c r="A61" s="57">
        <v>1000</v>
      </c>
      <c r="B61" s="57">
        <v>2000</v>
      </c>
      <c r="C61" s="95">
        <v>241904</v>
      </c>
      <c r="D61" s="95">
        <v>34078518270</v>
      </c>
      <c r="E61" s="58">
        <v>2.4789140438153919E-4</v>
      </c>
      <c r="F61" s="92">
        <v>1408.7620820656127</v>
      </c>
      <c r="G61" s="89">
        <v>0</v>
      </c>
      <c r="H61" s="60" t="str">
        <f t="shared" si="0"/>
        <v>(1000, 2000]</v>
      </c>
      <c r="I61" s="61">
        <v>0</v>
      </c>
      <c r="J61" s="58">
        <v>0</v>
      </c>
      <c r="K61" s="58">
        <v>0</v>
      </c>
      <c r="L61" s="83">
        <v>0</v>
      </c>
      <c r="M61" s="58">
        <v>0</v>
      </c>
      <c r="N61" s="58">
        <v>0</v>
      </c>
      <c r="O61" s="117">
        <v>0</v>
      </c>
      <c r="P61" s="58">
        <v>0</v>
      </c>
      <c r="Q61" s="58">
        <v>0</v>
      </c>
      <c r="R61" s="58">
        <v>0</v>
      </c>
      <c r="S61" s="82">
        <v>0</v>
      </c>
    </row>
    <row r="62" spans="1:19" x14ac:dyDescent="0.3">
      <c r="A62" s="57">
        <v>2000</v>
      </c>
      <c r="B62" s="57">
        <v>3000</v>
      </c>
      <c r="C62" s="95">
        <v>102723</v>
      </c>
      <c r="D62" s="95">
        <v>25279567590</v>
      </c>
      <c r="E62" s="58">
        <v>1.0526551331224308E-4</v>
      </c>
      <c r="F62" s="92">
        <v>2460.9452206419205</v>
      </c>
      <c r="G62" s="89">
        <v>0</v>
      </c>
      <c r="H62" s="60" t="str">
        <f t="shared" si="0"/>
        <v>(2000, 3000]</v>
      </c>
      <c r="I62" s="61">
        <v>0</v>
      </c>
      <c r="J62" s="58">
        <v>0</v>
      </c>
      <c r="K62" s="58">
        <v>0</v>
      </c>
      <c r="L62" s="83">
        <v>0</v>
      </c>
      <c r="M62" s="58">
        <v>0</v>
      </c>
      <c r="N62" s="58">
        <v>0</v>
      </c>
      <c r="O62" s="117">
        <v>0</v>
      </c>
      <c r="P62" s="58">
        <v>0</v>
      </c>
      <c r="Q62" s="58">
        <v>0</v>
      </c>
      <c r="R62" s="58">
        <v>0</v>
      </c>
      <c r="S62" s="82">
        <v>0</v>
      </c>
    </row>
    <row r="63" spans="1:19" x14ac:dyDescent="0.3">
      <c r="A63" s="57">
        <v>3000</v>
      </c>
      <c r="B63" s="57">
        <v>4000</v>
      </c>
      <c r="C63" s="95">
        <v>60894</v>
      </c>
      <c r="D63" s="95">
        <v>21120429335</v>
      </c>
      <c r="E63" s="58">
        <v>6.2401197079872374E-5</v>
      </c>
      <c r="F63" s="92">
        <v>3468.3925074720005</v>
      </c>
      <c r="G63" s="89">
        <v>0</v>
      </c>
      <c r="H63" s="60" t="str">
        <f t="shared" si="0"/>
        <v>(3000, 4000]</v>
      </c>
      <c r="I63" s="61">
        <v>0</v>
      </c>
      <c r="J63" s="58">
        <v>0</v>
      </c>
      <c r="K63" s="58">
        <v>0</v>
      </c>
      <c r="L63" s="83">
        <v>0</v>
      </c>
      <c r="M63" s="58">
        <v>0</v>
      </c>
      <c r="N63" s="58">
        <v>0</v>
      </c>
      <c r="O63" s="117">
        <v>0</v>
      </c>
      <c r="P63" s="58">
        <v>0</v>
      </c>
      <c r="Q63" s="58">
        <v>0</v>
      </c>
      <c r="R63" s="58">
        <v>0</v>
      </c>
      <c r="S63" s="82">
        <v>0</v>
      </c>
    </row>
    <row r="64" spans="1:19" x14ac:dyDescent="0.3">
      <c r="A64" s="57">
        <v>4000</v>
      </c>
      <c r="B64" s="57">
        <v>5000</v>
      </c>
      <c r="C64" s="95">
        <v>39858</v>
      </c>
      <c r="D64" s="95">
        <v>17838944055</v>
      </c>
      <c r="E64" s="58">
        <v>4.084453169786109E-5</v>
      </c>
      <c r="F64" s="92">
        <v>4475.62448065633</v>
      </c>
      <c r="G64" s="89">
        <v>0</v>
      </c>
      <c r="H64" s="60" t="str">
        <f t="shared" si="0"/>
        <v>(4000, 5000]</v>
      </c>
      <c r="I64" s="61">
        <v>0</v>
      </c>
      <c r="J64" s="58">
        <v>0</v>
      </c>
      <c r="K64" s="58">
        <v>0</v>
      </c>
      <c r="L64" s="83">
        <v>0</v>
      </c>
      <c r="M64" s="58">
        <v>0</v>
      </c>
      <c r="N64" s="58">
        <v>0</v>
      </c>
      <c r="O64" s="117">
        <v>0</v>
      </c>
      <c r="P64" s="58">
        <v>0</v>
      </c>
      <c r="Q64" s="58">
        <v>0</v>
      </c>
      <c r="R64" s="58">
        <v>0</v>
      </c>
      <c r="S64" s="82">
        <v>0</v>
      </c>
    </row>
    <row r="65" spans="1:20" x14ac:dyDescent="0.3">
      <c r="A65" s="57">
        <v>5000</v>
      </c>
      <c r="B65" s="57">
        <v>6000</v>
      </c>
      <c r="C65" s="95">
        <v>27915</v>
      </c>
      <c r="D65" s="95">
        <v>15297501810</v>
      </c>
      <c r="E65" s="58">
        <v>2.8605928605193243E-5</v>
      </c>
      <c r="F65" s="92">
        <v>5480.0293068242872</v>
      </c>
      <c r="G65" s="89">
        <v>0</v>
      </c>
      <c r="H65" s="60" t="str">
        <f t="shared" si="0"/>
        <v>(5000, 6000]</v>
      </c>
      <c r="I65" s="61">
        <v>0</v>
      </c>
      <c r="J65" s="58">
        <v>0</v>
      </c>
      <c r="K65" s="58">
        <v>0</v>
      </c>
      <c r="L65" s="83">
        <v>0</v>
      </c>
      <c r="M65" s="58">
        <v>0</v>
      </c>
      <c r="N65" s="58">
        <v>0</v>
      </c>
      <c r="O65" s="117">
        <v>0</v>
      </c>
      <c r="P65" s="58">
        <v>0</v>
      </c>
      <c r="Q65" s="58">
        <v>0</v>
      </c>
      <c r="R65" s="58">
        <v>0</v>
      </c>
      <c r="S65" s="82">
        <v>0</v>
      </c>
    </row>
    <row r="66" spans="1:20" x14ac:dyDescent="0.3">
      <c r="A66" s="57">
        <v>6000</v>
      </c>
      <c r="B66" s="57">
        <v>7000</v>
      </c>
      <c r="C66" s="95">
        <v>20068</v>
      </c>
      <c r="D66" s="95">
        <v>13001038590</v>
      </c>
      <c r="E66" s="58">
        <v>2.0564706260040049E-5</v>
      </c>
      <c r="F66" s="92">
        <v>6478.4924207693839</v>
      </c>
      <c r="G66" s="89">
        <v>0</v>
      </c>
      <c r="H66" s="60" t="str">
        <f t="shared" si="0"/>
        <v>(6000, 7000]</v>
      </c>
      <c r="I66" s="61">
        <v>0</v>
      </c>
      <c r="J66" s="58">
        <v>0</v>
      </c>
      <c r="K66" s="58">
        <v>0</v>
      </c>
      <c r="L66" s="83">
        <v>0</v>
      </c>
      <c r="M66" s="58">
        <v>0</v>
      </c>
      <c r="N66" s="58">
        <v>0</v>
      </c>
      <c r="O66" s="117">
        <v>0</v>
      </c>
      <c r="P66" s="58">
        <v>0</v>
      </c>
      <c r="Q66" s="58">
        <v>0</v>
      </c>
      <c r="R66" s="58">
        <v>0</v>
      </c>
      <c r="S66" s="82">
        <v>0</v>
      </c>
    </row>
    <row r="67" spans="1:20" x14ac:dyDescent="0.3">
      <c r="A67" s="57">
        <v>7000</v>
      </c>
      <c r="B67" s="57">
        <v>8000</v>
      </c>
      <c r="C67" s="95">
        <v>14363</v>
      </c>
      <c r="D67" s="95">
        <v>10748537655</v>
      </c>
      <c r="E67" s="58">
        <v>1.4718500897595937E-5</v>
      </c>
      <c r="F67" s="92">
        <v>7483.4906739539092</v>
      </c>
      <c r="G67" s="117">
        <v>0</v>
      </c>
      <c r="H67" s="60" t="str">
        <f t="shared" si="0"/>
        <v>(7000, 8000]</v>
      </c>
      <c r="I67" s="61">
        <v>0</v>
      </c>
      <c r="J67" s="58">
        <v>0</v>
      </c>
      <c r="K67" s="58">
        <v>0</v>
      </c>
      <c r="L67" s="83">
        <v>0</v>
      </c>
      <c r="M67" s="58">
        <v>0</v>
      </c>
      <c r="N67" s="58">
        <v>0</v>
      </c>
      <c r="O67" s="117">
        <v>0</v>
      </c>
      <c r="P67" s="58">
        <v>0</v>
      </c>
      <c r="Q67" s="58">
        <v>0</v>
      </c>
      <c r="R67" s="58">
        <v>0</v>
      </c>
      <c r="S67" s="82">
        <v>0</v>
      </c>
    </row>
    <row r="68" spans="1:20" x14ac:dyDescent="0.3">
      <c r="A68" s="57">
        <v>8000</v>
      </c>
      <c r="B68" s="57">
        <v>9000</v>
      </c>
      <c r="C68" s="95">
        <v>10887</v>
      </c>
      <c r="D68" s="95">
        <v>9232015295</v>
      </c>
      <c r="E68" s="58">
        <v>1.1156465868699225E-5</v>
      </c>
      <c r="F68" s="92">
        <v>8479.8523881693764</v>
      </c>
      <c r="G68" s="89">
        <v>0</v>
      </c>
      <c r="H68" s="60" t="str">
        <f t="shared" si="0"/>
        <v>(8000, 9000]</v>
      </c>
      <c r="I68" s="61">
        <v>0</v>
      </c>
      <c r="J68" s="58">
        <v>0</v>
      </c>
      <c r="K68" s="58">
        <v>0</v>
      </c>
      <c r="L68" s="83">
        <v>0</v>
      </c>
      <c r="M68" s="58">
        <v>0</v>
      </c>
      <c r="N68" s="58">
        <v>0</v>
      </c>
      <c r="O68" s="117">
        <v>0</v>
      </c>
      <c r="P68" s="58">
        <v>0</v>
      </c>
      <c r="Q68" s="58">
        <v>0</v>
      </c>
      <c r="R68" s="58">
        <v>0</v>
      </c>
      <c r="S68" s="82">
        <v>0</v>
      </c>
    </row>
    <row r="69" spans="1:20" x14ac:dyDescent="0.3">
      <c r="A69" s="57">
        <v>9000</v>
      </c>
      <c r="B69" s="57">
        <v>10000</v>
      </c>
      <c r="C69" s="95">
        <v>8151</v>
      </c>
      <c r="D69" s="95">
        <v>7732408470</v>
      </c>
      <c r="E69" s="58">
        <v>8.3527466975077962E-6</v>
      </c>
      <c r="F69" s="92">
        <v>9486.4537725432456</v>
      </c>
      <c r="G69" s="89">
        <v>0</v>
      </c>
      <c r="H69" s="60" t="str">
        <f t="shared" si="0"/>
        <v>(9000, 10000]</v>
      </c>
      <c r="I69" s="61">
        <v>0</v>
      </c>
      <c r="J69" s="58">
        <v>0</v>
      </c>
      <c r="K69" s="58">
        <v>0</v>
      </c>
      <c r="L69" s="83">
        <v>0</v>
      </c>
      <c r="M69" s="58">
        <v>0</v>
      </c>
      <c r="N69" s="58">
        <v>0</v>
      </c>
      <c r="O69" s="117">
        <v>0</v>
      </c>
      <c r="P69" s="58">
        <v>0</v>
      </c>
      <c r="Q69" s="58">
        <v>0</v>
      </c>
      <c r="R69" s="58">
        <v>0</v>
      </c>
      <c r="S69" s="82">
        <v>0</v>
      </c>
    </row>
    <row r="70" spans="1:20" x14ac:dyDescent="0.3">
      <c r="A70" s="57">
        <v>10000</v>
      </c>
      <c r="B70" s="57">
        <v>20000</v>
      </c>
      <c r="C70" s="95">
        <v>28306</v>
      </c>
      <c r="D70" s="95">
        <v>38232162105</v>
      </c>
      <c r="E70" s="58">
        <v>2.9006606308386171E-5</v>
      </c>
      <c r="F70" s="92">
        <v>13506.734298381969</v>
      </c>
      <c r="G70" s="89">
        <v>0</v>
      </c>
      <c r="H70" s="60" t="str">
        <f t="shared" si="0"/>
        <v>(10000, 20000]</v>
      </c>
      <c r="I70" s="61">
        <v>0</v>
      </c>
      <c r="J70" s="58">
        <v>0</v>
      </c>
      <c r="K70" s="58">
        <v>0</v>
      </c>
      <c r="L70" s="83">
        <v>0</v>
      </c>
      <c r="M70" s="58">
        <v>0</v>
      </c>
      <c r="N70" s="58">
        <v>0</v>
      </c>
      <c r="O70" s="117">
        <v>0</v>
      </c>
      <c r="P70" s="58">
        <v>0</v>
      </c>
      <c r="Q70" s="58">
        <v>0</v>
      </c>
      <c r="R70" s="58">
        <v>0</v>
      </c>
      <c r="S70" s="82">
        <v>0</v>
      </c>
    </row>
    <row r="71" spans="1:20" x14ac:dyDescent="0.3">
      <c r="A71" s="57">
        <v>20000</v>
      </c>
      <c r="B71" s="57">
        <v>30000</v>
      </c>
      <c r="C71" s="95">
        <v>5090</v>
      </c>
      <c r="D71" s="95">
        <v>12184853370</v>
      </c>
      <c r="E71" s="58">
        <v>5.2159833996214801E-6</v>
      </c>
      <c r="F71" s="92">
        <v>23938.808192534383</v>
      </c>
      <c r="G71" s="89">
        <v>0</v>
      </c>
      <c r="H71" s="60" t="str">
        <f t="shared" si="0"/>
        <v>(20000, 30000]</v>
      </c>
      <c r="I71" s="61">
        <v>0</v>
      </c>
      <c r="J71" s="58">
        <v>0</v>
      </c>
      <c r="K71" s="58">
        <v>0</v>
      </c>
      <c r="L71" s="83">
        <v>0</v>
      </c>
      <c r="M71" s="58">
        <v>0</v>
      </c>
      <c r="N71" s="58">
        <v>0</v>
      </c>
      <c r="O71" s="117">
        <v>0</v>
      </c>
      <c r="P71" s="58">
        <v>0</v>
      </c>
      <c r="Q71" s="58">
        <v>0</v>
      </c>
      <c r="R71" s="58">
        <v>0</v>
      </c>
      <c r="S71" s="82">
        <v>0</v>
      </c>
    </row>
    <row r="72" spans="1:20" x14ac:dyDescent="0.3">
      <c r="A72" s="57">
        <v>30000</v>
      </c>
      <c r="B72" s="57">
        <v>40000</v>
      </c>
      <c r="C72" s="95">
        <v>1319</v>
      </c>
      <c r="D72" s="95">
        <v>4457822220</v>
      </c>
      <c r="E72" s="58">
        <v>1.3516467788017156E-6</v>
      </c>
      <c r="F72" s="92">
        <v>33796.984230477632</v>
      </c>
      <c r="G72" s="89">
        <v>0</v>
      </c>
      <c r="H72" s="60" t="str">
        <f t="shared" si="0"/>
        <v>(30000, 40000]</v>
      </c>
      <c r="I72" s="61">
        <v>0</v>
      </c>
      <c r="J72" s="58">
        <v>0</v>
      </c>
      <c r="K72" s="58">
        <v>0</v>
      </c>
      <c r="L72" s="83">
        <v>0</v>
      </c>
      <c r="M72" s="58">
        <v>0</v>
      </c>
      <c r="N72" s="58">
        <v>0</v>
      </c>
      <c r="O72" s="117">
        <v>0</v>
      </c>
      <c r="P72" s="58">
        <v>0</v>
      </c>
      <c r="Q72" s="58">
        <v>0</v>
      </c>
      <c r="R72" s="58">
        <v>0</v>
      </c>
      <c r="S72" s="82">
        <v>0</v>
      </c>
    </row>
    <row r="73" spans="1:20" x14ac:dyDescent="0.3">
      <c r="A73" s="57">
        <v>40000</v>
      </c>
      <c r="B73" s="57">
        <v>50000</v>
      </c>
      <c r="C73" s="95">
        <v>386</v>
      </c>
      <c r="D73" s="95">
        <v>1709453235</v>
      </c>
      <c r="E73" s="58">
        <v>3.9555394739762108E-7</v>
      </c>
      <c r="F73" s="92">
        <v>44286.353238341966</v>
      </c>
      <c r="G73" s="89">
        <v>0</v>
      </c>
      <c r="H73" s="60" t="str">
        <f t="shared" si="0"/>
        <v>(40000, 50000]</v>
      </c>
      <c r="I73" s="61">
        <v>0</v>
      </c>
      <c r="J73" s="58">
        <v>0</v>
      </c>
      <c r="K73" s="58">
        <v>0</v>
      </c>
      <c r="L73" s="83">
        <v>0</v>
      </c>
      <c r="M73" s="58">
        <v>0</v>
      </c>
      <c r="N73" s="58">
        <v>0</v>
      </c>
      <c r="O73" s="117">
        <v>0</v>
      </c>
      <c r="P73" s="58">
        <v>0</v>
      </c>
      <c r="Q73" s="58">
        <v>0</v>
      </c>
      <c r="R73" s="58">
        <v>0</v>
      </c>
      <c r="S73" s="82">
        <v>0</v>
      </c>
    </row>
    <row r="74" spans="1:20" x14ac:dyDescent="0.3">
      <c r="A74" s="57">
        <v>50000</v>
      </c>
      <c r="B74" s="57">
        <v>60000</v>
      </c>
      <c r="C74" s="95">
        <v>685</v>
      </c>
      <c r="D74" s="95">
        <v>3754047120</v>
      </c>
      <c r="E74" s="58">
        <v>7.0195454395691819E-7</v>
      </c>
      <c r="F74" s="92">
        <v>54803.607591240871</v>
      </c>
      <c r="G74" s="89">
        <v>0</v>
      </c>
      <c r="H74" s="60" t="str">
        <f t="shared" si="0"/>
        <v>(50000, 60000]</v>
      </c>
      <c r="I74" s="61">
        <v>0</v>
      </c>
      <c r="J74" s="58">
        <v>0</v>
      </c>
      <c r="K74" s="58">
        <v>0</v>
      </c>
      <c r="L74" s="83">
        <v>0</v>
      </c>
      <c r="M74" s="58">
        <v>0</v>
      </c>
      <c r="N74" s="58">
        <v>0</v>
      </c>
      <c r="O74" s="117">
        <v>0</v>
      </c>
      <c r="P74" s="58">
        <v>0</v>
      </c>
      <c r="Q74" s="58">
        <v>0</v>
      </c>
      <c r="R74" s="58">
        <v>0</v>
      </c>
      <c r="S74" s="82">
        <v>0</v>
      </c>
    </row>
    <row r="75" spans="1:20" x14ac:dyDescent="0.3">
      <c r="A75" s="57">
        <v>60000</v>
      </c>
      <c r="B75" s="57">
        <v>70000</v>
      </c>
      <c r="C75" s="95">
        <v>198</v>
      </c>
      <c r="D75" s="95">
        <v>1266830660</v>
      </c>
      <c r="E75" s="58">
        <v>2.0290072949411651E-7</v>
      </c>
      <c r="F75" s="92">
        <v>63981.346464646471</v>
      </c>
      <c r="G75" s="89">
        <v>0</v>
      </c>
      <c r="H75" s="60" t="str">
        <f t="shared" si="0"/>
        <v>(60000, 70000]</v>
      </c>
      <c r="I75" s="61">
        <v>0</v>
      </c>
      <c r="J75" s="58">
        <v>0</v>
      </c>
      <c r="K75" s="58">
        <v>0</v>
      </c>
      <c r="L75" s="83">
        <v>0</v>
      </c>
      <c r="M75" s="58">
        <v>0</v>
      </c>
      <c r="N75" s="58">
        <v>0</v>
      </c>
      <c r="O75" s="117">
        <v>0</v>
      </c>
      <c r="P75" s="58">
        <v>0</v>
      </c>
      <c r="Q75" s="58">
        <v>0</v>
      </c>
      <c r="R75" s="58">
        <v>0</v>
      </c>
      <c r="S75" s="82">
        <v>0</v>
      </c>
    </row>
    <row r="76" spans="1:20" x14ac:dyDescent="0.3">
      <c r="A76" s="57">
        <v>70000</v>
      </c>
      <c r="B76" s="57">
        <v>80000</v>
      </c>
      <c r="C76" s="95">
        <v>57</v>
      </c>
      <c r="D76" s="95">
        <v>424289610</v>
      </c>
      <c r="E76" s="58">
        <v>5.8410816066488083E-8</v>
      </c>
      <c r="F76" s="92">
        <v>74436.773684210522</v>
      </c>
      <c r="G76" s="89">
        <v>0</v>
      </c>
      <c r="H76" s="60" t="str">
        <f t="shared" si="0"/>
        <v>(70000, 80000]</v>
      </c>
      <c r="I76" s="61">
        <v>0</v>
      </c>
      <c r="J76" s="58">
        <v>0</v>
      </c>
      <c r="K76" s="58">
        <v>0</v>
      </c>
      <c r="L76" s="83">
        <v>0</v>
      </c>
      <c r="M76" s="58">
        <v>0</v>
      </c>
      <c r="N76" s="58">
        <v>0</v>
      </c>
      <c r="O76" s="117">
        <v>0</v>
      </c>
      <c r="P76" s="58">
        <v>0</v>
      </c>
      <c r="Q76" s="58">
        <v>0</v>
      </c>
      <c r="R76" s="58">
        <v>0</v>
      </c>
      <c r="S76" s="82">
        <v>0</v>
      </c>
    </row>
    <row r="77" spans="1:20" x14ac:dyDescent="0.3">
      <c r="A77" s="57">
        <v>80000</v>
      </c>
      <c r="B77" s="57">
        <v>90000</v>
      </c>
      <c r="C77" s="95">
        <v>26</v>
      </c>
      <c r="D77" s="95">
        <v>218246870</v>
      </c>
      <c r="E77" s="58">
        <v>2.6643530135591055E-8</v>
      </c>
      <c r="F77" s="92">
        <v>83941.103846153841</v>
      </c>
      <c r="G77" s="89">
        <v>0</v>
      </c>
      <c r="H77" s="60" t="str">
        <f t="shared" si="0"/>
        <v>(80000, 90000]</v>
      </c>
      <c r="I77" s="61">
        <v>0</v>
      </c>
      <c r="J77" s="58">
        <v>0</v>
      </c>
      <c r="K77" s="58">
        <v>0</v>
      </c>
      <c r="L77" s="83">
        <v>0</v>
      </c>
      <c r="M77" s="58">
        <v>0</v>
      </c>
      <c r="N77" s="58">
        <v>0</v>
      </c>
      <c r="O77" s="117">
        <v>0</v>
      </c>
      <c r="P77" s="58">
        <v>0</v>
      </c>
      <c r="Q77" s="58">
        <v>0</v>
      </c>
      <c r="R77" s="58">
        <v>0</v>
      </c>
      <c r="S77" s="82">
        <v>0</v>
      </c>
    </row>
    <row r="78" spans="1:20" x14ac:dyDescent="0.3">
      <c r="A78" s="57">
        <v>90000</v>
      </c>
      <c r="B78" s="57">
        <v>100000</v>
      </c>
      <c r="C78" s="95">
        <v>8</v>
      </c>
      <c r="D78" s="95">
        <v>76492140</v>
      </c>
      <c r="E78" s="58">
        <v>8.1980092724895557E-9</v>
      </c>
      <c r="F78" s="92">
        <v>95615.175000000003</v>
      </c>
      <c r="G78" s="89">
        <v>0</v>
      </c>
      <c r="H78" s="60" t="str">
        <f t="shared" si="0"/>
        <v>(90000, 100000]</v>
      </c>
      <c r="I78" s="61">
        <v>0</v>
      </c>
      <c r="J78" s="58">
        <v>0</v>
      </c>
      <c r="K78" s="58">
        <v>0</v>
      </c>
      <c r="L78" s="83">
        <v>0</v>
      </c>
      <c r="M78" s="58">
        <v>0</v>
      </c>
      <c r="N78" s="58">
        <v>0</v>
      </c>
      <c r="O78" s="117">
        <v>0</v>
      </c>
      <c r="P78" s="58">
        <v>0</v>
      </c>
      <c r="Q78" s="58">
        <v>0</v>
      </c>
      <c r="R78" s="58">
        <v>0</v>
      </c>
      <c r="S78" s="82">
        <v>0</v>
      </c>
    </row>
    <row r="79" spans="1:20" x14ac:dyDescent="0.3">
      <c r="A79" s="57">
        <v>100000</v>
      </c>
      <c r="B79" s="57">
        <v>9999999</v>
      </c>
      <c r="C79" s="95">
        <v>166</v>
      </c>
      <c r="D79" s="95">
        <v>1996773875</v>
      </c>
      <c r="E79" s="58">
        <v>1.7010869240415828E-7</v>
      </c>
      <c r="F79" s="92">
        <v>120287.5828313253</v>
      </c>
      <c r="G79" s="89">
        <v>0</v>
      </c>
      <c r="H79" s="60" t="str">
        <f t="shared" si="0"/>
        <v>(100000, 9999999]</v>
      </c>
      <c r="I79" s="61">
        <v>0</v>
      </c>
      <c r="J79" s="58">
        <v>0</v>
      </c>
      <c r="K79" s="58">
        <v>0</v>
      </c>
      <c r="L79" s="83">
        <v>0</v>
      </c>
      <c r="M79" s="58">
        <v>0</v>
      </c>
      <c r="N79" s="58">
        <v>0</v>
      </c>
      <c r="O79" s="117">
        <v>0</v>
      </c>
      <c r="P79" s="58">
        <v>0</v>
      </c>
      <c r="Q79" s="58">
        <v>0</v>
      </c>
      <c r="R79" s="58">
        <v>0</v>
      </c>
      <c r="S79" s="82">
        <v>0</v>
      </c>
    </row>
    <row r="80" spans="1:20" x14ac:dyDescent="0.3">
      <c r="A80" s="230" t="s">
        <v>78</v>
      </c>
      <c r="B80" s="231"/>
      <c r="C80" s="72">
        <f>E80*B14</f>
        <v>24153000</v>
      </c>
      <c r="D80" s="95" cm="1">
        <f t="array" ref="D80:D81">Multiplier_Weight_Oldhand!D80:D81</f>
        <v>359164335</v>
      </c>
      <c r="E80" s="192">
        <f>Multiplier_Weight_Oldhand!E80</f>
        <v>2.4153000000000001E-2</v>
      </c>
      <c r="F80" s="92">
        <v>0.14870381940131661</v>
      </c>
      <c r="G80" s="99"/>
      <c r="H80" s="60" t="s">
        <v>78</v>
      </c>
      <c r="I80" s="61">
        <v>0.17299999999999999</v>
      </c>
      <c r="J80" s="58">
        <v>4.1784689999999998E-3</v>
      </c>
      <c r="K80" s="58">
        <f>J80</f>
        <v>4.1784689999999998E-3</v>
      </c>
      <c r="L80" s="83">
        <v>4178469</v>
      </c>
      <c r="M80" s="62">
        <v>4.1779260910382475E-3</v>
      </c>
      <c r="N80" s="58">
        <v>6.2127356691380018E-4</v>
      </c>
      <c r="P80" s="50"/>
      <c r="Q80" s="50"/>
      <c r="R80" s="50"/>
      <c r="S80" s="50"/>
      <c r="T80" s="50"/>
    </row>
    <row r="81" spans="1:20" x14ac:dyDescent="0.3">
      <c r="A81" s="230" t="s">
        <v>79</v>
      </c>
      <c r="B81" s="231"/>
      <c r="C81" s="72">
        <v>10000000</v>
      </c>
      <c r="D81" s="95">
        <v>0</v>
      </c>
      <c r="E81" s="58">
        <v>1</v>
      </c>
      <c r="F81" s="92">
        <v>0</v>
      </c>
      <c r="G81" s="89"/>
      <c r="H81" s="60" t="s">
        <v>79</v>
      </c>
      <c r="I81" s="80"/>
      <c r="J81" s="58"/>
      <c r="K81" s="58"/>
      <c r="L81" s="84"/>
      <c r="M81" s="62">
        <f>E81</f>
        <v>1</v>
      </c>
      <c r="N81" s="58" t="e">
        <f>F81/B9</f>
        <v>#DIV/0!</v>
      </c>
      <c r="P81" s="50"/>
      <c r="Q81" s="50"/>
      <c r="R81" s="50"/>
      <c r="S81" s="50"/>
      <c r="T81" s="50"/>
    </row>
    <row r="82" spans="1:20" x14ac:dyDescent="0.3">
      <c r="A82" s="65"/>
      <c r="B82" s="51"/>
      <c r="C82" s="1"/>
      <c r="D82" s="1"/>
      <c r="E82" s="1"/>
      <c r="F82" s="1"/>
      <c r="H82" s="13"/>
      <c r="I82" s="51"/>
      <c r="J82" s="51"/>
      <c r="K82" s="51"/>
      <c r="L82" s="67"/>
      <c r="M82" s="51"/>
      <c r="N82" s="51"/>
    </row>
    <row r="83" spans="1:20" x14ac:dyDescent="0.3">
      <c r="A83" s="51"/>
      <c r="D83" s="112"/>
      <c r="E83" s="1"/>
      <c r="F83" s="1"/>
      <c r="H83" s="13"/>
      <c r="I83" s="51"/>
      <c r="J83" s="51"/>
      <c r="K83" s="51"/>
      <c r="L83" s="51"/>
      <c r="M83" s="51"/>
      <c r="N83" s="51"/>
    </row>
    <row r="84" spans="1:20" s="191" customFormat="1" x14ac:dyDescent="0.3">
      <c r="A84" s="232" t="s">
        <v>290</v>
      </c>
      <c r="B84" s="232"/>
      <c r="C84" s="232"/>
      <c r="D84" s="232"/>
      <c r="E84" s="186"/>
      <c r="F84" s="186"/>
      <c r="G84" s="187"/>
      <c r="H84" s="188"/>
      <c r="I84" s="189"/>
      <c r="J84" s="190"/>
      <c r="K84" s="190"/>
      <c r="L84" s="190"/>
      <c r="M84" s="190"/>
      <c r="N84" s="190"/>
      <c r="O84" s="187"/>
    </row>
    <row r="85" spans="1:20" x14ac:dyDescent="0.3">
      <c r="A85" s="51"/>
      <c r="B85" s="51"/>
      <c r="C85" s="1"/>
      <c r="D85" s="1"/>
      <c r="E85" s="1"/>
      <c r="F85" s="1"/>
      <c r="G85" s="50">
        <v>9.9999999999999995E-7</v>
      </c>
      <c r="H85" s="13"/>
      <c r="I85" s="51"/>
      <c r="J85" s="51"/>
      <c r="K85" s="51"/>
      <c r="L85" s="51"/>
      <c r="M85" s="51"/>
      <c r="N85" s="51"/>
    </row>
    <row r="86" spans="1:20" x14ac:dyDescent="0.3">
      <c r="A86" s="69" t="s">
        <v>75</v>
      </c>
      <c r="B86" s="215">
        <v>1000000000</v>
      </c>
      <c r="C86" s="1"/>
      <c r="D86" s="1"/>
      <c r="E86" s="1"/>
      <c r="F86" s="1"/>
      <c r="G86" s="50">
        <v>1225271</v>
      </c>
      <c r="H86" s="69" t="s">
        <v>76</v>
      </c>
      <c r="I86" s="51"/>
      <c r="J86" s="51"/>
      <c r="K86" s="51"/>
      <c r="L86" s="51"/>
      <c r="M86" s="51"/>
      <c r="N86" s="51"/>
      <c r="P86" s="24" t="s">
        <v>81</v>
      </c>
    </row>
    <row r="87" spans="1:20" ht="16.2" x14ac:dyDescent="0.3">
      <c r="A87" s="20" t="s">
        <v>58</v>
      </c>
      <c r="B87" s="20" t="s">
        <v>59</v>
      </c>
      <c r="C87" s="20" t="s">
        <v>71</v>
      </c>
      <c r="D87" s="20" t="s">
        <v>72</v>
      </c>
      <c r="E87" s="20" t="s">
        <v>73</v>
      </c>
      <c r="F87" s="20" t="s">
        <v>85</v>
      </c>
      <c r="G87" s="89">
        <f>1+G86*G85</f>
        <v>2.2252710000000002</v>
      </c>
      <c r="H87" s="20" t="s">
        <v>61</v>
      </c>
      <c r="I87" s="20" t="s">
        <v>331</v>
      </c>
      <c r="J87" s="20" t="s">
        <v>64</v>
      </c>
      <c r="K87" s="20" t="s">
        <v>65</v>
      </c>
      <c r="L87" s="20" t="s">
        <v>66</v>
      </c>
      <c r="M87" s="20" t="s">
        <v>67</v>
      </c>
      <c r="N87" s="20" t="s">
        <v>60</v>
      </c>
      <c r="O87" s="50">
        <v>0.9</v>
      </c>
      <c r="P87" s="85" t="s">
        <v>84</v>
      </c>
      <c r="Q87" s="185" t="s">
        <v>289</v>
      </c>
      <c r="R87" s="85" t="s">
        <v>217</v>
      </c>
      <c r="S87" s="85" t="s">
        <v>80</v>
      </c>
    </row>
    <row r="88" spans="1:20" x14ac:dyDescent="0.3">
      <c r="A88" s="63">
        <v>-1</v>
      </c>
      <c r="B88" s="63">
        <v>0</v>
      </c>
      <c r="C88" s="95" cm="1">
        <f t="array" ref="C88:D151">C16:D79</f>
        <v>737428057</v>
      </c>
      <c r="D88" s="95">
        <v>0</v>
      </c>
      <c r="E88" s="68" cm="1">
        <f t="array" ref="E88:E151">_xlfn.LET(_xlpm.x, C88:C151, _xlpm.x/SUM(_xlpm.x))</f>
        <v>0.75568025613499457</v>
      </c>
      <c r="F88" s="91" cm="1">
        <f t="array" ref="F88:F152">_xlfn.LET(_xlpm.x, D88:D152/C88:C152/B3, IF(ISERR(_xlpm.x), 0, _xlpm.x))</f>
        <v>0</v>
      </c>
      <c r="G88" s="89"/>
      <c r="H88" s="60" t="str">
        <f>"("&amp;$A88&amp;", "&amp;$B88&amp;"]"</f>
        <v>(-1, 0]</v>
      </c>
      <c r="I88" s="61">
        <v>0.96</v>
      </c>
      <c r="J88" s="58" cm="1">
        <f t="array" ref="J88:J152">E88:E152*I88:I152</f>
        <v>0.72545304588959481</v>
      </c>
      <c r="K88" s="58" cm="1">
        <f t="array" ref="K88:K151">J88:J151/SUM(_xlfn.ANCHORARRAY(J88))</f>
        <v>0.67682108933116891</v>
      </c>
      <c r="L88" s="115" cm="1">
        <f t="array" ref="L88:L152">INT(K88:K152*$B$2)</f>
        <v>676821089</v>
      </c>
      <c r="M88" s="58" cm="1">
        <f t="array" ref="M88:M152">_xlfn.LET(_xlpm.x, L88:L152, _xlpm.x/SUM(_xlpm.x))</f>
        <v>0.67587449702843383</v>
      </c>
      <c r="N88" s="58" cm="1">
        <f t="array" ref="N88:N152">M88:M152*F88:F152</f>
        <v>0</v>
      </c>
      <c r="O88" s="117" cm="1">
        <f t="array" ref="O88:O151">I88:I151*O87</f>
        <v>0.86399999999999999</v>
      </c>
      <c r="P88" s="58" cm="1">
        <f t="array" ref="P88:P151">M88:M151</f>
        <v>0.67587449702843383</v>
      </c>
      <c r="Q88" s="58">
        <v>0.72294875282443027</v>
      </c>
      <c r="R88" s="58"/>
      <c r="S88" s="82" cm="1">
        <f t="array" ref="S88:S151">_xlfn.LET(_xlpm.x, Q88:Q151/M88:M151, IF(ISERR(_xlpm.x), 0, ROUND(_xlpm.x,2)))</f>
        <v>1.07</v>
      </c>
    </row>
    <row r="89" spans="1:20" x14ac:dyDescent="0.3">
      <c r="A89" s="57">
        <v>0</v>
      </c>
      <c r="B89" s="57">
        <v>1</v>
      </c>
      <c r="C89" s="95">
        <v>124960454</v>
      </c>
      <c r="D89" s="95">
        <v>5670928890</v>
      </c>
      <c r="E89" s="58">
        <v>0.12805337007331308</v>
      </c>
      <c r="F89" s="92">
        <v>0.453817884656533</v>
      </c>
      <c r="G89" s="89"/>
      <c r="H89" s="60" t="str">
        <f t="shared" ref="H89:H151" si="1">"("&amp;$A89&amp;", "&amp;$B89&amp;"]"</f>
        <v>(0, 1]</v>
      </c>
      <c r="I89" s="61">
        <v>1.26</v>
      </c>
      <c r="J89" s="58">
        <v>0.16134724629237449</v>
      </c>
      <c r="K89" s="58">
        <v>0.1505310641604346</v>
      </c>
      <c r="L89" s="115">
        <v>150531064</v>
      </c>
      <c r="M89" s="58">
        <v>0.15032053347875951</v>
      </c>
      <c r="N89" s="58">
        <v>6.8218146523772186E-2</v>
      </c>
      <c r="O89" s="117">
        <v>1.1340000000000001</v>
      </c>
      <c r="P89" s="58">
        <v>0.15032053347875951</v>
      </c>
      <c r="Q89" s="58">
        <v>0.16136085442046003</v>
      </c>
      <c r="R89" s="58"/>
      <c r="S89" s="82">
        <v>1.07</v>
      </c>
    </row>
    <row r="90" spans="1:20" x14ac:dyDescent="0.3">
      <c r="A90" s="57">
        <v>1</v>
      </c>
      <c r="B90" s="57">
        <v>2</v>
      </c>
      <c r="C90" s="95">
        <v>33683617</v>
      </c>
      <c r="D90" s="95">
        <v>5063260970</v>
      </c>
      <c r="E90" s="58">
        <v>3.4517325562123356E-2</v>
      </c>
      <c r="F90" s="92">
        <v>1.5031820870068673</v>
      </c>
      <c r="G90" s="89"/>
      <c r="H90" s="60" t="str">
        <f t="shared" si="1"/>
        <v>(1, 2]</v>
      </c>
      <c r="I90" s="61">
        <v>1.31</v>
      </c>
      <c r="J90" s="58">
        <v>4.5217696486381596E-2</v>
      </c>
      <c r="K90" s="58">
        <v>4.2186452681344959E-2</v>
      </c>
      <c r="L90" s="115">
        <v>42186452</v>
      </c>
      <c r="M90" s="58">
        <v>4.212745065175439E-2</v>
      </c>
      <c r="N90" s="58">
        <v>6.3325229190982976E-2</v>
      </c>
      <c r="O90" s="117">
        <v>1.179</v>
      </c>
      <c r="P90" s="58">
        <v>4.212745065175439E-2</v>
      </c>
      <c r="Q90" s="58">
        <v>4.5756934610305687E-2</v>
      </c>
      <c r="R90" s="58"/>
      <c r="S90" s="82">
        <v>1.0900000000000001</v>
      </c>
    </row>
    <row r="91" spans="1:20" x14ac:dyDescent="0.3">
      <c r="A91" s="57">
        <v>2</v>
      </c>
      <c r="B91" s="57">
        <v>3</v>
      </c>
      <c r="C91" s="95">
        <v>15731868</v>
      </c>
      <c r="D91" s="95">
        <v>3966955370</v>
      </c>
      <c r="E91" s="58">
        <v>1.6121249967197715E-2</v>
      </c>
      <c r="F91" s="92">
        <v>2.5216047897172795</v>
      </c>
      <c r="G91" s="89"/>
      <c r="H91" s="60" t="str">
        <f t="shared" si="1"/>
        <v>(2, 3]</v>
      </c>
      <c r="I91" s="61">
        <v>1.33</v>
      </c>
      <c r="J91" s="58">
        <v>2.1441262456372963E-2</v>
      </c>
      <c r="K91" s="58">
        <v>2.000391161713639E-2</v>
      </c>
      <c r="L91" s="115">
        <v>20003911</v>
      </c>
      <c r="M91" s="58">
        <v>1.9975933825735967E-2</v>
      </c>
      <c r="N91" s="58">
        <v>5.0371410414051236E-2</v>
      </c>
      <c r="O91" s="117">
        <v>1.1970000000000001</v>
      </c>
      <c r="P91" s="58">
        <v>1.9975933825735967E-2</v>
      </c>
      <c r="Q91" s="58">
        <v>2.1758000231243222E-2</v>
      </c>
      <c r="R91" s="58"/>
      <c r="S91" s="82">
        <v>1.0900000000000001</v>
      </c>
    </row>
    <row r="92" spans="1:20" x14ac:dyDescent="0.3">
      <c r="A92" s="57">
        <v>3</v>
      </c>
      <c r="B92" s="57">
        <v>4</v>
      </c>
      <c r="C92" s="95">
        <v>7891833</v>
      </c>
      <c r="D92" s="95">
        <v>2817483325</v>
      </c>
      <c r="E92" s="58">
        <v>8.0871650138673833E-3</v>
      </c>
      <c r="F92" s="92">
        <v>3.5701253751821662</v>
      </c>
      <c r="G92" s="89">
        <v>1.05</v>
      </c>
      <c r="H92" s="60" t="str">
        <f t="shared" si="1"/>
        <v>(3, 4]</v>
      </c>
      <c r="I92" s="198" cm="1">
        <f t="array" ref="I92:I151">G92:G151*G87</f>
        <v>2.3365345500000005</v>
      </c>
      <c r="J92" s="58">
        <v>1.8895940466452373E-2</v>
      </c>
      <c r="K92" s="58">
        <v>1.7629219537921091E-2</v>
      </c>
      <c r="L92" s="115">
        <v>17629219</v>
      </c>
      <c r="M92" s="58">
        <v>1.7604563034868893E-2</v>
      </c>
      <c r="N92" s="58">
        <v>6.2850497209779393E-2</v>
      </c>
      <c r="O92" s="117">
        <v>2.1028810950000008</v>
      </c>
      <c r="P92" s="58">
        <v>1.7604563034868893E-2</v>
      </c>
      <c r="Q92" s="58">
        <v>8.5068854662453865E-3</v>
      </c>
      <c r="R92" s="58"/>
      <c r="S92" s="82">
        <v>0.48</v>
      </c>
    </row>
    <row r="93" spans="1:20" x14ac:dyDescent="0.3">
      <c r="A93" s="57">
        <v>4</v>
      </c>
      <c r="B93" s="57">
        <v>5</v>
      </c>
      <c r="C93" s="95">
        <v>5580810</v>
      </c>
      <c r="D93" s="95">
        <v>2567489145</v>
      </c>
      <c r="E93" s="58">
        <v>5.7189415160003049E-3</v>
      </c>
      <c r="F93" s="92">
        <v>4.6005672026103737</v>
      </c>
      <c r="G93" s="89">
        <v>1.17</v>
      </c>
      <c r="H93" s="60" t="str">
        <f t="shared" si="1"/>
        <v>(4, 5]</v>
      </c>
      <c r="I93" s="61">
        <v>2.60356707</v>
      </c>
      <c r="J93" s="58">
        <v>1.4889647806314271E-2</v>
      </c>
      <c r="K93" s="58">
        <v>1.3891495397430268E-2</v>
      </c>
      <c r="L93" s="115">
        <v>13891495</v>
      </c>
      <c r="M93" s="58">
        <v>1.3872066560411216E-2</v>
      </c>
      <c r="N93" s="58">
        <v>6.3819374450255942E-2</v>
      </c>
      <c r="O93" s="117">
        <v>2.3432103629999999</v>
      </c>
      <c r="P93" s="58">
        <v>1.3872066560411216E-2</v>
      </c>
      <c r="Q93" s="58">
        <v>6.6698354145381805E-3</v>
      </c>
      <c r="R93" s="58"/>
      <c r="S93" s="82">
        <v>0.48</v>
      </c>
    </row>
    <row r="94" spans="1:20" x14ac:dyDescent="0.3">
      <c r="A94" s="57">
        <v>5</v>
      </c>
      <c r="B94" s="57">
        <v>6</v>
      </c>
      <c r="C94" s="95">
        <v>4164929</v>
      </c>
      <c r="D94" s="95">
        <v>2327993340</v>
      </c>
      <c r="E94" s="58">
        <v>4.2680158201575816E-3</v>
      </c>
      <c r="F94" s="92">
        <v>5.5895150673636929</v>
      </c>
      <c r="G94" s="89">
        <v>1.29</v>
      </c>
      <c r="H94" s="60" t="str">
        <f t="shared" si="1"/>
        <v>(5, 6]</v>
      </c>
      <c r="I94" s="61">
        <v>2.8705995900000003</v>
      </c>
      <c r="J94" s="58">
        <v>1.2251764463457869E-2</v>
      </c>
      <c r="K94" s="58">
        <v>1.1430446970166061E-2</v>
      </c>
      <c r="L94" s="115">
        <v>11430446</v>
      </c>
      <c r="M94" s="58">
        <v>1.1414459547167971E-2</v>
      </c>
      <c r="N94" s="58">
        <v>6.3801293624708724E-2</v>
      </c>
      <c r="O94" s="117">
        <v>2.5835396310000003</v>
      </c>
      <c r="P94" s="58">
        <v>1.1414459547167971E-2</v>
      </c>
      <c r="Q94" s="58">
        <v>5.4541948981352501E-3</v>
      </c>
      <c r="R94" s="58"/>
      <c r="S94" s="82">
        <v>0.48</v>
      </c>
    </row>
    <row r="95" spans="1:20" x14ac:dyDescent="0.3">
      <c r="A95" s="57">
        <v>6</v>
      </c>
      <c r="B95" s="57">
        <v>7</v>
      </c>
      <c r="C95" s="95">
        <v>2786352</v>
      </c>
      <c r="D95" s="95">
        <v>1828894325</v>
      </c>
      <c r="E95" s="58">
        <v>2.8553174415524773E-3</v>
      </c>
      <c r="F95" s="92">
        <v>6.5637590835615889</v>
      </c>
      <c r="G95" s="89">
        <v>1.18</v>
      </c>
      <c r="H95" s="60" t="str">
        <f t="shared" si="1"/>
        <v>(6, 7]</v>
      </c>
      <c r="I95" s="61">
        <v>2.62581978</v>
      </c>
      <c r="J95" s="58">
        <v>7.4975490162074894E-3</v>
      </c>
      <c r="K95" s="58">
        <v>6.9949382957524512E-3</v>
      </c>
      <c r="L95" s="115">
        <v>6994938</v>
      </c>
      <c r="M95" s="58">
        <v>6.9851549830993497E-3</v>
      </c>
      <c r="N95" s="58">
        <v>4.5848874470403853E-2</v>
      </c>
      <c r="O95" s="117">
        <v>2.363237802</v>
      </c>
      <c r="P95" s="58">
        <v>6.9851549830993497E-3</v>
      </c>
      <c r="Q95" s="58">
        <v>3.3318405313007824E-3</v>
      </c>
      <c r="R95" s="58"/>
      <c r="S95" s="82">
        <v>0.48</v>
      </c>
    </row>
    <row r="96" spans="1:20" x14ac:dyDescent="0.3">
      <c r="A96" s="57">
        <v>7</v>
      </c>
      <c r="B96" s="57">
        <v>8</v>
      </c>
      <c r="C96" s="95">
        <v>2886263</v>
      </c>
      <c r="D96" s="95">
        <v>2199517210</v>
      </c>
      <c r="E96" s="58">
        <v>2.9577013546054401E-3</v>
      </c>
      <c r="F96" s="92">
        <v>7.6206402881511481</v>
      </c>
      <c r="G96" s="89">
        <v>0.97</v>
      </c>
      <c r="H96" s="60" t="str">
        <f t="shared" si="1"/>
        <v>(7, 8]</v>
      </c>
      <c r="I96" s="61">
        <v>2.15851287</v>
      </c>
      <c r="J96" s="58">
        <v>6.3842364395322766E-3</v>
      </c>
      <c r="K96" s="58">
        <v>5.956258487071789E-3</v>
      </c>
      <c r="L96" s="115">
        <v>5956258</v>
      </c>
      <c r="M96" s="58">
        <v>5.9479276655955166E-3</v>
      </c>
      <c r="N96" s="58">
        <v>4.5327017199446006E-2</v>
      </c>
      <c r="O96" s="117">
        <v>1.942661583</v>
      </c>
      <c r="P96" s="58">
        <v>5.9479276655955166E-3</v>
      </c>
      <c r="Q96" s="58">
        <v>2.8156200112303422E-3</v>
      </c>
      <c r="R96" s="58"/>
      <c r="S96" s="82">
        <v>0.47</v>
      </c>
    </row>
    <row r="97" spans="1:19" x14ac:dyDescent="0.3">
      <c r="A97" s="57">
        <v>8</v>
      </c>
      <c r="B97" s="57">
        <v>9</v>
      </c>
      <c r="C97" s="95">
        <v>2121277</v>
      </c>
      <c r="D97" s="95">
        <v>1824061555</v>
      </c>
      <c r="E97" s="58">
        <v>2.1737810644398533E-3</v>
      </c>
      <c r="F97" s="92">
        <v>8.5988843276950622</v>
      </c>
      <c r="G97" s="89">
        <v>1.19</v>
      </c>
      <c r="H97" s="60" t="str">
        <f t="shared" si="1"/>
        <v>(8, 9]</v>
      </c>
      <c r="I97" s="61">
        <v>2.6480724900000001</v>
      </c>
      <c r="J97" s="58">
        <v>5.7563298360260931E-3</v>
      </c>
      <c r="K97" s="58">
        <v>5.3704446514400801E-3</v>
      </c>
      <c r="L97" s="115">
        <v>5370444</v>
      </c>
      <c r="M97" s="58">
        <v>5.3629329763975045E-3</v>
      </c>
      <c r="N97" s="58">
        <v>4.6115240321223536E-2</v>
      </c>
      <c r="O97" s="117">
        <v>2.3832652410000001</v>
      </c>
      <c r="P97" s="58">
        <v>5.3629329763975045E-3</v>
      </c>
      <c r="Q97" s="58">
        <v>2.5445965127515817E-3</v>
      </c>
      <c r="R97" s="58"/>
      <c r="S97" s="82">
        <v>0.47</v>
      </c>
    </row>
    <row r="98" spans="1:19" x14ac:dyDescent="0.3">
      <c r="A98" s="57">
        <v>9</v>
      </c>
      <c r="B98" s="57">
        <v>10</v>
      </c>
      <c r="C98" s="95">
        <v>1982595</v>
      </c>
      <c r="D98" s="95">
        <v>1912247295</v>
      </c>
      <c r="E98" s="58">
        <v>2.0316665241989287E-3</v>
      </c>
      <c r="F98" s="92">
        <v>9.6451735982386726</v>
      </c>
      <c r="G98" s="89">
        <v>1.1399999999999999</v>
      </c>
      <c r="H98" s="60" t="str">
        <f t="shared" si="1"/>
        <v>(9, 10]</v>
      </c>
      <c r="I98" s="61">
        <v>2.5368089400000002</v>
      </c>
      <c r="J98" s="58">
        <v>5.1539498016865692E-3</v>
      </c>
      <c r="K98" s="58">
        <v>4.808446168777329E-3</v>
      </c>
      <c r="L98" s="115">
        <v>4808446</v>
      </c>
      <c r="M98" s="58">
        <v>4.8017209784938959E-3</v>
      </c>
      <c r="N98" s="58">
        <v>4.6313432407878087E-2</v>
      </c>
      <c r="O98" s="117">
        <v>2.2831280460000003</v>
      </c>
      <c r="P98" s="58">
        <v>4.8017209784938959E-3</v>
      </c>
      <c r="Q98" s="58">
        <v>2.2718729170527617E-3</v>
      </c>
      <c r="R98" s="58"/>
      <c r="S98" s="82">
        <v>0.47</v>
      </c>
    </row>
    <row r="99" spans="1:19" x14ac:dyDescent="0.3">
      <c r="A99" s="57">
        <v>10</v>
      </c>
      <c r="B99" s="57">
        <v>15</v>
      </c>
      <c r="C99" s="95">
        <v>6840763</v>
      </c>
      <c r="D99" s="95">
        <v>8514472135</v>
      </c>
      <c r="E99" s="58">
        <v>7.0100798131129335E-3</v>
      </c>
      <c r="F99" s="92">
        <v>12.446670254473077</v>
      </c>
      <c r="G99" s="89">
        <v>0.44</v>
      </c>
      <c r="H99" s="60" t="str">
        <f t="shared" si="1"/>
        <v>(10, 15]</v>
      </c>
      <c r="I99" s="61">
        <v>0.97911924000000006</v>
      </c>
      <c r="J99" s="58">
        <v>6.8637040189544777E-3</v>
      </c>
      <c r="K99" s="58">
        <v>6.403584156516838E-3</v>
      </c>
      <c r="L99" s="115">
        <v>6403584</v>
      </c>
      <c r="M99" s="58">
        <v>6.3946280420634563E-3</v>
      </c>
      <c r="N99" s="58">
        <v>7.9591826639570637E-2</v>
      </c>
      <c r="O99" s="117">
        <v>0.88120731600000002</v>
      </c>
      <c r="P99" s="58">
        <v>6.3946280420634563E-3</v>
      </c>
      <c r="Q99" s="58">
        <v>3.0238589193723043E-3</v>
      </c>
      <c r="R99" s="58"/>
      <c r="S99" s="82">
        <v>0.47</v>
      </c>
    </row>
    <row r="100" spans="1:19" x14ac:dyDescent="0.3">
      <c r="A100" s="57">
        <v>15</v>
      </c>
      <c r="B100" s="57">
        <v>20</v>
      </c>
      <c r="C100" s="95">
        <v>4640184</v>
      </c>
      <c r="D100" s="95">
        <v>8115369895</v>
      </c>
      <c r="E100" s="58">
        <v>4.7550339322572095E-3</v>
      </c>
      <c r="F100" s="92">
        <v>17.489327783122395</v>
      </c>
      <c r="G100" s="89">
        <v>0.84</v>
      </c>
      <c r="H100" s="111" t="str">
        <f t="shared" si="1"/>
        <v>(15, 20]</v>
      </c>
      <c r="I100" s="61">
        <v>1.8692276400000001</v>
      </c>
      <c r="J100" s="58">
        <v>8.8882408553130638E-3</v>
      </c>
      <c r="K100" s="58">
        <v>8.2924027847369637E-3</v>
      </c>
      <c r="L100" s="115">
        <v>8292402</v>
      </c>
      <c r="M100" s="58">
        <v>8.2808043691256477E-3</v>
      </c>
      <c r="N100" s="58">
        <v>0.14482570191955049</v>
      </c>
      <c r="O100" s="117">
        <v>1.6823048760000001</v>
      </c>
      <c r="P100" s="58">
        <v>8.2808043691256477E-3</v>
      </c>
      <c r="Q100" s="58">
        <v>3.9646257171216332E-3</v>
      </c>
      <c r="R100" s="58"/>
      <c r="S100" s="82">
        <v>0.48</v>
      </c>
    </row>
    <row r="101" spans="1:19" x14ac:dyDescent="0.3">
      <c r="A101" s="57">
        <v>20</v>
      </c>
      <c r="B101" s="57">
        <v>25</v>
      </c>
      <c r="C101" s="95">
        <v>3240350</v>
      </c>
      <c r="D101" s="95">
        <v>7303039190</v>
      </c>
      <c r="E101" s="58">
        <v>3.3205524182639413E-3</v>
      </c>
      <c r="F101" s="92">
        <v>22.537809773635562</v>
      </c>
      <c r="G101" s="89">
        <v>0.5</v>
      </c>
      <c r="H101" s="60" t="str">
        <f t="shared" si="1"/>
        <v>(20, 25]</v>
      </c>
      <c r="I101" s="61">
        <v>1.1126355000000001</v>
      </c>
      <c r="J101" s="58">
        <v>3.6945645001713098E-3</v>
      </c>
      <c r="K101" s="58">
        <v>3.4468931983652686E-3</v>
      </c>
      <c r="L101" s="115">
        <v>3446893</v>
      </c>
      <c r="M101" s="58">
        <v>3.4420722263957546E-3</v>
      </c>
      <c r="N101" s="58">
        <v>7.7576769065621762E-2</v>
      </c>
      <c r="O101" s="117">
        <v>1.0013719500000002</v>
      </c>
      <c r="P101" s="58">
        <v>3.4420722263957546E-3</v>
      </c>
      <c r="Q101" s="58">
        <v>1.6558466895929445E-3</v>
      </c>
      <c r="R101" s="58"/>
      <c r="S101" s="82">
        <v>0.48</v>
      </c>
    </row>
    <row r="102" spans="1:19" x14ac:dyDescent="0.3">
      <c r="A102" s="57">
        <v>25</v>
      </c>
      <c r="B102" s="57">
        <v>30</v>
      </c>
      <c r="C102" s="95">
        <v>2609813</v>
      </c>
      <c r="D102" s="95">
        <v>7187928000</v>
      </c>
      <c r="E102" s="58">
        <v>2.6744088966829732E-3</v>
      </c>
      <c r="F102" s="92">
        <v>27.541927333490943</v>
      </c>
      <c r="G102" s="89">
        <v>0.25</v>
      </c>
      <c r="H102" s="60" t="str">
        <f t="shared" si="1"/>
        <v>(25, 30]</v>
      </c>
      <c r="I102" s="61">
        <v>0.55631775000000006</v>
      </c>
      <c r="J102" s="58">
        <v>1.4878211399826542E-3</v>
      </c>
      <c r="K102" s="58">
        <v>1.3880825649552145E-3</v>
      </c>
      <c r="L102" s="115">
        <v>1388082</v>
      </c>
      <c r="M102" s="58">
        <v>1.3861406490308437E-3</v>
      </c>
      <c r="N102" s="58">
        <v>3.8176985029605467E-2</v>
      </c>
      <c r="O102" s="117">
        <v>0.50068597500000012</v>
      </c>
      <c r="P102" s="58">
        <v>1.3861406490308437E-3</v>
      </c>
      <c r="Q102" s="58">
        <v>6.70909365952092E-4</v>
      </c>
      <c r="R102" s="58"/>
      <c r="S102" s="82">
        <v>0.48</v>
      </c>
    </row>
    <row r="103" spans="1:19" x14ac:dyDescent="0.3">
      <c r="A103" s="57">
        <v>30</v>
      </c>
      <c r="B103" s="57">
        <v>35</v>
      </c>
      <c r="C103" s="95">
        <v>1960951</v>
      </c>
      <c r="D103" s="95">
        <v>6379124260</v>
      </c>
      <c r="E103" s="58">
        <v>2.0094868101122082E-3</v>
      </c>
      <c r="F103" s="92">
        <v>32.530768285388056</v>
      </c>
      <c r="G103" s="89">
        <v>0.28000000000000003</v>
      </c>
      <c r="H103" s="60" t="str">
        <f t="shared" si="1"/>
        <v>(30, 35]</v>
      </c>
      <c r="I103" s="61">
        <v>0.62307588000000014</v>
      </c>
      <c r="J103" s="58">
        <v>1.2520627625590573E-3</v>
      </c>
      <c r="K103" s="58">
        <v>1.1681286441179012E-3</v>
      </c>
      <c r="L103" s="115">
        <v>1168128</v>
      </c>
      <c r="M103" s="58">
        <v>1.1664942734442932E-3</v>
      </c>
      <c r="N103" s="58">
        <v>3.7946954915648395E-2</v>
      </c>
      <c r="O103" s="117">
        <v>0.56076829200000011</v>
      </c>
      <c r="P103" s="58">
        <v>1.1664942734442932E-3</v>
      </c>
      <c r="Q103" s="58">
        <v>5.6786647344428387E-4</v>
      </c>
      <c r="R103" s="58"/>
      <c r="S103" s="82">
        <v>0.49</v>
      </c>
    </row>
    <row r="104" spans="1:19" x14ac:dyDescent="0.3">
      <c r="A104" s="57">
        <v>35</v>
      </c>
      <c r="B104" s="57">
        <v>40</v>
      </c>
      <c r="C104" s="95">
        <v>1698327</v>
      </c>
      <c r="D104" s="95">
        <v>6375630385</v>
      </c>
      <c r="E104" s="58">
        <v>1.7403625617149212E-3</v>
      </c>
      <c r="F104" s="92">
        <v>37.540652565730859</v>
      </c>
      <c r="G104" s="89">
        <v>0.55000000000000004</v>
      </c>
      <c r="H104" s="111" t="str">
        <f t="shared" si="1"/>
        <v>(35, 40]</v>
      </c>
      <c r="I104" s="61">
        <v>1.2238990500000002</v>
      </c>
      <c r="J104" s="58">
        <v>2.1300280859384586E-3</v>
      </c>
      <c r="K104" s="58">
        <v>1.9872380956964838E-3</v>
      </c>
      <c r="L104" s="115">
        <v>1987238</v>
      </c>
      <c r="M104" s="58">
        <v>1.9844586783048521E-3</v>
      </c>
      <c r="N104" s="58">
        <v>7.4497873773291909E-2</v>
      </c>
      <c r="O104" s="117">
        <v>1.1015091450000003</v>
      </c>
      <c r="P104" s="58">
        <v>1.9844586783048521E-3</v>
      </c>
      <c r="Q104" s="58">
        <v>9.7218159420446463E-4</v>
      </c>
      <c r="R104" s="58"/>
      <c r="S104" s="82">
        <v>0.49</v>
      </c>
    </row>
    <row r="105" spans="1:19" x14ac:dyDescent="0.3">
      <c r="A105" s="57">
        <v>40</v>
      </c>
      <c r="B105" s="57">
        <v>45</v>
      </c>
      <c r="C105" s="95">
        <v>1400288</v>
      </c>
      <c r="D105" s="95">
        <v>5968140920</v>
      </c>
      <c r="E105" s="58">
        <v>1.4349467510194819E-3</v>
      </c>
      <c r="F105" s="92">
        <v>42.620810290454536</v>
      </c>
      <c r="G105" s="89">
        <v>0.15</v>
      </c>
      <c r="H105" s="60" t="str">
        <f t="shared" si="1"/>
        <v>(40, 45]</v>
      </c>
      <c r="I105" s="61">
        <v>0.33379065000000002</v>
      </c>
      <c r="J105" s="58">
        <v>4.789718087381811E-4</v>
      </c>
      <c r="K105" s="58">
        <v>4.4686313357685182E-4</v>
      </c>
      <c r="L105" s="115">
        <v>446863</v>
      </c>
      <c r="M105" s="58">
        <v>4.4623802401289687E-4</v>
      </c>
      <c r="N105" s="58">
        <v>1.9019026165840974E-2</v>
      </c>
      <c r="O105" s="117">
        <v>0.30041158500000004</v>
      </c>
      <c r="P105" s="58">
        <v>4.4623802401289687E-4</v>
      </c>
      <c r="Q105" s="58">
        <v>2.2260372959427685E-4</v>
      </c>
      <c r="R105" s="58"/>
      <c r="S105" s="82">
        <v>0.5</v>
      </c>
    </row>
    <row r="106" spans="1:19" x14ac:dyDescent="0.3">
      <c r="A106" s="57">
        <v>45</v>
      </c>
      <c r="B106" s="57">
        <v>50</v>
      </c>
      <c r="C106" s="95">
        <v>1178348</v>
      </c>
      <c r="D106" s="95">
        <v>5615779505</v>
      </c>
      <c r="E106" s="58">
        <v>1.2075134787774403E-3</v>
      </c>
      <c r="F106" s="92">
        <v>47.658073039543495</v>
      </c>
      <c r="G106" s="89">
        <v>0.18</v>
      </c>
      <c r="H106" s="60" t="str">
        <f t="shared" si="1"/>
        <v>(45, 50]</v>
      </c>
      <c r="I106" s="61">
        <v>0.40054878000000005</v>
      </c>
      <c r="J106" s="58">
        <v>4.836680507578597E-4</v>
      </c>
      <c r="K106" s="58">
        <v>4.5124455516923622E-4</v>
      </c>
      <c r="L106" s="115">
        <v>451244</v>
      </c>
      <c r="M106" s="58">
        <v>4.5061289681104868E-4</v>
      </c>
      <c r="N106" s="58">
        <v>2.1475342348781234E-2</v>
      </c>
      <c r="O106" s="117">
        <v>0.36049390200000003</v>
      </c>
      <c r="P106" s="58">
        <v>4.5061289681104868E-4</v>
      </c>
      <c r="Q106" s="58">
        <v>2.1215213191966382E-4</v>
      </c>
      <c r="R106" s="58"/>
      <c r="S106" s="82">
        <v>0.47</v>
      </c>
    </row>
    <row r="107" spans="1:19" x14ac:dyDescent="0.3">
      <c r="A107" s="57">
        <v>50</v>
      </c>
      <c r="B107" s="57">
        <v>60</v>
      </c>
      <c r="C107" s="95">
        <v>1971138</v>
      </c>
      <c r="D107" s="95">
        <v>10820608060</v>
      </c>
      <c r="E107" s="58">
        <v>2.0199259501695647E-3</v>
      </c>
      <c r="F107" s="92">
        <v>54.895233413388617</v>
      </c>
      <c r="G107" s="89">
        <v>0.31</v>
      </c>
      <c r="H107" s="111" t="str">
        <f t="shared" si="1"/>
        <v>(50, 60]</v>
      </c>
      <c r="I107" s="61">
        <v>0.68983401000000011</v>
      </c>
      <c r="J107" s="58">
        <v>1.3934136181085312E-3</v>
      </c>
      <c r="K107" s="58">
        <v>1.300003808986183E-3</v>
      </c>
      <c r="L107" s="115">
        <v>1300003</v>
      </c>
      <c r="M107" s="58">
        <v>1.298184835018424E-3</v>
      </c>
      <c r="N107" s="58">
        <v>7.126415953205778E-2</v>
      </c>
      <c r="O107" s="117">
        <v>0.62085060900000011</v>
      </c>
      <c r="P107" s="58">
        <v>1.298184835018424E-3</v>
      </c>
      <c r="Q107" s="58">
        <v>6.2280361502472517E-4</v>
      </c>
      <c r="R107" s="58"/>
      <c r="S107" s="82">
        <v>0.48</v>
      </c>
    </row>
    <row r="108" spans="1:19" x14ac:dyDescent="0.3">
      <c r="A108" s="57">
        <v>60</v>
      </c>
      <c r="B108" s="57">
        <v>70</v>
      </c>
      <c r="C108" s="95">
        <v>1442495</v>
      </c>
      <c r="D108" s="95">
        <v>9376281050</v>
      </c>
      <c r="E108" s="58">
        <v>1.4781984231899776E-3</v>
      </c>
      <c r="F108" s="92">
        <v>65.00044055611977</v>
      </c>
      <c r="G108" s="89">
        <v>0</v>
      </c>
      <c r="H108" s="60" t="str">
        <f t="shared" si="1"/>
        <v>(60, 70]</v>
      </c>
      <c r="I108" s="61">
        <v>0</v>
      </c>
      <c r="J108" s="58">
        <v>0</v>
      </c>
      <c r="K108" s="58">
        <v>0</v>
      </c>
      <c r="L108" s="115">
        <v>0</v>
      </c>
      <c r="M108" s="58">
        <v>0</v>
      </c>
      <c r="N108" s="58">
        <v>0</v>
      </c>
      <c r="O108" s="117">
        <v>0</v>
      </c>
      <c r="P108" s="58">
        <v>0</v>
      </c>
      <c r="Q108" s="58">
        <v>1.5079862341928023E-4</v>
      </c>
      <c r="R108" s="58"/>
      <c r="S108" s="82">
        <v>0</v>
      </c>
    </row>
    <row r="109" spans="1:19" x14ac:dyDescent="0.3">
      <c r="A109" s="57">
        <v>70</v>
      </c>
      <c r="B109" s="57">
        <v>80</v>
      </c>
      <c r="C109" s="95">
        <v>1166949</v>
      </c>
      <c r="D109" s="95">
        <v>8750269200</v>
      </c>
      <c r="E109" s="58">
        <v>1.1958323403153017E-3</v>
      </c>
      <c r="F109" s="92">
        <v>74.984161261546134</v>
      </c>
      <c r="G109" s="89">
        <v>0</v>
      </c>
      <c r="H109" s="60" t="str">
        <f t="shared" si="1"/>
        <v>(70, 80]</v>
      </c>
      <c r="I109" s="61">
        <v>0</v>
      </c>
      <c r="J109" s="58">
        <v>0</v>
      </c>
      <c r="K109" s="58">
        <v>0</v>
      </c>
      <c r="L109" s="115">
        <v>0</v>
      </c>
      <c r="M109" s="58">
        <v>0</v>
      </c>
      <c r="N109" s="58">
        <v>0</v>
      </c>
      <c r="O109" s="117">
        <v>0</v>
      </c>
      <c r="P109" s="58">
        <v>0</v>
      </c>
      <c r="Q109" s="58">
        <v>1.2982942429562834E-4</v>
      </c>
      <c r="R109" s="58"/>
      <c r="S109" s="82">
        <v>0</v>
      </c>
    </row>
    <row r="110" spans="1:19" x14ac:dyDescent="0.3">
      <c r="A110" s="57">
        <v>80</v>
      </c>
      <c r="B110" s="57">
        <v>90</v>
      </c>
      <c r="C110" s="95">
        <v>927868</v>
      </c>
      <c r="D110" s="95">
        <v>7890158495</v>
      </c>
      <c r="E110" s="58">
        <v>9.5083380845579243E-4</v>
      </c>
      <c r="F110" s="92">
        <v>85.03535519060901</v>
      </c>
      <c r="G110" s="99">
        <v>0</v>
      </c>
      <c r="H110" s="60" t="str">
        <f t="shared" si="1"/>
        <v>(80, 90]</v>
      </c>
      <c r="I110" s="61">
        <v>0</v>
      </c>
      <c r="J110" s="58">
        <v>0</v>
      </c>
      <c r="K110" s="58">
        <v>0</v>
      </c>
      <c r="L110" s="115">
        <v>0</v>
      </c>
      <c r="M110" s="58">
        <v>0</v>
      </c>
      <c r="N110" s="58">
        <v>0</v>
      </c>
      <c r="O110" s="117">
        <v>0</v>
      </c>
      <c r="P110" s="58">
        <v>0</v>
      </c>
      <c r="Q110" s="58">
        <v>1.1201240542940448E-4</v>
      </c>
      <c r="R110" s="58"/>
      <c r="S110" s="82">
        <v>0</v>
      </c>
    </row>
    <row r="111" spans="1:19" x14ac:dyDescent="0.3">
      <c r="A111" s="57">
        <v>90</v>
      </c>
      <c r="B111" s="57">
        <v>100</v>
      </c>
      <c r="C111" s="95">
        <v>779276</v>
      </c>
      <c r="D111" s="95">
        <v>7420406090</v>
      </c>
      <c r="E111" s="58">
        <v>7.9856398422857144E-4</v>
      </c>
      <c r="F111" s="92">
        <v>95.221796770335544</v>
      </c>
      <c r="G111" s="99">
        <v>0</v>
      </c>
      <c r="H111" s="60" t="str">
        <f t="shared" si="1"/>
        <v>(90, 100]</v>
      </c>
      <c r="I111" s="61">
        <v>0</v>
      </c>
      <c r="J111" s="58">
        <v>0</v>
      </c>
      <c r="K111" s="58">
        <v>0</v>
      </c>
      <c r="L111" s="115">
        <v>0</v>
      </c>
      <c r="M111" s="58">
        <v>0</v>
      </c>
      <c r="N111" s="58">
        <v>0</v>
      </c>
      <c r="O111" s="117">
        <v>0</v>
      </c>
      <c r="P111" s="58">
        <v>0</v>
      </c>
      <c r="Q111" s="58">
        <v>1.0128479197082886E-4</v>
      </c>
      <c r="R111" s="58"/>
      <c r="S111" s="82">
        <v>0</v>
      </c>
    </row>
    <row r="112" spans="1:19" x14ac:dyDescent="0.3">
      <c r="A112" s="57">
        <v>100</v>
      </c>
      <c r="B112" s="57">
        <v>120</v>
      </c>
      <c r="C112" s="95">
        <v>1202839</v>
      </c>
      <c r="D112" s="95">
        <v>13188274015</v>
      </c>
      <c r="E112" s="58">
        <v>1.2326106594140081E-3</v>
      </c>
      <c r="F112" s="92">
        <v>109.64288666230478</v>
      </c>
      <c r="G112" s="89">
        <v>0</v>
      </c>
      <c r="H112" s="60" t="str">
        <f t="shared" si="1"/>
        <v>(100, 120]</v>
      </c>
      <c r="I112" s="61">
        <v>0</v>
      </c>
      <c r="J112" s="58">
        <v>0</v>
      </c>
      <c r="K112" s="58">
        <v>0</v>
      </c>
      <c r="L112" s="115">
        <v>0</v>
      </c>
      <c r="M112" s="58">
        <v>0</v>
      </c>
      <c r="N112" s="58">
        <v>0</v>
      </c>
      <c r="O112" s="117">
        <v>0</v>
      </c>
      <c r="P112" s="58">
        <v>0</v>
      </c>
      <c r="Q112" s="58">
        <v>0</v>
      </c>
      <c r="R112" s="58"/>
      <c r="S112" s="82">
        <v>0</v>
      </c>
    </row>
    <row r="113" spans="1:19" x14ac:dyDescent="0.3">
      <c r="A113" s="57">
        <v>120</v>
      </c>
      <c r="B113" s="57">
        <v>140</v>
      </c>
      <c r="C113" s="95">
        <v>863606</v>
      </c>
      <c r="D113" s="95">
        <v>11203591810</v>
      </c>
      <c r="E113" s="58">
        <v>8.8498124947220186E-4</v>
      </c>
      <c r="F113" s="92">
        <v>129.73036095163766</v>
      </c>
      <c r="G113" s="89">
        <v>0</v>
      </c>
      <c r="H113" s="60" t="str">
        <f t="shared" si="1"/>
        <v>(120, 140]</v>
      </c>
      <c r="I113" s="61">
        <v>0</v>
      </c>
      <c r="J113" s="58">
        <v>0</v>
      </c>
      <c r="K113" s="58">
        <v>0</v>
      </c>
      <c r="L113" s="115">
        <v>0</v>
      </c>
      <c r="M113" s="58">
        <v>0</v>
      </c>
      <c r="N113" s="58">
        <v>0</v>
      </c>
      <c r="O113" s="117">
        <v>0</v>
      </c>
      <c r="P113" s="58">
        <v>0</v>
      </c>
      <c r="Q113" s="58">
        <v>0</v>
      </c>
      <c r="R113" s="58"/>
      <c r="S113" s="82">
        <v>0</v>
      </c>
    </row>
    <row r="114" spans="1:19" x14ac:dyDescent="0.3">
      <c r="A114" s="57">
        <v>140</v>
      </c>
      <c r="B114" s="57">
        <v>160</v>
      </c>
      <c r="C114" s="95">
        <v>669820</v>
      </c>
      <c r="D114" s="95">
        <v>10039701350</v>
      </c>
      <c r="E114" s="58">
        <v>6.8639882136236924E-4</v>
      </c>
      <c r="F114" s="92">
        <v>149.88655683616494</v>
      </c>
      <c r="G114" s="89">
        <v>0</v>
      </c>
      <c r="H114" s="60" t="str">
        <f t="shared" si="1"/>
        <v>(140, 160]</v>
      </c>
      <c r="I114" s="61">
        <v>0</v>
      </c>
      <c r="J114" s="58">
        <v>0</v>
      </c>
      <c r="K114" s="58">
        <v>0</v>
      </c>
      <c r="L114" s="115">
        <v>0</v>
      </c>
      <c r="M114" s="58">
        <v>0</v>
      </c>
      <c r="N114" s="58">
        <v>0</v>
      </c>
      <c r="O114" s="117">
        <v>0</v>
      </c>
      <c r="P114" s="58">
        <v>0</v>
      </c>
      <c r="Q114" s="58">
        <v>0</v>
      </c>
      <c r="R114" s="58"/>
      <c r="S114" s="82">
        <v>0</v>
      </c>
    </row>
    <row r="115" spans="1:19" x14ac:dyDescent="0.3">
      <c r="A115" s="57">
        <v>160</v>
      </c>
      <c r="B115" s="57">
        <v>180</v>
      </c>
      <c r="C115" s="95">
        <v>511613</v>
      </c>
      <c r="D115" s="95">
        <v>8694591830</v>
      </c>
      <c r="E115" s="58">
        <v>5.2427601474077485E-4</v>
      </c>
      <c r="F115" s="92">
        <v>169.94470097515114</v>
      </c>
      <c r="G115" s="89">
        <v>0</v>
      </c>
      <c r="H115" s="60" t="str">
        <f t="shared" si="1"/>
        <v>(160, 180]</v>
      </c>
      <c r="I115" s="61">
        <v>0</v>
      </c>
      <c r="J115" s="58">
        <v>0</v>
      </c>
      <c r="K115" s="58">
        <v>0</v>
      </c>
      <c r="L115" s="115">
        <v>0</v>
      </c>
      <c r="M115" s="58">
        <v>0</v>
      </c>
      <c r="N115" s="58">
        <v>0</v>
      </c>
      <c r="O115" s="117">
        <v>0</v>
      </c>
      <c r="P115" s="58">
        <v>0</v>
      </c>
      <c r="Q115" s="58">
        <v>0</v>
      </c>
      <c r="R115" s="58"/>
      <c r="S115" s="82">
        <v>0</v>
      </c>
    </row>
    <row r="116" spans="1:19" x14ac:dyDescent="0.3">
      <c r="A116" s="57">
        <v>180</v>
      </c>
      <c r="B116" s="57">
        <v>200</v>
      </c>
      <c r="C116" s="95">
        <v>409885</v>
      </c>
      <c r="D116" s="95">
        <v>7797076525</v>
      </c>
      <c r="E116" s="58">
        <v>4.2003012883179772E-4</v>
      </c>
      <c r="F116" s="92">
        <v>190.22595423106483</v>
      </c>
      <c r="G116" s="89">
        <v>0</v>
      </c>
      <c r="H116" s="60" t="str">
        <f t="shared" si="1"/>
        <v>(180, 200]</v>
      </c>
      <c r="I116" s="61">
        <v>0</v>
      </c>
      <c r="J116" s="58">
        <v>0</v>
      </c>
      <c r="K116" s="58">
        <v>0</v>
      </c>
      <c r="L116" s="115">
        <v>0</v>
      </c>
      <c r="M116" s="58">
        <v>0</v>
      </c>
      <c r="N116" s="58">
        <v>0</v>
      </c>
      <c r="O116" s="117">
        <v>0</v>
      </c>
      <c r="P116" s="58">
        <v>0</v>
      </c>
      <c r="Q116" s="58">
        <v>0</v>
      </c>
      <c r="R116" s="58"/>
      <c r="S116" s="82">
        <v>0</v>
      </c>
    </row>
    <row r="117" spans="1:19" x14ac:dyDescent="0.3">
      <c r="A117" s="57">
        <v>200</v>
      </c>
      <c r="B117" s="57">
        <v>250</v>
      </c>
      <c r="C117" s="95">
        <v>728332</v>
      </c>
      <c r="D117" s="95">
        <v>16286787520</v>
      </c>
      <c r="E117" s="58">
        <v>7.4635906118135787E-4</v>
      </c>
      <c r="F117" s="92">
        <v>223.61762932289122</v>
      </c>
      <c r="G117" s="89">
        <v>0</v>
      </c>
      <c r="H117" s="60" t="str">
        <f t="shared" si="1"/>
        <v>(200, 250]</v>
      </c>
      <c r="I117" s="61">
        <v>0</v>
      </c>
      <c r="J117" s="58">
        <v>0</v>
      </c>
      <c r="K117" s="58">
        <v>0</v>
      </c>
      <c r="L117" s="115">
        <v>0</v>
      </c>
      <c r="M117" s="58">
        <v>0</v>
      </c>
      <c r="N117" s="58">
        <v>0</v>
      </c>
      <c r="O117" s="117">
        <v>0</v>
      </c>
      <c r="P117" s="58">
        <v>0</v>
      </c>
      <c r="Q117" s="58">
        <v>0</v>
      </c>
      <c r="R117" s="58"/>
      <c r="S117" s="82">
        <v>0</v>
      </c>
    </row>
    <row r="118" spans="1:19" x14ac:dyDescent="0.3">
      <c r="A118" s="57">
        <v>250</v>
      </c>
      <c r="B118" s="57">
        <v>300</v>
      </c>
      <c r="C118" s="95">
        <v>465518</v>
      </c>
      <c r="D118" s="95">
        <v>12746421160</v>
      </c>
      <c r="E118" s="58">
        <v>4.7704011006384912E-4</v>
      </c>
      <c r="F118" s="92">
        <v>273.81156389226624</v>
      </c>
      <c r="G118" s="89">
        <v>0</v>
      </c>
      <c r="H118" s="60" t="str">
        <f t="shared" si="1"/>
        <v>(250, 300]</v>
      </c>
      <c r="I118" s="61">
        <v>0</v>
      </c>
      <c r="J118" s="58">
        <v>0</v>
      </c>
      <c r="K118" s="58">
        <v>0</v>
      </c>
      <c r="L118" s="115">
        <v>0</v>
      </c>
      <c r="M118" s="58">
        <v>0</v>
      </c>
      <c r="N118" s="58">
        <v>0</v>
      </c>
      <c r="O118" s="117">
        <v>0</v>
      </c>
      <c r="P118" s="58">
        <v>0</v>
      </c>
      <c r="Q118" s="58">
        <v>0</v>
      </c>
      <c r="R118" s="58"/>
      <c r="S118" s="82">
        <v>0</v>
      </c>
    </row>
    <row r="119" spans="1:19" x14ac:dyDescent="0.3">
      <c r="A119" s="57">
        <v>300</v>
      </c>
      <c r="B119" s="57">
        <v>350</v>
      </c>
      <c r="C119" s="95">
        <v>316303</v>
      </c>
      <c r="D119" s="95">
        <v>10250701140</v>
      </c>
      <c r="E119" s="58">
        <v>3.2413186586453298E-4</v>
      </c>
      <c r="F119" s="92">
        <v>324.07853039648694</v>
      </c>
      <c r="G119" s="89">
        <v>0</v>
      </c>
      <c r="H119" s="60" t="str">
        <f t="shared" si="1"/>
        <v>(300, 350]</v>
      </c>
      <c r="I119" s="61">
        <v>0</v>
      </c>
      <c r="J119" s="58">
        <v>0</v>
      </c>
      <c r="K119" s="58">
        <v>0</v>
      </c>
      <c r="L119" s="115">
        <v>0</v>
      </c>
      <c r="M119" s="58">
        <v>0</v>
      </c>
      <c r="N119" s="58">
        <v>0</v>
      </c>
      <c r="O119" s="117">
        <v>0</v>
      </c>
      <c r="P119" s="58">
        <v>0</v>
      </c>
      <c r="Q119" s="58">
        <v>0</v>
      </c>
      <c r="R119" s="58"/>
      <c r="S119" s="82">
        <v>0</v>
      </c>
    </row>
    <row r="120" spans="1:19" x14ac:dyDescent="0.3">
      <c r="A120" s="57">
        <v>350</v>
      </c>
      <c r="B120" s="57">
        <v>400</v>
      </c>
      <c r="C120" s="95">
        <v>223740</v>
      </c>
      <c r="D120" s="95">
        <v>8374245655</v>
      </c>
      <c r="E120" s="58">
        <v>2.2927782432835165E-4</v>
      </c>
      <c r="F120" s="92">
        <v>374.28469004201304</v>
      </c>
      <c r="G120" s="89">
        <v>0</v>
      </c>
      <c r="H120" s="60" t="str">
        <f t="shared" si="1"/>
        <v>(350, 400]</v>
      </c>
      <c r="I120" s="61">
        <v>0</v>
      </c>
      <c r="J120" s="58">
        <v>0</v>
      </c>
      <c r="K120" s="58">
        <v>0</v>
      </c>
      <c r="L120" s="115">
        <v>0</v>
      </c>
      <c r="M120" s="58">
        <v>0</v>
      </c>
      <c r="N120" s="58">
        <v>0</v>
      </c>
      <c r="O120" s="117">
        <v>0</v>
      </c>
      <c r="P120" s="58">
        <v>0</v>
      </c>
      <c r="Q120" s="58">
        <v>0</v>
      </c>
      <c r="R120" s="58"/>
      <c r="S120" s="82">
        <v>0</v>
      </c>
    </row>
    <row r="121" spans="1:19" x14ac:dyDescent="0.3">
      <c r="A121" s="57">
        <v>400</v>
      </c>
      <c r="B121" s="57">
        <v>450</v>
      </c>
      <c r="C121" s="95">
        <v>170044</v>
      </c>
      <c r="D121" s="95">
        <v>7217451220</v>
      </c>
      <c r="E121" s="58">
        <v>1.7425278609140175E-4</v>
      </c>
      <c r="F121" s="92">
        <v>424.4460974806521</v>
      </c>
      <c r="G121" s="89">
        <v>0</v>
      </c>
      <c r="H121" s="60" t="str">
        <f t="shared" si="1"/>
        <v>(400, 450]</v>
      </c>
      <c r="I121" s="61">
        <v>0</v>
      </c>
      <c r="J121" s="58">
        <v>0</v>
      </c>
      <c r="K121" s="58">
        <v>0</v>
      </c>
      <c r="L121" s="115">
        <v>0</v>
      </c>
      <c r="M121" s="58">
        <v>0</v>
      </c>
      <c r="N121" s="58">
        <v>0</v>
      </c>
      <c r="O121" s="117">
        <v>0</v>
      </c>
      <c r="P121" s="58">
        <v>0</v>
      </c>
      <c r="Q121" s="58">
        <v>0</v>
      </c>
      <c r="R121" s="58"/>
      <c r="S121" s="82">
        <v>0</v>
      </c>
    </row>
    <row r="122" spans="1:19" x14ac:dyDescent="0.3">
      <c r="A122" s="57">
        <v>450</v>
      </c>
      <c r="B122" s="57">
        <v>500</v>
      </c>
      <c r="C122" s="95">
        <v>135574</v>
      </c>
      <c r="D122" s="95">
        <v>6461924195</v>
      </c>
      <c r="E122" s="58">
        <v>1.3892961363856239E-4</v>
      </c>
      <c r="F122" s="92">
        <v>476.63447231770101</v>
      </c>
      <c r="G122" s="89">
        <v>0</v>
      </c>
      <c r="H122" s="60" t="str">
        <f t="shared" si="1"/>
        <v>(450, 500]</v>
      </c>
      <c r="I122" s="61">
        <v>0</v>
      </c>
      <c r="J122" s="58">
        <v>0</v>
      </c>
      <c r="K122" s="58">
        <v>0</v>
      </c>
      <c r="L122" s="115">
        <v>0</v>
      </c>
      <c r="M122" s="58">
        <v>0</v>
      </c>
      <c r="N122" s="58">
        <v>0</v>
      </c>
      <c r="O122" s="117">
        <v>0</v>
      </c>
      <c r="P122" s="58">
        <v>0</v>
      </c>
      <c r="Q122" s="58">
        <v>0</v>
      </c>
      <c r="R122" s="58"/>
      <c r="S122" s="82">
        <v>0</v>
      </c>
    </row>
    <row r="123" spans="1:19" x14ac:dyDescent="0.3">
      <c r="A123" s="57">
        <v>500</v>
      </c>
      <c r="B123" s="57">
        <v>550</v>
      </c>
      <c r="C123" s="95">
        <v>101112</v>
      </c>
      <c r="D123" s="95">
        <v>5305483430</v>
      </c>
      <c r="E123" s="58">
        <v>1.0361463919499549E-4</v>
      </c>
      <c r="F123" s="92">
        <v>524.71352856238627</v>
      </c>
      <c r="G123" s="89">
        <v>0</v>
      </c>
      <c r="H123" s="60" t="str">
        <f t="shared" si="1"/>
        <v>(500, 550]</v>
      </c>
      <c r="I123" s="61">
        <v>0</v>
      </c>
      <c r="J123" s="58">
        <v>0</v>
      </c>
      <c r="K123" s="58">
        <v>0</v>
      </c>
      <c r="L123" s="115">
        <v>0</v>
      </c>
      <c r="M123" s="58">
        <v>0</v>
      </c>
      <c r="N123" s="58">
        <v>0</v>
      </c>
      <c r="O123" s="117">
        <v>0</v>
      </c>
      <c r="P123" s="58">
        <v>0</v>
      </c>
      <c r="Q123" s="58">
        <v>0</v>
      </c>
      <c r="R123" s="58"/>
      <c r="S123" s="82">
        <v>0</v>
      </c>
    </row>
    <row r="124" spans="1:19" x14ac:dyDescent="0.3">
      <c r="A124" s="57">
        <v>550</v>
      </c>
      <c r="B124" s="57">
        <v>600</v>
      </c>
      <c r="C124" s="95">
        <v>84327</v>
      </c>
      <c r="D124" s="95">
        <v>4862430890</v>
      </c>
      <c r="E124" s="58">
        <v>8.6414190990153342E-5</v>
      </c>
      <c r="F124" s="92">
        <v>576.61613599440273</v>
      </c>
      <c r="G124" s="89">
        <v>0</v>
      </c>
      <c r="H124" s="60" t="str">
        <f t="shared" si="1"/>
        <v>(550, 600]</v>
      </c>
      <c r="I124" s="61">
        <v>0</v>
      </c>
      <c r="J124" s="58">
        <v>0</v>
      </c>
      <c r="K124" s="58">
        <v>0</v>
      </c>
      <c r="L124" s="115">
        <v>0</v>
      </c>
      <c r="M124" s="58">
        <v>0</v>
      </c>
      <c r="N124" s="58">
        <v>0</v>
      </c>
      <c r="O124" s="117">
        <v>0</v>
      </c>
      <c r="P124" s="58">
        <v>0</v>
      </c>
      <c r="Q124" s="58">
        <v>0</v>
      </c>
      <c r="R124" s="58"/>
      <c r="S124" s="82">
        <v>0</v>
      </c>
    </row>
    <row r="125" spans="1:19" x14ac:dyDescent="0.3">
      <c r="A125" s="57">
        <v>600</v>
      </c>
      <c r="B125" s="57">
        <v>650</v>
      </c>
      <c r="C125" s="95">
        <v>64244</v>
      </c>
      <c r="D125" s="95">
        <v>4014187770</v>
      </c>
      <c r="E125" s="58">
        <v>6.583411346272738E-5</v>
      </c>
      <c r="F125" s="92">
        <v>624.83465693294318</v>
      </c>
      <c r="G125" s="89">
        <v>0</v>
      </c>
      <c r="H125" s="60" t="str">
        <f t="shared" si="1"/>
        <v>(600, 650]</v>
      </c>
      <c r="I125" s="61">
        <v>0</v>
      </c>
      <c r="J125" s="58">
        <v>0</v>
      </c>
      <c r="K125" s="58">
        <v>0</v>
      </c>
      <c r="L125" s="115">
        <v>0</v>
      </c>
      <c r="M125" s="58">
        <v>0</v>
      </c>
      <c r="N125" s="58">
        <v>0</v>
      </c>
      <c r="O125" s="117">
        <v>0</v>
      </c>
      <c r="P125" s="58">
        <v>0</v>
      </c>
      <c r="Q125" s="58">
        <v>0</v>
      </c>
      <c r="R125" s="58"/>
      <c r="S125" s="82">
        <v>0</v>
      </c>
    </row>
    <row r="126" spans="1:19" x14ac:dyDescent="0.3">
      <c r="A126" s="57">
        <v>650</v>
      </c>
      <c r="B126" s="57">
        <v>700</v>
      </c>
      <c r="C126" s="95">
        <v>55867</v>
      </c>
      <c r="D126" s="95">
        <v>3783822575</v>
      </c>
      <c r="E126" s="58">
        <v>5.7249773003271751E-5</v>
      </c>
      <c r="F126" s="92">
        <v>677.29116920543424</v>
      </c>
      <c r="G126" s="89">
        <v>0</v>
      </c>
      <c r="H126" s="60" t="str">
        <f t="shared" si="1"/>
        <v>(650, 700]</v>
      </c>
      <c r="I126" s="61">
        <v>0</v>
      </c>
      <c r="J126" s="58">
        <v>0</v>
      </c>
      <c r="K126" s="58">
        <v>0</v>
      </c>
      <c r="L126" s="115">
        <v>0</v>
      </c>
      <c r="M126" s="58">
        <v>0</v>
      </c>
      <c r="N126" s="58">
        <v>0</v>
      </c>
      <c r="O126" s="117">
        <v>0</v>
      </c>
      <c r="P126" s="58">
        <v>0</v>
      </c>
      <c r="Q126" s="58">
        <v>0</v>
      </c>
      <c r="R126" s="58"/>
      <c r="S126" s="82">
        <v>0</v>
      </c>
    </row>
    <row r="127" spans="1:19" x14ac:dyDescent="0.3">
      <c r="A127" s="57">
        <v>700</v>
      </c>
      <c r="B127" s="57">
        <v>750</v>
      </c>
      <c r="C127" s="95">
        <v>48855</v>
      </c>
      <c r="D127" s="95">
        <v>3549139120</v>
      </c>
      <c r="E127" s="58">
        <v>5.0064217875934654E-5</v>
      </c>
      <c r="F127" s="92">
        <v>726.46384607512027</v>
      </c>
      <c r="G127" s="89">
        <v>0</v>
      </c>
      <c r="H127" s="60" t="str">
        <f t="shared" si="1"/>
        <v>(700, 750]</v>
      </c>
      <c r="I127" s="61">
        <v>0</v>
      </c>
      <c r="J127" s="58">
        <v>0</v>
      </c>
      <c r="K127" s="58">
        <v>0</v>
      </c>
      <c r="L127" s="115">
        <v>0</v>
      </c>
      <c r="M127" s="58">
        <v>0</v>
      </c>
      <c r="N127" s="58">
        <v>0</v>
      </c>
      <c r="O127" s="117">
        <v>0</v>
      </c>
      <c r="P127" s="58">
        <v>0</v>
      </c>
      <c r="Q127" s="58">
        <v>0</v>
      </c>
      <c r="R127" s="58"/>
      <c r="S127" s="82">
        <v>0</v>
      </c>
    </row>
    <row r="128" spans="1:19" x14ac:dyDescent="0.3">
      <c r="A128" s="57">
        <v>750</v>
      </c>
      <c r="B128" s="57">
        <v>800</v>
      </c>
      <c r="C128" s="95">
        <v>39264</v>
      </c>
      <c r="D128" s="95">
        <v>3051096245</v>
      </c>
      <c r="E128" s="58">
        <v>4.0235829509378738E-5</v>
      </c>
      <c r="F128" s="92">
        <v>777.07218953748975</v>
      </c>
      <c r="G128" s="89">
        <v>0</v>
      </c>
      <c r="H128" s="60" t="str">
        <f t="shared" si="1"/>
        <v>(750, 800]</v>
      </c>
      <c r="I128" s="61">
        <v>0</v>
      </c>
      <c r="J128" s="58">
        <v>0</v>
      </c>
      <c r="K128" s="58">
        <v>0</v>
      </c>
      <c r="L128" s="115">
        <v>0</v>
      </c>
      <c r="M128" s="58">
        <v>0</v>
      </c>
      <c r="N128" s="58">
        <v>0</v>
      </c>
      <c r="O128" s="117">
        <v>0</v>
      </c>
      <c r="P128" s="58">
        <v>0</v>
      </c>
      <c r="Q128" s="58">
        <v>0</v>
      </c>
      <c r="R128" s="58"/>
      <c r="S128" s="82">
        <v>0</v>
      </c>
    </row>
    <row r="129" spans="1:19" x14ac:dyDescent="0.3">
      <c r="A129" s="57">
        <v>800</v>
      </c>
      <c r="B129" s="57">
        <v>850</v>
      </c>
      <c r="C129" s="95">
        <v>34939</v>
      </c>
      <c r="D129" s="95">
        <v>2884838025</v>
      </c>
      <c r="E129" s="58">
        <v>3.5803780746439073E-5</v>
      </c>
      <c r="F129" s="92">
        <v>825.67847534274028</v>
      </c>
      <c r="G129" s="89">
        <v>0</v>
      </c>
      <c r="H129" s="60" t="str">
        <f t="shared" si="1"/>
        <v>(800, 850]</v>
      </c>
      <c r="I129" s="61">
        <v>0</v>
      </c>
      <c r="J129" s="58">
        <v>0</v>
      </c>
      <c r="K129" s="58">
        <v>0</v>
      </c>
      <c r="L129" s="115">
        <v>0</v>
      </c>
      <c r="M129" s="58">
        <v>0</v>
      </c>
      <c r="N129" s="58">
        <v>0</v>
      </c>
      <c r="O129" s="117">
        <v>0</v>
      </c>
      <c r="P129" s="58">
        <v>0</v>
      </c>
      <c r="Q129" s="58">
        <v>0</v>
      </c>
      <c r="R129" s="58"/>
      <c r="S129" s="82">
        <v>0</v>
      </c>
    </row>
    <row r="130" spans="1:19" x14ac:dyDescent="0.3">
      <c r="A130" s="57">
        <v>850</v>
      </c>
      <c r="B130" s="57">
        <v>900</v>
      </c>
      <c r="C130" s="95">
        <v>28201</v>
      </c>
      <c r="D130" s="95">
        <v>2470406340</v>
      </c>
      <c r="E130" s="58">
        <v>2.8899007436684744E-5</v>
      </c>
      <c r="F130" s="92">
        <v>875.99955320733307</v>
      </c>
      <c r="G130" s="89">
        <v>0</v>
      </c>
      <c r="H130" s="60" t="str">
        <f t="shared" si="1"/>
        <v>(850, 900]</v>
      </c>
      <c r="I130" s="61">
        <v>0</v>
      </c>
      <c r="J130" s="58">
        <v>0</v>
      </c>
      <c r="K130" s="58">
        <v>0</v>
      </c>
      <c r="L130" s="83">
        <v>0</v>
      </c>
      <c r="M130" s="58">
        <v>0</v>
      </c>
      <c r="N130" s="58">
        <v>0</v>
      </c>
      <c r="O130" s="117">
        <v>0</v>
      </c>
      <c r="P130" s="58">
        <v>0</v>
      </c>
      <c r="Q130" s="58">
        <v>0</v>
      </c>
      <c r="R130" s="58"/>
      <c r="S130" s="82">
        <v>0</v>
      </c>
    </row>
    <row r="131" spans="1:19" x14ac:dyDescent="0.3">
      <c r="A131" s="57">
        <v>900</v>
      </c>
      <c r="B131" s="57">
        <v>950</v>
      </c>
      <c r="C131" s="95">
        <v>25694</v>
      </c>
      <c r="D131" s="95">
        <v>2379513120</v>
      </c>
      <c r="E131" s="58">
        <v>2.6329956280918331E-5</v>
      </c>
      <c r="F131" s="92">
        <v>926.09680080952751</v>
      </c>
      <c r="G131" s="89">
        <v>0</v>
      </c>
      <c r="H131" s="60" t="str">
        <f t="shared" si="1"/>
        <v>(900, 950]</v>
      </c>
      <c r="I131" s="61">
        <v>0</v>
      </c>
      <c r="J131" s="58">
        <v>0</v>
      </c>
      <c r="K131" s="58">
        <v>0</v>
      </c>
      <c r="L131" s="83">
        <v>0</v>
      </c>
      <c r="M131" s="58">
        <v>0</v>
      </c>
      <c r="N131" s="58">
        <v>0</v>
      </c>
      <c r="O131" s="117">
        <v>0</v>
      </c>
      <c r="P131" s="58">
        <v>0</v>
      </c>
      <c r="Q131" s="58">
        <v>0</v>
      </c>
      <c r="R131" s="58"/>
      <c r="S131" s="82">
        <v>0</v>
      </c>
    </row>
    <row r="132" spans="1:19" x14ac:dyDescent="0.3">
      <c r="A132" s="57">
        <v>950</v>
      </c>
      <c r="B132" s="57">
        <v>1000</v>
      </c>
      <c r="C132" s="95">
        <v>29078</v>
      </c>
      <c r="D132" s="95">
        <v>2855552985</v>
      </c>
      <c r="E132" s="58">
        <v>2.9797714203181414E-5</v>
      </c>
      <c r="F132" s="92">
        <v>982.03211534493425</v>
      </c>
      <c r="G132" s="89">
        <v>0</v>
      </c>
      <c r="H132" s="60" t="str">
        <f t="shared" si="1"/>
        <v>(950, 1000]</v>
      </c>
      <c r="I132" s="61">
        <v>0</v>
      </c>
      <c r="J132" s="58">
        <v>0</v>
      </c>
      <c r="K132" s="58">
        <v>0</v>
      </c>
      <c r="L132" s="83">
        <v>0</v>
      </c>
      <c r="M132" s="58">
        <v>0</v>
      </c>
      <c r="N132" s="58">
        <v>0</v>
      </c>
      <c r="O132" s="117">
        <v>0</v>
      </c>
      <c r="P132" s="58">
        <v>0</v>
      </c>
      <c r="Q132" s="58">
        <v>0</v>
      </c>
      <c r="R132" s="58"/>
      <c r="S132" s="82">
        <v>0</v>
      </c>
    </row>
    <row r="133" spans="1:19" x14ac:dyDescent="0.3">
      <c r="A133" s="57">
        <v>1000</v>
      </c>
      <c r="B133" s="57">
        <v>2000</v>
      </c>
      <c r="C133" s="95">
        <v>241904</v>
      </c>
      <c r="D133" s="95">
        <v>34078518270</v>
      </c>
      <c r="E133" s="58">
        <v>2.4789140438153919E-4</v>
      </c>
      <c r="F133" s="92">
        <v>1408.7620820656127</v>
      </c>
      <c r="G133" s="89">
        <v>0</v>
      </c>
      <c r="H133" s="60" t="str">
        <f t="shared" si="1"/>
        <v>(1000, 2000]</v>
      </c>
      <c r="I133" s="61">
        <v>0</v>
      </c>
      <c r="J133" s="58">
        <v>0</v>
      </c>
      <c r="K133" s="58">
        <v>0</v>
      </c>
      <c r="L133" s="83">
        <v>0</v>
      </c>
      <c r="M133" s="58">
        <v>0</v>
      </c>
      <c r="N133" s="58">
        <v>0</v>
      </c>
      <c r="O133" s="117">
        <v>0</v>
      </c>
      <c r="P133" s="58">
        <v>0</v>
      </c>
      <c r="Q133" s="58">
        <v>0</v>
      </c>
      <c r="R133" s="58"/>
      <c r="S133" s="82">
        <v>0</v>
      </c>
    </row>
    <row r="134" spans="1:19" x14ac:dyDescent="0.3">
      <c r="A134" s="57">
        <v>2000</v>
      </c>
      <c r="B134" s="57">
        <v>3000</v>
      </c>
      <c r="C134" s="95">
        <v>102723</v>
      </c>
      <c r="D134" s="95">
        <v>25279567590</v>
      </c>
      <c r="E134" s="58">
        <v>1.0526551331224308E-4</v>
      </c>
      <c r="F134" s="92">
        <v>2460.9452206419205</v>
      </c>
      <c r="G134" s="89">
        <v>0</v>
      </c>
      <c r="H134" s="60" t="str">
        <f t="shared" si="1"/>
        <v>(2000, 3000]</v>
      </c>
      <c r="I134" s="61">
        <v>0</v>
      </c>
      <c r="J134" s="58">
        <v>0</v>
      </c>
      <c r="K134" s="58">
        <v>0</v>
      </c>
      <c r="L134" s="83">
        <v>0</v>
      </c>
      <c r="M134" s="58">
        <v>0</v>
      </c>
      <c r="N134" s="58">
        <v>0</v>
      </c>
      <c r="O134" s="117">
        <v>0</v>
      </c>
      <c r="P134" s="58">
        <v>0</v>
      </c>
      <c r="Q134" s="58">
        <v>0</v>
      </c>
      <c r="R134" s="58"/>
      <c r="S134" s="82">
        <v>0</v>
      </c>
    </row>
    <row r="135" spans="1:19" x14ac:dyDescent="0.3">
      <c r="A135" s="57">
        <v>3000</v>
      </c>
      <c r="B135" s="57">
        <v>4000</v>
      </c>
      <c r="C135" s="95">
        <v>60894</v>
      </c>
      <c r="D135" s="95">
        <v>21120429335</v>
      </c>
      <c r="E135" s="58">
        <v>6.2401197079872374E-5</v>
      </c>
      <c r="F135" s="92">
        <v>3468.3925074720005</v>
      </c>
      <c r="G135" s="89">
        <v>0</v>
      </c>
      <c r="H135" s="60" t="str">
        <f t="shared" si="1"/>
        <v>(3000, 4000]</v>
      </c>
      <c r="I135" s="61">
        <v>0</v>
      </c>
      <c r="J135" s="58">
        <v>0</v>
      </c>
      <c r="K135" s="58">
        <v>0</v>
      </c>
      <c r="L135" s="83">
        <v>0</v>
      </c>
      <c r="M135" s="58">
        <v>0</v>
      </c>
      <c r="N135" s="58">
        <v>0</v>
      </c>
      <c r="O135" s="117">
        <v>0</v>
      </c>
      <c r="P135" s="58">
        <v>0</v>
      </c>
      <c r="Q135" s="58">
        <v>0</v>
      </c>
      <c r="R135" s="58"/>
      <c r="S135" s="82">
        <v>0</v>
      </c>
    </row>
    <row r="136" spans="1:19" x14ac:dyDescent="0.3">
      <c r="A136" s="57">
        <v>4000</v>
      </c>
      <c r="B136" s="57">
        <v>5000</v>
      </c>
      <c r="C136" s="95">
        <v>39858</v>
      </c>
      <c r="D136" s="95">
        <v>17838944055</v>
      </c>
      <c r="E136" s="58">
        <v>4.084453169786109E-5</v>
      </c>
      <c r="F136" s="92">
        <v>4475.62448065633</v>
      </c>
      <c r="G136" s="89">
        <v>0</v>
      </c>
      <c r="H136" s="60" t="str">
        <f t="shared" si="1"/>
        <v>(4000, 5000]</v>
      </c>
      <c r="I136" s="61">
        <v>0</v>
      </c>
      <c r="J136" s="58">
        <v>0</v>
      </c>
      <c r="K136" s="58">
        <v>0</v>
      </c>
      <c r="L136" s="83">
        <v>0</v>
      </c>
      <c r="M136" s="58">
        <v>0</v>
      </c>
      <c r="N136" s="58">
        <v>0</v>
      </c>
      <c r="O136" s="117">
        <v>0</v>
      </c>
      <c r="P136" s="58">
        <v>0</v>
      </c>
      <c r="Q136" s="58">
        <v>0</v>
      </c>
      <c r="R136" s="58"/>
      <c r="S136" s="82">
        <v>0</v>
      </c>
    </row>
    <row r="137" spans="1:19" x14ac:dyDescent="0.3">
      <c r="A137" s="57">
        <v>5000</v>
      </c>
      <c r="B137" s="57">
        <v>6000</v>
      </c>
      <c r="C137" s="95">
        <v>27915</v>
      </c>
      <c r="D137" s="95">
        <v>15297501810</v>
      </c>
      <c r="E137" s="58">
        <v>2.8605928605193243E-5</v>
      </c>
      <c r="F137" s="92">
        <v>5480.0293068242872</v>
      </c>
      <c r="G137" s="89">
        <v>0</v>
      </c>
      <c r="H137" s="60" t="str">
        <f t="shared" si="1"/>
        <v>(5000, 6000]</v>
      </c>
      <c r="I137" s="61">
        <v>0</v>
      </c>
      <c r="J137" s="58">
        <v>0</v>
      </c>
      <c r="K137" s="58">
        <v>0</v>
      </c>
      <c r="L137" s="83">
        <v>0</v>
      </c>
      <c r="M137" s="58">
        <v>0</v>
      </c>
      <c r="N137" s="58">
        <v>0</v>
      </c>
      <c r="O137" s="117">
        <v>0</v>
      </c>
      <c r="P137" s="58">
        <v>0</v>
      </c>
      <c r="Q137" s="58">
        <v>0</v>
      </c>
      <c r="R137" s="58"/>
      <c r="S137" s="82">
        <v>0</v>
      </c>
    </row>
    <row r="138" spans="1:19" x14ac:dyDescent="0.3">
      <c r="A138" s="57">
        <v>6000</v>
      </c>
      <c r="B138" s="57">
        <v>7000</v>
      </c>
      <c r="C138" s="95">
        <v>20068</v>
      </c>
      <c r="D138" s="95">
        <v>13001038590</v>
      </c>
      <c r="E138" s="58">
        <v>2.0564706260040049E-5</v>
      </c>
      <c r="F138" s="92">
        <v>6478.4924207693839</v>
      </c>
      <c r="G138" s="89">
        <v>0</v>
      </c>
      <c r="H138" s="60" t="str">
        <f t="shared" si="1"/>
        <v>(6000, 7000]</v>
      </c>
      <c r="I138" s="61">
        <v>0</v>
      </c>
      <c r="J138" s="58">
        <v>0</v>
      </c>
      <c r="K138" s="58">
        <v>0</v>
      </c>
      <c r="L138" s="83">
        <v>0</v>
      </c>
      <c r="M138" s="58">
        <v>0</v>
      </c>
      <c r="N138" s="58">
        <v>0</v>
      </c>
      <c r="O138" s="117">
        <v>0</v>
      </c>
      <c r="P138" s="58">
        <v>0</v>
      </c>
      <c r="Q138" s="58">
        <v>0</v>
      </c>
      <c r="R138" s="58"/>
      <c r="S138" s="82">
        <v>0</v>
      </c>
    </row>
    <row r="139" spans="1:19" x14ac:dyDescent="0.3">
      <c r="A139" s="57">
        <v>7000</v>
      </c>
      <c r="B139" s="57">
        <v>8000</v>
      </c>
      <c r="C139" s="95">
        <v>14363</v>
      </c>
      <c r="D139" s="95">
        <v>10748537655</v>
      </c>
      <c r="E139" s="58">
        <v>1.4718500897595937E-5</v>
      </c>
      <c r="F139" s="92">
        <v>7483.4906739539092</v>
      </c>
      <c r="G139" s="89">
        <v>0</v>
      </c>
      <c r="H139" s="60" t="str">
        <f t="shared" si="1"/>
        <v>(7000, 8000]</v>
      </c>
      <c r="I139" s="61">
        <v>0</v>
      </c>
      <c r="J139" s="58">
        <v>0</v>
      </c>
      <c r="K139" s="58">
        <v>0</v>
      </c>
      <c r="L139" s="83">
        <v>0</v>
      </c>
      <c r="M139" s="58">
        <v>0</v>
      </c>
      <c r="N139" s="58">
        <v>0</v>
      </c>
      <c r="O139" s="117">
        <v>0</v>
      </c>
      <c r="P139" s="58">
        <v>0</v>
      </c>
      <c r="Q139" s="58">
        <v>0</v>
      </c>
      <c r="R139" s="58"/>
      <c r="S139" s="82">
        <v>0</v>
      </c>
    </row>
    <row r="140" spans="1:19" x14ac:dyDescent="0.3">
      <c r="A140" s="57">
        <v>8000</v>
      </c>
      <c r="B140" s="57">
        <v>9000</v>
      </c>
      <c r="C140" s="95">
        <v>10887</v>
      </c>
      <c r="D140" s="95">
        <v>9232015295</v>
      </c>
      <c r="E140" s="58">
        <v>1.1156465868699225E-5</v>
      </c>
      <c r="F140" s="92">
        <v>8479.8523881693764</v>
      </c>
      <c r="G140" s="89">
        <v>0</v>
      </c>
      <c r="H140" s="60" t="str">
        <f t="shared" si="1"/>
        <v>(8000, 9000]</v>
      </c>
      <c r="I140" s="61">
        <v>0</v>
      </c>
      <c r="J140" s="58">
        <v>0</v>
      </c>
      <c r="K140" s="58">
        <v>0</v>
      </c>
      <c r="L140" s="83">
        <v>0</v>
      </c>
      <c r="M140" s="58">
        <v>0</v>
      </c>
      <c r="N140" s="58">
        <v>0</v>
      </c>
      <c r="O140" s="117">
        <v>0</v>
      </c>
      <c r="P140" s="58">
        <v>0</v>
      </c>
      <c r="Q140" s="58">
        <v>0</v>
      </c>
      <c r="R140" s="58"/>
      <c r="S140" s="82">
        <v>0</v>
      </c>
    </row>
    <row r="141" spans="1:19" x14ac:dyDescent="0.3">
      <c r="A141" s="57">
        <v>9000</v>
      </c>
      <c r="B141" s="57">
        <v>10000</v>
      </c>
      <c r="C141" s="95">
        <v>8151</v>
      </c>
      <c r="D141" s="95">
        <v>7732408470</v>
      </c>
      <c r="E141" s="58">
        <v>8.3527466975077962E-6</v>
      </c>
      <c r="F141" s="92">
        <v>9486.4537725432456</v>
      </c>
      <c r="G141" s="89">
        <v>0</v>
      </c>
      <c r="H141" s="60" t="str">
        <f t="shared" si="1"/>
        <v>(9000, 10000]</v>
      </c>
      <c r="I141" s="61">
        <v>0</v>
      </c>
      <c r="J141" s="58">
        <v>0</v>
      </c>
      <c r="K141" s="58">
        <v>0</v>
      </c>
      <c r="L141" s="83">
        <v>0</v>
      </c>
      <c r="M141" s="58">
        <v>0</v>
      </c>
      <c r="N141" s="58">
        <v>0</v>
      </c>
      <c r="O141" s="117">
        <v>0</v>
      </c>
      <c r="P141" s="58">
        <v>0</v>
      </c>
      <c r="Q141" s="58">
        <v>0</v>
      </c>
      <c r="R141" s="58"/>
      <c r="S141" s="82">
        <v>0</v>
      </c>
    </row>
    <row r="142" spans="1:19" x14ac:dyDescent="0.3">
      <c r="A142" s="57">
        <v>10000</v>
      </c>
      <c r="B142" s="57">
        <v>20000</v>
      </c>
      <c r="C142" s="95">
        <v>28306</v>
      </c>
      <c r="D142" s="95">
        <v>38232162105</v>
      </c>
      <c r="E142" s="58">
        <v>2.9006606308386171E-5</v>
      </c>
      <c r="F142" s="92">
        <v>13506.734298381969</v>
      </c>
      <c r="G142" s="89">
        <v>0</v>
      </c>
      <c r="H142" s="60" t="str">
        <f t="shared" si="1"/>
        <v>(10000, 20000]</v>
      </c>
      <c r="I142" s="61">
        <v>0</v>
      </c>
      <c r="J142" s="58">
        <v>0</v>
      </c>
      <c r="K142" s="58">
        <v>0</v>
      </c>
      <c r="L142" s="83">
        <v>0</v>
      </c>
      <c r="M142" s="58">
        <v>0</v>
      </c>
      <c r="N142" s="58">
        <v>0</v>
      </c>
      <c r="O142" s="117">
        <v>0</v>
      </c>
      <c r="P142" s="58">
        <v>0</v>
      </c>
      <c r="Q142" s="58">
        <v>0</v>
      </c>
      <c r="R142" s="58"/>
      <c r="S142" s="82">
        <v>0</v>
      </c>
    </row>
    <row r="143" spans="1:19" x14ac:dyDescent="0.3">
      <c r="A143" s="57">
        <v>20000</v>
      </c>
      <c r="B143" s="57">
        <v>30000</v>
      </c>
      <c r="C143" s="95">
        <v>5090</v>
      </c>
      <c r="D143" s="95">
        <v>12184853370</v>
      </c>
      <c r="E143" s="58">
        <v>5.2159833996214801E-6</v>
      </c>
      <c r="F143" s="92">
        <v>23938.808192534383</v>
      </c>
      <c r="G143" s="89">
        <v>0</v>
      </c>
      <c r="H143" s="60" t="str">
        <f t="shared" si="1"/>
        <v>(20000, 30000]</v>
      </c>
      <c r="I143" s="61">
        <v>0</v>
      </c>
      <c r="J143" s="58">
        <v>0</v>
      </c>
      <c r="K143" s="58">
        <v>0</v>
      </c>
      <c r="L143" s="83">
        <v>0</v>
      </c>
      <c r="M143" s="58">
        <v>0</v>
      </c>
      <c r="N143" s="58">
        <v>0</v>
      </c>
      <c r="O143" s="117">
        <v>0</v>
      </c>
      <c r="P143" s="58">
        <v>0</v>
      </c>
      <c r="Q143" s="58">
        <v>0</v>
      </c>
      <c r="R143" s="58"/>
      <c r="S143" s="82">
        <v>0</v>
      </c>
    </row>
    <row r="144" spans="1:19" x14ac:dyDescent="0.3">
      <c r="A144" s="57">
        <v>30000</v>
      </c>
      <c r="B144" s="57">
        <v>40000</v>
      </c>
      <c r="C144" s="95">
        <v>1319</v>
      </c>
      <c r="D144" s="95">
        <v>4457822220</v>
      </c>
      <c r="E144" s="58">
        <v>1.3516467788017156E-6</v>
      </c>
      <c r="F144" s="92">
        <v>33796.984230477632</v>
      </c>
      <c r="G144" s="89">
        <v>0</v>
      </c>
      <c r="H144" s="60" t="str">
        <f t="shared" si="1"/>
        <v>(30000, 40000]</v>
      </c>
      <c r="I144" s="61">
        <v>0</v>
      </c>
      <c r="J144" s="58">
        <v>0</v>
      </c>
      <c r="K144" s="58">
        <v>0</v>
      </c>
      <c r="L144" s="83">
        <v>0</v>
      </c>
      <c r="M144" s="58">
        <v>0</v>
      </c>
      <c r="N144" s="58">
        <v>0</v>
      </c>
      <c r="O144" s="117">
        <v>0</v>
      </c>
      <c r="P144" s="58">
        <v>0</v>
      </c>
      <c r="Q144" s="58">
        <v>0</v>
      </c>
      <c r="R144" s="58"/>
      <c r="S144" s="82">
        <v>0</v>
      </c>
    </row>
    <row r="145" spans="1:20" x14ac:dyDescent="0.3">
      <c r="A145" s="57">
        <v>40000</v>
      </c>
      <c r="B145" s="57">
        <v>50000</v>
      </c>
      <c r="C145" s="95">
        <v>386</v>
      </c>
      <c r="D145" s="95">
        <v>1709453235</v>
      </c>
      <c r="E145" s="58">
        <v>3.9555394739762108E-7</v>
      </c>
      <c r="F145" s="92">
        <v>44286.353238341966</v>
      </c>
      <c r="G145" s="89">
        <v>0</v>
      </c>
      <c r="H145" s="60" t="str">
        <f t="shared" si="1"/>
        <v>(40000, 50000]</v>
      </c>
      <c r="I145" s="61">
        <v>0</v>
      </c>
      <c r="J145" s="58">
        <v>0</v>
      </c>
      <c r="K145" s="58">
        <v>0</v>
      </c>
      <c r="L145" s="83">
        <v>0</v>
      </c>
      <c r="M145" s="58">
        <v>0</v>
      </c>
      <c r="N145" s="58">
        <v>0</v>
      </c>
      <c r="O145" s="117">
        <v>0</v>
      </c>
      <c r="P145" s="58">
        <v>0</v>
      </c>
      <c r="Q145" s="58">
        <v>0</v>
      </c>
      <c r="R145" s="58"/>
      <c r="S145" s="82">
        <v>0</v>
      </c>
    </row>
    <row r="146" spans="1:20" x14ac:dyDescent="0.3">
      <c r="A146" s="57">
        <v>50000</v>
      </c>
      <c r="B146" s="57">
        <v>60000</v>
      </c>
      <c r="C146" s="95">
        <v>685</v>
      </c>
      <c r="D146" s="95">
        <v>3754047120</v>
      </c>
      <c r="E146" s="58">
        <v>7.0195454395691819E-7</v>
      </c>
      <c r="F146" s="92">
        <v>54803.607591240871</v>
      </c>
      <c r="G146" s="89">
        <v>0</v>
      </c>
      <c r="H146" s="60" t="str">
        <f t="shared" si="1"/>
        <v>(50000, 60000]</v>
      </c>
      <c r="I146" s="61">
        <v>0</v>
      </c>
      <c r="J146" s="58">
        <v>0</v>
      </c>
      <c r="K146" s="58">
        <v>0</v>
      </c>
      <c r="L146" s="83">
        <v>0</v>
      </c>
      <c r="M146" s="58">
        <v>0</v>
      </c>
      <c r="N146" s="58">
        <v>0</v>
      </c>
      <c r="O146" s="117">
        <v>0</v>
      </c>
      <c r="P146" s="58">
        <v>0</v>
      </c>
      <c r="Q146" s="58">
        <v>0</v>
      </c>
      <c r="R146" s="58"/>
      <c r="S146" s="82">
        <v>0</v>
      </c>
    </row>
    <row r="147" spans="1:20" x14ac:dyDescent="0.3">
      <c r="A147" s="57">
        <v>60000</v>
      </c>
      <c r="B147" s="57">
        <v>70000</v>
      </c>
      <c r="C147" s="95">
        <v>198</v>
      </c>
      <c r="D147" s="95">
        <v>1266830660</v>
      </c>
      <c r="E147" s="58">
        <v>2.0290072949411651E-7</v>
      </c>
      <c r="F147" s="92">
        <v>63981.346464646471</v>
      </c>
      <c r="G147" s="89">
        <v>0</v>
      </c>
      <c r="H147" s="60" t="str">
        <f t="shared" si="1"/>
        <v>(60000, 70000]</v>
      </c>
      <c r="I147" s="61">
        <v>0</v>
      </c>
      <c r="J147" s="58">
        <v>0</v>
      </c>
      <c r="K147" s="58">
        <v>0</v>
      </c>
      <c r="L147" s="83">
        <v>0</v>
      </c>
      <c r="M147" s="58">
        <v>0</v>
      </c>
      <c r="N147" s="58">
        <v>0</v>
      </c>
      <c r="O147" s="117">
        <v>0</v>
      </c>
      <c r="P147" s="58">
        <v>0</v>
      </c>
      <c r="Q147" s="58">
        <v>0</v>
      </c>
      <c r="R147" s="58"/>
      <c r="S147" s="82">
        <v>0</v>
      </c>
    </row>
    <row r="148" spans="1:20" x14ac:dyDescent="0.3">
      <c r="A148" s="57">
        <v>70000</v>
      </c>
      <c r="B148" s="57">
        <v>80000</v>
      </c>
      <c r="C148" s="95">
        <v>57</v>
      </c>
      <c r="D148" s="95">
        <v>424289610</v>
      </c>
      <c r="E148" s="58">
        <v>5.8410816066488083E-8</v>
      </c>
      <c r="F148" s="92">
        <v>74436.773684210522</v>
      </c>
      <c r="G148" s="89">
        <v>0</v>
      </c>
      <c r="H148" s="60" t="str">
        <f t="shared" si="1"/>
        <v>(70000, 80000]</v>
      </c>
      <c r="I148" s="61">
        <v>0</v>
      </c>
      <c r="J148" s="58">
        <v>0</v>
      </c>
      <c r="K148" s="58">
        <v>0</v>
      </c>
      <c r="L148" s="83">
        <v>0</v>
      </c>
      <c r="M148" s="58">
        <v>0</v>
      </c>
      <c r="N148" s="58">
        <v>0</v>
      </c>
      <c r="O148" s="117">
        <v>0</v>
      </c>
      <c r="P148" s="58">
        <v>0</v>
      </c>
      <c r="Q148" s="58">
        <v>0</v>
      </c>
      <c r="R148" s="58"/>
      <c r="S148" s="82">
        <v>0</v>
      </c>
    </row>
    <row r="149" spans="1:20" x14ac:dyDescent="0.3">
      <c r="A149" s="57">
        <v>80000</v>
      </c>
      <c r="B149" s="57">
        <v>90000</v>
      </c>
      <c r="C149" s="95">
        <v>26</v>
      </c>
      <c r="D149" s="95">
        <v>218246870</v>
      </c>
      <c r="E149" s="58">
        <v>2.6643530135591055E-8</v>
      </c>
      <c r="F149" s="92">
        <v>83941.103846153841</v>
      </c>
      <c r="G149" s="89">
        <v>0</v>
      </c>
      <c r="H149" s="60" t="str">
        <f t="shared" si="1"/>
        <v>(80000, 90000]</v>
      </c>
      <c r="I149" s="61">
        <v>0</v>
      </c>
      <c r="J149" s="58">
        <v>0</v>
      </c>
      <c r="K149" s="58">
        <v>0</v>
      </c>
      <c r="L149" s="83">
        <v>0</v>
      </c>
      <c r="M149" s="58">
        <v>0</v>
      </c>
      <c r="N149" s="58">
        <v>0</v>
      </c>
      <c r="O149" s="117">
        <v>0</v>
      </c>
      <c r="P149" s="58">
        <v>0</v>
      </c>
      <c r="Q149" s="58">
        <v>0</v>
      </c>
      <c r="R149" s="58"/>
      <c r="S149" s="82">
        <v>0</v>
      </c>
    </row>
    <row r="150" spans="1:20" x14ac:dyDescent="0.3">
      <c r="A150" s="57">
        <v>90000</v>
      </c>
      <c r="B150" s="57">
        <v>100000</v>
      </c>
      <c r="C150" s="95">
        <v>8</v>
      </c>
      <c r="D150" s="95">
        <v>76492140</v>
      </c>
      <c r="E150" s="58">
        <v>8.1980092724895557E-9</v>
      </c>
      <c r="F150" s="92">
        <v>95615.175000000003</v>
      </c>
      <c r="G150" s="89">
        <v>0</v>
      </c>
      <c r="H150" s="60" t="str">
        <f t="shared" si="1"/>
        <v>(90000, 100000]</v>
      </c>
      <c r="I150" s="61">
        <v>0</v>
      </c>
      <c r="J150" s="58">
        <v>0</v>
      </c>
      <c r="K150" s="58">
        <v>0</v>
      </c>
      <c r="L150" s="83">
        <v>0</v>
      </c>
      <c r="M150" s="58">
        <v>0</v>
      </c>
      <c r="N150" s="58">
        <v>0</v>
      </c>
      <c r="O150" s="117">
        <v>0</v>
      </c>
      <c r="P150" s="58">
        <v>0</v>
      </c>
      <c r="Q150" s="58">
        <v>0</v>
      </c>
      <c r="R150" s="58"/>
      <c r="S150" s="82">
        <v>0</v>
      </c>
    </row>
    <row r="151" spans="1:20" x14ac:dyDescent="0.3">
      <c r="A151" s="57">
        <v>100000</v>
      </c>
      <c r="B151" s="57">
        <v>9999999</v>
      </c>
      <c r="C151" s="95">
        <v>166</v>
      </c>
      <c r="D151" s="95">
        <v>1996773875</v>
      </c>
      <c r="E151" s="58">
        <v>1.7010869240415828E-7</v>
      </c>
      <c r="F151" s="92">
        <v>120287.5828313253</v>
      </c>
      <c r="G151" s="89">
        <v>0</v>
      </c>
      <c r="H151" s="60" t="str">
        <f t="shared" si="1"/>
        <v>(100000, 9999999]</v>
      </c>
      <c r="I151" s="61">
        <v>0</v>
      </c>
      <c r="J151" s="58">
        <v>0</v>
      </c>
      <c r="K151" s="58">
        <v>0</v>
      </c>
      <c r="L151" s="83">
        <v>0</v>
      </c>
      <c r="M151" s="58">
        <v>0</v>
      </c>
      <c r="N151" s="58">
        <v>0</v>
      </c>
      <c r="O151" s="117">
        <v>0</v>
      </c>
      <c r="P151" s="58">
        <v>0</v>
      </c>
      <c r="Q151" s="58">
        <v>0</v>
      </c>
      <c r="R151" s="58"/>
      <c r="S151" s="82">
        <v>0</v>
      </c>
    </row>
    <row r="152" spans="1:20" x14ac:dyDescent="0.3">
      <c r="A152" s="230" t="s">
        <v>78</v>
      </c>
      <c r="B152" s="231"/>
      <c r="C152" s="72">
        <f>E152*B86</f>
        <v>24153000</v>
      </c>
      <c r="D152" s="95" cm="1">
        <f t="array" ref="D152:E152">D80:E80</f>
        <v>359164335</v>
      </c>
      <c r="E152" s="192">
        <v>2.4153000000000001E-2</v>
      </c>
      <c r="F152" s="92">
        <v>0.14870381940131661</v>
      </c>
      <c r="G152" s="99"/>
      <c r="H152" s="60" t="s">
        <v>78</v>
      </c>
      <c r="I152" s="61">
        <v>0.86499999999999999</v>
      </c>
      <c r="J152" s="58">
        <v>2.0892345E-2</v>
      </c>
      <c r="K152" s="58">
        <f>J152</f>
        <v>2.0892345E-2</v>
      </c>
      <c r="L152" s="83">
        <v>20892345</v>
      </c>
      <c r="M152" s="62">
        <v>2.0863125275074747E-2</v>
      </c>
      <c r="N152" s="58">
        <v>3.1024264130517592E-3</v>
      </c>
      <c r="P152" s="50"/>
      <c r="Q152" s="50"/>
      <c r="R152" s="50"/>
      <c r="S152" s="50"/>
      <c r="T152" s="50"/>
    </row>
    <row r="153" spans="1:20" x14ac:dyDescent="0.3">
      <c r="A153" s="65"/>
      <c r="B153" s="51"/>
      <c r="C153" s="1"/>
      <c r="D153" s="1"/>
      <c r="E153" s="1"/>
      <c r="F153" s="1"/>
      <c r="H153" s="13"/>
      <c r="I153" s="51"/>
      <c r="J153" s="51"/>
      <c r="L153" s="67"/>
      <c r="M153" s="51"/>
    </row>
    <row r="154" spans="1:20" x14ac:dyDescent="0.3">
      <c r="A154" s="51"/>
      <c r="D154" s="112"/>
      <c r="E154" s="1"/>
      <c r="F154" s="1"/>
      <c r="H154" s="13"/>
      <c r="I154" s="51"/>
      <c r="J154" s="51"/>
      <c r="K154" s="51"/>
      <c r="L154" s="51"/>
      <c r="M154" s="51"/>
      <c r="N154" s="51"/>
    </row>
    <row r="155" spans="1:20" s="79" customFormat="1" x14ac:dyDescent="0.3">
      <c r="A155" s="229" t="s">
        <v>50</v>
      </c>
      <c r="B155" s="229"/>
      <c r="C155" s="229"/>
      <c r="D155" s="229"/>
      <c r="E155" s="75"/>
      <c r="F155" s="75"/>
      <c r="G155" s="88"/>
      <c r="H155" s="77"/>
      <c r="I155" s="78"/>
      <c r="J155" s="76"/>
      <c r="K155" s="76"/>
      <c r="L155" s="76"/>
      <c r="M155" s="76"/>
      <c r="N155" s="76"/>
      <c r="O155" s="88"/>
    </row>
    <row r="156" spans="1:20" x14ac:dyDescent="0.3">
      <c r="A156" s="51"/>
      <c r="B156" s="51"/>
      <c r="C156" s="1"/>
      <c r="D156" s="1"/>
      <c r="E156" s="1"/>
      <c r="F156" s="1"/>
      <c r="G156" s="50">
        <v>9.9999999999999995E-7</v>
      </c>
      <c r="H156" s="13"/>
      <c r="I156" s="51"/>
      <c r="J156" s="51"/>
      <c r="K156" s="51"/>
      <c r="L156" s="51"/>
      <c r="M156" s="51"/>
      <c r="N156" s="51"/>
    </row>
    <row r="157" spans="1:20" x14ac:dyDescent="0.3">
      <c r="A157" s="69" t="s">
        <v>75</v>
      </c>
      <c r="B157" s="215">
        <f>B14</f>
        <v>1000000000</v>
      </c>
      <c r="C157" s="1"/>
      <c r="D157" s="1"/>
      <c r="E157" s="1"/>
      <c r="F157" s="1"/>
      <c r="G157" s="50">
        <v>53707</v>
      </c>
      <c r="H157" s="69" t="s">
        <v>76</v>
      </c>
      <c r="I157" s="51"/>
      <c r="J157" s="51"/>
      <c r="K157" s="51"/>
      <c r="M157" s="51"/>
      <c r="N157" s="51"/>
      <c r="P157" s="24" t="s">
        <v>81</v>
      </c>
    </row>
    <row r="158" spans="1:20" ht="16.2" x14ac:dyDescent="0.3">
      <c r="A158" s="20" t="s">
        <v>58</v>
      </c>
      <c r="B158" s="20" t="s">
        <v>59</v>
      </c>
      <c r="C158" s="20" t="s">
        <v>71</v>
      </c>
      <c r="D158" s="20" t="s">
        <v>72</v>
      </c>
      <c r="E158" s="20" t="s">
        <v>73</v>
      </c>
      <c r="F158" s="20" t="s">
        <v>85</v>
      </c>
      <c r="G158" s="89">
        <f>1-G157*G156</f>
        <v>0.94629300000000005</v>
      </c>
      <c r="H158" s="20" t="s">
        <v>61</v>
      </c>
      <c r="I158" s="20" t="s">
        <v>331</v>
      </c>
      <c r="J158" s="20" t="s">
        <v>64</v>
      </c>
      <c r="K158" s="20" t="s">
        <v>65</v>
      </c>
      <c r="L158" s="20" t="s">
        <v>66</v>
      </c>
      <c r="M158" s="20" t="s">
        <v>67</v>
      </c>
      <c r="N158" s="20" t="s">
        <v>60</v>
      </c>
      <c r="O158" s="50">
        <v>0.9</v>
      </c>
      <c r="P158" s="85" t="s">
        <v>84</v>
      </c>
      <c r="Q158" s="185" t="s">
        <v>289</v>
      </c>
      <c r="R158" s="85" t="s">
        <v>217</v>
      </c>
      <c r="S158" s="85" t="s">
        <v>80</v>
      </c>
    </row>
    <row r="159" spans="1:20" x14ac:dyDescent="0.3">
      <c r="A159" s="63">
        <v>-1</v>
      </c>
      <c r="B159" s="63">
        <v>0</v>
      </c>
      <c r="C159" s="95" cm="1">
        <f t="array" ref="C159:D222">Multiplier_Weight_Oldhand!C159:D222</f>
        <v>0</v>
      </c>
      <c r="D159" s="95">
        <v>0</v>
      </c>
      <c r="E159" s="58" cm="1">
        <f t="array" ref="E159:E222">_xlfn.LET(_xlpm.x, C159:C222, _xlpm.x/SUM(_xlpm.x))</f>
        <v>0</v>
      </c>
      <c r="F159" s="91" cm="1">
        <f t="array" ref="F159:F222">_xlfn.LET(_xlpm.x, D159:D222/C159:C222/B3, IF(ISERR(_xlpm.x), 0, _xlpm.x))</f>
        <v>0</v>
      </c>
      <c r="G159" s="89"/>
      <c r="H159" s="60" t="str">
        <f>"("&amp;$A159&amp;", "&amp;$B159&amp;"]"</f>
        <v>(-1, 0]</v>
      </c>
      <c r="I159" s="61">
        <v>0</v>
      </c>
      <c r="J159" s="58" cm="1">
        <f t="array" ref="J159:J222">_xlfn.ANCHORARRAY(E159)*I159:I222</f>
        <v>0</v>
      </c>
      <c r="K159" s="58" cm="1">
        <f t="array" ref="K159:K222">J159:J222/SUM(_xlfn.ANCHORARRAY(J159))</f>
        <v>0</v>
      </c>
      <c r="L159" s="115" cm="1">
        <f t="array" ref="L159:L222">INT(_xlfn.ANCHORARRAY(K159)*$B$2)</f>
        <v>0</v>
      </c>
      <c r="M159" s="58" cm="1">
        <f t="array" ref="M159:M222">_xlfn.LET(_xlpm.x, L159:L222, _xlpm.x/SUM(_xlpm.x))</f>
        <v>0</v>
      </c>
      <c r="N159" s="59" cm="1">
        <f t="array" ref="N159:N222">M159:M222*_xlfn.ANCHORARRAY(F159)</f>
        <v>0</v>
      </c>
      <c r="O159" s="117" cm="1">
        <f t="array" ref="O159:O222">I159:I222*O158</f>
        <v>0</v>
      </c>
      <c r="P159" s="58" cm="1">
        <f t="array" ref="P159:P222">_xlfn.ANCHORARRAY(M159)</f>
        <v>0</v>
      </c>
      <c r="Q159" s="58">
        <v>0</v>
      </c>
      <c r="R159" s="58">
        <v>0</v>
      </c>
      <c r="S159" s="82" cm="1">
        <f t="array" ref="S159:S222">_xlfn.LET(_xlpm.x, Q159:Q222/M159:M222, IF(ISERR(_xlpm.x), 0, ROUND(_xlpm.x,2)))</f>
        <v>0</v>
      </c>
    </row>
    <row r="160" spans="1:20" x14ac:dyDescent="0.3">
      <c r="A160" s="57">
        <v>0</v>
      </c>
      <c r="B160" s="57">
        <v>1</v>
      </c>
      <c r="C160" s="95">
        <v>14852</v>
      </c>
      <c r="D160" s="95">
        <v>889415</v>
      </c>
      <c r="E160" s="58">
        <v>6.1505545769369283E-4</v>
      </c>
      <c r="F160" s="92">
        <v>0.5988520064637759</v>
      </c>
      <c r="G160" s="89"/>
      <c r="H160" s="60" t="str">
        <f t="shared" ref="H160:H222" si="2">"("&amp;$A160&amp;", "&amp;$B160&amp;"]"</f>
        <v>(0, 1]</v>
      </c>
      <c r="I160" s="61">
        <v>0</v>
      </c>
      <c r="J160" s="58">
        <v>0</v>
      </c>
      <c r="K160" s="58">
        <v>0</v>
      </c>
      <c r="L160" s="115">
        <v>0</v>
      </c>
      <c r="M160" s="58">
        <v>0</v>
      </c>
      <c r="N160" s="58">
        <v>0</v>
      </c>
      <c r="O160" s="117">
        <v>0</v>
      </c>
      <c r="P160" s="58">
        <v>0</v>
      </c>
      <c r="Q160" s="58">
        <v>0</v>
      </c>
      <c r="R160" s="58">
        <v>0</v>
      </c>
      <c r="S160" s="82">
        <v>0</v>
      </c>
    </row>
    <row r="161" spans="1:20" x14ac:dyDescent="0.3">
      <c r="A161" s="57">
        <v>1</v>
      </c>
      <c r="B161" s="57">
        <v>2</v>
      </c>
      <c r="C161" s="95">
        <v>14239</v>
      </c>
      <c r="D161" s="95">
        <v>2239490</v>
      </c>
      <c r="E161" s="58">
        <v>5.8966971869785158E-4</v>
      </c>
      <c r="F161" s="92">
        <v>1.5727860102535292</v>
      </c>
      <c r="G161" s="89"/>
      <c r="H161" s="60" t="str">
        <f t="shared" si="2"/>
        <v>(1, 2]</v>
      </c>
      <c r="I161" s="61">
        <v>0</v>
      </c>
      <c r="J161" s="58">
        <v>0</v>
      </c>
      <c r="K161" s="58">
        <v>0</v>
      </c>
      <c r="L161" s="115">
        <v>0</v>
      </c>
      <c r="M161" s="58">
        <v>0</v>
      </c>
      <c r="N161" s="58">
        <v>0</v>
      </c>
      <c r="O161" s="117">
        <v>0</v>
      </c>
      <c r="P161" s="58">
        <v>0</v>
      </c>
      <c r="Q161" s="58">
        <v>0</v>
      </c>
      <c r="R161" s="58">
        <v>0</v>
      </c>
      <c r="S161" s="82">
        <v>0</v>
      </c>
    </row>
    <row r="162" spans="1:20" x14ac:dyDescent="0.3">
      <c r="A162" s="57">
        <v>2</v>
      </c>
      <c r="B162" s="57">
        <v>3</v>
      </c>
      <c r="C162" s="95">
        <v>14789</v>
      </c>
      <c r="D162" s="95">
        <v>3824910</v>
      </c>
      <c r="E162" s="58">
        <v>6.1244648288661611E-4</v>
      </c>
      <c r="F162" s="92">
        <v>2.5863209141929815</v>
      </c>
      <c r="G162" s="89"/>
      <c r="H162" s="60" t="str">
        <f t="shared" si="2"/>
        <v>(2, 3]</v>
      </c>
      <c r="I162" s="61">
        <v>0</v>
      </c>
      <c r="J162" s="58">
        <v>0</v>
      </c>
      <c r="K162" s="58">
        <v>0</v>
      </c>
      <c r="L162" s="115">
        <v>0</v>
      </c>
      <c r="M162" s="58">
        <v>0</v>
      </c>
      <c r="N162" s="58">
        <v>0</v>
      </c>
      <c r="O162" s="117">
        <v>0</v>
      </c>
      <c r="P162" s="58">
        <v>0</v>
      </c>
      <c r="Q162" s="58">
        <v>0</v>
      </c>
      <c r="R162" s="58">
        <v>0</v>
      </c>
      <c r="S162" s="82">
        <v>0</v>
      </c>
    </row>
    <row r="163" spans="1:20" x14ac:dyDescent="0.3">
      <c r="A163" s="57">
        <v>3</v>
      </c>
      <c r="B163" s="57">
        <v>4</v>
      </c>
      <c r="C163" s="95">
        <v>14538</v>
      </c>
      <c r="D163" s="95">
        <v>5207180</v>
      </c>
      <c r="E163" s="58">
        <v>6.0205199595683451E-4</v>
      </c>
      <c r="F163" s="92">
        <v>3.5817719081029025</v>
      </c>
      <c r="G163" s="89"/>
      <c r="H163" s="60" t="str">
        <f t="shared" si="2"/>
        <v>(3, 4]</v>
      </c>
      <c r="I163" s="61">
        <v>0</v>
      </c>
      <c r="J163" s="58">
        <v>0</v>
      </c>
      <c r="K163" s="58">
        <v>0</v>
      </c>
      <c r="L163" s="115">
        <v>0</v>
      </c>
      <c r="M163" s="58">
        <v>0</v>
      </c>
      <c r="N163" s="58">
        <v>0</v>
      </c>
      <c r="O163" s="117">
        <v>0</v>
      </c>
      <c r="P163" s="58">
        <v>0</v>
      </c>
      <c r="Q163" s="58">
        <v>0</v>
      </c>
      <c r="R163" s="58">
        <v>3.614457831325301E-2</v>
      </c>
      <c r="S163" s="82">
        <v>0</v>
      </c>
    </row>
    <row r="164" spans="1:20" x14ac:dyDescent="0.3">
      <c r="A164" s="57">
        <v>4</v>
      </c>
      <c r="B164" s="57">
        <v>5</v>
      </c>
      <c r="C164" s="95">
        <v>15079</v>
      </c>
      <c r="D164" s="95">
        <v>6896535</v>
      </c>
      <c r="E164" s="58">
        <v>6.2445604945887375E-4</v>
      </c>
      <c r="F164" s="92">
        <v>4.5736023608992635</v>
      </c>
      <c r="G164" s="89"/>
      <c r="H164" s="60" t="str">
        <f t="shared" si="2"/>
        <v>(4, 5]</v>
      </c>
      <c r="I164" s="61">
        <v>0</v>
      </c>
      <c r="J164" s="58">
        <v>0</v>
      </c>
      <c r="K164" s="58">
        <v>0</v>
      </c>
      <c r="L164" s="115">
        <v>0</v>
      </c>
      <c r="M164" s="58">
        <v>0</v>
      </c>
      <c r="N164" s="58">
        <v>0</v>
      </c>
      <c r="O164" s="117">
        <v>0</v>
      </c>
      <c r="P164" s="58">
        <v>0</v>
      </c>
      <c r="Q164" s="58">
        <v>0</v>
      </c>
      <c r="R164" s="58">
        <v>0</v>
      </c>
      <c r="S164" s="82">
        <v>0</v>
      </c>
    </row>
    <row r="165" spans="1:20" x14ac:dyDescent="0.3">
      <c r="A165" s="57">
        <v>5</v>
      </c>
      <c r="B165" s="57">
        <v>6</v>
      </c>
      <c r="C165" s="95">
        <v>16012</v>
      </c>
      <c r="D165" s="95">
        <v>8915745</v>
      </c>
      <c r="E165" s="58">
        <v>6.6309372398272351E-4</v>
      </c>
      <c r="F165" s="92">
        <v>5.5681645016237828</v>
      </c>
      <c r="G165" s="89"/>
      <c r="H165" s="60" t="str">
        <f t="shared" si="2"/>
        <v>(5, 6]</v>
      </c>
      <c r="I165" s="61">
        <v>0</v>
      </c>
      <c r="J165" s="58">
        <v>0</v>
      </c>
      <c r="K165" s="58">
        <v>0</v>
      </c>
      <c r="L165" s="115">
        <v>0</v>
      </c>
      <c r="M165" s="58">
        <v>0</v>
      </c>
      <c r="N165" s="58">
        <v>0</v>
      </c>
      <c r="O165" s="117">
        <v>0</v>
      </c>
      <c r="P165" s="58">
        <v>0</v>
      </c>
      <c r="Q165" s="58">
        <v>0</v>
      </c>
      <c r="R165" s="58">
        <v>0</v>
      </c>
      <c r="S165" s="82">
        <v>0</v>
      </c>
    </row>
    <row r="166" spans="1:20" x14ac:dyDescent="0.3">
      <c r="A166" s="57">
        <v>6</v>
      </c>
      <c r="B166" s="57">
        <v>7</v>
      </c>
      <c r="C166" s="95">
        <v>15972</v>
      </c>
      <c r="D166" s="95">
        <v>10476115</v>
      </c>
      <c r="E166" s="58">
        <v>6.6143723204172239E-4</v>
      </c>
      <c r="F166" s="92">
        <v>6.5590502128725268</v>
      </c>
      <c r="G166" s="89"/>
      <c r="H166" s="60" t="str">
        <f t="shared" si="2"/>
        <v>(6, 7]</v>
      </c>
      <c r="I166" s="61">
        <v>0</v>
      </c>
      <c r="J166" s="58">
        <v>0</v>
      </c>
      <c r="K166" s="58">
        <v>0</v>
      </c>
      <c r="L166" s="115">
        <v>0</v>
      </c>
      <c r="M166" s="58">
        <v>0</v>
      </c>
      <c r="N166" s="58">
        <v>0</v>
      </c>
      <c r="O166" s="117">
        <v>0</v>
      </c>
      <c r="P166" s="58">
        <v>0</v>
      </c>
      <c r="Q166" s="58">
        <v>0</v>
      </c>
      <c r="R166" s="58">
        <v>1.2048192771084338E-2</v>
      </c>
      <c r="S166" s="82">
        <v>0</v>
      </c>
    </row>
    <row r="167" spans="1:20" x14ac:dyDescent="0.3">
      <c r="A167" s="57">
        <v>7</v>
      </c>
      <c r="B167" s="57">
        <v>8</v>
      </c>
      <c r="C167" s="95">
        <v>15987</v>
      </c>
      <c r="D167" s="95">
        <v>12083340</v>
      </c>
      <c r="E167" s="58">
        <v>6.6205841651959777E-4</v>
      </c>
      <c r="F167" s="92">
        <v>7.5582285607055733</v>
      </c>
      <c r="G167" s="89"/>
      <c r="H167" s="60" t="str">
        <f t="shared" si="2"/>
        <v>(7, 8]</v>
      </c>
      <c r="I167" s="61">
        <v>0</v>
      </c>
      <c r="J167" s="58">
        <v>0</v>
      </c>
      <c r="K167" s="58">
        <v>0</v>
      </c>
      <c r="L167" s="115">
        <v>0</v>
      </c>
      <c r="M167" s="58">
        <v>0</v>
      </c>
      <c r="N167" s="58">
        <v>0</v>
      </c>
      <c r="O167" s="117">
        <v>0</v>
      </c>
      <c r="P167" s="58">
        <v>0</v>
      </c>
      <c r="Q167" s="58">
        <v>0</v>
      </c>
      <c r="R167" s="58">
        <v>3.614457831325301E-2</v>
      </c>
      <c r="S167" s="82">
        <v>0</v>
      </c>
    </row>
    <row r="168" spans="1:20" x14ac:dyDescent="0.3">
      <c r="A168" s="57">
        <v>8</v>
      </c>
      <c r="B168" s="57">
        <v>9</v>
      </c>
      <c r="C168" s="95">
        <v>16426</v>
      </c>
      <c r="D168" s="95">
        <v>14058445</v>
      </c>
      <c r="E168" s="58">
        <v>6.8023841557208445E-4</v>
      </c>
      <c r="F168" s="92">
        <v>8.5586539632290268</v>
      </c>
      <c r="G168" s="89"/>
      <c r="H168" s="60" t="str">
        <f t="shared" si="2"/>
        <v>(8, 9]</v>
      </c>
      <c r="I168" s="61">
        <v>0</v>
      </c>
      <c r="J168" s="58">
        <v>0</v>
      </c>
      <c r="K168" s="58">
        <v>0</v>
      </c>
      <c r="L168" s="115">
        <v>0</v>
      </c>
      <c r="M168" s="58">
        <v>0</v>
      </c>
      <c r="N168" s="58">
        <v>0</v>
      </c>
      <c r="O168" s="117">
        <v>0</v>
      </c>
      <c r="P168" s="58">
        <v>0</v>
      </c>
      <c r="Q168" s="58">
        <v>0</v>
      </c>
      <c r="R168" s="58">
        <v>2.4096385542168676E-2</v>
      </c>
      <c r="S168" s="82">
        <v>0</v>
      </c>
    </row>
    <row r="169" spans="1:20" x14ac:dyDescent="0.3">
      <c r="A169" s="57">
        <v>9</v>
      </c>
      <c r="B169" s="57">
        <v>10</v>
      </c>
      <c r="C169" s="95">
        <v>16472</v>
      </c>
      <c r="D169" s="95">
        <v>15746625</v>
      </c>
      <c r="E169" s="58">
        <v>6.8214338130423565E-4</v>
      </c>
      <c r="F169" s="92">
        <v>9.5596314958717823</v>
      </c>
      <c r="G169" s="89"/>
      <c r="H169" s="60" t="str">
        <f t="shared" si="2"/>
        <v>(9, 10]</v>
      </c>
      <c r="I169" s="61">
        <v>0</v>
      </c>
      <c r="J169" s="58">
        <v>0</v>
      </c>
      <c r="K169" s="58">
        <v>0</v>
      </c>
      <c r="L169" s="115">
        <v>0</v>
      </c>
      <c r="M169" s="58">
        <v>0</v>
      </c>
      <c r="N169" s="58">
        <v>0</v>
      </c>
      <c r="O169" s="117">
        <v>0</v>
      </c>
      <c r="P169" s="58">
        <v>0</v>
      </c>
      <c r="Q169" s="58">
        <v>0</v>
      </c>
      <c r="R169" s="58">
        <v>1.2048192771084338E-2</v>
      </c>
      <c r="S169" s="82">
        <v>0</v>
      </c>
    </row>
    <row r="170" spans="1:20" x14ac:dyDescent="0.3">
      <c r="A170" s="57">
        <v>10</v>
      </c>
      <c r="B170" s="57">
        <v>15</v>
      </c>
      <c r="C170" s="95">
        <v>87136</v>
      </c>
      <c r="D170" s="95">
        <v>109675535</v>
      </c>
      <c r="E170" s="58">
        <v>3.6085020442767042E-3</v>
      </c>
      <c r="F170" s="92">
        <v>12.586707560594933</v>
      </c>
      <c r="G170" s="99"/>
      <c r="H170" s="60" t="str">
        <f t="shared" si="2"/>
        <v>(10, 15]</v>
      </c>
      <c r="I170" s="61">
        <v>34.81</v>
      </c>
      <c r="J170" s="58">
        <v>0.12561195616127208</v>
      </c>
      <c r="K170" s="58">
        <v>0.15760952405899806</v>
      </c>
      <c r="L170" s="115">
        <v>157609524</v>
      </c>
      <c r="M170" s="58">
        <v>0.15760952494565714</v>
      </c>
      <c r="N170" s="58">
        <v>1.9837849992552783</v>
      </c>
      <c r="O170" s="117">
        <v>31.329000000000004</v>
      </c>
      <c r="P170" s="58">
        <v>0.15760952494565714</v>
      </c>
      <c r="Q170" s="58">
        <v>0.13126626188785775</v>
      </c>
      <c r="R170" s="58">
        <v>7.2289156626506021E-2</v>
      </c>
      <c r="S170" s="82">
        <v>0.83</v>
      </c>
      <c r="T170" s="100"/>
    </row>
    <row r="171" spans="1:20" x14ac:dyDescent="0.3">
      <c r="A171" s="57">
        <v>15</v>
      </c>
      <c r="B171" s="57">
        <v>20</v>
      </c>
      <c r="C171" s="95">
        <v>92120</v>
      </c>
      <c r="D171" s="95">
        <v>161859945</v>
      </c>
      <c r="E171" s="58">
        <v>3.8149009401254362E-3</v>
      </c>
      <c r="F171" s="92">
        <v>17.570554168475901</v>
      </c>
      <c r="G171" s="99"/>
      <c r="H171" s="111" t="str">
        <f t="shared" si="2"/>
        <v>(15, 20]</v>
      </c>
      <c r="I171" s="61">
        <v>32.65</v>
      </c>
      <c r="J171" s="58">
        <v>0.12455651569509549</v>
      </c>
      <c r="K171" s="58">
        <v>0.15628522759367491</v>
      </c>
      <c r="L171" s="115">
        <v>156285227</v>
      </c>
      <c r="M171" s="58">
        <v>0.15628522793771138</v>
      </c>
      <c r="N171" s="58">
        <v>2.7460180632121611</v>
      </c>
      <c r="O171" s="117">
        <v>29.384999999999998</v>
      </c>
      <c r="P171" s="58">
        <v>0.15628522793771138</v>
      </c>
      <c r="Q171" s="58">
        <v>0.13125249088755481</v>
      </c>
      <c r="R171" s="58">
        <v>7.2289156626506021E-2</v>
      </c>
      <c r="S171" s="82">
        <v>0.84</v>
      </c>
      <c r="T171" s="100"/>
    </row>
    <row r="172" spans="1:20" x14ac:dyDescent="0.3">
      <c r="A172" s="57">
        <v>20</v>
      </c>
      <c r="B172" s="57">
        <v>25</v>
      </c>
      <c r="C172" s="95">
        <v>97100</v>
      </c>
      <c r="D172" s="95">
        <v>219020910</v>
      </c>
      <c r="E172" s="58">
        <v>4.021134186780068E-3</v>
      </c>
      <c r="F172" s="92">
        <v>22.556221421215241</v>
      </c>
      <c r="G172" s="99"/>
      <c r="H172" s="60" t="str">
        <f t="shared" si="2"/>
        <v>(20, 25]</v>
      </c>
      <c r="I172" s="61">
        <v>31.14</v>
      </c>
      <c r="J172" s="58">
        <v>0.12521811857633131</v>
      </c>
      <c r="K172" s="58">
        <v>0.15711536286434741</v>
      </c>
      <c r="L172" s="115">
        <v>157115362</v>
      </c>
      <c r="M172" s="58">
        <v>0.15711536294269218</v>
      </c>
      <c r="N172" s="58">
        <v>3.5439289152099609</v>
      </c>
      <c r="O172" s="117">
        <v>28.026</v>
      </c>
      <c r="P172" s="58">
        <v>0.15711536294269218</v>
      </c>
      <c r="Q172" s="58">
        <v>0.1312781858881201</v>
      </c>
      <c r="R172" s="58">
        <v>7.2289156626506021E-2</v>
      </c>
      <c r="S172" s="82">
        <v>0.84</v>
      </c>
      <c r="T172" s="100"/>
    </row>
    <row r="173" spans="1:20" x14ac:dyDescent="0.3">
      <c r="A173" s="57">
        <v>25</v>
      </c>
      <c r="B173" s="57">
        <v>30</v>
      </c>
      <c r="C173" s="95">
        <v>101303</v>
      </c>
      <c r="D173" s="95">
        <v>279090060</v>
      </c>
      <c r="E173" s="58">
        <v>4.1951900774807541E-3</v>
      </c>
      <c r="F173" s="92">
        <v>27.550029120559117</v>
      </c>
      <c r="G173" s="99"/>
      <c r="H173" s="60" t="str">
        <f t="shared" si="2"/>
        <v>(25, 30]</v>
      </c>
      <c r="I173" s="61">
        <v>29.75</v>
      </c>
      <c r="J173" s="58">
        <v>0.12480690480505244</v>
      </c>
      <c r="K173" s="58">
        <v>0.1565993991873344</v>
      </c>
      <c r="L173" s="115">
        <v>156599399</v>
      </c>
      <c r="M173" s="58">
        <v>0.1565993999395964</v>
      </c>
      <c r="N173" s="58">
        <v>4.3143180285979641</v>
      </c>
      <c r="O173" s="117">
        <v>26.775000000000002</v>
      </c>
      <c r="P173" s="58">
        <v>0.1565993999395964</v>
      </c>
      <c r="Q173" s="58">
        <v>0.13224971290949369</v>
      </c>
      <c r="R173" s="58">
        <v>8.4337349397590355E-2</v>
      </c>
      <c r="S173" s="82">
        <v>0.84</v>
      </c>
      <c r="T173" s="100"/>
    </row>
    <row r="174" spans="1:20" x14ac:dyDescent="0.3">
      <c r="A174" s="57">
        <v>30</v>
      </c>
      <c r="B174" s="57">
        <v>35</v>
      </c>
      <c r="C174" s="95">
        <v>105944</v>
      </c>
      <c r="D174" s="95">
        <v>344863390</v>
      </c>
      <c r="E174" s="58">
        <v>4.3873845549354017E-3</v>
      </c>
      <c r="F174" s="92">
        <v>32.551479083289287</v>
      </c>
      <c r="G174" s="99">
        <v>7.91</v>
      </c>
      <c r="H174" s="60" t="str">
        <f t="shared" si="2"/>
        <v>(30, 35]</v>
      </c>
      <c r="I174" s="221" cm="1">
        <f t="array" ref="I174:I222">G174:G222*G158</f>
        <v>7.4851776300000008</v>
      </c>
      <c r="J174" s="58">
        <v>3.2840352724809979E-2</v>
      </c>
      <c r="K174" s="58">
        <v>4.1205889320293378E-2</v>
      </c>
      <c r="L174" s="115">
        <v>41205889</v>
      </c>
      <c r="M174" s="58">
        <v>4.1205889247235339E-2</v>
      </c>
      <c r="N174" s="58">
        <v>1.3413126419397161</v>
      </c>
      <c r="O174" s="117">
        <v>6.7366598670000011</v>
      </c>
      <c r="P174" s="58">
        <v>4.1205889247235339E-2</v>
      </c>
      <c r="Q174" s="58">
        <v>3.6550552804112159E-2</v>
      </c>
      <c r="R174" s="58">
        <v>3.614457831325301E-2</v>
      </c>
      <c r="S174" s="82">
        <v>0.89</v>
      </c>
      <c r="T174" s="100"/>
    </row>
    <row r="175" spans="1:20" x14ac:dyDescent="0.3">
      <c r="A175" s="57">
        <v>35</v>
      </c>
      <c r="B175" s="57">
        <v>40</v>
      </c>
      <c r="C175" s="95">
        <v>110060</v>
      </c>
      <c r="D175" s="95">
        <v>413415420</v>
      </c>
      <c r="E175" s="58">
        <v>4.5578375756644106E-3</v>
      </c>
      <c r="F175" s="92">
        <v>37.562731237506817</v>
      </c>
      <c r="G175" s="99">
        <v>6.21</v>
      </c>
      <c r="H175" s="111" t="str">
        <f t="shared" si="2"/>
        <v>(35, 40]</v>
      </c>
      <c r="I175" s="61">
        <v>5.8764795300000001</v>
      </c>
      <c r="J175" s="58">
        <v>2.6784039214456736E-2</v>
      </c>
      <c r="K175" s="58">
        <v>3.3606830129675101E-2</v>
      </c>
      <c r="L175" s="115">
        <v>33606830</v>
      </c>
      <c r="M175" s="58">
        <v>3.3606830201640979E-2</v>
      </c>
      <c r="N175" s="58">
        <v>1.2623643306087671</v>
      </c>
      <c r="O175" s="117">
        <v>5.2888315769999998</v>
      </c>
      <c r="P175" s="58">
        <v>3.3606830201640979E-2</v>
      </c>
      <c r="Q175" s="58">
        <v>2.9855874656829241E-2</v>
      </c>
      <c r="R175" s="58">
        <v>2.4096385542168676E-2</v>
      </c>
      <c r="S175" s="82">
        <v>0.89</v>
      </c>
      <c r="T175" s="100"/>
    </row>
    <row r="176" spans="1:20" x14ac:dyDescent="0.3">
      <c r="A176" s="57">
        <v>40</v>
      </c>
      <c r="B176" s="57">
        <v>45</v>
      </c>
      <c r="C176" s="95">
        <v>114007</v>
      </c>
      <c r="D176" s="95">
        <v>485129590</v>
      </c>
      <c r="E176" s="58">
        <v>4.7212919179426896E-3</v>
      </c>
      <c r="F176" s="92">
        <v>42.552614313156212</v>
      </c>
      <c r="G176" s="99">
        <v>5.92</v>
      </c>
      <c r="H176" s="60" t="str">
        <f t="shared" si="2"/>
        <v>(40, 45]</v>
      </c>
      <c r="I176" s="61">
        <v>5.60205456</v>
      </c>
      <c r="J176" s="58">
        <v>2.6448934918001991E-2</v>
      </c>
      <c r="K176" s="58">
        <v>3.3186363557157532E-2</v>
      </c>
      <c r="L176" s="115">
        <v>33186363</v>
      </c>
      <c r="M176" s="58">
        <v>3.3186363199118177E-2</v>
      </c>
      <c r="N176" s="58">
        <v>1.4121665136683967</v>
      </c>
      <c r="O176" s="117">
        <v>5.0418491039999997</v>
      </c>
      <c r="P176" s="58">
        <v>3.3186363199118177E-2</v>
      </c>
      <c r="Q176" s="58">
        <v>2.9391089646603974E-2</v>
      </c>
      <c r="R176" s="58">
        <v>3.614457831325301E-2</v>
      </c>
      <c r="S176" s="82">
        <v>0.89</v>
      </c>
      <c r="T176" s="100"/>
    </row>
    <row r="177" spans="1:20" x14ac:dyDescent="0.3">
      <c r="A177" s="57">
        <v>45</v>
      </c>
      <c r="B177" s="57">
        <v>50</v>
      </c>
      <c r="C177" s="95">
        <v>117729</v>
      </c>
      <c r="D177" s="95">
        <v>559819155</v>
      </c>
      <c r="E177" s="58">
        <v>4.8754284930528384E-3</v>
      </c>
      <c r="F177" s="92">
        <v>47.551508549295413</v>
      </c>
      <c r="G177" s="99">
        <v>5.24</v>
      </c>
      <c r="H177" s="60" t="str">
        <f t="shared" si="2"/>
        <v>(45, 50]</v>
      </c>
      <c r="I177" s="61">
        <v>4.9585753200000005</v>
      </c>
      <c r="J177" s="58">
        <v>2.4175179400076598E-2</v>
      </c>
      <c r="K177" s="58">
        <v>3.0333406434615472E-2</v>
      </c>
      <c r="L177" s="115">
        <v>30333406</v>
      </c>
      <c r="M177" s="58">
        <v>3.0333406182000436E-2</v>
      </c>
      <c r="N177" s="58">
        <v>1.4423992233926441</v>
      </c>
      <c r="O177" s="117">
        <v>4.4627177880000009</v>
      </c>
      <c r="P177" s="58">
        <v>3.0333406182000436E-2</v>
      </c>
      <c r="Q177" s="58">
        <v>2.7000172594003797E-2</v>
      </c>
      <c r="R177" s="58">
        <v>2.4096385542168676E-2</v>
      </c>
      <c r="S177" s="82">
        <v>0.89</v>
      </c>
      <c r="T177" s="100"/>
    </row>
    <row r="178" spans="1:20" x14ac:dyDescent="0.3">
      <c r="A178" s="57">
        <v>50</v>
      </c>
      <c r="B178" s="57">
        <v>60</v>
      </c>
      <c r="C178" s="95">
        <v>248398</v>
      </c>
      <c r="D178" s="95">
        <v>1368477325</v>
      </c>
      <c r="E178" s="58">
        <v>1.0286732129019519E-2</v>
      </c>
      <c r="F178" s="92">
        <v>55.092123326274766</v>
      </c>
      <c r="G178" s="99">
        <v>2.1</v>
      </c>
      <c r="H178" s="111" t="str">
        <f t="shared" si="2"/>
        <v>(50, 60]</v>
      </c>
      <c r="I178" s="61">
        <v>1.9872153000000001</v>
      </c>
      <c r="J178" s="58">
        <v>2.0441951473789164E-2</v>
      </c>
      <c r="K178" s="58">
        <v>2.5649200450986884E-2</v>
      </c>
      <c r="L178" s="115">
        <v>25649200</v>
      </c>
      <c r="M178" s="58">
        <v>2.5649200153895203E-2</v>
      </c>
      <c r="N178" s="58">
        <v>1.4130688980987003</v>
      </c>
      <c r="O178" s="117">
        <v>1.7884937700000001</v>
      </c>
      <c r="P178" s="58">
        <v>2.5649200153895203E-2</v>
      </c>
      <c r="Q178" s="58">
        <v>2.2800440501609689E-2</v>
      </c>
      <c r="R178" s="58">
        <v>2.4096385542168676E-2</v>
      </c>
      <c r="S178" s="82">
        <v>0.89</v>
      </c>
      <c r="T178" s="100"/>
    </row>
    <row r="179" spans="1:20" x14ac:dyDescent="0.3">
      <c r="A179" s="57">
        <v>60</v>
      </c>
      <c r="B179" s="57">
        <v>70</v>
      </c>
      <c r="C179" s="95">
        <v>261654</v>
      </c>
      <c r="D179" s="95">
        <v>1702582965</v>
      </c>
      <c r="E179" s="58">
        <v>1.083569355826727E-2</v>
      </c>
      <c r="F179" s="92">
        <v>65.070014790524894</v>
      </c>
      <c r="G179" s="89">
        <v>5.87</v>
      </c>
      <c r="H179" s="60" t="str">
        <f t="shared" si="2"/>
        <v>(60, 70]</v>
      </c>
      <c r="I179" s="61">
        <v>5.5547399100000003</v>
      </c>
      <c r="J179" s="58">
        <v>6.0189459460637119E-2</v>
      </c>
      <c r="K179" s="58">
        <v>7.5521728574784938E-2</v>
      </c>
      <c r="L179" s="115">
        <v>75521728</v>
      </c>
      <c r="M179" s="58">
        <v>7.5521728453130377E-2</v>
      </c>
      <c r="N179" s="58">
        <v>4.9141999874511981</v>
      </c>
      <c r="O179" s="117">
        <v>4.9992659190000008</v>
      </c>
      <c r="P179" s="58">
        <v>7.5521728453130377E-2</v>
      </c>
      <c r="Q179" s="58">
        <v>6.7250440479509691E-2</v>
      </c>
      <c r="R179" s="58">
        <v>6.0240963855421686E-2</v>
      </c>
      <c r="S179" s="82">
        <v>0.89</v>
      </c>
      <c r="T179" s="100"/>
    </row>
    <row r="180" spans="1:20" x14ac:dyDescent="0.3">
      <c r="A180" s="57">
        <v>70</v>
      </c>
      <c r="B180" s="57">
        <v>80</v>
      </c>
      <c r="C180" s="95">
        <v>273910</v>
      </c>
      <c r="D180" s="95">
        <v>2056100670</v>
      </c>
      <c r="E180" s="58">
        <v>1.1343242688989993E-2</v>
      </c>
      <c r="F180" s="92">
        <v>75.064826767916472</v>
      </c>
      <c r="G180" s="89">
        <v>5.04</v>
      </c>
      <c r="H180" s="60" t="str">
        <f t="shared" si="2"/>
        <v>(70, 80]</v>
      </c>
      <c r="I180" s="61">
        <v>4.76931672</v>
      </c>
      <c r="J180" s="58">
        <v>5.4099517015617736E-2</v>
      </c>
      <c r="K180" s="58">
        <v>6.78804740347006E-2</v>
      </c>
      <c r="L180" s="115">
        <v>67880474</v>
      </c>
      <c r="M180" s="58">
        <v>6.7880474407282843E-2</v>
      </c>
      <c r="N180" s="58">
        <v>5.095436052306674</v>
      </c>
      <c r="O180" s="117">
        <v>4.2923850479999999</v>
      </c>
      <c r="P180" s="58">
        <v>6.7880474407282843E-2</v>
      </c>
      <c r="Q180" s="58">
        <v>6.064221133412865E-2</v>
      </c>
      <c r="R180" s="58">
        <v>4.8192771084337352E-2</v>
      </c>
      <c r="S180" s="82">
        <v>0.89</v>
      </c>
      <c r="T180" s="100"/>
    </row>
    <row r="181" spans="1:20" x14ac:dyDescent="0.3">
      <c r="A181" s="57">
        <v>80</v>
      </c>
      <c r="B181" s="57">
        <v>90</v>
      </c>
      <c r="C181" s="95">
        <v>285620</v>
      </c>
      <c r="D181" s="95">
        <v>2429667510</v>
      </c>
      <c r="E181" s="58">
        <v>1.1828180704718054E-2</v>
      </c>
      <c r="F181" s="92">
        <v>85.066434773475251</v>
      </c>
      <c r="G181" s="89">
        <v>2.46</v>
      </c>
      <c r="H181" s="60" t="str">
        <f t="shared" si="2"/>
        <v>(80, 90]</v>
      </c>
      <c r="I181" s="61">
        <v>2.3278807800000001</v>
      </c>
      <c r="J181" s="58">
        <v>2.7534594524880013E-2</v>
      </c>
      <c r="K181" s="58">
        <v>3.4548576989376016E-2</v>
      </c>
      <c r="L181" s="115">
        <v>34548576</v>
      </c>
      <c r="M181" s="58">
        <v>3.4548576207291459E-2</v>
      </c>
      <c r="N181" s="58">
        <v>2.9389242044539978</v>
      </c>
      <c r="O181" s="117">
        <v>2.0950927020000001</v>
      </c>
      <c r="P181" s="58">
        <v>3.4548576207291459E-2</v>
      </c>
      <c r="Q181" s="58">
        <v>3.0830899678279792E-2</v>
      </c>
      <c r="R181" s="58">
        <v>2.4096385542168676E-2</v>
      </c>
      <c r="S181" s="82">
        <v>0.89</v>
      </c>
      <c r="T181" s="100"/>
    </row>
    <row r="182" spans="1:20" x14ac:dyDescent="0.3">
      <c r="A182" s="57">
        <v>90</v>
      </c>
      <c r="B182" s="57">
        <v>100</v>
      </c>
      <c r="C182" s="95">
        <v>296380</v>
      </c>
      <c r="D182" s="95">
        <v>2817167755</v>
      </c>
      <c r="E182" s="58">
        <v>1.2273777036847337E-2</v>
      </c>
      <c r="F182" s="92">
        <v>95.052559383224235</v>
      </c>
      <c r="G182" s="89">
        <v>2.09</v>
      </c>
      <c r="H182" s="60" t="str">
        <f t="shared" si="2"/>
        <v>(90, 100]</v>
      </c>
      <c r="I182" s="113">
        <v>1.9777523699999999</v>
      </c>
      <c r="J182" s="114">
        <v>2.4274491623476398E-2</v>
      </c>
      <c r="K182" s="114">
        <v>3.0458016804055042E-2</v>
      </c>
      <c r="L182" s="115">
        <v>30458016</v>
      </c>
      <c r="M182" s="114">
        <v>3.0458016182748095E-2</v>
      </c>
      <c r="N182" s="114">
        <v>2.8951123919058679</v>
      </c>
      <c r="O182" s="117">
        <v>1.779977133</v>
      </c>
      <c r="P182" s="58">
        <v>3.0458016182748095E-2</v>
      </c>
      <c r="Q182" s="58">
        <v>2.7035605594783324E-2</v>
      </c>
      <c r="R182" s="58">
        <v>1.2048192771084338E-2</v>
      </c>
      <c r="S182" s="82">
        <v>0.89</v>
      </c>
      <c r="T182" s="100"/>
    </row>
    <row r="183" spans="1:20" x14ac:dyDescent="0.3">
      <c r="A183" s="57">
        <v>100</v>
      </c>
      <c r="B183" s="57">
        <v>120</v>
      </c>
      <c r="C183" s="95">
        <v>612719</v>
      </c>
      <c r="D183" s="95">
        <v>6746440160</v>
      </c>
      <c r="E183" s="58">
        <v>2.5374102139955678E-2</v>
      </c>
      <c r="F183" s="92">
        <v>110.10659307121209</v>
      </c>
      <c r="G183" s="89">
        <v>0</v>
      </c>
      <c r="H183" s="60" t="str">
        <f t="shared" si="2"/>
        <v>(100, 120]</v>
      </c>
      <c r="I183" s="113">
        <v>0</v>
      </c>
      <c r="J183" s="114">
        <v>0</v>
      </c>
      <c r="K183" s="114">
        <v>0</v>
      </c>
      <c r="L183" s="115">
        <v>0</v>
      </c>
      <c r="M183" s="114">
        <v>0</v>
      </c>
      <c r="N183" s="114">
        <v>0</v>
      </c>
      <c r="O183" s="117">
        <v>0</v>
      </c>
      <c r="P183" s="58">
        <v>0</v>
      </c>
      <c r="Q183" s="58">
        <v>4.2740282940286221E-2</v>
      </c>
      <c r="R183" s="58">
        <v>6.0240963855421686E-2</v>
      </c>
      <c r="S183" s="82">
        <v>0</v>
      </c>
      <c r="T183" s="100"/>
    </row>
    <row r="184" spans="1:20" x14ac:dyDescent="0.3">
      <c r="A184" s="57">
        <v>120</v>
      </c>
      <c r="B184" s="57">
        <v>140</v>
      </c>
      <c r="C184" s="95">
        <v>633364</v>
      </c>
      <c r="D184" s="95">
        <v>8238321740</v>
      </c>
      <c r="E184" s="58">
        <v>2.6229059043004849E-2</v>
      </c>
      <c r="F184" s="92">
        <v>130.072466070064</v>
      </c>
      <c r="G184" s="89">
        <v>0</v>
      </c>
      <c r="H184" s="60" t="str">
        <f t="shared" si="2"/>
        <v>(120, 140]</v>
      </c>
      <c r="I184" s="113">
        <v>0</v>
      </c>
      <c r="J184" s="114">
        <v>0</v>
      </c>
      <c r="K184" s="114">
        <v>0</v>
      </c>
      <c r="L184" s="115">
        <v>0</v>
      </c>
      <c r="M184" s="114">
        <v>0</v>
      </c>
      <c r="N184" s="114">
        <v>0</v>
      </c>
      <c r="O184" s="117">
        <v>0</v>
      </c>
      <c r="P184" s="58">
        <v>0</v>
      </c>
      <c r="Q184" s="58">
        <v>1.8780093413162054E-2</v>
      </c>
      <c r="R184" s="58">
        <v>7.2289156626506021E-2</v>
      </c>
      <c r="S184" s="82">
        <v>0</v>
      </c>
      <c r="T184" s="100"/>
    </row>
    <row r="185" spans="1:20" x14ac:dyDescent="0.3">
      <c r="A185" s="57">
        <v>140</v>
      </c>
      <c r="B185" s="57">
        <v>160</v>
      </c>
      <c r="C185" s="95">
        <v>643129</v>
      </c>
      <c r="D185" s="95">
        <v>9649982660</v>
      </c>
      <c r="E185" s="58">
        <v>2.6633450138101734E-2</v>
      </c>
      <c r="F185" s="92">
        <v>150.04738800458384</v>
      </c>
      <c r="G185" s="89">
        <v>0</v>
      </c>
      <c r="H185" s="60" t="str">
        <f t="shared" si="2"/>
        <v>(140, 160]</v>
      </c>
      <c r="I185" s="113">
        <v>0</v>
      </c>
      <c r="J185" s="114">
        <v>0</v>
      </c>
      <c r="K185" s="114">
        <v>0</v>
      </c>
      <c r="L185" s="115">
        <v>0</v>
      </c>
      <c r="M185" s="114">
        <v>0</v>
      </c>
      <c r="N185" s="114">
        <v>0</v>
      </c>
      <c r="O185" s="117">
        <v>0</v>
      </c>
      <c r="P185" s="58">
        <v>0</v>
      </c>
      <c r="Q185" s="58">
        <v>2.8816647633966248E-2</v>
      </c>
      <c r="R185" s="58">
        <v>2.4096385542168676E-2</v>
      </c>
      <c r="S185" s="82">
        <v>0</v>
      </c>
      <c r="T185" s="100"/>
    </row>
    <row r="186" spans="1:20" x14ac:dyDescent="0.3">
      <c r="A186" s="57">
        <v>160</v>
      </c>
      <c r="B186" s="57">
        <v>180</v>
      </c>
      <c r="C186" s="95">
        <v>644570</v>
      </c>
      <c r="D186" s="95">
        <v>10960526935</v>
      </c>
      <c r="E186" s="58">
        <v>2.6693125260276295E-2</v>
      </c>
      <c r="F186" s="92">
        <v>170.04401283025894</v>
      </c>
      <c r="G186" s="89">
        <v>0</v>
      </c>
      <c r="H186" s="60" t="str">
        <f t="shared" si="2"/>
        <v>(160, 180]</v>
      </c>
      <c r="I186" s="113">
        <v>0</v>
      </c>
      <c r="J186" s="114">
        <v>0</v>
      </c>
      <c r="K186" s="114">
        <v>0</v>
      </c>
      <c r="L186" s="115">
        <v>0</v>
      </c>
      <c r="M186" s="114">
        <v>0</v>
      </c>
      <c r="N186" s="114">
        <v>0</v>
      </c>
      <c r="O186" s="117">
        <v>0</v>
      </c>
      <c r="P186" s="58">
        <v>0</v>
      </c>
      <c r="Q186" s="58">
        <v>8.5080991871781825E-3</v>
      </c>
      <c r="R186" s="58">
        <v>3.614457831325301E-2</v>
      </c>
      <c r="S186" s="82">
        <v>0</v>
      </c>
      <c r="T186" s="100"/>
    </row>
    <row r="187" spans="1:20" x14ac:dyDescent="0.3">
      <c r="A187" s="57">
        <v>180</v>
      </c>
      <c r="B187" s="57">
        <v>200</v>
      </c>
      <c r="C187" s="95">
        <v>641033</v>
      </c>
      <c r="D187" s="95">
        <v>12180263350</v>
      </c>
      <c r="E187" s="58">
        <v>2.6546649960393277E-2</v>
      </c>
      <c r="F187" s="92">
        <v>190.00992694603866</v>
      </c>
      <c r="G187" s="89">
        <v>0</v>
      </c>
      <c r="H187" s="60" t="str">
        <f t="shared" si="2"/>
        <v>(180, 200]</v>
      </c>
      <c r="I187" s="113">
        <v>0</v>
      </c>
      <c r="J187" s="114">
        <v>0</v>
      </c>
      <c r="K187" s="114">
        <v>0</v>
      </c>
      <c r="L187" s="115">
        <v>0</v>
      </c>
      <c r="M187" s="114">
        <v>0</v>
      </c>
      <c r="N187" s="114">
        <v>0</v>
      </c>
      <c r="O187" s="117">
        <v>0</v>
      </c>
      <c r="P187" s="58">
        <v>0</v>
      </c>
      <c r="Q187" s="58">
        <v>7.4870671647154774E-3</v>
      </c>
      <c r="R187" s="58">
        <v>0</v>
      </c>
      <c r="S187" s="82">
        <v>0</v>
      </c>
      <c r="T187" s="100"/>
    </row>
    <row r="188" spans="1:20" x14ac:dyDescent="0.3">
      <c r="A188" s="57">
        <v>200</v>
      </c>
      <c r="B188" s="57">
        <v>250</v>
      </c>
      <c r="C188" s="95">
        <v>1556064</v>
      </c>
      <c r="D188" s="95">
        <v>34983324070</v>
      </c>
      <c r="E188" s="58">
        <v>6.4440186892046752E-2</v>
      </c>
      <c r="F188" s="92">
        <v>224.81931379429122</v>
      </c>
      <c r="G188" s="89">
        <v>0</v>
      </c>
      <c r="H188" s="60" t="str">
        <f t="shared" si="2"/>
        <v>(200, 250]</v>
      </c>
      <c r="I188" s="113">
        <v>0</v>
      </c>
      <c r="J188" s="114">
        <v>0</v>
      </c>
      <c r="K188" s="114">
        <v>0</v>
      </c>
      <c r="L188" s="115">
        <v>0</v>
      </c>
      <c r="M188" s="114">
        <v>0</v>
      </c>
      <c r="N188" s="114">
        <v>0</v>
      </c>
      <c r="O188" s="117">
        <v>0</v>
      </c>
      <c r="P188" s="58">
        <v>0</v>
      </c>
      <c r="Q188" s="58">
        <v>2.0060522441331493E-2</v>
      </c>
      <c r="R188" s="58">
        <v>6.0240963855421686E-2</v>
      </c>
      <c r="S188" s="82">
        <v>0</v>
      </c>
      <c r="T188" s="100"/>
    </row>
    <row r="189" spans="1:20" x14ac:dyDescent="0.3">
      <c r="A189" s="57">
        <v>250</v>
      </c>
      <c r="B189" s="57">
        <v>300</v>
      </c>
      <c r="C189" s="95">
        <v>1460323</v>
      </c>
      <c r="D189" s="95">
        <v>40115598185</v>
      </c>
      <c r="E189" s="58">
        <v>6.0475332018962193E-2</v>
      </c>
      <c r="F189" s="92">
        <v>274.70359766298282</v>
      </c>
      <c r="G189" s="89">
        <v>0</v>
      </c>
      <c r="H189" s="60" t="str">
        <f t="shared" si="2"/>
        <v>(250, 300]</v>
      </c>
      <c r="I189" s="113">
        <v>0</v>
      </c>
      <c r="J189" s="114">
        <v>0</v>
      </c>
      <c r="K189" s="114">
        <v>0</v>
      </c>
      <c r="L189" s="115">
        <v>0</v>
      </c>
      <c r="M189" s="114">
        <v>0</v>
      </c>
      <c r="N189" s="114">
        <v>0</v>
      </c>
      <c r="O189" s="117">
        <v>0</v>
      </c>
      <c r="P189" s="58">
        <v>0</v>
      </c>
      <c r="Q189" s="58">
        <v>5.6530021243660468E-3</v>
      </c>
      <c r="R189" s="58">
        <v>2.4096385542168676E-2</v>
      </c>
      <c r="S189" s="82">
        <v>0</v>
      </c>
      <c r="T189" s="100"/>
    </row>
    <row r="190" spans="1:20" x14ac:dyDescent="0.3">
      <c r="A190" s="57">
        <v>300</v>
      </c>
      <c r="B190" s="57">
        <v>350</v>
      </c>
      <c r="C190" s="95">
        <v>1345047</v>
      </c>
      <c r="D190" s="95">
        <v>43668582745</v>
      </c>
      <c r="E190" s="58">
        <v>5.5701487894191243E-2</v>
      </c>
      <c r="F190" s="92">
        <v>324.66213258718841</v>
      </c>
      <c r="G190" s="89">
        <v>0</v>
      </c>
      <c r="H190" s="60" t="str">
        <f t="shared" si="2"/>
        <v>(300, 350]</v>
      </c>
      <c r="I190" s="113">
        <v>0</v>
      </c>
      <c r="J190" s="114">
        <v>0</v>
      </c>
      <c r="K190" s="114">
        <v>0</v>
      </c>
      <c r="L190" s="115">
        <v>0</v>
      </c>
      <c r="M190" s="114">
        <v>0</v>
      </c>
      <c r="N190" s="114">
        <v>0</v>
      </c>
      <c r="O190" s="117">
        <v>0</v>
      </c>
      <c r="P190" s="58">
        <v>0</v>
      </c>
      <c r="Q190" s="58">
        <v>4.8534741067764306E-3</v>
      </c>
      <c r="R190" s="58">
        <v>1.2048192771084338E-2</v>
      </c>
      <c r="S190" s="82">
        <v>0</v>
      </c>
      <c r="T190" s="100"/>
    </row>
    <row r="191" spans="1:20" x14ac:dyDescent="0.3">
      <c r="A191" s="57">
        <v>350</v>
      </c>
      <c r="B191" s="57">
        <v>400</v>
      </c>
      <c r="C191" s="95">
        <v>1223091</v>
      </c>
      <c r="D191" s="95">
        <v>45819986335</v>
      </c>
      <c r="E191" s="58">
        <v>5.0651009615273121E-2</v>
      </c>
      <c r="F191" s="92">
        <v>374.62450737516673</v>
      </c>
      <c r="G191" s="89">
        <v>0</v>
      </c>
      <c r="H191" s="60" t="str">
        <f t="shared" si="2"/>
        <v>(350, 400]</v>
      </c>
      <c r="I191" s="113">
        <v>0</v>
      </c>
      <c r="J191" s="114">
        <v>0</v>
      </c>
      <c r="K191" s="114">
        <v>0</v>
      </c>
      <c r="L191" s="115">
        <v>0</v>
      </c>
      <c r="M191" s="114">
        <v>0</v>
      </c>
      <c r="N191" s="114">
        <v>0</v>
      </c>
      <c r="O191" s="117">
        <v>0</v>
      </c>
      <c r="P191" s="58">
        <v>0</v>
      </c>
      <c r="Q191" s="58">
        <v>6.8415601505143232E-4</v>
      </c>
      <c r="R191" s="58">
        <v>0</v>
      </c>
      <c r="S191" s="82">
        <v>0</v>
      </c>
      <c r="T191" s="100"/>
    </row>
    <row r="192" spans="1:20" x14ac:dyDescent="0.3">
      <c r="A192" s="57">
        <v>400</v>
      </c>
      <c r="B192" s="57">
        <v>450</v>
      </c>
      <c r="C192" s="95">
        <v>1106419</v>
      </c>
      <c r="D192" s="95">
        <v>46980023535</v>
      </c>
      <c r="E192" s="58">
        <v>4.5819353921761237E-2</v>
      </c>
      <c r="F192" s="92">
        <v>424.61331136757411</v>
      </c>
      <c r="G192" s="89">
        <v>0</v>
      </c>
      <c r="H192" s="60" t="str">
        <f t="shared" si="2"/>
        <v>(400, 450]</v>
      </c>
      <c r="I192" s="113">
        <v>0</v>
      </c>
      <c r="J192" s="114">
        <v>0</v>
      </c>
      <c r="K192" s="114">
        <v>0</v>
      </c>
      <c r="L192" s="115">
        <v>0</v>
      </c>
      <c r="M192" s="114">
        <v>0</v>
      </c>
      <c r="N192" s="114">
        <v>0</v>
      </c>
      <c r="O192" s="117">
        <v>0</v>
      </c>
      <c r="P192" s="58">
        <v>0</v>
      </c>
      <c r="Q192" s="58">
        <v>6.1849301360684635E-4</v>
      </c>
      <c r="R192" s="58">
        <v>0</v>
      </c>
      <c r="S192" s="82">
        <v>0</v>
      </c>
      <c r="T192" s="100"/>
    </row>
    <row r="193" spans="1:20" x14ac:dyDescent="0.3">
      <c r="A193" s="57">
        <v>450</v>
      </c>
      <c r="B193" s="57">
        <v>500</v>
      </c>
      <c r="C193" s="95">
        <v>996980</v>
      </c>
      <c r="D193" s="95">
        <v>47314046680</v>
      </c>
      <c r="E193" s="58">
        <v>4.1287233383480865E-2</v>
      </c>
      <c r="F193" s="92">
        <v>474.57367931152083</v>
      </c>
      <c r="G193" s="89">
        <v>0</v>
      </c>
      <c r="H193" s="60" t="str">
        <f t="shared" si="2"/>
        <v>(450, 500]</v>
      </c>
      <c r="I193" s="113">
        <v>0</v>
      </c>
      <c r="J193" s="114">
        <v>0</v>
      </c>
      <c r="K193" s="114">
        <v>0</v>
      </c>
      <c r="L193" s="115">
        <v>0</v>
      </c>
      <c r="M193" s="114">
        <v>0</v>
      </c>
      <c r="N193" s="114">
        <v>0</v>
      </c>
      <c r="O193" s="117">
        <v>0</v>
      </c>
      <c r="P193" s="58">
        <v>0</v>
      </c>
      <c r="Q193" s="58">
        <v>5.5034501210759026E-4</v>
      </c>
      <c r="R193" s="58">
        <v>0</v>
      </c>
      <c r="S193" s="82">
        <v>0</v>
      </c>
      <c r="T193" s="100"/>
    </row>
    <row r="194" spans="1:20" x14ac:dyDescent="0.3">
      <c r="A194" s="57">
        <v>500</v>
      </c>
      <c r="B194" s="57">
        <v>550</v>
      </c>
      <c r="C194" s="95">
        <v>896642</v>
      </c>
      <c r="D194" s="95">
        <v>47038051115</v>
      </c>
      <c r="E194" s="58">
        <v>3.7132006174076762E-2</v>
      </c>
      <c r="F194" s="92">
        <v>524.60236209100174</v>
      </c>
      <c r="G194" s="89">
        <v>0</v>
      </c>
      <c r="H194" s="60" t="str">
        <f t="shared" si="2"/>
        <v>(500, 550]</v>
      </c>
      <c r="I194" s="113">
        <v>0</v>
      </c>
      <c r="J194" s="114">
        <v>0</v>
      </c>
      <c r="K194" s="114">
        <v>0</v>
      </c>
      <c r="L194" s="115">
        <v>0</v>
      </c>
      <c r="M194" s="114">
        <v>0</v>
      </c>
      <c r="N194" s="114">
        <v>0</v>
      </c>
      <c r="O194" s="117">
        <v>0</v>
      </c>
      <c r="P194" s="58">
        <v>0</v>
      </c>
      <c r="Q194" s="58">
        <v>4.9546201090016424E-4</v>
      </c>
      <c r="R194" s="58">
        <v>0</v>
      </c>
      <c r="S194" s="82">
        <v>0</v>
      </c>
      <c r="T194" s="100"/>
    </row>
    <row r="195" spans="1:20" x14ac:dyDescent="0.3">
      <c r="A195" s="57">
        <v>550</v>
      </c>
      <c r="B195" s="57">
        <v>600</v>
      </c>
      <c r="C195" s="95">
        <v>807098</v>
      </c>
      <c r="D195" s="95">
        <v>46373718070</v>
      </c>
      <c r="E195" s="58">
        <v>3.3423783314951792E-2</v>
      </c>
      <c r="F195" s="92">
        <v>574.57357185868386</v>
      </c>
      <c r="G195" s="89">
        <v>0</v>
      </c>
      <c r="H195" s="60" t="str">
        <f t="shared" si="2"/>
        <v>(550, 600]</v>
      </c>
      <c r="I195" s="61">
        <v>0</v>
      </c>
      <c r="J195" s="58">
        <v>0</v>
      </c>
      <c r="K195" s="58">
        <v>0</v>
      </c>
      <c r="L195" s="115">
        <v>0</v>
      </c>
      <c r="M195" s="58">
        <v>0</v>
      </c>
      <c r="N195" s="58">
        <v>0</v>
      </c>
      <c r="O195" s="117">
        <v>0</v>
      </c>
      <c r="P195" s="58">
        <v>0</v>
      </c>
      <c r="Q195" s="58">
        <v>4.4155900971429822E-4</v>
      </c>
      <c r="R195" s="58">
        <v>0</v>
      </c>
      <c r="S195" s="82">
        <v>0</v>
      </c>
      <c r="T195" s="100"/>
    </row>
    <row r="196" spans="1:20" x14ac:dyDescent="0.3">
      <c r="A196" s="57">
        <v>600</v>
      </c>
      <c r="B196" s="57">
        <v>650</v>
      </c>
      <c r="C196" s="95">
        <v>723216</v>
      </c>
      <c r="D196" s="95">
        <v>45170604860</v>
      </c>
      <c r="E196" s="58">
        <v>2.9950036890075526E-2</v>
      </c>
      <c r="F196" s="92">
        <v>624.57972251720093</v>
      </c>
      <c r="G196" s="89">
        <v>0</v>
      </c>
      <c r="H196" s="60" t="str">
        <f t="shared" si="2"/>
        <v>(600, 650]</v>
      </c>
      <c r="I196" s="61">
        <v>0</v>
      </c>
      <c r="J196" s="58">
        <v>0</v>
      </c>
      <c r="K196" s="58">
        <v>0</v>
      </c>
      <c r="L196" s="115">
        <v>0</v>
      </c>
      <c r="M196" s="58">
        <v>0</v>
      </c>
      <c r="N196" s="58">
        <v>0</v>
      </c>
      <c r="O196" s="117">
        <v>0</v>
      </c>
      <c r="P196" s="58">
        <v>0</v>
      </c>
      <c r="Q196" s="58">
        <v>3.923070086307542E-4</v>
      </c>
      <c r="R196" s="58">
        <v>0</v>
      </c>
      <c r="S196" s="82">
        <v>0</v>
      </c>
      <c r="T196" s="100"/>
    </row>
    <row r="197" spans="1:20" x14ac:dyDescent="0.3">
      <c r="A197" s="57">
        <v>650</v>
      </c>
      <c r="B197" s="57">
        <v>700</v>
      </c>
      <c r="C197" s="95">
        <v>648546</v>
      </c>
      <c r="D197" s="95">
        <v>43749854055</v>
      </c>
      <c r="E197" s="58">
        <v>2.6857780559211803E-2</v>
      </c>
      <c r="F197" s="92">
        <v>674.58366954695578</v>
      </c>
      <c r="G197" s="89">
        <v>0</v>
      </c>
      <c r="H197" s="60" t="str">
        <f t="shared" si="2"/>
        <v>(650, 700]</v>
      </c>
      <c r="I197" s="61">
        <v>0</v>
      </c>
      <c r="J197" s="58">
        <v>0</v>
      </c>
      <c r="K197" s="58">
        <v>0</v>
      </c>
      <c r="L197" s="115">
        <v>0</v>
      </c>
      <c r="M197" s="58">
        <v>0</v>
      </c>
      <c r="N197" s="58">
        <v>0</v>
      </c>
      <c r="O197" s="117">
        <v>0</v>
      </c>
      <c r="P197" s="58">
        <v>0</v>
      </c>
      <c r="Q197" s="58">
        <v>3.4953800768983617E-4</v>
      </c>
      <c r="R197" s="58">
        <v>0</v>
      </c>
      <c r="S197" s="82">
        <v>0</v>
      </c>
      <c r="T197" s="100"/>
    </row>
    <row r="198" spans="1:20" x14ac:dyDescent="0.3">
      <c r="A198" s="57">
        <v>700</v>
      </c>
      <c r="B198" s="57">
        <v>750</v>
      </c>
      <c r="C198" s="95">
        <v>583114</v>
      </c>
      <c r="D198" s="95">
        <v>42251751485</v>
      </c>
      <c r="E198" s="58">
        <v>2.4148091042122271E-2</v>
      </c>
      <c r="F198" s="92">
        <v>724.5881849003797</v>
      </c>
      <c r="G198" s="89">
        <v>0</v>
      </c>
      <c r="H198" s="60" t="str">
        <f t="shared" si="2"/>
        <v>(700, 750]</v>
      </c>
      <c r="I198" s="61">
        <v>0</v>
      </c>
      <c r="J198" s="58">
        <v>0</v>
      </c>
      <c r="K198" s="58">
        <v>0</v>
      </c>
      <c r="L198" s="115">
        <v>0</v>
      </c>
      <c r="M198" s="58">
        <v>0</v>
      </c>
      <c r="N198" s="58">
        <v>0</v>
      </c>
      <c r="O198" s="117">
        <v>0</v>
      </c>
      <c r="P198" s="58">
        <v>0</v>
      </c>
      <c r="Q198" s="58">
        <v>3.0851800678739614E-4</v>
      </c>
      <c r="R198" s="58">
        <v>0</v>
      </c>
      <c r="S198" s="82">
        <v>0</v>
      </c>
      <c r="T198" s="100"/>
    </row>
    <row r="199" spans="1:20" x14ac:dyDescent="0.3">
      <c r="A199" s="57">
        <v>750</v>
      </c>
      <c r="B199" s="57">
        <v>800</v>
      </c>
      <c r="C199" s="95">
        <v>525829</v>
      </c>
      <c r="D199" s="95">
        <v>40728251095</v>
      </c>
      <c r="E199" s="58">
        <v>2.1775787521116131E-2</v>
      </c>
      <c r="F199" s="92">
        <v>774.55315501807627</v>
      </c>
      <c r="G199" s="89">
        <v>0</v>
      </c>
      <c r="H199" s="60" t="str">
        <f t="shared" si="2"/>
        <v>(750, 800]</v>
      </c>
      <c r="I199" s="61">
        <v>0</v>
      </c>
      <c r="J199" s="58">
        <v>0</v>
      </c>
      <c r="K199" s="58">
        <v>0</v>
      </c>
      <c r="L199" s="115">
        <v>0</v>
      </c>
      <c r="M199" s="58">
        <v>0</v>
      </c>
      <c r="N199" s="58">
        <v>0</v>
      </c>
      <c r="O199" s="117">
        <v>0</v>
      </c>
      <c r="P199" s="58">
        <v>0</v>
      </c>
      <c r="Q199" s="58">
        <v>2.7821700612077412E-4</v>
      </c>
      <c r="R199" s="58">
        <v>0</v>
      </c>
      <c r="S199" s="82">
        <v>0</v>
      </c>
      <c r="T199" s="100"/>
    </row>
    <row r="200" spans="1:20" x14ac:dyDescent="0.3">
      <c r="A200" s="57">
        <v>800</v>
      </c>
      <c r="B200" s="57">
        <v>850</v>
      </c>
      <c r="C200" s="95">
        <v>471502</v>
      </c>
      <c r="D200" s="95">
        <v>38879598250</v>
      </c>
      <c r="E200" s="58">
        <v>1.952598157914702E-2</v>
      </c>
      <c r="F200" s="92">
        <v>824.59031456918524</v>
      </c>
      <c r="G200" s="89">
        <v>0</v>
      </c>
      <c r="H200" s="60" t="str">
        <f t="shared" si="2"/>
        <v>(800, 850]</v>
      </c>
      <c r="I200" s="61">
        <v>0</v>
      </c>
      <c r="J200" s="58">
        <v>0</v>
      </c>
      <c r="K200" s="58">
        <v>0</v>
      </c>
      <c r="L200" s="115">
        <v>0</v>
      </c>
      <c r="M200" s="58">
        <v>0</v>
      </c>
      <c r="N200" s="58">
        <v>0</v>
      </c>
      <c r="O200" s="117">
        <v>0</v>
      </c>
      <c r="P200" s="58">
        <v>0</v>
      </c>
      <c r="Q200" s="58">
        <v>2.487020054714441E-4</v>
      </c>
      <c r="R200" s="58">
        <v>0</v>
      </c>
      <c r="S200" s="82">
        <v>0</v>
      </c>
      <c r="T200" s="100"/>
    </row>
    <row r="201" spans="1:20" x14ac:dyDescent="0.3">
      <c r="A201" s="57">
        <v>850</v>
      </c>
      <c r="B201" s="57">
        <v>900</v>
      </c>
      <c r="C201" s="95">
        <v>426170</v>
      </c>
      <c r="D201" s="95">
        <v>37274816480</v>
      </c>
      <c r="E201" s="58">
        <v>1.7648679262410521E-2</v>
      </c>
      <c r="F201" s="92">
        <v>874.64665462139533</v>
      </c>
      <c r="G201" s="89">
        <v>0</v>
      </c>
      <c r="H201" s="60" t="str">
        <f t="shared" si="2"/>
        <v>(850, 900]</v>
      </c>
      <c r="I201" s="61">
        <v>0</v>
      </c>
      <c r="J201" s="58">
        <v>0</v>
      </c>
      <c r="K201" s="58">
        <v>0</v>
      </c>
      <c r="L201" s="83">
        <v>0</v>
      </c>
      <c r="M201" s="58">
        <v>0</v>
      </c>
      <c r="N201" s="58">
        <v>0</v>
      </c>
      <c r="O201" s="117">
        <v>0</v>
      </c>
      <c r="P201" s="58">
        <v>0</v>
      </c>
      <c r="Q201" s="58">
        <v>2.218730048812061E-4</v>
      </c>
      <c r="R201" s="58">
        <v>0</v>
      </c>
      <c r="S201" s="82">
        <v>0</v>
      </c>
      <c r="T201" s="100"/>
    </row>
    <row r="202" spans="1:20" x14ac:dyDescent="0.3">
      <c r="A202" s="57">
        <v>900</v>
      </c>
      <c r="B202" s="57">
        <v>950</v>
      </c>
      <c r="C202" s="95">
        <v>384375</v>
      </c>
      <c r="D202" s="95">
        <v>35539167145</v>
      </c>
      <c r="E202" s="58">
        <v>1.591785224555704E-2</v>
      </c>
      <c r="F202" s="92">
        <v>924.59621840650402</v>
      </c>
      <c r="G202" s="89">
        <v>0</v>
      </c>
      <c r="H202" s="60" t="str">
        <f t="shared" si="2"/>
        <v>(900, 950]</v>
      </c>
      <c r="I202" s="61">
        <v>0</v>
      </c>
      <c r="J202" s="58">
        <v>0</v>
      </c>
      <c r="K202" s="58">
        <v>0</v>
      </c>
      <c r="L202" s="83">
        <v>0</v>
      </c>
      <c r="M202" s="58">
        <v>0</v>
      </c>
      <c r="N202" s="58">
        <v>0</v>
      </c>
      <c r="O202" s="117">
        <v>0</v>
      </c>
      <c r="P202" s="58">
        <v>0</v>
      </c>
      <c r="Q202" s="58">
        <v>1.9943400438754809E-4</v>
      </c>
      <c r="R202" s="58">
        <v>0</v>
      </c>
      <c r="S202" s="82">
        <v>0</v>
      </c>
      <c r="T202" s="100"/>
    </row>
    <row r="203" spans="1:20" x14ac:dyDescent="0.3">
      <c r="A203" s="57">
        <v>950</v>
      </c>
      <c r="B203" s="57">
        <v>1000</v>
      </c>
      <c r="C203" s="95">
        <v>347942</v>
      </c>
      <c r="D203" s="95">
        <v>33909749280</v>
      </c>
      <c r="E203" s="58">
        <v>1.4409077973394751E-2</v>
      </c>
      <c r="F203" s="92">
        <v>974.58051284409476</v>
      </c>
      <c r="G203" s="89">
        <v>0</v>
      </c>
      <c r="H203" s="60" t="str">
        <f t="shared" si="2"/>
        <v>(950, 1000]</v>
      </c>
      <c r="I203" s="61">
        <v>0</v>
      </c>
      <c r="J203" s="58">
        <v>0</v>
      </c>
      <c r="K203" s="58">
        <v>0</v>
      </c>
      <c r="L203" s="83">
        <v>0</v>
      </c>
      <c r="M203" s="58">
        <v>0</v>
      </c>
      <c r="N203" s="58">
        <v>0</v>
      </c>
      <c r="O203" s="117">
        <v>0</v>
      </c>
      <c r="P203" s="58">
        <v>0</v>
      </c>
      <c r="Q203" s="58">
        <v>1.7992900395843807E-4</v>
      </c>
      <c r="R203" s="58">
        <v>0</v>
      </c>
      <c r="S203" s="82">
        <v>0</v>
      </c>
      <c r="T203" s="100"/>
    </row>
    <row r="204" spans="1:20" x14ac:dyDescent="0.3">
      <c r="A204" s="57">
        <v>1000</v>
      </c>
      <c r="B204" s="57">
        <v>2000</v>
      </c>
      <c r="C204" s="95">
        <v>3069248</v>
      </c>
      <c r="D204" s="95">
        <v>419106350530</v>
      </c>
      <c r="E204" s="58">
        <v>0.12710461442334037</v>
      </c>
      <c r="F204" s="92">
        <v>1365.5017467796672</v>
      </c>
      <c r="G204" s="89">
        <v>0</v>
      </c>
      <c r="H204" s="60" t="str">
        <f t="shared" si="2"/>
        <v>(1000, 2000]</v>
      </c>
      <c r="I204" s="61">
        <v>0</v>
      </c>
      <c r="J204" s="58">
        <v>0</v>
      </c>
      <c r="K204" s="58">
        <v>0</v>
      </c>
      <c r="L204" s="83">
        <v>0</v>
      </c>
      <c r="M204" s="58">
        <v>0</v>
      </c>
      <c r="N204" s="58">
        <v>0</v>
      </c>
      <c r="O204" s="117">
        <v>0</v>
      </c>
      <c r="P204" s="58">
        <v>0</v>
      </c>
      <c r="Q204" s="58">
        <v>1.4766200324856408E-4</v>
      </c>
      <c r="R204" s="58">
        <v>0</v>
      </c>
      <c r="S204" s="82">
        <v>0</v>
      </c>
      <c r="T204" s="100"/>
    </row>
    <row r="205" spans="1:20" x14ac:dyDescent="0.3">
      <c r="A205" s="57">
        <v>2000</v>
      </c>
      <c r="B205" s="57">
        <v>3000</v>
      </c>
      <c r="C205" s="95">
        <v>726860</v>
      </c>
      <c r="D205" s="95">
        <v>174979065400</v>
      </c>
      <c r="E205" s="58">
        <v>3.0100943305900723E-2</v>
      </c>
      <c r="F205" s="92">
        <v>2407.3283080648266</v>
      </c>
      <c r="G205" s="89">
        <v>0</v>
      </c>
      <c r="H205" s="60" t="str">
        <f t="shared" si="2"/>
        <v>(2000, 3000]</v>
      </c>
      <c r="I205" s="61">
        <v>0</v>
      </c>
      <c r="J205" s="58">
        <v>0</v>
      </c>
      <c r="K205" s="58">
        <v>0</v>
      </c>
      <c r="L205" s="83">
        <v>0</v>
      </c>
      <c r="M205" s="58">
        <v>0</v>
      </c>
      <c r="N205" s="58">
        <v>0</v>
      </c>
      <c r="O205" s="117">
        <v>0</v>
      </c>
      <c r="P205" s="58">
        <v>0</v>
      </c>
      <c r="Q205" s="58">
        <v>4.7172001037784021E-4</v>
      </c>
      <c r="R205" s="58">
        <v>0</v>
      </c>
      <c r="S205" s="82">
        <v>0</v>
      </c>
      <c r="T205" s="100"/>
    </row>
    <row r="206" spans="1:20" x14ac:dyDescent="0.3">
      <c r="A206" s="57">
        <v>3000</v>
      </c>
      <c r="B206" s="57">
        <v>4000</v>
      </c>
      <c r="C206" s="95">
        <v>274375</v>
      </c>
      <c r="D206" s="95">
        <v>94260084530</v>
      </c>
      <c r="E206" s="58">
        <v>1.1362499407804131E-2</v>
      </c>
      <c r="F206" s="92">
        <v>3435.4472721640091</v>
      </c>
      <c r="G206" s="89">
        <v>0</v>
      </c>
      <c r="H206" s="60" t="str">
        <f t="shared" si="2"/>
        <v>(3000, 4000]</v>
      </c>
      <c r="I206" s="61">
        <v>0</v>
      </c>
      <c r="J206" s="58">
        <v>0</v>
      </c>
      <c r="K206" s="58">
        <v>0</v>
      </c>
      <c r="L206" s="83">
        <v>0</v>
      </c>
      <c r="M206" s="58">
        <v>0</v>
      </c>
      <c r="N206" s="58">
        <v>0</v>
      </c>
      <c r="O206" s="117">
        <v>0</v>
      </c>
      <c r="P206" s="58">
        <v>0</v>
      </c>
      <c r="Q206" s="58">
        <v>6.3183001390026028E-5</v>
      </c>
      <c r="R206" s="58">
        <v>0</v>
      </c>
      <c r="S206" s="82">
        <v>0</v>
      </c>
    </row>
    <row r="207" spans="1:20" x14ac:dyDescent="0.3">
      <c r="A207" s="57">
        <v>4000</v>
      </c>
      <c r="B207" s="57">
        <v>5000</v>
      </c>
      <c r="C207" s="95">
        <v>139260</v>
      </c>
      <c r="D207" s="95">
        <v>62013288295</v>
      </c>
      <c r="E207" s="58">
        <v>5.7670766925951829E-3</v>
      </c>
      <c r="F207" s="92">
        <v>4453.0581857676289</v>
      </c>
      <c r="G207" s="89">
        <v>0</v>
      </c>
      <c r="H207" s="60" t="str">
        <f t="shared" si="2"/>
        <v>(4000, 5000]</v>
      </c>
      <c r="I207" s="61">
        <v>0</v>
      </c>
      <c r="J207" s="58">
        <v>0</v>
      </c>
      <c r="K207" s="58">
        <v>0</v>
      </c>
      <c r="L207" s="83">
        <v>0</v>
      </c>
      <c r="M207" s="58">
        <v>0</v>
      </c>
      <c r="N207" s="58">
        <v>0</v>
      </c>
      <c r="O207" s="117">
        <v>0</v>
      </c>
      <c r="P207" s="58">
        <v>0</v>
      </c>
      <c r="Q207" s="58">
        <v>3.2266000709852017E-5</v>
      </c>
      <c r="R207" s="58">
        <v>0</v>
      </c>
      <c r="S207" s="82">
        <v>0</v>
      </c>
    </row>
    <row r="208" spans="1:20" x14ac:dyDescent="0.3">
      <c r="A208" s="57">
        <v>5000</v>
      </c>
      <c r="B208" s="57">
        <v>6000</v>
      </c>
      <c r="C208" s="95">
        <v>87746</v>
      </c>
      <c r="D208" s="95">
        <v>47988725055</v>
      </c>
      <c r="E208" s="58">
        <v>3.6337635463769705E-3</v>
      </c>
      <c r="F208" s="92">
        <v>5469.0498774872931</v>
      </c>
      <c r="G208" s="89">
        <v>0</v>
      </c>
      <c r="H208" s="60" t="str">
        <f t="shared" si="2"/>
        <v>(5000, 6000]</v>
      </c>
      <c r="I208" s="61">
        <v>0</v>
      </c>
      <c r="J208" s="58">
        <v>0</v>
      </c>
      <c r="K208" s="58">
        <v>0</v>
      </c>
      <c r="L208" s="83">
        <v>0</v>
      </c>
      <c r="M208" s="58">
        <v>0</v>
      </c>
      <c r="N208" s="58">
        <v>0</v>
      </c>
      <c r="O208" s="117">
        <v>0</v>
      </c>
      <c r="P208" s="58">
        <v>0</v>
      </c>
      <c r="Q208" s="58">
        <v>1.3508000297176007E-5</v>
      </c>
      <c r="R208" s="58">
        <v>0</v>
      </c>
      <c r="S208" s="82">
        <v>0</v>
      </c>
    </row>
    <row r="209" spans="1:19" x14ac:dyDescent="0.3">
      <c r="A209" s="57">
        <v>6000</v>
      </c>
      <c r="B209" s="57">
        <v>7000</v>
      </c>
      <c r="C209" s="95">
        <v>63884</v>
      </c>
      <c r="D209" s="95">
        <v>41404052400</v>
      </c>
      <c r="E209" s="58">
        <v>2.6455832789727893E-3</v>
      </c>
      <c r="F209" s="92">
        <v>6481.1302360528462</v>
      </c>
      <c r="G209" s="89">
        <v>0</v>
      </c>
      <c r="H209" s="60" t="str">
        <f t="shared" si="2"/>
        <v>(6000, 7000]</v>
      </c>
      <c r="I209" s="61">
        <v>0</v>
      </c>
      <c r="J209" s="58">
        <v>0</v>
      </c>
      <c r="K209" s="58">
        <v>0</v>
      </c>
      <c r="L209" s="83">
        <v>0</v>
      </c>
      <c r="M209" s="58">
        <v>0</v>
      </c>
      <c r="N209" s="58">
        <v>0</v>
      </c>
      <c r="O209" s="117">
        <v>0</v>
      </c>
      <c r="P209" s="58">
        <v>0</v>
      </c>
      <c r="Q209" s="58">
        <v>0</v>
      </c>
      <c r="R209" s="58">
        <v>0</v>
      </c>
      <c r="S209" s="82">
        <v>0</v>
      </c>
    </row>
    <row r="210" spans="1:19" x14ac:dyDescent="0.3">
      <c r="A210" s="57">
        <v>7000</v>
      </c>
      <c r="B210" s="57">
        <v>8000</v>
      </c>
      <c r="C210" s="95">
        <v>52485</v>
      </c>
      <c r="D210" s="95">
        <v>39300082150</v>
      </c>
      <c r="E210" s="58">
        <v>2.173524488086013E-3</v>
      </c>
      <c r="F210" s="92">
        <v>7487.8693245689246</v>
      </c>
      <c r="G210" s="89">
        <v>0</v>
      </c>
      <c r="H210" s="60" t="str">
        <f t="shared" si="2"/>
        <v>(7000, 8000]</v>
      </c>
      <c r="I210" s="61">
        <v>0</v>
      </c>
      <c r="J210" s="58">
        <v>0</v>
      </c>
      <c r="K210" s="58">
        <v>0</v>
      </c>
      <c r="L210" s="83">
        <v>0</v>
      </c>
      <c r="M210" s="58">
        <v>0</v>
      </c>
      <c r="N210" s="58">
        <v>0</v>
      </c>
      <c r="O210" s="117">
        <v>0</v>
      </c>
      <c r="P210" s="58">
        <v>0</v>
      </c>
      <c r="Q210" s="58">
        <v>0</v>
      </c>
      <c r="R210" s="58">
        <v>0</v>
      </c>
      <c r="S210" s="82">
        <v>0</v>
      </c>
    </row>
    <row r="211" spans="1:19" x14ac:dyDescent="0.3">
      <c r="A211" s="57">
        <v>8000</v>
      </c>
      <c r="B211" s="57">
        <v>9000</v>
      </c>
      <c r="C211" s="95">
        <v>46209</v>
      </c>
      <c r="D211" s="95">
        <v>39236770175</v>
      </c>
      <c r="E211" s="58">
        <v>1.9136209025429471E-3</v>
      </c>
      <c r="F211" s="92">
        <v>8491.1532764180138</v>
      </c>
      <c r="G211" s="89">
        <v>0</v>
      </c>
      <c r="H211" s="60" t="str">
        <f t="shared" si="2"/>
        <v>(8000, 9000]</v>
      </c>
      <c r="I211" s="61">
        <v>0</v>
      </c>
      <c r="J211" s="58">
        <v>0</v>
      </c>
      <c r="K211" s="58">
        <v>0</v>
      </c>
      <c r="L211" s="83">
        <v>0</v>
      </c>
      <c r="M211" s="58">
        <v>0</v>
      </c>
      <c r="N211" s="58">
        <v>0</v>
      </c>
      <c r="O211" s="117">
        <v>0</v>
      </c>
      <c r="P211" s="58">
        <v>0</v>
      </c>
      <c r="Q211" s="58">
        <v>0</v>
      </c>
      <c r="R211" s="58">
        <v>0</v>
      </c>
      <c r="S211" s="82">
        <v>0</v>
      </c>
    </row>
    <row r="212" spans="1:19" x14ac:dyDescent="0.3">
      <c r="A212" s="57">
        <v>9000</v>
      </c>
      <c r="B212" s="57">
        <v>10000</v>
      </c>
      <c r="C212" s="95">
        <v>42816</v>
      </c>
      <c r="D212" s="95">
        <v>40653464570</v>
      </c>
      <c r="E212" s="58">
        <v>1.7731089736475324E-3</v>
      </c>
      <c r="F212" s="92">
        <v>9494.9235262518687</v>
      </c>
      <c r="G212" s="89">
        <v>0</v>
      </c>
      <c r="H212" s="60" t="str">
        <f t="shared" si="2"/>
        <v>(9000, 10000]</v>
      </c>
      <c r="I212" s="61">
        <v>0</v>
      </c>
      <c r="J212" s="58">
        <v>0</v>
      </c>
      <c r="K212" s="58">
        <v>0</v>
      </c>
      <c r="L212" s="83">
        <v>0</v>
      </c>
      <c r="M212" s="58">
        <v>0</v>
      </c>
      <c r="N212" s="58">
        <v>0</v>
      </c>
      <c r="O212" s="117">
        <v>0</v>
      </c>
      <c r="P212" s="58">
        <v>0</v>
      </c>
      <c r="Q212" s="58">
        <v>0</v>
      </c>
      <c r="R212" s="58">
        <v>0</v>
      </c>
      <c r="S212" s="82">
        <v>0</v>
      </c>
    </row>
    <row r="213" spans="1:19" x14ac:dyDescent="0.3">
      <c r="A213" s="57">
        <v>10000</v>
      </c>
      <c r="B213" s="57">
        <v>20000</v>
      </c>
      <c r="C213" s="95">
        <v>319147</v>
      </c>
      <c r="D213" s="95">
        <v>464099877425</v>
      </c>
      <c r="E213" s="58">
        <v>1.3216610837366615E-2</v>
      </c>
      <c r="F213" s="92">
        <v>14541.884380081907</v>
      </c>
      <c r="G213" s="89">
        <v>0</v>
      </c>
      <c r="H213" s="60" t="str">
        <f t="shared" si="2"/>
        <v>(10000, 20000]</v>
      </c>
      <c r="I213" s="61">
        <v>0</v>
      </c>
      <c r="J213" s="58">
        <v>0</v>
      </c>
      <c r="K213" s="58">
        <v>0</v>
      </c>
      <c r="L213" s="83">
        <v>0</v>
      </c>
      <c r="M213" s="58">
        <v>0</v>
      </c>
      <c r="N213" s="58">
        <v>0</v>
      </c>
      <c r="O213" s="117">
        <v>0</v>
      </c>
      <c r="P213" s="58">
        <v>0</v>
      </c>
      <c r="Q213" s="58">
        <v>0</v>
      </c>
      <c r="R213" s="58">
        <v>0</v>
      </c>
      <c r="S213" s="82">
        <v>0</v>
      </c>
    </row>
    <row r="214" spans="1:19" x14ac:dyDescent="0.3">
      <c r="A214" s="57">
        <v>20000</v>
      </c>
      <c r="B214" s="57">
        <v>30000</v>
      </c>
      <c r="C214" s="95">
        <v>168139</v>
      </c>
      <c r="D214" s="95">
        <v>410262879645</v>
      </c>
      <c r="E214" s="58">
        <v>6.9630224616994219E-3</v>
      </c>
      <c r="F214" s="92">
        <v>24400.22122440362</v>
      </c>
      <c r="G214" s="89">
        <v>0</v>
      </c>
      <c r="H214" s="60" t="str">
        <f t="shared" si="2"/>
        <v>(20000, 30000]</v>
      </c>
      <c r="I214" s="61">
        <v>0</v>
      </c>
      <c r="J214" s="58">
        <v>0</v>
      </c>
      <c r="K214" s="58">
        <v>0</v>
      </c>
      <c r="L214" s="83">
        <v>0</v>
      </c>
      <c r="M214" s="58">
        <v>0</v>
      </c>
      <c r="N214" s="58">
        <v>0</v>
      </c>
      <c r="O214" s="117">
        <v>0</v>
      </c>
      <c r="P214" s="58">
        <v>0</v>
      </c>
      <c r="Q214" s="58">
        <v>0</v>
      </c>
      <c r="R214" s="58">
        <v>0</v>
      </c>
      <c r="S214" s="82">
        <v>0</v>
      </c>
    </row>
    <row r="215" spans="1:19" x14ac:dyDescent="0.3">
      <c r="A215" s="57">
        <v>30000</v>
      </c>
      <c r="B215" s="57">
        <v>40000</v>
      </c>
      <c r="C215" s="95">
        <v>76601</v>
      </c>
      <c r="D215" s="95">
        <v>262821736420</v>
      </c>
      <c r="E215" s="58">
        <v>3.1722234793155508E-3</v>
      </c>
      <c r="F215" s="92">
        <v>34310.483729977415</v>
      </c>
      <c r="G215" s="89">
        <v>0</v>
      </c>
      <c r="H215" s="60" t="str">
        <f t="shared" si="2"/>
        <v>(30000, 40000]</v>
      </c>
      <c r="I215" s="61">
        <v>0</v>
      </c>
      <c r="J215" s="58">
        <v>0</v>
      </c>
      <c r="K215" s="58">
        <v>0</v>
      </c>
      <c r="L215" s="83">
        <v>0</v>
      </c>
      <c r="M215" s="58">
        <v>0</v>
      </c>
      <c r="N215" s="58">
        <v>0</v>
      </c>
      <c r="O215" s="117">
        <v>0</v>
      </c>
      <c r="P215" s="58">
        <v>0</v>
      </c>
      <c r="Q215" s="58">
        <v>0</v>
      </c>
      <c r="R215" s="58">
        <v>0</v>
      </c>
      <c r="S215" s="82">
        <v>0</v>
      </c>
    </row>
    <row r="216" spans="1:19" x14ac:dyDescent="0.3">
      <c r="A216" s="57">
        <v>40000</v>
      </c>
      <c r="B216" s="57">
        <v>50000</v>
      </c>
      <c r="C216" s="95">
        <v>32766</v>
      </c>
      <c r="D216" s="95">
        <v>145058924345</v>
      </c>
      <c r="E216" s="58">
        <v>1.3569153734710165E-3</v>
      </c>
      <c r="F216" s="92">
        <v>44271.172662210825</v>
      </c>
      <c r="G216" s="89">
        <v>0</v>
      </c>
      <c r="H216" s="60" t="str">
        <f t="shared" si="2"/>
        <v>(40000, 50000]</v>
      </c>
      <c r="I216" s="61">
        <v>0</v>
      </c>
      <c r="J216" s="58">
        <v>0</v>
      </c>
      <c r="K216" s="58">
        <v>0</v>
      </c>
      <c r="L216" s="83">
        <v>0</v>
      </c>
      <c r="M216" s="58">
        <v>0</v>
      </c>
      <c r="N216" s="58">
        <v>0</v>
      </c>
      <c r="O216" s="117">
        <v>0</v>
      </c>
      <c r="P216" s="58">
        <v>0</v>
      </c>
      <c r="Q216" s="58">
        <v>0</v>
      </c>
      <c r="R216" s="58">
        <v>0</v>
      </c>
      <c r="S216" s="82">
        <v>0</v>
      </c>
    </row>
    <row r="217" spans="1:19" x14ac:dyDescent="0.3">
      <c r="A217" s="57">
        <v>50000</v>
      </c>
      <c r="B217" s="57">
        <v>60000</v>
      </c>
      <c r="C217" s="95">
        <v>13666</v>
      </c>
      <c r="D217" s="95">
        <v>74267130650</v>
      </c>
      <c r="E217" s="58">
        <v>5.6594047164301145E-4</v>
      </c>
      <c r="F217" s="92">
        <v>54344.453863603099</v>
      </c>
      <c r="G217" s="89">
        <v>0</v>
      </c>
      <c r="H217" s="60" t="str">
        <f t="shared" si="2"/>
        <v>(50000, 60000]</v>
      </c>
      <c r="I217" s="61">
        <v>0</v>
      </c>
      <c r="J217" s="58">
        <v>0</v>
      </c>
      <c r="K217" s="58">
        <v>0</v>
      </c>
      <c r="L217" s="83">
        <v>0</v>
      </c>
      <c r="M217" s="58">
        <v>0</v>
      </c>
      <c r="N217" s="58">
        <v>0</v>
      </c>
      <c r="O217" s="117">
        <v>0</v>
      </c>
      <c r="P217" s="58">
        <v>0</v>
      </c>
      <c r="Q217" s="58">
        <v>0</v>
      </c>
      <c r="R217" s="58">
        <v>0</v>
      </c>
      <c r="S217" s="82">
        <v>0</v>
      </c>
    </row>
    <row r="218" spans="1:19" x14ac:dyDescent="0.3">
      <c r="A218" s="57">
        <v>60000</v>
      </c>
      <c r="B218" s="57">
        <v>70000</v>
      </c>
      <c r="C218" s="95">
        <v>5917</v>
      </c>
      <c r="D218" s="95">
        <v>38063267450</v>
      </c>
      <c r="E218" s="58">
        <v>2.4503657037258148E-4</v>
      </c>
      <c r="F218" s="92">
        <v>64328.658864289333</v>
      </c>
      <c r="G218" s="89">
        <v>0</v>
      </c>
      <c r="H218" s="60" t="str">
        <f t="shared" si="2"/>
        <v>(60000, 70000]</v>
      </c>
      <c r="I218" s="61">
        <v>0</v>
      </c>
      <c r="J218" s="58">
        <v>0</v>
      </c>
      <c r="K218" s="58">
        <v>0</v>
      </c>
      <c r="L218" s="83">
        <v>0</v>
      </c>
      <c r="M218" s="58">
        <v>0</v>
      </c>
      <c r="N218" s="58">
        <v>0</v>
      </c>
      <c r="O218" s="117">
        <v>0</v>
      </c>
      <c r="P218" s="58">
        <v>0</v>
      </c>
      <c r="Q218" s="58">
        <v>0</v>
      </c>
      <c r="R218" s="58">
        <v>0</v>
      </c>
      <c r="S218" s="82">
        <v>0</v>
      </c>
    </row>
    <row r="219" spans="1:19" x14ac:dyDescent="0.3">
      <c r="A219" s="57">
        <v>70000</v>
      </c>
      <c r="B219" s="57">
        <v>80000</v>
      </c>
      <c r="C219" s="95">
        <v>2651</v>
      </c>
      <c r="D219" s="95">
        <v>19702200165</v>
      </c>
      <c r="E219" s="58">
        <v>1.097840033898451E-4</v>
      </c>
      <c r="F219" s="92">
        <v>74319.879913240293</v>
      </c>
      <c r="G219" s="89">
        <v>0</v>
      </c>
      <c r="H219" s="60" t="str">
        <f t="shared" si="2"/>
        <v>(70000, 80000]</v>
      </c>
      <c r="I219" s="61">
        <v>0</v>
      </c>
      <c r="J219" s="58">
        <v>0</v>
      </c>
      <c r="K219" s="58">
        <v>0</v>
      </c>
      <c r="L219" s="83">
        <v>0</v>
      </c>
      <c r="M219" s="58">
        <v>0</v>
      </c>
      <c r="N219" s="58">
        <v>0</v>
      </c>
      <c r="O219" s="117">
        <v>0</v>
      </c>
      <c r="P219" s="58">
        <v>0</v>
      </c>
      <c r="Q219" s="58">
        <v>0</v>
      </c>
      <c r="R219" s="58">
        <v>0</v>
      </c>
      <c r="S219" s="82">
        <v>0</v>
      </c>
    </row>
    <row r="220" spans="1:19" x14ac:dyDescent="0.3">
      <c r="A220" s="57">
        <v>80000</v>
      </c>
      <c r="B220" s="57">
        <v>90000</v>
      </c>
      <c r="C220" s="95">
        <v>1305</v>
      </c>
      <c r="D220" s="95">
        <v>11002115205</v>
      </c>
      <c r="E220" s="58">
        <v>5.4043049575159513E-5</v>
      </c>
      <c r="F220" s="92">
        <v>84307.396206896548</v>
      </c>
      <c r="G220" s="89">
        <v>0</v>
      </c>
      <c r="H220" s="60" t="str">
        <f t="shared" si="2"/>
        <v>(80000, 90000]</v>
      </c>
      <c r="I220" s="61">
        <v>0</v>
      </c>
      <c r="J220" s="58">
        <v>0</v>
      </c>
      <c r="K220" s="58">
        <v>0</v>
      </c>
      <c r="L220" s="83">
        <v>0</v>
      </c>
      <c r="M220" s="58">
        <v>0</v>
      </c>
      <c r="N220" s="58">
        <v>0</v>
      </c>
      <c r="O220" s="117">
        <v>0</v>
      </c>
      <c r="P220" s="58">
        <v>0</v>
      </c>
      <c r="Q220" s="58">
        <v>0</v>
      </c>
      <c r="R220" s="58">
        <v>0</v>
      </c>
      <c r="S220" s="82">
        <v>0</v>
      </c>
    </row>
    <row r="221" spans="1:19" x14ac:dyDescent="0.3">
      <c r="A221" s="57">
        <v>90000</v>
      </c>
      <c r="B221" s="57">
        <v>100000</v>
      </c>
      <c r="C221" s="95">
        <v>621</v>
      </c>
      <c r="D221" s="95">
        <v>5877544690</v>
      </c>
      <c r="E221" s="58">
        <v>2.5717037384041424E-5</v>
      </c>
      <c r="F221" s="92">
        <v>94646.452334943635</v>
      </c>
      <c r="G221" s="89">
        <v>0</v>
      </c>
      <c r="H221" s="60" t="str">
        <f t="shared" si="2"/>
        <v>(90000, 100000]</v>
      </c>
      <c r="I221" s="61">
        <v>0</v>
      </c>
      <c r="J221" s="58">
        <v>0</v>
      </c>
      <c r="K221" s="58">
        <v>0</v>
      </c>
      <c r="L221" s="83">
        <v>0</v>
      </c>
      <c r="M221" s="58">
        <v>0</v>
      </c>
      <c r="N221" s="58">
        <v>0</v>
      </c>
      <c r="O221" s="117">
        <v>0</v>
      </c>
      <c r="P221" s="58">
        <v>0</v>
      </c>
      <c r="Q221" s="58">
        <v>0</v>
      </c>
      <c r="R221" s="58">
        <v>0</v>
      </c>
      <c r="S221" s="82">
        <v>0</v>
      </c>
    </row>
    <row r="222" spans="1:19" x14ac:dyDescent="0.3">
      <c r="A222" s="57">
        <v>100000</v>
      </c>
      <c r="B222" s="57">
        <v>9999999</v>
      </c>
      <c r="C222" s="95">
        <v>820</v>
      </c>
      <c r="D222" s="95">
        <v>9980269245</v>
      </c>
      <c r="E222" s="58">
        <v>3.3958084790521686E-5</v>
      </c>
      <c r="F222" s="92">
        <v>121710.60054878048</v>
      </c>
      <c r="G222" s="89">
        <v>0</v>
      </c>
      <c r="H222" s="60" t="str">
        <f t="shared" si="2"/>
        <v>(100000, 9999999]</v>
      </c>
      <c r="I222" s="61">
        <v>0</v>
      </c>
      <c r="J222" s="58">
        <v>0</v>
      </c>
      <c r="K222" s="58">
        <v>0</v>
      </c>
      <c r="L222" s="83">
        <v>0</v>
      </c>
      <c r="M222" s="58">
        <v>0</v>
      </c>
      <c r="N222" s="58">
        <v>0</v>
      </c>
      <c r="O222" s="117">
        <v>0</v>
      </c>
      <c r="P222" s="58">
        <v>0</v>
      </c>
      <c r="Q222" s="58">
        <v>0</v>
      </c>
      <c r="R222" s="58">
        <v>0</v>
      </c>
      <c r="S222" s="82">
        <v>0</v>
      </c>
    </row>
    <row r="225" spans="7:7" x14ac:dyDescent="0.3">
      <c r="G225" s="24"/>
    </row>
    <row r="226" spans="7:7" x14ac:dyDescent="0.3">
      <c r="G226" s="24"/>
    </row>
    <row r="227" spans="7:7" x14ac:dyDescent="0.3">
      <c r="G227" s="24"/>
    </row>
    <row r="228" spans="7:7" x14ac:dyDescent="0.3">
      <c r="G228" s="24"/>
    </row>
    <row r="229" spans="7:7" x14ac:dyDescent="0.3">
      <c r="G229" s="24"/>
    </row>
    <row r="230" spans="7:7" x14ac:dyDescent="0.3">
      <c r="G230" s="24"/>
    </row>
    <row r="231" spans="7:7" x14ac:dyDescent="0.3">
      <c r="G231" s="24"/>
    </row>
    <row r="232" spans="7:7" x14ac:dyDescent="0.3">
      <c r="G232" s="24"/>
    </row>
    <row r="233" spans="7:7" x14ac:dyDescent="0.3">
      <c r="G233" s="24"/>
    </row>
    <row r="234" spans="7:7" x14ac:dyDescent="0.3">
      <c r="G234" s="24"/>
    </row>
    <row r="235" spans="7:7" x14ac:dyDescent="0.3">
      <c r="G235" s="24"/>
    </row>
    <row r="236" spans="7:7" x14ac:dyDescent="0.3">
      <c r="G236" s="24"/>
    </row>
    <row r="237" spans="7:7" x14ac:dyDescent="0.3">
      <c r="G237" s="24"/>
    </row>
    <row r="238" spans="7:7" x14ac:dyDescent="0.3">
      <c r="G238" s="24"/>
    </row>
    <row r="239" spans="7:7" x14ac:dyDescent="0.3">
      <c r="G239" s="24"/>
    </row>
    <row r="240" spans="7:7" x14ac:dyDescent="0.3">
      <c r="G240" s="24"/>
    </row>
    <row r="241" spans="7:7" x14ac:dyDescent="0.3">
      <c r="G241" s="24"/>
    </row>
    <row r="242" spans="7:7" x14ac:dyDescent="0.3">
      <c r="G242" s="24"/>
    </row>
    <row r="243" spans="7:7" x14ac:dyDescent="0.3">
      <c r="G243" s="24"/>
    </row>
    <row r="244" spans="7:7" x14ac:dyDescent="0.3">
      <c r="G244" s="24"/>
    </row>
    <row r="245" spans="7:7" x14ac:dyDescent="0.3">
      <c r="G245" s="24"/>
    </row>
    <row r="246" spans="7:7" x14ac:dyDescent="0.3">
      <c r="G246" s="24"/>
    </row>
    <row r="247" spans="7:7" x14ac:dyDescent="0.3">
      <c r="G247" s="24"/>
    </row>
    <row r="248" spans="7:7" x14ac:dyDescent="0.3">
      <c r="G248" s="24"/>
    </row>
    <row r="249" spans="7:7" x14ac:dyDescent="0.3">
      <c r="G249" s="24"/>
    </row>
    <row r="250" spans="7:7" x14ac:dyDescent="0.3">
      <c r="G250" s="24"/>
    </row>
    <row r="251" spans="7:7" x14ac:dyDescent="0.3">
      <c r="G251" s="24"/>
    </row>
    <row r="252" spans="7:7" x14ac:dyDescent="0.3">
      <c r="G252" s="24"/>
    </row>
    <row r="253" spans="7:7" x14ac:dyDescent="0.3">
      <c r="G253" s="24"/>
    </row>
    <row r="254" spans="7:7" x14ac:dyDescent="0.3">
      <c r="G254" s="24"/>
    </row>
    <row r="255" spans="7:7" x14ac:dyDescent="0.3">
      <c r="G255" s="24"/>
    </row>
    <row r="256" spans="7:7" x14ac:dyDescent="0.3">
      <c r="G256" s="24"/>
    </row>
    <row r="257" spans="7:7" x14ac:dyDescent="0.3">
      <c r="G257" s="24"/>
    </row>
    <row r="258" spans="7:7" x14ac:dyDescent="0.3">
      <c r="G258" s="24"/>
    </row>
    <row r="259" spans="7:7" x14ac:dyDescent="0.3">
      <c r="G259" s="24"/>
    </row>
    <row r="260" spans="7:7" x14ac:dyDescent="0.3">
      <c r="G260" s="24"/>
    </row>
    <row r="261" spans="7:7" x14ac:dyDescent="0.3">
      <c r="G261" s="24"/>
    </row>
    <row r="262" spans="7:7" x14ac:dyDescent="0.3">
      <c r="G262" s="24"/>
    </row>
    <row r="263" spans="7:7" x14ac:dyDescent="0.3">
      <c r="G263" s="24"/>
    </row>
    <row r="264" spans="7:7" x14ac:dyDescent="0.3">
      <c r="G264" s="24"/>
    </row>
    <row r="265" spans="7:7" x14ac:dyDescent="0.3">
      <c r="G265" s="24"/>
    </row>
    <row r="266" spans="7:7" x14ac:dyDescent="0.3">
      <c r="G266" s="24"/>
    </row>
    <row r="267" spans="7:7" x14ac:dyDescent="0.3">
      <c r="G267" s="24"/>
    </row>
    <row r="268" spans="7:7" x14ac:dyDescent="0.3">
      <c r="G268" s="24"/>
    </row>
    <row r="269" spans="7:7" x14ac:dyDescent="0.3">
      <c r="G269" s="24"/>
    </row>
    <row r="270" spans="7:7" x14ac:dyDescent="0.3">
      <c r="G270" s="24"/>
    </row>
    <row r="271" spans="7:7" x14ac:dyDescent="0.3">
      <c r="G271" s="24"/>
    </row>
    <row r="272" spans="7:7" x14ac:dyDescent="0.3">
      <c r="G272" s="24"/>
    </row>
    <row r="273" spans="7:7" x14ac:dyDescent="0.3">
      <c r="G273" s="24"/>
    </row>
    <row r="274" spans="7:7" x14ac:dyDescent="0.3">
      <c r="G274" s="24"/>
    </row>
    <row r="275" spans="7:7" x14ac:dyDescent="0.3">
      <c r="G275" s="24"/>
    </row>
    <row r="276" spans="7:7" x14ac:dyDescent="0.3">
      <c r="G276" s="24"/>
    </row>
    <row r="277" spans="7:7" x14ac:dyDescent="0.3">
      <c r="G277" s="24"/>
    </row>
    <row r="278" spans="7:7" x14ac:dyDescent="0.3">
      <c r="G278" s="24"/>
    </row>
    <row r="279" spans="7:7" x14ac:dyDescent="0.3">
      <c r="G279" s="24"/>
    </row>
    <row r="280" spans="7:7" x14ac:dyDescent="0.3">
      <c r="G280" s="24"/>
    </row>
    <row r="281" spans="7:7" x14ac:dyDescent="0.3">
      <c r="G281" s="24"/>
    </row>
    <row r="282" spans="7:7" x14ac:dyDescent="0.3">
      <c r="G282" s="24"/>
    </row>
    <row r="283" spans="7:7" x14ac:dyDescent="0.3">
      <c r="G283" s="24"/>
    </row>
    <row r="284" spans="7:7" x14ac:dyDescent="0.3">
      <c r="G284" s="24"/>
    </row>
    <row r="285" spans="7:7" x14ac:dyDescent="0.3">
      <c r="G285" s="24"/>
    </row>
    <row r="286" spans="7:7" x14ac:dyDescent="0.3">
      <c r="G286" s="24"/>
    </row>
    <row r="287" spans="7:7" x14ac:dyDescent="0.3">
      <c r="G287" s="24"/>
    </row>
    <row r="288" spans="7:7" x14ac:dyDescent="0.3">
      <c r="G288" s="24"/>
    </row>
    <row r="289" spans="7:7" x14ac:dyDescent="0.3">
      <c r="G289" s="24"/>
    </row>
    <row r="290" spans="7:7" x14ac:dyDescent="0.3">
      <c r="G290" s="24"/>
    </row>
    <row r="291" spans="7:7" x14ac:dyDescent="0.3">
      <c r="G291" s="24"/>
    </row>
    <row r="292" spans="7:7" x14ac:dyDescent="0.3">
      <c r="G292" s="24"/>
    </row>
    <row r="293" spans="7:7" x14ac:dyDescent="0.3">
      <c r="G293" s="24"/>
    </row>
    <row r="294" spans="7:7" x14ac:dyDescent="0.3">
      <c r="G294" s="24"/>
    </row>
    <row r="295" spans="7:7" x14ac:dyDescent="0.3">
      <c r="G295" s="24"/>
    </row>
    <row r="296" spans="7:7" x14ac:dyDescent="0.3">
      <c r="G296" s="24"/>
    </row>
    <row r="297" spans="7:7" x14ac:dyDescent="0.3">
      <c r="G297" s="24"/>
    </row>
    <row r="298" spans="7:7" x14ac:dyDescent="0.3">
      <c r="G298" s="24"/>
    </row>
    <row r="299" spans="7:7" x14ac:dyDescent="0.3">
      <c r="G299" s="24"/>
    </row>
    <row r="300" spans="7:7" x14ac:dyDescent="0.3">
      <c r="G300" s="24"/>
    </row>
    <row r="301" spans="7:7" x14ac:dyDescent="0.3">
      <c r="G301" s="24"/>
    </row>
    <row r="302" spans="7:7" x14ac:dyDescent="0.3">
      <c r="G302" s="24"/>
    </row>
    <row r="303" spans="7:7" x14ac:dyDescent="0.3">
      <c r="G303" s="24"/>
    </row>
    <row r="304" spans="7:7" x14ac:dyDescent="0.3">
      <c r="G304" s="24"/>
    </row>
    <row r="305" spans="7:7" x14ac:dyDescent="0.3">
      <c r="G305" s="24"/>
    </row>
    <row r="306" spans="7:7" x14ac:dyDescent="0.3">
      <c r="G306" s="24"/>
    </row>
    <row r="307" spans="7:7" x14ac:dyDescent="0.3">
      <c r="G307" s="24"/>
    </row>
    <row r="308" spans="7:7" x14ac:dyDescent="0.3">
      <c r="G308" s="24"/>
    </row>
    <row r="309" spans="7:7" x14ac:dyDescent="0.3">
      <c r="G309" s="24"/>
    </row>
    <row r="310" spans="7:7" x14ac:dyDescent="0.3">
      <c r="G310" s="24"/>
    </row>
    <row r="311" spans="7:7" x14ac:dyDescent="0.3">
      <c r="G311" s="24"/>
    </row>
    <row r="312" spans="7:7" x14ac:dyDescent="0.3">
      <c r="G312" s="24"/>
    </row>
    <row r="313" spans="7:7" x14ac:dyDescent="0.3">
      <c r="G313" s="24"/>
    </row>
    <row r="314" spans="7:7" x14ac:dyDescent="0.3">
      <c r="G314" s="24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Q161:Q222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{B73645F0-ECD8-4B8D-8A49-627237744927}</x14:id>
        </ext>
      </extLst>
    </cfRule>
  </conditionalFormatting>
  <conditionalFormatting sqref="E16:E79">
    <cfRule type="cellIs" dxfId="167" priority="17" operator="lessThan">
      <formula>0.001</formula>
    </cfRule>
  </conditionalFormatting>
  <conditionalFormatting sqref="E159:E222">
    <cfRule type="cellIs" dxfId="166" priority="16" operator="lessThan">
      <formula>0.001</formula>
    </cfRule>
  </conditionalFormatting>
  <conditionalFormatting sqref="Q20:Q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{F91BD0BA-BC1D-453E-8CF5-578CBBBE520A}</x14:id>
        </ext>
      </extLst>
    </cfRule>
  </conditionalFormatting>
  <conditionalFormatting sqref="N16:N80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65" priority="3" operator="lessThan">
      <formula>0.001</formula>
    </cfRule>
  </conditionalFormatting>
  <conditionalFormatting sqref="Q92:Q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{27DE5488-B609-4482-A9DC-CD21096A54DA}</x14:id>
        </ext>
      </extLst>
    </cfRule>
  </conditionalFormatting>
  <conditionalFormatting sqref="N88:N15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73645F0-ECD8-4B8D-8A49-627237744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F91BD0BA-BC1D-453E-8CF5-578CBBBE5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27DE5488-B609-4482-A9DC-CD21096A5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292"/>
  <sheetViews>
    <sheetView workbookViewId="0">
      <selection activeCell="L8" sqref="L8"/>
    </sheetView>
  </sheetViews>
  <sheetFormatPr defaultRowHeight="15.6" x14ac:dyDescent="0.3"/>
  <cols>
    <col min="1" max="1" width="19.77734375" style="24" bestFit="1" customWidth="1"/>
    <col min="2" max="2" width="22.88671875" style="24" bestFit="1" customWidth="1"/>
    <col min="3" max="3" width="21" style="24" bestFit="1" customWidth="1"/>
    <col min="4" max="4" width="25.5546875" style="24" bestFit="1" customWidth="1"/>
    <col min="5" max="5" width="13.88671875" style="24" bestFit="1" customWidth="1"/>
    <col min="6" max="6" width="16.77734375" style="24" bestFit="1" customWidth="1"/>
    <col min="7" max="7" width="15.5546875" style="50" bestFit="1" customWidth="1"/>
    <col min="8" max="8" width="25.5546875" style="24" bestFit="1" customWidth="1"/>
    <col min="9" max="9" width="14" style="24" customWidth="1"/>
    <col min="10" max="10" width="12.44140625" style="24" customWidth="1"/>
    <col min="11" max="11" width="15.5546875" style="24" customWidth="1"/>
    <col min="12" max="12" width="15.33203125" style="24" bestFit="1" customWidth="1"/>
    <col min="13" max="13" width="12.44140625" style="24" bestFit="1" customWidth="1"/>
    <col min="14" max="14" width="19.77734375" style="24" bestFit="1" customWidth="1"/>
    <col min="15" max="15" width="12.21875" style="50" customWidth="1"/>
    <col min="16" max="19" width="15.21875" style="24" customWidth="1"/>
    <col min="20" max="20" width="8.88671875" style="24" customWidth="1"/>
    <col min="21" max="16384" width="8.88671875" style="24"/>
  </cols>
  <sheetData>
    <row r="1" spans="1:19" x14ac:dyDescent="0.3">
      <c r="A1" s="51"/>
      <c r="B1" s="51"/>
      <c r="C1" s="1"/>
      <c r="F1" s="1"/>
      <c r="H1" s="13"/>
      <c r="I1" s="51"/>
      <c r="J1" s="51"/>
      <c r="K1" s="51"/>
      <c r="L1" s="51"/>
      <c r="M1" s="51"/>
      <c r="N1" s="51"/>
    </row>
    <row r="2" spans="1:19" x14ac:dyDescent="0.3">
      <c r="A2" s="51" t="s">
        <v>62</v>
      </c>
      <c r="B2" s="67">
        <v>1000000000</v>
      </c>
      <c r="C2" s="1"/>
      <c r="F2" s="104"/>
      <c r="G2" s="104"/>
      <c r="K2" s="51"/>
      <c r="L2" s="51"/>
      <c r="M2" s="51"/>
      <c r="N2" s="51"/>
    </row>
    <row r="3" spans="1:19" x14ac:dyDescent="0.3">
      <c r="A3" s="51" t="s">
        <v>74</v>
      </c>
      <c r="B3" s="67">
        <f>Overview!A7</f>
        <v>100</v>
      </c>
      <c r="C3" s="1"/>
      <c r="F3" s="104"/>
      <c r="G3" s="101"/>
    </row>
    <row r="4" spans="1:19" x14ac:dyDescent="0.3">
      <c r="F4" s="104"/>
      <c r="G4" s="104"/>
      <c r="I4" s="1"/>
      <c r="L4" s="124"/>
      <c r="M4" s="125"/>
      <c r="N4" s="122"/>
      <c r="O4" s="123"/>
    </row>
    <row r="5" spans="1:19" x14ac:dyDescent="0.3">
      <c r="A5" s="51"/>
      <c r="B5" s="51"/>
      <c r="C5" s="1" t="s">
        <v>82</v>
      </c>
      <c r="I5" s="104"/>
      <c r="K5" s="204"/>
      <c r="L5" s="126"/>
      <c r="M5" s="125"/>
      <c r="N5" s="122"/>
      <c r="O5" s="123"/>
    </row>
    <row r="6" spans="1:19" x14ac:dyDescent="0.3">
      <c r="A6" s="90"/>
      <c r="B6" s="85" t="s">
        <v>68</v>
      </c>
      <c r="C6" s="85" t="s">
        <v>49</v>
      </c>
      <c r="D6" s="85" t="s">
        <v>50</v>
      </c>
      <c r="E6" s="85" t="s">
        <v>77</v>
      </c>
      <c r="F6" s="85" t="s">
        <v>69</v>
      </c>
      <c r="G6" s="85" t="s">
        <v>70</v>
      </c>
      <c r="H6" s="85" t="s">
        <v>83</v>
      </c>
      <c r="I6" s="207" t="s">
        <v>99</v>
      </c>
      <c r="J6" s="208" t="s">
        <v>100</v>
      </c>
      <c r="L6" s="101"/>
      <c r="M6" s="101"/>
      <c r="N6" s="116"/>
    </row>
    <row r="7" spans="1:19" x14ac:dyDescent="0.3">
      <c r="A7" s="57" t="s">
        <v>53</v>
      </c>
      <c r="B7" s="57" cm="1">
        <f t="array" ref="B7:B9">Overview!B11:B13</f>
        <v>1</v>
      </c>
      <c r="C7" s="81">
        <f>SUM(N16:N80)</f>
        <v>0.6999997047247829</v>
      </c>
      <c r="D7" s="81">
        <f>SUM(_xlfn.ANCHORARRAY(N159))*F7</f>
        <v>0.2400000772627805</v>
      </c>
      <c r="E7" s="97">
        <f>SUM(C7:D7)</f>
        <v>0.9399997819875634</v>
      </c>
      <c r="F7" s="73">
        <f>M80</f>
        <v>4.1782418791279346E-3</v>
      </c>
      <c r="G7" s="74">
        <f>1/F7</f>
        <v>239.3351148470887</v>
      </c>
      <c r="H7" s="94">
        <f>D7*G7</f>
        <v>57.440446054997736</v>
      </c>
      <c r="I7" s="205" cm="1">
        <f t="array" ref="I7">LOOKUP(2,1/(L16:L79&lt;&gt;0),B16:B79)</f>
        <v>120</v>
      </c>
      <c r="J7" s="205" cm="1">
        <f t="array" ref="J7">LOOKUP(2,1/(_xlfn.ANCHORARRAY(L159)&lt;&gt;0),B16:B79)</f>
        <v>20000</v>
      </c>
      <c r="L7" s="104"/>
      <c r="M7" s="101"/>
      <c r="N7" s="116"/>
    </row>
    <row r="8" spans="1:19" x14ac:dyDescent="0.3">
      <c r="A8" s="193" t="s">
        <v>290</v>
      </c>
      <c r="B8" s="193">
        <v>2</v>
      </c>
      <c r="C8" s="194">
        <f>SUM(_xlfn.ANCHORARRAY(N88))/B8</f>
        <v>0.34020707559025376</v>
      </c>
      <c r="D8" s="81">
        <f>SUM(_xlfn.ANCHORARRAY(N159))*F8/B8</f>
        <v>0.59979309286057891</v>
      </c>
      <c r="E8" s="97">
        <f>SUM(C8:D8)</f>
        <v>0.94000016845083267</v>
      </c>
      <c r="F8" s="195">
        <f>M152</f>
        <v>2.0883998438532062E-2</v>
      </c>
      <c r="G8" s="74">
        <f>1/F8</f>
        <v>47.883550793364741</v>
      </c>
      <c r="H8" s="94">
        <f>D8*G8</f>
        <v>28.720223027498864</v>
      </c>
      <c r="I8" s="205" cm="1">
        <f t="array" ref="I8">LOOKUP(2,1/(L88:L151&lt;&gt;0),B16:B79)</f>
        <v>120</v>
      </c>
      <c r="J8" s="205">
        <f>J7</f>
        <v>20000</v>
      </c>
      <c r="L8" s="104"/>
      <c r="M8" s="101"/>
      <c r="N8" s="116"/>
    </row>
    <row r="9" spans="1:19" x14ac:dyDescent="0.3">
      <c r="A9" s="57" t="s">
        <v>55</v>
      </c>
      <c r="B9" s="57">
        <v>75</v>
      </c>
      <c r="C9" s="81">
        <f>N81</f>
        <v>0</v>
      </c>
      <c r="D9" s="81">
        <f>SUM(_xlfn.ANCHORARRAY(N229))/B9</f>
        <v>0.92499988821796042</v>
      </c>
      <c r="E9" s="97">
        <f>SUM(C9:D9)</f>
        <v>0.92499988821796042</v>
      </c>
      <c r="F9" s="64">
        <f>E81</f>
        <v>1</v>
      </c>
      <c r="G9" s="74">
        <f>1/F9</f>
        <v>1</v>
      </c>
      <c r="H9" s="94">
        <f>D9*G9*B9</f>
        <v>69.374991616347032</v>
      </c>
      <c r="I9" s="206"/>
      <c r="J9" s="206" cm="1">
        <f t="array" ref="J9">LOOKUP(2,1/(_xlfn.ANCHORARRAY(L229)&lt;&gt;0),B16:B79)</f>
        <v>20000</v>
      </c>
      <c r="L9" s="107"/>
      <c r="M9" s="101"/>
      <c r="N9" s="116"/>
    </row>
    <row r="10" spans="1:19" x14ac:dyDescent="0.3">
      <c r="A10" s="51"/>
      <c r="B10" s="51"/>
      <c r="C10" s="1"/>
      <c r="D10" s="103"/>
      <c r="E10" s="51"/>
      <c r="F10" s="1"/>
      <c r="H10" s="13"/>
      <c r="I10" s="51"/>
      <c r="J10" s="51"/>
      <c r="K10" s="51"/>
      <c r="L10" s="118"/>
      <c r="M10" s="104"/>
      <c r="N10" s="104"/>
    </row>
    <row r="11" spans="1:19" x14ac:dyDescent="0.3">
      <c r="A11" s="51"/>
      <c r="B11" s="51"/>
      <c r="C11" s="1"/>
      <c r="D11" s="1"/>
      <c r="E11" s="103"/>
      <c r="F11" s="1"/>
      <c r="H11" s="13"/>
      <c r="I11" s="51"/>
      <c r="J11" s="51"/>
      <c r="K11" s="51"/>
      <c r="L11" s="118"/>
      <c r="M11" s="104"/>
      <c r="N11" s="104"/>
    </row>
    <row r="12" spans="1:19" s="56" customFormat="1" x14ac:dyDescent="0.3">
      <c r="A12" s="229" t="s">
        <v>49</v>
      </c>
      <c r="B12" s="229"/>
      <c r="C12" s="229"/>
      <c r="D12" s="229"/>
      <c r="E12" s="52"/>
      <c r="F12" s="52"/>
      <c r="G12" s="87"/>
      <c r="H12" s="54"/>
      <c r="I12" s="55"/>
      <c r="J12" s="53"/>
      <c r="K12" s="53"/>
      <c r="L12" s="53"/>
      <c r="M12" s="53"/>
      <c r="N12" s="53"/>
      <c r="O12" s="87"/>
    </row>
    <row r="13" spans="1:19" x14ac:dyDescent="0.3">
      <c r="A13" s="51"/>
      <c r="B13" s="51"/>
      <c r="C13" s="1"/>
      <c r="D13" s="1"/>
      <c r="E13" s="1"/>
      <c r="F13" s="1"/>
      <c r="G13" s="50">
        <v>1.0000000000000001E-5</v>
      </c>
      <c r="H13" s="13"/>
      <c r="I13" s="51"/>
      <c r="J13" s="51"/>
      <c r="K13" s="51"/>
      <c r="L13" s="51"/>
      <c r="M13" s="51"/>
      <c r="N13" s="51"/>
    </row>
    <row r="14" spans="1:19" x14ac:dyDescent="0.3">
      <c r="A14" s="69" t="s">
        <v>75</v>
      </c>
      <c r="B14" s="184">
        <v>1000000000</v>
      </c>
      <c r="C14" s="219" t="s">
        <v>330</v>
      </c>
      <c r="D14" s="1"/>
      <c r="E14" s="1"/>
      <c r="F14" s="1"/>
      <c r="G14" s="50">
        <v>4562</v>
      </c>
      <c r="H14" s="69" t="s">
        <v>76</v>
      </c>
      <c r="I14" s="51"/>
      <c r="J14" s="51"/>
      <c r="K14" s="51"/>
      <c r="L14" s="51"/>
      <c r="M14" s="51"/>
      <c r="N14" s="51"/>
    </row>
    <row r="15" spans="1:19" ht="16.2" x14ac:dyDescent="0.3">
      <c r="A15" s="20" t="s">
        <v>58</v>
      </c>
      <c r="B15" s="20" t="s">
        <v>59</v>
      </c>
      <c r="C15" s="20" t="s">
        <v>71</v>
      </c>
      <c r="D15" s="20" t="s">
        <v>72</v>
      </c>
      <c r="E15" s="20" t="s">
        <v>73</v>
      </c>
      <c r="F15" s="20" t="s">
        <v>85</v>
      </c>
      <c r="G15" s="89">
        <f>1+G14*G13</f>
        <v>1.04562</v>
      </c>
      <c r="H15" s="20" t="s">
        <v>61</v>
      </c>
      <c r="I15" s="20" t="s">
        <v>63</v>
      </c>
      <c r="J15" s="20" t="s">
        <v>64</v>
      </c>
      <c r="K15" s="20" t="s">
        <v>65</v>
      </c>
      <c r="L15" s="20" t="s">
        <v>66</v>
      </c>
      <c r="M15" s="20" t="s">
        <v>67</v>
      </c>
      <c r="N15" s="20" t="s">
        <v>60</v>
      </c>
      <c r="O15" s="50">
        <v>1.1000000000000001</v>
      </c>
      <c r="P15" s="85" t="s">
        <v>84</v>
      </c>
      <c r="Q15" s="185" t="s">
        <v>328</v>
      </c>
      <c r="R15" s="85" t="s">
        <v>217</v>
      </c>
      <c r="S15" s="85" t="s">
        <v>80</v>
      </c>
    </row>
    <row r="16" spans="1:19" x14ac:dyDescent="0.3">
      <c r="A16" s="63">
        <v>-1</v>
      </c>
      <c r="B16" s="63">
        <v>0</v>
      </c>
      <c r="C16" s="70">
        <v>737428057</v>
      </c>
      <c r="D16" s="70">
        <v>0</v>
      </c>
      <c r="E16" s="68" cm="1">
        <f t="array" ref="E16:E79">_xlfn.LET(_xlpm.x, C16:C79, _xlpm.x/SUM(_xlpm.x))</f>
        <v>0.75568025613499457</v>
      </c>
      <c r="F16" s="91" cm="1">
        <f t="array" ref="F16:F81">_xlfn.LET(_xlpm.x, D16:D81/C16:C81/B3, IF(ISERR(_xlpm.x), 0, _xlpm.x))</f>
        <v>0</v>
      </c>
      <c r="G16" s="89"/>
      <c r="H16" s="60" t="str">
        <f>"("&amp;$A16&amp;", "&amp;$B16&amp;"]"</f>
        <v>(-1, 0]</v>
      </c>
      <c r="I16" s="217">
        <v>0.96</v>
      </c>
      <c r="J16" s="58" cm="1">
        <f t="array" ref="J16:J80">E16:E80*I16:I80</f>
        <v>0.72545304588959481</v>
      </c>
      <c r="K16" s="58" cm="1">
        <f t="array" ref="K16:K79">J16:J79/SUM(_xlfn.ANCHORARRAY(J16))</f>
        <v>0.71601412207516857</v>
      </c>
      <c r="L16" s="115" cm="1">
        <f t="array" ref="L16:L80">INT(K16:K80*$B$2)</f>
        <v>716014122</v>
      </c>
      <c r="M16" s="58" cm="1">
        <f t="array" ref="M16:M80">_xlfn.LET(_xlpm.x, L16:L80, _xlpm.x/SUM(_xlpm.x))</f>
        <v>0.71597520301991424</v>
      </c>
      <c r="N16" s="58" cm="1">
        <f t="array" ref="N16:N80">M16:M80*F16:F80</f>
        <v>0</v>
      </c>
      <c r="O16" s="117" cm="1">
        <f t="array" ref="O16:O79">I16:I79*O15</f>
        <v>1.056</v>
      </c>
      <c r="P16" s="58" cm="1">
        <f t="array" ref="P16:P79">M16:M79</f>
        <v>0.71597520301991424</v>
      </c>
      <c r="Q16" s="58">
        <v>0.72110724338328813</v>
      </c>
      <c r="R16" s="58">
        <v>0.72554635178004934</v>
      </c>
      <c r="S16" s="82" cm="1">
        <f t="array" ref="S16:S79">_xlfn.LET(_xlpm.x, Q16:Q79/M16:M79, IF(ISERR(_xlpm.x), 0, ROUND(_xlpm.x,2)))</f>
        <v>1.01</v>
      </c>
    </row>
    <row r="17" spans="1:19" x14ac:dyDescent="0.3">
      <c r="A17" s="57">
        <v>0</v>
      </c>
      <c r="B17" s="57">
        <v>1</v>
      </c>
      <c r="C17" s="71">
        <v>124960454</v>
      </c>
      <c r="D17" s="71">
        <v>5670928890</v>
      </c>
      <c r="E17" s="58">
        <v>0.12805337007331308</v>
      </c>
      <c r="F17" s="92">
        <v>0.453817884656533</v>
      </c>
      <c r="G17" s="89"/>
      <c r="H17" s="60" t="str">
        <f t="shared" ref="H17:H79" si="0">"("&amp;$A17&amp;", "&amp;$B17&amp;"]"</f>
        <v>(0, 1]</v>
      </c>
      <c r="I17" s="217">
        <v>1.27</v>
      </c>
      <c r="J17" s="58">
        <v>0.16262777999310762</v>
      </c>
      <c r="K17" s="58">
        <v>0.16051181778967946</v>
      </c>
      <c r="L17" s="115">
        <v>160511817</v>
      </c>
      <c r="M17" s="58">
        <v>0.1605030923729048</v>
      </c>
      <c r="N17" s="58">
        <v>7.2839173861503778E-2</v>
      </c>
      <c r="O17" s="117">
        <v>1.3970000000000002</v>
      </c>
      <c r="P17" s="58">
        <v>0.1605030923729048</v>
      </c>
      <c r="Q17" s="58">
        <v>0.16136823707333336</v>
      </c>
      <c r="R17" s="58">
        <v>0.15905886499823757</v>
      </c>
      <c r="S17" s="82">
        <v>1.01</v>
      </c>
    </row>
    <row r="18" spans="1:19" x14ac:dyDescent="0.3">
      <c r="A18" s="57">
        <v>1</v>
      </c>
      <c r="B18" s="57">
        <v>2</v>
      </c>
      <c r="C18" s="71">
        <v>33683617</v>
      </c>
      <c r="D18" s="71">
        <v>5063260970</v>
      </c>
      <c r="E18" s="58">
        <v>3.4517325562123356E-2</v>
      </c>
      <c r="F18" s="92">
        <v>1.5031820870068673</v>
      </c>
      <c r="G18" s="89"/>
      <c r="H18" s="60" t="str">
        <f t="shared" si="0"/>
        <v>(1, 2]</v>
      </c>
      <c r="I18" s="217">
        <v>1.33</v>
      </c>
      <c r="J18" s="58">
        <v>4.590804299762407E-2</v>
      </c>
      <c r="K18" s="58">
        <v>4.5310730018129151E-2</v>
      </c>
      <c r="L18" s="115">
        <v>45310730</v>
      </c>
      <c r="M18" s="58">
        <v>4.5308267133215174E-2</v>
      </c>
      <c r="N18" s="58">
        <v>6.8106575547971032E-2</v>
      </c>
      <c r="O18" s="117">
        <v>1.4630000000000003</v>
      </c>
      <c r="P18" s="58">
        <v>4.5308267133215174E-2</v>
      </c>
      <c r="Q18" s="58">
        <v>4.5833904668732287E-2</v>
      </c>
      <c r="R18" s="58">
        <v>4.9788508988367994E-2</v>
      </c>
      <c r="S18" s="82">
        <v>1.01</v>
      </c>
    </row>
    <row r="19" spans="1:19" x14ac:dyDescent="0.3">
      <c r="A19" s="57">
        <v>2</v>
      </c>
      <c r="B19" s="57">
        <v>3</v>
      </c>
      <c r="C19" s="71">
        <v>15731868</v>
      </c>
      <c r="D19" s="71">
        <v>3966955370</v>
      </c>
      <c r="E19" s="58">
        <v>1.6121249967197715E-2</v>
      </c>
      <c r="F19" s="92">
        <v>2.5216047897172795</v>
      </c>
      <c r="G19" s="89"/>
      <c r="H19" s="60" t="str">
        <f t="shared" si="0"/>
        <v>(2, 3]</v>
      </c>
      <c r="I19" s="217">
        <v>1.35</v>
      </c>
      <c r="J19" s="58">
        <v>2.1763687455716916E-2</v>
      </c>
      <c r="K19" s="58">
        <v>2.1480518491192698E-2</v>
      </c>
      <c r="L19" s="115">
        <v>21480518</v>
      </c>
      <c r="M19" s="58">
        <v>2.1479350425469574E-2</v>
      </c>
      <c r="N19" s="58">
        <v>5.4162432912879963E-2</v>
      </c>
      <c r="O19" s="117">
        <v>1.4850000000000003</v>
      </c>
      <c r="P19" s="58">
        <v>2.1479350425469574E-2</v>
      </c>
      <c r="Q19" s="58">
        <v>2.1685673800920343E-2</v>
      </c>
      <c r="R19" s="58">
        <v>2.1457525555163906E-2</v>
      </c>
      <c r="S19" s="82">
        <v>1.01</v>
      </c>
    </row>
    <row r="20" spans="1:19" x14ac:dyDescent="0.3">
      <c r="A20" s="57">
        <v>3</v>
      </c>
      <c r="B20" s="57">
        <v>4</v>
      </c>
      <c r="C20" s="71">
        <v>7891833</v>
      </c>
      <c r="D20" s="71">
        <v>2817483325</v>
      </c>
      <c r="E20" s="58">
        <v>8.0871650138673833E-3</v>
      </c>
      <c r="F20" s="92">
        <v>3.5701253751821662</v>
      </c>
      <c r="G20" s="89">
        <v>1.391254729845288</v>
      </c>
      <c r="H20" s="60" t="str">
        <f t="shared" si="0"/>
        <v>(3, 4]</v>
      </c>
      <c r="I20" s="217" cm="1">
        <f t="array" ref="I20:I79">G20:G79*G15</f>
        <v>1.45472377062083</v>
      </c>
      <c r="J20" s="58">
        <v>1.1764591182606017E-2</v>
      </c>
      <c r="K20" s="58">
        <v>1.1611521207216612E-2</v>
      </c>
      <c r="L20" s="115">
        <v>11611521</v>
      </c>
      <c r="M20" s="58">
        <v>1.1610889855249249E-2</v>
      </c>
      <c r="N20" s="58">
        <v>4.1452332500670534E-2</v>
      </c>
      <c r="O20" s="117">
        <v>1.6001961476829132</v>
      </c>
      <c r="P20" s="58">
        <v>1.1610889855249249E-2</v>
      </c>
      <c r="Q20" s="58">
        <v>8.8791810836482271E-3</v>
      </c>
      <c r="R20" s="58">
        <v>9.4289742685935846E-3</v>
      </c>
      <c r="S20" s="82">
        <v>0.76</v>
      </c>
    </row>
    <row r="21" spans="1:19" x14ac:dyDescent="0.3">
      <c r="A21" s="57">
        <v>4</v>
      </c>
      <c r="B21" s="57">
        <v>5</v>
      </c>
      <c r="C21" s="71">
        <v>5580810</v>
      </c>
      <c r="D21" s="71">
        <v>2567489145</v>
      </c>
      <c r="E21" s="58">
        <v>5.7189415160003049E-3</v>
      </c>
      <c r="F21" s="92">
        <v>4.6005672026103737</v>
      </c>
      <c r="G21" s="89">
        <v>1.5502552703990351</v>
      </c>
      <c r="H21" s="60" t="str">
        <f t="shared" si="0"/>
        <v>(4, 5]</v>
      </c>
      <c r="I21" s="217">
        <v>1.6209779158346391</v>
      </c>
      <c r="J21" s="58">
        <v>9.2702778993863661E-3</v>
      </c>
      <c r="K21" s="58">
        <v>9.1496616205980295E-3</v>
      </c>
      <c r="L21" s="115">
        <v>9149661</v>
      </c>
      <c r="M21" s="58">
        <v>9.1491636697612396E-3</v>
      </c>
      <c r="N21" s="58">
        <v>4.2091342310417924E-2</v>
      </c>
      <c r="O21" s="117">
        <v>1.7830757074181032</v>
      </c>
      <c r="P21" s="58">
        <v>9.1491636697612396E-3</v>
      </c>
      <c r="Q21" s="58">
        <v>6.9693578910897357E-3</v>
      </c>
      <c r="R21" s="58">
        <v>6.2566090941134998E-3</v>
      </c>
      <c r="S21" s="82">
        <v>0.76</v>
      </c>
    </row>
    <row r="22" spans="1:19" x14ac:dyDescent="0.3">
      <c r="A22" s="57">
        <v>5</v>
      </c>
      <c r="B22" s="57">
        <v>6</v>
      </c>
      <c r="C22" s="71">
        <v>4164929</v>
      </c>
      <c r="D22" s="71">
        <v>2327993340</v>
      </c>
      <c r="E22" s="58">
        <v>4.2680158201575816E-3</v>
      </c>
      <c r="F22" s="92">
        <v>5.5895150673636929</v>
      </c>
      <c r="G22" s="89">
        <v>1.7092558109527825</v>
      </c>
      <c r="H22" s="60" t="str">
        <f t="shared" si="0"/>
        <v>(5, 6]</v>
      </c>
      <c r="I22" s="217">
        <v>1.7872320610484485</v>
      </c>
      <c r="J22" s="58">
        <v>7.6279347108476189E-3</v>
      </c>
      <c r="K22" s="58">
        <v>7.5286870820657752E-3</v>
      </c>
      <c r="L22" s="115">
        <v>7528687</v>
      </c>
      <c r="M22" s="58">
        <v>7.5282777778765504E-3</v>
      </c>
      <c r="N22" s="58">
        <v>4.2079422070740238E-2</v>
      </c>
      <c r="O22" s="117">
        <v>1.9659552671532934</v>
      </c>
      <c r="P22" s="58">
        <v>7.5282777778765504E-3</v>
      </c>
      <c r="Q22" s="58">
        <v>5.6976823900288407E-3</v>
      </c>
      <c r="R22" s="58">
        <v>5.37539654564681E-3</v>
      </c>
      <c r="S22" s="82">
        <v>0.76</v>
      </c>
    </row>
    <row r="23" spans="1:19" x14ac:dyDescent="0.3">
      <c r="A23" s="57">
        <v>6</v>
      </c>
      <c r="B23" s="57">
        <v>7</v>
      </c>
      <c r="C23" s="71">
        <v>2786352</v>
      </c>
      <c r="D23" s="71">
        <v>1828894325</v>
      </c>
      <c r="E23" s="58">
        <v>2.8553174415524773E-3</v>
      </c>
      <c r="F23" s="92">
        <v>6.5637590835615889</v>
      </c>
      <c r="G23" s="89">
        <v>1.18</v>
      </c>
      <c r="H23" s="60" t="str">
        <f t="shared" si="0"/>
        <v>(6, 7]</v>
      </c>
      <c r="I23" s="217">
        <v>1.2338316</v>
      </c>
      <c r="J23" s="58">
        <v>3.5229808874185998E-3</v>
      </c>
      <c r="K23" s="58">
        <v>3.4771431197168365E-3</v>
      </c>
      <c r="L23" s="115">
        <v>3477143</v>
      </c>
      <c r="M23" s="58">
        <v>3.4769539997344823E-3</v>
      </c>
      <c r="N23" s="58">
        <v>2.2821888398883008E-2</v>
      </c>
      <c r="O23" s="117">
        <v>1.3572147600000002</v>
      </c>
      <c r="P23" s="58">
        <v>3.4769539997344823E-3</v>
      </c>
      <c r="Q23" s="58">
        <v>3.4668704006600407E-3</v>
      </c>
      <c r="R23" s="58">
        <v>2.5114557631300671E-3</v>
      </c>
      <c r="S23" s="82">
        <v>1</v>
      </c>
    </row>
    <row r="24" spans="1:19" x14ac:dyDescent="0.3">
      <c r="A24" s="57">
        <v>7</v>
      </c>
      <c r="B24" s="57">
        <v>8</v>
      </c>
      <c r="C24" s="71">
        <v>2886263</v>
      </c>
      <c r="D24" s="71">
        <v>2199517210</v>
      </c>
      <c r="E24" s="58">
        <v>2.9577013546054401E-3</v>
      </c>
      <c r="F24" s="92">
        <v>7.6206402881511481</v>
      </c>
      <c r="G24" s="89">
        <v>0.97</v>
      </c>
      <c r="H24" s="60" t="str">
        <f t="shared" si="0"/>
        <v>(7, 8]</v>
      </c>
      <c r="I24" s="217">
        <v>1.0142514</v>
      </c>
      <c r="J24" s="58">
        <v>2.9998527396904642E-3</v>
      </c>
      <c r="K24" s="58">
        <v>2.960821431427482E-3</v>
      </c>
      <c r="L24" s="115">
        <v>2960821</v>
      </c>
      <c r="M24" s="58">
        <v>2.960660064440217E-3</v>
      </c>
      <c r="N24" s="58">
        <v>2.2562125366593293E-2</v>
      </c>
      <c r="O24" s="117">
        <v>1.1156765400000002</v>
      </c>
      <c r="P24" s="58">
        <v>2.960660064440217E-3</v>
      </c>
      <c r="Q24" s="58">
        <v>2.9416568230182308E-3</v>
      </c>
      <c r="R24" s="58">
        <v>3.0842439196334154E-3</v>
      </c>
      <c r="S24" s="82">
        <v>0.99</v>
      </c>
    </row>
    <row r="25" spans="1:19" x14ac:dyDescent="0.3">
      <c r="A25" s="57">
        <v>8</v>
      </c>
      <c r="B25" s="57">
        <v>9</v>
      </c>
      <c r="C25" s="71">
        <v>2121277</v>
      </c>
      <c r="D25" s="71">
        <v>1824061555</v>
      </c>
      <c r="E25" s="58">
        <v>2.1737810644398533E-3</v>
      </c>
      <c r="F25" s="92">
        <v>8.5988843276950622</v>
      </c>
      <c r="G25" s="89">
        <v>1.19</v>
      </c>
      <c r="H25" s="60" t="str">
        <f t="shared" si="0"/>
        <v>(8, 9]</v>
      </c>
      <c r="I25" s="217">
        <v>1.2442877999999999</v>
      </c>
      <c r="J25" s="58">
        <v>2.7048092583535233E-3</v>
      </c>
      <c r="K25" s="58">
        <v>2.6696167828834582E-3</v>
      </c>
      <c r="L25" s="115">
        <v>2669616</v>
      </c>
      <c r="M25" s="58">
        <v>2.6694708929012037E-3</v>
      </c>
      <c r="N25" s="58">
        <v>2.2954471424206303E-2</v>
      </c>
      <c r="O25" s="117">
        <v>1.3687165800000001</v>
      </c>
      <c r="P25" s="58">
        <v>2.6694708929012037E-3</v>
      </c>
      <c r="Q25" s="58">
        <v>2.6585780573791656E-3</v>
      </c>
      <c r="R25" s="58">
        <v>2.687698272823405E-3</v>
      </c>
      <c r="S25" s="82">
        <v>1</v>
      </c>
    </row>
    <row r="26" spans="1:19" x14ac:dyDescent="0.3">
      <c r="A26" s="57">
        <v>9</v>
      </c>
      <c r="B26" s="57">
        <v>10</v>
      </c>
      <c r="C26" s="71">
        <v>1982595</v>
      </c>
      <c r="D26" s="71">
        <v>1912247295</v>
      </c>
      <c r="E26" s="58">
        <v>2.0316665241989287E-3</v>
      </c>
      <c r="F26" s="92">
        <v>9.6451735982386726</v>
      </c>
      <c r="G26" s="89">
        <v>1.1399999999999999</v>
      </c>
      <c r="H26" s="60" t="str">
        <f t="shared" si="0"/>
        <v>(9, 10]</v>
      </c>
      <c r="I26" s="217">
        <v>1.1920067999999999</v>
      </c>
      <c r="J26" s="58">
        <v>2.4217603121774877E-3</v>
      </c>
      <c r="K26" s="58">
        <v>2.390250607706658E-3</v>
      </c>
      <c r="L26" s="115">
        <v>2390250</v>
      </c>
      <c r="M26" s="58">
        <v>2.3901200778528079E-3</v>
      </c>
      <c r="N26" s="58">
        <v>2.3053123071526065E-2</v>
      </c>
      <c r="O26" s="117">
        <v>1.31120748</v>
      </c>
      <c r="P26" s="58">
        <v>2.3901200778528079E-3</v>
      </c>
      <c r="Q26" s="58">
        <v>2.3601446841424521E-3</v>
      </c>
      <c r="R26" s="58">
        <v>2.2470919985900597E-3</v>
      </c>
      <c r="S26" s="82">
        <v>0.99</v>
      </c>
    </row>
    <row r="27" spans="1:19" x14ac:dyDescent="0.3">
      <c r="A27" s="57">
        <v>10</v>
      </c>
      <c r="B27" s="57">
        <v>15</v>
      </c>
      <c r="C27" s="71">
        <v>6840763</v>
      </c>
      <c r="D27" s="71">
        <v>8514472135</v>
      </c>
      <c r="E27" s="58">
        <v>7.0100798131129335E-3</v>
      </c>
      <c r="F27" s="92">
        <v>12.446670254473077</v>
      </c>
      <c r="G27" s="89">
        <v>0.45</v>
      </c>
      <c r="H27" s="60" t="str">
        <f t="shared" si="0"/>
        <v>(10, 15]</v>
      </c>
      <c r="I27" s="217">
        <v>0.47052900000000003</v>
      </c>
      <c r="J27" s="58">
        <v>3.2984458443842159E-3</v>
      </c>
      <c r="K27" s="58">
        <v>3.2555295189134539E-3</v>
      </c>
      <c r="L27" s="115">
        <v>3255529</v>
      </c>
      <c r="M27" s="58">
        <v>3.2553520455735068E-3</v>
      </c>
      <c r="N27" s="58">
        <v>4.0518293473477851E-2</v>
      </c>
      <c r="O27" s="117">
        <v>0.51758190000000004</v>
      </c>
      <c r="P27" s="58">
        <v>3.2553520455735068E-3</v>
      </c>
      <c r="Q27" s="58">
        <v>3.1733789011288028E-3</v>
      </c>
      <c r="R27" s="58">
        <v>4.9788508988367992E-3</v>
      </c>
      <c r="S27" s="82">
        <v>0.97</v>
      </c>
    </row>
    <row r="28" spans="1:19" x14ac:dyDescent="0.3">
      <c r="A28" s="57">
        <v>15</v>
      </c>
      <c r="B28" s="57">
        <v>20</v>
      </c>
      <c r="C28" s="71">
        <v>4640184</v>
      </c>
      <c r="D28" s="71">
        <v>8115369895</v>
      </c>
      <c r="E28" s="58">
        <v>4.7550339322572095E-3</v>
      </c>
      <c r="F28" s="92">
        <v>17.489327783122395</v>
      </c>
      <c r="G28" s="89">
        <v>1.05</v>
      </c>
      <c r="H28" s="111" t="str">
        <f t="shared" si="0"/>
        <v>(15, 20]</v>
      </c>
      <c r="I28" s="217">
        <v>1.097901</v>
      </c>
      <c r="J28" s="58">
        <v>5.2205565092591222E-3</v>
      </c>
      <c r="K28" s="58">
        <v>5.1526314582320386E-3</v>
      </c>
      <c r="L28" s="115">
        <v>5152631</v>
      </c>
      <c r="M28" s="58">
        <v>5.1523509285082278E-3</v>
      </c>
      <c r="N28" s="58">
        <v>9.0111154242355412E-2</v>
      </c>
      <c r="O28" s="117">
        <v>1.2076911000000001</v>
      </c>
      <c r="P28" s="58">
        <v>5.1523509285082278E-3</v>
      </c>
      <c r="Q28" s="58">
        <v>4.1214346726155069E-3</v>
      </c>
      <c r="R28" s="58">
        <v>2.3352132534367291E-3</v>
      </c>
      <c r="S28" s="82">
        <v>0.8</v>
      </c>
    </row>
    <row r="29" spans="1:19" x14ac:dyDescent="0.3">
      <c r="A29" s="57">
        <v>20</v>
      </c>
      <c r="B29" s="57">
        <v>25</v>
      </c>
      <c r="C29" s="71">
        <v>3240350</v>
      </c>
      <c r="D29" s="71">
        <v>7303039190</v>
      </c>
      <c r="E29" s="58">
        <v>3.3205524182639413E-3</v>
      </c>
      <c r="F29" s="92">
        <v>22.537809773635562</v>
      </c>
      <c r="G29" s="89">
        <v>0.5</v>
      </c>
      <c r="H29" s="60" t="str">
        <f t="shared" si="0"/>
        <v>(20, 25]</v>
      </c>
      <c r="I29" s="217">
        <v>0.52281</v>
      </c>
      <c r="J29" s="58">
        <v>1.7360180097925712E-3</v>
      </c>
      <c r="K29" s="58">
        <v>1.7134305496836813E-3</v>
      </c>
      <c r="L29" s="115">
        <v>1713430</v>
      </c>
      <c r="M29" s="58">
        <v>1.7133368664346144E-3</v>
      </c>
      <c r="N29" s="58">
        <v>3.861486037386018E-2</v>
      </c>
      <c r="O29" s="117">
        <v>0.57509100000000002</v>
      </c>
      <c r="P29" s="58">
        <v>1.7133368664346144E-3</v>
      </c>
      <c r="Q29" s="58">
        <v>1.7230799649684153E-3</v>
      </c>
      <c r="R29" s="58">
        <v>1.8064857243567148E-3</v>
      </c>
      <c r="S29" s="82">
        <v>1.01</v>
      </c>
    </row>
    <row r="30" spans="1:19" x14ac:dyDescent="0.3">
      <c r="A30" s="57">
        <v>25</v>
      </c>
      <c r="B30" s="57">
        <v>30</v>
      </c>
      <c r="C30" s="71">
        <v>2609813</v>
      </c>
      <c r="D30" s="71">
        <v>7187928000</v>
      </c>
      <c r="E30" s="58">
        <v>2.6744088966829732E-3</v>
      </c>
      <c r="F30" s="92">
        <v>27.541927333490943</v>
      </c>
      <c r="G30" s="89">
        <v>0.18</v>
      </c>
      <c r="H30" s="60" t="str">
        <f t="shared" si="0"/>
        <v>(25, 30]</v>
      </c>
      <c r="I30" s="217">
        <v>0.18821159999999998</v>
      </c>
      <c r="J30" s="58">
        <v>5.03354777498937E-4</v>
      </c>
      <c r="K30" s="58">
        <v>4.9680559085845104E-4</v>
      </c>
      <c r="L30" s="115">
        <v>496805</v>
      </c>
      <c r="M30" s="58">
        <v>4.9677799614168574E-4</v>
      </c>
      <c r="N30" s="58">
        <v>1.3682223470611554E-2</v>
      </c>
      <c r="O30" s="117">
        <v>0.20703275999999998</v>
      </c>
      <c r="P30" s="58">
        <v>4.9677799614168574E-4</v>
      </c>
      <c r="Q30" s="58">
        <v>6.995941211726393E-4</v>
      </c>
      <c r="R30" s="58">
        <v>8.8121254846669017E-4</v>
      </c>
      <c r="S30" s="82">
        <v>1.41</v>
      </c>
    </row>
    <row r="31" spans="1:19" x14ac:dyDescent="0.3">
      <c r="A31" s="57">
        <v>30</v>
      </c>
      <c r="B31" s="57">
        <v>35</v>
      </c>
      <c r="C31" s="71">
        <v>1960951</v>
      </c>
      <c r="D31" s="71">
        <v>6379124260</v>
      </c>
      <c r="E31" s="58">
        <v>2.0094868101122082E-3</v>
      </c>
      <c r="F31" s="92">
        <v>32.530768285388056</v>
      </c>
      <c r="G31" s="89">
        <v>0.2</v>
      </c>
      <c r="H31" s="60" t="str">
        <f t="shared" si="0"/>
        <v>(30, 35]</v>
      </c>
      <c r="I31" s="217">
        <v>0.209124</v>
      </c>
      <c r="J31" s="58">
        <v>4.2023191967790541E-4</v>
      </c>
      <c r="K31" s="58">
        <v>4.1476425075473504E-4</v>
      </c>
      <c r="L31" s="115">
        <v>414764</v>
      </c>
      <c r="M31" s="58">
        <v>4.1474145548396282E-4</v>
      </c>
      <c r="N31" s="58">
        <v>1.349185818669338E-2</v>
      </c>
      <c r="O31" s="117">
        <v>0.23003640000000003</v>
      </c>
      <c r="P31" s="58">
        <v>4.1474145548396282E-4</v>
      </c>
      <c r="Q31" s="58">
        <v>5.9151288329675452E-4</v>
      </c>
      <c r="R31" s="58">
        <v>4.8466690165667957E-4</v>
      </c>
      <c r="S31" s="82">
        <v>1.43</v>
      </c>
    </row>
    <row r="32" spans="1:19" x14ac:dyDescent="0.3">
      <c r="A32" s="57">
        <v>35</v>
      </c>
      <c r="B32" s="57">
        <v>40</v>
      </c>
      <c r="C32" s="71">
        <v>1698327</v>
      </c>
      <c r="D32" s="71">
        <v>6375630385</v>
      </c>
      <c r="E32" s="58">
        <v>1.7403625617149212E-3</v>
      </c>
      <c r="F32" s="92">
        <v>37.540652565730859</v>
      </c>
      <c r="G32" s="89">
        <v>0.3</v>
      </c>
      <c r="H32" s="111" t="str">
        <f t="shared" si="0"/>
        <v>(35, 40]</v>
      </c>
      <c r="I32" s="217">
        <v>0.31368599999999996</v>
      </c>
      <c r="J32" s="58">
        <v>5.4592737053410674E-4</v>
      </c>
      <c r="K32" s="58">
        <v>5.3882426870294328E-4</v>
      </c>
      <c r="L32" s="115">
        <v>538824</v>
      </c>
      <c r="M32" s="58">
        <v>5.3879471219703441E-4</v>
      </c>
      <c r="N32" s="58">
        <v>2.0226705094841819E-2</v>
      </c>
      <c r="O32" s="117">
        <v>0.34505459999999999</v>
      </c>
      <c r="P32" s="58">
        <v>5.3879471219703441E-4</v>
      </c>
      <c r="Q32" s="58">
        <v>1.0098731916807135E-3</v>
      </c>
      <c r="R32" s="58">
        <v>7.0497003877335212E-4</v>
      </c>
      <c r="S32" s="82">
        <v>1.87</v>
      </c>
    </row>
    <row r="33" spans="1:19" x14ac:dyDescent="0.3">
      <c r="A33" s="57">
        <v>40</v>
      </c>
      <c r="B33" s="57">
        <v>45</v>
      </c>
      <c r="C33" s="71">
        <v>1400288</v>
      </c>
      <c r="D33" s="71">
        <v>5968140920</v>
      </c>
      <c r="E33" s="58">
        <v>1.4349467510194819E-3</v>
      </c>
      <c r="F33" s="92">
        <v>42.620810290454536</v>
      </c>
      <c r="G33" s="89">
        <v>0.15</v>
      </c>
      <c r="H33" s="60" t="str">
        <f t="shared" si="0"/>
        <v>(40, 45]</v>
      </c>
      <c r="I33" s="217">
        <v>0.15684299999999998</v>
      </c>
      <c r="J33" s="58">
        <v>2.2506135327014857E-4</v>
      </c>
      <c r="K33" s="58">
        <v>2.2213306317732303E-4</v>
      </c>
      <c r="L33" s="115">
        <v>222133</v>
      </c>
      <c r="M33" s="58">
        <v>2.2212092595070716E-4</v>
      </c>
      <c r="N33" s="58">
        <v>9.4669738464851893E-3</v>
      </c>
      <c r="O33" s="117">
        <v>0.17252729999999999</v>
      </c>
      <c r="P33" s="58">
        <v>2.2212092595070716E-4</v>
      </c>
      <c r="Q33" s="58">
        <v>2.2734918986410383E-4</v>
      </c>
      <c r="R33" s="58">
        <v>3.5248501938667606E-4</v>
      </c>
      <c r="S33" s="82">
        <v>1.02</v>
      </c>
    </row>
    <row r="34" spans="1:19" x14ac:dyDescent="0.3">
      <c r="A34" s="57">
        <v>45</v>
      </c>
      <c r="B34" s="57">
        <v>50</v>
      </c>
      <c r="C34" s="71">
        <v>1178348</v>
      </c>
      <c r="D34" s="71">
        <v>5615779505</v>
      </c>
      <c r="E34" s="58">
        <v>1.2075134787774403E-3</v>
      </c>
      <c r="F34" s="92">
        <v>47.658073039543495</v>
      </c>
      <c r="G34" s="89">
        <v>0.18</v>
      </c>
      <c r="H34" s="60" t="str">
        <f t="shared" si="0"/>
        <v>(45, 50]</v>
      </c>
      <c r="I34" s="217">
        <v>0.18821159999999998</v>
      </c>
      <c r="J34" s="58">
        <v>2.2726804386226807E-4</v>
      </c>
      <c r="K34" s="58">
        <v>2.2431104235317784E-4</v>
      </c>
      <c r="L34" s="115">
        <v>224311</v>
      </c>
      <c r="M34" s="58">
        <v>2.2429880756541837E-4</v>
      </c>
      <c r="N34" s="58">
        <v>1.0689648953635221E-2</v>
      </c>
      <c r="O34" s="117">
        <v>0.20703275999999998</v>
      </c>
      <c r="P34" s="58">
        <v>2.2429880756541837E-4</v>
      </c>
      <c r="Q34" s="58">
        <v>2.2590622674046942E-4</v>
      </c>
      <c r="R34" s="58">
        <v>1.3218188227000352E-4</v>
      </c>
      <c r="S34" s="82">
        <v>1.01</v>
      </c>
    </row>
    <row r="35" spans="1:19" x14ac:dyDescent="0.3">
      <c r="A35" s="57">
        <v>50</v>
      </c>
      <c r="B35" s="57">
        <v>60</v>
      </c>
      <c r="C35" s="71">
        <v>1971138</v>
      </c>
      <c r="D35" s="71">
        <v>10820608060</v>
      </c>
      <c r="E35" s="58">
        <v>2.0199259501695647E-3</v>
      </c>
      <c r="F35" s="92">
        <v>54.895233413388617</v>
      </c>
      <c r="G35" s="89">
        <v>0.18</v>
      </c>
      <c r="H35" s="111" t="str">
        <f t="shared" si="0"/>
        <v>(50, 60]</v>
      </c>
      <c r="I35" s="217">
        <v>0.18821159999999998</v>
      </c>
      <c r="J35" s="58">
        <v>3.8017349496293401E-4</v>
      </c>
      <c r="K35" s="58">
        <v>3.752270291984696E-4</v>
      </c>
      <c r="L35" s="115">
        <v>375227</v>
      </c>
      <c r="M35" s="58">
        <v>3.7520660451939152E-4</v>
      </c>
      <c r="N35" s="58">
        <v>2.0597054133336991E-2</v>
      </c>
      <c r="O35" s="117">
        <v>0.20703275999999998</v>
      </c>
      <c r="P35" s="58">
        <v>3.7520660451939152E-4</v>
      </c>
      <c r="Q35" s="58">
        <v>6.5581823990906089E-4</v>
      </c>
      <c r="R35" s="58">
        <v>3.0842439196334157E-4</v>
      </c>
      <c r="S35" s="82">
        <v>1.75</v>
      </c>
    </row>
    <row r="36" spans="1:19" x14ac:dyDescent="0.3">
      <c r="A36" s="57">
        <v>60</v>
      </c>
      <c r="B36" s="57">
        <v>70</v>
      </c>
      <c r="C36" s="71">
        <v>1442495</v>
      </c>
      <c r="D36" s="71">
        <v>9376281050</v>
      </c>
      <c r="E36" s="58">
        <v>1.4781984231899776E-3</v>
      </c>
      <c r="F36" s="92">
        <v>65.00044055611977</v>
      </c>
      <c r="G36" s="89">
        <v>0.1</v>
      </c>
      <c r="H36" s="60" t="str">
        <f t="shared" si="0"/>
        <v>(60, 70]</v>
      </c>
      <c r="I36" s="217">
        <v>0.104562</v>
      </c>
      <c r="J36" s="58">
        <v>1.5456338352559044E-4</v>
      </c>
      <c r="K36" s="58">
        <v>1.5255234778748972E-4</v>
      </c>
      <c r="L36" s="115">
        <v>152552</v>
      </c>
      <c r="M36" s="58">
        <v>1.5254370802911894E-4</v>
      </c>
      <c r="N36" s="58">
        <v>9.9154082259568354E-3</v>
      </c>
      <c r="O36" s="117">
        <v>0.11501820000000001</v>
      </c>
      <c r="P36" s="58">
        <v>1.5254370802911894E-4</v>
      </c>
      <c r="Q36" s="58">
        <v>1.5372207147874129E-4</v>
      </c>
      <c r="R36" s="58">
        <v>1.7624250969333803E-4</v>
      </c>
      <c r="S36" s="82">
        <v>1.01</v>
      </c>
    </row>
    <row r="37" spans="1:19" x14ac:dyDescent="0.3">
      <c r="A37" s="57">
        <v>70</v>
      </c>
      <c r="B37" s="57">
        <v>80</v>
      </c>
      <c r="C37" s="71">
        <v>1166949</v>
      </c>
      <c r="D37" s="71">
        <v>8750269200</v>
      </c>
      <c r="E37" s="58">
        <v>1.1958323403153017E-3</v>
      </c>
      <c r="F37" s="92">
        <v>74.984161261546134</v>
      </c>
      <c r="G37" s="89">
        <v>0.11</v>
      </c>
      <c r="H37" s="60" t="str">
        <f t="shared" si="0"/>
        <v>(70, 80]</v>
      </c>
      <c r="I37" s="217">
        <v>0.1150182</v>
      </c>
      <c r="J37" s="58">
        <v>1.3754248328485343E-4</v>
      </c>
      <c r="K37" s="58">
        <v>1.3575290775225541E-4</v>
      </c>
      <c r="L37" s="115">
        <v>135752</v>
      </c>
      <c r="M37" s="58">
        <v>1.3574462119388114E-4</v>
      </c>
      <c r="N37" s="58">
        <v>1.0178696565989477E-2</v>
      </c>
      <c r="O37" s="117">
        <v>0.12652002000000001</v>
      </c>
      <c r="P37" s="58">
        <v>1.3574462119388114E-4</v>
      </c>
      <c r="Q37" s="58">
        <v>1.3442056474804729E-4</v>
      </c>
      <c r="R37" s="58">
        <v>1.3218188227000352E-4</v>
      </c>
      <c r="S37" s="82">
        <v>0.99</v>
      </c>
    </row>
    <row r="38" spans="1:19" x14ac:dyDescent="0.3">
      <c r="A38" s="57">
        <v>80</v>
      </c>
      <c r="B38" s="57">
        <v>90</v>
      </c>
      <c r="C38" s="71">
        <v>927868</v>
      </c>
      <c r="D38" s="71">
        <v>7890158495</v>
      </c>
      <c r="E38" s="58">
        <v>9.5083380845579243E-4</v>
      </c>
      <c r="F38" s="92">
        <v>85.03535519060901</v>
      </c>
      <c r="G38" s="89">
        <v>0</v>
      </c>
      <c r="H38" s="60" t="str">
        <f t="shared" si="0"/>
        <v>(80, 90]</v>
      </c>
      <c r="I38" s="218">
        <v>0</v>
      </c>
      <c r="J38" s="58">
        <v>0</v>
      </c>
      <c r="K38" s="58">
        <v>0</v>
      </c>
      <c r="L38" s="115">
        <v>0</v>
      </c>
      <c r="M38" s="58">
        <v>0</v>
      </c>
      <c r="N38" s="58">
        <v>0</v>
      </c>
      <c r="O38" s="117">
        <v>0</v>
      </c>
      <c r="P38" s="58">
        <v>0</v>
      </c>
      <c r="Q38" s="58">
        <v>0</v>
      </c>
      <c r="R38" s="58">
        <v>0</v>
      </c>
      <c r="S38" s="82">
        <v>0</v>
      </c>
    </row>
    <row r="39" spans="1:19" x14ac:dyDescent="0.3">
      <c r="A39" s="57">
        <v>90</v>
      </c>
      <c r="B39" s="57">
        <v>100</v>
      </c>
      <c r="C39" s="71">
        <v>779276</v>
      </c>
      <c r="D39" s="71">
        <v>7420406090</v>
      </c>
      <c r="E39" s="58">
        <v>7.9856398422857144E-4</v>
      </c>
      <c r="F39" s="92">
        <v>95.221796770335544</v>
      </c>
      <c r="G39" s="89">
        <v>0</v>
      </c>
      <c r="H39" s="60" t="str">
        <f t="shared" si="0"/>
        <v>(90, 100]</v>
      </c>
      <c r="I39" s="218">
        <v>0</v>
      </c>
      <c r="J39" s="58">
        <v>0</v>
      </c>
      <c r="K39" s="58">
        <v>0</v>
      </c>
      <c r="L39" s="115">
        <v>0</v>
      </c>
      <c r="M39" s="58">
        <v>0</v>
      </c>
      <c r="N39" s="58">
        <v>0</v>
      </c>
      <c r="O39" s="117">
        <v>0</v>
      </c>
      <c r="P39" s="58">
        <v>0</v>
      </c>
      <c r="Q39" s="58">
        <v>0</v>
      </c>
      <c r="R39" s="58">
        <v>8.8121254846669015E-5</v>
      </c>
      <c r="S39" s="82">
        <v>0</v>
      </c>
    </row>
    <row r="40" spans="1:19" x14ac:dyDescent="0.3">
      <c r="A40" s="57">
        <v>100</v>
      </c>
      <c r="B40" s="57">
        <v>120</v>
      </c>
      <c r="C40" s="71">
        <v>1202839</v>
      </c>
      <c r="D40" s="71">
        <v>13188274015</v>
      </c>
      <c r="E40" s="58">
        <v>1.2326106594140081E-3</v>
      </c>
      <c r="F40" s="92">
        <v>109.64288666230478</v>
      </c>
      <c r="G40" s="89">
        <v>7.0000000000000007E-2</v>
      </c>
      <c r="H40" s="60" t="str">
        <f t="shared" si="0"/>
        <v>(100, 120]</v>
      </c>
      <c r="I40" s="217">
        <v>7.3193400000000006E-2</v>
      </c>
      <c r="J40" s="58">
        <v>9.0218965038753264E-5</v>
      </c>
      <c r="K40" s="58">
        <v>8.9045119339928007E-5</v>
      </c>
      <c r="L40" s="115">
        <v>89045</v>
      </c>
      <c r="M40" s="58">
        <v>8.9040159954985172E-5</v>
      </c>
      <c r="N40" s="58">
        <v>9.7626201663379274E-3</v>
      </c>
      <c r="O40" s="117">
        <v>8.0512740000000013E-2</v>
      </c>
      <c r="P40" s="58">
        <v>8.9040159954985172E-5</v>
      </c>
      <c r="Q40" s="58">
        <v>1.1781498912013804E-4</v>
      </c>
      <c r="R40" s="58">
        <v>0</v>
      </c>
      <c r="S40" s="82">
        <v>1.32</v>
      </c>
    </row>
    <row r="41" spans="1:19" x14ac:dyDescent="0.3">
      <c r="A41" s="57">
        <v>120</v>
      </c>
      <c r="B41" s="57">
        <v>140</v>
      </c>
      <c r="C41" s="71">
        <v>863606</v>
      </c>
      <c r="D41" s="71">
        <v>11203591810</v>
      </c>
      <c r="E41" s="58">
        <v>8.8498124947220186E-4</v>
      </c>
      <c r="F41" s="92">
        <v>129.73036095163766</v>
      </c>
      <c r="G41" s="89">
        <v>0</v>
      </c>
      <c r="H41" s="60" t="str">
        <f t="shared" si="0"/>
        <v>(120, 140]</v>
      </c>
      <c r="I41" s="218">
        <v>0</v>
      </c>
      <c r="J41" s="58">
        <v>0</v>
      </c>
      <c r="K41" s="58">
        <v>0</v>
      </c>
      <c r="L41" s="115">
        <v>0</v>
      </c>
      <c r="M41" s="58">
        <v>0</v>
      </c>
      <c r="N41" s="58">
        <v>0</v>
      </c>
      <c r="O41" s="117">
        <v>0</v>
      </c>
      <c r="P41" s="58">
        <v>0</v>
      </c>
      <c r="Q41" s="58">
        <v>0</v>
      </c>
      <c r="R41" s="58">
        <v>4.4060627423334507E-5</v>
      </c>
      <c r="S41" s="82">
        <v>0</v>
      </c>
    </row>
    <row r="42" spans="1:19" x14ac:dyDescent="0.3">
      <c r="A42" s="57">
        <v>140</v>
      </c>
      <c r="B42" s="57">
        <v>160</v>
      </c>
      <c r="C42" s="71">
        <v>669820</v>
      </c>
      <c r="D42" s="71">
        <v>10039701350</v>
      </c>
      <c r="E42" s="58">
        <v>6.8639882136236924E-4</v>
      </c>
      <c r="F42" s="92">
        <v>149.88655683616494</v>
      </c>
      <c r="G42" s="89">
        <v>0</v>
      </c>
      <c r="H42" s="60" t="str">
        <f t="shared" si="0"/>
        <v>(140, 160]</v>
      </c>
      <c r="I42" s="218">
        <v>0</v>
      </c>
      <c r="J42" s="58">
        <v>0</v>
      </c>
      <c r="K42" s="58">
        <v>0</v>
      </c>
      <c r="L42" s="115">
        <v>0</v>
      </c>
      <c r="M42" s="58">
        <v>0</v>
      </c>
      <c r="N42" s="58">
        <v>0</v>
      </c>
      <c r="O42" s="117">
        <v>0</v>
      </c>
      <c r="P42" s="58">
        <v>0</v>
      </c>
      <c r="Q42" s="58">
        <v>0</v>
      </c>
      <c r="R42" s="58">
        <v>8.8121254846669015E-5</v>
      </c>
      <c r="S42" s="82">
        <v>0</v>
      </c>
    </row>
    <row r="43" spans="1:19" x14ac:dyDescent="0.3">
      <c r="A43" s="57">
        <v>160</v>
      </c>
      <c r="B43" s="57">
        <v>180</v>
      </c>
      <c r="C43" s="71">
        <v>511613</v>
      </c>
      <c r="D43" s="71">
        <v>8694591830</v>
      </c>
      <c r="E43" s="58">
        <v>5.2427601474077485E-4</v>
      </c>
      <c r="F43" s="92">
        <v>169.94470097515114</v>
      </c>
      <c r="G43" s="89">
        <v>0</v>
      </c>
      <c r="H43" s="60" t="str">
        <f t="shared" si="0"/>
        <v>(160, 180]</v>
      </c>
      <c r="I43" s="218">
        <v>0</v>
      </c>
      <c r="J43" s="58">
        <v>0</v>
      </c>
      <c r="K43" s="58">
        <v>0</v>
      </c>
      <c r="L43" s="115">
        <v>0</v>
      </c>
      <c r="M43" s="58">
        <v>0</v>
      </c>
      <c r="N43" s="58">
        <v>0</v>
      </c>
      <c r="O43" s="117">
        <v>0</v>
      </c>
      <c r="P43" s="58">
        <v>0</v>
      </c>
      <c r="Q43" s="58">
        <v>0</v>
      </c>
      <c r="R43" s="58">
        <v>0</v>
      </c>
      <c r="S43" s="82">
        <v>0</v>
      </c>
    </row>
    <row r="44" spans="1:19" x14ac:dyDescent="0.3">
      <c r="A44" s="57">
        <v>180</v>
      </c>
      <c r="B44" s="57">
        <v>200</v>
      </c>
      <c r="C44" s="71">
        <v>409885</v>
      </c>
      <c r="D44" s="71">
        <v>7797076525</v>
      </c>
      <c r="E44" s="58">
        <v>4.2003012883179772E-4</v>
      </c>
      <c r="F44" s="92">
        <v>190.22595423106483</v>
      </c>
      <c r="G44" s="89">
        <v>0</v>
      </c>
      <c r="H44" s="60" t="str">
        <f t="shared" si="0"/>
        <v>(180, 200]</v>
      </c>
      <c r="I44" s="218">
        <v>0</v>
      </c>
      <c r="J44" s="58">
        <v>0</v>
      </c>
      <c r="K44" s="58">
        <v>0</v>
      </c>
      <c r="L44" s="115">
        <v>0</v>
      </c>
      <c r="M44" s="58">
        <v>0</v>
      </c>
      <c r="N44" s="58">
        <v>0</v>
      </c>
      <c r="O44" s="117">
        <v>0</v>
      </c>
      <c r="P44" s="58">
        <v>0</v>
      </c>
      <c r="Q44" s="58">
        <v>0</v>
      </c>
      <c r="R44" s="58">
        <v>0</v>
      </c>
      <c r="S44" s="82">
        <v>0</v>
      </c>
    </row>
    <row r="45" spans="1:19" x14ac:dyDescent="0.3">
      <c r="A45" s="57">
        <v>200</v>
      </c>
      <c r="B45" s="57">
        <v>250</v>
      </c>
      <c r="C45" s="71">
        <v>728332</v>
      </c>
      <c r="D45" s="71">
        <v>16286787520</v>
      </c>
      <c r="E45" s="58">
        <v>7.4635906118135787E-4</v>
      </c>
      <c r="F45" s="92">
        <v>223.61762932289122</v>
      </c>
      <c r="G45" s="89">
        <v>0</v>
      </c>
      <c r="H45" s="60" t="str">
        <f t="shared" si="0"/>
        <v>(200, 250]</v>
      </c>
      <c r="I45" s="218">
        <v>0</v>
      </c>
      <c r="J45" s="58">
        <v>0</v>
      </c>
      <c r="K45" s="58">
        <v>0</v>
      </c>
      <c r="L45" s="115">
        <v>0</v>
      </c>
      <c r="M45" s="58">
        <v>0</v>
      </c>
      <c r="N45" s="58">
        <v>0</v>
      </c>
      <c r="O45" s="117">
        <v>0</v>
      </c>
      <c r="P45" s="58">
        <v>0</v>
      </c>
      <c r="Q45" s="58">
        <v>0</v>
      </c>
      <c r="R45" s="58">
        <v>4.4060627423334507E-5</v>
      </c>
      <c r="S45" s="82">
        <v>0</v>
      </c>
    </row>
    <row r="46" spans="1:19" x14ac:dyDescent="0.3">
      <c r="A46" s="57">
        <v>250</v>
      </c>
      <c r="B46" s="57">
        <v>300</v>
      </c>
      <c r="C46" s="71">
        <v>465518</v>
      </c>
      <c r="D46" s="71">
        <v>12746421160</v>
      </c>
      <c r="E46" s="58">
        <v>4.7704011006384912E-4</v>
      </c>
      <c r="F46" s="92">
        <v>273.81156389226624</v>
      </c>
      <c r="G46" s="89">
        <v>0</v>
      </c>
      <c r="H46" s="60" t="str">
        <f t="shared" si="0"/>
        <v>(250, 300]</v>
      </c>
      <c r="I46" s="218">
        <v>0</v>
      </c>
      <c r="J46" s="58">
        <v>0</v>
      </c>
      <c r="K46" s="58">
        <v>0</v>
      </c>
      <c r="L46" s="115">
        <v>0</v>
      </c>
      <c r="M46" s="58">
        <v>0</v>
      </c>
      <c r="N46" s="58">
        <v>0</v>
      </c>
      <c r="O46" s="117">
        <v>0</v>
      </c>
      <c r="P46" s="58">
        <v>0</v>
      </c>
      <c r="Q46" s="58">
        <v>0</v>
      </c>
      <c r="R46" s="58">
        <v>0</v>
      </c>
      <c r="S46" s="82">
        <v>0</v>
      </c>
    </row>
    <row r="47" spans="1:19" x14ac:dyDescent="0.3">
      <c r="A47" s="57">
        <v>300</v>
      </c>
      <c r="B47" s="57">
        <v>350</v>
      </c>
      <c r="C47" s="71">
        <v>316303</v>
      </c>
      <c r="D47" s="71">
        <v>10250701140</v>
      </c>
      <c r="E47" s="58">
        <v>3.2413186586453298E-4</v>
      </c>
      <c r="F47" s="92">
        <v>324.07853039648694</v>
      </c>
      <c r="G47" s="89">
        <v>0</v>
      </c>
      <c r="H47" s="60" t="str">
        <f t="shared" si="0"/>
        <v>(300, 350]</v>
      </c>
      <c r="I47" s="218">
        <v>0</v>
      </c>
      <c r="J47" s="58">
        <v>0</v>
      </c>
      <c r="K47" s="58">
        <v>0</v>
      </c>
      <c r="L47" s="115">
        <v>0</v>
      </c>
      <c r="M47" s="58">
        <v>0</v>
      </c>
      <c r="N47" s="58">
        <v>0</v>
      </c>
      <c r="O47" s="117">
        <v>0</v>
      </c>
      <c r="P47" s="58">
        <v>0</v>
      </c>
      <c r="Q47" s="58">
        <v>0</v>
      </c>
      <c r="R47" s="58">
        <v>0</v>
      </c>
      <c r="S47" s="82">
        <v>0</v>
      </c>
    </row>
    <row r="48" spans="1:19" x14ac:dyDescent="0.3">
      <c r="A48" s="57">
        <v>350</v>
      </c>
      <c r="B48" s="57">
        <v>400</v>
      </c>
      <c r="C48" s="71">
        <v>223740</v>
      </c>
      <c r="D48" s="71">
        <v>8374245655</v>
      </c>
      <c r="E48" s="58">
        <v>2.2927782432835165E-4</v>
      </c>
      <c r="F48" s="92">
        <v>374.28469004201304</v>
      </c>
      <c r="G48" s="89">
        <v>0</v>
      </c>
      <c r="H48" s="60" t="str">
        <f t="shared" si="0"/>
        <v>(350, 400]</v>
      </c>
      <c r="I48" s="218">
        <v>0</v>
      </c>
      <c r="J48" s="58">
        <v>0</v>
      </c>
      <c r="K48" s="58">
        <v>0</v>
      </c>
      <c r="L48" s="115">
        <v>0</v>
      </c>
      <c r="M48" s="58">
        <v>0</v>
      </c>
      <c r="N48" s="58">
        <v>0</v>
      </c>
      <c r="O48" s="117">
        <v>0</v>
      </c>
      <c r="P48" s="58">
        <v>0</v>
      </c>
      <c r="Q48" s="58">
        <v>0</v>
      </c>
      <c r="R48" s="58">
        <v>0</v>
      </c>
      <c r="S48" s="82">
        <v>0</v>
      </c>
    </row>
    <row r="49" spans="1:19" x14ac:dyDescent="0.3">
      <c r="A49" s="57">
        <v>400</v>
      </c>
      <c r="B49" s="57">
        <v>450</v>
      </c>
      <c r="C49" s="71">
        <v>170044</v>
      </c>
      <c r="D49" s="71">
        <v>7217451220</v>
      </c>
      <c r="E49" s="58">
        <v>1.7425278609140175E-4</v>
      </c>
      <c r="F49" s="92">
        <v>424.4460974806521</v>
      </c>
      <c r="G49" s="89">
        <v>0</v>
      </c>
      <c r="H49" s="60" t="str">
        <f t="shared" si="0"/>
        <v>(400, 450]</v>
      </c>
      <c r="I49" s="218">
        <v>0</v>
      </c>
      <c r="J49" s="58">
        <v>0</v>
      </c>
      <c r="K49" s="58">
        <v>0</v>
      </c>
      <c r="L49" s="115">
        <v>0</v>
      </c>
      <c r="M49" s="58">
        <v>0</v>
      </c>
      <c r="N49" s="58">
        <v>0</v>
      </c>
      <c r="O49" s="117">
        <v>0</v>
      </c>
      <c r="P49" s="58">
        <v>0</v>
      </c>
      <c r="Q49" s="58">
        <v>0</v>
      </c>
      <c r="R49" s="58">
        <v>0</v>
      </c>
      <c r="S49" s="82">
        <v>0</v>
      </c>
    </row>
    <row r="50" spans="1:19" x14ac:dyDescent="0.3">
      <c r="A50" s="57">
        <v>450</v>
      </c>
      <c r="B50" s="57">
        <v>500</v>
      </c>
      <c r="C50" s="71">
        <v>135574</v>
      </c>
      <c r="D50" s="71">
        <v>6461924195</v>
      </c>
      <c r="E50" s="58">
        <v>1.3892961363856239E-4</v>
      </c>
      <c r="F50" s="92">
        <v>476.63447231770101</v>
      </c>
      <c r="G50" s="89">
        <v>0</v>
      </c>
      <c r="H50" s="60" t="str">
        <f t="shared" si="0"/>
        <v>(450, 500]</v>
      </c>
      <c r="I50" s="218">
        <v>0</v>
      </c>
      <c r="J50" s="58">
        <v>0</v>
      </c>
      <c r="K50" s="58">
        <v>0</v>
      </c>
      <c r="L50" s="115">
        <v>0</v>
      </c>
      <c r="M50" s="58">
        <v>0</v>
      </c>
      <c r="N50" s="58">
        <v>0</v>
      </c>
      <c r="O50" s="117">
        <v>0</v>
      </c>
      <c r="P50" s="58">
        <v>0</v>
      </c>
      <c r="Q50" s="58">
        <v>0</v>
      </c>
      <c r="R50" s="58">
        <v>0</v>
      </c>
      <c r="S50" s="82">
        <v>0</v>
      </c>
    </row>
    <row r="51" spans="1:19" x14ac:dyDescent="0.3">
      <c r="A51" s="57">
        <v>500</v>
      </c>
      <c r="B51" s="57">
        <v>550</v>
      </c>
      <c r="C51" s="71">
        <v>101112</v>
      </c>
      <c r="D51" s="71">
        <v>5305483430</v>
      </c>
      <c r="E51" s="58">
        <v>1.0361463919499549E-4</v>
      </c>
      <c r="F51" s="92">
        <v>524.71352856238627</v>
      </c>
      <c r="G51" s="89">
        <v>0</v>
      </c>
      <c r="H51" s="60" t="str">
        <f t="shared" si="0"/>
        <v>(500, 550]</v>
      </c>
      <c r="I51" s="218">
        <v>0</v>
      </c>
      <c r="J51" s="58">
        <v>0</v>
      </c>
      <c r="K51" s="58">
        <v>0</v>
      </c>
      <c r="L51" s="115">
        <v>0</v>
      </c>
      <c r="M51" s="58">
        <v>0</v>
      </c>
      <c r="N51" s="58">
        <v>0</v>
      </c>
      <c r="O51" s="117">
        <v>0</v>
      </c>
      <c r="P51" s="58">
        <v>0</v>
      </c>
      <c r="Q51" s="58">
        <v>0</v>
      </c>
      <c r="R51" s="58">
        <v>0</v>
      </c>
      <c r="S51" s="82">
        <v>0</v>
      </c>
    </row>
    <row r="52" spans="1:19" x14ac:dyDescent="0.3">
      <c r="A52" s="57">
        <v>550</v>
      </c>
      <c r="B52" s="57">
        <v>600</v>
      </c>
      <c r="C52" s="71">
        <v>84327</v>
      </c>
      <c r="D52" s="71">
        <v>4862430890</v>
      </c>
      <c r="E52" s="58">
        <v>8.6414190990153342E-5</v>
      </c>
      <c r="F52" s="92">
        <v>576.61613599440273</v>
      </c>
      <c r="G52" s="89">
        <v>0</v>
      </c>
      <c r="H52" s="60" t="str">
        <f t="shared" si="0"/>
        <v>(550, 600]</v>
      </c>
      <c r="I52" s="218">
        <v>0</v>
      </c>
      <c r="J52" s="58">
        <v>0</v>
      </c>
      <c r="K52" s="58">
        <v>0</v>
      </c>
      <c r="L52" s="115">
        <v>0</v>
      </c>
      <c r="M52" s="58">
        <v>0</v>
      </c>
      <c r="N52" s="58">
        <v>0</v>
      </c>
      <c r="O52" s="117">
        <v>0</v>
      </c>
      <c r="P52" s="58">
        <v>0</v>
      </c>
      <c r="Q52" s="58">
        <v>0</v>
      </c>
      <c r="R52" s="58">
        <v>0</v>
      </c>
      <c r="S52" s="82">
        <v>0</v>
      </c>
    </row>
    <row r="53" spans="1:19" x14ac:dyDescent="0.3">
      <c r="A53" s="57">
        <v>600</v>
      </c>
      <c r="B53" s="57">
        <v>650</v>
      </c>
      <c r="C53" s="71">
        <v>64244</v>
      </c>
      <c r="D53" s="71">
        <v>4014187770</v>
      </c>
      <c r="E53" s="58">
        <v>6.583411346272738E-5</v>
      </c>
      <c r="F53" s="92">
        <v>624.83465693294318</v>
      </c>
      <c r="G53" s="89">
        <v>0</v>
      </c>
      <c r="H53" s="60" t="str">
        <f t="shared" si="0"/>
        <v>(600, 650]</v>
      </c>
      <c r="I53" s="218">
        <v>0</v>
      </c>
      <c r="J53" s="58">
        <v>0</v>
      </c>
      <c r="K53" s="58">
        <v>0</v>
      </c>
      <c r="L53" s="115">
        <v>0</v>
      </c>
      <c r="M53" s="58">
        <v>0</v>
      </c>
      <c r="N53" s="58">
        <v>0</v>
      </c>
      <c r="O53" s="117">
        <v>0</v>
      </c>
      <c r="P53" s="58">
        <v>0</v>
      </c>
      <c r="Q53" s="58">
        <v>0</v>
      </c>
      <c r="R53" s="58">
        <v>0</v>
      </c>
      <c r="S53" s="82">
        <v>0</v>
      </c>
    </row>
    <row r="54" spans="1:19" x14ac:dyDescent="0.3">
      <c r="A54" s="57">
        <v>650</v>
      </c>
      <c r="B54" s="57">
        <v>700</v>
      </c>
      <c r="C54" s="71">
        <v>55867</v>
      </c>
      <c r="D54" s="71">
        <v>3783822575</v>
      </c>
      <c r="E54" s="58">
        <v>5.7249773003271751E-5</v>
      </c>
      <c r="F54" s="92">
        <v>677.29116920543424</v>
      </c>
      <c r="G54" s="89">
        <v>0</v>
      </c>
      <c r="H54" s="60" t="str">
        <f t="shared" si="0"/>
        <v>(650, 700]</v>
      </c>
      <c r="I54" s="218">
        <v>0</v>
      </c>
      <c r="J54" s="58">
        <v>0</v>
      </c>
      <c r="K54" s="58">
        <v>0</v>
      </c>
      <c r="L54" s="115">
        <v>0</v>
      </c>
      <c r="M54" s="58">
        <v>0</v>
      </c>
      <c r="N54" s="58">
        <v>0</v>
      </c>
      <c r="O54" s="117">
        <v>0</v>
      </c>
      <c r="P54" s="58">
        <v>0</v>
      </c>
      <c r="Q54" s="58">
        <v>0</v>
      </c>
      <c r="R54" s="58">
        <v>0</v>
      </c>
      <c r="S54" s="82">
        <v>0</v>
      </c>
    </row>
    <row r="55" spans="1:19" x14ac:dyDescent="0.3">
      <c r="A55" s="57">
        <v>700</v>
      </c>
      <c r="B55" s="57">
        <v>750</v>
      </c>
      <c r="C55" s="71">
        <v>48855</v>
      </c>
      <c r="D55" s="71">
        <v>3549139120</v>
      </c>
      <c r="E55" s="58">
        <v>5.0064217875934654E-5</v>
      </c>
      <c r="F55" s="92">
        <v>726.46384607512027</v>
      </c>
      <c r="G55" s="89">
        <v>0</v>
      </c>
      <c r="H55" s="60" t="str">
        <f t="shared" si="0"/>
        <v>(700, 750]</v>
      </c>
      <c r="I55" s="218">
        <v>0</v>
      </c>
      <c r="J55" s="58">
        <v>0</v>
      </c>
      <c r="K55" s="58">
        <v>0</v>
      </c>
      <c r="L55" s="115">
        <v>0</v>
      </c>
      <c r="M55" s="58">
        <v>0</v>
      </c>
      <c r="N55" s="58">
        <v>0</v>
      </c>
      <c r="O55" s="117">
        <v>0</v>
      </c>
      <c r="P55" s="58">
        <v>0</v>
      </c>
      <c r="Q55" s="58">
        <v>0</v>
      </c>
      <c r="R55" s="58">
        <v>0</v>
      </c>
      <c r="S55" s="82">
        <v>0</v>
      </c>
    </row>
    <row r="56" spans="1:19" x14ac:dyDescent="0.3">
      <c r="A56" s="57">
        <v>750</v>
      </c>
      <c r="B56" s="57">
        <v>800</v>
      </c>
      <c r="C56" s="71">
        <v>39264</v>
      </c>
      <c r="D56" s="71">
        <v>3051096245</v>
      </c>
      <c r="E56" s="58">
        <v>4.0235829509378738E-5</v>
      </c>
      <c r="F56" s="92">
        <v>777.07218953748975</v>
      </c>
      <c r="G56" s="89">
        <v>0</v>
      </c>
      <c r="H56" s="60" t="str">
        <f t="shared" si="0"/>
        <v>(750, 800]</v>
      </c>
      <c r="I56" s="218">
        <v>0</v>
      </c>
      <c r="J56" s="58">
        <v>0</v>
      </c>
      <c r="K56" s="58">
        <v>0</v>
      </c>
      <c r="L56" s="115">
        <v>0</v>
      </c>
      <c r="M56" s="58">
        <v>0</v>
      </c>
      <c r="N56" s="58">
        <v>0</v>
      </c>
      <c r="O56" s="117">
        <v>0</v>
      </c>
      <c r="P56" s="58">
        <v>0</v>
      </c>
      <c r="Q56" s="58">
        <v>0</v>
      </c>
      <c r="R56" s="58">
        <v>0</v>
      </c>
      <c r="S56" s="82">
        <v>0</v>
      </c>
    </row>
    <row r="57" spans="1:19" x14ac:dyDescent="0.3">
      <c r="A57" s="57">
        <v>800</v>
      </c>
      <c r="B57" s="57">
        <v>850</v>
      </c>
      <c r="C57" s="71">
        <v>34939</v>
      </c>
      <c r="D57" s="71">
        <v>2884838025</v>
      </c>
      <c r="E57" s="58">
        <v>3.5803780746439073E-5</v>
      </c>
      <c r="F57" s="92">
        <v>825.67847534274028</v>
      </c>
      <c r="G57" s="89">
        <v>0</v>
      </c>
      <c r="H57" s="60" t="str">
        <f t="shared" si="0"/>
        <v>(800, 850]</v>
      </c>
      <c r="I57" s="218">
        <v>0</v>
      </c>
      <c r="J57" s="58">
        <v>0</v>
      </c>
      <c r="K57" s="58">
        <v>0</v>
      </c>
      <c r="L57" s="115">
        <v>0</v>
      </c>
      <c r="M57" s="58">
        <v>0</v>
      </c>
      <c r="N57" s="58">
        <v>0</v>
      </c>
      <c r="O57" s="117">
        <v>0</v>
      </c>
      <c r="P57" s="58">
        <v>0</v>
      </c>
      <c r="Q57" s="58">
        <v>0</v>
      </c>
      <c r="R57" s="58">
        <v>0</v>
      </c>
      <c r="S57" s="82">
        <v>0</v>
      </c>
    </row>
    <row r="58" spans="1:19" x14ac:dyDescent="0.3">
      <c r="A58" s="57">
        <v>850</v>
      </c>
      <c r="B58" s="57">
        <v>900</v>
      </c>
      <c r="C58" s="71">
        <v>28201</v>
      </c>
      <c r="D58" s="71">
        <v>2470406340</v>
      </c>
      <c r="E58" s="58">
        <v>2.8899007436684744E-5</v>
      </c>
      <c r="F58" s="92">
        <v>875.99955320733307</v>
      </c>
      <c r="G58" s="89">
        <v>0</v>
      </c>
      <c r="H58" s="60" t="str">
        <f t="shared" si="0"/>
        <v>(850, 900]</v>
      </c>
      <c r="I58" s="218">
        <v>0</v>
      </c>
      <c r="J58" s="58">
        <v>0</v>
      </c>
      <c r="K58" s="58">
        <v>0</v>
      </c>
      <c r="L58" s="83">
        <v>0</v>
      </c>
      <c r="M58" s="58">
        <v>0</v>
      </c>
      <c r="N58" s="58">
        <v>0</v>
      </c>
      <c r="O58" s="117">
        <v>0</v>
      </c>
      <c r="P58" s="58">
        <v>0</v>
      </c>
      <c r="Q58" s="58">
        <v>0</v>
      </c>
      <c r="R58" s="58">
        <v>0</v>
      </c>
      <c r="S58" s="82">
        <v>0</v>
      </c>
    </row>
    <row r="59" spans="1:19" x14ac:dyDescent="0.3">
      <c r="A59" s="57">
        <v>900</v>
      </c>
      <c r="B59" s="57">
        <v>950</v>
      </c>
      <c r="C59" s="71">
        <v>25694</v>
      </c>
      <c r="D59" s="71">
        <v>2379513120</v>
      </c>
      <c r="E59" s="58">
        <v>2.6329956280918331E-5</v>
      </c>
      <c r="F59" s="92">
        <v>926.09680080952751</v>
      </c>
      <c r="G59" s="89">
        <v>0</v>
      </c>
      <c r="H59" s="60" t="str">
        <f t="shared" si="0"/>
        <v>(900, 950]</v>
      </c>
      <c r="I59" s="218">
        <v>0</v>
      </c>
      <c r="J59" s="58">
        <v>0</v>
      </c>
      <c r="K59" s="58">
        <v>0</v>
      </c>
      <c r="L59" s="83">
        <v>0</v>
      </c>
      <c r="M59" s="58">
        <v>0</v>
      </c>
      <c r="N59" s="58">
        <v>0</v>
      </c>
      <c r="O59" s="117">
        <v>0</v>
      </c>
      <c r="P59" s="58">
        <v>0</v>
      </c>
      <c r="Q59" s="58">
        <v>0</v>
      </c>
      <c r="R59" s="58">
        <v>0</v>
      </c>
      <c r="S59" s="82">
        <v>0</v>
      </c>
    </row>
    <row r="60" spans="1:19" x14ac:dyDescent="0.3">
      <c r="A60" s="57">
        <v>950</v>
      </c>
      <c r="B60" s="57">
        <v>1000</v>
      </c>
      <c r="C60" s="71">
        <v>29078</v>
      </c>
      <c r="D60" s="71">
        <v>2855552985</v>
      </c>
      <c r="E60" s="58">
        <v>2.9797714203181414E-5</v>
      </c>
      <c r="F60" s="92">
        <v>982.03211534493425</v>
      </c>
      <c r="G60" s="89">
        <v>0</v>
      </c>
      <c r="H60" s="60" t="str">
        <f t="shared" si="0"/>
        <v>(950, 1000]</v>
      </c>
      <c r="I60" s="218">
        <v>0</v>
      </c>
      <c r="J60" s="58">
        <v>0</v>
      </c>
      <c r="K60" s="58">
        <v>0</v>
      </c>
      <c r="L60" s="83">
        <v>0</v>
      </c>
      <c r="M60" s="58">
        <v>0</v>
      </c>
      <c r="N60" s="58">
        <v>0</v>
      </c>
      <c r="O60" s="117">
        <v>0</v>
      </c>
      <c r="P60" s="58">
        <v>0</v>
      </c>
      <c r="Q60" s="58">
        <v>0</v>
      </c>
      <c r="R60" s="58">
        <v>0</v>
      </c>
      <c r="S60" s="82">
        <v>0</v>
      </c>
    </row>
    <row r="61" spans="1:19" x14ac:dyDescent="0.3">
      <c r="A61" s="57">
        <v>1000</v>
      </c>
      <c r="B61" s="57">
        <v>2000</v>
      </c>
      <c r="C61" s="71">
        <v>241904</v>
      </c>
      <c r="D61" s="71">
        <v>34078518270</v>
      </c>
      <c r="E61" s="58">
        <v>2.4789140438153919E-4</v>
      </c>
      <c r="F61" s="92">
        <v>1408.7620820656127</v>
      </c>
      <c r="G61" s="89">
        <v>0</v>
      </c>
      <c r="H61" s="60" t="str">
        <f t="shared" si="0"/>
        <v>(1000, 2000]</v>
      </c>
      <c r="I61" s="218">
        <v>0</v>
      </c>
      <c r="J61" s="58">
        <v>0</v>
      </c>
      <c r="K61" s="58">
        <v>0</v>
      </c>
      <c r="L61" s="83">
        <v>0</v>
      </c>
      <c r="M61" s="58">
        <v>0</v>
      </c>
      <c r="N61" s="58">
        <v>0</v>
      </c>
      <c r="O61" s="117">
        <v>0</v>
      </c>
      <c r="P61" s="58">
        <v>0</v>
      </c>
      <c r="Q61" s="58">
        <v>0</v>
      </c>
      <c r="R61" s="58">
        <v>0</v>
      </c>
      <c r="S61" s="82">
        <v>0</v>
      </c>
    </row>
    <row r="62" spans="1:19" x14ac:dyDescent="0.3">
      <c r="A62" s="57">
        <v>2000</v>
      </c>
      <c r="B62" s="57">
        <v>3000</v>
      </c>
      <c r="C62" s="71">
        <v>102723</v>
      </c>
      <c r="D62" s="71">
        <v>25279567590</v>
      </c>
      <c r="E62" s="58">
        <v>1.0526551331224308E-4</v>
      </c>
      <c r="F62" s="92">
        <v>2460.9452206419205</v>
      </c>
      <c r="G62" s="89">
        <v>0</v>
      </c>
      <c r="H62" s="60" t="str">
        <f t="shared" si="0"/>
        <v>(2000, 3000]</v>
      </c>
      <c r="I62" s="218">
        <v>0</v>
      </c>
      <c r="J62" s="58">
        <v>0</v>
      </c>
      <c r="K62" s="58">
        <v>0</v>
      </c>
      <c r="L62" s="83">
        <v>0</v>
      </c>
      <c r="M62" s="58">
        <v>0</v>
      </c>
      <c r="N62" s="58">
        <v>0</v>
      </c>
      <c r="O62" s="117">
        <v>0</v>
      </c>
      <c r="P62" s="58">
        <v>0</v>
      </c>
      <c r="Q62" s="58">
        <v>0</v>
      </c>
      <c r="R62" s="58">
        <v>0</v>
      </c>
      <c r="S62" s="82">
        <v>0</v>
      </c>
    </row>
    <row r="63" spans="1:19" x14ac:dyDescent="0.3">
      <c r="A63" s="57">
        <v>3000</v>
      </c>
      <c r="B63" s="57">
        <v>4000</v>
      </c>
      <c r="C63" s="71">
        <v>60894</v>
      </c>
      <c r="D63" s="71">
        <v>21120429335</v>
      </c>
      <c r="E63" s="58">
        <v>6.2401197079872374E-5</v>
      </c>
      <c r="F63" s="92">
        <v>3468.3925074720005</v>
      </c>
      <c r="G63" s="89">
        <v>0</v>
      </c>
      <c r="H63" s="60" t="str">
        <f t="shared" si="0"/>
        <v>(3000, 4000]</v>
      </c>
      <c r="I63" s="218">
        <v>0</v>
      </c>
      <c r="J63" s="58">
        <v>0</v>
      </c>
      <c r="K63" s="58">
        <v>0</v>
      </c>
      <c r="L63" s="83">
        <v>0</v>
      </c>
      <c r="M63" s="58">
        <v>0</v>
      </c>
      <c r="N63" s="58">
        <v>0</v>
      </c>
      <c r="O63" s="117">
        <v>0</v>
      </c>
      <c r="P63" s="58">
        <v>0</v>
      </c>
      <c r="Q63" s="58">
        <v>0</v>
      </c>
      <c r="R63" s="58">
        <v>0</v>
      </c>
      <c r="S63" s="82">
        <v>0</v>
      </c>
    </row>
    <row r="64" spans="1:19" x14ac:dyDescent="0.3">
      <c r="A64" s="57">
        <v>4000</v>
      </c>
      <c r="B64" s="57">
        <v>5000</v>
      </c>
      <c r="C64" s="71">
        <v>39858</v>
      </c>
      <c r="D64" s="71">
        <v>17838944055</v>
      </c>
      <c r="E64" s="58">
        <v>4.084453169786109E-5</v>
      </c>
      <c r="F64" s="92">
        <v>4475.62448065633</v>
      </c>
      <c r="G64" s="89">
        <v>0</v>
      </c>
      <c r="H64" s="60" t="str">
        <f t="shared" si="0"/>
        <v>(4000, 5000]</v>
      </c>
      <c r="I64" s="218">
        <v>0</v>
      </c>
      <c r="J64" s="58">
        <v>0</v>
      </c>
      <c r="K64" s="58">
        <v>0</v>
      </c>
      <c r="L64" s="83">
        <v>0</v>
      </c>
      <c r="M64" s="58">
        <v>0</v>
      </c>
      <c r="N64" s="58">
        <v>0</v>
      </c>
      <c r="O64" s="117">
        <v>0</v>
      </c>
      <c r="P64" s="58">
        <v>0</v>
      </c>
      <c r="Q64" s="58">
        <v>0</v>
      </c>
      <c r="R64" s="58">
        <v>0</v>
      </c>
      <c r="S64" s="82">
        <v>0</v>
      </c>
    </row>
    <row r="65" spans="1:20" x14ac:dyDescent="0.3">
      <c r="A65" s="57">
        <v>5000</v>
      </c>
      <c r="B65" s="57">
        <v>6000</v>
      </c>
      <c r="C65" s="71">
        <v>27915</v>
      </c>
      <c r="D65" s="71">
        <v>15297501810</v>
      </c>
      <c r="E65" s="58">
        <v>2.8605928605193243E-5</v>
      </c>
      <c r="F65" s="92">
        <v>5480.0293068242872</v>
      </c>
      <c r="G65" s="89">
        <v>0</v>
      </c>
      <c r="H65" s="60" t="str">
        <f t="shared" si="0"/>
        <v>(5000, 6000]</v>
      </c>
      <c r="I65" s="218">
        <v>0</v>
      </c>
      <c r="J65" s="58">
        <v>0</v>
      </c>
      <c r="K65" s="58">
        <v>0</v>
      </c>
      <c r="L65" s="83">
        <v>0</v>
      </c>
      <c r="M65" s="58">
        <v>0</v>
      </c>
      <c r="N65" s="58">
        <v>0</v>
      </c>
      <c r="O65" s="117">
        <v>0</v>
      </c>
      <c r="P65" s="58">
        <v>0</v>
      </c>
      <c r="Q65" s="58">
        <v>0</v>
      </c>
      <c r="R65" s="58">
        <v>0</v>
      </c>
      <c r="S65" s="82">
        <v>0</v>
      </c>
    </row>
    <row r="66" spans="1:20" x14ac:dyDescent="0.3">
      <c r="A66" s="57">
        <v>6000</v>
      </c>
      <c r="B66" s="57">
        <v>7000</v>
      </c>
      <c r="C66" s="71">
        <v>20068</v>
      </c>
      <c r="D66" s="71">
        <v>13001038590</v>
      </c>
      <c r="E66" s="58">
        <v>2.0564706260040049E-5</v>
      </c>
      <c r="F66" s="92">
        <v>6478.4924207693839</v>
      </c>
      <c r="G66" s="89">
        <v>0</v>
      </c>
      <c r="H66" s="60" t="str">
        <f t="shared" si="0"/>
        <v>(6000, 7000]</v>
      </c>
      <c r="I66" s="218">
        <v>0</v>
      </c>
      <c r="J66" s="58">
        <v>0</v>
      </c>
      <c r="K66" s="58">
        <v>0</v>
      </c>
      <c r="L66" s="83">
        <v>0</v>
      </c>
      <c r="M66" s="58">
        <v>0</v>
      </c>
      <c r="N66" s="58">
        <v>0</v>
      </c>
      <c r="O66" s="117">
        <v>0</v>
      </c>
      <c r="P66" s="58">
        <v>0</v>
      </c>
      <c r="Q66" s="58">
        <v>0</v>
      </c>
      <c r="R66" s="58">
        <v>0</v>
      </c>
      <c r="S66" s="82">
        <v>0</v>
      </c>
    </row>
    <row r="67" spans="1:20" x14ac:dyDescent="0.3">
      <c r="A67" s="57">
        <v>7000</v>
      </c>
      <c r="B67" s="57">
        <v>8000</v>
      </c>
      <c r="C67" s="71">
        <v>14363</v>
      </c>
      <c r="D67" s="71">
        <v>10748537655</v>
      </c>
      <c r="E67" s="58">
        <v>1.4718500897595937E-5</v>
      </c>
      <c r="F67" s="92">
        <v>7483.4906739539092</v>
      </c>
      <c r="G67" s="117">
        <v>0</v>
      </c>
      <c r="H67" s="60" t="str">
        <f t="shared" si="0"/>
        <v>(7000, 8000]</v>
      </c>
      <c r="I67" s="218">
        <v>0</v>
      </c>
      <c r="J67" s="58">
        <v>0</v>
      </c>
      <c r="K67" s="58">
        <v>0</v>
      </c>
      <c r="L67" s="83">
        <v>0</v>
      </c>
      <c r="M67" s="58">
        <v>0</v>
      </c>
      <c r="N67" s="58">
        <v>0</v>
      </c>
      <c r="O67" s="117">
        <v>0</v>
      </c>
      <c r="P67" s="58">
        <v>0</v>
      </c>
      <c r="Q67" s="58">
        <v>0</v>
      </c>
      <c r="R67" s="58">
        <v>0</v>
      </c>
      <c r="S67" s="82">
        <v>0</v>
      </c>
    </row>
    <row r="68" spans="1:20" x14ac:dyDescent="0.3">
      <c r="A68" s="57">
        <v>8000</v>
      </c>
      <c r="B68" s="57">
        <v>9000</v>
      </c>
      <c r="C68" s="71">
        <v>10887</v>
      </c>
      <c r="D68" s="71">
        <v>9232015295</v>
      </c>
      <c r="E68" s="58">
        <v>1.1156465868699225E-5</v>
      </c>
      <c r="F68" s="92">
        <v>8479.8523881693764</v>
      </c>
      <c r="G68" s="89">
        <v>0</v>
      </c>
      <c r="H68" s="60" t="str">
        <f t="shared" si="0"/>
        <v>(8000, 9000]</v>
      </c>
      <c r="I68" s="218">
        <v>0</v>
      </c>
      <c r="J68" s="58">
        <v>0</v>
      </c>
      <c r="K68" s="58">
        <v>0</v>
      </c>
      <c r="L68" s="83">
        <v>0</v>
      </c>
      <c r="M68" s="58">
        <v>0</v>
      </c>
      <c r="N68" s="58">
        <v>0</v>
      </c>
      <c r="O68" s="117">
        <v>0</v>
      </c>
      <c r="P68" s="58">
        <v>0</v>
      </c>
      <c r="Q68" s="58">
        <v>0</v>
      </c>
      <c r="R68" s="58">
        <v>0</v>
      </c>
      <c r="S68" s="82">
        <v>0</v>
      </c>
    </row>
    <row r="69" spans="1:20" x14ac:dyDescent="0.3">
      <c r="A69" s="57">
        <v>9000</v>
      </c>
      <c r="B69" s="57">
        <v>10000</v>
      </c>
      <c r="C69" s="71">
        <v>8151</v>
      </c>
      <c r="D69" s="71">
        <v>7732408470</v>
      </c>
      <c r="E69" s="58">
        <v>8.3527466975077962E-6</v>
      </c>
      <c r="F69" s="92">
        <v>9486.4537725432456</v>
      </c>
      <c r="G69" s="89">
        <v>0</v>
      </c>
      <c r="H69" s="60" t="str">
        <f t="shared" si="0"/>
        <v>(9000, 10000]</v>
      </c>
      <c r="I69" s="218">
        <v>0</v>
      </c>
      <c r="J69" s="58">
        <v>0</v>
      </c>
      <c r="K69" s="58">
        <v>0</v>
      </c>
      <c r="L69" s="83">
        <v>0</v>
      </c>
      <c r="M69" s="58">
        <v>0</v>
      </c>
      <c r="N69" s="58">
        <v>0</v>
      </c>
      <c r="O69" s="117">
        <v>0</v>
      </c>
      <c r="P69" s="58">
        <v>0</v>
      </c>
      <c r="Q69" s="58">
        <v>0</v>
      </c>
      <c r="R69" s="58">
        <v>0</v>
      </c>
      <c r="S69" s="82">
        <v>0</v>
      </c>
    </row>
    <row r="70" spans="1:20" x14ac:dyDescent="0.3">
      <c r="A70" s="57">
        <v>10000</v>
      </c>
      <c r="B70" s="57">
        <v>20000</v>
      </c>
      <c r="C70" s="71">
        <v>28306</v>
      </c>
      <c r="D70" s="71">
        <v>38232162105</v>
      </c>
      <c r="E70" s="58">
        <v>2.9006606308386171E-5</v>
      </c>
      <c r="F70" s="92">
        <v>13506.734298381969</v>
      </c>
      <c r="G70" s="89">
        <v>0</v>
      </c>
      <c r="H70" s="60" t="str">
        <f t="shared" si="0"/>
        <v>(10000, 20000]</v>
      </c>
      <c r="I70" s="218">
        <v>0</v>
      </c>
      <c r="J70" s="58">
        <v>0</v>
      </c>
      <c r="K70" s="58">
        <v>0</v>
      </c>
      <c r="L70" s="83">
        <v>0</v>
      </c>
      <c r="M70" s="58">
        <v>0</v>
      </c>
      <c r="N70" s="58">
        <v>0</v>
      </c>
      <c r="O70" s="117">
        <v>0</v>
      </c>
      <c r="P70" s="58">
        <v>0</v>
      </c>
      <c r="Q70" s="58">
        <v>0</v>
      </c>
      <c r="R70" s="58">
        <v>0</v>
      </c>
      <c r="S70" s="82">
        <v>0</v>
      </c>
    </row>
    <row r="71" spans="1:20" x14ac:dyDescent="0.3">
      <c r="A71" s="57">
        <v>20000</v>
      </c>
      <c r="B71" s="57">
        <v>30000</v>
      </c>
      <c r="C71" s="71">
        <v>5090</v>
      </c>
      <c r="D71" s="71">
        <v>12184853370</v>
      </c>
      <c r="E71" s="58">
        <v>5.2159833996214801E-6</v>
      </c>
      <c r="F71" s="92">
        <v>23938.808192534383</v>
      </c>
      <c r="G71" s="89">
        <v>0</v>
      </c>
      <c r="H71" s="60" t="str">
        <f t="shared" si="0"/>
        <v>(20000, 30000]</v>
      </c>
      <c r="I71" s="218">
        <v>0</v>
      </c>
      <c r="J71" s="58">
        <v>0</v>
      </c>
      <c r="K71" s="58">
        <v>0</v>
      </c>
      <c r="L71" s="83">
        <v>0</v>
      </c>
      <c r="M71" s="58">
        <v>0</v>
      </c>
      <c r="N71" s="58">
        <v>0</v>
      </c>
      <c r="O71" s="117">
        <v>0</v>
      </c>
      <c r="P71" s="58">
        <v>0</v>
      </c>
      <c r="Q71" s="58">
        <v>0</v>
      </c>
      <c r="R71" s="58">
        <v>0</v>
      </c>
      <c r="S71" s="82">
        <v>0</v>
      </c>
    </row>
    <row r="72" spans="1:20" x14ac:dyDescent="0.3">
      <c r="A72" s="57">
        <v>30000</v>
      </c>
      <c r="B72" s="57">
        <v>40000</v>
      </c>
      <c r="C72" s="71">
        <v>1319</v>
      </c>
      <c r="D72" s="71">
        <v>4457822220</v>
      </c>
      <c r="E72" s="58">
        <v>1.3516467788017156E-6</v>
      </c>
      <c r="F72" s="92">
        <v>33796.984230477632</v>
      </c>
      <c r="G72" s="89">
        <v>0</v>
      </c>
      <c r="H72" s="60" t="str">
        <f t="shared" si="0"/>
        <v>(30000, 40000]</v>
      </c>
      <c r="I72" s="218">
        <v>0</v>
      </c>
      <c r="J72" s="58">
        <v>0</v>
      </c>
      <c r="K72" s="58">
        <v>0</v>
      </c>
      <c r="L72" s="83">
        <v>0</v>
      </c>
      <c r="M72" s="58">
        <v>0</v>
      </c>
      <c r="N72" s="58">
        <v>0</v>
      </c>
      <c r="O72" s="117">
        <v>0</v>
      </c>
      <c r="P72" s="58">
        <v>0</v>
      </c>
      <c r="Q72" s="58">
        <v>0</v>
      </c>
      <c r="R72" s="58">
        <v>0</v>
      </c>
      <c r="S72" s="82">
        <v>0</v>
      </c>
    </row>
    <row r="73" spans="1:20" x14ac:dyDescent="0.3">
      <c r="A73" s="57">
        <v>40000</v>
      </c>
      <c r="B73" s="57">
        <v>50000</v>
      </c>
      <c r="C73" s="71">
        <v>386</v>
      </c>
      <c r="D73" s="71">
        <v>1709453235</v>
      </c>
      <c r="E73" s="58">
        <v>3.9555394739762108E-7</v>
      </c>
      <c r="F73" s="92">
        <v>44286.353238341966</v>
      </c>
      <c r="G73" s="89">
        <v>0</v>
      </c>
      <c r="H73" s="60" t="str">
        <f t="shared" si="0"/>
        <v>(40000, 50000]</v>
      </c>
      <c r="I73" s="218">
        <v>0</v>
      </c>
      <c r="J73" s="58">
        <v>0</v>
      </c>
      <c r="K73" s="58">
        <v>0</v>
      </c>
      <c r="L73" s="83">
        <v>0</v>
      </c>
      <c r="M73" s="58">
        <v>0</v>
      </c>
      <c r="N73" s="58">
        <v>0</v>
      </c>
      <c r="O73" s="117">
        <v>0</v>
      </c>
      <c r="P73" s="58">
        <v>0</v>
      </c>
      <c r="Q73" s="58">
        <v>0</v>
      </c>
      <c r="R73" s="58">
        <v>0</v>
      </c>
      <c r="S73" s="82">
        <v>0</v>
      </c>
    </row>
    <row r="74" spans="1:20" x14ac:dyDescent="0.3">
      <c r="A74" s="57">
        <v>50000</v>
      </c>
      <c r="B74" s="57">
        <v>60000</v>
      </c>
      <c r="C74" s="71">
        <v>685</v>
      </c>
      <c r="D74" s="71">
        <v>3754047120</v>
      </c>
      <c r="E74" s="58">
        <v>7.0195454395691819E-7</v>
      </c>
      <c r="F74" s="92">
        <v>54803.607591240871</v>
      </c>
      <c r="G74" s="89">
        <v>0</v>
      </c>
      <c r="H74" s="60" t="str">
        <f t="shared" si="0"/>
        <v>(50000, 60000]</v>
      </c>
      <c r="I74" s="218">
        <v>0</v>
      </c>
      <c r="J74" s="58">
        <v>0</v>
      </c>
      <c r="K74" s="58">
        <v>0</v>
      </c>
      <c r="L74" s="83">
        <v>0</v>
      </c>
      <c r="M74" s="58">
        <v>0</v>
      </c>
      <c r="N74" s="58">
        <v>0</v>
      </c>
      <c r="O74" s="117">
        <v>0</v>
      </c>
      <c r="P74" s="58">
        <v>0</v>
      </c>
      <c r="Q74" s="58">
        <v>0</v>
      </c>
      <c r="R74" s="58">
        <v>0</v>
      </c>
      <c r="S74" s="82">
        <v>0</v>
      </c>
    </row>
    <row r="75" spans="1:20" x14ac:dyDescent="0.3">
      <c r="A75" s="57">
        <v>60000</v>
      </c>
      <c r="B75" s="57">
        <v>70000</v>
      </c>
      <c r="C75" s="71">
        <v>198</v>
      </c>
      <c r="D75" s="71">
        <v>1266830660</v>
      </c>
      <c r="E75" s="58">
        <v>2.0290072949411651E-7</v>
      </c>
      <c r="F75" s="92">
        <v>63981.346464646471</v>
      </c>
      <c r="G75" s="89">
        <v>0</v>
      </c>
      <c r="H75" s="60" t="str">
        <f t="shared" si="0"/>
        <v>(60000, 70000]</v>
      </c>
      <c r="I75" s="218">
        <v>0</v>
      </c>
      <c r="J75" s="58">
        <v>0</v>
      </c>
      <c r="K75" s="58">
        <v>0</v>
      </c>
      <c r="L75" s="83">
        <v>0</v>
      </c>
      <c r="M75" s="58">
        <v>0</v>
      </c>
      <c r="N75" s="58">
        <v>0</v>
      </c>
      <c r="O75" s="117">
        <v>0</v>
      </c>
      <c r="P75" s="58">
        <v>0</v>
      </c>
      <c r="Q75" s="58">
        <v>0</v>
      </c>
      <c r="R75" s="58">
        <v>0</v>
      </c>
      <c r="S75" s="82">
        <v>0</v>
      </c>
    </row>
    <row r="76" spans="1:20" x14ac:dyDescent="0.3">
      <c r="A76" s="57">
        <v>70000</v>
      </c>
      <c r="B76" s="57">
        <v>80000</v>
      </c>
      <c r="C76" s="71">
        <v>57</v>
      </c>
      <c r="D76" s="71">
        <v>424289610</v>
      </c>
      <c r="E76" s="58">
        <v>5.8410816066488083E-8</v>
      </c>
      <c r="F76" s="92">
        <v>74436.773684210522</v>
      </c>
      <c r="G76" s="89">
        <v>0</v>
      </c>
      <c r="H76" s="60" t="str">
        <f t="shared" si="0"/>
        <v>(70000, 80000]</v>
      </c>
      <c r="I76" s="218">
        <v>0</v>
      </c>
      <c r="J76" s="58">
        <v>0</v>
      </c>
      <c r="K76" s="58">
        <v>0</v>
      </c>
      <c r="L76" s="83">
        <v>0</v>
      </c>
      <c r="M76" s="58">
        <v>0</v>
      </c>
      <c r="N76" s="58">
        <v>0</v>
      </c>
      <c r="O76" s="117">
        <v>0</v>
      </c>
      <c r="P76" s="58">
        <v>0</v>
      </c>
      <c r="Q76" s="58">
        <v>0</v>
      </c>
      <c r="R76" s="58">
        <v>0</v>
      </c>
      <c r="S76" s="82">
        <v>0</v>
      </c>
    </row>
    <row r="77" spans="1:20" x14ac:dyDescent="0.3">
      <c r="A77" s="57">
        <v>80000</v>
      </c>
      <c r="B77" s="57">
        <v>90000</v>
      </c>
      <c r="C77" s="71">
        <v>26</v>
      </c>
      <c r="D77" s="71">
        <v>218246870</v>
      </c>
      <c r="E77" s="58">
        <v>2.6643530135591055E-8</v>
      </c>
      <c r="F77" s="92">
        <v>83941.103846153841</v>
      </c>
      <c r="G77" s="89">
        <v>0</v>
      </c>
      <c r="H77" s="60" t="str">
        <f t="shared" si="0"/>
        <v>(80000, 90000]</v>
      </c>
      <c r="I77" s="218">
        <v>0</v>
      </c>
      <c r="J77" s="58">
        <v>0</v>
      </c>
      <c r="K77" s="58">
        <v>0</v>
      </c>
      <c r="L77" s="83">
        <v>0</v>
      </c>
      <c r="M77" s="58">
        <v>0</v>
      </c>
      <c r="N77" s="58">
        <v>0</v>
      </c>
      <c r="O77" s="117">
        <v>0</v>
      </c>
      <c r="P77" s="58">
        <v>0</v>
      </c>
      <c r="Q77" s="58">
        <v>0</v>
      </c>
      <c r="R77" s="58">
        <v>0</v>
      </c>
      <c r="S77" s="82">
        <v>0</v>
      </c>
    </row>
    <row r="78" spans="1:20" x14ac:dyDescent="0.3">
      <c r="A78" s="57">
        <v>90000</v>
      </c>
      <c r="B78" s="57">
        <v>100000</v>
      </c>
      <c r="C78" s="71">
        <v>8</v>
      </c>
      <c r="D78" s="71">
        <v>76492140</v>
      </c>
      <c r="E78" s="58">
        <v>8.1980092724895557E-9</v>
      </c>
      <c r="F78" s="92">
        <v>95615.175000000003</v>
      </c>
      <c r="G78" s="89">
        <v>0</v>
      </c>
      <c r="H78" s="60" t="str">
        <f t="shared" si="0"/>
        <v>(90000, 100000]</v>
      </c>
      <c r="I78" s="218">
        <v>0</v>
      </c>
      <c r="J78" s="58">
        <v>0</v>
      </c>
      <c r="K78" s="58">
        <v>0</v>
      </c>
      <c r="L78" s="83">
        <v>0</v>
      </c>
      <c r="M78" s="58">
        <v>0</v>
      </c>
      <c r="N78" s="58">
        <v>0</v>
      </c>
      <c r="O78" s="117">
        <v>0</v>
      </c>
      <c r="P78" s="58">
        <v>0</v>
      </c>
      <c r="Q78" s="58">
        <v>0</v>
      </c>
      <c r="R78" s="58">
        <v>0</v>
      </c>
      <c r="S78" s="82">
        <v>0</v>
      </c>
    </row>
    <row r="79" spans="1:20" x14ac:dyDescent="0.3">
      <c r="A79" s="57">
        <v>100000</v>
      </c>
      <c r="B79" s="57">
        <v>9999999</v>
      </c>
      <c r="C79" s="71">
        <v>166</v>
      </c>
      <c r="D79" s="71">
        <v>1996773875</v>
      </c>
      <c r="E79" s="58">
        <v>1.7010869240415828E-7</v>
      </c>
      <c r="F79" s="92">
        <v>120287.5828313253</v>
      </c>
      <c r="G79" s="89">
        <v>0</v>
      </c>
      <c r="H79" s="60" t="str">
        <f t="shared" si="0"/>
        <v>(100000, 9999999]</v>
      </c>
      <c r="I79" s="218">
        <v>0</v>
      </c>
      <c r="J79" s="58">
        <v>0</v>
      </c>
      <c r="K79" s="58">
        <v>0</v>
      </c>
      <c r="L79" s="83">
        <v>0</v>
      </c>
      <c r="M79" s="58">
        <v>0</v>
      </c>
      <c r="N79" s="58">
        <v>0</v>
      </c>
      <c r="O79" s="117">
        <v>0</v>
      </c>
      <c r="P79" s="58">
        <v>0</v>
      </c>
      <c r="Q79" s="58">
        <v>0</v>
      </c>
      <c r="R79" s="58">
        <v>0</v>
      </c>
      <c r="S79" s="82">
        <v>0</v>
      </c>
    </row>
    <row r="80" spans="1:20" x14ac:dyDescent="0.3">
      <c r="A80" s="230" t="s">
        <v>78</v>
      </c>
      <c r="B80" s="231"/>
      <c r="C80" s="72">
        <f>E80*B14</f>
        <v>24153000</v>
      </c>
      <c r="D80" s="71">
        <v>359164335</v>
      </c>
      <c r="E80" s="66">
        <v>2.4153000000000001E-2</v>
      </c>
      <c r="F80" s="92">
        <v>0.14870381940131661</v>
      </c>
      <c r="G80" s="99"/>
      <c r="H80" s="60" t="s">
        <v>78</v>
      </c>
      <c r="I80" s="214">
        <v>0.17299999999999999</v>
      </c>
      <c r="J80" s="58">
        <v>4.1784689999999998E-3</v>
      </c>
      <c r="K80" s="58">
        <f>J80</f>
        <v>4.1784689999999998E-3</v>
      </c>
      <c r="L80" s="83">
        <v>4178469</v>
      </c>
      <c r="M80" s="62">
        <v>4.1782418791279346E-3</v>
      </c>
      <c r="N80" s="58">
        <v>6.2132052580885812E-4</v>
      </c>
      <c r="P80" s="50"/>
      <c r="Q80" s="50"/>
      <c r="R80" s="50"/>
      <c r="S80" s="50"/>
      <c r="T80" s="50"/>
    </row>
    <row r="81" spans="1:20" x14ac:dyDescent="0.3">
      <c r="A81" s="230" t="s">
        <v>79</v>
      </c>
      <c r="B81" s="231"/>
      <c r="C81" s="72">
        <v>10000000</v>
      </c>
      <c r="D81" s="71">
        <v>0</v>
      </c>
      <c r="E81" s="58">
        <v>1</v>
      </c>
      <c r="F81" s="92">
        <v>0</v>
      </c>
      <c r="G81" s="89"/>
      <c r="H81" s="60" t="s">
        <v>79</v>
      </c>
      <c r="I81" s="80"/>
      <c r="J81" s="58"/>
      <c r="K81" s="58"/>
      <c r="L81" s="84"/>
      <c r="M81" s="62">
        <f>E81</f>
        <v>1</v>
      </c>
      <c r="N81" s="58">
        <f>F81/B9</f>
        <v>0</v>
      </c>
      <c r="P81" s="50"/>
      <c r="Q81" s="50"/>
      <c r="R81" s="50"/>
      <c r="S81" s="50"/>
      <c r="T81" s="50"/>
    </row>
    <row r="82" spans="1:20" x14ac:dyDescent="0.3">
      <c r="A82" s="65"/>
      <c r="B82" s="51"/>
      <c r="C82" s="1"/>
      <c r="D82" s="1"/>
      <c r="E82" s="1"/>
      <c r="F82" s="1"/>
      <c r="H82" s="13"/>
      <c r="I82" s="51"/>
      <c r="J82" s="51"/>
      <c r="K82" s="51"/>
      <c r="L82" s="67"/>
      <c r="M82" s="51"/>
      <c r="N82" s="51"/>
    </row>
    <row r="83" spans="1:20" x14ac:dyDescent="0.3">
      <c r="A83" s="51"/>
      <c r="D83" s="112"/>
      <c r="E83" s="1"/>
      <c r="F83" s="1"/>
      <c r="H83" s="13"/>
      <c r="I83" s="51"/>
      <c r="J83" s="51"/>
      <c r="K83" s="51"/>
      <c r="L83" s="51"/>
      <c r="M83" s="51"/>
      <c r="N83" s="51"/>
    </row>
    <row r="84" spans="1:20" s="191" customFormat="1" x14ac:dyDescent="0.3">
      <c r="A84" s="232" t="s">
        <v>290</v>
      </c>
      <c r="B84" s="232"/>
      <c r="C84" s="232"/>
      <c r="D84" s="232"/>
      <c r="E84" s="186"/>
      <c r="F84" s="186"/>
      <c r="G84" s="187"/>
      <c r="H84" s="188"/>
      <c r="I84" s="189"/>
      <c r="J84" s="190"/>
      <c r="K84" s="190"/>
      <c r="L84" s="190"/>
      <c r="M84" s="190"/>
      <c r="N84" s="190"/>
      <c r="O84" s="187"/>
    </row>
    <row r="85" spans="1:20" x14ac:dyDescent="0.3">
      <c r="A85" s="51"/>
      <c r="B85" s="51"/>
      <c r="C85" s="1"/>
      <c r="D85" s="1"/>
      <c r="E85" s="1"/>
      <c r="F85" s="1"/>
      <c r="G85" s="50">
        <v>9.9999999999999995E-7</v>
      </c>
      <c r="H85" s="13"/>
      <c r="I85" s="51"/>
      <c r="J85" s="51"/>
      <c r="K85" s="51"/>
      <c r="L85" s="51"/>
      <c r="M85" s="51"/>
      <c r="N85" s="51"/>
    </row>
    <row r="86" spans="1:20" x14ac:dyDescent="0.3">
      <c r="A86" s="69" t="s">
        <v>75</v>
      </c>
      <c r="B86" s="215">
        <v>1000000000</v>
      </c>
      <c r="C86" s="1"/>
      <c r="D86" s="1"/>
      <c r="E86" s="1"/>
      <c r="F86" s="1"/>
      <c r="G86" s="50">
        <v>21188</v>
      </c>
      <c r="H86" s="69" t="s">
        <v>76</v>
      </c>
      <c r="I86" s="51"/>
      <c r="J86" s="51"/>
      <c r="K86" s="51"/>
      <c r="L86" s="51"/>
      <c r="M86" s="51"/>
      <c r="N86" s="51"/>
    </row>
    <row r="87" spans="1:20" ht="16.2" x14ac:dyDescent="0.3">
      <c r="A87" s="20" t="s">
        <v>58</v>
      </c>
      <c r="B87" s="20" t="s">
        <v>59</v>
      </c>
      <c r="C87" s="20" t="s">
        <v>71</v>
      </c>
      <c r="D87" s="20" t="s">
        <v>72</v>
      </c>
      <c r="E87" s="20" t="s">
        <v>73</v>
      </c>
      <c r="F87" s="20" t="s">
        <v>85</v>
      </c>
      <c r="G87" s="89">
        <f>1+G86*G85</f>
        <v>1.021188</v>
      </c>
      <c r="H87" s="20" t="s">
        <v>61</v>
      </c>
      <c r="I87" s="20" t="s">
        <v>63</v>
      </c>
      <c r="J87" s="20" t="s">
        <v>64</v>
      </c>
      <c r="K87" s="20" t="s">
        <v>65</v>
      </c>
      <c r="L87" s="20" t="s">
        <v>66</v>
      </c>
      <c r="M87" s="20" t="s">
        <v>67</v>
      </c>
      <c r="N87" s="20" t="s">
        <v>60</v>
      </c>
      <c r="O87" s="50">
        <v>0.9</v>
      </c>
      <c r="P87" s="85" t="s">
        <v>84</v>
      </c>
      <c r="Q87" s="185" t="s">
        <v>328</v>
      </c>
      <c r="R87" s="85" t="s">
        <v>217</v>
      </c>
      <c r="S87" s="85" t="s">
        <v>80</v>
      </c>
    </row>
    <row r="88" spans="1:20" x14ac:dyDescent="0.3">
      <c r="A88" s="63">
        <v>-1</v>
      </c>
      <c r="B88" s="63">
        <v>0</v>
      </c>
      <c r="C88" s="95" cm="1">
        <f t="array" ref="C88:D151">C16:D79</f>
        <v>737428057</v>
      </c>
      <c r="D88" s="95">
        <v>0</v>
      </c>
      <c r="E88" s="68" cm="1">
        <f t="array" ref="E88:E151">_xlfn.LET(_xlpm.x, C88:C151, _xlpm.x/SUM(_xlpm.x))</f>
        <v>0.75568025613499457</v>
      </c>
      <c r="F88" s="91" cm="1">
        <f t="array" ref="F88:F152">_xlfn.LET(_xlpm.x, D88:D152/C88:C152/B3, IF(ISERR(_xlpm.x), 0, _xlpm.x))</f>
        <v>0</v>
      </c>
      <c r="G88" s="89"/>
      <c r="H88" s="60" t="str">
        <f>"("&amp;$A88&amp;", "&amp;$B88&amp;"]"</f>
        <v>(-1, 0]</v>
      </c>
      <c r="I88" s="61">
        <v>0.96</v>
      </c>
      <c r="J88" s="58" cm="1">
        <f t="array" ref="J88:J152">E88:E152*I88:I152</f>
        <v>0.72545304588959481</v>
      </c>
      <c r="K88" s="58" cm="1">
        <f t="array" ref="K88:K151">J88:J151/SUM(_xlfn.ANCHORARRAY(J88))</f>
        <v>0.71157505310843905</v>
      </c>
      <c r="L88" s="115" cm="1">
        <f t="array" ref="L88:L152">INT(K88:K152*$B$2)</f>
        <v>711575053</v>
      </c>
      <c r="M88" s="58" cm="1">
        <f t="array" ref="M88:M152">_xlfn.LET(_xlpm.x, L88:L152, _xlpm.x/SUM(_xlpm.x))</f>
        <v>0.71129077639443383</v>
      </c>
      <c r="N88" s="58" cm="1">
        <f t="array" ref="N88:N152">M88:M152*F88:F152</f>
        <v>0</v>
      </c>
      <c r="O88" s="117" cm="1">
        <f t="array" ref="O88:O151">I88:I151*O87</f>
        <v>0.86399999999999999</v>
      </c>
      <c r="P88" s="58" cm="1">
        <f t="array" ref="P88:P151">M88:M151</f>
        <v>0.71129077639443383</v>
      </c>
      <c r="Q88" s="58">
        <v>0.70964431234091774</v>
      </c>
      <c r="R88" s="58"/>
      <c r="S88" s="82" cm="1">
        <f t="array" ref="S88:S151">_xlfn.LET(_xlpm.x, Q88:Q151/M88:M151, IF(ISERR(_xlpm.x), 0, ROUND(_xlpm.x,2)))</f>
        <v>1</v>
      </c>
    </row>
    <row r="89" spans="1:20" x14ac:dyDescent="0.3">
      <c r="A89" s="57">
        <v>0</v>
      </c>
      <c r="B89" s="57">
        <v>1</v>
      </c>
      <c r="C89" s="95">
        <v>124960454</v>
      </c>
      <c r="D89" s="95">
        <v>5670928890</v>
      </c>
      <c r="E89" s="58">
        <v>0.12805337007331308</v>
      </c>
      <c r="F89" s="92">
        <v>0.453817884656533</v>
      </c>
      <c r="G89" s="89"/>
      <c r="H89" s="60" t="str">
        <f t="shared" ref="H89:H151" si="1">"("&amp;$A89&amp;", "&amp;$B89&amp;"]"</f>
        <v>(0, 1]</v>
      </c>
      <c r="I89" s="61">
        <v>1.26</v>
      </c>
      <c r="J89" s="58">
        <v>0.16134724629237449</v>
      </c>
      <c r="K89" s="58">
        <v>0.15826065656476626</v>
      </c>
      <c r="L89" s="115">
        <v>158260656</v>
      </c>
      <c r="M89" s="58">
        <v>0.15819743034039788</v>
      </c>
      <c r="N89" s="58">
        <v>7.1792823195178601E-2</v>
      </c>
      <c r="O89" s="117">
        <v>1.1340000000000001</v>
      </c>
      <c r="P89" s="58">
        <v>0.15819743034039788</v>
      </c>
      <c r="Q89" s="58">
        <v>0.15880308133961865</v>
      </c>
      <c r="R89" s="58"/>
      <c r="S89" s="82">
        <v>1</v>
      </c>
    </row>
    <row r="90" spans="1:20" x14ac:dyDescent="0.3">
      <c r="A90" s="57">
        <v>1</v>
      </c>
      <c r="B90" s="57">
        <v>2</v>
      </c>
      <c r="C90" s="95">
        <v>33683617</v>
      </c>
      <c r="D90" s="95">
        <v>5063260970</v>
      </c>
      <c r="E90" s="58">
        <v>3.4517325562123356E-2</v>
      </c>
      <c r="F90" s="92">
        <v>1.5031820870068673</v>
      </c>
      <c r="G90" s="89"/>
      <c r="H90" s="60" t="str">
        <f t="shared" si="1"/>
        <v>(1, 2]</v>
      </c>
      <c r="I90" s="61">
        <v>1.31</v>
      </c>
      <c r="J90" s="58">
        <v>4.5217696486381596E-2</v>
      </c>
      <c r="K90" s="58">
        <v>4.4352677214667083E-2</v>
      </c>
      <c r="L90" s="115">
        <v>44352677</v>
      </c>
      <c r="M90" s="58">
        <v>4.4334957957697756E-2</v>
      </c>
      <c r="N90" s="58">
        <v>6.6643514630213826E-2</v>
      </c>
      <c r="O90" s="117">
        <v>1.179</v>
      </c>
      <c r="P90" s="58">
        <v>4.4334957957697756E-2</v>
      </c>
      <c r="Q90" s="58">
        <v>4.5105315718468479E-2</v>
      </c>
      <c r="R90" s="58"/>
      <c r="S90" s="82">
        <v>1.02</v>
      </c>
    </row>
    <row r="91" spans="1:20" x14ac:dyDescent="0.3">
      <c r="A91" s="57">
        <v>2</v>
      </c>
      <c r="B91" s="57">
        <v>3</v>
      </c>
      <c r="C91" s="95">
        <v>15731868</v>
      </c>
      <c r="D91" s="95">
        <v>3966955370</v>
      </c>
      <c r="E91" s="58">
        <v>1.6121249967197715E-2</v>
      </c>
      <c r="F91" s="92">
        <v>2.5216047897172795</v>
      </c>
      <c r="G91" s="89"/>
      <c r="H91" s="60" t="str">
        <f t="shared" si="1"/>
        <v>(2, 3]</v>
      </c>
      <c r="I91" s="61">
        <v>1.33</v>
      </c>
      <c r="J91" s="58">
        <v>2.1441262456372963E-2</v>
      </c>
      <c r="K91" s="58">
        <v>2.1031088858957679E-2</v>
      </c>
      <c r="L91" s="115">
        <v>21031088</v>
      </c>
      <c r="M91" s="58">
        <v>2.1022686010241088E-2</v>
      </c>
      <c r="N91" s="58">
        <v>5.301090573614637E-2</v>
      </c>
      <c r="O91" s="117">
        <v>1.1970000000000001</v>
      </c>
      <c r="P91" s="58">
        <v>2.1022686010241088E-2</v>
      </c>
      <c r="Q91" s="58">
        <v>2.13409514837796E-2</v>
      </c>
      <c r="R91" s="58"/>
      <c r="S91" s="82">
        <v>1.02</v>
      </c>
    </row>
    <row r="92" spans="1:20" x14ac:dyDescent="0.3">
      <c r="A92" s="57">
        <v>3</v>
      </c>
      <c r="B92" s="57">
        <v>4</v>
      </c>
      <c r="C92" s="95">
        <v>7891833</v>
      </c>
      <c r="D92" s="95">
        <v>2817483325</v>
      </c>
      <c r="E92" s="58">
        <v>8.0871650138673833E-3</v>
      </c>
      <c r="F92" s="92">
        <v>3.5701253751821662</v>
      </c>
      <c r="G92" s="89">
        <v>1.05</v>
      </c>
      <c r="H92" s="60" t="str">
        <f t="shared" si="1"/>
        <v>(3, 4]</v>
      </c>
      <c r="I92" s="198" cm="1">
        <f t="array" ref="I92:I151">G92:G151*G87</f>
        <v>1.0722474</v>
      </c>
      <c r="J92" s="58">
        <v>8.6714416594902647E-3</v>
      </c>
      <c r="K92" s="58">
        <v>8.505556071946762E-3</v>
      </c>
      <c r="L92" s="115">
        <v>8505556</v>
      </c>
      <c r="M92" s="58">
        <v>8.5021580020264356E-3</v>
      </c>
      <c r="N92" s="58">
        <v>3.0353770026842686E-2</v>
      </c>
      <c r="O92" s="117">
        <v>0.96502266000000003</v>
      </c>
      <c r="P92" s="58">
        <v>8.5021580020264356E-3</v>
      </c>
      <c r="Q92" s="58">
        <v>8.553544857457929E-3</v>
      </c>
      <c r="R92" s="58"/>
      <c r="S92" s="82">
        <v>1.01</v>
      </c>
    </row>
    <row r="93" spans="1:20" x14ac:dyDescent="0.3">
      <c r="A93" s="57">
        <v>4</v>
      </c>
      <c r="B93" s="57">
        <v>5</v>
      </c>
      <c r="C93" s="95">
        <v>5580810</v>
      </c>
      <c r="D93" s="95">
        <v>2567489145</v>
      </c>
      <c r="E93" s="58">
        <v>5.7189415160003049E-3</v>
      </c>
      <c r="F93" s="92">
        <v>4.6005672026103737</v>
      </c>
      <c r="G93" s="89">
        <v>1.17</v>
      </c>
      <c r="H93" s="60" t="str">
        <f t="shared" si="1"/>
        <v>(4, 5]</v>
      </c>
      <c r="I93" s="61">
        <v>1.1947899599999998</v>
      </c>
      <c r="J93" s="58">
        <v>6.8329339051443425E-3</v>
      </c>
      <c r="K93" s="58">
        <v>6.7022191635811249E-3</v>
      </c>
      <c r="L93" s="115">
        <v>6702219</v>
      </c>
      <c r="M93" s="58">
        <v>6.6995414411689979E-3</v>
      </c>
      <c r="N93" s="58">
        <v>3.0821690626771127E-2</v>
      </c>
      <c r="O93" s="117">
        <v>1.0753109639999998</v>
      </c>
      <c r="P93" s="58">
        <v>6.6995414411689979E-3</v>
      </c>
      <c r="Q93" s="58">
        <v>6.7137630599925198E-3</v>
      </c>
      <c r="R93" s="58"/>
      <c r="S93" s="82">
        <v>1</v>
      </c>
    </row>
    <row r="94" spans="1:20" x14ac:dyDescent="0.3">
      <c r="A94" s="57">
        <v>5</v>
      </c>
      <c r="B94" s="57">
        <v>6</v>
      </c>
      <c r="C94" s="95">
        <v>4164929</v>
      </c>
      <c r="D94" s="95">
        <v>2327993340</v>
      </c>
      <c r="E94" s="58">
        <v>4.2680158201575816E-3</v>
      </c>
      <c r="F94" s="92">
        <v>5.5895150673636929</v>
      </c>
      <c r="G94" s="89">
        <v>1.29</v>
      </c>
      <c r="H94" s="60" t="str">
        <f t="shared" si="1"/>
        <v>(5, 6]</v>
      </c>
      <c r="I94" s="61">
        <v>1.3173325200000001</v>
      </c>
      <c r="J94" s="58">
        <v>5.6223960357680543E-3</v>
      </c>
      <c r="K94" s="58">
        <v>5.5148390104866937E-3</v>
      </c>
      <c r="L94" s="115">
        <v>5514839</v>
      </c>
      <c r="M94" s="58">
        <v>5.5126358034368909E-3</v>
      </c>
      <c r="N94" s="58">
        <v>3.0812960884199058E-2</v>
      </c>
      <c r="O94" s="117">
        <v>1.185599268</v>
      </c>
      <c r="P94" s="58">
        <v>5.5126358034368909E-3</v>
      </c>
      <c r="Q94" s="58">
        <v>5.4887251931343781E-3</v>
      </c>
      <c r="R94" s="58"/>
      <c r="S94" s="82">
        <v>1</v>
      </c>
    </row>
    <row r="95" spans="1:20" x14ac:dyDescent="0.3">
      <c r="A95" s="57">
        <v>6</v>
      </c>
      <c r="B95" s="57">
        <v>7</v>
      </c>
      <c r="C95" s="95">
        <v>2786352</v>
      </c>
      <c r="D95" s="95">
        <v>1828894325</v>
      </c>
      <c r="E95" s="58">
        <v>2.8553174415524773E-3</v>
      </c>
      <c r="F95" s="92">
        <v>6.5637590835615889</v>
      </c>
      <c r="G95" s="89">
        <v>1.18</v>
      </c>
      <c r="H95" s="60" t="str">
        <f t="shared" si="1"/>
        <v>(6, 7]</v>
      </c>
      <c r="I95" s="61">
        <v>1.20500184</v>
      </c>
      <c r="J95" s="58">
        <v>3.4406627708548276E-3</v>
      </c>
      <c r="K95" s="58">
        <v>3.3748425315342232E-3</v>
      </c>
      <c r="L95" s="115">
        <v>3374842</v>
      </c>
      <c r="M95" s="58">
        <v>3.3734937393716416E-3</v>
      </c>
      <c r="N95" s="58">
        <v>2.2142800175138765E-2</v>
      </c>
      <c r="O95" s="117">
        <v>1.084501656</v>
      </c>
      <c r="P95" s="58">
        <v>3.3734937393716416E-3</v>
      </c>
      <c r="Q95" s="58">
        <v>3.3397267617703828E-3</v>
      </c>
      <c r="R95" s="58"/>
      <c r="S95" s="82">
        <v>0.99</v>
      </c>
    </row>
    <row r="96" spans="1:20" x14ac:dyDescent="0.3">
      <c r="A96" s="57">
        <v>7</v>
      </c>
      <c r="B96" s="57">
        <v>8</v>
      </c>
      <c r="C96" s="95">
        <v>2886263</v>
      </c>
      <c r="D96" s="95">
        <v>2199517210</v>
      </c>
      <c r="E96" s="58">
        <v>2.9577013546054401E-3</v>
      </c>
      <c r="F96" s="92">
        <v>7.6206402881511481</v>
      </c>
      <c r="G96" s="89">
        <v>0.97</v>
      </c>
      <c r="H96" s="60" t="str">
        <f t="shared" si="1"/>
        <v>(7, 8]</v>
      </c>
      <c r="I96" s="61">
        <v>0.99055235999999991</v>
      </c>
      <c r="J96" s="58">
        <v>2.9297580569796152E-3</v>
      </c>
      <c r="K96" s="58">
        <v>2.8737114783682631E-3</v>
      </c>
      <c r="L96" s="115">
        <v>2873711</v>
      </c>
      <c r="M96" s="58">
        <v>2.8725629428765611E-3</v>
      </c>
      <c r="N96" s="58">
        <v>2.1890768892735148E-2</v>
      </c>
      <c r="O96" s="117">
        <v>0.89149712399999992</v>
      </c>
      <c r="P96" s="58">
        <v>2.8725629428765611E-3</v>
      </c>
      <c r="Q96" s="58">
        <v>2.8337737983126837E-3</v>
      </c>
      <c r="R96" s="58"/>
      <c r="S96" s="82">
        <v>0.99</v>
      </c>
    </row>
    <row r="97" spans="1:19" x14ac:dyDescent="0.3">
      <c r="A97" s="57">
        <v>8</v>
      </c>
      <c r="B97" s="57">
        <v>9</v>
      </c>
      <c r="C97" s="95">
        <v>2121277</v>
      </c>
      <c r="D97" s="95">
        <v>1824061555</v>
      </c>
      <c r="E97" s="58">
        <v>2.1737810644398533E-3</v>
      </c>
      <c r="F97" s="92">
        <v>8.5988843276950622</v>
      </c>
      <c r="G97" s="89">
        <v>1.19</v>
      </c>
      <c r="H97" s="60" t="str">
        <f t="shared" si="1"/>
        <v>(8, 9]</v>
      </c>
      <c r="I97" s="61">
        <v>1.2152137199999999</v>
      </c>
      <c r="J97" s="58">
        <v>2.6416085737835135E-3</v>
      </c>
      <c r="K97" s="58">
        <v>2.5910743249781321E-3</v>
      </c>
      <c r="L97" s="115">
        <v>2591074</v>
      </c>
      <c r="M97" s="58">
        <v>2.5900388573001747E-3</v>
      </c>
      <c r="N97" s="58">
        <v>2.2271444538159699E-2</v>
      </c>
      <c r="O97" s="117">
        <v>1.093692348</v>
      </c>
      <c r="P97" s="58">
        <v>2.5900388573001747E-3</v>
      </c>
      <c r="Q97" s="58">
        <v>2.5610777043511049E-3</v>
      </c>
      <c r="R97" s="58"/>
      <c r="S97" s="82">
        <v>0.99</v>
      </c>
    </row>
    <row r="98" spans="1:19" x14ac:dyDescent="0.3">
      <c r="A98" s="57">
        <v>9</v>
      </c>
      <c r="B98" s="57">
        <v>10</v>
      </c>
      <c r="C98" s="95">
        <v>1982595</v>
      </c>
      <c r="D98" s="95">
        <v>1912247295</v>
      </c>
      <c r="E98" s="58">
        <v>2.0316665241989287E-3</v>
      </c>
      <c r="F98" s="92">
        <v>9.6451735982386726</v>
      </c>
      <c r="G98" s="89">
        <v>1.1399999999999999</v>
      </c>
      <c r="H98" s="60" t="str">
        <f t="shared" si="1"/>
        <v>(9, 10]</v>
      </c>
      <c r="I98" s="61">
        <v>1.16415432</v>
      </c>
      <c r="J98" s="58">
        <v>2.3651733609455672E-3</v>
      </c>
      <c r="K98" s="58">
        <v>2.3199273467267782E-3</v>
      </c>
      <c r="L98" s="115">
        <v>2319927</v>
      </c>
      <c r="M98" s="58">
        <v>2.319000181430489E-3</v>
      </c>
      <c r="N98" s="58">
        <v>2.2367159324244046E-2</v>
      </c>
      <c r="O98" s="117">
        <v>1.047738888</v>
      </c>
      <c r="P98" s="58">
        <v>2.319000181430489E-3</v>
      </c>
      <c r="Q98" s="58">
        <v>2.2735892773975519E-3</v>
      </c>
      <c r="R98" s="58"/>
      <c r="S98" s="82">
        <v>0.98</v>
      </c>
    </row>
    <row r="99" spans="1:19" x14ac:dyDescent="0.3">
      <c r="A99" s="57">
        <v>10</v>
      </c>
      <c r="B99" s="57">
        <v>15</v>
      </c>
      <c r="C99" s="95">
        <v>6840763</v>
      </c>
      <c r="D99" s="95">
        <v>8514472135</v>
      </c>
      <c r="E99" s="58">
        <v>7.0100798131129335E-3</v>
      </c>
      <c r="F99" s="92">
        <v>12.446670254473077</v>
      </c>
      <c r="G99" s="89">
        <v>0.44</v>
      </c>
      <c r="H99" s="60" t="str">
        <f t="shared" si="1"/>
        <v>(10, 15]</v>
      </c>
      <c r="I99" s="61">
        <v>0.44932272000000001</v>
      </c>
      <c r="J99" s="58">
        <v>3.1497881290449949E-3</v>
      </c>
      <c r="K99" s="58">
        <v>3.0895323521001848E-3</v>
      </c>
      <c r="L99" s="115">
        <v>3089532</v>
      </c>
      <c r="M99" s="58">
        <v>3.0882977216676651E-3</v>
      </c>
      <c r="N99" s="58">
        <v>3.8439023389237902E-2</v>
      </c>
      <c r="O99" s="117">
        <v>0.40439044800000001</v>
      </c>
      <c r="P99" s="58">
        <v>3.0882977216676651E-3</v>
      </c>
      <c r="Q99" s="58">
        <v>3.0569981895169972E-3</v>
      </c>
      <c r="R99" s="58"/>
      <c r="S99" s="82">
        <v>0.99</v>
      </c>
    </row>
    <row r="100" spans="1:19" x14ac:dyDescent="0.3">
      <c r="A100" s="57">
        <v>15</v>
      </c>
      <c r="B100" s="57">
        <v>20</v>
      </c>
      <c r="C100" s="95">
        <v>4640184</v>
      </c>
      <c r="D100" s="95">
        <v>8115369895</v>
      </c>
      <c r="E100" s="58">
        <v>4.7550339322572095E-3</v>
      </c>
      <c r="F100" s="92">
        <v>17.489327783122395</v>
      </c>
      <c r="G100" s="89">
        <v>0.84</v>
      </c>
      <c r="H100" s="111" t="str">
        <f t="shared" si="1"/>
        <v>(15, 20]</v>
      </c>
      <c r="I100" s="61">
        <v>0.85779791999999999</v>
      </c>
      <c r="J100" s="58">
        <v>4.0788582166196548E-3</v>
      </c>
      <c r="K100" s="58">
        <v>4.0008292315511715E-3</v>
      </c>
      <c r="L100" s="115">
        <v>4000829</v>
      </c>
      <c r="M100" s="58">
        <v>3.9992306554785398E-3</v>
      </c>
      <c r="N100" s="58">
        <v>6.9943855813975608E-2</v>
      </c>
      <c r="O100" s="117">
        <v>0.77201812800000003</v>
      </c>
      <c r="P100" s="58">
        <v>3.9992306554785398E-3</v>
      </c>
      <c r="Q100" s="58">
        <v>3.9702845649545833E-3</v>
      </c>
      <c r="R100" s="58"/>
      <c r="S100" s="82">
        <v>0.99</v>
      </c>
    </row>
    <row r="101" spans="1:19" x14ac:dyDescent="0.3">
      <c r="A101" s="57">
        <v>20</v>
      </c>
      <c r="B101" s="57">
        <v>25</v>
      </c>
      <c r="C101" s="95">
        <v>3240350</v>
      </c>
      <c r="D101" s="95">
        <v>7303039190</v>
      </c>
      <c r="E101" s="58">
        <v>3.3205524182639413E-3</v>
      </c>
      <c r="F101" s="92">
        <v>22.537809773635562</v>
      </c>
      <c r="G101" s="89">
        <v>0.5</v>
      </c>
      <c r="H101" s="60" t="str">
        <f t="shared" si="1"/>
        <v>(20, 25]</v>
      </c>
      <c r="I101" s="61">
        <v>0.51059399999999999</v>
      </c>
      <c r="J101" s="58">
        <v>1.6954541414510589E-3</v>
      </c>
      <c r="K101" s="58">
        <v>1.6630199260746728E-3</v>
      </c>
      <c r="L101" s="115">
        <v>1663019</v>
      </c>
      <c r="M101" s="58">
        <v>1.6623546183661599E-3</v>
      </c>
      <c r="N101" s="58">
        <v>3.7465832165061053E-2</v>
      </c>
      <c r="O101" s="117">
        <v>0.45953460000000002</v>
      </c>
      <c r="P101" s="58">
        <v>1.6623546183661599E-3</v>
      </c>
      <c r="Q101" s="58">
        <v>1.6598878769146595E-3</v>
      </c>
      <c r="R101" s="58"/>
      <c r="S101" s="82">
        <v>1</v>
      </c>
    </row>
    <row r="102" spans="1:19" x14ac:dyDescent="0.3">
      <c r="A102" s="57">
        <v>25</v>
      </c>
      <c r="B102" s="57">
        <v>30</v>
      </c>
      <c r="C102" s="95">
        <v>2609813</v>
      </c>
      <c r="D102" s="95">
        <v>7187928000</v>
      </c>
      <c r="E102" s="58">
        <v>2.6744088966829732E-3</v>
      </c>
      <c r="F102" s="92">
        <v>27.541927333490943</v>
      </c>
      <c r="G102" s="89">
        <v>0.25</v>
      </c>
      <c r="H102" s="60" t="str">
        <f t="shared" si="1"/>
        <v>(25, 30]</v>
      </c>
      <c r="I102" s="61">
        <v>0.255297</v>
      </c>
      <c r="J102" s="58">
        <v>6.8276856809647301E-4</v>
      </c>
      <c r="K102" s="58">
        <v>6.6970713384799797E-4</v>
      </c>
      <c r="L102" s="115">
        <v>669707</v>
      </c>
      <c r="M102" s="58">
        <v>6.6943944982116607E-4</v>
      </c>
      <c r="N102" s="58">
        <v>1.8437652681146711E-2</v>
      </c>
      <c r="O102" s="117">
        <v>0.22976730000000001</v>
      </c>
      <c r="P102" s="58">
        <v>6.6943944982116607E-4</v>
      </c>
      <c r="Q102" s="58">
        <v>6.7393725176306959E-4</v>
      </c>
      <c r="R102" s="58"/>
      <c r="S102" s="82">
        <v>1.01</v>
      </c>
    </row>
    <row r="103" spans="1:19" x14ac:dyDescent="0.3">
      <c r="A103" s="57">
        <v>30</v>
      </c>
      <c r="B103" s="57">
        <v>35</v>
      </c>
      <c r="C103" s="95">
        <v>1960951</v>
      </c>
      <c r="D103" s="95">
        <v>6379124260</v>
      </c>
      <c r="E103" s="58">
        <v>2.0094868101122082E-3</v>
      </c>
      <c r="F103" s="92">
        <v>32.530768285388056</v>
      </c>
      <c r="G103" s="89">
        <v>0.28000000000000003</v>
      </c>
      <c r="H103" s="60" t="str">
        <f t="shared" si="1"/>
        <v>(30, 35]</v>
      </c>
      <c r="I103" s="61">
        <v>0.28593264000000002</v>
      </c>
      <c r="J103" s="58">
        <v>5.7457786866056237E-4</v>
      </c>
      <c r="K103" s="58">
        <v>5.6358613382856513E-4</v>
      </c>
      <c r="L103" s="115">
        <v>563586</v>
      </c>
      <c r="M103" s="58">
        <v>5.6336084551439922E-4</v>
      </c>
      <c r="N103" s="58">
        <v>1.832656112648922E-2</v>
      </c>
      <c r="O103" s="117">
        <v>0.25733937600000001</v>
      </c>
      <c r="P103" s="58">
        <v>5.6336084551439922E-4</v>
      </c>
      <c r="Q103" s="58">
        <v>5.6982017805700844E-4</v>
      </c>
      <c r="R103" s="58"/>
      <c r="S103" s="82">
        <v>1.01</v>
      </c>
    </row>
    <row r="104" spans="1:19" x14ac:dyDescent="0.3">
      <c r="A104" s="57">
        <v>35</v>
      </c>
      <c r="B104" s="57">
        <v>40</v>
      </c>
      <c r="C104" s="95">
        <v>1698327</v>
      </c>
      <c r="D104" s="95">
        <v>6375630385</v>
      </c>
      <c r="E104" s="58">
        <v>1.7403625617149212E-3</v>
      </c>
      <c r="F104" s="92">
        <v>37.540652565730859</v>
      </c>
      <c r="G104" s="89">
        <v>0.55000000000000004</v>
      </c>
      <c r="H104" s="111" t="str">
        <f t="shared" si="1"/>
        <v>(35, 40]</v>
      </c>
      <c r="I104" s="61">
        <v>0.56165340000000008</v>
      </c>
      <c r="J104" s="58">
        <v>9.7748055001989549E-4</v>
      </c>
      <c r="K104" s="58">
        <v>9.5878124467717492E-4</v>
      </c>
      <c r="L104" s="115">
        <v>958781</v>
      </c>
      <c r="M104" s="58">
        <v>9.5839796379459594E-4</v>
      </c>
      <c r="N104" s="58">
        <v>3.5978884978516826E-2</v>
      </c>
      <c r="O104" s="117">
        <v>0.50548806000000013</v>
      </c>
      <c r="P104" s="58">
        <v>9.5839796379459594E-4</v>
      </c>
      <c r="Q104" s="58">
        <v>9.7283653576347561E-4</v>
      </c>
      <c r="R104" s="58"/>
      <c r="S104" s="82">
        <v>1.02</v>
      </c>
    </row>
    <row r="105" spans="1:19" x14ac:dyDescent="0.3">
      <c r="A105" s="57">
        <v>40</v>
      </c>
      <c r="B105" s="57">
        <v>45</v>
      </c>
      <c r="C105" s="95">
        <v>1400288</v>
      </c>
      <c r="D105" s="95">
        <v>5968140920</v>
      </c>
      <c r="E105" s="58">
        <v>1.4349467510194819E-3</v>
      </c>
      <c r="F105" s="92">
        <v>42.620810290454536</v>
      </c>
      <c r="G105" s="89">
        <v>0.15</v>
      </c>
      <c r="H105" s="60" t="str">
        <f t="shared" si="1"/>
        <v>(40, 45]</v>
      </c>
      <c r="I105" s="61">
        <v>0.15317819999999999</v>
      </c>
      <c r="J105" s="58">
        <v>2.1980256041701239E-4</v>
      </c>
      <c r="K105" s="58">
        <v>2.1559771440522643E-4</v>
      </c>
      <c r="L105" s="115">
        <v>215597</v>
      </c>
      <c r="M105" s="58">
        <v>2.1551086827985066E-4</v>
      </c>
      <c r="N105" s="58">
        <v>9.1852478324866513E-3</v>
      </c>
      <c r="O105" s="117">
        <v>0.13786038</v>
      </c>
      <c r="P105" s="58">
        <v>2.1551086827985066E-4</v>
      </c>
      <c r="Q105" s="58">
        <v>2.190112900784826E-4</v>
      </c>
      <c r="R105" s="58"/>
      <c r="S105" s="82">
        <v>1.02</v>
      </c>
    </row>
    <row r="106" spans="1:19" x14ac:dyDescent="0.3">
      <c r="A106" s="57">
        <v>45</v>
      </c>
      <c r="B106" s="57">
        <v>50</v>
      </c>
      <c r="C106" s="95">
        <v>1178348</v>
      </c>
      <c r="D106" s="95">
        <v>5615779505</v>
      </c>
      <c r="E106" s="58">
        <v>1.2075134787774403E-3</v>
      </c>
      <c r="F106" s="92">
        <v>47.658073039543495</v>
      </c>
      <c r="G106" s="89">
        <v>0.18</v>
      </c>
      <c r="H106" s="60" t="str">
        <f t="shared" si="1"/>
        <v>(45, 50]</v>
      </c>
      <c r="I106" s="61">
        <v>0.18381383999999998</v>
      </c>
      <c r="J106" s="58">
        <v>2.2195768938583978E-4</v>
      </c>
      <c r="K106" s="58">
        <v>2.177116155310648E-4</v>
      </c>
      <c r="L106" s="115">
        <v>217711</v>
      </c>
      <c r="M106" s="58">
        <v>2.1762402372980407E-4</v>
      </c>
      <c r="N106" s="58">
        <v>1.0371541618074348E-2</v>
      </c>
      <c r="O106" s="117">
        <v>0.16543245599999998</v>
      </c>
      <c r="P106" s="58">
        <v>2.1762402372980407E-4</v>
      </c>
      <c r="Q106" s="58">
        <v>2.1762191627897965E-4</v>
      </c>
      <c r="R106" s="58"/>
      <c r="S106" s="82">
        <v>1</v>
      </c>
    </row>
    <row r="107" spans="1:19" x14ac:dyDescent="0.3">
      <c r="A107" s="57">
        <v>50</v>
      </c>
      <c r="B107" s="57">
        <v>60</v>
      </c>
      <c r="C107" s="95">
        <v>1971138</v>
      </c>
      <c r="D107" s="95">
        <v>10820608060</v>
      </c>
      <c r="E107" s="58">
        <v>2.0199259501695647E-3</v>
      </c>
      <c r="F107" s="92">
        <v>54.895233413388617</v>
      </c>
      <c r="G107" s="89">
        <v>0.31</v>
      </c>
      <c r="H107" s="111" t="str">
        <f t="shared" si="1"/>
        <v>(50, 60]</v>
      </c>
      <c r="I107" s="61">
        <v>0.31656827999999998</v>
      </c>
      <c r="J107" s="58">
        <v>6.3944448377254478E-4</v>
      </c>
      <c r="K107" s="58">
        <v>6.27211843796703E-4</v>
      </c>
      <c r="L107" s="115">
        <v>627211</v>
      </c>
      <c r="M107" s="58">
        <v>6.2696042711481799E-4</v>
      </c>
      <c r="N107" s="58">
        <v>3.4417138987425752E-2</v>
      </c>
      <c r="O107" s="117">
        <v>0.28491145200000001</v>
      </c>
      <c r="P107" s="58">
        <v>6.2696042711481799E-4</v>
      </c>
      <c r="Q107" s="58">
        <v>6.31766258524919E-4</v>
      </c>
      <c r="R107" s="58"/>
      <c r="S107" s="82">
        <v>1.01</v>
      </c>
    </row>
    <row r="108" spans="1:19" x14ac:dyDescent="0.3">
      <c r="A108" s="57">
        <v>60</v>
      </c>
      <c r="B108" s="57">
        <v>70</v>
      </c>
      <c r="C108" s="95">
        <v>1442495</v>
      </c>
      <c r="D108" s="95">
        <v>9376281050</v>
      </c>
      <c r="E108" s="58">
        <v>1.4781984231899776E-3</v>
      </c>
      <c r="F108" s="92">
        <v>65.00044055611977</v>
      </c>
      <c r="G108" s="89">
        <v>0.1</v>
      </c>
      <c r="H108" s="60" t="str">
        <f t="shared" si="1"/>
        <v>(60, 70]</v>
      </c>
      <c r="I108" s="61">
        <v>0.10211880000000001</v>
      </c>
      <c r="J108" s="58">
        <v>1.509518491380527E-4</v>
      </c>
      <c r="K108" s="58">
        <v>1.4806412444724092E-4</v>
      </c>
      <c r="L108" s="115">
        <v>148064</v>
      </c>
      <c r="M108" s="58">
        <v>1.4800484793845838E-4</v>
      </c>
      <c r="N108" s="58">
        <v>9.6203803204413102E-3</v>
      </c>
      <c r="O108" s="117">
        <v>9.1906920000000017E-2</v>
      </c>
      <c r="P108" s="58">
        <v>1.4800484793845838E-4</v>
      </c>
      <c r="Q108" s="58">
        <v>1.4808425738860515E-4</v>
      </c>
      <c r="R108" s="58"/>
      <c r="S108" s="82">
        <v>1</v>
      </c>
    </row>
    <row r="109" spans="1:19" x14ac:dyDescent="0.3">
      <c r="A109" s="57">
        <v>70</v>
      </c>
      <c r="B109" s="57">
        <v>80</v>
      </c>
      <c r="C109" s="95">
        <v>1166949</v>
      </c>
      <c r="D109" s="95">
        <v>8750269200</v>
      </c>
      <c r="E109" s="58">
        <v>1.1958323403153017E-3</v>
      </c>
      <c r="F109" s="92">
        <v>74.984161261546134</v>
      </c>
      <c r="G109" s="89">
        <v>0.11</v>
      </c>
      <c r="H109" s="60" t="str">
        <f t="shared" si="1"/>
        <v>(70, 80]</v>
      </c>
      <c r="I109" s="61">
        <v>0.11233068</v>
      </c>
      <c r="J109" s="58">
        <v>1.3432865995360925E-4</v>
      </c>
      <c r="K109" s="58">
        <v>1.3175893861368091E-4</v>
      </c>
      <c r="L109" s="115">
        <v>131758</v>
      </c>
      <c r="M109" s="58">
        <v>1.3170536223981115E-4</v>
      </c>
      <c r="N109" s="58">
        <v>9.8758161212003474E-3</v>
      </c>
      <c r="O109" s="117">
        <v>0.101097612</v>
      </c>
      <c r="P109" s="58">
        <v>1.3170536223981115E-4</v>
      </c>
      <c r="Q109" s="58">
        <v>1.2949063766317076E-4</v>
      </c>
      <c r="R109" s="58"/>
      <c r="S109" s="82">
        <v>0.98</v>
      </c>
    </row>
    <row r="110" spans="1:19" x14ac:dyDescent="0.3">
      <c r="A110" s="57">
        <v>80</v>
      </c>
      <c r="B110" s="57">
        <v>90</v>
      </c>
      <c r="C110" s="95">
        <v>927868</v>
      </c>
      <c r="D110" s="95">
        <v>7890158495</v>
      </c>
      <c r="E110" s="58">
        <v>9.5083380845579243E-4</v>
      </c>
      <c r="F110" s="92">
        <v>85.03535519060901</v>
      </c>
      <c r="G110" s="99">
        <v>0</v>
      </c>
      <c r="H110" s="60" t="str">
        <f t="shared" si="1"/>
        <v>(80, 90]</v>
      </c>
      <c r="I110" s="61">
        <v>0</v>
      </c>
      <c r="J110" s="58">
        <v>0</v>
      </c>
      <c r="K110" s="58">
        <v>0</v>
      </c>
      <c r="L110" s="115">
        <v>0</v>
      </c>
      <c r="M110" s="58">
        <v>0</v>
      </c>
      <c r="N110" s="58">
        <v>0</v>
      </c>
      <c r="O110" s="117">
        <v>0</v>
      </c>
      <c r="P110" s="58">
        <v>0</v>
      </c>
      <c r="Q110" s="58">
        <v>0</v>
      </c>
      <c r="R110" s="58"/>
      <c r="S110" s="82">
        <v>0</v>
      </c>
    </row>
    <row r="111" spans="1:19" x14ac:dyDescent="0.3">
      <c r="A111" s="57">
        <v>90</v>
      </c>
      <c r="B111" s="57">
        <v>100</v>
      </c>
      <c r="C111" s="95">
        <v>779276</v>
      </c>
      <c r="D111" s="95">
        <v>7420406090</v>
      </c>
      <c r="E111" s="58">
        <v>7.9856398422857144E-4</v>
      </c>
      <c r="F111" s="92">
        <v>95.221796770335544</v>
      </c>
      <c r="G111" s="99">
        <v>0</v>
      </c>
      <c r="H111" s="60" t="str">
        <f t="shared" si="1"/>
        <v>(90, 100]</v>
      </c>
      <c r="I111" s="61">
        <v>0</v>
      </c>
      <c r="J111" s="58">
        <v>0</v>
      </c>
      <c r="K111" s="58">
        <v>0</v>
      </c>
      <c r="L111" s="115">
        <v>0</v>
      </c>
      <c r="M111" s="58">
        <v>0</v>
      </c>
      <c r="N111" s="58">
        <v>0</v>
      </c>
      <c r="O111" s="117">
        <v>0</v>
      </c>
      <c r="P111" s="58">
        <v>0</v>
      </c>
      <c r="Q111" s="58">
        <v>0</v>
      </c>
      <c r="R111" s="58"/>
      <c r="S111" s="82">
        <v>0</v>
      </c>
    </row>
    <row r="112" spans="1:19" x14ac:dyDescent="0.3">
      <c r="A112" s="57">
        <v>100</v>
      </c>
      <c r="B112" s="57">
        <v>120</v>
      </c>
      <c r="C112" s="95">
        <v>1202839</v>
      </c>
      <c r="D112" s="95">
        <v>13188274015</v>
      </c>
      <c r="E112" s="58">
        <v>1.2326106594140081E-3</v>
      </c>
      <c r="F112" s="92">
        <v>109.64288666230478</v>
      </c>
      <c r="G112" s="89">
        <v>9.7098000000000004E-2</v>
      </c>
      <c r="H112" s="60" t="str">
        <f t="shared" si="1"/>
        <v>(100, 120]</v>
      </c>
      <c r="I112" s="61">
        <v>9.9155312423999997E-2</v>
      </c>
      <c r="J112" s="58">
        <v>1.2221989503134861E-4</v>
      </c>
      <c r="K112" s="58">
        <v>1.198818156331448E-4</v>
      </c>
      <c r="L112" s="115">
        <v>119881</v>
      </c>
      <c r="M112" s="58">
        <v>1.1983310714090074E-4</v>
      </c>
      <c r="N112" s="58">
        <v>1.3138847784641606E-2</v>
      </c>
      <c r="O112" s="117">
        <v>8.9239781181600003E-2</v>
      </c>
      <c r="P112" s="58">
        <v>1.1983310714090074E-4</v>
      </c>
      <c r="Q112" s="58">
        <v>1.1349484707795804E-4</v>
      </c>
      <c r="R112" s="58"/>
      <c r="S112" s="82">
        <v>0.95</v>
      </c>
    </row>
    <row r="113" spans="1:19" x14ac:dyDescent="0.3">
      <c r="A113" s="57">
        <v>120</v>
      </c>
      <c r="B113" s="57">
        <v>140</v>
      </c>
      <c r="C113" s="95">
        <v>863606</v>
      </c>
      <c r="D113" s="95">
        <v>11203591810</v>
      </c>
      <c r="E113" s="58">
        <v>8.8498124947220186E-4</v>
      </c>
      <c r="F113" s="92">
        <v>129.73036095163766</v>
      </c>
      <c r="G113" s="89">
        <v>0</v>
      </c>
      <c r="H113" s="60" t="str">
        <f t="shared" si="1"/>
        <v>(120, 140]</v>
      </c>
      <c r="I113" s="61">
        <v>0</v>
      </c>
      <c r="J113" s="58">
        <v>0</v>
      </c>
      <c r="K113" s="58">
        <v>0</v>
      </c>
      <c r="L113" s="115">
        <v>0</v>
      </c>
      <c r="M113" s="58">
        <v>0</v>
      </c>
      <c r="N113" s="58">
        <v>0</v>
      </c>
      <c r="O113" s="117">
        <v>0</v>
      </c>
      <c r="P113" s="58">
        <v>0</v>
      </c>
      <c r="Q113" s="58">
        <v>0</v>
      </c>
      <c r="R113" s="58"/>
      <c r="S113" s="82">
        <v>0</v>
      </c>
    </row>
    <row r="114" spans="1:19" x14ac:dyDescent="0.3">
      <c r="A114" s="57">
        <v>140</v>
      </c>
      <c r="B114" s="57">
        <v>160</v>
      </c>
      <c r="C114" s="95">
        <v>669820</v>
      </c>
      <c r="D114" s="95">
        <v>10039701350</v>
      </c>
      <c r="E114" s="58">
        <v>6.8639882136236924E-4</v>
      </c>
      <c r="F114" s="92">
        <v>149.88655683616494</v>
      </c>
      <c r="G114" s="89">
        <v>0</v>
      </c>
      <c r="H114" s="60" t="str">
        <f t="shared" si="1"/>
        <v>(140, 160]</v>
      </c>
      <c r="I114" s="61">
        <v>0</v>
      </c>
      <c r="J114" s="58">
        <v>0</v>
      </c>
      <c r="K114" s="58">
        <v>0</v>
      </c>
      <c r="L114" s="115">
        <v>0</v>
      </c>
      <c r="M114" s="58">
        <v>0</v>
      </c>
      <c r="N114" s="58">
        <v>0</v>
      </c>
      <c r="O114" s="117">
        <v>0</v>
      </c>
      <c r="P114" s="58">
        <v>0</v>
      </c>
      <c r="Q114" s="58">
        <v>0</v>
      </c>
      <c r="R114" s="58"/>
      <c r="S114" s="82">
        <v>0</v>
      </c>
    </row>
    <row r="115" spans="1:19" x14ac:dyDescent="0.3">
      <c r="A115" s="57">
        <v>160</v>
      </c>
      <c r="B115" s="57">
        <v>180</v>
      </c>
      <c r="C115" s="95">
        <v>511613</v>
      </c>
      <c r="D115" s="95">
        <v>8694591830</v>
      </c>
      <c r="E115" s="58">
        <v>5.2427601474077485E-4</v>
      </c>
      <c r="F115" s="92">
        <v>169.94470097515114</v>
      </c>
      <c r="G115" s="89">
        <v>0</v>
      </c>
      <c r="H115" s="60" t="str">
        <f t="shared" si="1"/>
        <v>(160, 180]</v>
      </c>
      <c r="I115" s="61">
        <v>0</v>
      </c>
      <c r="J115" s="58">
        <v>0</v>
      </c>
      <c r="K115" s="58">
        <v>0</v>
      </c>
      <c r="L115" s="115">
        <v>0</v>
      </c>
      <c r="M115" s="58">
        <v>0</v>
      </c>
      <c r="N115" s="58">
        <v>0</v>
      </c>
      <c r="O115" s="117">
        <v>0</v>
      </c>
      <c r="P115" s="58">
        <v>0</v>
      </c>
      <c r="Q115" s="58">
        <v>0</v>
      </c>
      <c r="R115" s="58"/>
      <c r="S115" s="82">
        <v>0</v>
      </c>
    </row>
    <row r="116" spans="1:19" x14ac:dyDescent="0.3">
      <c r="A116" s="57">
        <v>180</v>
      </c>
      <c r="B116" s="57">
        <v>200</v>
      </c>
      <c r="C116" s="95">
        <v>409885</v>
      </c>
      <c r="D116" s="95">
        <v>7797076525</v>
      </c>
      <c r="E116" s="58">
        <v>4.2003012883179772E-4</v>
      </c>
      <c r="F116" s="92">
        <v>190.22595423106483</v>
      </c>
      <c r="G116" s="89">
        <v>0</v>
      </c>
      <c r="H116" s="60" t="str">
        <f t="shared" si="1"/>
        <v>(180, 200]</v>
      </c>
      <c r="I116" s="61">
        <v>0</v>
      </c>
      <c r="J116" s="58">
        <v>0</v>
      </c>
      <c r="K116" s="58">
        <v>0</v>
      </c>
      <c r="L116" s="115">
        <v>0</v>
      </c>
      <c r="M116" s="58">
        <v>0</v>
      </c>
      <c r="N116" s="58">
        <v>0</v>
      </c>
      <c r="O116" s="117">
        <v>0</v>
      </c>
      <c r="P116" s="58">
        <v>0</v>
      </c>
      <c r="Q116" s="58">
        <v>0</v>
      </c>
      <c r="R116" s="58"/>
      <c r="S116" s="82">
        <v>0</v>
      </c>
    </row>
    <row r="117" spans="1:19" x14ac:dyDescent="0.3">
      <c r="A117" s="57">
        <v>200</v>
      </c>
      <c r="B117" s="57">
        <v>250</v>
      </c>
      <c r="C117" s="95">
        <v>728332</v>
      </c>
      <c r="D117" s="95">
        <v>16286787520</v>
      </c>
      <c r="E117" s="58">
        <v>7.4635906118135787E-4</v>
      </c>
      <c r="F117" s="92">
        <v>223.61762932289122</v>
      </c>
      <c r="G117" s="89">
        <v>0</v>
      </c>
      <c r="H117" s="60" t="str">
        <f t="shared" si="1"/>
        <v>(200, 250]</v>
      </c>
      <c r="I117" s="61">
        <v>0</v>
      </c>
      <c r="J117" s="58">
        <v>0</v>
      </c>
      <c r="K117" s="58">
        <v>0</v>
      </c>
      <c r="L117" s="115">
        <v>0</v>
      </c>
      <c r="M117" s="58">
        <v>0</v>
      </c>
      <c r="N117" s="58">
        <v>0</v>
      </c>
      <c r="O117" s="117">
        <v>0</v>
      </c>
      <c r="P117" s="58">
        <v>0</v>
      </c>
      <c r="Q117" s="58">
        <v>0</v>
      </c>
      <c r="R117" s="58"/>
      <c r="S117" s="82">
        <v>0</v>
      </c>
    </row>
    <row r="118" spans="1:19" x14ac:dyDescent="0.3">
      <c r="A118" s="57">
        <v>250</v>
      </c>
      <c r="B118" s="57">
        <v>300</v>
      </c>
      <c r="C118" s="95">
        <v>465518</v>
      </c>
      <c r="D118" s="95">
        <v>12746421160</v>
      </c>
      <c r="E118" s="58">
        <v>4.7704011006384912E-4</v>
      </c>
      <c r="F118" s="92">
        <v>273.81156389226624</v>
      </c>
      <c r="G118" s="89">
        <v>0</v>
      </c>
      <c r="H118" s="60" t="str">
        <f t="shared" si="1"/>
        <v>(250, 300]</v>
      </c>
      <c r="I118" s="61">
        <v>0</v>
      </c>
      <c r="J118" s="58">
        <v>0</v>
      </c>
      <c r="K118" s="58">
        <v>0</v>
      </c>
      <c r="L118" s="115">
        <v>0</v>
      </c>
      <c r="M118" s="58">
        <v>0</v>
      </c>
      <c r="N118" s="58">
        <v>0</v>
      </c>
      <c r="O118" s="117">
        <v>0</v>
      </c>
      <c r="P118" s="58">
        <v>0</v>
      </c>
      <c r="Q118" s="58">
        <v>0</v>
      </c>
      <c r="R118" s="58"/>
      <c r="S118" s="82">
        <v>0</v>
      </c>
    </row>
    <row r="119" spans="1:19" x14ac:dyDescent="0.3">
      <c r="A119" s="57">
        <v>300</v>
      </c>
      <c r="B119" s="57">
        <v>350</v>
      </c>
      <c r="C119" s="95">
        <v>316303</v>
      </c>
      <c r="D119" s="95">
        <v>10250701140</v>
      </c>
      <c r="E119" s="58">
        <v>3.2413186586453298E-4</v>
      </c>
      <c r="F119" s="92">
        <v>324.07853039648694</v>
      </c>
      <c r="G119" s="89">
        <v>0</v>
      </c>
      <c r="H119" s="60" t="str">
        <f t="shared" si="1"/>
        <v>(300, 350]</v>
      </c>
      <c r="I119" s="61">
        <v>0</v>
      </c>
      <c r="J119" s="58">
        <v>0</v>
      </c>
      <c r="K119" s="58">
        <v>0</v>
      </c>
      <c r="L119" s="115">
        <v>0</v>
      </c>
      <c r="M119" s="58">
        <v>0</v>
      </c>
      <c r="N119" s="58">
        <v>0</v>
      </c>
      <c r="O119" s="117">
        <v>0</v>
      </c>
      <c r="P119" s="58">
        <v>0</v>
      </c>
      <c r="Q119" s="58">
        <v>0</v>
      </c>
      <c r="R119" s="58"/>
      <c r="S119" s="82">
        <v>0</v>
      </c>
    </row>
    <row r="120" spans="1:19" x14ac:dyDescent="0.3">
      <c r="A120" s="57">
        <v>350</v>
      </c>
      <c r="B120" s="57">
        <v>400</v>
      </c>
      <c r="C120" s="95">
        <v>223740</v>
      </c>
      <c r="D120" s="95">
        <v>8374245655</v>
      </c>
      <c r="E120" s="58">
        <v>2.2927782432835165E-4</v>
      </c>
      <c r="F120" s="92">
        <v>374.28469004201304</v>
      </c>
      <c r="G120" s="89">
        <v>0</v>
      </c>
      <c r="H120" s="60" t="str">
        <f t="shared" si="1"/>
        <v>(350, 400]</v>
      </c>
      <c r="I120" s="61">
        <v>0</v>
      </c>
      <c r="J120" s="58">
        <v>0</v>
      </c>
      <c r="K120" s="58">
        <v>0</v>
      </c>
      <c r="L120" s="115">
        <v>0</v>
      </c>
      <c r="M120" s="58">
        <v>0</v>
      </c>
      <c r="N120" s="58">
        <v>0</v>
      </c>
      <c r="O120" s="117">
        <v>0</v>
      </c>
      <c r="P120" s="58">
        <v>0</v>
      </c>
      <c r="Q120" s="58">
        <v>0</v>
      </c>
      <c r="R120" s="58"/>
      <c r="S120" s="82">
        <v>0</v>
      </c>
    </row>
    <row r="121" spans="1:19" x14ac:dyDescent="0.3">
      <c r="A121" s="57">
        <v>400</v>
      </c>
      <c r="B121" s="57">
        <v>450</v>
      </c>
      <c r="C121" s="95">
        <v>170044</v>
      </c>
      <c r="D121" s="95">
        <v>7217451220</v>
      </c>
      <c r="E121" s="58">
        <v>1.7425278609140175E-4</v>
      </c>
      <c r="F121" s="92">
        <v>424.4460974806521</v>
      </c>
      <c r="G121" s="89">
        <v>0</v>
      </c>
      <c r="H121" s="60" t="str">
        <f t="shared" si="1"/>
        <v>(400, 450]</v>
      </c>
      <c r="I121" s="61">
        <v>0</v>
      </c>
      <c r="J121" s="58">
        <v>0</v>
      </c>
      <c r="K121" s="58">
        <v>0</v>
      </c>
      <c r="L121" s="115">
        <v>0</v>
      </c>
      <c r="M121" s="58">
        <v>0</v>
      </c>
      <c r="N121" s="58">
        <v>0</v>
      </c>
      <c r="O121" s="117">
        <v>0</v>
      </c>
      <c r="P121" s="58">
        <v>0</v>
      </c>
      <c r="Q121" s="58">
        <v>0</v>
      </c>
      <c r="R121" s="58"/>
      <c r="S121" s="82">
        <v>0</v>
      </c>
    </row>
    <row r="122" spans="1:19" x14ac:dyDescent="0.3">
      <c r="A122" s="57">
        <v>450</v>
      </c>
      <c r="B122" s="57">
        <v>500</v>
      </c>
      <c r="C122" s="95">
        <v>135574</v>
      </c>
      <c r="D122" s="95">
        <v>6461924195</v>
      </c>
      <c r="E122" s="58">
        <v>1.3892961363856239E-4</v>
      </c>
      <c r="F122" s="92">
        <v>476.63447231770101</v>
      </c>
      <c r="G122" s="89">
        <v>0</v>
      </c>
      <c r="H122" s="60" t="str">
        <f t="shared" si="1"/>
        <v>(450, 500]</v>
      </c>
      <c r="I122" s="61">
        <v>0</v>
      </c>
      <c r="J122" s="58">
        <v>0</v>
      </c>
      <c r="K122" s="58">
        <v>0</v>
      </c>
      <c r="L122" s="115">
        <v>0</v>
      </c>
      <c r="M122" s="58">
        <v>0</v>
      </c>
      <c r="N122" s="58">
        <v>0</v>
      </c>
      <c r="O122" s="117">
        <v>0</v>
      </c>
      <c r="P122" s="58">
        <v>0</v>
      </c>
      <c r="Q122" s="58">
        <v>0</v>
      </c>
      <c r="R122" s="58"/>
      <c r="S122" s="82">
        <v>0</v>
      </c>
    </row>
    <row r="123" spans="1:19" x14ac:dyDescent="0.3">
      <c r="A123" s="57">
        <v>500</v>
      </c>
      <c r="B123" s="57">
        <v>550</v>
      </c>
      <c r="C123" s="95">
        <v>101112</v>
      </c>
      <c r="D123" s="95">
        <v>5305483430</v>
      </c>
      <c r="E123" s="58">
        <v>1.0361463919499549E-4</v>
      </c>
      <c r="F123" s="92">
        <v>524.71352856238627</v>
      </c>
      <c r="G123" s="89">
        <v>0</v>
      </c>
      <c r="H123" s="60" t="str">
        <f t="shared" si="1"/>
        <v>(500, 550]</v>
      </c>
      <c r="I123" s="61">
        <v>0</v>
      </c>
      <c r="J123" s="58">
        <v>0</v>
      </c>
      <c r="K123" s="58">
        <v>0</v>
      </c>
      <c r="L123" s="115">
        <v>0</v>
      </c>
      <c r="M123" s="58">
        <v>0</v>
      </c>
      <c r="N123" s="58">
        <v>0</v>
      </c>
      <c r="O123" s="117">
        <v>0</v>
      </c>
      <c r="P123" s="58">
        <v>0</v>
      </c>
      <c r="Q123" s="58">
        <v>0</v>
      </c>
      <c r="R123" s="58"/>
      <c r="S123" s="82">
        <v>0</v>
      </c>
    </row>
    <row r="124" spans="1:19" x14ac:dyDescent="0.3">
      <c r="A124" s="57">
        <v>550</v>
      </c>
      <c r="B124" s="57">
        <v>600</v>
      </c>
      <c r="C124" s="95">
        <v>84327</v>
      </c>
      <c r="D124" s="95">
        <v>4862430890</v>
      </c>
      <c r="E124" s="58">
        <v>8.6414190990153342E-5</v>
      </c>
      <c r="F124" s="92">
        <v>576.61613599440273</v>
      </c>
      <c r="G124" s="89">
        <v>0</v>
      </c>
      <c r="H124" s="60" t="str">
        <f t="shared" si="1"/>
        <v>(550, 600]</v>
      </c>
      <c r="I124" s="61">
        <v>0</v>
      </c>
      <c r="J124" s="58">
        <v>0</v>
      </c>
      <c r="K124" s="58">
        <v>0</v>
      </c>
      <c r="L124" s="115">
        <v>0</v>
      </c>
      <c r="M124" s="58">
        <v>0</v>
      </c>
      <c r="N124" s="58">
        <v>0</v>
      </c>
      <c r="O124" s="117">
        <v>0</v>
      </c>
      <c r="P124" s="58">
        <v>0</v>
      </c>
      <c r="Q124" s="58">
        <v>0</v>
      </c>
      <c r="R124" s="58"/>
      <c r="S124" s="82">
        <v>0</v>
      </c>
    </row>
    <row r="125" spans="1:19" x14ac:dyDescent="0.3">
      <c r="A125" s="57">
        <v>600</v>
      </c>
      <c r="B125" s="57">
        <v>650</v>
      </c>
      <c r="C125" s="95">
        <v>64244</v>
      </c>
      <c r="D125" s="95">
        <v>4014187770</v>
      </c>
      <c r="E125" s="58">
        <v>6.583411346272738E-5</v>
      </c>
      <c r="F125" s="92">
        <v>624.83465693294318</v>
      </c>
      <c r="G125" s="89">
        <v>0</v>
      </c>
      <c r="H125" s="60" t="str">
        <f t="shared" si="1"/>
        <v>(600, 650]</v>
      </c>
      <c r="I125" s="61">
        <v>0</v>
      </c>
      <c r="J125" s="58">
        <v>0</v>
      </c>
      <c r="K125" s="58">
        <v>0</v>
      </c>
      <c r="L125" s="115">
        <v>0</v>
      </c>
      <c r="M125" s="58">
        <v>0</v>
      </c>
      <c r="N125" s="58">
        <v>0</v>
      </c>
      <c r="O125" s="117">
        <v>0</v>
      </c>
      <c r="P125" s="58">
        <v>0</v>
      </c>
      <c r="Q125" s="58">
        <v>0</v>
      </c>
      <c r="R125" s="58"/>
      <c r="S125" s="82">
        <v>0</v>
      </c>
    </row>
    <row r="126" spans="1:19" x14ac:dyDescent="0.3">
      <c r="A126" s="57">
        <v>650</v>
      </c>
      <c r="B126" s="57">
        <v>700</v>
      </c>
      <c r="C126" s="95">
        <v>55867</v>
      </c>
      <c r="D126" s="95">
        <v>3783822575</v>
      </c>
      <c r="E126" s="58">
        <v>5.7249773003271751E-5</v>
      </c>
      <c r="F126" s="92">
        <v>677.29116920543424</v>
      </c>
      <c r="G126" s="89">
        <v>0</v>
      </c>
      <c r="H126" s="60" t="str">
        <f t="shared" si="1"/>
        <v>(650, 700]</v>
      </c>
      <c r="I126" s="61">
        <v>0</v>
      </c>
      <c r="J126" s="58">
        <v>0</v>
      </c>
      <c r="K126" s="58">
        <v>0</v>
      </c>
      <c r="L126" s="115">
        <v>0</v>
      </c>
      <c r="M126" s="58">
        <v>0</v>
      </c>
      <c r="N126" s="58">
        <v>0</v>
      </c>
      <c r="O126" s="117">
        <v>0</v>
      </c>
      <c r="P126" s="58">
        <v>0</v>
      </c>
      <c r="Q126" s="58">
        <v>0</v>
      </c>
      <c r="R126" s="58"/>
      <c r="S126" s="82">
        <v>0</v>
      </c>
    </row>
    <row r="127" spans="1:19" x14ac:dyDescent="0.3">
      <c r="A127" s="57">
        <v>700</v>
      </c>
      <c r="B127" s="57">
        <v>750</v>
      </c>
      <c r="C127" s="95">
        <v>48855</v>
      </c>
      <c r="D127" s="95">
        <v>3549139120</v>
      </c>
      <c r="E127" s="58">
        <v>5.0064217875934654E-5</v>
      </c>
      <c r="F127" s="92">
        <v>726.46384607512027</v>
      </c>
      <c r="G127" s="89">
        <v>0</v>
      </c>
      <c r="H127" s="60" t="str">
        <f t="shared" si="1"/>
        <v>(700, 750]</v>
      </c>
      <c r="I127" s="61">
        <v>0</v>
      </c>
      <c r="J127" s="58">
        <v>0</v>
      </c>
      <c r="K127" s="58">
        <v>0</v>
      </c>
      <c r="L127" s="115">
        <v>0</v>
      </c>
      <c r="M127" s="58">
        <v>0</v>
      </c>
      <c r="N127" s="58">
        <v>0</v>
      </c>
      <c r="O127" s="117">
        <v>0</v>
      </c>
      <c r="P127" s="58">
        <v>0</v>
      </c>
      <c r="Q127" s="58">
        <v>0</v>
      </c>
      <c r="R127" s="58"/>
      <c r="S127" s="82">
        <v>0</v>
      </c>
    </row>
    <row r="128" spans="1:19" x14ac:dyDescent="0.3">
      <c r="A128" s="57">
        <v>750</v>
      </c>
      <c r="B128" s="57">
        <v>800</v>
      </c>
      <c r="C128" s="95">
        <v>39264</v>
      </c>
      <c r="D128" s="95">
        <v>3051096245</v>
      </c>
      <c r="E128" s="58">
        <v>4.0235829509378738E-5</v>
      </c>
      <c r="F128" s="92">
        <v>777.07218953748975</v>
      </c>
      <c r="G128" s="89">
        <v>0</v>
      </c>
      <c r="H128" s="60" t="str">
        <f t="shared" si="1"/>
        <v>(750, 800]</v>
      </c>
      <c r="I128" s="61">
        <v>0</v>
      </c>
      <c r="J128" s="58">
        <v>0</v>
      </c>
      <c r="K128" s="58">
        <v>0</v>
      </c>
      <c r="L128" s="115">
        <v>0</v>
      </c>
      <c r="M128" s="58">
        <v>0</v>
      </c>
      <c r="N128" s="58">
        <v>0</v>
      </c>
      <c r="O128" s="117">
        <v>0</v>
      </c>
      <c r="P128" s="58">
        <v>0</v>
      </c>
      <c r="Q128" s="58">
        <v>0</v>
      </c>
      <c r="R128" s="58"/>
      <c r="S128" s="82">
        <v>0</v>
      </c>
    </row>
    <row r="129" spans="1:19" x14ac:dyDescent="0.3">
      <c r="A129" s="57">
        <v>800</v>
      </c>
      <c r="B129" s="57">
        <v>850</v>
      </c>
      <c r="C129" s="95">
        <v>34939</v>
      </c>
      <c r="D129" s="95">
        <v>2884838025</v>
      </c>
      <c r="E129" s="58">
        <v>3.5803780746439073E-5</v>
      </c>
      <c r="F129" s="92">
        <v>825.67847534274028</v>
      </c>
      <c r="G129" s="89">
        <v>0</v>
      </c>
      <c r="H129" s="60" t="str">
        <f t="shared" si="1"/>
        <v>(800, 850]</v>
      </c>
      <c r="I129" s="61">
        <v>0</v>
      </c>
      <c r="J129" s="58">
        <v>0</v>
      </c>
      <c r="K129" s="58">
        <v>0</v>
      </c>
      <c r="L129" s="115">
        <v>0</v>
      </c>
      <c r="M129" s="58">
        <v>0</v>
      </c>
      <c r="N129" s="58">
        <v>0</v>
      </c>
      <c r="O129" s="117">
        <v>0</v>
      </c>
      <c r="P129" s="58">
        <v>0</v>
      </c>
      <c r="Q129" s="58">
        <v>0</v>
      </c>
      <c r="R129" s="58"/>
      <c r="S129" s="82">
        <v>0</v>
      </c>
    </row>
    <row r="130" spans="1:19" x14ac:dyDescent="0.3">
      <c r="A130" s="57">
        <v>850</v>
      </c>
      <c r="B130" s="57">
        <v>900</v>
      </c>
      <c r="C130" s="95">
        <v>28201</v>
      </c>
      <c r="D130" s="95">
        <v>2470406340</v>
      </c>
      <c r="E130" s="58">
        <v>2.8899007436684744E-5</v>
      </c>
      <c r="F130" s="92">
        <v>875.99955320733307</v>
      </c>
      <c r="G130" s="89">
        <v>0</v>
      </c>
      <c r="H130" s="60" t="str">
        <f t="shared" si="1"/>
        <v>(850, 900]</v>
      </c>
      <c r="I130" s="61">
        <v>0</v>
      </c>
      <c r="J130" s="58">
        <v>0</v>
      </c>
      <c r="K130" s="58">
        <v>0</v>
      </c>
      <c r="L130" s="83">
        <v>0</v>
      </c>
      <c r="M130" s="58">
        <v>0</v>
      </c>
      <c r="N130" s="58">
        <v>0</v>
      </c>
      <c r="O130" s="117">
        <v>0</v>
      </c>
      <c r="P130" s="58">
        <v>0</v>
      </c>
      <c r="Q130" s="58">
        <v>0</v>
      </c>
      <c r="R130" s="58"/>
      <c r="S130" s="82">
        <v>0</v>
      </c>
    </row>
    <row r="131" spans="1:19" x14ac:dyDescent="0.3">
      <c r="A131" s="57">
        <v>900</v>
      </c>
      <c r="B131" s="57">
        <v>950</v>
      </c>
      <c r="C131" s="95">
        <v>25694</v>
      </c>
      <c r="D131" s="95">
        <v>2379513120</v>
      </c>
      <c r="E131" s="58">
        <v>2.6329956280918331E-5</v>
      </c>
      <c r="F131" s="92">
        <v>926.09680080952751</v>
      </c>
      <c r="G131" s="89">
        <v>0</v>
      </c>
      <c r="H131" s="60" t="str">
        <f t="shared" si="1"/>
        <v>(900, 950]</v>
      </c>
      <c r="I131" s="61">
        <v>0</v>
      </c>
      <c r="J131" s="58">
        <v>0</v>
      </c>
      <c r="K131" s="58">
        <v>0</v>
      </c>
      <c r="L131" s="83">
        <v>0</v>
      </c>
      <c r="M131" s="58">
        <v>0</v>
      </c>
      <c r="N131" s="58">
        <v>0</v>
      </c>
      <c r="O131" s="117">
        <v>0</v>
      </c>
      <c r="P131" s="58">
        <v>0</v>
      </c>
      <c r="Q131" s="58">
        <v>0</v>
      </c>
      <c r="R131" s="58"/>
      <c r="S131" s="82">
        <v>0</v>
      </c>
    </row>
    <row r="132" spans="1:19" x14ac:dyDescent="0.3">
      <c r="A132" s="57">
        <v>950</v>
      </c>
      <c r="B132" s="57">
        <v>1000</v>
      </c>
      <c r="C132" s="95">
        <v>29078</v>
      </c>
      <c r="D132" s="95">
        <v>2855552985</v>
      </c>
      <c r="E132" s="58">
        <v>2.9797714203181414E-5</v>
      </c>
      <c r="F132" s="92">
        <v>982.03211534493425</v>
      </c>
      <c r="G132" s="89">
        <v>0</v>
      </c>
      <c r="H132" s="60" t="str">
        <f t="shared" si="1"/>
        <v>(950, 1000]</v>
      </c>
      <c r="I132" s="61">
        <v>0</v>
      </c>
      <c r="J132" s="58">
        <v>0</v>
      </c>
      <c r="K132" s="58">
        <v>0</v>
      </c>
      <c r="L132" s="83">
        <v>0</v>
      </c>
      <c r="M132" s="58">
        <v>0</v>
      </c>
      <c r="N132" s="58">
        <v>0</v>
      </c>
      <c r="O132" s="117">
        <v>0</v>
      </c>
      <c r="P132" s="58">
        <v>0</v>
      </c>
      <c r="Q132" s="58">
        <v>0</v>
      </c>
      <c r="R132" s="58"/>
      <c r="S132" s="82">
        <v>0</v>
      </c>
    </row>
    <row r="133" spans="1:19" x14ac:dyDescent="0.3">
      <c r="A133" s="57">
        <v>1000</v>
      </c>
      <c r="B133" s="57">
        <v>2000</v>
      </c>
      <c r="C133" s="95">
        <v>241904</v>
      </c>
      <c r="D133" s="95">
        <v>34078518270</v>
      </c>
      <c r="E133" s="58">
        <v>2.4789140438153919E-4</v>
      </c>
      <c r="F133" s="92">
        <v>1408.7620820656127</v>
      </c>
      <c r="G133" s="89">
        <v>0</v>
      </c>
      <c r="H133" s="60" t="str">
        <f t="shared" si="1"/>
        <v>(1000, 2000]</v>
      </c>
      <c r="I133" s="61">
        <v>0</v>
      </c>
      <c r="J133" s="58">
        <v>0</v>
      </c>
      <c r="K133" s="58">
        <v>0</v>
      </c>
      <c r="L133" s="83">
        <v>0</v>
      </c>
      <c r="M133" s="58">
        <v>0</v>
      </c>
      <c r="N133" s="58">
        <v>0</v>
      </c>
      <c r="O133" s="117">
        <v>0</v>
      </c>
      <c r="P133" s="58">
        <v>0</v>
      </c>
      <c r="Q133" s="58">
        <v>0</v>
      </c>
      <c r="R133" s="58"/>
      <c r="S133" s="82">
        <v>0</v>
      </c>
    </row>
    <row r="134" spans="1:19" x14ac:dyDescent="0.3">
      <c r="A134" s="57">
        <v>2000</v>
      </c>
      <c r="B134" s="57">
        <v>3000</v>
      </c>
      <c r="C134" s="95">
        <v>102723</v>
      </c>
      <c r="D134" s="95">
        <v>25279567590</v>
      </c>
      <c r="E134" s="58">
        <v>1.0526551331224308E-4</v>
      </c>
      <c r="F134" s="92">
        <v>2460.9452206419205</v>
      </c>
      <c r="G134" s="89">
        <v>0</v>
      </c>
      <c r="H134" s="60" t="str">
        <f t="shared" si="1"/>
        <v>(2000, 3000]</v>
      </c>
      <c r="I134" s="61">
        <v>0</v>
      </c>
      <c r="J134" s="58">
        <v>0</v>
      </c>
      <c r="K134" s="58">
        <v>0</v>
      </c>
      <c r="L134" s="83">
        <v>0</v>
      </c>
      <c r="M134" s="58">
        <v>0</v>
      </c>
      <c r="N134" s="58">
        <v>0</v>
      </c>
      <c r="O134" s="117">
        <v>0</v>
      </c>
      <c r="P134" s="58">
        <v>0</v>
      </c>
      <c r="Q134" s="58">
        <v>0</v>
      </c>
      <c r="R134" s="58"/>
      <c r="S134" s="82">
        <v>0</v>
      </c>
    </row>
    <row r="135" spans="1:19" x14ac:dyDescent="0.3">
      <c r="A135" s="57">
        <v>3000</v>
      </c>
      <c r="B135" s="57">
        <v>4000</v>
      </c>
      <c r="C135" s="95">
        <v>60894</v>
      </c>
      <c r="D135" s="95">
        <v>21120429335</v>
      </c>
      <c r="E135" s="58">
        <v>6.2401197079872374E-5</v>
      </c>
      <c r="F135" s="92">
        <v>3468.3925074720005</v>
      </c>
      <c r="G135" s="89">
        <v>0</v>
      </c>
      <c r="H135" s="60" t="str">
        <f t="shared" si="1"/>
        <v>(3000, 4000]</v>
      </c>
      <c r="I135" s="61">
        <v>0</v>
      </c>
      <c r="J135" s="58">
        <v>0</v>
      </c>
      <c r="K135" s="58">
        <v>0</v>
      </c>
      <c r="L135" s="83">
        <v>0</v>
      </c>
      <c r="M135" s="58">
        <v>0</v>
      </c>
      <c r="N135" s="58">
        <v>0</v>
      </c>
      <c r="O135" s="117">
        <v>0</v>
      </c>
      <c r="P135" s="58">
        <v>0</v>
      </c>
      <c r="Q135" s="58">
        <v>0</v>
      </c>
      <c r="R135" s="58"/>
      <c r="S135" s="82">
        <v>0</v>
      </c>
    </row>
    <row r="136" spans="1:19" x14ac:dyDescent="0.3">
      <c r="A136" s="57">
        <v>4000</v>
      </c>
      <c r="B136" s="57">
        <v>5000</v>
      </c>
      <c r="C136" s="95">
        <v>39858</v>
      </c>
      <c r="D136" s="95">
        <v>17838944055</v>
      </c>
      <c r="E136" s="58">
        <v>4.084453169786109E-5</v>
      </c>
      <c r="F136" s="92">
        <v>4475.62448065633</v>
      </c>
      <c r="G136" s="89">
        <v>0</v>
      </c>
      <c r="H136" s="60" t="str">
        <f t="shared" si="1"/>
        <v>(4000, 5000]</v>
      </c>
      <c r="I136" s="61">
        <v>0</v>
      </c>
      <c r="J136" s="58">
        <v>0</v>
      </c>
      <c r="K136" s="58">
        <v>0</v>
      </c>
      <c r="L136" s="83">
        <v>0</v>
      </c>
      <c r="M136" s="58">
        <v>0</v>
      </c>
      <c r="N136" s="58">
        <v>0</v>
      </c>
      <c r="O136" s="117">
        <v>0</v>
      </c>
      <c r="P136" s="58">
        <v>0</v>
      </c>
      <c r="Q136" s="58">
        <v>0</v>
      </c>
      <c r="R136" s="58"/>
      <c r="S136" s="82">
        <v>0</v>
      </c>
    </row>
    <row r="137" spans="1:19" x14ac:dyDescent="0.3">
      <c r="A137" s="57">
        <v>5000</v>
      </c>
      <c r="B137" s="57">
        <v>6000</v>
      </c>
      <c r="C137" s="95">
        <v>27915</v>
      </c>
      <c r="D137" s="95">
        <v>15297501810</v>
      </c>
      <c r="E137" s="58">
        <v>2.8605928605193243E-5</v>
      </c>
      <c r="F137" s="92">
        <v>5480.0293068242872</v>
      </c>
      <c r="G137" s="89">
        <v>0</v>
      </c>
      <c r="H137" s="60" t="str">
        <f t="shared" si="1"/>
        <v>(5000, 6000]</v>
      </c>
      <c r="I137" s="61">
        <v>0</v>
      </c>
      <c r="J137" s="58">
        <v>0</v>
      </c>
      <c r="K137" s="58">
        <v>0</v>
      </c>
      <c r="L137" s="83">
        <v>0</v>
      </c>
      <c r="M137" s="58">
        <v>0</v>
      </c>
      <c r="N137" s="58">
        <v>0</v>
      </c>
      <c r="O137" s="117">
        <v>0</v>
      </c>
      <c r="P137" s="58">
        <v>0</v>
      </c>
      <c r="Q137" s="58">
        <v>0</v>
      </c>
      <c r="R137" s="58"/>
      <c r="S137" s="82">
        <v>0</v>
      </c>
    </row>
    <row r="138" spans="1:19" x14ac:dyDescent="0.3">
      <c r="A138" s="57">
        <v>6000</v>
      </c>
      <c r="B138" s="57">
        <v>7000</v>
      </c>
      <c r="C138" s="95">
        <v>20068</v>
      </c>
      <c r="D138" s="95">
        <v>13001038590</v>
      </c>
      <c r="E138" s="58">
        <v>2.0564706260040049E-5</v>
      </c>
      <c r="F138" s="92">
        <v>6478.4924207693839</v>
      </c>
      <c r="G138" s="89">
        <v>0</v>
      </c>
      <c r="H138" s="60" t="str">
        <f t="shared" si="1"/>
        <v>(6000, 7000]</v>
      </c>
      <c r="I138" s="61">
        <v>0</v>
      </c>
      <c r="J138" s="58">
        <v>0</v>
      </c>
      <c r="K138" s="58">
        <v>0</v>
      </c>
      <c r="L138" s="83">
        <v>0</v>
      </c>
      <c r="M138" s="58">
        <v>0</v>
      </c>
      <c r="N138" s="58">
        <v>0</v>
      </c>
      <c r="O138" s="117">
        <v>0</v>
      </c>
      <c r="P138" s="58">
        <v>0</v>
      </c>
      <c r="Q138" s="58">
        <v>0</v>
      </c>
      <c r="R138" s="58"/>
      <c r="S138" s="82">
        <v>0</v>
      </c>
    </row>
    <row r="139" spans="1:19" x14ac:dyDescent="0.3">
      <c r="A139" s="57">
        <v>7000</v>
      </c>
      <c r="B139" s="57">
        <v>8000</v>
      </c>
      <c r="C139" s="95">
        <v>14363</v>
      </c>
      <c r="D139" s="95">
        <v>10748537655</v>
      </c>
      <c r="E139" s="58">
        <v>1.4718500897595937E-5</v>
      </c>
      <c r="F139" s="92">
        <v>7483.4906739539092</v>
      </c>
      <c r="G139" s="89">
        <v>0</v>
      </c>
      <c r="H139" s="60" t="str">
        <f t="shared" si="1"/>
        <v>(7000, 8000]</v>
      </c>
      <c r="I139" s="61">
        <v>0</v>
      </c>
      <c r="J139" s="58">
        <v>0</v>
      </c>
      <c r="K139" s="58">
        <v>0</v>
      </c>
      <c r="L139" s="83">
        <v>0</v>
      </c>
      <c r="M139" s="58">
        <v>0</v>
      </c>
      <c r="N139" s="58">
        <v>0</v>
      </c>
      <c r="O139" s="117">
        <v>0</v>
      </c>
      <c r="P139" s="58">
        <v>0</v>
      </c>
      <c r="Q139" s="58">
        <v>0</v>
      </c>
      <c r="R139" s="58"/>
      <c r="S139" s="82">
        <v>0</v>
      </c>
    </row>
    <row r="140" spans="1:19" x14ac:dyDescent="0.3">
      <c r="A140" s="57">
        <v>8000</v>
      </c>
      <c r="B140" s="57">
        <v>9000</v>
      </c>
      <c r="C140" s="95">
        <v>10887</v>
      </c>
      <c r="D140" s="95">
        <v>9232015295</v>
      </c>
      <c r="E140" s="58">
        <v>1.1156465868699225E-5</v>
      </c>
      <c r="F140" s="92">
        <v>8479.8523881693764</v>
      </c>
      <c r="G140" s="89">
        <v>0</v>
      </c>
      <c r="H140" s="60" t="str">
        <f t="shared" si="1"/>
        <v>(8000, 9000]</v>
      </c>
      <c r="I140" s="61">
        <v>0</v>
      </c>
      <c r="J140" s="58">
        <v>0</v>
      </c>
      <c r="K140" s="58">
        <v>0</v>
      </c>
      <c r="L140" s="83">
        <v>0</v>
      </c>
      <c r="M140" s="58">
        <v>0</v>
      </c>
      <c r="N140" s="58">
        <v>0</v>
      </c>
      <c r="O140" s="117">
        <v>0</v>
      </c>
      <c r="P140" s="58">
        <v>0</v>
      </c>
      <c r="Q140" s="58">
        <v>0</v>
      </c>
      <c r="R140" s="58"/>
      <c r="S140" s="82">
        <v>0</v>
      </c>
    </row>
    <row r="141" spans="1:19" x14ac:dyDescent="0.3">
      <c r="A141" s="57">
        <v>9000</v>
      </c>
      <c r="B141" s="57">
        <v>10000</v>
      </c>
      <c r="C141" s="95">
        <v>8151</v>
      </c>
      <c r="D141" s="95">
        <v>7732408470</v>
      </c>
      <c r="E141" s="58">
        <v>8.3527466975077962E-6</v>
      </c>
      <c r="F141" s="92">
        <v>9486.4537725432456</v>
      </c>
      <c r="G141" s="89">
        <v>0</v>
      </c>
      <c r="H141" s="60" t="str">
        <f t="shared" si="1"/>
        <v>(9000, 10000]</v>
      </c>
      <c r="I141" s="61">
        <v>0</v>
      </c>
      <c r="J141" s="58">
        <v>0</v>
      </c>
      <c r="K141" s="58">
        <v>0</v>
      </c>
      <c r="L141" s="83">
        <v>0</v>
      </c>
      <c r="M141" s="58">
        <v>0</v>
      </c>
      <c r="N141" s="58">
        <v>0</v>
      </c>
      <c r="O141" s="117">
        <v>0</v>
      </c>
      <c r="P141" s="58">
        <v>0</v>
      </c>
      <c r="Q141" s="58">
        <v>0</v>
      </c>
      <c r="R141" s="58"/>
      <c r="S141" s="82">
        <v>0</v>
      </c>
    </row>
    <row r="142" spans="1:19" x14ac:dyDescent="0.3">
      <c r="A142" s="57">
        <v>10000</v>
      </c>
      <c r="B142" s="57">
        <v>20000</v>
      </c>
      <c r="C142" s="95">
        <v>28306</v>
      </c>
      <c r="D142" s="95">
        <v>38232162105</v>
      </c>
      <c r="E142" s="58">
        <v>2.9006606308386171E-5</v>
      </c>
      <c r="F142" s="92">
        <v>13506.734298381969</v>
      </c>
      <c r="G142" s="89">
        <v>0</v>
      </c>
      <c r="H142" s="60" t="str">
        <f t="shared" si="1"/>
        <v>(10000, 20000]</v>
      </c>
      <c r="I142" s="61">
        <v>0</v>
      </c>
      <c r="J142" s="58">
        <v>0</v>
      </c>
      <c r="K142" s="58">
        <v>0</v>
      </c>
      <c r="L142" s="83">
        <v>0</v>
      </c>
      <c r="M142" s="58">
        <v>0</v>
      </c>
      <c r="N142" s="58">
        <v>0</v>
      </c>
      <c r="O142" s="117">
        <v>0</v>
      </c>
      <c r="P142" s="58">
        <v>0</v>
      </c>
      <c r="Q142" s="58">
        <v>0</v>
      </c>
      <c r="R142" s="58"/>
      <c r="S142" s="82">
        <v>0</v>
      </c>
    </row>
    <row r="143" spans="1:19" x14ac:dyDescent="0.3">
      <c r="A143" s="57">
        <v>20000</v>
      </c>
      <c r="B143" s="57">
        <v>30000</v>
      </c>
      <c r="C143" s="95">
        <v>5090</v>
      </c>
      <c r="D143" s="95">
        <v>12184853370</v>
      </c>
      <c r="E143" s="58">
        <v>5.2159833996214801E-6</v>
      </c>
      <c r="F143" s="92">
        <v>23938.808192534383</v>
      </c>
      <c r="G143" s="89">
        <v>0</v>
      </c>
      <c r="H143" s="60" t="str">
        <f t="shared" si="1"/>
        <v>(20000, 30000]</v>
      </c>
      <c r="I143" s="61">
        <v>0</v>
      </c>
      <c r="J143" s="58">
        <v>0</v>
      </c>
      <c r="K143" s="58">
        <v>0</v>
      </c>
      <c r="L143" s="83">
        <v>0</v>
      </c>
      <c r="M143" s="58">
        <v>0</v>
      </c>
      <c r="N143" s="58">
        <v>0</v>
      </c>
      <c r="O143" s="117">
        <v>0</v>
      </c>
      <c r="P143" s="58">
        <v>0</v>
      </c>
      <c r="Q143" s="58">
        <v>0</v>
      </c>
      <c r="R143" s="58"/>
      <c r="S143" s="82">
        <v>0</v>
      </c>
    </row>
    <row r="144" spans="1:19" x14ac:dyDescent="0.3">
      <c r="A144" s="57">
        <v>30000</v>
      </c>
      <c r="B144" s="57">
        <v>40000</v>
      </c>
      <c r="C144" s="95">
        <v>1319</v>
      </c>
      <c r="D144" s="95">
        <v>4457822220</v>
      </c>
      <c r="E144" s="58">
        <v>1.3516467788017156E-6</v>
      </c>
      <c r="F144" s="92">
        <v>33796.984230477632</v>
      </c>
      <c r="G144" s="89">
        <v>0</v>
      </c>
      <c r="H144" s="60" t="str">
        <f t="shared" si="1"/>
        <v>(30000, 40000]</v>
      </c>
      <c r="I144" s="61">
        <v>0</v>
      </c>
      <c r="J144" s="58">
        <v>0</v>
      </c>
      <c r="K144" s="58">
        <v>0</v>
      </c>
      <c r="L144" s="83">
        <v>0</v>
      </c>
      <c r="M144" s="58">
        <v>0</v>
      </c>
      <c r="N144" s="58">
        <v>0</v>
      </c>
      <c r="O144" s="117">
        <v>0</v>
      </c>
      <c r="P144" s="58">
        <v>0</v>
      </c>
      <c r="Q144" s="58">
        <v>0</v>
      </c>
      <c r="R144" s="58"/>
      <c r="S144" s="82">
        <v>0</v>
      </c>
    </row>
    <row r="145" spans="1:20" x14ac:dyDescent="0.3">
      <c r="A145" s="57">
        <v>40000</v>
      </c>
      <c r="B145" s="57">
        <v>50000</v>
      </c>
      <c r="C145" s="95">
        <v>386</v>
      </c>
      <c r="D145" s="95">
        <v>1709453235</v>
      </c>
      <c r="E145" s="58">
        <v>3.9555394739762108E-7</v>
      </c>
      <c r="F145" s="92">
        <v>44286.353238341966</v>
      </c>
      <c r="G145" s="89">
        <v>0</v>
      </c>
      <c r="H145" s="60" t="str">
        <f t="shared" si="1"/>
        <v>(40000, 50000]</v>
      </c>
      <c r="I145" s="61">
        <v>0</v>
      </c>
      <c r="J145" s="58">
        <v>0</v>
      </c>
      <c r="K145" s="58">
        <v>0</v>
      </c>
      <c r="L145" s="83">
        <v>0</v>
      </c>
      <c r="M145" s="58">
        <v>0</v>
      </c>
      <c r="N145" s="58">
        <v>0</v>
      </c>
      <c r="O145" s="117">
        <v>0</v>
      </c>
      <c r="P145" s="58">
        <v>0</v>
      </c>
      <c r="Q145" s="58">
        <v>0</v>
      </c>
      <c r="R145" s="58"/>
      <c r="S145" s="82">
        <v>0</v>
      </c>
    </row>
    <row r="146" spans="1:20" x14ac:dyDescent="0.3">
      <c r="A146" s="57">
        <v>50000</v>
      </c>
      <c r="B146" s="57">
        <v>60000</v>
      </c>
      <c r="C146" s="95">
        <v>685</v>
      </c>
      <c r="D146" s="95">
        <v>3754047120</v>
      </c>
      <c r="E146" s="58">
        <v>7.0195454395691819E-7</v>
      </c>
      <c r="F146" s="92">
        <v>54803.607591240871</v>
      </c>
      <c r="G146" s="89">
        <v>0</v>
      </c>
      <c r="H146" s="60" t="str">
        <f t="shared" si="1"/>
        <v>(50000, 60000]</v>
      </c>
      <c r="I146" s="61">
        <v>0</v>
      </c>
      <c r="J146" s="58">
        <v>0</v>
      </c>
      <c r="K146" s="58">
        <v>0</v>
      </c>
      <c r="L146" s="83">
        <v>0</v>
      </c>
      <c r="M146" s="58">
        <v>0</v>
      </c>
      <c r="N146" s="58">
        <v>0</v>
      </c>
      <c r="O146" s="117">
        <v>0</v>
      </c>
      <c r="P146" s="58">
        <v>0</v>
      </c>
      <c r="Q146" s="58">
        <v>0</v>
      </c>
      <c r="R146" s="58"/>
      <c r="S146" s="82">
        <v>0</v>
      </c>
    </row>
    <row r="147" spans="1:20" x14ac:dyDescent="0.3">
      <c r="A147" s="57">
        <v>60000</v>
      </c>
      <c r="B147" s="57">
        <v>70000</v>
      </c>
      <c r="C147" s="95">
        <v>198</v>
      </c>
      <c r="D147" s="95">
        <v>1266830660</v>
      </c>
      <c r="E147" s="58">
        <v>2.0290072949411651E-7</v>
      </c>
      <c r="F147" s="92">
        <v>63981.346464646471</v>
      </c>
      <c r="G147" s="89">
        <v>0</v>
      </c>
      <c r="H147" s="60" t="str">
        <f t="shared" si="1"/>
        <v>(60000, 70000]</v>
      </c>
      <c r="I147" s="61">
        <v>0</v>
      </c>
      <c r="J147" s="58">
        <v>0</v>
      </c>
      <c r="K147" s="58">
        <v>0</v>
      </c>
      <c r="L147" s="83">
        <v>0</v>
      </c>
      <c r="M147" s="58">
        <v>0</v>
      </c>
      <c r="N147" s="58">
        <v>0</v>
      </c>
      <c r="O147" s="117">
        <v>0</v>
      </c>
      <c r="P147" s="58">
        <v>0</v>
      </c>
      <c r="Q147" s="58">
        <v>0</v>
      </c>
      <c r="R147" s="58"/>
      <c r="S147" s="82">
        <v>0</v>
      </c>
    </row>
    <row r="148" spans="1:20" x14ac:dyDescent="0.3">
      <c r="A148" s="57">
        <v>70000</v>
      </c>
      <c r="B148" s="57">
        <v>80000</v>
      </c>
      <c r="C148" s="95">
        <v>57</v>
      </c>
      <c r="D148" s="95">
        <v>424289610</v>
      </c>
      <c r="E148" s="58">
        <v>5.8410816066488083E-8</v>
      </c>
      <c r="F148" s="92">
        <v>74436.773684210522</v>
      </c>
      <c r="G148" s="89">
        <v>0</v>
      </c>
      <c r="H148" s="60" t="str">
        <f t="shared" si="1"/>
        <v>(70000, 80000]</v>
      </c>
      <c r="I148" s="61">
        <v>0</v>
      </c>
      <c r="J148" s="58">
        <v>0</v>
      </c>
      <c r="K148" s="58">
        <v>0</v>
      </c>
      <c r="L148" s="83">
        <v>0</v>
      </c>
      <c r="M148" s="58">
        <v>0</v>
      </c>
      <c r="N148" s="58">
        <v>0</v>
      </c>
      <c r="O148" s="117">
        <v>0</v>
      </c>
      <c r="P148" s="58">
        <v>0</v>
      </c>
      <c r="Q148" s="58">
        <v>0</v>
      </c>
      <c r="R148" s="58"/>
      <c r="S148" s="82">
        <v>0</v>
      </c>
    </row>
    <row r="149" spans="1:20" x14ac:dyDescent="0.3">
      <c r="A149" s="57">
        <v>80000</v>
      </c>
      <c r="B149" s="57">
        <v>90000</v>
      </c>
      <c r="C149" s="95">
        <v>26</v>
      </c>
      <c r="D149" s="95">
        <v>218246870</v>
      </c>
      <c r="E149" s="58">
        <v>2.6643530135591055E-8</v>
      </c>
      <c r="F149" s="92">
        <v>83941.103846153841</v>
      </c>
      <c r="G149" s="89">
        <v>0</v>
      </c>
      <c r="H149" s="60" t="str">
        <f t="shared" si="1"/>
        <v>(80000, 90000]</v>
      </c>
      <c r="I149" s="61">
        <v>0</v>
      </c>
      <c r="J149" s="58">
        <v>0</v>
      </c>
      <c r="K149" s="58">
        <v>0</v>
      </c>
      <c r="L149" s="83">
        <v>0</v>
      </c>
      <c r="M149" s="58">
        <v>0</v>
      </c>
      <c r="N149" s="58">
        <v>0</v>
      </c>
      <c r="O149" s="117">
        <v>0</v>
      </c>
      <c r="P149" s="58">
        <v>0</v>
      </c>
      <c r="Q149" s="58">
        <v>0</v>
      </c>
      <c r="R149" s="58"/>
      <c r="S149" s="82">
        <v>0</v>
      </c>
    </row>
    <row r="150" spans="1:20" x14ac:dyDescent="0.3">
      <c r="A150" s="57">
        <v>90000</v>
      </c>
      <c r="B150" s="57">
        <v>100000</v>
      </c>
      <c r="C150" s="95">
        <v>8</v>
      </c>
      <c r="D150" s="95">
        <v>76492140</v>
      </c>
      <c r="E150" s="58">
        <v>8.1980092724895557E-9</v>
      </c>
      <c r="F150" s="92">
        <v>95615.175000000003</v>
      </c>
      <c r="G150" s="89">
        <v>0</v>
      </c>
      <c r="H150" s="60" t="str">
        <f t="shared" si="1"/>
        <v>(90000, 100000]</v>
      </c>
      <c r="I150" s="61">
        <v>0</v>
      </c>
      <c r="J150" s="58">
        <v>0</v>
      </c>
      <c r="K150" s="58">
        <v>0</v>
      </c>
      <c r="L150" s="83">
        <v>0</v>
      </c>
      <c r="M150" s="58">
        <v>0</v>
      </c>
      <c r="N150" s="58">
        <v>0</v>
      </c>
      <c r="O150" s="117">
        <v>0</v>
      </c>
      <c r="P150" s="58">
        <v>0</v>
      </c>
      <c r="Q150" s="58">
        <v>0</v>
      </c>
      <c r="R150" s="58"/>
      <c r="S150" s="82">
        <v>0</v>
      </c>
    </row>
    <row r="151" spans="1:20" x14ac:dyDescent="0.3">
      <c r="A151" s="57">
        <v>100000</v>
      </c>
      <c r="B151" s="57">
        <v>9999999</v>
      </c>
      <c r="C151" s="95">
        <v>166</v>
      </c>
      <c r="D151" s="95">
        <v>1996773875</v>
      </c>
      <c r="E151" s="58">
        <v>1.7010869240415828E-7</v>
      </c>
      <c r="F151" s="92">
        <v>120287.5828313253</v>
      </c>
      <c r="G151" s="89">
        <v>0</v>
      </c>
      <c r="H151" s="60" t="str">
        <f t="shared" si="1"/>
        <v>(100000, 9999999]</v>
      </c>
      <c r="I151" s="61">
        <v>0</v>
      </c>
      <c r="J151" s="58">
        <v>0</v>
      </c>
      <c r="K151" s="58">
        <v>0</v>
      </c>
      <c r="L151" s="83">
        <v>0</v>
      </c>
      <c r="M151" s="58">
        <v>0</v>
      </c>
      <c r="N151" s="58">
        <v>0</v>
      </c>
      <c r="O151" s="117">
        <v>0</v>
      </c>
      <c r="P151" s="58">
        <v>0</v>
      </c>
      <c r="Q151" s="58">
        <v>0</v>
      </c>
      <c r="R151" s="58"/>
      <c r="S151" s="82">
        <v>0</v>
      </c>
    </row>
    <row r="152" spans="1:20" x14ac:dyDescent="0.3">
      <c r="A152" s="230" t="s">
        <v>78</v>
      </c>
      <c r="B152" s="231"/>
      <c r="C152" s="72">
        <f>E152*B86</f>
        <v>24153000</v>
      </c>
      <c r="D152" s="95" cm="1">
        <f t="array" ref="D152:E152">D80:E80</f>
        <v>359164335</v>
      </c>
      <c r="E152" s="192">
        <v>2.4153000000000001E-2</v>
      </c>
      <c r="F152" s="92">
        <v>0.14870381940131661</v>
      </c>
      <c r="G152" s="99"/>
      <c r="H152" s="60" t="s">
        <v>78</v>
      </c>
      <c r="I152" s="61">
        <v>0.86499999999999999</v>
      </c>
      <c r="J152" s="58">
        <v>2.0892345E-2</v>
      </c>
      <c r="K152" s="58">
        <f>J152</f>
        <v>2.0892345E-2</v>
      </c>
      <c r="L152" s="83">
        <v>20892345</v>
      </c>
      <c r="M152" s="62">
        <v>2.0883998438532062E-2</v>
      </c>
      <c r="N152" s="58">
        <v>3.1055303321808497E-3</v>
      </c>
      <c r="P152" s="50"/>
      <c r="Q152" s="50"/>
      <c r="R152" s="50"/>
      <c r="S152" s="50"/>
      <c r="T152" s="50"/>
    </row>
    <row r="153" spans="1:20" x14ac:dyDescent="0.3">
      <c r="A153" s="65"/>
      <c r="B153" s="51"/>
      <c r="C153" s="1"/>
      <c r="D153" s="1"/>
      <c r="E153" s="1"/>
      <c r="F153" s="1"/>
      <c r="H153" s="13"/>
      <c r="I153" s="51"/>
      <c r="J153" s="51"/>
      <c r="L153" s="67"/>
      <c r="M153" s="51"/>
    </row>
    <row r="154" spans="1:20" x14ac:dyDescent="0.3">
      <c r="A154" s="51"/>
      <c r="D154" s="112"/>
      <c r="E154" s="1"/>
      <c r="F154" s="1"/>
      <c r="H154" s="13"/>
      <c r="I154" s="51"/>
      <c r="J154" s="51"/>
      <c r="K154" s="51"/>
      <c r="L154" s="51"/>
      <c r="M154" s="51"/>
      <c r="N154" s="51"/>
    </row>
    <row r="155" spans="1:20" s="79" customFormat="1" x14ac:dyDescent="0.3">
      <c r="A155" s="229" t="s">
        <v>50</v>
      </c>
      <c r="B155" s="229"/>
      <c r="C155" s="229"/>
      <c r="D155" s="229"/>
      <c r="E155" s="75"/>
      <c r="F155" s="75"/>
      <c r="G155" s="88"/>
      <c r="H155" s="77"/>
      <c r="I155" s="78"/>
      <c r="J155" s="76"/>
      <c r="K155" s="76"/>
      <c r="L155" s="76"/>
      <c r="M155" s="76"/>
      <c r="N155" s="76"/>
      <c r="O155" s="88"/>
    </row>
    <row r="156" spans="1:20" x14ac:dyDescent="0.3">
      <c r="A156" s="51"/>
      <c r="B156" s="51"/>
      <c r="C156" s="1"/>
      <c r="D156" s="1"/>
      <c r="E156" s="1"/>
      <c r="F156" s="1"/>
      <c r="G156" s="50">
        <v>9.9999999999999995E-7</v>
      </c>
      <c r="H156" s="13"/>
      <c r="I156" s="51"/>
      <c r="J156" s="51"/>
      <c r="K156" s="51"/>
      <c r="L156" s="51"/>
      <c r="M156" s="51"/>
      <c r="N156" s="51"/>
    </row>
    <row r="157" spans="1:20" x14ac:dyDescent="0.3">
      <c r="A157" s="69" t="s">
        <v>75</v>
      </c>
      <c r="B157" s="215">
        <f>B14</f>
        <v>1000000000</v>
      </c>
      <c r="C157" s="1"/>
      <c r="D157" s="1"/>
      <c r="E157" s="1"/>
      <c r="F157" s="1"/>
      <c r="G157" s="50">
        <v>53707</v>
      </c>
      <c r="H157" s="69" t="s">
        <v>76</v>
      </c>
      <c r="I157" s="51"/>
      <c r="J157" s="51"/>
      <c r="K157" s="51"/>
      <c r="M157" s="51"/>
      <c r="N157" s="51"/>
    </row>
    <row r="158" spans="1:20" ht="16.2" x14ac:dyDescent="0.3">
      <c r="A158" s="20" t="s">
        <v>58</v>
      </c>
      <c r="B158" s="20" t="s">
        <v>59</v>
      </c>
      <c r="C158" s="20" t="s">
        <v>71</v>
      </c>
      <c r="D158" s="20" t="s">
        <v>72</v>
      </c>
      <c r="E158" s="20" t="s">
        <v>73</v>
      </c>
      <c r="F158" s="20" t="s">
        <v>85</v>
      </c>
      <c r="G158" s="89">
        <f>1-G157*G156</f>
        <v>0.94629300000000005</v>
      </c>
      <c r="H158" s="20" t="s">
        <v>61</v>
      </c>
      <c r="I158" s="20" t="s">
        <v>63</v>
      </c>
      <c r="J158" s="20" t="s">
        <v>64</v>
      </c>
      <c r="K158" s="20" t="s">
        <v>65</v>
      </c>
      <c r="L158" s="20" t="s">
        <v>66</v>
      </c>
      <c r="M158" s="20" t="s">
        <v>67</v>
      </c>
      <c r="N158" s="20" t="s">
        <v>60</v>
      </c>
      <c r="O158" s="50">
        <v>0.9</v>
      </c>
      <c r="P158" s="85" t="s">
        <v>84</v>
      </c>
      <c r="Q158" s="185" t="s">
        <v>328</v>
      </c>
      <c r="R158" s="85" t="s">
        <v>217</v>
      </c>
      <c r="S158" s="85" t="s">
        <v>80</v>
      </c>
    </row>
    <row r="159" spans="1:20" x14ac:dyDescent="0.3">
      <c r="A159" s="63">
        <v>-1</v>
      </c>
      <c r="B159" s="63">
        <v>0</v>
      </c>
      <c r="C159" s="70">
        <v>0</v>
      </c>
      <c r="D159" s="70">
        <v>0</v>
      </c>
      <c r="E159" s="58" cm="1">
        <f t="array" ref="E159:E222">_xlfn.LET(_xlpm.x, C159:C222, _xlpm.x/SUM(_xlpm.x))</f>
        <v>0</v>
      </c>
      <c r="F159" s="91" cm="1">
        <f t="array" ref="F159:F222">_xlfn.LET(_xlpm.x, D159:D222/C159:C222/B3, IF(ISERR(_xlpm.x), 0, _xlpm.x))</f>
        <v>0</v>
      </c>
      <c r="G159" s="89"/>
      <c r="H159" s="60" t="str">
        <f>"("&amp;$A159&amp;", "&amp;$B159&amp;"]"</f>
        <v>(-1, 0]</v>
      </c>
      <c r="I159" s="61">
        <v>0</v>
      </c>
      <c r="J159" s="58" cm="1">
        <f t="array" ref="J159:J222">_xlfn.ANCHORARRAY(E159)*I159:I222</f>
        <v>0</v>
      </c>
      <c r="K159" s="58" cm="1">
        <f t="array" ref="K159:K222">J159:J222/SUM(_xlfn.ANCHORARRAY(J159))</f>
        <v>0</v>
      </c>
      <c r="L159" s="115" cm="1">
        <f t="array" ref="L159:L222">INT(_xlfn.ANCHORARRAY(K159)*$B$2)</f>
        <v>0</v>
      </c>
      <c r="M159" s="58" cm="1">
        <f t="array" ref="M159:M222">_xlfn.LET(_xlpm.x, L159:L222, _xlpm.x/SUM(_xlpm.x))</f>
        <v>0</v>
      </c>
      <c r="N159" s="59" cm="1">
        <f t="array" ref="N159:N222">M159:M222*_xlfn.ANCHORARRAY(F159)</f>
        <v>0</v>
      </c>
      <c r="O159" s="117" cm="1">
        <f t="array" ref="O159:O222">I159:I222*O158</f>
        <v>0</v>
      </c>
      <c r="P159" s="58" cm="1">
        <f t="array" ref="P159:P222">_xlfn.ANCHORARRAY(M159)</f>
        <v>0</v>
      </c>
      <c r="Q159" s="58">
        <v>0</v>
      </c>
      <c r="R159" s="58">
        <v>0</v>
      </c>
      <c r="S159" s="82" cm="1">
        <f t="array" ref="S159:S222">_xlfn.LET(_xlpm.x, Q159:Q222/M159:M222, IF(ISERR(_xlpm.x), 0, ROUND(_xlpm.x,2)))</f>
        <v>0</v>
      </c>
    </row>
    <row r="160" spans="1:20" x14ac:dyDescent="0.3">
      <c r="A160" s="57">
        <v>0</v>
      </c>
      <c r="B160" s="57">
        <v>1</v>
      </c>
      <c r="C160" s="71">
        <v>14852</v>
      </c>
      <c r="D160" s="71">
        <v>889415</v>
      </c>
      <c r="E160" s="58">
        <v>6.1505545769369283E-4</v>
      </c>
      <c r="F160" s="92">
        <v>0.5988520064637759</v>
      </c>
      <c r="G160" s="89"/>
      <c r="H160" s="60" t="str">
        <f t="shared" ref="H160:H222" si="2">"("&amp;$A160&amp;", "&amp;$B160&amp;"]"</f>
        <v>(0, 1]</v>
      </c>
      <c r="I160" s="61">
        <v>0</v>
      </c>
      <c r="J160" s="58">
        <v>0</v>
      </c>
      <c r="K160" s="58">
        <v>0</v>
      </c>
      <c r="L160" s="115">
        <v>0</v>
      </c>
      <c r="M160" s="58">
        <v>0</v>
      </c>
      <c r="N160" s="58">
        <v>0</v>
      </c>
      <c r="O160" s="117">
        <v>0</v>
      </c>
      <c r="P160" s="58">
        <v>0</v>
      </c>
      <c r="Q160" s="58">
        <v>0</v>
      </c>
      <c r="R160" s="58">
        <v>0</v>
      </c>
      <c r="S160" s="82">
        <v>0</v>
      </c>
    </row>
    <row r="161" spans="1:20" x14ac:dyDescent="0.3">
      <c r="A161" s="57">
        <v>1</v>
      </c>
      <c r="B161" s="57">
        <v>2</v>
      </c>
      <c r="C161" s="71">
        <v>14239</v>
      </c>
      <c r="D161" s="71">
        <v>2239490</v>
      </c>
      <c r="E161" s="58">
        <v>5.8966971869785158E-4</v>
      </c>
      <c r="F161" s="92">
        <v>1.5727860102535292</v>
      </c>
      <c r="G161" s="89"/>
      <c r="H161" s="60" t="str">
        <f t="shared" si="2"/>
        <v>(1, 2]</v>
      </c>
      <c r="I161" s="61">
        <v>0</v>
      </c>
      <c r="J161" s="58">
        <v>0</v>
      </c>
      <c r="K161" s="58">
        <v>0</v>
      </c>
      <c r="L161" s="115">
        <v>0</v>
      </c>
      <c r="M161" s="58">
        <v>0</v>
      </c>
      <c r="N161" s="58">
        <v>0</v>
      </c>
      <c r="O161" s="117">
        <v>0</v>
      </c>
      <c r="P161" s="58">
        <v>0</v>
      </c>
      <c r="Q161" s="58">
        <v>0</v>
      </c>
      <c r="R161" s="58">
        <v>0</v>
      </c>
      <c r="S161" s="82">
        <v>0</v>
      </c>
    </row>
    <row r="162" spans="1:20" x14ac:dyDescent="0.3">
      <c r="A162" s="57">
        <v>2</v>
      </c>
      <c r="B162" s="57">
        <v>3</v>
      </c>
      <c r="C162" s="71">
        <v>14789</v>
      </c>
      <c r="D162" s="71">
        <v>3824910</v>
      </c>
      <c r="E162" s="58">
        <v>6.1244648288661611E-4</v>
      </c>
      <c r="F162" s="92">
        <v>2.5863209141929815</v>
      </c>
      <c r="G162" s="89"/>
      <c r="H162" s="60" t="str">
        <f t="shared" si="2"/>
        <v>(2, 3]</v>
      </c>
      <c r="I162" s="61">
        <v>0</v>
      </c>
      <c r="J162" s="58">
        <v>0</v>
      </c>
      <c r="K162" s="58">
        <v>0</v>
      </c>
      <c r="L162" s="115">
        <v>0</v>
      </c>
      <c r="M162" s="58">
        <v>0</v>
      </c>
      <c r="N162" s="58">
        <v>0</v>
      </c>
      <c r="O162" s="117">
        <v>0</v>
      </c>
      <c r="P162" s="58">
        <v>0</v>
      </c>
      <c r="Q162" s="58">
        <v>0</v>
      </c>
      <c r="R162" s="58">
        <v>0</v>
      </c>
      <c r="S162" s="82">
        <v>0</v>
      </c>
    </row>
    <row r="163" spans="1:20" x14ac:dyDescent="0.3">
      <c r="A163" s="57">
        <v>3</v>
      </c>
      <c r="B163" s="57">
        <v>4</v>
      </c>
      <c r="C163" s="71">
        <v>14538</v>
      </c>
      <c r="D163" s="71">
        <v>5207180</v>
      </c>
      <c r="E163" s="58">
        <v>6.0205199595683451E-4</v>
      </c>
      <c r="F163" s="92">
        <v>3.5817719081029025</v>
      </c>
      <c r="G163" s="89"/>
      <c r="H163" s="60" t="str">
        <f t="shared" si="2"/>
        <v>(3, 4]</v>
      </c>
      <c r="I163" s="61">
        <v>0</v>
      </c>
      <c r="J163" s="58">
        <v>0</v>
      </c>
      <c r="K163" s="58">
        <v>0</v>
      </c>
      <c r="L163" s="115">
        <v>0</v>
      </c>
      <c r="M163" s="58">
        <v>0</v>
      </c>
      <c r="N163" s="58">
        <v>0</v>
      </c>
      <c r="O163" s="117">
        <v>0</v>
      </c>
      <c r="P163" s="58">
        <v>0</v>
      </c>
      <c r="Q163" s="58">
        <v>0</v>
      </c>
      <c r="R163" s="58">
        <v>3.614457831325301E-2</v>
      </c>
      <c r="S163" s="82">
        <v>0</v>
      </c>
    </row>
    <row r="164" spans="1:20" x14ac:dyDescent="0.3">
      <c r="A164" s="57">
        <v>4</v>
      </c>
      <c r="B164" s="57">
        <v>5</v>
      </c>
      <c r="C164" s="71">
        <v>15079</v>
      </c>
      <c r="D164" s="71">
        <v>6896535</v>
      </c>
      <c r="E164" s="58">
        <v>6.2445604945887375E-4</v>
      </c>
      <c r="F164" s="92">
        <v>4.5736023608992635</v>
      </c>
      <c r="G164" s="89"/>
      <c r="H164" s="60" t="str">
        <f t="shared" si="2"/>
        <v>(4, 5]</v>
      </c>
      <c r="I164" s="61">
        <v>0</v>
      </c>
      <c r="J164" s="58">
        <v>0</v>
      </c>
      <c r="K164" s="58">
        <v>0</v>
      </c>
      <c r="L164" s="115">
        <v>0</v>
      </c>
      <c r="M164" s="58">
        <v>0</v>
      </c>
      <c r="N164" s="58">
        <v>0</v>
      </c>
      <c r="O164" s="117">
        <v>0</v>
      </c>
      <c r="P164" s="58">
        <v>0</v>
      </c>
      <c r="Q164" s="58">
        <v>0</v>
      </c>
      <c r="R164" s="58">
        <v>0</v>
      </c>
      <c r="S164" s="82">
        <v>0</v>
      </c>
    </row>
    <row r="165" spans="1:20" x14ac:dyDescent="0.3">
      <c r="A165" s="57">
        <v>5</v>
      </c>
      <c r="B165" s="57">
        <v>6</v>
      </c>
      <c r="C165" s="71">
        <v>16012</v>
      </c>
      <c r="D165" s="71">
        <v>8915745</v>
      </c>
      <c r="E165" s="58">
        <v>6.6309372398272351E-4</v>
      </c>
      <c r="F165" s="92">
        <v>5.5681645016237828</v>
      </c>
      <c r="G165" s="89"/>
      <c r="H165" s="60" t="str">
        <f t="shared" si="2"/>
        <v>(5, 6]</v>
      </c>
      <c r="I165" s="61">
        <v>0</v>
      </c>
      <c r="J165" s="58">
        <v>0</v>
      </c>
      <c r="K165" s="58">
        <v>0</v>
      </c>
      <c r="L165" s="115">
        <v>0</v>
      </c>
      <c r="M165" s="58">
        <v>0</v>
      </c>
      <c r="N165" s="58">
        <v>0</v>
      </c>
      <c r="O165" s="117">
        <v>0</v>
      </c>
      <c r="P165" s="58">
        <v>0</v>
      </c>
      <c r="Q165" s="58">
        <v>0</v>
      </c>
      <c r="R165" s="58">
        <v>0</v>
      </c>
      <c r="S165" s="82">
        <v>0</v>
      </c>
    </row>
    <row r="166" spans="1:20" x14ac:dyDescent="0.3">
      <c r="A166" s="57">
        <v>6</v>
      </c>
      <c r="B166" s="57">
        <v>7</v>
      </c>
      <c r="C166" s="71">
        <v>15972</v>
      </c>
      <c r="D166" s="71">
        <v>10476115</v>
      </c>
      <c r="E166" s="58">
        <v>6.6143723204172239E-4</v>
      </c>
      <c r="F166" s="92">
        <v>6.5590502128725268</v>
      </c>
      <c r="G166" s="89"/>
      <c r="H166" s="60" t="str">
        <f t="shared" si="2"/>
        <v>(6, 7]</v>
      </c>
      <c r="I166" s="61">
        <v>0</v>
      </c>
      <c r="J166" s="58">
        <v>0</v>
      </c>
      <c r="K166" s="58">
        <v>0</v>
      </c>
      <c r="L166" s="115">
        <v>0</v>
      </c>
      <c r="M166" s="58">
        <v>0</v>
      </c>
      <c r="N166" s="58">
        <v>0</v>
      </c>
      <c r="O166" s="117">
        <v>0</v>
      </c>
      <c r="P166" s="58">
        <v>0</v>
      </c>
      <c r="Q166" s="58">
        <v>0</v>
      </c>
      <c r="R166" s="58">
        <v>1.2048192771084338E-2</v>
      </c>
      <c r="S166" s="82">
        <v>0</v>
      </c>
    </row>
    <row r="167" spans="1:20" x14ac:dyDescent="0.3">
      <c r="A167" s="57">
        <v>7</v>
      </c>
      <c r="B167" s="57">
        <v>8</v>
      </c>
      <c r="C167" s="71">
        <v>15987</v>
      </c>
      <c r="D167" s="71">
        <v>12083340</v>
      </c>
      <c r="E167" s="58">
        <v>6.6205841651959777E-4</v>
      </c>
      <c r="F167" s="92">
        <v>7.5582285607055733</v>
      </c>
      <c r="G167" s="89"/>
      <c r="H167" s="60" t="str">
        <f t="shared" si="2"/>
        <v>(7, 8]</v>
      </c>
      <c r="I167" s="61">
        <v>0</v>
      </c>
      <c r="J167" s="58">
        <v>0</v>
      </c>
      <c r="K167" s="58">
        <v>0</v>
      </c>
      <c r="L167" s="115">
        <v>0</v>
      </c>
      <c r="M167" s="58">
        <v>0</v>
      </c>
      <c r="N167" s="58">
        <v>0</v>
      </c>
      <c r="O167" s="117">
        <v>0</v>
      </c>
      <c r="P167" s="58">
        <v>0</v>
      </c>
      <c r="Q167" s="58">
        <v>0</v>
      </c>
      <c r="R167" s="58">
        <v>3.614457831325301E-2</v>
      </c>
      <c r="S167" s="82">
        <v>0</v>
      </c>
    </row>
    <row r="168" spans="1:20" x14ac:dyDescent="0.3">
      <c r="A168" s="57">
        <v>8</v>
      </c>
      <c r="B168" s="57">
        <v>9</v>
      </c>
      <c r="C168" s="71">
        <v>16426</v>
      </c>
      <c r="D168" s="71">
        <v>14058445</v>
      </c>
      <c r="E168" s="58">
        <v>6.8023841557208445E-4</v>
      </c>
      <c r="F168" s="92">
        <v>8.5586539632290268</v>
      </c>
      <c r="G168" s="89"/>
      <c r="H168" s="60" t="str">
        <f t="shared" si="2"/>
        <v>(8, 9]</v>
      </c>
      <c r="I168" s="61">
        <v>0</v>
      </c>
      <c r="J168" s="58">
        <v>0</v>
      </c>
      <c r="K168" s="58">
        <v>0</v>
      </c>
      <c r="L168" s="115">
        <v>0</v>
      </c>
      <c r="M168" s="58">
        <v>0</v>
      </c>
      <c r="N168" s="58">
        <v>0</v>
      </c>
      <c r="O168" s="117">
        <v>0</v>
      </c>
      <c r="P168" s="58">
        <v>0</v>
      </c>
      <c r="Q168" s="58">
        <v>0</v>
      </c>
      <c r="R168" s="58">
        <v>2.4096385542168676E-2</v>
      </c>
      <c r="S168" s="82">
        <v>0</v>
      </c>
    </row>
    <row r="169" spans="1:20" x14ac:dyDescent="0.3">
      <c r="A169" s="57">
        <v>9</v>
      </c>
      <c r="B169" s="57">
        <v>10</v>
      </c>
      <c r="C169" s="71">
        <v>16472</v>
      </c>
      <c r="D169" s="71">
        <v>15746625</v>
      </c>
      <c r="E169" s="58">
        <v>6.8214338130423565E-4</v>
      </c>
      <c r="F169" s="92">
        <v>9.5596314958717823</v>
      </c>
      <c r="G169" s="89"/>
      <c r="H169" s="60" t="str">
        <f t="shared" si="2"/>
        <v>(9, 10]</v>
      </c>
      <c r="I169" s="61">
        <v>0</v>
      </c>
      <c r="J169" s="58">
        <v>0</v>
      </c>
      <c r="K169" s="58">
        <v>0</v>
      </c>
      <c r="L169" s="115">
        <v>0</v>
      </c>
      <c r="M169" s="58">
        <v>0</v>
      </c>
      <c r="N169" s="58">
        <v>0</v>
      </c>
      <c r="O169" s="117">
        <v>0</v>
      </c>
      <c r="P169" s="58">
        <v>0</v>
      </c>
      <c r="Q169" s="58">
        <v>0</v>
      </c>
      <c r="R169" s="58">
        <v>1.2048192771084338E-2</v>
      </c>
      <c r="S169" s="82">
        <v>0</v>
      </c>
    </row>
    <row r="170" spans="1:20" x14ac:dyDescent="0.3">
      <c r="A170" s="57">
        <v>10</v>
      </c>
      <c r="B170" s="57">
        <v>15</v>
      </c>
      <c r="C170" s="71">
        <v>87136</v>
      </c>
      <c r="D170" s="71">
        <v>109675535</v>
      </c>
      <c r="E170" s="58">
        <v>3.6085020442767042E-3</v>
      </c>
      <c r="F170" s="92">
        <v>12.586707560594933</v>
      </c>
      <c r="G170" s="99"/>
      <c r="H170" s="60" t="str">
        <f t="shared" si="2"/>
        <v>(10, 15]</v>
      </c>
      <c r="I170" s="61">
        <v>34.81</v>
      </c>
      <c r="J170" s="58">
        <v>0.12561195616127208</v>
      </c>
      <c r="K170" s="58">
        <v>0.13618589214540974</v>
      </c>
      <c r="L170" s="115">
        <v>136185892</v>
      </c>
      <c r="M170" s="58">
        <v>0.13618589472371789</v>
      </c>
      <c r="N170" s="58">
        <v>1.7141320307654055</v>
      </c>
      <c r="O170" s="117">
        <v>31.329000000000004</v>
      </c>
      <c r="P170" s="58">
        <v>0.13618589472371789</v>
      </c>
      <c r="Q170" s="58">
        <v>0.13173080776634696</v>
      </c>
      <c r="R170" s="58">
        <v>7.2289156626506021E-2</v>
      </c>
      <c r="S170" s="82">
        <v>0.97</v>
      </c>
      <c r="T170" s="100"/>
    </row>
    <row r="171" spans="1:20" x14ac:dyDescent="0.3">
      <c r="A171" s="57">
        <v>15</v>
      </c>
      <c r="B171" s="57">
        <v>20</v>
      </c>
      <c r="C171" s="71">
        <v>92120</v>
      </c>
      <c r="D171" s="71">
        <v>161859945</v>
      </c>
      <c r="E171" s="58">
        <v>3.8149009401254362E-3</v>
      </c>
      <c r="F171" s="92">
        <v>17.570554168475901</v>
      </c>
      <c r="G171" s="99"/>
      <c r="H171" s="111" t="str">
        <f t="shared" si="2"/>
        <v>(15, 20]</v>
      </c>
      <c r="I171" s="61">
        <v>32.65</v>
      </c>
      <c r="J171" s="58">
        <v>0.12455651569509549</v>
      </c>
      <c r="K171" s="58">
        <v>0.13504160536025622</v>
      </c>
      <c r="L171" s="115">
        <v>135041605</v>
      </c>
      <c r="M171" s="58">
        <v>0.13504160770083215</v>
      </c>
      <c r="N171" s="58">
        <v>2.3727558831055435</v>
      </c>
      <c r="O171" s="117">
        <v>29.384999999999998</v>
      </c>
      <c r="P171" s="58">
        <v>0.13504160770083215</v>
      </c>
      <c r="Q171" s="58">
        <v>0.13123000975583021</v>
      </c>
      <c r="R171" s="58">
        <v>7.2289156626506021E-2</v>
      </c>
      <c r="S171" s="82">
        <v>0.97</v>
      </c>
      <c r="T171" s="100"/>
    </row>
    <row r="172" spans="1:20" x14ac:dyDescent="0.3">
      <c r="A172" s="57">
        <v>20</v>
      </c>
      <c r="B172" s="57">
        <v>25</v>
      </c>
      <c r="C172" s="71">
        <v>97100</v>
      </c>
      <c r="D172" s="71">
        <v>219020910</v>
      </c>
      <c r="E172" s="58">
        <v>4.021134186780068E-3</v>
      </c>
      <c r="F172" s="92">
        <v>22.556221421215241</v>
      </c>
      <c r="G172" s="99"/>
      <c r="H172" s="60" t="str">
        <f t="shared" si="2"/>
        <v>(20, 25]</v>
      </c>
      <c r="I172" s="61">
        <v>31.14</v>
      </c>
      <c r="J172" s="58">
        <v>0.12521811857633131</v>
      </c>
      <c r="K172" s="58">
        <v>0.13575890155864831</v>
      </c>
      <c r="L172" s="115">
        <v>135758901</v>
      </c>
      <c r="M172" s="58">
        <v>0.13575890371517807</v>
      </c>
      <c r="N172" s="58">
        <v>3.062207892100997</v>
      </c>
      <c r="O172" s="117">
        <v>28.026</v>
      </c>
      <c r="P172" s="58">
        <v>0.13575890371517807</v>
      </c>
      <c r="Q172" s="58">
        <v>0.13205080577306691</v>
      </c>
      <c r="R172" s="58">
        <v>7.2289156626506021E-2</v>
      </c>
      <c r="S172" s="82">
        <v>0.97</v>
      </c>
      <c r="T172" s="100"/>
    </row>
    <row r="173" spans="1:20" x14ac:dyDescent="0.3">
      <c r="A173" s="57">
        <v>25</v>
      </c>
      <c r="B173" s="57">
        <v>30</v>
      </c>
      <c r="C173" s="71">
        <v>101303</v>
      </c>
      <c r="D173" s="71">
        <v>279090060</v>
      </c>
      <c r="E173" s="58">
        <v>4.1951900774807541E-3</v>
      </c>
      <c r="F173" s="92">
        <v>27.550029120559117</v>
      </c>
      <c r="G173" s="99"/>
      <c r="H173" s="60" t="str">
        <f t="shared" si="2"/>
        <v>(25, 30]</v>
      </c>
      <c r="I173" s="61">
        <v>29.75</v>
      </c>
      <c r="J173" s="58">
        <v>0.12480690480505244</v>
      </c>
      <c r="K173" s="58">
        <v>0.13531307206903992</v>
      </c>
      <c r="L173" s="115">
        <v>135313072</v>
      </c>
      <c r="M173" s="58">
        <v>0.1353130747062615</v>
      </c>
      <c r="N173" s="58">
        <v>3.7278791485498957</v>
      </c>
      <c r="O173" s="117">
        <v>26.775000000000002</v>
      </c>
      <c r="P173" s="58">
        <v>0.1353130747062615</v>
      </c>
      <c r="Q173" s="58">
        <v>0.13258347978425308</v>
      </c>
      <c r="R173" s="58">
        <v>8.4337349397590355E-2</v>
      </c>
      <c r="S173" s="82">
        <v>0.98</v>
      </c>
      <c r="T173" s="100"/>
    </row>
    <row r="174" spans="1:20" x14ac:dyDescent="0.3">
      <c r="A174" s="57">
        <v>30</v>
      </c>
      <c r="B174" s="57">
        <v>35</v>
      </c>
      <c r="C174" s="71">
        <v>105944</v>
      </c>
      <c r="D174" s="71">
        <v>344863390</v>
      </c>
      <c r="E174" s="58">
        <v>4.3873845549354017E-3</v>
      </c>
      <c r="F174" s="92">
        <v>32.551479083289287</v>
      </c>
      <c r="G174" s="99">
        <v>7.91</v>
      </c>
      <c r="H174" s="60" t="str">
        <f t="shared" si="2"/>
        <v>(30, 35]</v>
      </c>
      <c r="I174" s="61" cm="1">
        <f t="array" ref="I174:I222">G174:G222*G158</f>
        <v>7.4851776300000008</v>
      </c>
      <c r="J174" s="58">
        <v>3.2840352724809979E-2</v>
      </c>
      <c r="K174" s="58">
        <v>3.5604833097703847E-2</v>
      </c>
      <c r="L174" s="115">
        <v>35604833</v>
      </c>
      <c r="M174" s="58">
        <v>3.5604833712096676E-2</v>
      </c>
      <c r="N174" s="58">
        <v>1.1589899998433082</v>
      </c>
      <c r="O174" s="117">
        <v>6.7366598670000011</v>
      </c>
      <c r="P174" s="58">
        <v>3.5604833712096676E-2</v>
      </c>
      <c r="Q174" s="58">
        <v>3.6347813763304086E-2</v>
      </c>
      <c r="R174" s="58">
        <v>3.614457831325301E-2</v>
      </c>
      <c r="S174" s="82">
        <v>1.02</v>
      </c>
      <c r="T174" s="100"/>
    </row>
    <row r="175" spans="1:20" x14ac:dyDescent="0.3">
      <c r="A175" s="57">
        <v>35</v>
      </c>
      <c r="B175" s="57">
        <v>40</v>
      </c>
      <c r="C175" s="71">
        <v>110060</v>
      </c>
      <c r="D175" s="71">
        <v>413415420</v>
      </c>
      <c r="E175" s="58">
        <v>4.5578375756644106E-3</v>
      </c>
      <c r="F175" s="92">
        <v>37.562731237506817</v>
      </c>
      <c r="G175" s="99">
        <v>6.21</v>
      </c>
      <c r="H175" s="111" t="str">
        <f t="shared" si="2"/>
        <v>(35, 40]</v>
      </c>
      <c r="I175" s="61">
        <v>5.8764795300000001</v>
      </c>
      <c r="J175" s="58">
        <v>2.6784039214456736E-2</v>
      </c>
      <c r="K175" s="58">
        <v>2.9038702900186494E-2</v>
      </c>
      <c r="L175" s="115">
        <v>29038702</v>
      </c>
      <c r="M175" s="58">
        <v>2.903870258077405E-2</v>
      </c>
      <c r="N175" s="58">
        <v>1.0907729805275113</v>
      </c>
      <c r="O175" s="117">
        <v>5.2888315769999998</v>
      </c>
      <c r="P175" s="58">
        <v>2.903870258077405E-2</v>
      </c>
      <c r="Q175" s="58">
        <v>2.9674383623162055E-2</v>
      </c>
      <c r="R175" s="58">
        <v>2.4096385542168676E-2</v>
      </c>
      <c r="S175" s="82">
        <v>1.02</v>
      </c>
      <c r="T175" s="100"/>
    </row>
    <row r="176" spans="1:20" x14ac:dyDescent="0.3">
      <c r="A176" s="57">
        <v>40</v>
      </c>
      <c r="B176" s="57">
        <v>45</v>
      </c>
      <c r="C176" s="71">
        <v>114007</v>
      </c>
      <c r="D176" s="71">
        <v>485129590</v>
      </c>
      <c r="E176" s="58">
        <v>4.7212919179426896E-3</v>
      </c>
      <c r="F176" s="92">
        <v>42.552614313156212</v>
      </c>
      <c r="G176" s="99">
        <v>5.92</v>
      </c>
      <c r="H176" s="60" t="str">
        <f t="shared" si="2"/>
        <v>(40, 45]</v>
      </c>
      <c r="I176" s="61">
        <v>5.60205456</v>
      </c>
      <c r="J176" s="58">
        <v>2.6448934918001991E-2</v>
      </c>
      <c r="K176" s="58">
        <v>2.8675389733437803E-2</v>
      </c>
      <c r="L176" s="115">
        <v>28675389</v>
      </c>
      <c r="M176" s="58">
        <v>2.8675389573507792E-2</v>
      </c>
      <c r="N176" s="58">
        <v>1.2202127928009781</v>
      </c>
      <c r="O176" s="117">
        <v>5.0418491039999997</v>
      </c>
      <c r="P176" s="58">
        <v>2.8675389573507792E-2</v>
      </c>
      <c r="Q176" s="58">
        <v>2.9606507621736659E-2</v>
      </c>
      <c r="R176" s="58">
        <v>3.614457831325301E-2</v>
      </c>
      <c r="S176" s="82">
        <v>1.03</v>
      </c>
      <c r="T176" s="100"/>
    </row>
    <row r="177" spans="1:20" x14ac:dyDescent="0.3">
      <c r="A177" s="57">
        <v>45</v>
      </c>
      <c r="B177" s="57">
        <v>50</v>
      </c>
      <c r="C177" s="71">
        <v>117729</v>
      </c>
      <c r="D177" s="71">
        <v>559819155</v>
      </c>
      <c r="E177" s="58">
        <v>4.8754284930528384E-3</v>
      </c>
      <c r="F177" s="92">
        <v>47.551508549295413</v>
      </c>
      <c r="G177" s="99">
        <v>5.24</v>
      </c>
      <c r="H177" s="60" t="str">
        <f t="shared" si="2"/>
        <v>(45, 50]</v>
      </c>
      <c r="I177" s="61">
        <v>4.9585753200000005</v>
      </c>
      <c r="J177" s="58">
        <v>2.4175179400076598E-2</v>
      </c>
      <c r="K177" s="58">
        <v>2.6210230896713246E-2</v>
      </c>
      <c r="L177" s="115">
        <v>26210230</v>
      </c>
      <c r="M177" s="58">
        <v>2.6210230524204611E-2</v>
      </c>
      <c r="N177" s="58">
        <v>1.2463360008507192</v>
      </c>
      <c r="O177" s="117">
        <v>4.4627177880000009</v>
      </c>
      <c r="P177" s="58">
        <v>2.6210230524204611E-2</v>
      </c>
      <c r="Q177" s="58">
        <v>2.6858023564018493E-2</v>
      </c>
      <c r="R177" s="58">
        <v>2.4096385542168676E-2</v>
      </c>
      <c r="S177" s="82">
        <v>1.02</v>
      </c>
      <c r="T177" s="100"/>
    </row>
    <row r="178" spans="1:20" x14ac:dyDescent="0.3">
      <c r="A178" s="57">
        <v>50</v>
      </c>
      <c r="B178" s="57">
        <v>60</v>
      </c>
      <c r="C178" s="71">
        <v>248398</v>
      </c>
      <c r="D178" s="71">
        <v>1368477325</v>
      </c>
      <c r="E178" s="58">
        <v>1.0286732129019519E-2</v>
      </c>
      <c r="F178" s="92">
        <v>55.092123326274766</v>
      </c>
      <c r="G178" s="99">
        <v>2.1</v>
      </c>
      <c r="H178" s="111" t="str">
        <f t="shared" si="2"/>
        <v>(50, 60]</v>
      </c>
      <c r="I178" s="61">
        <v>1.9872153000000001</v>
      </c>
      <c r="J178" s="58">
        <v>2.0441951473789164E-2</v>
      </c>
      <c r="K178" s="58">
        <v>2.2162742176205896E-2</v>
      </c>
      <c r="L178" s="115">
        <v>22162742</v>
      </c>
      <c r="M178" s="58">
        <v>2.2162742443254849E-2</v>
      </c>
      <c r="N178" s="58">
        <v>1.2209925399322603</v>
      </c>
      <c r="O178" s="117">
        <v>1.7884937700000001</v>
      </c>
      <c r="P178" s="58">
        <v>2.2162742443254849E-2</v>
      </c>
      <c r="Q178" s="58">
        <v>2.2721227477145778E-2</v>
      </c>
      <c r="R178" s="58">
        <v>2.4096385542168676E-2</v>
      </c>
      <c r="S178" s="82">
        <v>1.03</v>
      </c>
      <c r="T178" s="100"/>
    </row>
    <row r="179" spans="1:20" x14ac:dyDescent="0.3">
      <c r="A179" s="57">
        <v>60</v>
      </c>
      <c r="B179" s="57">
        <v>70</v>
      </c>
      <c r="C179" s="71">
        <v>261654</v>
      </c>
      <c r="D179" s="71">
        <v>1702582965</v>
      </c>
      <c r="E179" s="58">
        <v>1.083569355826727E-2</v>
      </c>
      <c r="F179" s="92">
        <v>65.070014790524894</v>
      </c>
      <c r="G179" s="89">
        <v>5.87</v>
      </c>
      <c r="H179" s="60" t="str">
        <f t="shared" si="2"/>
        <v>(60, 70]</v>
      </c>
      <c r="I179" s="61">
        <v>5.5547399100000003</v>
      </c>
      <c r="J179" s="58">
        <v>6.0189459460637119E-2</v>
      </c>
      <c r="K179" s="58">
        <v>6.5256170550141268E-2</v>
      </c>
      <c r="L179" s="115">
        <v>65256170</v>
      </c>
      <c r="M179" s="58">
        <v>6.5256171305123428E-2</v>
      </c>
      <c r="N179" s="58">
        <v>4.2462200319974075</v>
      </c>
      <c r="O179" s="117">
        <v>4.9992659190000008</v>
      </c>
      <c r="P179" s="58">
        <v>6.5256171305123428E-2</v>
      </c>
      <c r="Q179" s="58">
        <v>6.7050027408050578E-2</v>
      </c>
      <c r="R179" s="58">
        <v>6.0240963855421686E-2</v>
      </c>
      <c r="S179" s="82">
        <v>1.03</v>
      </c>
      <c r="T179" s="100"/>
    </row>
    <row r="180" spans="1:20" x14ac:dyDescent="0.3">
      <c r="A180" s="57">
        <v>70</v>
      </c>
      <c r="B180" s="57">
        <v>80</v>
      </c>
      <c r="C180" s="71">
        <v>273910</v>
      </c>
      <c r="D180" s="71">
        <v>2056100670</v>
      </c>
      <c r="E180" s="58">
        <v>1.1343242688989993E-2</v>
      </c>
      <c r="F180" s="92">
        <v>75.064826767916472</v>
      </c>
      <c r="G180" s="89">
        <v>5.04</v>
      </c>
      <c r="H180" s="60" t="str">
        <f t="shared" si="2"/>
        <v>(70, 80]</v>
      </c>
      <c r="I180" s="61">
        <v>4.76931672</v>
      </c>
      <c r="J180" s="58">
        <v>5.4099517015617736E-2</v>
      </c>
      <c r="K180" s="58">
        <v>5.8653580555249787E-2</v>
      </c>
      <c r="L180" s="115">
        <v>58653580</v>
      </c>
      <c r="M180" s="58">
        <v>5.8653581173071623E-2</v>
      </c>
      <c r="N180" s="58">
        <v>4.4028209100745483</v>
      </c>
      <c r="O180" s="117">
        <v>4.2923850479999999</v>
      </c>
      <c r="P180" s="58">
        <v>5.8653581173071623E-2</v>
      </c>
      <c r="Q180" s="58">
        <v>6.0574479272064066E-2</v>
      </c>
      <c r="R180" s="58">
        <v>4.8192771084337352E-2</v>
      </c>
      <c r="S180" s="82">
        <v>1.03</v>
      </c>
      <c r="T180" s="100"/>
    </row>
    <row r="181" spans="1:20" x14ac:dyDescent="0.3">
      <c r="A181" s="57">
        <v>80</v>
      </c>
      <c r="B181" s="57">
        <v>90</v>
      </c>
      <c r="C181" s="71">
        <v>285620</v>
      </c>
      <c r="D181" s="71">
        <v>2429667510</v>
      </c>
      <c r="E181" s="58">
        <v>1.1828180704718054E-2</v>
      </c>
      <c r="F181" s="92">
        <v>85.066434773475251</v>
      </c>
      <c r="G181" s="89">
        <v>2.46</v>
      </c>
      <c r="H181" s="60" t="str">
        <f t="shared" si="2"/>
        <v>(80, 90]</v>
      </c>
      <c r="I181" s="61">
        <v>2.3278807800000001</v>
      </c>
      <c r="J181" s="58">
        <v>2.7534594524880013E-2</v>
      </c>
      <c r="K181" s="58">
        <v>2.9852439487675315E-2</v>
      </c>
      <c r="L181" s="115">
        <v>29852439</v>
      </c>
      <c r="M181" s="58">
        <v>2.985243959704879E-2</v>
      </c>
      <c r="N181" s="58">
        <v>2.5394406058114609</v>
      </c>
      <c r="O181" s="117">
        <v>2.0950927020000001</v>
      </c>
      <c r="P181" s="58">
        <v>2.985243959704879E-2</v>
      </c>
      <c r="Q181" s="58">
        <v>3.0820749647235742E-2</v>
      </c>
      <c r="R181" s="58">
        <v>2.4096385542168676E-2</v>
      </c>
      <c r="S181" s="82">
        <v>1.03</v>
      </c>
      <c r="T181" s="100"/>
    </row>
    <row r="182" spans="1:20" x14ac:dyDescent="0.3">
      <c r="A182" s="57">
        <v>90</v>
      </c>
      <c r="B182" s="57">
        <v>100</v>
      </c>
      <c r="C182" s="71">
        <v>296380</v>
      </c>
      <c r="D182" s="71">
        <v>2817167755</v>
      </c>
      <c r="E182" s="58">
        <v>1.2273777036847337E-2</v>
      </c>
      <c r="F182" s="92">
        <v>95.052559383224235</v>
      </c>
      <c r="G182" s="89">
        <v>2.09</v>
      </c>
      <c r="H182" s="60" t="str">
        <f t="shared" si="2"/>
        <v>(90, 100]</v>
      </c>
      <c r="I182" s="113">
        <v>1.9777523699999999</v>
      </c>
      <c r="J182" s="114">
        <v>2.4274491623476398E-2</v>
      </c>
      <c r="K182" s="114">
        <v>2.6317903161026057E-2</v>
      </c>
      <c r="L182" s="115">
        <v>26317903</v>
      </c>
      <c r="M182" s="114">
        <v>2.6317903526358072E-2</v>
      </c>
      <c r="N182" s="114">
        <v>2.5015840877811173</v>
      </c>
      <c r="O182" s="117">
        <v>1.779977133</v>
      </c>
      <c r="P182" s="58">
        <v>2.6317903526358072E-2</v>
      </c>
      <c r="Q182" s="58">
        <v>2.7052016568092349E-2</v>
      </c>
      <c r="R182" s="58">
        <v>1.2048192771084338E-2</v>
      </c>
      <c r="S182" s="82">
        <v>1.03</v>
      </c>
      <c r="T182" s="100"/>
    </row>
    <row r="183" spans="1:20" x14ac:dyDescent="0.3">
      <c r="A183" s="57">
        <v>100</v>
      </c>
      <c r="B183" s="57">
        <v>120</v>
      </c>
      <c r="C183" s="71">
        <v>612719</v>
      </c>
      <c r="D183" s="71">
        <v>6746440160</v>
      </c>
      <c r="E183" s="58">
        <v>2.5374102139955678E-2</v>
      </c>
      <c r="F183" s="92">
        <v>110.10659307121209</v>
      </c>
      <c r="G183" s="89">
        <v>1.58</v>
      </c>
      <c r="H183" s="60" t="str">
        <f t="shared" si="2"/>
        <v>(100, 120]</v>
      </c>
      <c r="I183" s="113">
        <v>1.4951429400000003</v>
      </c>
      <c r="J183" s="114">
        <v>3.7937909673393631E-2</v>
      </c>
      <c r="K183" s="114">
        <v>4.1131499205137124E-2</v>
      </c>
      <c r="L183" s="115">
        <v>41131499</v>
      </c>
      <c r="M183" s="114">
        <v>4.1131499822629994E-2</v>
      </c>
      <c r="N183" s="114">
        <v>4.5288493133789531</v>
      </c>
      <c r="O183" s="117">
        <v>1.3456286460000002</v>
      </c>
      <c r="P183" s="58">
        <v>4.1131499822629994E-2</v>
      </c>
      <c r="Q183" s="58">
        <v>4.262229189506813E-2</v>
      </c>
      <c r="R183" s="58">
        <v>6.0240963855421686E-2</v>
      </c>
      <c r="S183" s="82">
        <v>1.04</v>
      </c>
      <c r="T183" s="100"/>
    </row>
    <row r="184" spans="1:20" x14ac:dyDescent="0.3">
      <c r="A184" s="57">
        <v>120</v>
      </c>
      <c r="B184" s="57">
        <v>140</v>
      </c>
      <c r="C184" s="71">
        <v>633364</v>
      </c>
      <c r="D184" s="71">
        <v>8238321740</v>
      </c>
      <c r="E184" s="58">
        <v>2.6229059043004849E-2</v>
      </c>
      <c r="F184" s="92">
        <v>130.072466070064</v>
      </c>
      <c r="G184" s="89">
        <v>0.67</v>
      </c>
      <c r="H184" s="60" t="str">
        <f t="shared" si="2"/>
        <v>(120, 140]</v>
      </c>
      <c r="I184" s="113">
        <v>0.63401631000000003</v>
      </c>
      <c r="J184" s="114">
        <v>1.6629651229218067E-2</v>
      </c>
      <c r="K184" s="114">
        <v>1.8029524879068146E-2</v>
      </c>
      <c r="L184" s="115">
        <v>18029524</v>
      </c>
      <c r="M184" s="114">
        <v>1.8029524360590486E-2</v>
      </c>
      <c r="N184" s="114">
        <v>2.3451446956522983</v>
      </c>
      <c r="O184" s="117">
        <v>0.57061467900000007</v>
      </c>
      <c r="P184" s="58">
        <v>1.8029524360590486E-2</v>
      </c>
      <c r="Q184" s="58">
        <v>1.8679938392278706E-2</v>
      </c>
      <c r="R184" s="58">
        <v>7.2289156626506021E-2</v>
      </c>
      <c r="S184" s="82">
        <v>1.04</v>
      </c>
      <c r="T184" s="100"/>
    </row>
    <row r="185" spans="1:20" x14ac:dyDescent="0.3">
      <c r="A185" s="57">
        <v>140</v>
      </c>
      <c r="B185" s="57">
        <v>160</v>
      </c>
      <c r="C185" s="71">
        <v>643129</v>
      </c>
      <c r="D185" s="71">
        <v>9649982660</v>
      </c>
      <c r="E185" s="58">
        <v>2.6633450138101734E-2</v>
      </c>
      <c r="F185" s="92">
        <v>150.04738800458384</v>
      </c>
      <c r="G185" s="89">
        <v>1.01</v>
      </c>
      <c r="H185" s="60" t="str">
        <f t="shared" si="2"/>
        <v>(140, 160]</v>
      </c>
      <c r="I185" s="113">
        <v>0.95575593000000003</v>
      </c>
      <c r="J185" s="114">
        <v>2.5455077905850051E-2</v>
      </c>
      <c r="K185" s="114">
        <v>2.7597870458989839E-2</v>
      </c>
      <c r="L185" s="115">
        <v>27597870</v>
      </c>
      <c r="M185" s="114">
        <v>2.759787055195741E-2</v>
      </c>
      <c r="N185" s="114">
        <v>4.1409883908098317</v>
      </c>
      <c r="O185" s="117">
        <v>0.86018033700000007</v>
      </c>
      <c r="P185" s="58">
        <v>2.759787055195741E-2</v>
      </c>
      <c r="Q185" s="58">
        <v>2.874946860373884E-2</v>
      </c>
      <c r="R185" s="58">
        <v>2.4096385542168676E-2</v>
      </c>
      <c r="S185" s="82">
        <v>1.04</v>
      </c>
      <c r="T185" s="100"/>
    </row>
    <row r="186" spans="1:20" x14ac:dyDescent="0.3">
      <c r="A186" s="57">
        <v>160</v>
      </c>
      <c r="B186" s="57">
        <v>180</v>
      </c>
      <c r="C186" s="71">
        <v>644570</v>
      </c>
      <c r="D186" s="71">
        <v>10960526935</v>
      </c>
      <c r="E186" s="58">
        <v>2.6693125260276295E-2</v>
      </c>
      <c r="F186" s="92">
        <v>170.04401283025894</v>
      </c>
      <c r="G186" s="89">
        <v>0.3</v>
      </c>
      <c r="H186" s="60" t="str">
        <f t="shared" si="2"/>
        <v>(160, 180]</v>
      </c>
      <c r="I186" s="113">
        <v>0.28388790000000003</v>
      </c>
      <c r="J186" s="114">
        <v>7.5778552745767915E-3</v>
      </c>
      <c r="K186" s="114">
        <v>8.2157543967555716E-3</v>
      </c>
      <c r="L186" s="115">
        <v>8215754</v>
      </c>
      <c r="M186" s="114">
        <v>8.2157541643150828E-3</v>
      </c>
      <c r="N186" s="114">
        <v>1.3970398065270473</v>
      </c>
      <c r="O186" s="117">
        <v>0.25549911000000003</v>
      </c>
      <c r="P186" s="58">
        <v>8.2157541643150828E-3</v>
      </c>
      <c r="Q186" s="58">
        <v>8.5775641801288469E-3</v>
      </c>
      <c r="R186" s="58">
        <v>3.614457831325301E-2</v>
      </c>
      <c r="S186" s="82">
        <v>1.04</v>
      </c>
      <c r="T186" s="100"/>
    </row>
    <row r="187" spans="1:20" x14ac:dyDescent="0.3">
      <c r="A187" s="57">
        <v>180</v>
      </c>
      <c r="B187" s="57">
        <v>200</v>
      </c>
      <c r="C187" s="71">
        <v>641033</v>
      </c>
      <c r="D187" s="71">
        <v>12180263350</v>
      </c>
      <c r="E187" s="58">
        <v>2.6546649960393277E-2</v>
      </c>
      <c r="F187" s="92">
        <v>190.00992694603866</v>
      </c>
      <c r="G187" s="89">
        <v>0.26</v>
      </c>
      <c r="H187" s="60" t="str">
        <f t="shared" si="2"/>
        <v>(180, 200]</v>
      </c>
      <c r="I187" s="113">
        <v>0.24603618000000002</v>
      </c>
      <c r="J187" s="114">
        <v>6.5314363480523142E-3</v>
      </c>
      <c r="K187" s="114">
        <v>7.0812485788252014E-3</v>
      </c>
      <c r="L187" s="115">
        <v>7081248</v>
      </c>
      <c r="M187" s="114">
        <v>7.0812481416249627E-3</v>
      </c>
      <c r="N187" s="114">
        <v>1.3455074420769313</v>
      </c>
      <c r="O187" s="117">
        <v>0.22143256200000003</v>
      </c>
      <c r="P187" s="58">
        <v>7.0812481416249627E-3</v>
      </c>
      <c r="Q187" s="58">
        <v>7.4112751556367779E-3</v>
      </c>
      <c r="R187" s="58">
        <v>0</v>
      </c>
      <c r="S187" s="82">
        <v>1.05</v>
      </c>
      <c r="T187" s="100"/>
    </row>
    <row r="188" spans="1:20" x14ac:dyDescent="0.3">
      <c r="A188" s="57">
        <v>200</v>
      </c>
      <c r="B188" s="57">
        <v>250</v>
      </c>
      <c r="C188" s="71">
        <v>1556064</v>
      </c>
      <c r="D188" s="71">
        <v>34983324070</v>
      </c>
      <c r="E188" s="58">
        <v>6.4440186892046752E-2</v>
      </c>
      <c r="F188" s="92">
        <v>224.81931379429122</v>
      </c>
      <c r="G188" s="89">
        <v>0.28999999999999998</v>
      </c>
      <c r="H188" s="60" t="str">
        <f t="shared" si="2"/>
        <v>(200, 250]</v>
      </c>
      <c r="I188" s="113">
        <v>0.27442496999999999</v>
      </c>
      <c r="J188" s="114">
        <v>1.7683996354644321E-2</v>
      </c>
      <c r="K188" s="114">
        <v>1.9172624118371357E-2</v>
      </c>
      <c r="L188" s="115">
        <v>19172624</v>
      </c>
      <c r="M188" s="114">
        <v>1.9172624383452488E-2</v>
      </c>
      <c r="N188" s="114">
        <v>4.3103762575234841</v>
      </c>
      <c r="O188" s="117">
        <v>0.24698247300000001</v>
      </c>
      <c r="P188" s="58">
        <v>1.9172624383452488E-2</v>
      </c>
      <c r="Q188" s="58">
        <v>2.0108943422287813E-2</v>
      </c>
      <c r="R188" s="58">
        <v>6.0240963855421686E-2</v>
      </c>
      <c r="S188" s="82">
        <v>1.05</v>
      </c>
      <c r="T188" s="100"/>
    </row>
    <row r="189" spans="1:20" x14ac:dyDescent="0.3">
      <c r="A189" s="57">
        <v>250</v>
      </c>
      <c r="B189" s="57">
        <v>300</v>
      </c>
      <c r="C189" s="71">
        <v>1460323</v>
      </c>
      <c r="D189" s="71">
        <v>40115598185</v>
      </c>
      <c r="E189" s="58">
        <v>6.0475332018962193E-2</v>
      </c>
      <c r="F189" s="92">
        <v>274.70359766298282</v>
      </c>
      <c r="G189" s="89">
        <v>0.09</v>
      </c>
      <c r="H189" s="60" t="str">
        <f t="shared" si="2"/>
        <v>(250, 300]</v>
      </c>
      <c r="I189" s="113">
        <v>8.5166370000000005E-2</v>
      </c>
      <c r="J189" s="114">
        <v>5.1504645025997817E-3</v>
      </c>
      <c r="K189" s="114">
        <v>5.5840273862885125E-3</v>
      </c>
      <c r="L189" s="115">
        <v>5584027</v>
      </c>
      <c r="M189" s="114">
        <v>5.5840271116805425E-3</v>
      </c>
      <c r="N189" s="114">
        <v>1.5339523370262798</v>
      </c>
      <c r="O189" s="117">
        <v>7.6649733000000012E-2</v>
      </c>
      <c r="P189" s="58">
        <v>5.5840271116805425E-3</v>
      </c>
      <c r="Q189" s="58">
        <v>5.8574781230070405E-3</v>
      </c>
      <c r="R189" s="58">
        <v>2.4096385542168676E-2</v>
      </c>
      <c r="S189" s="82">
        <v>1.05</v>
      </c>
      <c r="T189" s="100"/>
    </row>
    <row r="190" spans="1:20" x14ac:dyDescent="0.3">
      <c r="A190" s="57">
        <v>300</v>
      </c>
      <c r="B190" s="57">
        <v>350</v>
      </c>
      <c r="C190" s="71">
        <v>1345047</v>
      </c>
      <c r="D190" s="71">
        <v>43668582745</v>
      </c>
      <c r="E190" s="58">
        <v>5.5701487894191243E-2</v>
      </c>
      <c r="F190" s="92">
        <v>324.66213258718841</v>
      </c>
      <c r="G190" s="89">
        <v>0.08</v>
      </c>
      <c r="H190" s="60" t="str">
        <f t="shared" si="2"/>
        <v>(300, 350]</v>
      </c>
      <c r="I190" s="113">
        <v>7.5703440000000011E-2</v>
      </c>
      <c r="J190" s="114">
        <v>4.2167942467086338E-3</v>
      </c>
      <c r="K190" s="114">
        <v>4.5717613516371713E-3</v>
      </c>
      <c r="L190" s="115">
        <v>4571761</v>
      </c>
      <c r="M190" s="114">
        <v>4.5717610914352219E-3</v>
      </c>
      <c r="N190" s="114">
        <v>1.4842777056244911</v>
      </c>
      <c r="O190" s="117">
        <v>6.8133096000000018E-2</v>
      </c>
      <c r="P190" s="58">
        <v>4.5717610914352219E-3</v>
      </c>
      <c r="Q190" s="58">
        <v>4.7958491007128309E-3</v>
      </c>
      <c r="R190" s="58">
        <v>1.2048192771084338E-2</v>
      </c>
      <c r="S190" s="82">
        <v>1.05</v>
      </c>
      <c r="T190" s="100"/>
    </row>
    <row r="191" spans="1:20" x14ac:dyDescent="0.3">
      <c r="A191" s="57">
        <v>350</v>
      </c>
      <c r="B191" s="57">
        <v>400</v>
      </c>
      <c r="C191" s="71">
        <v>1223091</v>
      </c>
      <c r="D191" s="71">
        <v>45819986335</v>
      </c>
      <c r="E191" s="58">
        <v>5.0651009615273121E-2</v>
      </c>
      <c r="F191" s="92">
        <v>374.62450737516673</v>
      </c>
      <c r="G191" s="89">
        <v>9.0000000000000011E-3</v>
      </c>
      <c r="H191" s="60" t="str">
        <f t="shared" si="2"/>
        <v>(350, 400]</v>
      </c>
      <c r="I191" s="113">
        <v>8.5166370000000022E-3</v>
      </c>
      <c r="J191" s="114">
        <v>4.3137626257679096E-4</v>
      </c>
      <c r="K191" s="114">
        <v>4.676892468257368E-4</v>
      </c>
      <c r="L191" s="115">
        <v>467689</v>
      </c>
      <c r="M191" s="114">
        <v>4.676890093537802E-4</v>
      </c>
      <c r="N191" s="114">
        <v>0.17520776473393965</v>
      </c>
      <c r="O191" s="117">
        <v>7.6649733000000025E-3</v>
      </c>
      <c r="P191" s="58">
        <v>4.676890093537802E-4</v>
      </c>
      <c r="Q191" s="58">
        <v>4.9009901029207917E-4</v>
      </c>
      <c r="R191" s="58">
        <v>0</v>
      </c>
      <c r="S191" s="82">
        <v>1.05</v>
      </c>
      <c r="T191" s="100"/>
    </row>
    <row r="192" spans="1:20" x14ac:dyDescent="0.3">
      <c r="A192" s="57">
        <v>400</v>
      </c>
      <c r="B192" s="57">
        <v>450</v>
      </c>
      <c r="C192" s="71">
        <v>1106419</v>
      </c>
      <c r="D192" s="71">
        <v>46980023535</v>
      </c>
      <c r="E192" s="58">
        <v>4.5819353921761237E-2</v>
      </c>
      <c r="F192" s="92">
        <v>424.61331136757411</v>
      </c>
      <c r="G192" s="89">
        <v>9.0000000000000011E-3</v>
      </c>
      <c r="H192" s="60" t="str">
        <f t="shared" si="2"/>
        <v>(400, 450]</v>
      </c>
      <c r="I192" s="113">
        <v>8.5166370000000022E-3</v>
      </c>
      <c r="J192" s="114">
        <v>3.9022680492616698E-4</v>
      </c>
      <c r="K192" s="114">
        <v>4.2307585354130228E-4</v>
      </c>
      <c r="L192" s="115">
        <v>423075</v>
      </c>
      <c r="M192" s="114">
        <v>4.2307500846150019E-4</v>
      </c>
      <c r="N192" s="114">
        <v>0.17964328029970203</v>
      </c>
      <c r="O192" s="117">
        <v>7.6649733000000025E-3</v>
      </c>
      <c r="P192" s="58">
        <v>4.2307500846150019E-4</v>
      </c>
      <c r="Q192" s="58">
        <v>4.4168300927534319E-4</v>
      </c>
      <c r="R192" s="58">
        <v>0</v>
      </c>
      <c r="S192" s="82">
        <v>1.04</v>
      </c>
      <c r="T192" s="100"/>
    </row>
    <row r="193" spans="1:20" x14ac:dyDescent="0.3">
      <c r="A193" s="57">
        <v>450</v>
      </c>
      <c r="B193" s="57">
        <v>500</v>
      </c>
      <c r="C193" s="71">
        <v>996980</v>
      </c>
      <c r="D193" s="71">
        <v>47314046680</v>
      </c>
      <c r="E193" s="58">
        <v>4.1287233383480865E-2</v>
      </c>
      <c r="F193" s="92">
        <v>474.57367931152083</v>
      </c>
      <c r="G193" s="89">
        <v>9.0000000000000011E-3</v>
      </c>
      <c r="H193" s="60" t="str">
        <f t="shared" si="2"/>
        <v>(450, 500]</v>
      </c>
      <c r="I193" s="113">
        <v>8.5166370000000022E-3</v>
      </c>
      <c r="J193" s="114">
        <v>3.5162837946138841E-4</v>
      </c>
      <c r="K193" s="114">
        <v>3.812282367381683E-4</v>
      </c>
      <c r="L193" s="115">
        <v>381228</v>
      </c>
      <c r="M193" s="114">
        <v>3.8122800762456017E-4</v>
      </c>
      <c r="N193" s="114">
        <v>0.18092077823498803</v>
      </c>
      <c r="O193" s="117">
        <v>7.6649733000000025E-3</v>
      </c>
      <c r="P193" s="58">
        <v>3.8122800762456017E-4</v>
      </c>
      <c r="Q193" s="58">
        <v>3.9590400831398419E-4</v>
      </c>
      <c r="R193" s="58">
        <v>0</v>
      </c>
      <c r="S193" s="82">
        <v>1.04</v>
      </c>
      <c r="T193" s="100"/>
    </row>
    <row r="194" spans="1:20" x14ac:dyDescent="0.3">
      <c r="A194" s="57">
        <v>500</v>
      </c>
      <c r="B194" s="57">
        <v>550</v>
      </c>
      <c r="C194" s="71">
        <v>896642</v>
      </c>
      <c r="D194" s="71">
        <v>47038051115</v>
      </c>
      <c r="E194" s="58">
        <v>3.7132006174076762E-2</v>
      </c>
      <c r="F194" s="92">
        <v>524.60236209100174</v>
      </c>
      <c r="G194" s="89">
        <v>9.0000000000000011E-3</v>
      </c>
      <c r="H194" s="60" t="str">
        <f t="shared" si="2"/>
        <v>(500, 550]</v>
      </c>
      <c r="I194" s="113">
        <v>8.5166370000000022E-3</v>
      </c>
      <c r="J194" s="114">
        <v>3.1623981766637065E-4</v>
      </c>
      <c r="K194" s="114">
        <v>3.4286068792291189E-4</v>
      </c>
      <c r="L194" s="115">
        <v>342860</v>
      </c>
      <c r="M194" s="114">
        <v>3.4286000685720014E-4</v>
      </c>
      <c r="N194" s="114">
        <v>0.17986516946382425</v>
      </c>
      <c r="O194" s="117">
        <v>7.6649733000000025E-3</v>
      </c>
      <c r="P194" s="58">
        <v>3.4286000685720014E-4</v>
      </c>
      <c r="Q194" s="58">
        <v>3.5500700745514713E-4</v>
      </c>
      <c r="R194" s="58">
        <v>0</v>
      </c>
      <c r="S194" s="82">
        <v>1.04</v>
      </c>
      <c r="T194" s="100"/>
    </row>
    <row r="195" spans="1:20" x14ac:dyDescent="0.3">
      <c r="A195" s="57">
        <v>550</v>
      </c>
      <c r="B195" s="57">
        <v>600</v>
      </c>
      <c r="C195" s="71">
        <v>807098</v>
      </c>
      <c r="D195" s="71">
        <v>46373718070</v>
      </c>
      <c r="E195" s="58">
        <v>3.3423783314951792E-2</v>
      </c>
      <c r="F195" s="92">
        <v>574.57357185868386</v>
      </c>
      <c r="G195" s="89">
        <v>9.0000000000000011E-3</v>
      </c>
      <c r="H195" s="60" t="str">
        <f t="shared" si="2"/>
        <v>(550, 600]</v>
      </c>
      <c r="I195" s="61">
        <v>8.5166370000000022E-3</v>
      </c>
      <c r="J195" s="58">
        <v>2.8465822966010118E-4</v>
      </c>
      <c r="K195" s="58">
        <v>3.0862058157124739E-4</v>
      </c>
      <c r="L195" s="115">
        <v>308620</v>
      </c>
      <c r="M195" s="58">
        <v>3.0862000617240011E-4</v>
      </c>
      <c r="N195" s="58">
        <v>0.17732489929352499</v>
      </c>
      <c r="O195" s="117">
        <v>7.6649733000000025E-3</v>
      </c>
      <c r="P195" s="58">
        <v>3.0862000617240011E-4</v>
      </c>
      <c r="Q195" s="58">
        <v>3.1687400665435413E-4</v>
      </c>
      <c r="R195" s="58">
        <v>0</v>
      </c>
      <c r="S195" s="82">
        <v>1.03</v>
      </c>
      <c r="T195" s="100"/>
    </row>
    <row r="196" spans="1:20" x14ac:dyDescent="0.3">
      <c r="A196" s="57">
        <v>600</v>
      </c>
      <c r="B196" s="57">
        <v>650</v>
      </c>
      <c r="C196" s="71">
        <v>723216</v>
      </c>
      <c r="D196" s="71">
        <v>45170604860</v>
      </c>
      <c r="E196" s="58">
        <v>2.9950036890075526E-2</v>
      </c>
      <c r="F196" s="92">
        <v>624.57972251720093</v>
      </c>
      <c r="G196" s="89">
        <v>9.0000000000000011E-3</v>
      </c>
      <c r="H196" s="60" t="str">
        <f t="shared" si="2"/>
        <v>(600, 650]</v>
      </c>
      <c r="I196" s="61">
        <v>8.5166370000000022E-3</v>
      </c>
      <c r="J196" s="58">
        <v>2.5507359232938224E-4</v>
      </c>
      <c r="K196" s="58">
        <v>2.7654552795525607E-4</v>
      </c>
      <c r="L196" s="115">
        <v>276545</v>
      </c>
      <c r="M196" s="58">
        <v>2.7654500553090012E-4</v>
      </c>
      <c r="N196" s="58">
        <v>0.17272440281800738</v>
      </c>
      <c r="O196" s="117">
        <v>7.6649733000000025E-3</v>
      </c>
      <c r="P196" s="58">
        <v>2.7654500553090012E-4</v>
      </c>
      <c r="Q196" s="58">
        <v>2.8377300595923313E-4</v>
      </c>
      <c r="R196" s="58">
        <v>0</v>
      </c>
      <c r="S196" s="82">
        <v>1.03</v>
      </c>
      <c r="T196" s="100"/>
    </row>
    <row r="197" spans="1:20" x14ac:dyDescent="0.3">
      <c r="A197" s="57">
        <v>650</v>
      </c>
      <c r="B197" s="57">
        <v>700</v>
      </c>
      <c r="C197" s="71">
        <v>648546</v>
      </c>
      <c r="D197" s="71">
        <v>43749854055</v>
      </c>
      <c r="E197" s="58">
        <v>2.6857780559211803E-2</v>
      </c>
      <c r="F197" s="92">
        <v>674.58366954695578</v>
      </c>
      <c r="G197" s="89">
        <v>9.0000000000000011E-3</v>
      </c>
      <c r="H197" s="60" t="str">
        <f t="shared" si="2"/>
        <v>(650, 700]</v>
      </c>
      <c r="I197" s="61">
        <v>8.5166370000000022E-3</v>
      </c>
      <c r="J197" s="58">
        <v>2.28737967648464E-4</v>
      </c>
      <c r="K197" s="58">
        <v>2.4799298684386064E-4</v>
      </c>
      <c r="L197" s="115">
        <v>247992</v>
      </c>
      <c r="M197" s="58">
        <v>2.4799200495984009E-4</v>
      </c>
      <c r="N197" s="58">
        <v>0.1672913567241158</v>
      </c>
      <c r="O197" s="117">
        <v>7.6649733000000025E-3</v>
      </c>
      <c r="P197" s="58">
        <v>2.4799200495984009E-4</v>
      </c>
      <c r="Q197" s="58">
        <v>2.5230400529838409E-4</v>
      </c>
      <c r="R197" s="58">
        <v>0</v>
      </c>
      <c r="S197" s="82">
        <v>1.02</v>
      </c>
      <c r="T197" s="100"/>
    </row>
    <row r="198" spans="1:20" x14ac:dyDescent="0.3">
      <c r="A198" s="57">
        <v>700</v>
      </c>
      <c r="B198" s="57">
        <v>750</v>
      </c>
      <c r="C198" s="71">
        <v>583114</v>
      </c>
      <c r="D198" s="71">
        <v>42251751485</v>
      </c>
      <c r="E198" s="58">
        <v>2.4148091042122271E-2</v>
      </c>
      <c r="F198" s="92">
        <v>724.5881849003797</v>
      </c>
      <c r="G198" s="89">
        <v>9.0000000000000011E-3</v>
      </c>
      <c r="H198" s="60" t="str">
        <f t="shared" si="2"/>
        <v>(700, 750]</v>
      </c>
      <c r="I198" s="61">
        <v>8.5166370000000022E-3</v>
      </c>
      <c r="J198" s="58">
        <v>2.0566052564870716E-4</v>
      </c>
      <c r="K198" s="58">
        <v>2.2297290019593203E-4</v>
      </c>
      <c r="L198" s="115">
        <v>222972</v>
      </c>
      <c r="M198" s="58">
        <v>2.2297200445944008E-4</v>
      </c>
      <c r="N198" s="58">
        <v>0.16156287999486504</v>
      </c>
      <c r="O198" s="117">
        <v>7.6649733000000025E-3</v>
      </c>
      <c r="P198" s="58">
        <v>2.2297200445944008E-4</v>
      </c>
      <c r="Q198" s="58">
        <v>2.2584500474274509E-4</v>
      </c>
      <c r="R198" s="58">
        <v>0</v>
      </c>
      <c r="S198" s="82">
        <v>1.01</v>
      </c>
      <c r="T198" s="100"/>
    </row>
    <row r="199" spans="1:20" x14ac:dyDescent="0.3">
      <c r="A199" s="57">
        <v>750</v>
      </c>
      <c r="B199" s="57">
        <v>800</v>
      </c>
      <c r="C199" s="71">
        <v>525829</v>
      </c>
      <c r="D199" s="71">
        <v>40728251095</v>
      </c>
      <c r="E199" s="58">
        <v>2.1775787521116131E-2</v>
      </c>
      <c r="F199" s="92">
        <v>774.55315501807627</v>
      </c>
      <c r="G199" s="89">
        <v>9.0000000000000011E-3</v>
      </c>
      <c r="H199" s="60" t="str">
        <f t="shared" si="2"/>
        <v>(750, 800]</v>
      </c>
      <c r="I199" s="61">
        <v>8.5166370000000022E-3</v>
      </c>
      <c r="J199" s="58">
        <v>1.8545647770647596E-4</v>
      </c>
      <c r="K199" s="58">
        <v>2.0106808812192251E-4</v>
      </c>
      <c r="L199" s="115">
        <v>201068</v>
      </c>
      <c r="M199" s="58">
        <v>2.0106800402136009E-4</v>
      </c>
      <c r="N199" s="58">
        <v>0.15573785688793171</v>
      </c>
      <c r="O199" s="117">
        <v>7.6649733000000025E-3</v>
      </c>
      <c r="P199" s="58">
        <v>2.0106800402136009E-4</v>
      </c>
      <c r="Q199" s="58">
        <v>2.0198100424160108E-4</v>
      </c>
      <c r="R199" s="58">
        <v>0</v>
      </c>
      <c r="S199" s="82">
        <v>1</v>
      </c>
      <c r="T199" s="100"/>
    </row>
    <row r="200" spans="1:20" x14ac:dyDescent="0.3">
      <c r="A200" s="57">
        <v>800</v>
      </c>
      <c r="B200" s="57">
        <v>850</v>
      </c>
      <c r="C200" s="71">
        <v>471502</v>
      </c>
      <c r="D200" s="71">
        <v>38879598250</v>
      </c>
      <c r="E200" s="58">
        <v>1.952598157914702E-2</v>
      </c>
      <c r="F200" s="92">
        <v>824.59031456918524</v>
      </c>
      <c r="G200" s="89">
        <v>9.0000000000000011E-3</v>
      </c>
      <c r="H200" s="60" t="str">
        <f t="shared" si="2"/>
        <v>(800, 850]</v>
      </c>
      <c r="I200" s="61">
        <v>8.5166370000000022E-3</v>
      </c>
      <c r="J200" s="58">
        <v>1.6629569717828199E-4</v>
      </c>
      <c r="K200" s="58">
        <v>1.8029436506100411E-4</v>
      </c>
      <c r="L200" s="115">
        <v>180294</v>
      </c>
      <c r="M200" s="58">
        <v>1.8029400360588009E-4</v>
      </c>
      <c r="N200" s="58">
        <v>0.14866868914831047</v>
      </c>
      <c r="O200" s="117">
        <v>7.6649733000000025E-3</v>
      </c>
      <c r="P200" s="58">
        <v>1.8029400360588009E-4</v>
      </c>
      <c r="Q200" s="58">
        <v>1.8042800378898809E-4</v>
      </c>
      <c r="R200" s="58">
        <v>0</v>
      </c>
      <c r="S200" s="82">
        <v>1</v>
      </c>
      <c r="T200" s="100"/>
    </row>
    <row r="201" spans="1:20" x14ac:dyDescent="0.3">
      <c r="A201" s="57">
        <v>850</v>
      </c>
      <c r="B201" s="57">
        <v>900</v>
      </c>
      <c r="C201" s="71">
        <v>426170</v>
      </c>
      <c r="D201" s="71">
        <v>37274816480</v>
      </c>
      <c r="E201" s="58">
        <v>1.7648679262410521E-2</v>
      </c>
      <c r="F201" s="92">
        <v>874.64665462139533</v>
      </c>
      <c r="G201" s="89">
        <v>9.0000000000000011E-3</v>
      </c>
      <c r="H201" s="60" t="str">
        <f t="shared" si="2"/>
        <v>(850, 900]</v>
      </c>
      <c r="I201" s="61">
        <v>8.5166370000000022E-3</v>
      </c>
      <c r="J201" s="58">
        <v>1.5030739480737819E-4</v>
      </c>
      <c r="K201" s="58">
        <v>1.6296017738641217E-4</v>
      </c>
      <c r="L201" s="83">
        <v>162960</v>
      </c>
      <c r="M201" s="58">
        <v>1.6296000325920006E-4</v>
      </c>
      <c r="N201" s="58">
        <v>0.14253242168775102</v>
      </c>
      <c r="O201" s="117">
        <v>7.6649733000000025E-3</v>
      </c>
      <c r="P201" s="58">
        <v>1.6296000325920006E-4</v>
      </c>
      <c r="Q201" s="58">
        <v>1.6109700338303706E-4</v>
      </c>
      <c r="R201" s="58">
        <v>0</v>
      </c>
      <c r="S201" s="82">
        <v>0.99</v>
      </c>
      <c r="T201" s="100"/>
    </row>
    <row r="202" spans="1:20" x14ac:dyDescent="0.3">
      <c r="A202" s="57">
        <v>900</v>
      </c>
      <c r="B202" s="57">
        <v>950</v>
      </c>
      <c r="C202" s="71">
        <v>384375</v>
      </c>
      <c r="D202" s="71">
        <v>35539167145</v>
      </c>
      <c r="E202" s="58">
        <v>1.591785224555704E-2</v>
      </c>
      <c r="F202" s="92">
        <v>924.59621840650402</v>
      </c>
      <c r="G202" s="89">
        <v>9.0000000000000011E-3</v>
      </c>
      <c r="H202" s="60" t="str">
        <f t="shared" si="2"/>
        <v>(900, 950]</v>
      </c>
      <c r="I202" s="61">
        <v>8.5166370000000022E-3</v>
      </c>
      <c r="J202" s="58">
        <v>1.3556656939504421E-4</v>
      </c>
      <c r="K202" s="58">
        <v>1.469784785013074E-4</v>
      </c>
      <c r="L202" s="83">
        <v>146978</v>
      </c>
      <c r="M202" s="58">
        <v>1.4697800293956005E-4</v>
      </c>
      <c r="N202" s="58">
        <v>0.13589530570685726</v>
      </c>
      <c r="O202" s="117">
        <v>7.6649733000000025E-3</v>
      </c>
      <c r="P202" s="58">
        <v>1.4697800293956005E-4</v>
      </c>
      <c r="Q202" s="58">
        <v>1.4455400303563405E-4</v>
      </c>
      <c r="R202" s="58">
        <v>0</v>
      </c>
      <c r="S202" s="82">
        <v>0.98</v>
      </c>
      <c r="T202" s="100"/>
    </row>
    <row r="203" spans="1:20" x14ac:dyDescent="0.3">
      <c r="A203" s="57">
        <v>950</v>
      </c>
      <c r="B203" s="57">
        <v>1000</v>
      </c>
      <c r="C203" s="71">
        <v>347942</v>
      </c>
      <c r="D203" s="71">
        <v>33909749280</v>
      </c>
      <c r="E203" s="58">
        <v>1.4409077973394751E-2</v>
      </c>
      <c r="F203" s="92">
        <v>974.58051284409476</v>
      </c>
      <c r="G203" s="89">
        <v>9.0000000000000011E-3</v>
      </c>
      <c r="H203" s="60" t="str">
        <f t="shared" si="2"/>
        <v>(950, 1000]</v>
      </c>
      <c r="I203" s="61">
        <v>8.5166370000000022E-3</v>
      </c>
      <c r="J203" s="58">
        <v>1.2271688660409879E-4</v>
      </c>
      <c r="K203" s="58">
        <v>1.3304711744182608E-4</v>
      </c>
      <c r="L203" s="83">
        <v>133047</v>
      </c>
      <c r="M203" s="58">
        <v>1.3304700266094006E-4</v>
      </c>
      <c r="N203" s="58">
        <v>0.12966501608566861</v>
      </c>
      <c r="O203" s="117">
        <v>7.6649733000000025E-3</v>
      </c>
      <c r="P203" s="58">
        <v>1.3304700266094006E-4</v>
      </c>
      <c r="Q203" s="58">
        <v>1.2958100272120106E-4</v>
      </c>
      <c r="R203" s="58">
        <v>0</v>
      </c>
      <c r="S203" s="82">
        <v>0.97</v>
      </c>
      <c r="T203" s="100"/>
    </row>
    <row r="204" spans="1:20" x14ac:dyDescent="0.3">
      <c r="A204" s="57">
        <v>1000</v>
      </c>
      <c r="B204" s="57">
        <v>2000</v>
      </c>
      <c r="C204" s="71">
        <v>3069248</v>
      </c>
      <c r="D204" s="71">
        <v>419106350530</v>
      </c>
      <c r="E204" s="58">
        <v>0.12710461442334037</v>
      </c>
      <c r="F204" s="92">
        <v>1365.5017467796672</v>
      </c>
      <c r="G204" s="89">
        <v>5.0000000000000001E-3</v>
      </c>
      <c r="H204" s="60" t="str">
        <f t="shared" si="2"/>
        <v>(1000, 2000]</v>
      </c>
      <c r="I204" s="61">
        <v>4.7314650000000007E-3</v>
      </c>
      <c r="J204" s="58">
        <v>6.0139103448253017E-4</v>
      </c>
      <c r="K204" s="58">
        <v>6.5201575600098375E-4</v>
      </c>
      <c r="L204" s="83">
        <v>652015</v>
      </c>
      <c r="M204" s="58">
        <v>6.5201501304030021E-4</v>
      </c>
      <c r="N204" s="58">
        <v>0.89032763923309743</v>
      </c>
      <c r="O204" s="117">
        <v>4.2583185000000011E-3</v>
      </c>
      <c r="P204" s="58">
        <v>6.5201501304030021E-4</v>
      </c>
      <c r="Q204" s="58">
        <v>1.1876840249413646E-3</v>
      </c>
      <c r="R204" s="58">
        <v>0</v>
      </c>
      <c r="S204" s="82">
        <v>1.82</v>
      </c>
      <c r="T204" s="100"/>
    </row>
    <row r="205" spans="1:20" x14ac:dyDescent="0.3">
      <c r="A205" s="57">
        <v>2000</v>
      </c>
      <c r="B205" s="57">
        <v>3000</v>
      </c>
      <c r="C205" s="71">
        <v>726860</v>
      </c>
      <c r="D205" s="71">
        <v>174979065400</v>
      </c>
      <c r="E205" s="58">
        <v>3.0100943305900723E-2</v>
      </c>
      <c r="F205" s="92">
        <v>2407.3283080648266</v>
      </c>
      <c r="G205" s="89">
        <v>2E-3</v>
      </c>
      <c r="H205" s="60" t="str">
        <f t="shared" si="2"/>
        <v>(2000, 3000]</v>
      </c>
      <c r="I205" s="61">
        <v>1.8925860000000001E-3</v>
      </c>
      <c r="J205" s="58">
        <v>5.6968623887541429E-5</v>
      </c>
      <c r="K205" s="58">
        <v>6.1764207050961676E-5</v>
      </c>
      <c r="L205" s="83">
        <v>61764</v>
      </c>
      <c r="M205" s="58">
        <v>6.1764001235280026E-5</v>
      </c>
      <c r="N205" s="58">
        <v>0.14868622859304054</v>
      </c>
      <c r="O205" s="117">
        <v>1.7033274000000001E-3</v>
      </c>
      <c r="P205" s="58">
        <v>6.1764001235280026E-5</v>
      </c>
      <c r="Q205" s="58">
        <v>4.5304000951384017E-5</v>
      </c>
      <c r="R205" s="58">
        <v>0</v>
      </c>
      <c r="S205" s="82">
        <v>0.73</v>
      </c>
      <c r="T205" s="100"/>
    </row>
    <row r="206" spans="1:20" x14ac:dyDescent="0.3">
      <c r="A206" s="57">
        <v>3000</v>
      </c>
      <c r="B206" s="57">
        <v>4000</v>
      </c>
      <c r="C206" s="71">
        <v>274375</v>
      </c>
      <c r="D206" s="71">
        <v>94260084530</v>
      </c>
      <c r="E206" s="58">
        <v>1.1362499407804131E-2</v>
      </c>
      <c r="F206" s="92">
        <v>3435.4472721640091</v>
      </c>
      <c r="G206" s="89">
        <v>5.0000000000000001E-3</v>
      </c>
      <c r="H206" s="60" t="str">
        <f t="shared" si="2"/>
        <v>(3000, 4000]</v>
      </c>
      <c r="I206" s="61">
        <v>4.7314650000000007E-3</v>
      </c>
      <c r="J206" s="58">
        <v>5.3761268260545982E-5</v>
      </c>
      <c r="K206" s="58">
        <v>5.8286858231322446E-5</v>
      </c>
      <c r="L206" s="83">
        <v>58286</v>
      </c>
      <c r="M206" s="58">
        <v>5.8286001165720024E-5</v>
      </c>
      <c r="N206" s="58">
        <v>0.20023848371012112</v>
      </c>
      <c r="O206" s="117">
        <v>4.2583185000000011E-3</v>
      </c>
      <c r="P206" s="58">
        <v>5.8286001165720024E-5</v>
      </c>
      <c r="Q206" s="58">
        <v>3.4474000723954014E-5</v>
      </c>
      <c r="R206" s="58">
        <v>0</v>
      </c>
      <c r="S206" s="82">
        <v>0.59</v>
      </c>
    </row>
    <row r="207" spans="1:20" x14ac:dyDescent="0.3">
      <c r="A207" s="57">
        <v>4000</v>
      </c>
      <c r="B207" s="57">
        <v>5000</v>
      </c>
      <c r="C207" s="71">
        <v>139260</v>
      </c>
      <c r="D207" s="71">
        <v>62013288295</v>
      </c>
      <c r="E207" s="58">
        <v>5.7670766925951829E-3</v>
      </c>
      <c r="F207" s="92">
        <v>4453.0581857676289</v>
      </c>
      <c r="G207" s="89">
        <v>0.01</v>
      </c>
      <c r="H207" s="60" t="str">
        <f t="shared" si="2"/>
        <v>(4000, 5000]</v>
      </c>
      <c r="I207" s="61">
        <v>9.4629300000000013E-3</v>
      </c>
      <c r="J207" s="58">
        <v>5.4573443046659744E-5</v>
      </c>
      <c r="K207" s="58">
        <v>5.9167401383463973E-5</v>
      </c>
      <c r="L207" s="83">
        <v>59167</v>
      </c>
      <c r="M207" s="58">
        <v>5.9167001183340025E-5</v>
      </c>
      <c r="N207" s="58">
        <v>0.2634740989467953</v>
      </c>
      <c r="O207" s="117">
        <v>8.5166370000000022E-3</v>
      </c>
      <c r="P207" s="58">
        <v>5.9167001183340025E-5</v>
      </c>
      <c r="Q207" s="58">
        <v>2.9437000618177015E-5</v>
      </c>
      <c r="R207" s="58">
        <v>0</v>
      </c>
      <c r="S207" s="82">
        <v>0.5</v>
      </c>
    </row>
    <row r="208" spans="1:20" x14ac:dyDescent="0.3">
      <c r="A208" s="57">
        <v>5000</v>
      </c>
      <c r="B208" s="57">
        <v>6000</v>
      </c>
      <c r="C208" s="71">
        <v>87746</v>
      </c>
      <c r="D208" s="71">
        <v>47988725055</v>
      </c>
      <c r="E208" s="58">
        <v>3.6337635463769705E-3</v>
      </c>
      <c r="F208" s="92">
        <v>5469.0498774872931</v>
      </c>
      <c r="G208" s="220">
        <v>0.01</v>
      </c>
      <c r="H208" s="60" t="str">
        <f t="shared" si="2"/>
        <v>(5000, 6000]</v>
      </c>
      <c r="I208" s="61">
        <v>9.4629300000000013E-3</v>
      </c>
      <c r="J208" s="58">
        <v>3.4386050075917031E-5</v>
      </c>
      <c r="K208" s="58">
        <v>3.7280646286036402E-5</v>
      </c>
      <c r="L208" s="83">
        <v>37280</v>
      </c>
      <c r="M208" s="58">
        <v>3.7280000745600015E-5</v>
      </c>
      <c r="N208" s="58">
        <v>0.20388618351044996</v>
      </c>
      <c r="O208" s="117">
        <v>8.5166370000000022E-3</v>
      </c>
      <c r="P208" s="58">
        <v>3.7280000745600015E-5</v>
      </c>
      <c r="Q208" s="58">
        <v>0</v>
      </c>
      <c r="R208" s="58">
        <v>0</v>
      </c>
      <c r="S208" s="82">
        <v>0</v>
      </c>
    </row>
    <row r="209" spans="1:19" x14ac:dyDescent="0.3">
      <c r="A209" s="57">
        <v>6000</v>
      </c>
      <c r="B209" s="57">
        <v>7000</v>
      </c>
      <c r="C209" s="71">
        <v>63884</v>
      </c>
      <c r="D209" s="71">
        <v>41404052400</v>
      </c>
      <c r="E209" s="58">
        <v>2.6455832789727893E-3</v>
      </c>
      <c r="F209" s="92">
        <v>6481.1302360528462</v>
      </c>
      <c r="G209" s="220">
        <v>0.01</v>
      </c>
      <c r="H209" s="60" t="str">
        <f t="shared" si="2"/>
        <v>(6000, 7000]</v>
      </c>
      <c r="I209" s="61">
        <v>9.4629300000000013E-3</v>
      </c>
      <c r="J209" s="58">
        <v>2.503496937808998E-5</v>
      </c>
      <c r="K209" s="58">
        <v>2.7142397457857332E-5</v>
      </c>
      <c r="L209" s="83">
        <v>27142</v>
      </c>
      <c r="M209" s="58">
        <v>2.7142000542840009E-5</v>
      </c>
      <c r="N209" s="58">
        <v>0.17591084038516314</v>
      </c>
      <c r="O209" s="117">
        <v>8.5166370000000022E-3</v>
      </c>
      <c r="P209" s="58">
        <v>2.7142000542840009E-5</v>
      </c>
      <c r="Q209" s="58">
        <v>0</v>
      </c>
      <c r="R209" s="58">
        <v>0</v>
      </c>
      <c r="S209" s="82">
        <v>0</v>
      </c>
    </row>
    <row r="210" spans="1:19" x14ac:dyDescent="0.3">
      <c r="A210" s="57">
        <v>7000</v>
      </c>
      <c r="B210" s="57">
        <v>8000</v>
      </c>
      <c r="C210" s="71">
        <v>52485</v>
      </c>
      <c r="D210" s="71">
        <v>39300082150</v>
      </c>
      <c r="E210" s="58">
        <v>2.173524488086013E-3</v>
      </c>
      <c r="F210" s="92">
        <v>7487.8693245689246</v>
      </c>
      <c r="G210" s="220">
        <v>0.01</v>
      </c>
      <c r="H210" s="60" t="str">
        <f t="shared" si="2"/>
        <v>(7000, 8000]</v>
      </c>
      <c r="I210" s="61">
        <v>9.4629300000000013E-3</v>
      </c>
      <c r="J210" s="58">
        <v>2.0567910084043779E-5</v>
      </c>
      <c r="K210" s="58">
        <v>2.2299303903569628E-5</v>
      </c>
      <c r="L210" s="83">
        <v>22299</v>
      </c>
      <c r="M210" s="58">
        <v>2.2299000445980009E-5</v>
      </c>
      <c r="N210" s="58">
        <v>0.16697200140800247</v>
      </c>
      <c r="O210" s="117">
        <v>8.5166370000000022E-3</v>
      </c>
      <c r="P210" s="58">
        <v>2.2299000445980009E-5</v>
      </c>
      <c r="Q210" s="58">
        <v>0</v>
      </c>
      <c r="R210" s="58">
        <v>0</v>
      </c>
      <c r="S210" s="82">
        <v>0</v>
      </c>
    </row>
    <row r="211" spans="1:19" x14ac:dyDescent="0.3">
      <c r="A211" s="57">
        <v>8000</v>
      </c>
      <c r="B211" s="57">
        <v>9000</v>
      </c>
      <c r="C211" s="71">
        <v>46209</v>
      </c>
      <c r="D211" s="71">
        <v>39236770175</v>
      </c>
      <c r="E211" s="58">
        <v>1.9136209025429471E-3</v>
      </c>
      <c r="F211" s="92">
        <v>8491.1532764180138</v>
      </c>
      <c r="G211" s="220">
        <v>0.01</v>
      </c>
      <c r="H211" s="60" t="str">
        <f t="shared" si="2"/>
        <v>(8000, 9000]</v>
      </c>
      <c r="I211" s="61">
        <v>9.4629300000000013E-3</v>
      </c>
      <c r="J211" s="58">
        <v>1.8108460647300734E-5</v>
      </c>
      <c r="K211" s="58">
        <v>1.9632819549967591E-5</v>
      </c>
      <c r="L211" s="83">
        <v>19632</v>
      </c>
      <c r="M211" s="58">
        <v>1.9632000392640006E-5</v>
      </c>
      <c r="N211" s="58">
        <v>0.16669832445660493</v>
      </c>
      <c r="O211" s="117">
        <v>8.5166370000000022E-3</v>
      </c>
      <c r="P211" s="58">
        <v>1.9632000392640006E-5</v>
      </c>
      <c r="Q211" s="58">
        <v>0</v>
      </c>
      <c r="R211" s="58">
        <v>0</v>
      </c>
      <c r="S211" s="82">
        <v>0</v>
      </c>
    </row>
    <row r="212" spans="1:19" x14ac:dyDescent="0.3">
      <c r="A212" s="57">
        <v>9000</v>
      </c>
      <c r="B212" s="57">
        <v>10000</v>
      </c>
      <c r="C212" s="71">
        <v>42816</v>
      </c>
      <c r="D212" s="71">
        <v>40653464570</v>
      </c>
      <c r="E212" s="58">
        <v>1.7731089736475324E-3</v>
      </c>
      <c r="F212" s="92">
        <v>9494.9235262518687</v>
      </c>
      <c r="G212" s="220">
        <v>0.01</v>
      </c>
      <c r="H212" s="60" t="str">
        <f t="shared" si="2"/>
        <v>(9000, 10000]</v>
      </c>
      <c r="I212" s="61">
        <v>9.4629300000000013E-3</v>
      </c>
      <c r="J212" s="58">
        <v>1.6778806099998446E-5</v>
      </c>
      <c r="K212" s="58">
        <v>1.8191235513675093E-5</v>
      </c>
      <c r="L212" s="83">
        <v>18191</v>
      </c>
      <c r="M212" s="58">
        <v>1.8191000363820006E-5</v>
      </c>
      <c r="N212" s="58">
        <v>0.17272215732049087</v>
      </c>
      <c r="O212" s="117">
        <v>8.5166370000000022E-3</v>
      </c>
      <c r="P212" s="58">
        <v>1.8191000363820006E-5</v>
      </c>
      <c r="Q212" s="58">
        <v>0</v>
      </c>
      <c r="R212" s="58">
        <v>0</v>
      </c>
      <c r="S212" s="82">
        <v>0</v>
      </c>
    </row>
    <row r="213" spans="1:19" x14ac:dyDescent="0.3">
      <c r="A213" s="57">
        <v>10000</v>
      </c>
      <c r="B213" s="57">
        <v>20000</v>
      </c>
      <c r="C213" s="71">
        <v>319147</v>
      </c>
      <c r="D213" s="71">
        <v>464099877425</v>
      </c>
      <c r="E213" s="58">
        <v>1.3216610837366615E-2</v>
      </c>
      <c r="F213" s="92">
        <v>14541.884380081907</v>
      </c>
      <c r="G213" s="89">
        <v>6.8668000000000002E-3</v>
      </c>
      <c r="H213" s="60" t="str">
        <f t="shared" si="2"/>
        <v>(10000, 20000]</v>
      </c>
      <c r="I213" s="61">
        <v>6.4980047724000007E-3</v>
      </c>
      <c r="J213" s="58">
        <v>8.5881600296161832E-5</v>
      </c>
      <c r="K213" s="58">
        <v>9.3111059748102892E-5</v>
      </c>
      <c r="L213" s="83">
        <v>93111</v>
      </c>
      <c r="M213" s="58">
        <v>9.3111001862220037E-5</v>
      </c>
      <c r="N213" s="58">
        <v>1.3540094235939948</v>
      </c>
      <c r="O213" s="117">
        <v>5.8482042951600007E-3</v>
      </c>
      <c r="P213" s="58">
        <v>9.3111001862220037E-5</v>
      </c>
      <c r="Q213" s="58">
        <v>2.0830000437430008E-5</v>
      </c>
      <c r="R213" s="58">
        <v>0</v>
      </c>
      <c r="S213" s="82">
        <v>0.22</v>
      </c>
    </row>
    <row r="214" spans="1:19" x14ac:dyDescent="0.3">
      <c r="A214" s="57">
        <v>20000</v>
      </c>
      <c r="B214" s="57">
        <v>30000</v>
      </c>
      <c r="C214" s="71">
        <v>168139</v>
      </c>
      <c r="D214" s="71">
        <v>410262879645</v>
      </c>
      <c r="E214" s="58">
        <v>6.9630224616994219E-3</v>
      </c>
      <c r="F214" s="92">
        <v>24400.22122440362</v>
      </c>
      <c r="G214" s="89">
        <v>0</v>
      </c>
      <c r="H214" s="60" t="str">
        <f t="shared" si="2"/>
        <v>(20000, 30000]</v>
      </c>
      <c r="I214" s="61">
        <v>0</v>
      </c>
      <c r="J214" s="58">
        <v>0</v>
      </c>
      <c r="K214" s="58">
        <v>0</v>
      </c>
      <c r="L214" s="83">
        <v>0</v>
      </c>
      <c r="M214" s="58">
        <v>0</v>
      </c>
      <c r="N214" s="58">
        <v>0</v>
      </c>
      <c r="O214" s="117">
        <v>0</v>
      </c>
      <c r="P214" s="58">
        <v>0</v>
      </c>
      <c r="Q214" s="58">
        <v>0</v>
      </c>
      <c r="R214" s="58">
        <v>0</v>
      </c>
      <c r="S214" s="82">
        <v>0</v>
      </c>
    </row>
    <row r="215" spans="1:19" x14ac:dyDescent="0.3">
      <c r="A215" s="57">
        <v>30000</v>
      </c>
      <c r="B215" s="57">
        <v>40000</v>
      </c>
      <c r="C215" s="71">
        <v>76601</v>
      </c>
      <c r="D215" s="71">
        <v>262821736420</v>
      </c>
      <c r="E215" s="58">
        <v>3.1722234793155508E-3</v>
      </c>
      <c r="F215" s="92">
        <v>34310.483729977415</v>
      </c>
      <c r="G215" s="89">
        <v>0</v>
      </c>
      <c r="H215" s="60" t="str">
        <f t="shared" si="2"/>
        <v>(30000, 40000]</v>
      </c>
      <c r="I215" s="61">
        <v>0</v>
      </c>
      <c r="J215" s="58">
        <v>0</v>
      </c>
      <c r="K215" s="58">
        <v>0</v>
      </c>
      <c r="L215" s="83">
        <v>0</v>
      </c>
      <c r="M215" s="58">
        <v>0</v>
      </c>
      <c r="N215" s="58">
        <v>0</v>
      </c>
      <c r="O215" s="117">
        <v>0</v>
      </c>
      <c r="P215" s="58">
        <v>0</v>
      </c>
      <c r="Q215" s="58">
        <v>0</v>
      </c>
      <c r="R215" s="58">
        <v>0</v>
      </c>
      <c r="S215" s="82">
        <v>0</v>
      </c>
    </row>
    <row r="216" spans="1:19" x14ac:dyDescent="0.3">
      <c r="A216" s="57">
        <v>40000</v>
      </c>
      <c r="B216" s="57">
        <v>50000</v>
      </c>
      <c r="C216" s="71">
        <v>32766</v>
      </c>
      <c r="D216" s="71">
        <v>145058924345</v>
      </c>
      <c r="E216" s="58">
        <v>1.3569153734710165E-3</v>
      </c>
      <c r="F216" s="92">
        <v>44271.172662210825</v>
      </c>
      <c r="G216" s="89">
        <v>0</v>
      </c>
      <c r="H216" s="60" t="str">
        <f t="shared" si="2"/>
        <v>(40000, 50000]</v>
      </c>
      <c r="I216" s="61">
        <v>0</v>
      </c>
      <c r="J216" s="58">
        <v>0</v>
      </c>
      <c r="K216" s="58">
        <v>0</v>
      </c>
      <c r="L216" s="83">
        <v>0</v>
      </c>
      <c r="M216" s="58">
        <v>0</v>
      </c>
      <c r="N216" s="58">
        <v>0</v>
      </c>
      <c r="O216" s="117">
        <v>0</v>
      </c>
      <c r="P216" s="58">
        <v>0</v>
      </c>
      <c r="Q216" s="58">
        <v>0</v>
      </c>
      <c r="R216" s="58">
        <v>0</v>
      </c>
      <c r="S216" s="82">
        <v>0</v>
      </c>
    </row>
    <row r="217" spans="1:19" x14ac:dyDescent="0.3">
      <c r="A217" s="57">
        <v>50000</v>
      </c>
      <c r="B217" s="57">
        <v>60000</v>
      </c>
      <c r="C217" s="71">
        <v>13666</v>
      </c>
      <c r="D217" s="71">
        <v>74267130650</v>
      </c>
      <c r="E217" s="58">
        <v>5.6594047164301145E-4</v>
      </c>
      <c r="F217" s="92">
        <v>54344.453863603099</v>
      </c>
      <c r="G217" s="89">
        <v>0</v>
      </c>
      <c r="H217" s="60" t="str">
        <f t="shared" si="2"/>
        <v>(50000, 60000]</v>
      </c>
      <c r="I217" s="61">
        <v>0</v>
      </c>
      <c r="J217" s="58">
        <v>0</v>
      </c>
      <c r="K217" s="58">
        <v>0</v>
      </c>
      <c r="L217" s="83">
        <v>0</v>
      </c>
      <c r="M217" s="58">
        <v>0</v>
      </c>
      <c r="N217" s="58">
        <v>0</v>
      </c>
      <c r="O217" s="117">
        <v>0</v>
      </c>
      <c r="P217" s="58">
        <v>0</v>
      </c>
      <c r="Q217" s="58">
        <v>0</v>
      </c>
      <c r="R217" s="58">
        <v>0</v>
      </c>
      <c r="S217" s="82">
        <v>0</v>
      </c>
    </row>
    <row r="218" spans="1:19" x14ac:dyDescent="0.3">
      <c r="A218" s="57">
        <v>60000</v>
      </c>
      <c r="B218" s="57">
        <v>70000</v>
      </c>
      <c r="C218" s="71">
        <v>5917</v>
      </c>
      <c r="D218" s="71">
        <v>38063267450</v>
      </c>
      <c r="E218" s="58">
        <v>2.4503657037258148E-4</v>
      </c>
      <c r="F218" s="92">
        <v>64328.658864289333</v>
      </c>
      <c r="G218" s="89">
        <v>0</v>
      </c>
      <c r="H218" s="60" t="str">
        <f t="shared" si="2"/>
        <v>(60000, 70000]</v>
      </c>
      <c r="I218" s="61">
        <v>0</v>
      </c>
      <c r="J218" s="58">
        <v>0</v>
      </c>
      <c r="K218" s="58">
        <v>0</v>
      </c>
      <c r="L218" s="83">
        <v>0</v>
      </c>
      <c r="M218" s="58">
        <v>0</v>
      </c>
      <c r="N218" s="58">
        <v>0</v>
      </c>
      <c r="O218" s="117">
        <v>0</v>
      </c>
      <c r="P218" s="58">
        <v>0</v>
      </c>
      <c r="Q218" s="58">
        <v>0</v>
      </c>
      <c r="R218" s="58">
        <v>0</v>
      </c>
      <c r="S218" s="82">
        <v>0</v>
      </c>
    </row>
    <row r="219" spans="1:19" x14ac:dyDescent="0.3">
      <c r="A219" s="57">
        <v>70000</v>
      </c>
      <c r="B219" s="57">
        <v>80000</v>
      </c>
      <c r="C219" s="71">
        <v>2651</v>
      </c>
      <c r="D219" s="71">
        <v>19702200165</v>
      </c>
      <c r="E219" s="58">
        <v>1.097840033898451E-4</v>
      </c>
      <c r="F219" s="92">
        <v>74319.879913240293</v>
      </c>
      <c r="G219" s="89">
        <v>0</v>
      </c>
      <c r="H219" s="60" t="str">
        <f t="shared" si="2"/>
        <v>(70000, 80000]</v>
      </c>
      <c r="I219" s="61">
        <v>0</v>
      </c>
      <c r="J219" s="58">
        <v>0</v>
      </c>
      <c r="K219" s="58">
        <v>0</v>
      </c>
      <c r="L219" s="83">
        <v>0</v>
      </c>
      <c r="M219" s="58">
        <v>0</v>
      </c>
      <c r="N219" s="58">
        <v>0</v>
      </c>
      <c r="O219" s="117">
        <v>0</v>
      </c>
      <c r="P219" s="58">
        <v>0</v>
      </c>
      <c r="Q219" s="58">
        <v>0</v>
      </c>
      <c r="R219" s="58">
        <v>0</v>
      </c>
      <c r="S219" s="82">
        <v>0</v>
      </c>
    </row>
    <row r="220" spans="1:19" x14ac:dyDescent="0.3">
      <c r="A220" s="57">
        <v>80000</v>
      </c>
      <c r="B220" s="57">
        <v>90000</v>
      </c>
      <c r="C220" s="71">
        <v>1305</v>
      </c>
      <c r="D220" s="71">
        <v>11002115205</v>
      </c>
      <c r="E220" s="58">
        <v>5.4043049575159513E-5</v>
      </c>
      <c r="F220" s="92">
        <v>84307.396206896548</v>
      </c>
      <c r="G220" s="89">
        <v>0</v>
      </c>
      <c r="H220" s="60" t="str">
        <f t="shared" si="2"/>
        <v>(80000, 90000]</v>
      </c>
      <c r="I220" s="61">
        <v>0</v>
      </c>
      <c r="J220" s="58">
        <v>0</v>
      </c>
      <c r="K220" s="58">
        <v>0</v>
      </c>
      <c r="L220" s="83">
        <v>0</v>
      </c>
      <c r="M220" s="58">
        <v>0</v>
      </c>
      <c r="N220" s="58">
        <v>0</v>
      </c>
      <c r="O220" s="117">
        <v>0</v>
      </c>
      <c r="P220" s="58">
        <v>0</v>
      </c>
      <c r="Q220" s="58">
        <v>0</v>
      </c>
      <c r="R220" s="58">
        <v>0</v>
      </c>
      <c r="S220" s="82">
        <v>0</v>
      </c>
    </row>
    <row r="221" spans="1:19" x14ac:dyDescent="0.3">
      <c r="A221" s="57">
        <v>90000</v>
      </c>
      <c r="B221" s="57">
        <v>100000</v>
      </c>
      <c r="C221" s="71">
        <v>621</v>
      </c>
      <c r="D221" s="71">
        <v>5877544690</v>
      </c>
      <c r="E221" s="58">
        <v>2.5717037384041424E-5</v>
      </c>
      <c r="F221" s="92">
        <v>94646.452334943635</v>
      </c>
      <c r="G221" s="89">
        <v>0</v>
      </c>
      <c r="H221" s="60" t="str">
        <f t="shared" si="2"/>
        <v>(90000, 100000]</v>
      </c>
      <c r="I221" s="61">
        <v>0</v>
      </c>
      <c r="J221" s="58">
        <v>0</v>
      </c>
      <c r="K221" s="58">
        <v>0</v>
      </c>
      <c r="L221" s="83">
        <v>0</v>
      </c>
      <c r="M221" s="58">
        <v>0</v>
      </c>
      <c r="N221" s="58">
        <v>0</v>
      </c>
      <c r="O221" s="117">
        <v>0</v>
      </c>
      <c r="P221" s="58">
        <v>0</v>
      </c>
      <c r="Q221" s="58">
        <v>0</v>
      </c>
      <c r="R221" s="58">
        <v>0</v>
      </c>
      <c r="S221" s="82">
        <v>0</v>
      </c>
    </row>
    <row r="222" spans="1:19" x14ac:dyDescent="0.3">
      <c r="A222" s="57">
        <v>100000</v>
      </c>
      <c r="B222" s="57">
        <v>9999999</v>
      </c>
      <c r="C222" s="71">
        <v>820</v>
      </c>
      <c r="D222" s="71">
        <v>9980269245</v>
      </c>
      <c r="E222" s="58">
        <v>3.3958084790521686E-5</v>
      </c>
      <c r="F222" s="92">
        <v>121710.60054878048</v>
      </c>
      <c r="G222" s="89">
        <v>0</v>
      </c>
      <c r="H222" s="60" t="str">
        <f t="shared" si="2"/>
        <v>(100000, 9999999]</v>
      </c>
      <c r="I222" s="61">
        <v>0</v>
      </c>
      <c r="J222" s="58">
        <v>0</v>
      </c>
      <c r="K222" s="58">
        <v>0</v>
      </c>
      <c r="L222" s="83">
        <v>0</v>
      </c>
      <c r="M222" s="58">
        <v>0</v>
      </c>
      <c r="N222" s="58">
        <v>0</v>
      </c>
      <c r="O222" s="117">
        <v>0</v>
      </c>
      <c r="P222" s="58">
        <v>0</v>
      </c>
      <c r="Q222" s="58">
        <v>0</v>
      </c>
      <c r="R222" s="58">
        <v>0</v>
      </c>
      <c r="S222" s="82">
        <v>0</v>
      </c>
    </row>
    <row r="225" spans="1:20" s="181" customFormat="1" x14ac:dyDescent="0.3">
      <c r="A225" s="233" t="s">
        <v>55</v>
      </c>
      <c r="B225" s="233"/>
      <c r="C225" s="233"/>
      <c r="D225" s="233"/>
      <c r="E225" s="176"/>
      <c r="F225" s="176"/>
      <c r="G225" s="177"/>
      <c r="H225" s="178"/>
      <c r="I225" s="179"/>
      <c r="J225" s="180"/>
      <c r="K225" s="180"/>
      <c r="L225" s="180"/>
      <c r="M225" s="180"/>
      <c r="N225" s="180"/>
      <c r="O225" s="177"/>
    </row>
    <row r="226" spans="1:20" x14ac:dyDescent="0.3">
      <c r="A226" s="51"/>
      <c r="B226" s="51"/>
      <c r="C226" s="1"/>
      <c r="D226" s="1"/>
      <c r="E226" s="1"/>
      <c r="F226" s="1"/>
      <c r="G226" s="50">
        <v>9.9999999999999995E-7</v>
      </c>
      <c r="H226" s="13"/>
      <c r="I226" s="51"/>
      <c r="J226" s="51"/>
      <c r="K226" s="51"/>
      <c r="L226" s="51"/>
      <c r="M226" s="51"/>
      <c r="N226" s="51"/>
    </row>
    <row r="227" spans="1:20" x14ac:dyDescent="0.3">
      <c r="A227" s="69" t="s">
        <v>75</v>
      </c>
      <c r="B227" s="215">
        <v>10000000</v>
      </c>
      <c r="C227" s="1"/>
      <c r="D227" s="1"/>
      <c r="E227" s="1"/>
      <c r="F227" s="1"/>
      <c r="G227" s="50">
        <v>47205</v>
      </c>
      <c r="H227" s="69" t="s">
        <v>76</v>
      </c>
      <c r="I227" s="51"/>
      <c r="J227" s="51"/>
      <c r="K227" s="51"/>
      <c r="M227" s="51"/>
      <c r="N227" s="51"/>
    </row>
    <row r="228" spans="1:20" ht="16.2" x14ac:dyDescent="0.3">
      <c r="A228" s="20" t="s">
        <v>58</v>
      </c>
      <c r="B228" s="20" t="s">
        <v>59</v>
      </c>
      <c r="C228" s="20" t="s">
        <v>71</v>
      </c>
      <c r="D228" s="20" t="s">
        <v>72</v>
      </c>
      <c r="E228" s="20" t="s">
        <v>73</v>
      </c>
      <c r="F228" s="20" t="s">
        <v>85</v>
      </c>
      <c r="G228" s="89">
        <f>1-G227*G226</f>
        <v>0.95279500000000006</v>
      </c>
      <c r="H228" s="20" t="s">
        <v>61</v>
      </c>
      <c r="I228" s="20" t="s">
        <v>63</v>
      </c>
      <c r="J228" s="20" t="s">
        <v>64</v>
      </c>
      <c r="K228" s="20" t="s">
        <v>65</v>
      </c>
      <c r="L228" s="20" t="s">
        <v>66</v>
      </c>
      <c r="M228" s="20" t="s">
        <v>67</v>
      </c>
      <c r="N228" s="20" t="s">
        <v>60</v>
      </c>
      <c r="O228" s="50">
        <v>0.95</v>
      </c>
      <c r="P228" s="85" t="s">
        <v>84</v>
      </c>
      <c r="Q228" s="185" t="s">
        <v>328</v>
      </c>
      <c r="R228" s="85" t="s">
        <v>217</v>
      </c>
      <c r="S228" s="85" t="s">
        <v>80</v>
      </c>
    </row>
    <row r="229" spans="1:20" x14ac:dyDescent="0.3">
      <c r="A229" s="63">
        <v>-1</v>
      </c>
      <c r="B229" s="63">
        <v>0</v>
      </c>
      <c r="C229" s="95" cm="1">
        <f t="array" ref="C229:D292">C159:D222</f>
        <v>0</v>
      </c>
      <c r="D229" s="95">
        <v>0</v>
      </c>
      <c r="E229" s="58" cm="1">
        <f t="array" ref="E229:E292">_xlfn.LET(_xlpm.x, C229:C292, _xlpm.x/SUM(_xlpm.x))</f>
        <v>0</v>
      </c>
      <c r="F229" s="91" cm="1">
        <f t="array" ref="F229:F292">_xlfn.LET(_xlpm.x, D229:D292/C229:C292/B3, IF(ISERR(_xlpm.x), 0, _xlpm.x))</f>
        <v>0</v>
      </c>
      <c r="G229" s="89"/>
      <c r="H229" s="60" t="str">
        <f>"("&amp;$A229&amp;", "&amp;$B229&amp;"]"</f>
        <v>(-1, 0]</v>
      </c>
      <c r="I229" s="61">
        <v>0</v>
      </c>
      <c r="J229" s="58" cm="1">
        <f t="array" ref="J229:J292">_xlfn.ANCHORARRAY(E229)*I229:I292</f>
        <v>0</v>
      </c>
      <c r="K229" s="58" cm="1">
        <f t="array" ref="K229:K292">J229:J292/SUM(_xlfn.ANCHORARRAY(J229))</f>
        <v>0</v>
      </c>
      <c r="L229" s="115" cm="1">
        <f t="array" ref="L229:L292">INT(_xlfn.ANCHORARRAY(K229)*$B$2)</f>
        <v>0</v>
      </c>
      <c r="M229" s="58" cm="1">
        <f t="array" ref="M229:M292">_xlfn.LET(_xlpm.x, L229:L292, _xlpm.x/SUM(_xlpm.x))</f>
        <v>0</v>
      </c>
      <c r="N229" s="59" cm="1">
        <f t="array" ref="N229:N292">M229:M292*_xlfn.ANCHORARRAY(F229)</f>
        <v>0</v>
      </c>
      <c r="O229" s="117" cm="1">
        <f t="array" ref="O229:O292">I229:I292*O228</f>
        <v>0</v>
      </c>
      <c r="P229" s="58" cm="1">
        <f t="array" ref="P229:P292">_xlfn.ANCHORARRAY(M229)</f>
        <v>0</v>
      </c>
      <c r="Q229" s="58">
        <v>0</v>
      </c>
      <c r="R229" s="58">
        <v>0</v>
      </c>
      <c r="S229" s="82" cm="1">
        <f t="array" ref="S229:S292">_xlfn.LET(_xlpm.x, Q229:Q292/M229:M292, IF(ISERR(_xlpm.x), 0, ROUND(_xlpm.x,2)))</f>
        <v>0</v>
      </c>
    </row>
    <row r="230" spans="1:20" x14ac:dyDescent="0.3">
      <c r="A230" s="57">
        <v>0</v>
      </c>
      <c r="B230" s="57">
        <v>1</v>
      </c>
      <c r="C230" s="93">
        <v>14852</v>
      </c>
      <c r="D230" s="93">
        <v>889415</v>
      </c>
      <c r="E230" s="58">
        <v>6.1505545769369283E-4</v>
      </c>
      <c r="F230" s="92">
        <v>0.5988520064637759</v>
      </c>
      <c r="G230" s="89"/>
      <c r="H230" s="60" t="str">
        <f t="shared" ref="H230:H292" si="3">"("&amp;$A230&amp;", "&amp;$B230&amp;"]"</f>
        <v>(0, 1]</v>
      </c>
      <c r="I230" s="61">
        <v>0</v>
      </c>
      <c r="J230" s="58">
        <v>0</v>
      </c>
      <c r="K230" s="58">
        <v>0</v>
      </c>
      <c r="L230" s="115">
        <v>0</v>
      </c>
      <c r="M230" s="58">
        <v>0</v>
      </c>
      <c r="N230" s="58">
        <v>0</v>
      </c>
      <c r="O230" s="117">
        <v>0</v>
      </c>
      <c r="P230" s="58">
        <v>0</v>
      </c>
      <c r="Q230" s="58">
        <v>0</v>
      </c>
      <c r="R230" s="58">
        <v>0</v>
      </c>
      <c r="S230" s="82">
        <v>0</v>
      </c>
    </row>
    <row r="231" spans="1:20" x14ac:dyDescent="0.3">
      <c r="A231" s="57">
        <v>1</v>
      </c>
      <c r="B231" s="57">
        <v>2</v>
      </c>
      <c r="C231" s="93">
        <v>14239</v>
      </c>
      <c r="D231" s="93">
        <v>2239490</v>
      </c>
      <c r="E231" s="58">
        <v>5.8966971869785158E-4</v>
      </c>
      <c r="F231" s="92">
        <v>1.5727860102535292</v>
      </c>
      <c r="G231" s="89"/>
      <c r="H231" s="60" t="str">
        <f t="shared" si="3"/>
        <v>(1, 2]</v>
      </c>
      <c r="I231" s="61">
        <v>0</v>
      </c>
      <c r="J231" s="58">
        <v>0</v>
      </c>
      <c r="K231" s="58">
        <v>0</v>
      </c>
      <c r="L231" s="115">
        <v>0</v>
      </c>
      <c r="M231" s="58">
        <v>0</v>
      </c>
      <c r="N231" s="58">
        <v>0</v>
      </c>
      <c r="O231" s="117">
        <v>0</v>
      </c>
      <c r="P231" s="58">
        <v>0</v>
      </c>
      <c r="Q231" s="58">
        <v>0</v>
      </c>
      <c r="R231" s="58">
        <v>0</v>
      </c>
      <c r="S231" s="82">
        <v>0</v>
      </c>
    </row>
    <row r="232" spans="1:20" ht="16.2" customHeight="1" x14ac:dyDescent="0.3">
      <c r="A232" s="57">
        <v>2</v>
      </c>
      <c r="B232" s="57">
        <v>3</v>
      </c>
      <c r="C232" s="93">
        <v>14789</v>
      </c>
      <c r="D232" s="93">
        <v>3824910</v>
      </c>
      <c r="E232" s="58">
        <v>6.1244648288661611E-4</v>
      </c>
      <c r="F232" s="92">
        <v>2.5863209141929815</v>
      </c>
      <c r="G232" s="89"/>
      <c r="H232" s="60" t="str">
        <f t="shared" si="3"/>
        <v>(2, 3]</v>
      </c>
      <c r="I232" s="61">
        <v>0</v>
      </c>
      <c r="J232" s="58">
        <v>0</v>
      </c>
      <c r="K232" s="58">
        <v>0</v>
      </c>
      <c r="L232" s="115">
        <v>0</v>
      </c>
      <c r="M232" s="58">
        <v>0</v>
      </c>
      <c r="N232" s="58">
        <v>0</v>
      </c>
      <c r="O232" s="117">
        <v>0</v>
      </c>
      <c r="P232" s="58">
        <v>0</v>
      </c>
      <c r="Q232" s="58">
        <v>0</v>
      </c>
      <c r="R232" s="58">
        <v>0</v>
      </c>
      <c r="S232" s="82">
        <v>0</v>
      </c>
    </row>
    <row r="233" spans="1:20" x14ac:dyDescent="0.3">
      <c r="A233" s="57">
        <v>3</v>
      </c>
      <c r="B233" s="57">
        <v>4</v>
      </c>
      <c r="C233" s="93">
        <v>14538</v>
      </c>
      <c r="D233" s="93">
        <v>5207180</v>
      </c>
      <c r="E233" s="58">
        <v>6.0205199595683451E-4</v>
      </c>
      <c r="F233" s="92">
        <v>3.5817719081029025</v>
      </c>
      <c r="G233" s="89"/>
      <c r="H233" s="60" t="str">
        <f t="shared" si="3"/>
        <v>(3, 4]</v>
      </c>
      <c r="I233" s="61">
        <v>0</v>
      </c>
      <c r="J233" s="58">
        <v>0</v>
      </c>
      <c r="K233" s="58">
        <v>0</v>
      </c>
      <c r="L233" s="115">
        <v>0</v>
      </c>
      <c r="M233" s="58">
        <v>0</v>
      </c>
      <c r="N233" s="58">
        <v>0</v>
      </c>
      <c r="O233" s="117">
        <v>0</v>
      </c>
      <c r="P233" s="58">
        <v>0</v>
      </c>
      <c r="Q233" s="58">
        <v>0</v>
      </c>
      <c r="R233" s="58">
        <v>3.614457831325301E-2</v>
      </c>
      <c r="S233" s="82">
        <v>0</v>
      </c>
    </row>
    <row r="234" spans="1:20" x14ac:dyDescent="0.3">
      <c r="A234" s="57">
        <v>4</v>
      </c>
      <c r="B234" s="57">
        <v>5</v>
      </c>
      <c r="C234" s="93">
        <v>15079</v>
      </c>
      <c r="D234" s="93">
        <v>6896535</v>
      </c>
      <c r="E234" s="58">
        <v>6.2445604945887375E-4</v>
      </c>
      <c r="F234" s="92">
        <v>4.5736023608992635</v>
      </c>
      <c r="G234" s="89"/>
      <c r="H234" s="60" t="str">
        <f t="shared" si="3"/>
        <v>(4, 5]</v>
      </c>
      <c r="I234" s="61">
        <v>0</v>
      </c>
      <c r="J234" s="58">
        <v>0</v>
      </c>
      <c r="K234" s="58">
        <v>0</v>
      </c>
      <c r="L234" s="115">
        <v>0</v>
      </c>
      <c r="M234" s="58">
        <v>0</v>
      </c>
      <c r="N234" s="58">
        <v>0</v>
      </c>
      <c r="O234" s="117">
        <v>0</v>
      </c>
      <c r="P234" s="58">
        <v>0</v>
      </c>
      <c r="Q234" s="58">
        <v>0</v>
      </c>
      <c r="R234" s="58">
        <v>0</v>
      </c>
      <c r="S234" s="82">
        <v>0</v>
      </c>
    </row>
    <row r="235" spans="1:20" x14ac:dyDescent="0.3">
      <c r="A235" s="57">
        <v>5</v>
      </c>
      <c r="B235" s="57">
        <v>6</v>
      </c>
      <c r="C235" s="93">
        <v>16012</v>
      </c>
      <c r="D235" s="93">
        <v>8915745</v>
      </c>
      <c r="E235" s="58">
        <v>6.6309372398272351E-4</v>
      </c>
      <c r="F235" s="92">
        <v>5.5681645016237828</v>
      </c>
      <c r="G235" s="89"/>
      <c r="H235" s="60" t="str">
        <f t="shared" si="3"/>
        <v>(5, 6]</v>
      </c>
      <c r="I235" s="61">
        <v>0</v>
      </c>
      <c r="J235" s="58">
        <v>0</v>
      </c>
      <c r="K235" s="58">
        <v>0</v>
      </c>
      <c r="L235" s="115">
        <v>0</v>
      </c>
      <c r="M235" s="58">
        <v>0</v>
      </c>
      <c r="N235" s="58">
        <v>0</v>
      </c>
      <c r="O235" s="117">
        <v>0</v>
      </c>
      <c r="P235" s="58">
        <v>0</v>
      </c>
      <c r="Q235" s="58">
        <v>0</v>
      </c>
      <c r="R235" s="58">
        <v>0</v>
      </c>
      <c r="S235" s="82">
        <v>0</v>
      </c>
    </row>
    <row r="236" spans="1:20" x14ac:dyDescent="0.3">
      <c r="A236" s="57">
        <v>6</v>
      </c>
      <c r="B236" s="57">
        <v>7</v>
      </c>
      <c r="C236" s="93">
        <v>15972</v>
      </c>
      <c r="D236" s="93">
        <v>10476115</v>
      </c>
      <c r="E236" s="58">
        <v>6.6143723204172239E-4</v>
      </c>
      <c r="F236" s="92">
        <v>6.5590502128725268</v>
      </c>
      <c r="G236" s="89"/>
      <c r="H236" s="60" t="str">
        <f t="shared" si="3"/>
        <v>(6, 7]</v>
      </c>
      <c r="I236" s="61">
        <v>0</v>
      </c>
      <c r="J236" s="58">
        <v>0</v>
      </c>
      <c r="K236" s="58">
        <v>0</v>
      </c>
      <c r="L236" s="115">
        <v>0</v>
      </c>
      <c r="M236" s="58">
        <v>0</v>
      </c>
      <c r="N236" s="58">
        <v>0</v>
      </c>
      <c r="O236" s="117">
        <v>0</v>
      </c>
      <c r="P236" s="58">
        <v>0</v>
      </c>
      <c r="Q236" s="58">
        <v>0</v>
      </c>
      <c r="R236" s="58">
        <v>1.2048192771084338E-2</v>
      </c>
      <c r="S236" s="82">
        <v>0</v>
      </c>
    </row>
    <row r="237" spans="1:20" x14ac:dyDescent="0.3">
      <c r="A237" s="57">
        <v>7</v>
      </c>
      <c r="B237" s="57">
        <v>8</v>
      </c>
      <c r="C237" s="93">
        <v>15987</v>
      </c>
      <c r="D237" s="93">
        <v>12083340</v>
      </c>
      <c r="E237" s="58">
        <v>6.6205841651959777E-4</v>
      </c>
      <c r="F237" s="92">
        <v>7.5582285607055733</v>
      </c>
      <c r="G237" s="89"/>
      <c r="H237" s="60" t="str">
        <f t="shared" si="3"/>
        <v>(7, 8]</v>
      </c>
      <c r="I237" s="61">
        <v>0</v>
      </c>
      <c r="J237" s="58">
        <v>0</v>
      </c>
      <c r="K237" s="58">
        <v>0</v>
      </c>
      <c r="L237" s="115">
        <v>0</v>
      </c>
      <c r="M237" s="58">
        <v>0</v>
      </c>
      <c r="N237" s="58">
        <v>0</v>
      </c>
      <c r="O237" s="117">
        <v>0</v>
      </c>
      <c r="P237" s="58">
        <v>0</v>
      </c>
      <c r="Q237" s="58">
        <v>0</v>
      </c>
      <c r="R237" s="58">
        <v>3.614457831325301E-2</v>
      </c>
      <c r="S237" s="82">
        <v>0</v>
      </c>
    </row>
    <row r="238" spans="1:20" x14ac:dyDescent="0.3">
      <c r="A238" s="57">
        <v>8</v>
      </c>
      <c r="B238" s="57">
        <v>9</v>
      </c>
      <c r="C238" s="93">
        <v>16426</v>
      </c>
      <c r="D238" s="93">
        <v>14058445</v>
      </c>
      <c r="E238" s="58">
        <v>6.8023841557208445E-4</v>
      </c>
      <c r="F238" s="92">
        <v>8.5586539632290268</v>
      </c>
      <c r="G238" s="89"/>
      <c r="H238" s="60" t="str">
        <f t="shared" si="3"/>
        <v>(8, 9]</v>
      </c>
      <c r="I238" s="61">
        <v>0</v>
      </c>
      <c r="J238" s="58">
        <v>0</v>
      </c>
      <c r="K238" s="58">
        <v>0</v>
      </c>
      <c r="L238" s="115">
        <v>0</v>
      </c>
      <c r="M238" s="58">
        <v>0</v>
      </c>
      <c r="N238" s="58">
        <v>0</v>
      </c>
      <c r="O238" s="117">
        <v>0</v>
      </c>
      <c r="P238" s="58">
        <v>0</v>
      </c>
      <c r="Q238" s="58">
        <v>0</v>
      </c>
      <c r="R238" s="58">
        <v>2.4096385542168676E-2</v>
      </c>
      <c r="S238" s="82">
        <v>0</v>
      </c>
    </row>
    <row r="239" spans="1:20" x14ac:dyDescent="0.3">
      <c r="A239" s="57">
        <v>9</v>
      </c>
      <c r="B239" s="57">
        <v>10</v>
      </c>
      <c r="C239" s="93">
        <v>16472</v>
      </c>
      <c r="D239" s="93">
        <v>15746625</v>
      </c>
      <c r="E239" s="58">
        <v>6.8214338130423565E-4</v>
      </c>
      <c r="F239" s="92">
        <v>9.5596314958717823</v>
      </c>
      <c r="G239" s="89"/>
      <c r="H239" s="60" t="str">
        <f t="shared" si="3"/>
        <v>(9, 10]</v>
      </c>
      <c r="I239" s="61">
        <v>0</v>
      </c>
      <c r="J239" s="58">
        <v>0</v>
      </c>
      <c r="K239" s="58">
        <v>0</v>
      </c>
      <c r="L239" s="115">
        <v>0</v>
      </c>
      <c r="M239" s="58">
        <v>0</v>
      </c>
      <c r="N239" s="58">
        <v>0</v>
      </c>
      <c r="O239" s="117">
        <v>0</v>
      </c>
      <c r="P239" s="58">
        <v>0</v>
      </c>
      <c r="Q239" s="58">
        <v>0</v>
      </c>
      <c r="R239" s="58">
        <v>1.2048192771084338E-2</v>
      </c>
      <c r="S239" s="82">
        <v>0</v>
      </c>
    </row>
    <row r="240" spans="1:20" x14ac:dyDescent="0.3">
      <c r="A240" s="57">
        <v>10</v>
      </c>
      <c r="B240" s="57">
        <v>15</v>
      </c>
      <c r="C240" s="93">
        <v>87136</v>
      </c>
      <c r="D240" s="93">
        <v>109675535</v>
      </c>
      <c r="E240" s="58">
        <v>3.6085020442767042E-3</v>
      </c>
      <c r="F240" s="92">
        <v>12.586707560594933</v>
      </c>
      <c r="G240" s="99"/>
      <c r="H240" s="60" t="str">
        <f t="shared" si="3"/>
        <v>(10, 15]</v>
      </c>
      <c r="I240" s="61">
        <v>31.18</v>
      </c>
      <c r="J240" s="58">
        <v>0.11251309374054763</v>
      </c>
      <c r="K240" s="58">
        <v>0.12191531247998574</v>
      </c>
      <c r="L240" s="115">
        <v>121915312</v>
      </c>
      <c r="M240" s="58">
        <v>0.12191531431639097</v>
      </c>
      <c r="N240" s="58">
        <v>1.5345124084584258</v>
      </c>
      <c r="O240" s="117">
        <v>29.620999999999999</v>
      </c>
      <c r="P240" s="58">
        <v>0.12191531431639097</v>
      </c>
      <c r="Q240" s="58">
        <v>0.117919722122555</v>
      </c>
      <c r="R240" s="58">
        <v>7.2289156626506021E-2</v>
      </c>
      <c r="S240" s="82">
        <v>0.97</v>
      </c>
      <c r="T240" s="101"/>
    </row>
    <row r="241" spans="1:20" x14ac:dyDescent="0.3">
      <c r="A241" s="57">
        <v>15</v>
      </c>
      <c r="B241" s="57">
        <v>20</v>
      </c>
      <c r="C241" s="93">
        <v>92120</v>
      </c>
      <c r="D241" s="93">
        <v>161859945</v>
      </c>
      <c r="E241" s="58">
        <v>3.8149009401254362E-3</v>
      </c>
      <c r="F241" s="92">
        <v>17.570554168475901</v>
      </c>
      <c r="G241" s="99"/>
      <c r="H241" s="111" t="str">
        <f t="shared" si="3"/>
        <v>(15, 20]</v>
      </c>
      <c r="I241" s="61">
        <v>29.25</v>
      </c>
      <c r="J241" s="58">
        <v>0.11158585249866901</v>
      </c>
      <c r="K241" s="58">
        <v>0.12091058581227326</v>
      </c>
      <c r="L241" s="115">
        <v>120910585</v>
      </c>
      <c r="M241" s="58">
        <v>0.12091058729730116</v>
      </c>
      <c r="N241" s="58">
        <v>2.1244660236494641</v>
      </c>
      <c r="O241" s="117">
        <v>27.787499999999998</v>
      </c>
      <c r="P241" s="58">
        <v>0.12091058729730116</v>
      </c>
      <c r="Q241" s="58">
        <v>0.11749052711482949</v>
      </c>
      <c r="R241" s="58">
        <v>7.2289156626506021E-2</v>
      </c>
      <c r="S241" s="82">
        <v>0.97</v>
      </c>
      <c r="T241" s="101"/>
    </row>
    <row r="242" spans="1:20" x14ac:dyDescent="0.3">
      <c r="A242" s="57">
        <v>20</v>
      </c>
      <c r="B242" s="57">
        <v>25</v>
      </c>
      <c r="C242" s="93">
        <v>97100</v>
      </c>
      <c r="D242" s="93">
        <v>219020910</v>
      </c>
      <c r="E242" s="58">
        <v>4.021134186780068E-3</v>
      </c>
      <c r="F242" s="92">
        <v>22.556221421215241</v>
      </c>
      <c r="G242" s="99"/>
      <c r="H242" s="60" t="str">
        <f t="shared" si="3"/>
        <v>(20, 25]</v>
      </c>
      <c r="I242" s="61">
        <v>27.89</v>
      </c>
      <c r="J242" s="58">
        <v>0.1121494324692961</v>
      </c>
      <c r="K242" s="58">
        <v>0.12152126165401043</v>
      </c>
      <c r="L242" s="115">
        <v>121521261</v>
      </c>
      <c r="M242" s="58">
        <v>0.121521263308904</v>
      </c>
      <c r="N242" s="58">
        <v>2.7410605225814382</v>
      </c>
      <c r="O242" s="117">
        <v>26.4955</v>
      </c>
      <c r="P242" s="58">
        <v>0.121521263308904</v>
      </c>
      <c r="Q242" s="58">
        <v>0.11819469112750444</v>
      </c>
      <c r="R242" s="58">
        <v>7.2289156626506021E-2</v>
      </c>
      <c r="S242" s="82">
        <v>0.97</v>
      </c>
      <c r="T242" s="101"/>
    </row>
    <row r="243" spans="1:20" x14ac:dyDescent="0.3">
      <c r="A243" s="57">
        <v>25</v>
      </c>
      <c r="B243" s="57">
        <v>30</v>
      </c>
      <c r="C243" s="93">
        <v>101303</v>
      </c>
      <c r="D243" s="93">
        <v>279090060</v>
      </c>
      <c r="E243" s="58">
        <v>4.1951900774807541E-3</v>
      </c>
      <c r="F243" s="92">
        <v>27.550029120559117</v>
      </c>
      <c r="G243" s="99"/>
      <c r="H243" s="60" t="str">
        <f t="shared" si="3"/>
        <v>(25, 30]</v>
      </c>
      <c r="I243" s="61">
        <v>26.65</v>
      </c>
      <c r="J243" s="58">
        <v>0.11180181556486209</v>
      </c>
      <c r="K243" s="58">
        <v>0.12114459595121567</v>
      </c>
      <c r="L243" s="115">
        <v>121144595</v>
      </c>
      <c r="M243" s="58">
        <v>0.12114459730174734</v>
      </c>
      <c r="N243" s="58">
        <v>3.3375371834615466</v>
      </c>
      <c r="O243" s="117">
        <v>25.317499999999999</v>
      </c>
      <c r="P243" s="58">
        <v>0.12114459730174734</v>
      </c>
      <c r="Q243" s="58">
        <v>0.11869342513648165</v>
      </c>
      <c r="R243" s="58">
        <v>8.4337349397590355E-2</v>
      </c>
      <c r="S243" s="82">
        <v>0.98</v>
      </c>
      <c r="T243" s="101"/>
    </row>
    <row r="244" spans="1:20" x14ac:dyDescent="0.3">
      <c r="A244" s="57">
        <v>30</v>
      </c>
      <c r="B244" s="57">
        <v>35</v>
      </c>
      <c r="C244" s="93">
        <v>105944</v>
      </c>
      <c r="D244" s="93">
        <v>344863390</v>
      </c>
      <c r="E244" s="58">
        <v>4.3873845549354017E-3</v>
      </c>
      <c r="F244" s="92">
        <v>32.551479083289287</v>
      </c>
      <c r="G244" s="99">
        <v>7.08</v>
      </c>
      <c r="H244" s="60" t="str">
        <f t="shared" si="3"/>
        <v>(30, 35]</v>
      </c>
      <c r="I244" s="61" cm="1">
        <f t="array" ref="I244:I292">G244:G292*G228</f>
        <v>6.7457886000000009</v>
      </c>
      <c r="J244" s="58">
        <v>2.9596368714499312E-2</v>
      </c>
      <c r="K244" s="58">
        <v>3.2069605591164285E-2</v>
      </c>
      <c r="L244" s="115">
        <v>32069605</v>
      </c>
      <c r="M244" s="58">
        <v>3.2069605609322503E-2</v>
      </c>
      <c r="N244" s="58">
        <v>1.0439130962011982</v>
      </c>
      <c r="O244" s="117">
        <v>6.4084991700000007</v>
      </c>
      <c r="P244" s="58">
        <v>3.2069605609322503E-2</v>
      </c>
      <c r="Q244" s="58">
        <v>3.2461289584303214E-2</v>
      </c>
      <c r="R244" s="58">
        <v>3.614457831325301E-2</v>
      </c>
      <c r="S244" s="82">
        <v>1.01</v>
      </c>
      <c r="T244" s="101"/>
    </row>
    <row r="245" spans="1:20" x14ac:dyDescent="0.3">
      <c r="A245" s="57">
        <v>35</v>
      </c>
      <c r="B245" s="57">
        <v>40</v>
      </c>
      <c r="C245" s="93">
        <v>110060</v>
      </c>
      <c r="D245" s="93">
        <v>413415420</v>
      </c>
      <c r="E245" s="58">
        <v>4.5578375756644106E-3</v>
      </c>
      <c r="F245" s="92">
        <v>37.562731237506817</v>
      </c>
      <c r="G245" s="99">
        <v>5.56</v>
      </c>
      <c r="H245" s="111" t="str">
        <f t="shared" si="3"/>
        <v>(35, 40]</v>
      </c>
      <c r="I245" s="61">
        <v>5.2975402000000003</v>
      </c>
      <c r="J245" s="58">
        <v>2.4145327782152757E-2</v>
      </c>
      <c r="K245" s="58">
        <v>2.6163045416570791E-2</v>
      </c>
      <c r="L245" s="115">
        <v>26163045</v>
      </c>
      <c r="M245" s="58">
        <v>2.6163045497097866E-2</v>
      </c>
      <c r="N245" s="58">
        <v>0.98275544636215006</v>
      </c>
      <c r="O245" s="117">
        <v>5.0326631900000001</v>
      </c>
      <c r="P245" s="58">
        <v>2.6163045497097866E-2</v>
      </c>
      <c r="Q245" s="58">
        <v>2.6509137477164473E-2</v>
      </c>
      <c r="R245" s="58">
        <v>2.4096385542168676E-2</v>
      </c>
      <c r="S245" s="82">
        <v>1.01</v>
      </c>
      <c r="T245" s="101"/>
    </row>
    <row r="246" spans="1:20" x14ac:dyDescent="0.3">
      <c r="A246" s="57">
        <v>40</v>
      </c>
      <c r="B246" s="57">
        <v>45</v>
      </c>
      <c r="C246" s="93">
        <v>114007</v>
      </c>
      <c r="D246" s="93">
        <v>485129590</v>
      </c>
      <c r="E246" s="58">
        <v>4.7212919179426896E-3</v>
      </c>
      <c r="F246" s="92">
        <v>42.552614313156212</v>
      </c>
      <c r="G246" s="99">
        <v>5.3</v>
      </c>
      <c r="H246" s="60" t="str">
        <f t="shared" si="3"/>
        <v>(40, 45]</v>
      </c>
      <c r="I246" s="61">
        <v>5.0498135</v>
      </c>
      <c r="J246" s="58">
        <v>2.3841643664667886E-2</v>
      </c>
      <c r="K246" s="58">
        <v>2.5833983768299412E-2</v>
      </c>
      <c r="L246" s="115">
        <v>25833983</v>
      </c>
      <c r="M246" s="58">
        <v>2.5833983490845685E-2</v>
      </c>
      <c r="N246" s="58">
        <v>1.0993035356584013</v>
      </c>
      <c r="O246" s="117">
        <v>4.7973228249999993</v>
      </c>
      <c r="P246" s="58">
        <v>2.5833983490845685E-2</v>
      </c>
      <c r="Q246" s="58">
        <v>2.644673447604122E-2</v>
      </c>
      <c r="R246" s="58">
        <v>3.614457831325301E-2</v>
      </c>
      <c r="S246" s="82">
        <v>1.02</v>
      </c>
      <c r="T246" s="101"/>
    </row>
    <row r="247" spans="1:20" x14ac:dyDescent="0.3">
      <c r="A247" s="57">
        <v>45</v>
      </c>
      <c r="B247" s="57">
        <v>50</v>
      </c>
      <c r="C247" s="93">
        <v>117729</v>
      </c>
      <c r="D247" s="93">
        <v>559819155</v>
      </c>
      <c r="E247" s="58">
        <v>4.8754284930528384E-3</v>
      </c>
      <c r="F247" s="92">
        <v>47.551508549295413</v>
      </c>
      <c r="G247" s="99">
        <v>4.7</v>
      </c>
      <c r="H247" s="60" t="str">
        <f t="shared" si="3"/>
        <v>(45, 50]</v>
      </c>
      <c r="I247" s="61">
        <v>4.4781365000000006</v>
      </c>
      <c r="J247" s="58">
        <v>2.1832834287879917E-2</v>
      </c>
      <c r="K247" s="58">
        <v>2.3657307127902566E-2</v>
      </c>
      <c r="L247" s="115">
        <v>23657307</v>
      </c>
      <c r="M247" s="58">
        <v>2.3657307449488841E-2</v>
      </c>
      <c r="N247" s="58">
        <v>1.1249406574376786</v>
      </c>
      <c r="O247" s="117">
        <v>4.2542296750000004</v>
      </c>
      <c r="P247" s="58">
        <v>2.3657307449488841E-2</v>
      </c>
      <c r="Q247" s="58">
        <v>2.4036505432657097E-2</v>
      </c>
      <c r="R247" s="58">
        <v>2.4096385542168676E-2</v>
      </c>
      <c r="S247" s="82">
        <v>1.02</v>
      </c>
      <c r="T247" s="101"/>
    </row>
    <row r="248" spans="1:20" x14ac:dyDescent="0.3">
      <c r="A248" s="57">
        <v>50</v>
      </c>
      <c r="B248" s="57">
        <v>60</v>
      </c>
      <c r="C248" s="93">
        <v>248398</v>
      </c>
      <c r="D248" s="93">
        <v>1368477325</v>
      </c>
      <c r="E248" s="58">
        <v>1.0286732129019519E-2</v>
      </c>
      <c r="F248" s="92">
        <v>55.092123326274766</v>
      </c>
      <c r="G248" s="99">
        <v>1.88</v>
      </c>
      <c r="H248" s="111" t="str">
        <f t="shared" si="3"/>
        <v>(50, 60]</v>
      </c>
      <c r="I248" s="61">
        <v>1.7912546</v>
      </c>
      <c r="J248" s="58">
        <v>1.8426156245074005E-2</v>
      </c>
      <c r="K248" s="58">
        <v>1.9965948155362706E-2</v>
      </c>
      <c r="L248" s="115">
        <v>19965948</v>
      </c>
      <c r="M248" s="58">
        <v>1.9965948379353018E-2</v>
      </c>
      <c r="N248" s="58">
        <v>1.0999664904413522</v>
      </c>
      <c r="O248" s="117">
        <v>1.7016918699999999</v>
      </c>
      <c r="P248" s="58">
        <v>1.9965948379353018E-2</v>
      </c>
      <c r="Q248" s="58">
        <v>2.0295561365320104E-2</v>
      </c>
      <c r="R248" s="58">
        <v>2.4096385542168676E-2</v>
      </c>
      <c r="S248" s="82">
        <v>1.02</v>
      </c>
      <c r="T248" s="101"/>
    </row>
    <row r="249" spans="1:20" x14ac:dyDescent="0.3">
      <c r="A249" s="57">
        <v>60</v>
      </c>
      <c r="B249" s="57">
        <v>70</v>
      </c>
      <c r="C249" s="93">
        <v>261654</v>
      </c>
      <c r="D249" s="93">
        <v>1702582965</v>
      </c>
      <c r="E249" s="58">
        <v>1.083569355826727E-2</v>
      </c>
      <c r="F249" s="92">
        <v>65.070014790524894</v>
      </c>
      <c r="G249" s="89">
        <v>5.84</v>
      </c>
      <c r="H249" s="60" t="str">
        <f t="shared" si="3"/>
        <v>(60, 70]</v>
      </c>
      <c r="I249" s="61">
        <v>5.5643228000000002</v>
      </c>
      <c r="J249" s="58">
        <v>6.02932967200797E-2</v>
      </c>
      <c r="K249" s="58">
        <v>6.5331739317625467E-2</v>
      </c>
      <c r="L249" s="115">
        <v>65331739</v>
      </c>
      <c r="M249" s="58">
        <v>6.533174024130306E-2</v>
      </c>
      <c r="N249" s="58">
        <v>4.2511373037923201</v>
      </c>
      <c r="O249" s="117">
        <v>5.2861066599999997</v>
      </c>
      <c r="P249" s="58">
        <v>6.533174024130306E-2</v>
      </c>
      <c r="Q249" s="58">
        <v>6.6558636198055451E-2</v>
      </c>
      <c r="R249" s="58">
        <v>6.0240963855421686E-2</v>
      </c>
      <c r="S249" s="82">
        <v>1.02</v>
      </c>
      <c r="T249" s="101"/>
    </row>
    <row r="250" spans="1:20" x14ac:dyDescent="0.3">
      <c r="A250" s="57">
        <v>70</v>
      </c>
      <c r="B250" s="57">
        <v>80</v>
      </c>
      <c r="C250" s="93">
        <v>273910</v>
      </c>
      <c r="D250" s="93">
        <v>2056100670</v>
      </c>
      <c r="E250" s="58">
        <v>1.1343242688989993E-2</v>
      </c>
      <c r="F250" s="92">
        <v>75.064826767916472</v>
      </c>
      <c r="G250" s="89">
        <v>5.01</v>
      </c>
      <c r="H250" s="60" t="str">
        <f t="shared" si="3"/>
        <v>(70, 80]</v>
      </c>
      <c r="I250" s="61">
        <v>4.7735029500000001</v>
      </c>
      <c r="J250" s="58">
        <v>5.4147002438459671E-2</v>
      </c>
      <c r="K250" s="58">
        <v>5.8671826564132216E-2</v>
      </c>
      <c r="L250" s="115">
        <v>58671826</v>
      </c>
      <c r="M250" s="58">
        <v>5.8671827114764714E-2</v>
      </c>
      <c r="N250" s="58">
        <v>4.404190538526958</v>
      </c>
      <c r="O250" s="117">
        <v>4.5348278024999997</v>
      </c>
      <c r="P250" s="58">
        <v>5.8671827114764714E-2</v>
      </c>
      <c r="Q250" s="58">
        <v>6.0079677081434191E-2</v>
      </c>
      <c r="R250" s="58">
        <v>4.8192771084337352E-2</v>
      </c>
      <c r="S250" s="82">
        <v>1.02</v>
      </c>
      <c r="T250" s="101"/>
    </row>
    <row r="251" spans="1:20" x14ac:dyDescent="0.3">
      <c r="A251" s="57">
        <v>80</v>
      </c>
      <c r="B251" s="57">
        <v>90</v>
      </c>
      <c r="C251" s="93">
        <v>285620</v>
      </c>
      <c r="D251" s="93">
        <v>2429667510</v>
      </c>
      <c r="E251" s="58">
        <v>1.1828180704718054E-2</v>
      </c>
      <c r="F251" s="92">
        <v>85.066434773475251</v>
      </c>
      <c r="G251" s="89">
        <v>2.2000000000000002</v>
      </c>
      <c r="H251" s="60" t="str">
        <f t="shared" si="3"/>
        <v>(80, 90]</v>
      </c>
      <c r="I251" s="61">
        <v>2.0961490000000005</v>
      </c>
      <c r="J251" s="58">
        <v>2.479362915601405E-2</v>
      </c>
      <c r="K251" s="58">
        <v>2.6865522452334849E-2</v>
      </c>
      <c r="L251" s="115">
        <v>26865522</v>
      </c>
      <c r="M251" s="58">
        <v>2.6865522510444929E-2</v>
      </c>
      <c r="N251" s="58">
        <v>2.2853542182900948</v>
      </c>
      <c r="O251" s="117">
        <v>1.9913415500000005</v>
      </c>
      <c r="P251" s="58">
        <v>2.6865522510444929E-2</v>
      </c>
      <c r="Q251" s="58">
        <v>2.7501822495032805E-2</v>
      </c>
      <c r="R251" s="58">
        <v>2.4096385542168676E-2</v>
      </c>
      <c r="S251" s="82">
        <v>1.02</v>
      </c>
      <c r="T251" s="101"/>
    </row>
    <row r="252" spans="1:20" x14ac:dyDescent="0.3">
      <c r="A252" s="57">
        <v>90</v>
      </c>
      <c r="B252" s="57">
        <v>100</v>
      </c>
      <c r="C252" s="93">
        <v>296380</v>
      </c>
      <c r="D252" s="93">
        <v>2817167755</v>
      </c>
      <c r="E252" s="58">
        <v>1.2273777036847337E-2</v>
      </c>
      <c r="F252" s="92">
        <v>95.052559383224235</v>
      </c>
      <c r="G252" s="89">
        <v>1.87</v>
      </c>
      <c r="H252" s="60" t="str">
        <f t="shared" si="3"/>
        <v>(90, 100]</v>
      </c>
      <c r="I252" s="61">
        <v>1.7817266500000002</v>
      </c>
      <c r="J252" s="58">
        <v>2.1868515642708936E-2</v>
      </c>
      <c r="K252" s="58">
        <v>2.3695970214829325E-2</v>
      </c>
      <c r="L252" s="115">
        <v>23695970</v>
      </c>
      <c r="M252" s="58">
        <v>2.3695970450223439E-2</v>
      </c>
      <c r="N252" s="58">
        <v>2.2523626383629902</v>
      </c>
      <c r="O252" s="117">
        <v>1.6926403175</v>
      </c>
      <c r="P252" s="58">
        <v>2.3695970450223439E-2</v>
      </c>
      <c r="Q252" s="58">
        <v>2.4150475434708558E-2</v>
      </c>
      <c r="R252" s="58">
        <v>1.2048192771084338E-2</v>
      </c>
      <c r="S252" s="82">
        <v>1.02</v>
      </c>
      <c r="T252" s="101"/>
    </row>
    <row r="253" spans="1:20" x14ac:dyDescent="0.3">
      <c r="A253" s="57">
        <v>100</v>
      </c>
      <c r="B253" s="57">
        <v>120</v>
      </c>
      <c r="C253" s="93">
        <v>612719</v>
      </c>
      <c r="D253" s="93">
        <v>6746440160</v>
      </c>
      <c r="E253" s="58">
        <v>2.5374102139955678E-2</v>
      </c>
      <c r="F253" s="92">
        <v>110.10659307121209</v>
      </c>
      <c r="G253" s="89">
        <v>2</v>
      </c>
      <c r="H253" s="182" t="str">
        <f t="shared" si="3"/>
        <v>(100, 120]</v>
      </c>
      <c r="I253" s="61">
        <v>1.9055900000000001</v>
      </c>
      <c r="J253" s="58">
        <v>4.8352635296878145E-2</v>
      </c>
      <c r="K253" s="58">
        <v>5.2393249936254001E-2</v>
      </c>
      <c r="L253" s="115">
        <v>52393249</v>
      </c>
      <c r="M253" s="58">
        <v>5.239324999547175E-2</v>
      </c>
      <c r="N253" s="58">
        <v>5.7688422569296929</v>
      </c>
      <c r="O253" s="117">
        <v>1.8103104999999999</v>
      </c>
      <c r="P253" s="58">
        <v>5.239324999547175E-2</v>
      </c>
      <c r="Q253" s="58">
        <v>5.3831987968975786E-2</v>
      </c>
      <c r="R253" s="58">
        <v>6.0240963855421686E-2</v>
      </c>
      <c r="S253" s="82">
        <v>1.03</v>
      </c>
      <c r="T253" s="101"/>
    </row>
    <row r="254" spans="1:20" x14ac:dyDescent="0.3">
      <c r="A254" s="57">
        <v>120</v>
      </c>
      <c r="B254" s="57">
        <v>140</v>
      </c>
      <c r="C254" s="93">
        <v>633364</v>
      </c>
      <c r="D254" s="93">
        <v>8238321740</v>
      </c>
      <c r="E254" s="58">
        <v>2.6229059043004849E-2</v>
      </c>
      <c r="F254" s="92">
        <v>130.072466070064</v>
      </c>
      <c r="G254" s="89">
        <v>0.92</v>
      </c>
      <c r="H254" s="183" t="str">
        <f t="shared" si="3"/>
        <v>(120, 140]</v>
      </c>
      <c r="I254" s="61">
        <v>0.87657140000000011</v>
      </c>
      <c r="J254" s="58">
        <v>2.2991643006009425E-2</v>
      </c>
      <c r="K254" s="58">
        <v>2.4912952335748959E-2</v>
      </c>
      <c r="L254" s="115">
        <v>24912952</v>
      </c>
      <c r="M254" s="58">
        <v>2.4912952473346097E-2</v>
      </c>
      <c r="N254" s="58">
        <v>3.2404891652944272</v>
      </c>
      <c r="O254" s="117">
        <v>0.83274283000000004</v>
      </c>
      <c r="P254" s="58">
        <v>2.4912952473346097E-2</v>
      </c>
      <c r="Q254" s="58">
        <v>2.559288046067185E-2</v>
      </c>
      <c r="R254" s="58">
        <v>7.2289156626506021E-2</v>
      </c>
      <c r="S254" s="82">
        <v>1.03</v>
      </c>
      <c r="T254" s="101"/>
    </row>
    <row r="255" spans="1:20" x14ac:dyDescent="0.3">
      <c r="A255" s="57">
        <v>140</v>
      </c>
      <c r="B255" s="57">
        <v>160</v>
      </c>
      <c r="C255" s="93">
        <v>643129</v>
      </c>
      <c r="D255" s="93">
        <v>9649982660</v>
      </c>
      <c r="E255" s="58">
        <v>2.6633450138101734E-2</v>
      </c>
      <c r="F255" s="92">
        <v>150.04738800458384</v>
      </c>
      <c r="G255" s="89">
        <v>1.4178200000000001</v>
      </c>
      <c r="H255" s="182" t="str">
        <f t="shared" si="3"/>
        <v>(140, 160]</v>
      </c>
      <c r="I255" s="61">
        <v>1.3508918069000002</v>
      </c>
      <c r="J255" s="58">
        <v>3.5978909581041316E-2</v>
      </c>
      <c r="K255" s="58">
        <v>3.898550700575959E-2</v>
      </c>
      <c r="L255" s="115">
        <v>38985507</v>
      </c>
      <c r="M255" s="58">
        <v>3.8985507740724644E-2</v>
      </c>
      <c r="N255" s="58">
        <v>5.8496736065282171</v>
      </c>
      <c r="O255" s="117">
        <v>1.2833472165550002</v>
      </c>
      <c r="P255" s="58">
        <v>3.8985507740724644E-2</v>
      </c>
      <c r="Q255" s="58">
        <v>4.0268017724824322E-2</v>
      </c>
      <c r="R255" s="58">
        <v>2.4096385542168676E-2</v>
      </c>
      <c r="S255" s="82">
        <v>1.03</v>
      </c>
      <c r="T255" s="101"/>
    </row>
    <row r="256" spans="1:20" x14ac:dyDescent="0.3">
      <c r="A256" s="57">
        <v>160</v>
      </c>
      <c r="B256" s="57">
        <v>180</v>
      </c>
      <c r="C256" s="93">
        <v>644570</v>
      </c>
      <c r="D256" s="93">
        <v>10960526935</v>
      </c>
      <c r="E256" s="58">
        <v>2.6693125260276295E-2</v>
      </c>
      <c r="F256" s="92">
        <v>170.04401283025894</v>
      </c>
      <c r="G256" s="89">
        <v>0.69</v>
      </c>
      <c r="H256" s="183" t="str">
        <f t="shared" si="3"/>
        <v>(160, 180]</v>
      </c>
      <c r="I256" s="61">
        <v>0.65742855</v>
      </c>
      <c r="J256" s="58">
        <v>1.7548822634831818E-2</v>
      </c>
      <c r="K256" s="58">
        <v>1.901529967805287E-2</v>
      </c>
      <c r="L256" s="115">
        <v>19015299</v>
      </c>
      <c r="M256" s="58">
        <v>1.9015299361290688E-2</v>
      </c>
      <c r="N256" s="58">
        <v>3.2334378085625284</v>
      </c>
      <c r="O256" s="117">
        <v>0.62455712249999995</v>
      </c>
      <c r="P256" s="58">
        <v>1.9015299361290688E-2</v>
      </c>
      <c r="Q256" s="58">
        <v>1.9684416354319494E-2</v>
      </c>
      <c r="R256" s="58">
        <v>3.614457831325301E-2</v>
      </c>
      <c r="S256" s="82">
        <v>1.04</v>
      </c>
      <c r="T256" s="101"/>
    </row>
    <row r="257" spans="1:20" x14ac:dyDescent="0.3">
      <c r="A257" s="57">
        <v>180</v>
      </c>
      <c r="B257" s="57">
        <v>200</v>
      </c>
      <c r="C257" s="93">
        <v>641033</v>
      </c>
      <c r="D257" s="93">
        <v>12180263350</v>
      </c>
      <c r="E257" s="58">
        <v>2.6546649960393277E-2</v>
      </c>
      <c r="F257" s="92">
        <v>190.00992694603866</v>
      </c>
      <c r="G257" s="89">
        <v>0.61</v>
      </c>
      <c r="H257" s="183" t="str">
        <f t="shared" si="3"/>
        <v>(180, 200]</v>
      </c>
      <c r="I257" s="61">
        <v>0.58120495000000005</v>
      </c>
      <c r="J257" s="58">
        <v>1.5429044362897878E-2</v>
      </c>
      <c r="K257" s="58">
        <v>1.6718380965577935E-2</v>
      </c>
      <c r="L257" s="115">
        <v>16718380</v>
      </c>
      <c r="M257" s="58">
        <v>1.6718380317649224E-2</v>
      </c>
      <c r="N257" s="58">
        <v>3.1766582228126197</v>
      </c>
      <c r="O257" s="117">
        <v>0.55214470250000003</v>
      </c>
      <c r="P257" s="58">
        <v>1.6718380317649224E-2</v>
      </c>
      <c r="Q257" s="58">
        <v>1.7349226312286074E-2</v>
      </c>
      <c r="R257" s="58">
        <v>0</v>
      </c>
      <c r="S257" s="82">
        <v>1.04</v>
      </c>
      <c r="T257" s="101"/>
    </row>
    <row r="258" spans="1:20" x14ac:dyDescent="0.3">
      <c r="A258" s="57">
        <v>200</v>
      </c>
      <c r="B258" s="57">
        <v>250</v>
      </c>
      <c r="C258" s="93">
        <v>1556064</v>
      </c>
      <c r="D258" s="93">
        <v>34983324070</v>
      </c>
      <c r="E258" s="58">
        <v>6.4440186892046752E-2</v>
      </c>
      <c r="F258" s="92">
        <v>224.81931379429122</v>
      </c>
      <c r="G258" s="89">
        <v>0.49</v>
      </c>
      <c r="H258" s="183" t="str">
        <f t="shared" si="3"/>
        <v>(200, 250]</v>
      </c>
      <c r="I258" s="61">
        <v>0.46686955000000002</v>
      </c>
      <c r="J258" s="58">
        <v>3.0085161056205768E-2</v>
      </c>
      <c r="K258" s="58">
        <v>3.2599244134518028E-2</v>
      </c>
      <c r="L258" s="115">
        <v>32599244</v>
      </c>
      <c r="M258" s="58">
        <v>3.2599244619385646E-2</v>
      </c>
      <c r="N258" s="58">
        <v>7.3289398055425217</v>
      </c>
      <c r="O258" s="117">
        <v>0.44352607249999998</v>
      </c>
      <c r="P258" s="58">
        <v>3.2599244619385646E-2</v>
      </c>
      <c r="Q258" s="58">
        <v>3.3901431610225768E-2</v>
      </c>
      <c r="R258" s="58">
        <v>6.0240963855421686E-2</v>
      </c>
      <c r="S258" s="82">
        <v>1.04</v>
      </c>
      <c r="T258" s="101"/>
    </row>
    <row r="259" spans="1:20" x14ac:dyDescent="0.3">
      <c r="A259" s="57">
        <v>250</v>
      </c>
      <c r="B259" s="57">
        <v>300</v>
      </c>
      <c r="C259" s="93">
        <v>1460323</v>
      </c>
      <c r="D259" s="93">
        <v>40115598185</v>
      </c>
      <c r="E259" s="58">
        <v>6.0475332018962193E-2</v>
      </c>
      <c r="F259" s="92">
        <v>274.70359766298282</v>
      </c>
      <c r="G259" s="89">
        <v>0.2</v>
      </c>
      <c r="H259" s="183" t="str">
        <f t="shared" si="3"/>
        <v>(250, 300]</v>
      </c>
      <c r="I259" s="61">
        <v>0.19055900000000003</v>
      </c>
      <c r="J259" s="58">
        <v>1.1524118794201418E-2</v>
      </c>
      <c r="K259" s="58">
        <v>1.2487138137818519E-2</v>
      </c>
      <c r="L259" s="115">
        <v>12487138</v>
      </c>
      <c r="M259" s="58">
        <v>1.2487138237255627E-2</v>
      </c>
      <c r="N259" s="58">
        <v>3.4302617982891181</v>
      </c>
      <c r="O259" s="117">
        <v>0.18103105000000003</v>
      </c>
      <c r="P259" s="58">
        <v>1.2487138237255627E-2</v>
      </c>
      <c r="Q259" s="58">
        <v>1.2987599233776787E-2</v>
      </c>
      <c r="R259" s="58">
        <v>2.4096385542168676E-2</v>
      </c>
      <c r="S259" s="82">
        <v>1.04</v>
      </c>
      <c r="T259" s="101"/>
    </row>
    <row r="260" spans="1:20" x14ac:dyDescent="0.3">
      <c r="A260" s="57">
        <v>300</v>
      </c>
      <c r="B260" s="57">
        <v>350</v>
      </c>
      <c r="C260" s="93">
        <v>1345047</v>
      </c>
      <c r="D260" s="93">
        <v>43668582745</v>
      </c>
      <c r="E260" s="58">
        <v>5.5701487894191243E-2</v>
      </c>
      <c r="F260" s="92">
        <v>324.66213258718841</v>
      </c>
      <c r="G260" s="89">
        <v>0.187775</v>
      </c>
      <c r="H260" s="183" t="str">
        <f t="shared" si="3"/>
        <v>(300, 350]</v>
      </c>
      <c r="I260" s="61">
        <v>0.17891108112500001</v>
      </c>
      <c r="J260" s="58">
        <v>9.9656134194208556E-3</v>
      </c>
      <c r="K260" s="58">
        <v>1.0798395401739659E-2</v>
      </c>
      <c r="L260" s="115">
        <v>10798395</v>
      </c>
      <c r="M260" s="58">
        <v>1.0798395205169509E-2</v>
      </c>
      <c r="N260" s="58">
        <v>3.5058300158296025</v>
      </c>
      <c r="O260" s="117">
        <v>0.16996552706875001</v>
      </c>
      <c r="P260" s="58">
        <v>1.0798395205169509E-2</v>
      </c>
      <c r="Q260" s="58">
        <v>1.1364750204565503E-2</v>
      </c>
      <c r="R260" s="58">
        <v>1.2048192771084338E-2</v>
      </c>
      <c r="S260" s="82">
        <v>1.05</v>
      </c>
      <c r="T260" s="101"/>
    </row>
    <row r="261" spans="1:20" x14ac:dyDescent="0.3">
      <c r="A261" s="57">
        <v>350</v>
      </c>
      <c r="B261" s="57">
        <v>400</v>
      </c>
      <c r="C261" s="93">
        <v>1223091</v>
      </c>
      <c r="D261" s="93">
        <v>45819986335</v>
      </c>
      <c r="E261" s="58">
        <v>5.0651009615273121E-2</v>
      </c>
      <c r="F261" s="92">
        <v>374.62450737516673</v>
      </c>
      <c r="G261" s="89">
        <v>8.5737499999999998E-3</v>
      </c>
      <c r="H261" s="183" t="str">
        <f t="shared" si="3"/>
        <v>(350, 400]</v>
      </c>
      <c r="I261" s="61">
        <v>8.1690261312499998E-3</v>
      </c>
      <c r="J261" s="58">
        <v>4.1376942112136112E-4</v>
      </c>
      <c r="K261" s="58">
        <v>4.4834629102811856E-4</v>
      </c>
      <c r="L261" s="115">
        <v>448346</v>
      </c>
      <c r="M261" s="58">
        <v>4.4834600851857416E-4</v>
      </c>
      <c r="N261" s="58">
        <v>0.16796140257489314</v>
      </c>
      <c r="O261" s="117">
        <v>7.7605748246874998E-3</v>
      </c>
      <c r="P261" s="58">
        <v>4.4834600851857416E-4</v>
      </c>
      <c r="Q261" s="58">
        <v>4.6584700838524614E-4</v>
      </c>
      <c r="R261" s="58">
        <v>0</v>
      </c>
      <c r="S261" s="82">
        <v>1.04</v>
      </c>
      <c r="T261" s="101"/>
    </row>
    <row r="262" spans="1:20" x14ac:dyDescent="0.3">
      <c r="A262" s="57">
        <v>400</v>
      </c>
      <c r="B262" s="57">
        <v>450</v>
      </c>
      <c r="C262" s="93">
        <v>1106419</v>
      </c>
      <c r="D262" s="93">
        <v>46980023535</v>
      </c>
      <c r="E262" s="58">
        <v>4.5819353921761237E-2</v>
      </c>
      <c r="F262" s="92">
        <v>424.61331136757411</v>
      </c>
      <c r="G262" s="89">
        <v>8.5737499999999998E-3</v>
      </c>
      <c r="H262" s="183" t="str">
        <f t="shared" si="3"/>
        <v>(400, 450]</v>
      </c>
      <c r="I262" s="61">
        <v>8.1690261312499998E-3</v>
      </c>
      <c r="J262" s="58">
        <v>3.7429949950385969E-4</v>
      </c>
      <c r="K262" s="58">
        <v>4.055780436394675E-4</v>
      </c>
      <c r="L262" s="115">
        <v>405578</v>
      </c>
      <c r="M262" s="58">
        <v>4.0557800770598215E-4</v>
      </c>
      <c r="N262" s="58">
        <v>0.17221382086990056</v>
      </c>
      <c r="O262" s="117">
        <v>7.7605748246874998E-3</v>
      </c>
      <c r="P262" s="58">
        <v>4.0557800770598215E-4</v>
      </c>
      <c r="Q262" s="58">
        <v>4.1982600755686815E-4</v>
      </c>
      <c r="R262" s="58">
        <v>0</v>
      </c>
      <c r="S262" s="82">
        <v>1.04</v>
      </c>
      <c r="T262" s="101"/>
    </row>
    <row r="263" spans="1:20" x14ac:dyDescent="0.3">
      <c r="A263" s="57">
        <v>450</v>
      </c>
      <c r="B263" s="57">
        <v>500</v>
      </c>
      <c r="C263" s="93">
        <v>996980</v>
      </c>
      <c r="D263" s="93">
        <v>47314046680</v>
      </c>
      <c r="E263" s="58">
        <v>4.1287233383480865E-2</v>
      </c>
      <c r="F263" s="92">
        <v>474.57367931152083</v>
      </c>
      <c r="G263" s="89">
        <v>8.5737499999999998E-3</v>
      </c>
      <c r="H263" s="183" t="str">
        <f t="shared" si="3"/>
        <v>(450, 500]</v>
      </c>
      <c r="I263" s="61">
        <v>8.1690261312499998E-3</v>
      </c>
      <c r="J263" s="58">
        <v>3.3727648839667251E-4</v>
      </c>
      <c r="K263" s="58">
        <v>3.6546118418761452E-4</v>
      </c>
      <c r="L263" s="115">
        <v>365461</v>
      </c>
      <c r="M263" s="58">
        <v>3.6546100694375913E-4</v>
      </c>
      <c r="N263" s="58">
        <v>0.17343817471019304</v>
      </c>
      <c r="O263" s="117">
        <v>7.7605748246874998E-3</v>
      </c>
      <c r="P263" s="58">
        <v>3.6546100694375913E-4</v>
      </c>
      <c r="Q263" s="58">
        <v>3.7631300677363414E-4</v>
      </c>
      <c r="R263" s="58">
        <v>0</v>
      </c>
      <c r="S263" s="82">
        <v>1.03</v>
      </c>
      <c r="T263" s="101"/>
    </row>
    <row r="264" spans="1:20" x14ac:dyDescent="0.3">
      <c r="A264" s="57">
        <v>500</v>
      </c>
      <c r="B264" s="57">
        <v>550</v>
      </c>
      <c r="C264" s="93">
        <v>896642</v>
      </c>
      <c r="D264" s="93">
        <v>47038051115</v>
      </c>
      <c r="E264" s="58">
        <v>3.7132006174076762E-2</v>
      </c>
      <c r="F264" s="92">
        <v>524.60236209100174</v>
      </c>
      <c r="G264" s="89">
        <v>8.5737499999999998E-3</v>
      </c>
      <c r="H264" s="183" t="str">
        <f t="shared" si="3"/>
        <v>(500, 550]</v>
      </c>
      <c r="I264" s="61">
        <v>8.1690261312499998E-3</v>
      </c>
      <c r="J264" s="58">
        <v>3.0333232874176939E-4</v>
      </c>
      <c r="K264" s="58">
        <v>3.2868046210791696E-4</v>
      </c>
      <c r="L264" s="115">
        <v>328680</v>
      </c>
      <c r="M264" s="58">
        <v>3.2868000624492014E-4</v>
      </c>
      <c r="N264" s="58">
        <v>0.1724263076481703</v>
      </c>
      <c r="O264" s="117">
        <v>7.7605748246874998E-3</v>
      </c>
      <c r="P264" s="58">
        <v>3.2868000624492014E-4</v>
      </c>
      <c r="Q264" s="58">
        <v>3.3744000607392012E-4</v>
      </c>
      <c r="R264" s="58">
        <v>0</v>
      </c>
      <c r="S264" s="82">
        <v>1.03</v>
      </c>
      <c r="T264" s="101"/>
    </row>
    <row r="265" spans="1:20" x14ac:dyDescent="0.3">
      <c r="A265" s="57">
        <v>550</v>
      </c>
      <c r="B265" s="57">
        <v>600</v>
      </c>
      <c r="C265" s="93">
        <v>807098</v>
      </c>
      <c r="D265" s="93">
        <v>46373718070</v>
      </c>
      <c r="E265" s="58">
        <v>3.3423783314951792E-2</v>
      </c>
      <c r="F265" s="92">
        <v>574.57357185868386</v>
      </c>
      <c r="G265" s="89">
        <v>8.5737499999999998E-3</v>
      </c>
      <c r="H265" s="183" t="str">
        <f t="shared" si="3"/>
        <v>(550, 600]</v>
      </c>
      <c r="I265" s="61">
        <v>8.1690261312499998E-3</v>
      </c>
      <c r="J265" s="58">
        <v>2.7303975930507892E-4</v>
      </c>
      <c r="K265" s="58">
        <v>2.958564773971948E-4</v>
      </c>
      <c r="L265" s="115">
        <v>295856</v>
      </c>
      <c r="M265" s="58">
        <v>2.9585600562126408E-4</v>
      </c>
      <c r="N265" s="58">
        <v>0.16999104190565256</v>
      </c>
      <c r="O265" s="117">
        <v>7.7605748246874998E-3</v>
      </c>
      <c r="P265" s="58">
        <v>2.9585600562126408E-4</v>
      </c>
      <c r="Q265" s="58">
        <v>3.011940054214921E-4</v>
      </c>
      <c r="R265" s="58">
        <v>0</v>
      </c>
      <c r="S265" s="82">
        <v>1.02</v>
      </c>
      <c r="T265" s="101"/>
    </row>
    <row r="266" spans="1:20" x14ac:dyDescent="0.3">
      <c r="A266" s="57">
        <v>600</v>
      </c>
      <c r="B266" s="57">
        <v>650</v>
      </c>
      <c r="C266" s="93">
        <v>723216</v>
      </c>
      <c r="D266" s="93">
        <v>45170604860</v>
      </c>
      <c r="E266" s="58">
        <v>2.9950036890075526E-2</v>
      </c>
      <c r="F266" s="92">
        <v>624.57972251720093</v>
      </c>
      <c r="G266" s="89">
        <v>8.5737499999999998E-3</v>
      </c>
      <c r="H266" s="183" t="str">
        <f t="shared" si="3"/>
        <v>(600, 650]</v>
      </c>
      <c r="I266" s="61">
        <v>8.1690261312499998E-3</v>
      </c>
      <c r="J266" s="58">
        <v>2.4466263398692848E-4</v>
      </c>
      <c r="K266" s="58">
        <v>2.651080019493168E-4</v>
      </c>
      <c r="L266" s="115">
        <v>265108</v>
      </c>
      <c r="M266" s="58">
        <v>2.6510800503705211E-4</v>
      </c>
      <c r="N266" s="58">
        <v>0.16558108422313073</v>
      </c>
      <c r="O266" s="117">
        <v>7.7605748246874998E-3</v>
      </c>
      <c r="P266" s="58">
        <v>2.6510800503705211E-4</v>
      </c>
      <c r="Q266" s="58">
        <v>2.697310048551581E-4</v>
      </c>
      <c r="R266" s="58">
        <v>0</v>
      </c>
      <c r="S266" s="82">
        <v>1.02</v>
      </c>
      <c r="T266" s="101"/>
    </row>
    <row r="267" spans="1:20" x14ac:dyDescent="0.3">
      <c r="A267" s="57">
        <v>650</v>
      </c>
      <c r="B267" s="57">
        <v>700</v>
      </c>
      <c r="C267" s="93">
        <v>648546</v>
      </c>
      <c r="D267" s="93">
        <v>43749854055</v>
      </c>
      <c r="E267" s="58">
        <v>2.6857780559211803E-2</v>
      </c>
      <c r="F267" s="92">
        <v>674.58366954695578</v>
      </c>
      <c r="G267" s="89">
        <v>8.5737499999999998E-3</v>
      </c>
      <c r="H267" s="183" t="str">
        <f t="shared" si="3"/>
        <v>(650, 700]</v>
      </c>
      <c r="I267" s="61">
        <v>8.1690261312499998E-3</v>
      </c>
      <c r="J267" s="58">
        <v>2.1940191121557945E-4</v>
      </c>
      <c r="K267" s="58">
        <v>2.3773635294603771E-4</v>
      </c>
      <c r="L267" s="115">
        <v>237736</v>
      </c>
      <c r="M267" s="58">
        <v>2.3773600451698409E-4</v>
      </c>
      <c r="N267" s="58">
        <v>0.16037282631049879</v>
      </c>
      <c r="O267" s="117">
        <v>7.7605748246874998E-3</v>
      </c>
      <c r="P267" s="58">
        <v>2.3773600451698409E-4</v>
      </c>
      <c r="Q267" s="58">
        <v>2.3981900431674209E-4</v>
      </c>
      <c r="R267" s="58">
        <v>0</v>
      </c>
      <c r="S267" s="82">
        <v>1.01</v>
      </c>
      <c r="T267" s="101"/>
    </row>
    <row r="268" spans="1:20" x14ac:dyDescent="0.3">
      <c r="A268" s="57">
        <v>700</v>
      </c>
      <c r="B268" s="57">
        <v>750</v>
      </c>
      <c r="C268" s="93">
        <v>583114</v>
      </c>
      <c r="D268" s="93">
        <v>42251751485</v>
      </c>
      <c r="E268" s="58">
        <v>2.4148091042122271E-2</v>
      </c>
      <c r="F268" s="92">
        <v>724.5881849003797</v>
      </c>
      <c r="G268" s="89">
        <v>8.5737499999999998E-3</v>
      </c>
      <c r="H268" s="183" t="str">
        <f t="shared" si="3"/>
        <v>(700, 750]</v>
      </c>
      <c r="I268" s="61">
        <v>8.1690261312499998E-3</v>
      </c>
      <c r="J268" s="58">
        <v>1.9726638674290087E-4</v>
      </c>
      <c r="K268" s="58">
        <v>2.1375106116108312E-4</v>
      </c>
      <c r="L268" s="115">
        <v>213751</v>
      </c>
      <c r="M268" s="58">
        <v>2.1375100406126907E-4</v>
      </c>
      <c r="N268" s="58">
        <v>0.15488145205338866</v>
      </c>
      <c r="O268" s="117">
        <v>7.7605748246874998E-3</v>
      </c>
      <c r="P268" s="58">
        <v>2.1375100406126907E-4</v>
      </c>
      <c r="Q268" s="58">
        <v>2.1466900386404208E-4</v>
      </c>
      <c r="R268" s="58">
        <v>0</v>
      </c>
      <c r="S268" s="82">
        <v>1</v>
      </c>
      <c r="T268" s="101"/>
    </row>
    <row r="269" spans="1:20" x14ac:dyDescent="0.3">
      <c r="A269" s="57">
        <v>750</v>
      </c>
      <c r="B269" s="57">
        <v>800</v>
      </c>
      <c r="C269" s="93">
        <v>525829</v>
      </c>
      <c r="D269" s="93">
        <v>40728251095</v>
      </c>
      <c r="E269" s="58">
        <v>2.1775787521116131E-2</v>
      </c>
      <c r="F269" s="92">
        <v>774.55315501807627</v>
      </c>
      <c r="G269" s="89">
        <v>8.5737499999999998E-3</v>
      </c>
      <c r="H269" s="183" t="str">
        <f t="shared" si="3"/>
        <v>(750, 800]</v>
      </c>
      <c r="I269" s="61">
        <v>8.1690261312499998E-3</v>
      </c>
      <c r="J269" s="58">
        <v>1.7788697728854532E-4</v>
      </c>
      <c r="K269" s="58">
        <v>1.9275220066620108E-4</v>
      </c>
      <c r="L269" s="115">
        <v>192752</v>
      </c>
      <c r="M269" s="58">
        <v>1.9275200366228806E-4</v>
      </c>
      <c r="N269" s="58">
        <v>0.14929667257268101</v>
      </c>
      <c r="O269" s="117">
        <v>7.7605748246874998E-3</v>
      </c>
      <c r="P269" s="58">
        <v>1.9275200366228806E-4</v>
      </c>
      <c r="Q269" s="58">
        <v>1.9198600345574806E-4</v>
      </c>
      <c r="R269" s="58">
        <v>0</v>
      </c>
      <c r="S269" s="82">
        <v>1</v>
      </c>
      <c r="T269" s="101"/>
    </row>
    <row r="270" spans="1:20" x14ac:dyDescent="0.3">
      <c r="A270" s="57">
        <v>800</v>
      </c>
      <c r="B270" s="57">
        <v>850</v>
      </c>
      <c r="C270" s="93">
        <v>471502</v>
      </c>
      <c r="D270" s="93">
        <v>38879598250</v>
      </c>
      <c r="E270" s="58">
        <v>1.952598157914702E-2</v>
      </c>
      <c r="F270" s="92">
        <v>824.59031456918524</v>
      </c>
      <c r="G270" s="89">
        <v>8.5737499999999998E-3</v>
      </c>
      <c r="H270" s="60" t="str">
        <f t="shared" si="3"/>
        <v>(800, 850]</v>
      </c>
      <c r="I270" s="61">
        <v>8.1690261312499998E-3</v>
      </c>
      <c r="J270" s="58">
        <v>1.5950825375835815E-4</v>
      </c>
      <c r="K270" s="58">
        <v>1.728376489667081E-4</v>
      </c>
      <c r="L270" s="115">
        <v>172837</v>
      </c>
      <c r="M270" s="58">
        <v>1.7283700328390306E-4</v>
      </c>
      <c r="N270" s="58">
        <v>0.14251971890706891</v>
      </c>
      <c r="O270" s="117">
        <v>7.7605748246874998E-3</v>
      </c>
      <c r="P270" s="58">
        <v>1.7283700328390306E-4</v>
      </c>
      <c r="Q270" s="58">
        <v>1.7150000308700005E-4</v>
      </c>
      <c r="R270" s="58">
        <v>0</v>
      </c>
      <c r="S270" s="82">
        <v>0.99</v>
      </c>
      <c r="T270" s="101"/>
    </row>
    <row r="271" spans="1:20" x14ac:dyDescent="0.3">
      <c r="A271" s="57">
        <v>850</v>
      </c>
      <c r="B271" s="57">
        <v>900</v>
      </c>
      <c r="C271" s="93">
        <v>426170</v>
      </c>
      <c r="D271" s="93">
        <v>37274816480</v>
      </c>
      <c r="E271" s="58">
        <v>1.7648679262410521E-2</v>
      </c>
      <c r="F271" s="92">
        <v>874.64665462139533</v>
      </c>
      <c r="G271" s="89">
        <v>8.5737499999999998E-3</v>
      </c>
      <c r="H271" s="60" t="str">
        <f t="shared" si="3"/>
        <v>(850, 900]</v>
      </c>
      <c r="I271" s="61">
        <v>8.1690261312499998E-3</v>
      </c>
      <c r="J271" s="58">
        <v>1.4417252207668153E-4</v>
      </c>
      <c r="K271" s="58">
        <v>1.5622037840802794E-4</v>
      </c>
      <c r="L271" s="83">
        <v>156220</v>
      </c>
      <c r="M271" s="58">
        <v>1.5622000296818006E-4</v>
      </c>
      <c r="N271" s="58">
        <v>0.13663730298106314</v>
      </c>
      <c r="O271" s="117">
        <v>7.7605748246874998E-3</v>
      </c>
      <c r="P271" s="58">
        <v>1.5622000296818006E-4</v>
      </c>
      <c r="Q271" s="58">
        <v>1.5312500275625006E-4</v>
      </c>
      <c r="R271" s="58">
        <v>0</v>
      </c>
      <c r="S271" s="82">
        <v>0.98</v>
      </c>
      <c r="T271" s="101"/>
    </row>
    <row r="272" spans="1:20" x14ac:dyDescent="0.3">
      <c r="A272" s="57">
        <v>900</v>
      </c>
      <c r="B272" s="57">
        <v>950</v>
      </c>
      <c r="C272" s="93">
        <v>384375</v>
      </c>
      <c r="D272" s="93">
        <v>35539167145</v>
      </c>
      <c r="E272" s="58">
        <v>1.591785224555704E-2</v>
      </c>
      <c r="F272" s="92">
        <v>924.59621840650402</v>
      </c>
      <c r="G272" s="89">
        <v>8.5737499999999998E-3</v>
      </c>
      <c r="H272" s="60" t="str">
        <f t="shared" si="3"/>
        <v>(900, 950]</v>
      </c>
      <c r="I272" s="61">
        <v>8.1690261312499998E-3</v>
      </c>
      <c r="J272" s="58">
        <v>1.3003335094733195E-4</v>
      </c>
      <c r="K272" s="58">
        <v>1.4089965964423994E-4</v>
      </c>
      <c r="L272" s="83">
        <v>140899</v>
      </c>
      <c r="M272" s="58">
        <v>1.4089900267708104E-4</v>
      </c>
      <c r="N272" s="58">
        <v>0.13027468505247702</v>
      </c>
      <c r="O272" s="117">
        <v>7.7605748246874998E-3</v>
      </c>
      <c r="P272" s="58">
        <v>1.4089900267708104E-4</v>
      </c>
      <c r="Q272" s="58">
        <v>1.3740000247320004E-4</v>
      </c>
      <c r="R272" s="58">
        <v>0</v>
      </c>
      <c r="S272" s="82">
        <v>0.98</v>
      </c>
      <c r="T272" s="101"/>
    </row>
    <row r="273" spans="1:20" x14ac:dyDescent="0.3">
      <c r="A273" s="57">
        <v>950</v>
      </c>
      <c r="B273" s="57">
        <v>1000</v>
      </c>
      <c r="C273" s="93">
        <v>347942</v>
      </c>
      <c r="D273" s="93">
        <v>33909749280</v>
      </c>
      <c r="E273" s="58">
        <v>1.4409077973394751E-2</v>
      </c>
      <c r="F273" s="92">
        <v>974.58051284409476</v>
      </c>
      <c r="G273" s="89">
        <v>8.5737499999999998E-3</v>
      </c>
      <c r="H273" s="60" t="str">
        <f t="shared" si="3"/>
        <v>(950, 1000]</v>
      </c>
      <c r="I273" s="61">
        <v>8.1690261312499998E-3</v>
      </c>
      <c r="J273" s="58">
        <v>1.1770813449188051E-4</v>
      </c>
      <c r="K273" s="58">
        <v>1.2754447967723223E-4</v>
      </c>
      <c r="L273" s="83">
        <v>127544</v>
      </c>
      <c r="M273" s="58">
        <v>1.2754400242333605E-4</v>
      </c>
      <c r="N273" s="58">
        <v>0.12430189929192331</v>
      </c>
      <c r="O273" s="117">
        <v>7.7605748246874998E-3</v>
      </c>
      <c r="P273" s="58">
        <v>1.2754400242333605E-4</v>
      </c>
      <c r="Q273" s="58">
        <v>1.2316800221702403E-4</v>
      </c>
      <c r="R273" s="58">
        <v>0</v>
      </c>
      <c r="S273" s="82">
        <v>0.97</v>
      </c>
      <c r="T273" s="101"/>
    </row>
    <row r="274" spans="1:20" x14ac:dyDescent="0.3">
      <c r="A274" s="57">
        <v>1000</v>
      </c>
      <c r="B274" s="57">
        <v>2000</v>
      </c>
      <c r="C274" s="93">
        <v>3069248</v>
      </c>
      <c r="D274" s="93">
        <v>419106350530</v>
      </c>
      <c r="E274" s="58">
        <v>0.12710461442334037</v>
      </c>
      <c r="F274" s="92">
        <v>1365.5017467796672</v>
      </c>
      <c r="G274" s="89">
        <v>5.0000000000000001E-3</v>
      </c>
      <c r="H274" s="60" t="str">
        <f t="shared" si="3"/>
        <v>(1000, 2000]</v>
      </c>
      <c r="I274" s="61">
        <v>4.7639750000000002E-3</v>
      </c>
      <c r="J274" s="58">
        <v>6.0552320549743294E-4</v>
      </c>
      <c r="K274" s="58">
        <v>6.5612408616489652E-4</v>
      </c>
      <c r="L274" s="83">
        <v>656124</v>
      </c>
      <c r="M274" s="58">
        <v>6.5612401246635619E-4</v>
      </c>
      <c r="N274" s="58">
        <v>0.89593848512689356</v>
      </c>
      <c r="O274" s="117">
        <v>4.5257762500000003E-3</v>
      </c>
      <c r="P274" s="58">
        <v>6.5612401246635619E-4</v>
      </c>
      <c r="Q274" s="58">
        <v>1.1850360213306484E-3</v>
      </c>
      <c r="R274" s="58">
        <v>0</v>
      </c>
      <c r="S274" s="82">
        <v>1.81</v>
      </c>
      <c r="T274" s="101"/>
    </row>
    <row r="275" spans="1:20" x14ac:dyDescent="0.3">
      <c r="A275" s="57">
        <v>2000</v>
      </c>
      <c r="B275" s="57">
        <v>3000</v>
      </c>
      <c r="C275" s="93">
        <v>726860</v>
      </c>
      <c r="D275" s="93">
        <v>174979065400</v>
      </c>
      <c r="E275" s="58">
        <v>3.0100943305900723E-2</v>
      </c>
      <c r="F275" s="92">
        <v>2407.3283080648266</v>
      </c>
      <c r="G275" s="89">
        <v>2E-3</v>
      </c>
      <c r="H275" s="60" t="str">
        <f t="shared" si="3"/>
        <v>(2000, 3000]</v>
      </c>
      <c r="I275" s="61">
        <v>1.9055900000000002E-3</v>
      </c>
      <c r="J275" s="58">
        <v>5.7360056554291367E-5</v>
      </c>
      <c r="K275" s="58">
        <v>6.2153381319439389E-5</v>
      </c>
      <c r="L275" s="83">
        <v>62153</v>
      </c>
      <c r="M275" s="58">
        <v>6.2153001180907029E-5</v>
      </c>
      <c r="N275" s="58">
        <v>0.14962267917398409</v>
      </c>
      <c r="O275" s="117">
        <v>1.8103105E-3</v>
      </c>
      <c r="P275" s="58">
        <v>6.2153001180907029E-5</v>
      </c>
      <c r="Q275" s="58">
        <v>4.5203000813654015E-5</v>
      </c>
      <c r="R275" s="58">
        <v>0</v>
      </c>
      <c r="S275" s="82">
        <v>0.73</v>
      </c>
    </row>
    <row r="276" spans="1:20" x14ac:dyDescent="0.3">
      <c r="A276" s="57">
        <v>3000</v>
      </c>
      <c r="B276" s="57">
        <v>4000</v>
      </c>
      <c r="C276" s="93">
        <v>274375</v>
      </c>
      <c r="D276" s="93">
        <v>94260084530</v>
      </c>
      <c r="E276" s="58">
        <v>1.1362499407804131E-2</v>
      </c>
      <c r="F276" s="92">
        <v>3435.4472721640091</v>
      </c>
      <c r="G276" s="89">
        <v>2E-3</v>
      </c>
      <c r="H276" s="60" t="str">
        <f t="shared" si="3"/>
        <v>(3000, 4000]</v>
      </c>
      <c r="I276" s="61">
        <v>1.9055900000000002E-3</v>
      </c>
      <c r="J276" s="58">
        <v>2.1652265246517474E-5</v>
      </c>
      <c r="K276" s="58">
        <v>2.3461648734998736E-5</v>
      </c>
      <c r="L276" s="83">
        <v>23461</v>
      </c>
      <c r="M276" s="58">
        <v>2.3461000445759008E-5</v>
      </c>
      <c r="N276" s="58">
        <v>8.0599029983621381E-2</v>
      </c>
      <c r="O276" s="117">
        <v>1.8103105E-3</v>
      </c>
      <c r="P276" s="58">
        <v>2.3461000445759008E-5</v>
      </c>
      <c r="Q276" s="58">
        <v>1.3758000247644005E-5</v>
      </c>
      <c r="R276" s="58">
        <v>0</v>
      </c>
      <c r="S276" s="82">
        <v>0.59</v>
      </c>
    </row>
    <row r="277" spans="1:20" x14ac:dyDescent="0.3">
      <c r="A277" s="57">
        <v>4000</v>
      </c>
      <c r="B277" s="57">
        <v>5000</v>
      </c>
      <c r="C277" s="93">
        <v>139260</v>
      </c>
      <c r="D277" s="93">
        <v>62013288295</v>
      </c>
      <c r="E277" s="58">
        <v>5.7670766925951829E-3</v>
      </c>
      <c r="F277" s="92">
        <v>4453.0581857676289</v>
      </c>
      <c r="G277" s="89">
        <v>5.0000000000000001E-3</v>
      </c>
      <c r="H277" s="60" t="str">
        <f t="shared" si="3"/>
        <v>(4000, 5000]</v>
      </c>
      <c r="I277" s="61">
        <v>4.7639750000000002E-3</v>
      </c>
      <c r="J277" s="58">
        <v>2.7474209186606139E-5</v>
      </c>
      <c r="K277" s="58">
        <v>2.9770106631762408E-5</v>
      </c>
      <c r="L277" s="83">
        <v>29770</v>
      </c>
      <c r="M277" s="58">
        <v>2.9770000565630009E-5</v>
      </c>
      <c r="N277" s="58">
        <v>0.13256754470908566</v>
      </c>
      <c r="O277" s="117">
        <v>4.5257762500000003E-3</v>
      </c>
      <c r="P277" s="58">
        <v>2.9770000565630009E-5</v>
      </c>
      <c r="Q277" s="58">
        <v>1.4686000264348005E-5</v>
      </c>
      <c r="R277" s="58">
        <v>0</v>
      </c>
      <c r="S277" s="82">
        <v>0.49</v>
      </c>
    </row>
    <row r="278" spans="1:20" x14ac:dyDescent="0.3">
      <c r="A278" s="57">
        <v>5000</v>
      </c>
      <c r="B278" s="57">
        <v>6000</v>
      </c>
      <c r="C278" s="93">
        <v>87746</v>
      </c>
      <c r="D278" s="93">
        <v>47988725055</v>
      </c>
      <c r="E278" s="58">
        <v>3.6337635463769705E-3</v>
      </c>
      <c r="F278" s="92">
        <v>5469.0498774872931</v>
      </c>
      <c r="G278" s="89">
        <v>0.01</v>
      </c>
      <c r="H278" s="60" t="str">
        <f t="shared" si="3"/>
        <v>(5000, 6000]</v>
      </c>
      <c r="I278" s="61">
        <v>9.5279500000000003E-3</v>
      </c>
      <c r="J278" s="58">
        <v>3.4622317381702457E-5</v>
      </c>
      <c r="K278" s="58">
        <v>3.7515550431001352E-5</v>
      </c>
      <c r="L278" s="83">
        <v>37515</v>
      </c>
      <c r="M278" s="58">
        <v>3.7515000712785011E-5</v>
      </c>
      <c r="N278" s="58">
        <v>0.20517141005219258</v>
      </c>
      <c r="O278" s="117">
        <v>9.0515525000000006E-3</v>
      </c>
      <c r="P278" s="58">
        <v>3.7515000712785011E-5</v>
      </c>
      <c r="Q278" s="58">
        <v>0</v>
      </c>
      <c r="R278" s="58">
        <v>0</v>
      </c>
      <c r="S278" s="82">
        <v>0</v>
      </c>
    </row>
    <row r="279" spans="1:20" x14ac:dyDescent="0.3">
      <c r="A279" s="57">
        <v>6000</v>
      </c>
      <c r="B279" s="57">
        <v>7000</v>
      </c>
      <c r="C279" s="93">
        <v>63884</v>
      </c>
      <c r="D279" s="93">
        <v>41404052400</v>
      </c>
      <c r="E279" s="58">
        <v>2.6455832789727893E-3</v>
      </c>
      <c r="F279" s="92">
        <v>6481.1302360528462</v>
      </c>
      <c r="G279" s="89">
        <v>0.01</v>
      </c>
      <c r="H279" s="60" t="str">
        <f t="shared" si="3"/>
        <v>(6000, 7000]</v>
      </c>
      <c r="I279" s="61">
        <v>9.5279500000000003E-3</v>
      </c>
      <c r="J279" s="58">
        <v>2.5206985202888789E-5</v>
      </c>
      <c r="K279" s="58">
        <v>2.7313420825269415E-5</v>
      </c>
      <c r="L279" s="83">
        <v>27313</v>
      </c>
      <c r="M279" s="58">
        <v>2.7313000518947011E-5</v>
      </c>
      <c r="N279" s="58">
        <v>0.17701911350067456</v>
      </c>
      <c r="O279" s="117">
        <v>9.0515525000000006E-3</v>
      </c>
      <c r="P279" s="58">
        <v>2.7313000518947011E-5</v>
      </c>
      <c r="Q279" s="58">
        <v>0</v>
      </c>
      <c r="R279" s="58">
        <v>0</v>
      </c>
      <c r="S279" s="82">
        <v>0</v>
      </c>
    </row>
    <row r="280" spans="1:20" x14ac:dyDescent="0.3">
      <c r="A280" s="57">
        <v>7000</v>
      </c>
      <c r="B280" s="57">
        <v>8000</v>
      </c>
      <c r="C280" s="93">
        <v>52485</v>
      </c>
      <c r="D280" s="93">
        <v>39300082150</v>
      </c>
      <c r="E280" s="58">
        <v>2.173524488086013E-3</v>
      </c>
      <c r="F280" s="92">
        <v>7487.8693245689246</v>
      </c>
      <c r="G280" s="89">
        <v>0.01</v>
      </c>
      <c r="H280" s="60" t="str">
        <f t="shared" si="3"/>
        <v>(7000, 8000]</v>
      </c>
      <c r="I280" s="61">
        <v>9.5279500000000003E-3</v>
      </c>
      <c r="J280" s="58">
        <v>2.0709232646259128E-5</v>
      </c>
      <c r="K280" s="58">
        <v>2.2439811095333187E-5</v>
      </c>
      <c r="L280" s="83">
        <v>22439</v>
      </c>
      <c r="M280" s="58">
        <v>2.2439000426341006E-5</v>
      </c>
      <c r="N280" s="58">
        <v>0.16802030296638784</v>
      </c>
      <c r="O280" s="117">
        <v>9.0515525000000006E-3</v>
      </c>
      <c r="P280" s="58">
        <v>2.2439000426341006E-5</v>
      </c>
      <c r="Q280" s="58">
        <v>0</v>
      </c>
      <c r="R280" s="58">
        <v>0</v>
      </c>
      <c r="S280" s="82">
        <v>0</v>
      </c>
    </row>
    <row r="281" spans="1:20" x14ac:dyDescent="0.3">
      <c r="A281" s="57">
        <v>8000</v>
      </c>
      <c r="B281" s="57">
        <v>9000</v>
      </c>
      <c r="C281" s="93">
        <v>46209</v>
      </c>
      <c r="D281" s="93">
        <v>39236770175</v>
      </c>
      <c r="E281" s="58">
        <v>1.9136209025429471E-3</v>
      </c>
      <c r="F281" s="92">
        <v>8491.1532764180138</v>
      </c>
      <c r="G281" s="89">
        <v>0.01</v>
      </c>
      <c r="H281" s="60" t="str">
        <f t="shared" si="3"/>
        <v>(8000, 9000]</v>
      </c>
      <c r="I281" s="61">
        <v>9.5279500000000003E-3</v>
      </c>
      <c r="J281" s="58">
        <v>1.8232884278384072E-5</v>
      </c>
      <c r="K281" s="58">
        <v>1.9756525310169596E-5</v>
      </c>
      <c r="L281" s="83">
        <v>19756</v>
      </c>
      <c r="M281" s="58">
        <v>1.9756000375364008E-5</v>
      </c>
      <c r="N281" s="58">
        <v>0.16775122731618761</v>
      </c>
      <c r="O281" s="117">
        <v>9.0515525000000006E-3</v>
      </c>
      <c r="P281" s="58">
        <v>1.9756000375364008E-5</v>
      </c>
      <c r="Q281" s="58">
        <v>0</v>
      </c>
      <c r="R281" s="58">
        <v>0</v>
      </c>
      <c r="S281" s="82">
        <v>0</v>
      </c>
    </row>
    <row r="282" spans="1:20" x14ac:dyDescent="0.3">
      <c r="A282" s="57">
        <v>9000</v>
      </c>
      <c r="B282" s="57">
        <v>10000</v>
      </c>
      <c r="C282" s="93">
        <v>42816</v>
      </c>
      <c r="D282" s="93">
        <v>40653464570</v>
      </c>
      <c r="E282" s="58">
        <v>1.7731089736475324E-3</v>
      </c>
      <c r="F282" s="92">
        <v>9494.9235262518687</v>
      </c>
      <c r="G282" s="89">
        <v>0.01</v>
      </c>
      <c r="H282" s="60" t="str">
        <f t="shared" si="3"/>
        <v>(9000, 10000]</v>
      </c>
      <c r="I282" s="61">
        <v>9.5279500000000003E-3</v>
      </c>
      <c r="J282" s="58">
        <v>1.6894093645465007E-5</v>
      </c>
      <c r="K282" s="58">
        <v>1.8305857899548173E-5</v>
      </c>
      <c r="L282" s="83">
        <v>18305</v>
      </c>
      <c r="M282" s="58">
        <v>1.8305000347795006E-5</v>
      </c>
      <c r="N282" s="58">
        <v>0.17380457845032743</v>
      </c>
      <c r="O282" s="117">
        <v>9.0515525000000006E-3</v>
      </c>
      <c r="P282" s="58">
        <v>1.8305000347795006E-5</v>
      </c>
      <c r="Q282" s="58">
        <v>0</v>
      </c>
      <c r="R282" s="58">
        <v>0</v>
      </c>
      <c r="S282" s="82">
        <v>0</v>
      </c>
    </row>
    <row r="283" spans="1:20" x14ac:dyDescent="0.3">
      <c r="A283" s="57">
        <v>10000</v>
      </c>
      <c r="B283" s="57">
        <v>20000</v>
      </c>
      <c r="C283" s="93">
        <v>319147</v>
      </c>
      <c r="D283" s="93">
        <v>464099877425</v>
      </c>
      <c r="E283" s="58">
        <v>1.3216610837366615E-2</v>
      </c>
      <c r="F283" s="92">
        <v>14541.884380081907</v>
      </c>
      <c r="G283" s="89">
        <v>7.0000000000000001E-3</v>
      </c>
      <c r="H283" s="60" t="str">
        <f t="shared" si="3"/>
        <v>(10000, 20000]</v>
      </c>
      <c r="I283" s="61">
        <v>6.6695650000000006E-3</v>
      </c>
      <c r="J283" s="58">
        <v>8.8149045059521082E-5</v>
      </c>
      <c r="K283" s="58">
        <v>9.5515268631982689E-5</v>
      </c>
      <c r="L283" s="83">
        <v>95515</v>
      </c>
      <c r="M283" s="58">
        <v>9.551500181478504E-5</v>
      </c>
      <c r="N283" s="58">
        <v>1.3889681129539175</v>
      </c>
      <c r="O283" s="117">
        <v>6.3360867499999999E-3</v>
      </c>
      <c r="P283" s="58">
        <v>9.551500181478504E-5</v>
      </c>
      <c r="Q283" s="58">
        <v>2.0784000374112006E-5</v>
      </c>
      <c r="R283" s="58">
        <v>0</v>
      </c>
      <c r="S283" s="82">
        <v>0.22</v>
      </c>
    </row>
    <row r="284" spans="1:20" x14ac:dyDescent="0.3">
      <c r="A284" s="57">
        <v>20000</v>
      </c>
      <c r="B284" s="57">
        <v>30000</v>
      </c>
      <c r="C284" s="93">
        <v>168139</v>
      </c>
      <c r="D284" s="93">
        <v>410262879645</v>
      </c>
      <c r="E284" s="58">
        <v>6.9630224616994219E-3</v>
      </c>
      <c r="F284" s="92">
        <v>24400.22122440362</v>
      </c>
      <c r="G284" s="89">
        <v>0</v>
      </c>
      <c r="H284" s="60" t="str">
        <f t="shared" si="3"/>
        <v>(20000, 30000]</v>
      </c>
      <c r="I284" s="61">
        <v>0</v>
      </c>
      <c r="J284" s="58">
        <v>0</v>
      </c>
      <c r="K284" s="58">
        <v>0</v>
      </c>
      <c r="L284" s="83">
        <v>0</v>
      </c>
      <c r="M284" s="58">
        <v>0</v>
      </c>
      <c r="N284" s="58">
        <v>0</v>
      </c>
      <c r="O284" s="117">
        <v>0</v>
      </c>
      <c r="P284" s="58">
        <v>0</v>
      </c>
      <c r="Q284" s="58">
        <v>0</v>
      </c>
      <c r="R284" s="58">
        <v>0</v>
      </c>
      <c r="S284" s="82">
        <v>0</v>
      </c>
    </row>
    <row r="285" spans="1:20" x14ac:dyDescent="0.3">
      <c r="A285" s="57">
        <v>30000</v>
      </c>
      <c r="B285" s="57">
        <v>40000</v>
      </c>
      <c r="C285" s="93">
        <v>76601</v>
      </c>
      <c r="D285" s="93">
        <v>262821736420</v>
      </c>
      <c r="E285" s="58">
        <v>3.1722234793155508E-3</v>
      </c>
      <c r="F285" s="92">
        <v>34310.483729977415</v>
      </c>
      <c r="G285" s="89">
        <v>0</v>
      </c>
      <c r="H285" s="60" t="str">
        <f t="shared" si="3"/>
        <v>(30000, 40000]</v>
      </c>
      <c r="I285" s="61">
        <v>0</v>
      </c>
      <c r="J285" s="58">
        <v>0</v>
      </c>
      <c r="K285" s="58">
        <v>0</v>
      </c>
      <c r="L285" s="83">
        <v>0</v>
      </c>
      <c r="M285" s="58">
        <v>0</v>
      </c>
      <c r="N285" s="58">
        <v>0</v>
      </c>
      <c r="O285" s="117">
        <v>0</v>
      </c>
      <c r="P285" s="58">
        <v>0</v>
      </c>
      <c r="Q285" s="58">
        <v>0</v>
      </c>
      <c r="R285" s="58">
        <v>0</v>
      </c>
      <c r="S285" s="82">
        <v>0</v>
      </c>
    </row>
    <row r="286" spans="1:20" x14ac:dyDescent="0.3">
      <c r="A286" s="57">
        <v>40000</v>
      </c>
      <c r="B286" s="57">
        <v>50000</v>
      </c>
      <c r="C286" s="93">
        <v>32766</v>
      </c>
      <c r="D286" s="93">
        <v>145058924345</v>
      </c>
      <c r="E286" s="58">
        <v>1.3569153734710165E-3</v>
      </c>
      <c r="F286" s="92">
        <v>44271.172662210825</v>
      </c>
      <c r="G286" s="89">
        <v>0</v>
      </c>
      <c r="H286" s="60" t="str">
        <f t="shared" si="3"/>
        <v>(40000, 50000]</v>
      </c>
      <c r="I286" s="61">
        <v>0</v>
      </c>
      <c r="J286" s="58">
        <v>0</v>
      </c>
      <c r="K286" s="58">
        <v>0</v>
      </c>
      <c r="L286" s="83">
        <v>0</v>
      </c>
      <c r="M286" s="58">
        <v>0</v>
      </c>
      <c r="N286" s="58">
        <v>0</v>
      </c>
      <c r="O286" s="117">
        <v>0</v>
      </c>
      <c r="P286" s="58">
        <v>0</v>
      </c>
      <c r="Q286" s="58">
        <v>0</v>
      </c>
      <c r="R286" s="58">
        <v>0</v>
      </c>
      <c r="S286" s="82">
        <v>0</v>
      </c>
    </row>
    <row r="287" spans="1:20" x14ac:dyDescent="0.3">
      <c r="A287" s="57">
        <v>50000</v>
      </c>
      <c r="B287" s="57">
        <v>60000</v>
      </c>
      <c r="C287" s="93">
        <v>13666</v>
      </c>
      <c r="D287" s="93">
        <v>74267130650</v>
      </c>
      <c r="E287" s="58">
        <v>5.6594047164301145E-4</v>
      </c>
      <c r="F287" s="92">
        <v>54344.453863603099</v>
      </c>
      <c r="G287" s="89">
        <v>0</v>
      </c>
      <c r="H287" s="60" t="str">
        <f t="shared" si="3"/>
        <v>(50000, 60000]</v>
      </c>
      <c r="I287" s="61">
        <v>0</v>
      </c>
      <c r="J287" s="58">
        <v>0</v>
      </c>
      <c r="K287" s="58">
        <v>0</v>
      </c>
      <c r="L287" s="83">
        <v>0</v>
      </c>
      <c r="M287" s="58">
        <v>0</v>
      </c>
      <c r="N287" s="58">
        <v>0</v>
      </c>
      <c r="O287" s="117">
        <v>0</v>
      </c>
      <c r="P287" s="58">
        <v>0</v>
      </c>
      <c r="Q287" s="58">
        <v>0</v>
      </c>
      <c r="R287" s="58">
        <v>0</v>
      </c>
      <c r="S287" s="82">
        <v>0</v>
      </c>
    </row>
    <row r="288" spans="1:20" x14ac:dyDescent="0.3">
      <c r="A288" s="57">
        <v>60000</v>
      </c>
      <c r="B288" s="57">
        <v>70000</v>
      </c>
      <c r="C288" s="93">
        <v>5917</v>
      </c>
      <c r="D288" s="93">
        <v>38063267450</v>
      </c>
      <c r="E288" s="58">
        <v>2.4503657037258148E-4</v>
      </c>
      <c r="F288" s="92">
        <v>64328.658864289333</v>
      </c>
      <c r="G288" s="89">
        <v>0</v>
      </c>
      <c r="H288" s="60" t="str">
        <f t="shared" si="3"/>
        <v>(60000, 70000]</v>
      </c>
      <c r="I288" s="61">
        <v>0</v>
      </c>
      <c r="J288" s="58">
        <v>0</v>
      </c>
      <c r="K288" s="58">
        <v>0</v>
      </c>
      <c r="L288" s="83">
        <v>0</v>
      </c>
      <c r="M288" s="58">
        <v>0</v>
      </c>
      <c r="N288" s="58">
        <v>0</v>
      </c>
      <c r="O288" s="117">
        <v>0</v>
      </c>
      <c r="P288" s="58">
        <v>0</v>
      </c>
      <c r="Q288" s="58">
        <v>0</v>
      </c>
      <c r="R288" s="58">
        <v>0</v>
      </c>
      <c r="S288" s="82">
        <v>0</v>
      </c>
    </row>
    <row r="289" spans="1:19" x14ac:dyDescent="0.3">
      <c r="A289" s="57">
        <v>70000</v>
      </c>
      <c r="B289" s="57">
        <v>80000</v>
      </c>
      <c r="C289" s="93">
        <v>2651</v>
      </c>
      <c r="D289" s="93">
        <v>19702200165</v>
      </c>
      <c r="E289" s="58">
        <v>1.097840033898451E-4</v>
      </c>
      <c r="F289" s="92">
        <v>74319.879913240293</v>
      </c>
      <c r="G289" s="89">
        <v>0</v>
      </c>
      <c r="H289" s="60" t="str">
        <f t="shared" si="3"/>
        <v>(70000, 80000]</v>
      </c>
      <c r="I289" s="61">
        <v>0</v>
      </c>
      <c r="J289" s="58">
        <v>0</v>
      </c>
      <c r="K289" s="58">
        <v>0</v>
      </c>
      <c r="L289" s="83">
        <v>0</v>
      </c>
      <c r="M289" s="58">
        <v>0</v>
      </c>
      <c r="N289" s="58">
        <v>0</v>
      </c>
      <c r="O289" s="117">
        <v>0</v>
      </c>
      <c r="P289" s="58">
        <v>0</v>
      </c>
      <c r="Q289" s="58">
        <v>0</v>
      </c>
      <c r="R289" s="58">
        <v>0</v>
      </c>
      <c r="S289" s="82">
        <v>0</v>
      </c>
    </row>
    <row r="290" spans="1:19" x14ac:dyDescent="0.3">
      <c r="A290" s="57">
        <v>80000</v>
      </c>
      <c r="B290" s="57">
        <v>90000</v>
      </c>
      <c r="C290" s="93">
        <v>1305</v>
      </c>
      <c r="D290" s="93">
        <v>11002115205</v>
      </c>
      <c r="E290" s="58">
        <v>5.4043049575159513E-5</v>
      </c>
      <c r="F290" s="92">
        <v>84307.396206896548</v>
      </c>
      <c r="G290" s="89">
        <v>0</v>
      </c>
      <c r="H290" s="60" t="str">
        <f t="shared" si="3"/>
        <v>(80000, 90000]</v>
      </c>
      <c r="I290" s="61">
        <v>0</v>
      </c>
      <c r="J290" s="58">
        <v>0</v>
      </c>
      <c r="K290" s="58">
        <v>0</v>
      </c>
      <c r="L290" s="83">
        <v>0</v>
      </c>
      <c r="M290" s="58">
        <v>0</v>
      </c>
      <c r="N290" s="58">
        <v>0</v>
      </c>
      <c r="O290" s="117">
        <v>0</v>
      </c>
      <c r="P290" s="58">
        <v>0</v>
      </c>
      <c r="Q290" s="58">
        <v>0</v>
      </c>
      <c r="R290" s="58">
        <v>0</v>
      </c>
      <c r="S290" s="82">
        <v>0</v>
      </c>
    </row>
    <row r="291" spans="1:19" x14ac:dyDescent="0.3">
      <c r="A291" s="57">
        <v>90000</v>
      </c>
      <c r="B291" s="57">
        <v>100000</v>
      </c>
      <c r="C291" s="93">
        <v>621</v>
      </c>
      <c r="D291" s="93">
        <v>5877544690</v>
      </c>
      <c r="E291" s="58">
        <v>2.5717037384041424E-5</v>
      </c>
      <c r="F291" s="92">
        <v>94646.452334943635</v>
      </c>
      <c r="G291" s="89">
        <v>0</v>
      </c>
      <c r="H291" s="60" t="str">
        <f t="shared" si="3"/>
        <v>(90000, 100000]</v>
      </c>
      <c r="I291" s="61">
        <v>0</v>
      </c>
      <c r="J291" s="58">
        <v>0</v>
      </c>
      <c r="K291" s="58">
        <v>0</v>
      </c>
      <c r="L291" s="83">
        <v>0</v>
      </c>
      <c r="M291" s="58">
        <v>0</v>
      </c>
      <c r="N291" s="58">
        <v>0</v>
      </c>
      <c r="O291" s="117">
        <v>0</v>
      </c>
      <c r="P291" s="58">
        <v>0</v>
      </c>
      <c r="Q291" s="58">
        <v>0</v>
      </c>
      <c r="R291" s="58">
        <v>0</v>
      </c>
      <c r="S291" s="82">
        <v>0</v>
      </c>
    </row>
    <row r="292" spans="1:19" x14ac:dyDescent="0.3">
      <c r="A292" s="57">
        <v>100000</v>
      </c>
      <c r="B292" s="57">
        <v>9999999</v>
      </c>
      <c r="C292" s="93">
        <v>820</v>
      </c>
      <c r="D292" s="93">
        <v>9980269245</v>
      </c>
      <c r="E292" s="58">
        <v>3.3958084790521686E-5</v>
      </c>
      <c r="F292" s="92">
        <v>121710.60054878048</v>
      </c>
      <c r="G292" s="89">
        <v>0</v>
      </c>
      <c r="H292" s="60" t="str">
        <f t="shared" si="3"/>
        <v>(100000, 9999999]</v>
      </c>
      <c r="I292" s="61">
        <v>0</v>
      </c>
      <c r="J292" s="58">
        <v>0</v>
      </c>
      <c r="K292" s="58">
        <v>0</v>
      </c>
      <c r="L292" s="83">
        <v>0</v>
      </c>
      <c r="M292" s="58">
        <v>0</v>
      </c>
      <c r="N292" s="58">
        <v>0</v>
      </c>
      <c r="O292" s="117">
        <v>0</v>
      </c>
      <c r="P292" s="58">
        <v>0</v>
      </c>
      <c r="Q292" s="58">
        <v>0</v>
      </c>
      <c r="R292" s="58">
        <v>0</v>
      </c>
      <c r="S292" s="82">
        <v>0</v>
      </c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Q161:Q222"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{33A53229-D91F-4FEF-BEAB-262D4A068092}</x14:id>
        </ext>
      </extLst>
    </cfRule>
  </conditionalFormatting>
  <conditionalFormatting sqref="E16:E79">
    <cfRule type="cellIs" dxfId="164" priority="94" operator="lessThan">
      <formula>0.001</formula>
    </cfRule>
  </conditionalFormatting>
  <conditionalFormatting sqref="E159:E222">
    <cfRule type="cellIs" dxfId="163" priority="92" operator="lessThan">
      <formula>0.001</formula>
    </cfRule>
  </conditionalFormatting>
  <conditionalFormatting sqref="Q20:Q79"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{26540530-354F-4C90-8F97-659C1BB30D5F}</x14:id>
        </ext>
      </extLst>
    </cfRule>
  </conditionalFormatting>
  <conditionalFormatting sqref="M229:M292"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62" priority="66" operator="lessThan">
      <formula>0.001</formula>
    </cfRule>
  </conditionalFormatting>
  <conditionalFormatting sqref="N16:N80">
    <cfRule type="dataBar" priority="1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Q231:Q292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{0EF251BC-1772-4581-A537-6A26532FCD98}</x14:id>
        </ext>
      </extLst>
    </cfRule>
  </conditionalFormatting>
  <conditionalFormatting sqref="R161:R22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61" priority="3" operator="lessThan">
      <formula>0.001</formula>
    </cfRule>
  </conditionalFormatting>
  <conditionalFormatting sqref="Q92:Q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{DD8DF749-16A4-480B-A285-21C81C99EB89}</x14:id>
        </ext>
      </extLst>
    </cfRule>
  </conditionalFormatting>
  <conditionalFormatting sqref="N88:N15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33A53229-D91F-4FEF-BEAB-262D4A068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26540530-354F-4C90-8F97-659C1BB30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0EF251BC-1772-4581-A537-6A26532FC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DD8DF749-16A4-480B-A285-21C81C99EB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/>
  </sheetViews>
  <sheetFormatPr defaultRowHeight="15.6" x14ac:dyDescent="0.3"/>
  <cols>
    <col min="1" max="1" width="8.88671875" style="24"/>
    <col min="2" max="2" width="18.33203125" style="24" bestFit="1" customWidth="1"/>
    <col min="3" max="3" width="24.109375" style="24" bestFit="1" customWidth="1"/>
    <col min="4" max="4" width="9.6640625" style="24" customWidth="1"/>
    <col min="5" max="5" width="20.33203125" style="17" customWidth="1"/>
    <col min="6" max="7" width="16.77734375" style="24" customWidth="1"/>
    <col min="8" max="8" width="20.5546875" style="24" customWidth="1"/>
    <col min="9" max="10" width="16.5546875" style="24" customWidth="1"/>
    <col min="11" max="11" width="24.109375" style="24" bestFit="1" customWidth="1"/>
    <col min="12" max="12" width="16.5546875" style="24" customWidth="1"/>
    <col min="13" max="13" width="8.88671875" style="24"/>
    <col min="14" max="14" width="12.44140625" style="24" bestFit="1" customWidth="1"/>
    <col min="15" max="15" width="11" style="24" bestFit="1" customWidth="1"/>
    <col min="16" max="16384" width="8.88671875" style="24"/>
  </cols>
  <sheetData>
    <row r="2" spans="1:8" x14ac:dyDescent="0.3">
      <c r="B2" s="96" t="s">
        <v>62</v>
      </c>
      <c r="C2" s="119">
        <v>10000000000</v>
      </c>
    </row>
    <row r="4" spans="1:8" x14ac:dyDescent="0.3">
      <c r="B4" s="199" t="s">
        <v>296</v>
      </c>
      <c r="C4" s="199" t="s">
        <v>52</v>
      </c>
      <c r="D4" s="201" t="s">
        <v>297</v>
      </c>
      <c r="E4" s="130" t="s">
        <v>301</v>
      </c>
      <c r="F4" s="199" t="s">
        <v>302</v>
      </c>
      <c r="G4" s="201" t="s">
        <v>303</v>
      </c>
      <c r="H4" s="199" t="s">
        <v>304</v>
      </c>
    </row>
    <row r="5" spans="1:8" x14ac:dyDescent="0.3">
      <c r="A5" s="17"/>
      <c r="B5" s="234" t="s">
        <v>298</v>
      </c>
      <c r="C5" s="234" t="s">
        <v>53</v>
      </c>
      <c r="D5" s="234" t="s">
        <v>23</v>
      </c>
      <c r="E5" s="22" t="s">
        <v>99</v>
      </c>
      <c r="F5" s="236"/>
      <c r="G5" s="202"/>
      <c r="H5" s="238" t="e">
        <f>SUM(G5:G6)/F5*$C$2</f>
        <v>#DIV/0!</v>
      </c>
    </row>
    <row r="6" spans="1:8" x14ac:dyDescent="0.3">
      <c r="B6" s="235"/>
      <c r="C6" s="235"/>
      <c r="D6" s="235"/>
      <c r="E6" s="8" t="s">
        <v>100</v>
      </c>
      <c r="F6" s="237"/>
      <c r="G6" s="106"/>
      <c r="H6" s="239"/>
    </row>
    <row r="7" spans="1:8" x14ac:dyDescent="0.3">
      <c r="B7" s="234" t="s">
        <v>298</v>
      </c>
      <c r="C7" s="234" t="s">
        <v>290</v>
      </c>
      <c r="D7" s="234" t="s">
        <v>23</v>
      </c>
      <c r="E7" s="22" t="s">
        <v>99</v>
      </c>
      <c r="F7" s="236"/>
      <c r="G7" s="202"/>
      <c r="H7" s="238" t="e">
        <f>SUM(G7:G8)/F7*$C$2</f>
        <v>#DIV/0!</v>
      </c>
    </row>
    <row r="8" spans="1:8" x14ac:dyDescent="0.3">
      <c r="B8" s="235"/>
      <c r="C8" s="235"/>
      <c r="D8" s="235"/>
      <c r="E8" s="8" t="s">
        <v>100</v>
      </c>
      <c r="F8" s="237"/>
      <c r="G8" s="106"/>
      <c r="H8" s="239"/>
    </row>
    <row r="9" spans="1:8" x14ac:dyDescent="0.3">
      <c r="A9" s="17"/>
      <c r="B9" s="234" t="s">
        <v>299</v>
      </c>
      <c r="C9" s="234" t="s">
        <v>53</v>
      </c>
      <c r="D9" s="234" t="s">
        <v>23</v>
      </c>
      <c r="E9" s="22" t="s">
        <v>99</v>
      </c>
      <c r="F9" s="236">
        <v>10000000</v>
      </c>
      <c r="G9" s="106">
        <v>3435016</v>
      </c>
      <c r="H9" s="238">
        <f>SUM(G9:G10)/F9*$C$2</f>
        <v>3562401000</v>
      </c>
    </row>
    <row r="10" spans="1:8" x14ac:dyDescent="0.3">
      <c r="B10" s="235"/>
      <c r="C10" s="235"/>
      <c r="D10" s="235"/>
      <c r="E10" s="8" t="s">
        <v>100</v>
      </c>
      <c r="F10" s="237"/>
      <c r="G10" s="106">
        <v>127385</v>
      </c>
      <c r="H10" s="239"/>
    </row>
    <row r="11" spans="1:8" x14ac:dyDescent="0.3">
      <c r="B11" s="234" t="s">
        <v>299</v>
      </c>
      <c r="C11" s="234" t="s">
        <v>290</v>
      </c>
      <c r="D11" s="234" t="s">
        <v>23</v>
      </c>
      <c r="E11" s="22" t="s">
        <v>99</v>
      </c>
      <c r="F11" s="236">
        <v>10000000</v>
      </c>
      <c r="G11" s="106">
        <v>3546458</v>
      </c>
      <c r="H11" s="238">
        <f>SUM(G11:G12)/F11*$C$2</f>
        <v>4181600000</v>
      </c>
    </row>
    <row r="12" spans="1:8" x14ac:dyDescent="0.3">
      <c r="B12" s="235"/>
      <c r="C12" s="235"/>
      <c r="D12" s="235"/>
      <c r="E12" s="8" t="s">
        <v>100</v>
      </c>
      <c r="F12" s="237"/>
      <c r="G12" s="106">
        <v>635142</v>
      </c>
      <c r="H12" s="239"/>
    </row>
    <row r="13" spans="1:8" x14ac:dyDescent="0.3">
      <c r="A13" s="17"/>
      <c r="B13" s="234" t="s">
        <v>299</v>
      </c>
      <c r="C13" s="234" t="s">
        <v>300</v>
      </c>
      <c r="D13" s="234" t="s">
        <v>23</v>
      </c>
      <c r="E13" s="22" t="s">
        <v>99</v>
      </c>
      <c r="F13" s="236">
        <f>G13</f>
        <v>10000000</v>
      </c>
      <c r="G13" s="106">
        <v>10000000</v>
      </c>
      <c r="H13" s="238">
        <f>SUM(G13:G14)/F13*$C$2</f>
        <v>41071089000</v>
      </c>
    </row>
    <row r="14" spans="1:8" x14ac:dyDescent="0.3">
      <c r="B14" s="235"/>
      <c r="C14" s="235"/>
      <c r="D14" s="235"/>
      <c r="E14" s="8" t="s">
        <v>100</v>
      </c>
      <c r="F14" s="237"/>
      <c r="G14" s="106">
        <v>31071089</v>
      </c>
      <c r="H14" s="239"/>
    </row>
    <row r="15" spans="1:8" x14ac:dyDescent="0.3">
      <c r="B15" s="200"/>
      <c r="C15" s="200"/>
      <c r="D15" s="200"/>
    </row>
    <row r="16" spans="1:8" x14ac:dyDescent="0.3">
      <c r="B16" s="241" t="s">
        <v>298</v>
      </c>
      <c r="C16" s="241" t="s">
        <v>53</v>
      </c>
      <c r="D16" s="241" t="s">
        <v>97</v>
      </c>
      <c r="E16" s="133" t="s">
        <v>99</v>
      </c>
      <c r="F16" s="242"/>
      <c r="G16" s="121"/>
      <c r="H16" s="240" t="e">
        <f>SUM(G16:G17)/F16*$C$2</f>
        <v>#DIV/0!</v>
      </c>
    </row>
    <row r="17" spans="2:8" x14ac:dyDescent="0.3">
      <c r="B17" s="241"/>
      <c r="C17" s="241"/>
      <c r="D17" s="241"/>
      <c r="E17" s="133" t="s">
        <v>100</v>
      </c>
      <c r="F17" s="242"/>
      <c r="G17" s="121"/>
      <c r="H17" s="240"/>
    </row>
    <row r="18" spans="2:8" x14ac:dyDescent="0.3">
      <c r="B18" s="241" t="s">
        <v>298</v>
      </c>
      <c r="C18" s="241" t="s">
        <v>290</v>
      </c>
      <c r="D18" s="241" t="s">
        <v>97</v>
      </c>
      <c r="E18" s="133" t="s">
        <v>99</v>
      </c>
      <c r="F18" s="242"/>
      <c r="G18" s="121"/>
      <c r="H18" s="240" t="e">
        <f>SUM(G18:G19)/F18*$C$2</f>
        <v>#DIV/0!</v>
      </c>
    </row>
    <row r="19" spans="2:8" x14ac:dyDescent="0.3">
      <c r="B19" s="241"/>
      <c r="C19" s="241"/>
      <c r="D19" s="241"/>
      <c r="E19" s="133" t="s">
        <v>100</v>
      </c>
      <c r="F19" s="242"/>
      <c r="G19" s="121"/>
      <c r="H19" s="240"/>
    </row>
    <row r="20" spans="2:8" x14ac:dyDescent="0.3">
      <c r="B20" s="234" t="s">
        <v>299</v>
      </c>
      <c r="C20" s="234" t="s">
        <v>53</v>
      </c>
      <c r="D20" s="234" t="s">
        <v>97</v>
      </c>
      <c r="E20" s="22" t="s">
        <v>99</v>
      </c>
      <c r="F20" s="236"/>
      <c r="G20" s="106"/>
      <c r="H20" s="238" t="e">
        <f>SUM(G20:G21)/F20*$C$2</f>
        <v>#DIV/0!</v>
      </c>
    </row>
    <row r="21" spans="2:8" x14ac:dyDescent="0.3">
      <c r="B21" s="235"/>
      <c r="C21" s="235"/>
      <c r="D21" s="235"/>
      <c r="E21" s="8" t="s">
        <v>100</v>
      </c>
      <c r="F21" s="237"/>
      <c r="G21" s="106"/>
      <c r="H21" s="239"/>
    </row>
    <row r="22" spans="2:8" x14ac:dyDescent="0.3">
      <c r="B22" s="234" t="s">
        <v>299</v>
      </c>
      <c r="C22" s="234" t="s">
        <v>290</v>
      </c>
      <c r="D22" s="234" t="s">
        <v>97</v>
      </c>
      <c r="E22" s="22" t="s">
        <v>99</v>
      </c>
      <c r="F22" s="236"/>
      <c r="G22" s="106"/>
      <c r="H22" s="238" t="e">
        <f>SUM(G22:G23)/F22*$C$2</f>
        <v>#DIV/0!</v>
      </c>
    </row>
    <row r="23" spans="2:8" x14ac:dyDescent="0.3">
      <c r="B23" s="235"/>
      <c r="C23" s="235"/>
      <c r="D23" s="235"/>
      <c r="E23" s="8" t="s">
        <v>100</v>
      </c>
      <c r="F23" s="237"/>
      <c r="G23" s="106"/>
      <c r="H23" s="239"/>
    </row>
    <row r="24" spans="2:8" x14ac:dyDescent="0.3">
      <c r="B24" s="234" t="s">
        <v>299</v>
      </c>
      <c r="C24" s="234" t="s">
        <v>300</v>
      </c>
      <c r="D24" s="234" t="s">
        <v>97</v>
      </c>
      <c r="E24" s="22" t="s">
        <v>99</v>
      </c>
      <c r="F24" s="236">
        <f>G24</f>
        <v>0</v>
      </c>
      <c r="G24" s="106"/>
      <c r="H24" s="238" t="e">
        <f>SUM(G24:G25)/F24*$C$2</f>
        <v>#DIV/0!</v>
      </c>
    </row>
    <row r="25" spans="2:8" x14ac:dyDescent="0.3">
      <c r="B25" s="235"/>
      <c r="C25" s="235"/>
      <c r="D25" s="235"/>
      <c r="E25" s="8" t="s">
        <v>100</v>
      </c>
      <c r="F25" s="237"/>
      <c r="G25" s="106"/>
      <c r="H25" s="239"/>
    </row>
    <row r="26" spans="2:8" x14ac:dyDescent="0.3">
      <c r="E26" s="24"/>
    </row>
    <row r="27" spans="2:8" x14ac:dyDescent="0.3">
      <c r="E27" s="24"/>
    </row>
    <row r="28" spans="2:8" x14ac:dyDescent="0.3">
      <c r="E28" s="24"/>
    </row>
    <row r="29" spans="2:8" x14ac:dyDescent="0.3">
      <c r="E29" s="24"/>
    </row>
    <row r="30" spans="2:8" x14ac:dyDescent="0.3">
      <c r="E30" s="24"/>
    </row>
    <row r="31" spans="2:8" x14ac:dyDescent="0.3">
      <c r="E31" s="24"/>
    </row>
    <row r="32" spans="2:8" x14ac:dyDescent="0.3">
      <c r="E32" s="24"/>
    </row>
    <row r="33" spans="5:5" x14ac:dyDescent="0.3">
      <c r="E33" s="24"/>
    </row>
    <row r="34" spans="5:5" x14ac:dyDescent="0.3">
      <c r="E34" s="24"/>
    </row>
    <row r="35" spans="5:5" x14ac:dyDescent="0.3">
      <c r="E35" s="24"/>
    </row>
    <row r="36" spans="5:5" x14ac:dyDescent="0.3">
      <c r="E36" s="24"/>
    </row>
    <row r="37" spans="5:5" x14ac:dyDescent="0.3">
      <c r="E37" s="24"/>
    </row>
    <row r="38" spans="5:5" x14ac:dyDescent="0.3">
      <c r="E38" s="24"/>
    </row>
    <row r="39" spans="5:5" x14ac:dyDescent="0.3">
      <c r="E39" s="24"/>
    </row>
    <row r="40" spans="5:5" x14ac:dyDescent="0.3">
      <c r="E40" s="24"/>
    </row>
    <row r="41" spans="5:5" x14ac:dyDescent="0.3">
      <c r="E41" s="24"/>
    </row>
    <row r="42" spans="5:5" x14ac:dyDescent="0.3">
      <c r="E42" s="24"/>
    </row>
  </sheetData>
  <mergeCells count="50">
    <mergeCell ref="B5:B6"/>
    <mergeCell ref="C5:C6"/>
    <mergeCell ref="D5:D6"/>
    <mergeCell ref="F5:F6"/>
    <mergeCell ref="B13:B14"/>
    <mergeCell ref="C13:C14"/>
    <mergeCell ref="D13:D14"/>
    <mergeCell ref="F13:F14"/>
    <mergeCell ref="B9:B10"/>
    <mergeCell ref="C9:C10"/>
    <mergeCell ref="D9:D10"/>
    <mergeCell ref="F9:F10"/>
    <mergeCell ref="B7:B8"/>
    <mergeCell ref="C7:C8"/>
    <mergeCell ref="D7:D8"/>
    <mergeCell ref="F7:F8"/>
    <mergeCell ref="H5:H6"/>
    <mergeCell ref="H7:H8"/>
    <mergeCell ref="H9:H10"/>
    <mergeCell ref="H11:H12"/>
    <mergeCell ref="H13:H14"/>
    <mergeCell ref="B11:B12"/>
    <mergeCell ref="C11:C12"/>
    <mergeCell ref="D11:D12"/>
    <mergeCell ref="F11:F12"/>
    <mergeCell ref="B16:B17"/>
    <mergeCell ref="C16:C17"/>
    <mergeCell ref="D16:D17"/>
    <mergeCell ref="F16:F17"/>
    <mergeCell ref="H16:H17"/>
    <mergeCell ref="B20:B21"/>
    <mergeCell ref="C20:C21"/>
    <mergeCell ref="D20:D21"/>
    <mergeCell ref="F20:F21"/>
    <mergeCell ref="H20:H21"/>
    <mergeCell ref="B18:B19"/>
    <mergeCell ref="C18:C19"/>
    <mergeCell ref="D18:D19"/>
    <mergeCell ref="F18:F19"/>
    <mergeCell ref="H18:H19"/>
    <mergeCell ref="B24:B25"/>
    <mergeCell ref="C24:C25"/>
    <mergeCell ref="D24:D25"/>
    <mergeCell ref="F24:F25"/>
    <mergeCell ref="H24:H25"/>
    <mergeCell ref="B22:B23"/>
    <mergeCell ref="C22:C23"/>
    <mergeCell ref="D22:D23"/>
    <mergeCell ref="F22:F23"/>
    <mergeCell ref="H22:H23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S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3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3" ht="15.9" customHeight="1" x14ac:dyDescent="0.3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3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3" ht="15.9" customHeight="1" x14ac:dyDescent="0.3">
      <c r="A4" s="29" t="str" cm="1">
        <f t="array" ref="A4:B23">Overview!A43:B62</f>
        <v>WW</v>
      </c>
      <c r="B4" s="8" t="str">
        <v>Wild</v>
      </c>
      <c r="C4" s="98">
        <f t="shared" ref="C4:C23" si="0">COUNTIF(K:K, $A4)</f>
        <v>0</v>
      </c>
      <c r="D4" s="98">
        <f t="shared" ref="D4:D23" si="1">COUNTIF(L:L, $A4)</f>
        <v>0</v>
      </c>
      <c r="E4" s="98">
        <f t="shared" ref="E4:E23" si="2">COUNTIF(M:M, $A4)</f>
        <v>0</v>
      </c>
      <c r="F4" s="98">
        <f t="shared" ref="F4:F23" si="3">COUNTIF(N:N, $A4)</f>
        <v>0</v>
      </c>
      <c r="G4" s="98">
        <f t="shared" ref="G4:G23" si="4">COUNTIF(O:O, $A4)</f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19</v>
      </c>
      <c r="L4" s="26" t="s">
        <v>105</v>
      </c>
      <c r="M4" s="26" t="s">
        <v>104</v>
      </c>
      <c r="N4" s="26" t="s">
        <v>36</v>
      </c>
      <c r="O4" s="26" t="s">
        <v>37</v>
      </c>
      <c r="Q4" s="25" cm="1">
        <f t="array" ref="Q4:U304">_xlfn.LET(_xlpm.x, K4:O304, IF(_xlpm.x="", "", _xlfn.XLOOKUP(_xlpm.x, $A$4:$A$23,_xlfn.ANCHORARRAY( H4))))</f>
        <v>5</v>
      </c>
      <c r="R4" s="25">
        <v>15</v>
      </c>
      <c r="S4" s="25">
        <v>6</v>
      </c>
      <c r="T4" s="25">
        <v>10</v>
      </c>
      <c r="U4" s="25">
        <v>7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3" ht="15.9" customHeight="1" x14ac:dyDescent="0.3">
      <c r="A5" s="29" t="str">
        <v>C1</v>
      </c>
      <c r="B5" s="8" t="str">
        <v>Scatter</v>
      </c>
      <c r="C5" s="98">
        <f t="shared" si="0"/>
        <v>0</v>
      </c>
      <c r="D5" s="98">
        <f t="shared" si="1"/>
        <v>6</v>
      </c>
      <c r="E5" s="98">
        <f t="shared" si="2"/>
        <v>0</v>
      </c>
      <c r="F5" s="98">
        <f t="shared" si="3"/>
        <v>9</v>
      </c>
      <c r="G5" s="98">
        <f t="shared" si="4"/>
        <v>0</v>
      </c>
      <c r="H5" s="8">
        <v>1</v>
      </c>
      <c r="I5" s="86"/>
      <c r="J5" s="9">
        <v>1</v>
      </c>
      <c r="K5" s="16" t="s">
        <v>104</v>
      </c>
      <c r="L5" s="16" t="s">
        <v>102</v>
      </c>
      <c r="M5" s="16" t="s">
        <v>19</v>
      </c>
      <c r="N5" s="16" t="s">
        <v>36</v>
      </c>
      <c r="O5" s="16" t="s">
        <v>18</v>
      </c>
      <c r="Q5" s="9">
        <v>6</v>
      </c>
      <c r="R5" s="9">
        <v>17</v>
      </c>
      <c r="S5" s="9">
        <v>5</v>
      </c>
      <c r="T5" s="9">
        <v>10</v>
      </c>
      <c r="U5" s="9">
        <v>4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3" ht="15.9" customHeight="1" x14ac:dyDescent="0.3">
      <c r="A6" s="128" t="str">
        <v>M1</v>
      </c>
      <c r="B6" s="108" t="str">
        <v>M1</v>
      </c>
      <c r="C6" s="128">
        <f t="shared" si="0"/>
        <v>4</v>
      </c>
      <c r="D6" s="128">
        <f t="shared" si="1"/>
        <v>22</v>
      </c>
      <c r="E6" s="128">
        <f t="shared" si="2"/>
        <v>5</v>
      </c>
      <c r="F6" s="128">
        <f t="shared" si="3"/>
        <v>21</v>
      </c>
      <c r="G6" s="128">
        <f t="shared" si="4"/>
        <v>23</v>
      </c>
      <c r="H6" s="108">
        <v>2</v>
      </c>
      <c r="I6" s="86"/>
      <c r="J6" s="25">
        <v>2</v>
      </c>
      <c r="K6" s="16" t="s">
        <v>36</v>
      </c>
      <c r="L6" s="16" t="s">
        <v>20</v>
      </c>
      <c r="M6" s="16" t="s">
        <v>35</v>
      </c>
      <c r="N6" s="16" t="s">
        <v>95</v>
      </c>
      <c r="O6" s="16" t="s">
        <v>21</v>
      </c>
      <c r="Q6" s="9">
        <v>10</v>
      </c>
      <c r="R6" s="9">
        <v>1</v>
      </c>
      <c r="S6" s="9">
        <v>8</v>
      </c>
      <c r="T6" s="9">
        <v>19</v>
      </c>
      <c r="U6" s="9">
        <v>2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 cm="1">
        <f t="array" ref="AK6:AO25">$AD$6:$AH$25</f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3" ht="15.9" customHeight="1" x14ac:dyDescent="0.3">
      <c r="A7" s="128" t="str">
        <v>M2</v>
      </c>
      <c r="B7" s="108" t="str">
        <v>M2</v>
      </c>
      <c r="C7" s="128">
        <f t="shared" si="0"/>
        <v>4</v>
      </c>
      <c r="D7" s="128">
        <f t="shared" si="1"/>
        <v>10</v>
      </c>
      <c r="E7" s="128">
        <f t="shared" si="2"/>
        <v>5</v>
      </c>
      <c r="F7" s="128">
        <f t="shared" si="3"/>
        <v>21</v>
      </c>
      <c r="G7" s="128">
        <f t="shared" si="4"/>
        <v>23</v>
      </c>
      <c r="H7" s="108">
        <v>3</v>
      </c>
      <c r="I7" s="86"/>
      <c r="J7" s="9">
        <v>3</v>
      </c>
      <c r="K7" s="16" t="s">
        <v>37</v>
      </c>
      <c r="L7" s="26" t="s">
        <v>36</v>
      </c>
      <c r="M7" s="16" t="s">
        <v>19</v>
      </c>
      <c r="N7" s="16" t="s">
        <v>21</v>
      </c>
      <c r="O7" s="16" t="s">
        <v>19</v>
      </c>
      <c r="Q7" s="9">
        <v>7</v>
      </c>
      <c r="R7" s="9">
        <v>10</v>
      </c>
      <c r="S7" s="9">
        <v>5</v>
      </c>
      <c r="T7" s="9">
        <v>2</v>
      </c>
      <c r="U7" s="9">
        <v>5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0</v>
      </c>
      <c r="AE7" s="133">
        <v>6</v>
      </c>
      <c r="AF7" s="133">
        <v>0</v>
      </c>
      <c r="AG7" s="133">
        <v>9</v>
      </c>
      <c r="AH7" s="133">
        <v>0</v>
      </c>
      <c r="AI7" s="5"/>
      <c r="AJ7" s="133" t="str">
        <v>C1</v>
      </c>
      <c r="AK7" s="133">
        <v>0</v>
      </c>
      <c r="AL7" s="133">
        <v>6</v>
      </c>
      <c r="AM7" s="133">
        <v>0</v>
      </c>
      <c r="AN7" s="133">
        <v>9</v>
      </c>
      <c r="AO7" s="133">
        <v>0</v>
      </c>
    </row>
    <row r="8" spans="1:43" ht="15.9" customHeight="1" x14ac:dyDescent="0.3">
      <c r="A8" s="128" t="str">
        <v>M3</v>
      </c>
      <c r="B8" s="108" t="str">
        <v>M3</v>
      </c>
      <c r="C8" s="128">
        <f t="shared" si="0"/>
        <v>4</v>
      </c>
      <c r="D8" s="128">
        <f t="shared" si="1"/>
        <v>9</v>
      </c>
      <c r="E8" s="128">
        <f t="shared" si="2"/>
        <v>5</v>
      </c>
      <c r="F8" s="128">
        <f t="shared" si="3"/>
        <v>21</v>
      </c>
      <c r="G8" s="128">
        <f t="shared" si="4"/>
        <v>22</v>
      </c>
      <c r="H8" s="108">
        <v>4</v>
      </c>
      <c r="I8" s="86"/>
      <c r="J8" s="25">
        <v>4</v>
      </c>
      <c r="K8" s="16" t="s">
        <v>104</v>
      </c>
      <c r="L8" s="16" t="s">
        <v>86</v>
      </c>
      <c r="M8" s="16" t="s">
        <v>18</v>
      </c>
      <c r="N8" s="16" t="s">
        <v>87</v>
      </c>
      <c r="O8" s="16" t="s">
        <v>37</v>
      </c>
      <c r="Q8" s="9">
        <v>6</v>
      </c>
      <c r="R8" s="9">
        <v>11</v>
      </c>
      <c r="S8" s="9">
        <v>4</v>
      </c>
      <c r="T8" s="9">
        <v>12</v>
      </c>
      <c r="U8" s="9">
        <v>7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8" t="str">
        <v>M1</v>
      </c>
      <c r="AD8" s="128">
        <v>4</v>
      </c>
      <c r="AE8" s="128">
        <v>22</v>
      </c>
      <c r="AF8" s="128">
        <v>5</v>
      </c>
      <c r="AG8" s="128">
        <v>21</v>
      </c>
      <c r="AH8" s="128">
        <v>23</v>
      </c>
      <c r="AI8" s="5"/>
      <c r="AJ8" s="148" t="str">
        <v>M1</v>
      </c>
      <c r="AK8" s="128">
        <v>4</v>
      </c>
      <c r="AL8" s="128">
        <v>22</v>
      </c>
      <c r="AM8" s="128">
        <v>5</v>
      </c>
      <c r="AN8" s="128">
        <v>21</v>
      </c>
      <c r="AO8" s="128">
        <v>23</v>
      </c>
    </row>
    <row r="9" spans="1:43" ht="15.9" customHeight="1" x14ac:dyDescent="0.3">
      <c r="A9" s="128" t="str">
        <v>M4</v>
      </c>
      <c r="B9" s="108" t="str">
        <v>M4</v>
      </c>
      <c r="C9" s="128">
        <f t="shared" si="0"/>
        <v>43</v>
      </c>
      <c r="D9" s="128">
        <f t="shared" si="1"/>
        <v>13</v>
      </c>
      <c r="E9" s="128">
        <f t="shared" si="2"/>
        <v>41</v>
      </c>
      <c r="F9" s="128">
        <f t="shared" si="3"/>
        <v>14</v>
      </c>
      <c r="G9" s="128">
        <f t="shared" si="4"/>
        <v>22</v>
      </c>
      <c r="H9" s="108">
        <v>5</v>
      </c>
      <c r="I9" s="86"/>
      <c r="J9" s="9">
        <v>5</v>
      </c>
      <c r="K9" s="16" t="s">
        <v>35</v>
      </c>
      <c r="L9" s="16" t="s">
        <v>35</v>
      </c>
      <c r="M9" s="16" t="s">
        <v>19</v>
      </c>
      <c r="N9" s="16" t="s">
        <v>21</v>
      </c>
      <c r="O9" s="16" t="s">
        <v>35</v>
      </c>
      <c r="Q9" s="9">
        <v>8</v>
      </c>
      <c r="R9" s="9">
        <v>8</v>
      </c>
      <c r="S9" s="9">
        <v>5</v>
      </c>
      <c r="T9" s="9">
        <v>2</v>
      </c>
      <c r="U9" s="9">
        <v>8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8" t="str">
        <v>M2</v>
      </c>
      <c r="AD9" s="128">
        <v>4</v>
      </c>
      <c r="AE9" s="128">
        <v>10</v>
      </c>
      <c r="AF9" s="128">
        <v>5</v>
      </c>
      <c r="AG9" s="128">
        <v>21</v>
      </c>
      <c r="AH9" s="128">
        <v>23</v>
      </c>
      <c r="AI9" s="5"/>
      <c r="AJ9" s="148" t="str">
        <v>M2</v>
      </c>
      <c r="AK9" s="128">
        <v>4</v>
      </c>
      <c r="AL9" s="128">
        <v>10</v>
      </c>
      <c r="AM9" s="128">
        <v>5</v>
      </c>
      <c r="AN9" s="128">
        <v>21</v>
      </c>
      <c r="AO9" s="128">
        <v>23</v>
      </c>
    </row>
    <row r="10" spans="1:43" ht="15.9" customHeight="1" x14ac:dyDescent="0.3">
      <c r="A10" s="128" t="str">
        <v>M5</v>
      </c>
      <c r="B10" s="108" t="str">
        <v>M5</v>
      </c>
      <c r="C10" s="128">
        <f t="shared" si="0"/>
        <v>43</v>
      </c>
      <c r="D10" s="128">
        <f t="shared" si="1"/>
        <v>14</v>
      </c>
      <c r="E10" s="128">
        <f t="shared" si="2"/>
        <v>41</v>
      </c>
      <c r="F10" s="128">
        <f t="shared" si="3"/>
        <v>14</v>
      </c>
      <c r="G10" s="128">
        <f t="shared" si="4"/>
        <v>22</v>
      </c>
      <c r="H10" s="108">
        <v>6</v>
      </c>
      <c r="I10" s="86"/>
      <c r="J10" s="25">
        <v>6</v>
      </c>
      <c r="K10" s="16" t="s">
        <v>104</v>
      </c>
      <c r="L10" s="16" t="s">
        <v>86</v>
      </c>
      <c r="M10" s="16" t="s">
        <v>37</v>
      </c>
      <c r="N10" s="16" t="s">
        <v>19</v>
      </c>
      <c r="O10" s="16" t="s">
        <v>37</v>
      </c>
      <c r="Q10" s="9">
        <v>6</v>
      </c>
      <c r="R10" s="9">
        <v>11</v>
      </c>
      <c r="S10" s="9">
        <v>7</v>
      </c>
      <c r="T10" s="9">
        <v>5</v>
      </c>
      <c r="U10" s="9">
        <v>7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8" t="str">
        <v>M3</v>
      </c>
      <c r="AD10" s="128">
        <v>4</v>
      </c>
      <c r="AE10" s="128">
        <v>9</v>
      </c>
      <c r="AF10" s="128">
        <v>5</v>
      </c>
      <c r="AG10" s="128">
        <v>21</v>
      </c>
      <c r="AH10" s="128">
        <v>22</v>
      </c>
      <c r="AI10" s="5"/>
      <c r="AJ10" s="148" t="str">
        <v>M3</v>
      </c>
      <c r="AK10" s="128">
        <v>4</v>
      </c>
      <c r="AL10" s="128">
        <v>9</v>
      </c>
      <c r="AM10" s="128">
        <v>5</v>
      </c>
      <c r="AN10" s="128">
        <v>21</v>
      </c>
      <c r="AO10" s="128">
        <v>22</v>
      </c>
    </row>
    <row r="11" spans="1:43" ht="15.9" customHeight="1" x14ac:dyDescent="0.3">
      <c r="A11" s="128" t="str">
        <v>A</v>
      </c>
      <c r="B11" s="108" t="str">
        <v>A</v>
      </c>
      <c r="C11" s="128">
        <f t="shared" si="0"/>
        <v>47</v>
      </c>
      <c r="D11" s="128">
        <f t="shared" si="1"/>
        <v>14</v>
      </c>
      <c r="E11" s="128">
        <f t="shared" si="2"/>
        <v>41</v>
      </c>
      <c r="F11" s="128">
        <f t="shared" si="3"/>
        <v>14</v>
      </c>
      <c r="G11" s="128">
        <f t="shared" si="4"/>
        <v>22</v>
      </c>
      <c r="H11" s="108">
        <v>7</v>
      </c>
      <c r="I11" s="86"/>
      <c r="J11" s="9">
        <v>7</v>
      </c>
      <c r="K11" s="16" t="s">
        <v>35</v>
      </c>
      <c r="L11" s="16" t="s">
        <v>86</v>
      </c>
      <c r="M11" s="16" t="s">
        <v>19</v>
      </c>
      <c r="N11" s="16" t="s">
        <v>20</v>
      </c>
      <c r="O11" s="16" t="s">
        <v>37</v>
      </c>
      <c r="Q11" s="9">
        <v>8</v>
      </c>
      <c r="R11" s="9">
        <v>11</v>
      </c>
      <c r="S11" s="9">
        <v>5</v>
      </c>
      <c r="T11" s="9">
        <v>1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8" t="str">
        <v>M4</v>
      </c>
      <c r="AD11" s="128">
        <v>43</v>
      </c>
      <c r="AE11" s="128">
        <v>13</v>
      </c>
      <c r="AF11" s="128">
        <v>41</v>
      </c>
      <c r="AG11" s="128">
        <v>14</v>
      </c>
      <c r="AH11" s="128">
        <v>22</v>
      </c>
      <c r="AI11" s="5"/>
      <c r="AJ11" s="148" t="str">
        <v>M4</v>
      </c>
      <c r="AK11" s="128">
        <v>43</v>
      </c>
      <c r="AL11" s="128">
        <v>13</v>
      </c>
      <c r="AM11" s="128">
        <v>41</v>
      </c>
      <c r="AN11" s="128">
        <v>14</v>
      </c>
      <c r="AO11" s="128">
        <v>22</v>
      </c>
    </row>
    <row r="12" spans="1:43" ht="15.9" customHeight="1" x14ac:dyDescent="0.3">
      <c r="A12" s="128" t="str">
        <v>K</v>
      </c>
      <c r="B12" s="108" t="str">
        <v>K</v>
      </c>
      <c r="C12" s="128">
        <f t="shared" si="0"/>
        <v>47</v>
      </c>
      <c r="D12" s="128">
        <f t="shared" si="1"/>
        <v>18</v>
      </c>
      <c r="E12" s="128">
        <f t="shared" si="2"/>
        <v>41</v>
      </c>
      <c r="F12" s="128">
        <f t="shared" si="3"/>
        <v>14</v>
      </c>
      <c r="G12" s="128">
        <f t="shared" si="4"/>
        <v>22</v>
      </c>
      <c r="H12" s="108">
        <v>8</v>
      </c>
      <c r="I12" s="86"/>
      <c r="J12" s="25">
        <v>8</v>
      </c>
      <c r="K12" s="16" t="s">
        <v>104</v>
      </c>
      <c r="L12" s="16" t="s">
        <v>36</v>
      </c>
      <c r="M12" s="16" t="s">
        <v>104</v>
      </c>
      <c r="N12" s="16" t="s">
        <v>34</v>
      </c>
      <c r="O12" s="16" t="s">
        <v>18</v>
      </c>
      <c r="Q12" s="9">
        <v>6</v>
      </c>
      <c r="R12" s="9">
        <v>10</v>
      </c>
      <c r="S12" s="9">
        <v>6</v>
      </c>
      <c r="T12" s="9">
        <v>9</v>
      </c>
      <c r="U12" s="9">
        <v>4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8" t="str">
        <v>M5</v>
      </c>
      <c r="AD12" s="128">
        <v>43</v>
      </c>
      <c r="AE12" s="128">
        <v>14</v>
      </c>
      <c r="AF12" s="128">
        <v>41</v>
      </c>
      <c r="AG12" s="128">
        <v>14</v>
      </c>
      <c r="AH12" s="128">
        <v>22</v>
      </c>
      <c r="AI12" s="5"/>
      <c r="AJ12" s="148" t="str">
        <v>M5</v>
      </c>
      <c r="AK12" s="128">
        <v>43</v>
      </c>
      <c r="AL12" s="128">
        <v>14</v>
      </c>
      <c r="AM12" s="128">
        <v>41</v>
      </c>
      <c r="AN12" s="128">
        <v>14</v>
      </c>
      <c r="AO12" s="128">
        <v>22</v>
      </c>
    </row>
    <row r="13" spans="1:43" ht="15.9" customHeight="1" x14ac:dyDescent="0.3">
      <c r="A13" s="128" t="str">
        <v>Q</v>
      </c>
      <c r="B13" s="108" t="str">
        <v>Q</v>
      </c>
      <c r="C13" s="128">
        <f t="shared" si="0"/>
        <v>4</v>
      </c>
      <c r="D13" s="128">
        <f t="shared" si="1"/>
        <v>5</v>
      </c>
      <c r="E13" s="128">
        <f t="shared" si="2"/>
        <v>5</v>
      </c>
      <c r="F13" s="128">
        <f t="shared" si="3"/>
        <v>20</v>
      </c>
      <c r="G13" s="128">
        <f t="shared" si="4"/>
        <v>22</v>
      </c>
      <c r="H13" s="108">
        <v>9</v>
      </c>
      <c r="I13" s="86"/>
      <c r="J13" s="9">
        <v>9</v>
      </c>
      <c r="K13" s="16" t="s">
        <v>35</v>
      </c>
      <c r="L13" s="16" t="s">
        <v>18</v>
      </c>
      <c r="M13" s="16" t="s">
        <v>34</v>
      </c>
      <c r="N13" s="16" t="s">
        <v>34</v>
      </c>
      <c r="O13" s="16" t="s">
        <v>104</v>
      </c>
      <c r="Q13" s="9">
        <v>8</v>
      </c>
      <c r="R13" s="9">
        <v>4</v>
      </c>
      <c r="S13" s="9">
        <v>9</v>
      </c>
      <c r="T13" s="9">
        <v>9</v>
      </c>
      <c r="U13" s="9">
        <v>6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8" t="str">
        <v>A</v>
      </c>
      <c r="AD13" s="128">
        <v>47</v>
      </c>
      <c r="AE13" s="128">
        <v>14</v>
      </c>
      <c r="AF13" s="128">
        <v>41</v>
      </c>
      <c r="AG13" s="128">
        <v>14</v>
      </c>
      <c r="AH13" s="128">
        <v>22</v>
      </c>
      <c r="AI13" s="5"/>
      <c r="AJ13" s="148" t="str">
        <v>A</v>
      </c>
      <c r="AK13" s="128">
        <v>47</v>
      </c>
      <c r="AL13" s="128">
        <v>14</v>
      </c>
      <c r="AM13" s="128">
        <v>41</v>
      </c>
      <c r="AN13" s="128">
        <v>14</v>
      </c>
      <c r="AO13" s="128">
        <v>22</v>
      </c>
    </row>
    <row r="14" spans="1:43" ht="15.9" customHeight="1" x14ac:dyDescent="0.3">
      <c r="A14" s="128" t="str">
        <v>J</v>
      </c>
      <c r="B14" s="108" t="str">
        <v>J</v>
      </c>
      <c r="C14" s="128">
        <f t="shared" si="0"/>
        <v>4</v>
      </c>
      <c r="D14" s="128">
        <f t="shared" si="1"/>
        <v>9</v>
      </c>
      <c r="E14" s="128">
        <f t="shared" si="2"/>
        <v>4</v>
      </c>
      <c r="F14" s="128">
        <f t="shared" si="3"/>
        <v>20</v>
      </c>
      <c r="G14" s="128">
        <f t="shared" si="4"/>
        <v>22</v>
      </c>
      <c r="H14" s="108">
        <v>10</v>
      </c>
      <c r="I14" s="86"/>
      <c r="J14" s="25">
        <v>10</v>
      </c>
      <c r="K14" s="16" t="s">
        <v>104</v>
      </c>
      <c r="L14" s="16" t="s">
        <v>21</v>
      </c>
      <c r="M14" s="16" t="s">
        <v>104</v>
      </c>
      <c r="N14" s="16" t="s">
        <v>36</v>
      </c>
      <c r="O14" s="16" t="s">
        <v>34</v>
      </c>
      <c r="Q14" s="9">
        <v>6</v>
      </c>
      <c r="R14" s="9">
        <v>2</v>
      </c>
      <c r="S14" s="9">
        <v>6</v>
      </c>
      <c r="T14" s="9">
        <v>10</v>
      </c>
      <c r="U14" s="9">
        <v>9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8" t="str">
        <v>K</v>
      </c>
      <c r="AD14" s="128">
        <v>47</v>
      </c>
      <c r="AE14" s="128">
        <v>18</v>
      </c>
      <c r="AF14" s="128">
        <v>41</v>
      </c>
      <c r="AG14" s="128">
        <v>14</v>
      </c>
      <c r="AH14" s="128">
        <v>22</v>
      </c>
      <c r="AI14" s="5"/>
      <c r="AJ14" s="148" t="str">
        <v>K</v>
      </c>
      <c r="AK14" s="128">
        <v>47</v>
      </c>
      <c r="AL14" s="128">
        <v>18</v>
      </c>
      <c r="AM14" s="128">
        <v>41</v>
      </c>
      <c r="AN14" s="128">
        <v>14</v>
      </c>
      <c r="AO14" s="128">
        <v>22</v>
      </c>
    </row>
    <row r="15" spans="1:43" ht="15.9" customHeight="1" x14ac:dyDescent="0.3">
      <c r="A15" s="29" t="str">
        <v>G1</v>
      </c>
      <c r="B15" s="8" t="str">
        <v>Rainbow M1</v>
      </c>
      <c r="C15" s="98">
        <f t="shared" si="0"/>
        <v>0</v>
      </c>
      <c r="D15" s="98">
        <f t="shared" si="1"/>
        <v>16</v>
      </c>
      <c r="E15" s="98">
        <f t="shared" si="2"/>
        <v>0</v>
      </c>
      <c r="F15" s="98">
        <f t="shared" si="3"/>
        <v>4</v>
      </c>
      <c r="G15" s="98">
        <f t="shared" si="4"/>
        <v>0</v>
      </c>
      <c r="H15" s="8">
        <v>11</v>
      </c>
      <c r="I15" s="86"/>
      <c r="J15" s="9">
        <v>11</v>
      </c>
      <c r="K15" s="16" t="s">
        <v>104</v>
      </c>
      <c r="L15" s="16" t="s">
        <v>93</v>
      </c>
      <c r="M15" s="16" t="s">
        <v>35</v>
      </c>
      <c r="N15" s="16" t="s">
        <v>22</v>
      </c>
      <c r="O15" s="16" t="s">
        <v>35</v>
      </c>
      <c r="Q15" s="9">
        <v>6</v>
      </c>
      <c r="R15" s="9">
        <v>18</v>
      </c>
      <c r="S15" s="9">
        <v>8</v>
      </c>
      <c r="T15" s="9">
        <v>3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8" t="str">
        <v>Q</v>
      </c>
      <c r="AD15" s="128">
        <v>4</v>
      </c>
      <c r="AE15" s="128">
        <v>5</v>
      </c>
      <c r="AF15" s="128">
        <v>5</v>
      </c>
      <c r="AG15" s="128">
        <v>20</v>
      </c>
      <c r="AH15" s="128">
        <v>22</v>
      </c>
      <c r="AI15" s="5"/>
      <c r="AJ15" s="148" t="str">
        <v>Q</v>
      </c>
      <c r="AK15" s="128">
        <v>4</v>
      </c>
      <c r="AL15" s="128">
        <v>5</v>
      </c>
      <c r="AM15" s="128">
        <v>5</v>
      </c>
      <c r="AN15" s="128">
        <v>20</v>
      </c>
      <c r="AO15" s="128">
        <v>22</v>
      </c>
    </row>
    <row r="16" spans="1:43" ht="15.9" customHeight="1" x14ac:dyDescent="0.3">
      <c r="A16" s="29" t="str">
        <v>G2</v>
      </c>
      <c r="B16" s="8" t="str">
        <v>Rainbow M2</v>
      </c>
      <c r="C16" s="98">
        <f t="shared" si="0"/>
        <v>0</v>
      </c>
      <c r="D16" s="98">
        <f t="shared" si="1"/>
        <v>5</v>
      </c>
      <c r="E16" s="98">
        <f t="shared" si="2"/>
        <v>0</v>
      </c>
      <c r="F16" s="98">
        <f t="shared" si="3"/>
        <v>4</v>
      </c>
      <c r="G16" s="98">
        <f t="shared" si="4"/>
        <v>0</v>
      </c>
      <c r="H16" s="8">
        <v>12</v>
      </c>
      <c r="I16" s="86"/>
      <c r="J16" s="25">
        <v>12</v>
      </c>
      <c r="K16" s="16" t="s">
        <v>104</v>
      </c>
      <c r="L16" s="16" t="s">
        <v>19</v>
      </c>
      <c r="M16" s="16" t="s">
        <v>104</v>
      </c>
      <c r="N16" s="16" t="s">
        <v>37</v>
      </c>
      <c r="O16" s="16" t="s">
        <v>35</v>
      </c>
      <c r="Q16" s="9">
        <v>6</v>
      </c>
      <c r="R16" s="9">
        <v>5</v>
      </c>
      <c r="S16" s="9">
        <v>6</v>
      </c>
      <c r="T16" s="9">
        <v>7</v>
      </c>
      <c r="U16" s="9">
        <v>8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8" t="str">
        <v>J</v>
      </c>
      <c r="AD16" s="128">
        <v>4</v>
      </c>
      <c r="AE16" s="128">
        <v>9</v>
      </c>
      <c r="AF16" s="128">
        <v>4</v>
      </c>
      <c r="AG16" s="128">
        <v>20</v>
      </c>
      <c r="AH16" s="128">
        <v>22</v>
      </c>
      <c r="AI16" s="5"/>
      <c r="AJ16" s="148" t="str">
        <v>J</v>
      </c>
      <c r="AK16" s="128">
        <v>4</v>
      </c>
      <c r="AL16" s="128">
        <v>9</v>
      </c>
      <c r="AM16" s="128">
        <v>4</v>
      </c>
      <c r="AN16" s="128">
        <v>20</v>
      </c>
      <c r="AO16" s="128">
        <v>22</v>
      </c>
      <c r="AQ16" s="5">
        <v>1.5</v>
      </c>
    </row>
    <row r="17" spans="1:45" ht="15.9" customHeight="1" x14ac:dyDescent="0.3">
      <c r="A17" s="29" t="str">
        <v>G3</v>
      </c>
      <c r="B17" s="8" t="str">
        <v>Rainbow M3</v>
      </c>
      <c r="C17" s="98">
        <f t="shared" si="0"/>
        <v>0</v>
      </c>
      <c r="D17" s="98">
        <f t="shared" si="1"/>
        <v>7</v>
      </c>
      <c r="E17" s="98">
        <f t="shared" si="2"/>
        <v>0</v>
      </c>
      <c r="F17" s="98">
        <f t="shared" si="3"/>
        <v>4</v>
      </c>
      <c r="G17" s="98">
        <f t="shared" si="4"/>
        <v>0</v>
      </c>
      <c r="H17" s="8">
        <v>13</v>
      </c>
      <c r="I17" s="86"/>
      <c r="J17" s="9">
        <v>13</v>
      </c>
      <c r="K17" s="16" t="s">
        <v>35</v>
      </c>
      <c r="L17" s="16" t="s">
        <v>90</v>
      </c>
      <c r="M17" s="16" t="s">
        <v>35</v>
      </c>
      <c r="N17" s="16" t="s">
        <v>19</v>
      </c>
      <c r="O17" s="16" t="s">
        <v>18</v>
      </c>
      <c r="Q17" s="9">
        <v>8</v>
      </c>
      <c r="R17" s="9">
        <v>16</v>
      </c>
      <c r="S17" s="9">
        <v>8</v>
      </c>
      <c r="T17" s="9">
        <v>5</v>
      </c>
      <c r="U17" s="9">
        <v>4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48</v>
      </c>
      <c r="AF17" s="98">
        <v>0</v>
      </c>
      <c r="AG17" s="98">
        <v>12</v>
      </c>
      <c r="AH17" s="98">
        <v>0</v>
      </c>
      <c r="AI17" s="5"/>
      <c r="AJ17" s="133" t="str">
        <v>G1</v>
      </c>
      <c r="AK17" s="98">
        <v>0</v>
      </c>
      <c r="AL17" s="98">
        <v>48</v>
      </c>
      <c r="AM17" s="98">
        <v>0</v>
      </c>
      <c r="AN17" s="98">
        <v>12</v>
      </c>
      <c r="AO17" s="98">
        <v>0</v>
      </c>
      <c r="AQ17" s="5" cm="1">
        <f t="array" ref="AQ17:AS25">INT(AE17:AG25*AQ16)</f>
        <v>72</v>
      </c>
      <c r="AR17" s="5">
        <v>0</v>
      </c>
      <c r="AS17" s="5">
        <v>18</v>
      </c>
    </row>
    <row r="18" spans="1:45" ht="15.9" customHeight="1" x14ac:dyDescent="0.3">
      <c r="A18" s="29" t="str">
        <v>G4</v>
      </c>
      <c r="B18" s="8" t="str">
        <v>Rainbow M4</v>
      </c>
      <c r="C18" s="98">
        <f t="shared" si="0"/>
        <v>0</v>
      </c>
      <c r="D18" s="98">
        <f t="shared" si="1"/>
        <v>10</v>
      </c>
      <c r="E18" s="98">
        <f t="shared" si="2"/>
        <v>3</v>
      </c>
      <c r="F18" s="98">
        <f t="shared" si="3"/>
        <v>3</v>
      </c>
      <c r="G18" s="98">
        <f t="shared" si="4"/>
        <v>0</v>
      </c>
      <c r="H18" s="8">
        <v>14</v>
      </c>
      <c r="I18" s="86"/>
      <c r="J18" s="25">
        <v>14</v>
      </c>
      <c r="K18" s="16" t="s">
        <v>37</v>
      </c>
      <c r="L18" s="16" t="s">
        <v>18</v>
      </c>
      <c r="M18" s="16" t="s">
        <v>18</v>
      </c>
      <c r="N18" s="16" t="s">
        <v>20</v>
      </c>
      <c r="O18" s="16" t="s">
        <v>36</v>
      </c>
      <c r="Q18" s="9">
        <v>7</v>
      </c>
      <c r="R18" s="9">
        <v>4</v>
      </c>
      <c r="S18" s="9">
        <v>4</v>
      </c>
      <c r="T18" s="9">
        <v>1</v>
      </c>
      <c r="U18" s="9">
        <v>10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15</v>
      </c>
      <c r="AF18" s="98">
        <v>0</v>
      </c>
      <c r="AG18" s="98">
        <v>12</v>
      </c>
      <c r="AH18" s="98">
        <v>0</v>
      </c>
      <c r="AI18" s="5"/>
      <c r="AJ18" s="133" t="str">
        <v>G2</v>
      </c>
      <c r="AK18" s="98">
        <v>0</v>
      </c>
      <c r="AL18" s="98">
        <v>15</v>
      </c>
      <c r="AM18" s="98">
        <v>0</v>
      </c>
      <c r="AN18" s="98">
        <v>12</v>
      </c>
      <c r="AO18" s="98">
        <v>0</v>
      </c>
      <c r="AQ18" s="5">
        <v>22</v>
      </c>
      <c r="AR18" s="5">
        <v>0</v>
      </c>
      <c r="AS18" s="5">
        <v>18</v>
      </c>
    </row>
    <row r="19" spans="1:45" ht="15.9" customHeight="1" x14ac:dyDescent="0.3">
      <c r="A19" s="29" t="str">
        <v>G5</v>
      </c>
      <c r="B19" s="8" t="str">
        <v>Rainbow M5</v>
      </c>
      <c r="C19" s="98">
        <f t="shared" si="0"/>
        <v>0</v>
      </c>
      <c r="D19" s="98">
        <f t="shared" si="1"/>
        <v>11</v>
      </c>
      <c r="E19" s="98">
        <f t="shared" si="2"/>
        <v>3</v>
      </c>
      <c r="F19" s="98">
        <f t="shared" si="3"/>
        <v>3</v>
      </c>
      <c r="G19" s="98">
        <f t="shared" si="4"/>
        <v>0</v>
      </c>
      <c r="H19" s="8">
        <v>15</v>
      </c>
      <c r="I19" s="86"/>
      <c r="J19" s="9">
        <v>15</v>
      </c>
      <c r="K19" s="16" t="s">
        <v>21</v>
      </c>
      <c r="L19" s="16" t="s">
        <v>86</v>
      </c>
      <c r="M19" s="16" t="s">
        <v>35</v>
      </c>
      <c r="N19" s="16" t="s">
        <v>36</v>
      </c>
      <c r="O19" s="16" t="s">
        <v>37</v>
      </c>
      <c r="Q19" s="9">
        <v>2</v>
      </c>
      <c r="R19" s="9">
        <v>11</v>
      </c>
      <c r="S19" s="9">
        <v>8</v>
      </c>
      <c r="T19" s="9">
        <v>10</v>
      </c>
      <c r="U19" s="9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21</v>
      </c>
      <c r="AF19" s="98">
        <v>0</v>
      </c>
      <c r="AG19" s="98">
        <v>12</v>
      </c>
      <c r="AH19" s="98">
        <v>0</v>
      </c>
      <c r="AI19" s="5"/>
      <c r="AJ19" s="133" t="str">
        <v>G3</v>
      </c>
      <c r="AK19" s="98">
        <v>0</v>
      </c>
      <c r="AL19" s="98">
        <v>21</v>
      </c>
      <c r="AM19" s="98">
        <v>0</v>
      </c>
      <c r="AN19" s="98">
        <v>12</v>
      </c>
      <c r="AO19" s="98">
        <v>0</v>
      </c>
      <c r="AQ19" s="5">
        <v>31</v>
      </c>
      <c r="AR19" s="5">
        <v>0</v>
      </c>
      <c r="AS19" s="5">
        <v>18</v>
      </c>
    </row>
    <row r="20" spans="1:45" ht="15.9" customHeight="1" x14ac:dyDescent="0.3">
      <c r="A20" s="29" t="str">
        <v>GA</v>
      </c>
      <c r="B20" s="8" t="str">
        <v>Rainbow A</v>
      </c>
      <c r="C20" s="98">
        <f t="shared" si="0"/>
        <v>0</v>
      </c>
      <c r="D20" s="98">
        <f t="shared" si="1"/>
        <v>11</v>
      </c>
      <c r="E20" s="98">
        <f t="shared" si="2"/>
        <v>3</v>
      </c>
      <c r="F20" s="98">
        <f t="shared" si="3"/>
        <v>3</v>
      </c>
      <c r="G20" s="98">
        <f t="shared" si="4"/>
        <v>0</v>
      </c>
      <c r="H20" s="8">
        <v>16</v>
      </c>
      <c r="I20" s="86"/>
      <c r="J20" s="25">
        <v>16</v>
      </c>
      <c r="K20" s="16" t="s">
        <v>18</v>
      </c>
      <c r="L20" s="16" t="s">
        <v>86</v>
      </c>
      <c r="M20" s="16" t="s">
        <v>19</v>
      </c>
      <c r="N20" s="16" t="s">
        <v>21</v>
      </c>
      <c r="O20" s="16" t="s">
        <v>21</v>
      </c>
      <c r="Q20" s="9">
        <v>4</v>
      </c>
      <c r="R20" s="9">
        <v>11</v>
      </c>
      <c r="S20" s="9">
        <v>5</v>
      </c>
      <c r="T20" s="9">
        <v>2</v>
      </c>
      <c r="U20" s="9">
        <v>2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30</v>
      </c>
      <c r="AF20" s="98">
        <v>9</v>
      </c>
      <c r="AG20" s="98">
        <v>9</v>
      </c>
      <c r="AH20" s="98">
        <v>0</v>
      </c>
      <c r="AI20" s="5"/>
      <c r="AJ20" s="133" t="str">
        <v>G4</v>
      </c>
      <c r="AK20" s="98">
        <v>0</v>
      </c>
      <c r="AL20" s="98">
        <v>30</v>
      </c>
      <c r="AM20" s="98">
        <v>9</v>
      </c>
      <c r="AN20" s="98">
        <v>9</v>
      </c>
      <c r="AO20" s="98">
        <v>0</v>
      </c>
      <c r="AQ20" s="5">
        <v>45</v>
      </c>
      <c r="AR20" s="5">
        <v>13</v>
      </c>
      <c r="AS20" s="5">
        <v>13</v>
      </c>
    </row>
    <row r="21" spans="1:45" ht="15.9" customHeight="1" x14ac:dyDescent="0.3">
      <c r="A21" s="29" t="str">
        <v>GK</v>
      </c>
      <c r="B21" s="8" t="str">
        <v>Rainbow K</v>
      </c>
      <c r="C21" s="98">
        <f t="shared" si="0"/>
        <v>0</v>
      </c>
      <c r="D21" s="98">
        <f t="shared" si="1"/>
        <v>8</v>
      </c>
      <c r="E21" s="98">
        <f t="shared" si="2"/>
        <v>3</v>
      </c>
      <c r="F21" s="98">
        <f t="shared" si="3"/>
        <v>3</v>
      </c>
      <c r="G21" s="98">
        <f t="shared" si="4"/>
        <v>0</v>
      </c>
      <c r="H21" s="8">
        <v>17</v>
      </c>
      <c r="I21" s="86"/>
      <c r="J21" s="9">
        <v>17</v>
      </c>
      <c r="K21" s="16" t="s">
        <v>19</v>
      </c>
      <c r="L21" s="16" t="s">
        <v>104</v>
      </c>
      <c r="M21" s="16" t="s">
        <v>37</v>
      </c>
      <c r="N21" s="16" t="s">
        <v>18</v>
      </c>
      <c r="O21" s="16" t="s">
        <v>18</v>
      </c>
      <c r="Q21" s="9">
        <v>5</v>
      </c>
      <c r="R21" s="9">
        <v>6</v>
      </c>
      <c r="S21" s="9">
        <v>7</v>
      </c>
      <c r="T21" s="9">
        <v>4</v>
      </c>
      <c r="U21" s="9">
        <v>4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33</v>
      </c>
      <c r="AF21" s="98">
        <v>9</v>
      </c>
      <c r="AG21" s="98">
        <v>9</v>
      </c>
      <c r="AH21" s="98">
        <v>0</v>
      </c>
      <c r="AI21" s="5"/>
      <c r="AJ21" s="133" t="str">
        <v>G5</v>
      </c>
      <c r="AK21" s="98">
        <v>0</v>
      </c>
      <c r="AL21" s="98">
        <v>33</v>
      </c>
      <c r="AM21" s="98">
        <v>9</v>
      </c>
      <c r="AN21" s="98">
        <v>9</v>
      </c>
      <c r="AO21" s="98">
        <v>0</v>
      </c>
      <c r="AQ21" s="5">
        <v>49</v>
      </c>
      <c r="AR21" s="5">
        <v>13</v>
      </c>
      <c r="AS21" s="5">
        <v>13</v>
      </c>
    </row>
    <row r="22" spans="1:45" ht="15.9" customHeight="1" x14ac:dyDescent="0.3">
      <c r="A22" s="29" t="str">
        <v>GQ</v>
      </c>
      <c r="B22" s="8" t="str">
        <v>Rainbow Q</v>
      </c>
      <c r="C22" s="98">
        <f t="shared" si="0"/>
        <v>0</v>
      </c>
      <c r="D22" s="98">
        <f t="shared" si="1"/>
        <v>6</v>
      </c>
      <c r="E22" s="98">
        <f t="shared" si="2"/>
        <v>0</v>
      </c>
      <c r="F22" s="98">
        <f t="shared" si="3"/>
        <v>4</v>
      </c>
      <c r="G22" s="98">
        <f t="shared" si="4"/>
        <v>0</v>
      </c>
      <c r="H22" s="8">
        <v>18</v>
      </c>
      <c r="I22" s="86"/>
      <c r="J22" s="25">
        <v>18</v>
      </c>
      <c r="K22" s="16" t="s">
        <v>19</v>
      </c>
      <c r="L22" s="16" t="s">
        <v>18</v>
      </c>
      <c r="M22" s="16" t="s">
        <v>19</v>
      </c>
      <c r="N22" s="16" t="s">
        <v>36</v>
      </c>
      <c r="O22" s="16" t="s">
        <v>18</v>
      </c>
      <c r="Q22" s="9">
        <v>5</v>
      </c>
      <c r="R22" s="9">
        <v>4</v>
      </c>
      <c r="S22" s="9">
        <v>5</v>
      </c>
      <c r="T22" s="9">
        <v>10</v>
      </c>
      <c r="U22" s="9">
        <v>4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33</v>
      </c>
      <c r="AF22" s="98">
        <v>9</v>
      </c>
      <c r="AG22" s="98">
        <v>9</v>
      </c>
      <c r="AH22" s="98">
        <v>0</v>
      </c>
      <c r="AI22" s="5"/>
      <c r="AJ22" s="133" t="str">
        <v>GA</v>
      </c>
      <c r="AK22" s="98">
        <v>0</v>
      </c>
      <c r="AL22" s="98">
        <v>33</v>
      </c>
      <c r="AM22" s="98">
        <v>9</v>
      </c>
      <c r="AN22" s="98">
        <v>9</v>
      </c>
      <c r="AO22" s="98">
        <v>0</v>
      </c>
      <c r="AQ22" s="5">
        <v>49</v>
      </c>
      <c r="AR22" s="5">
        <v>13</v>
      </c>
      <c r="AS22" s="5">
        <v>13</v>
      </c>
    </row>
    <row r="23" spans="1:45" ht="15.9" customHeight="1" x14ac:dyDescent="0.3">
      <c r="A23" s="29" t="str">
        <v>GJ</v>
      </c>
      <c r="B23" s="8" t="str">
        <v>Rainbow J</v>
      </c>
      <c r="C23" s="98">
        <f t="shared" si="0"/>
        <v>0</v>
      </c>
      <c r="D23" s="98">
        <f t="shared" si="1"/>
        <v>6</v>
      </c>
      <c r="E23" s="98">
        <f t="shared" si="2"/>
        <v>0</v>
      </c>
      <c r="F23" s="98">
        <f t="shared" si="3"/>
        <v>4</v>
      </c>
      <c r="G23" s="98">
        <f t="shared" si="4"/>
        <v>0</v>
      </c>
      <c r="H23" s="8">
        <v>19</v>
      </c>
      <c r="I23" s="86"/>
      <c r="J23" s="9">
        <v>19</v>
      </c>
      <c r="K23" s="16" t="s">
        <v>35</v>
      </c>
      <c r="L23" s="16" t="s">
        <v>90</v>
      </c>
      <c r="M23" s="16" t="s">
        <v>37</v>
      </c>
      <c r="N23" s="16" t="s">
        <v>34</v>
      </c>
      <c r="O23" s="16" t="s">
        <v>22</v>
      </c>
      <c r="Q23" s="9">
        <v>8</v>
      </c>
      <c r="R23" s="9">
        <v>16</v>
      </c>
      <c r="S23" s="9">
        <v>7</v>
      </c>
      <c r="T23" s="9">
        <v>9</v>
      </c>
      <c r="U23" s="9">
        <v>3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24</v>
      </c>
      <c r="AF23" s="98">
        <v>9</v>
      </c>
      <c r="AG23" s="98">
        <v>9</v>
      </c>
      <c r="AH23" s="98">
        <v>0</v>
      </c>
      <c r="AI23" s="5"/>
      <c r="AJ23" s="133" t="str">
        <v>GK</v>
      </c>
      <c r="AK23" s="98">
        <v>0</v>
      </c>
      <c r="AL23" s="98">
        <v>24</v>
      </c>
      <c r="AM23" s="98">
        <v>9</v>
      </c>
      <c r="AN23" s="98">
        <v>9</v>
      </c>
      <c r="AO23" s="98">
        <v>0</v>
      </c>
      <c r="AQ23" s="5">
        <v>36</v>
      </c>
      <c r="AR23" s="5">
        <v>13</v>
      </c>
      <c r="AS23" s="5">
        <v>13</v>
      </c>
    </row>
    <row r="24" spans="1:45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37</v>
      </c>
      <c r="M24" s="16" t="s">
        <v>19</v>
      </c>
      <c r="N24" s="16" t="s">
        <v>102</v>
      </c>
      <c r="O24" s="16" t="s">
        <v>37</v>
      </c>
      <c r="Q24" s="9">
        <v>7</v>
      </c>
      <c r="R24" s="9">
        <v>7</v>
      </c>
      <c r="S24" s="9">
        <v>5</v>
      </c>
      <c r="T24" s="9">
        <v>17</v>
      </c>
      <c r="U24" s="9">
        <v>7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18</v>
      </c>
      <c r="AF24" s="98">
        <v>0</v>
      </c>
      <c r="AG24" s="98">
        <v>12</v>
      </c>
      <c r="AH24" s="98">
        <v>0</v>
      </c>
      <c r="AI24" s="5"/>
      <c r="AJ24" s="133" t="str">
        <v>GQ</v>
      </c>
      <c r="AK24" s="98">
        <v>0</v>
      </c>
      <c r="AL24" s="98">
        <v>18</v>
      </c>
      <c r="AM24" s="98">
        <v>0</v>
      </c>
      <c r="AN24" s="98">
        <v>12</v>
      </c>
      <c r="AO24" s="98">
        <v>0</v>
      </c>
      <c r="AQ24" s="5">
        <v>27</v>
      </c>
      <c r="AR24" s="5">
        <v>0</v>
      </c>
      <c r="AS24" s="5">
        <v>18</v>
      </c>
    </row>
    <row r="25" spans="1:45" ht="16.5" customHeight="1" x14ac:dyDescent="0.3">
      <c r="I25" s="86"/>
      <c r="J25" s="9">
        <v>21</v>
      </c>
      <c r="K25" s="16" t="s">
        <v>19</v>
      </c>
      <c r="L25" s="16" t="s">
        <v>35</v>
      </c>
      <c r="M25" s="16" t="s">
        <v>19</v>
      </c>
      <c r="N25" s="16" t="s">
        <v>21</v>
      </c>
      <c r="O25" s="16" t="s">
        <v>22</v>
      </c>
      <c r="Q25" s="9">
        <v>5</v>
      </c>
      <c r="R25" s="9">
        <v>8</v>
      </c>
      <c r="S25" s="9">
        <v>5</v>
      </c>
      <c r="T25" s="9">
        <v>2</v>
      </c>
      <c r="U25" s="9">
        <v>3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18</v>
      </c>
      <c r="AF25" s="98">
        <v>0</v>
      </c>
      <c r="AG25" s="98">
        <v>12</v>
      </c>
      <c r="AH25" s="98">
        <v>0</v>
      </c>
      <c r="AI25" s="5"/>
      <c r="AJ25" s="133" t="str">
        <v>GJ</v>
      </c>
      <c r="AK25" s="98">
        <v>0</v>
      </c>
      <c r="AL25" s="98">
        <v>18</v>
      </c>
      <c r="AM25" s="98">
        <v>0</v>
      </c>
      <c r="AN25" s="98">
        <v>12</v>
      </c>
      <c r="AO25" s="98">
        <v>0</v>
      </c>
      <c r="AQ25" s="5">
        <v>27</v>
      </c>
      <c r="AR25" s="5">
        <v>0</v>
      </c>
      <c r="AS25" s="5">
        <v>18</v>
      </c>
    </row>
    <row r="26" spans="1:45" ht="16.5" customHeight="1" x14ac:dyDescent="0.3">
      <c r="B26" s="5" t="s">
        <v>210</v>
      </c>
      <c r="C26" s="5">
        <f>SUM(C4:C14)/C24</f>
        <v>1</v>
      </c>
      <c r="D26" s="171">
        <f t="shared" ref="D26:G26" si="5">SUM(D4:D14)/D24</f>
        <v>0.6</v>
      </c>
      <c r="E26" s="171">
        <f t="shared" si="5"/>
        <v>0.94</v>
      </c>
      <c r="F26" s="171">
        <f t="shared" si="5"/>
        <v>0.84</v>
      </c>
      <c r="G26" s="5">
        <f t="shared" si="5"/>
        <v>1</v>
      </c>
      <c r="I26" s="86"/>
      <c r="J26" s="25">
        <v>22</v>
      </c>
      <c r="K26" s="16" t="s">
        <v>34</v>
      </c>
      <c r="L26" s="16" t="s">
        <v>89</v>
      </c>
      <c r="M26" s="16" t="s">
        <v>19</v>
      </c>
      <c r="N26" s="16" t="s">
        <v>21</v>
      </c>
      <c r="O26" s="16" t="s">
        <v>21</v>
      </c>
      <c r="Q26" s="9">
        <v>9</v>
      </c>
      <c r="R26" s="9">
        <v>14</v>
      </c>
      <c r="S26" s="9">
        <v>5</v>
      </c>
      <c r="T26" s="9">
        <v>2</v>
      </c>
      <c r="U26" s="9">
        <v>2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200</v>
      </c>
      <c r="AE26" s="109">
        <f>SUM(AE6:AE25)</f>
        <v>360</v>
      </c>
      <c r="AF26" s="109">
        <f>SUM(AF6:AF25)</f>
        <v>224</v>
      </c>
      <c r="AG26" s="109">
        <f>SUM(AG6:AG25)</f>
        <v>264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360</v>
      </c>
      <c r="AM26" s="109">
        <f>SUM(AM6:AM25)</f>
        <v>224</v>
      </c>
      <c r="AN26" s="109">
        <f>SUM(AN6:AN25)</f>
        <v>264</v>
      </c>
      <c r="AO26" s="109">
        <f>SUM(AO6:AO25)</f>
        <v>200</v>
      </c>
    </row>
    <row r="27" spans="1:45" ht="16.5" customHeight="1" x14ac:dyDescent="0.3">
      <c r="B27" s="5" t="s">
        <v>314</v>
      </c>
      <c r="C27" s="5">
        <f>SUM(C15:C23)/C24</f>
        <v>0</v>
      </c>
      <c r="D27" s="171">
        <f t="shared" ref="D27:G27" si="6">SUM(D15:D23)/D24</f>
        <v>0.4</v>
      </c>
      <c r="E27" s="171">
        <f t="shared" si="6"/>
        <v>0.06</v>
      </c>
      <c r="F27" s="171">
        <f t="shared" si="6"/>
        <v>0.16</v>
      </c>
      <c r="G27" s="5">
        <f t="shared" si="6"/>
        <v>0</v>
      </c>
      <c r="I27" s="86"/>
      <c r="J27" s="9">
        <v>23</v>
      </c>
      <c r="K27" s="16" t="s">
        <v>37</v>
      </c>
      <c r="L27" s="16" t="s">
        <v>104</v>
      </c>
      <c r="M27" s="16" t="s">
        <v>104</v>
      </c>
      <c r="N27" s="16" t="s">
        <v>37</v>
      </c>
      <c r="O27" s="16" t="s">
        <v>21</v>
      </c>
      <c r="Q27" s="9">
        <v>7</v>
      </c>
      <c r="R27" s="9">
        <v>6</v>
      </c>
      <c r="S27" s="9">
        <v>6</v>
      </c>
      <c r="T27" s="9">
        <v>7</v>
      </c>
      <c r="U27" s="9">
        <v>2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5" ht="16.5" customHeight="1" x14ac:dyDescent="0.3">
      <c r="I28" s="86"/>
      <c r="J28" s="25">
        <v>24</v>
      </c>
      <c r="K28" s="16" t="s">
        <v>35</v>
      </c>
      <c r="L28" s="16" t="s">
        <v>19</v>
      </c>
      <c r="M28" s="16" t="s">
        <v>37</v>
      </c>
      <c r="N28" s="16" t="s">
        <v>19</v>
      </c>
      <c r="O28" s="16" t="s">
        <v>36</v>
      </c>
      <c r="Q28" s="9">
        <v>8</v>
      </c>
      <c r="R28" s="9">
        <v>5</v>
      </c>
      <c r="S28" s="9">
        <v>7</v>
      </c>
      <c r="T28" s="9">
        <v>5</v>
      </c>
      <c r="U28" s="9">
        <v>10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5" ht="16.5" customHeight="1" x14ac:dyDescent="0.3">
      <c r="I29" s="86"/>
      <c r="J29" s="9">
        <v>25</v>
      </c>
      <c r="K29" s="16" t="s">
        <v>19</v>
      </c>
      <c r="L29" s="16" t="s">
        <v>93</v>
      </c>
      <c r="M29" s="16" t="s">
        <v>35</v>
      </c>
      <c r="N29" s="16" t="s">
        <v>34</v>
      </c>
      <c r="O29" s="16" t="s">
        <v>35</v>
      </c>
      <c r="Q29" s="9">
        <v>5</v>
      </c>
      <c r="R29" s="9">
        <v>18</v>
      </c>
      <c r="S29" s="9">
        <v>8</v>
      </c>
      <c r="T29" s="9">
        <v>9</v>
      </c>
      <c r="U29" s="9">
        <v>8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5" ht="16.5" customHeight="1" x14ac:dyDescent="0.3">
      <c r="I30" s="86"/>
      <c r="J30" s="25">
        <v>26</v>
      </c>
      <c r="K30" s="16" t="s">
        <v>37</v>
      </c>
      <c r="L30" s="16" t="s">
        <v>89</v>
      </c>
      <c r="M30" s="16" t="s">
        <v>37</v>
      </c>
      <c r="N30" s="16" t="s">
        <v>22</v>
      </c>
      <c r="O30" s="16" t="s">
        <v>22</v>
      </c>
      <c r="Q30" s="9">
        <v>7</v>
      </c>
      <c r="R30" s="9">
        <v>14</v>
      </c>
      <c r="S30" s="9">
        <v>7</v>
      </c>
      <c r="T30" s="9">
        <v>3</v>
      </c>
      <c r="U30" s="9">
        <v>3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 cm="1">
        <f t="array" ref="AD30:AH49">$AD$6:$AH$25</f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 cm="1">
        <f t="array" ref="AK30:AO49">$AD$6:$AH$25</f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5" ht="16.5" customHeight="1" x14ac:dyDescent="0.3">
      <c r="I31" s="86"/>
      <c r="J31" s="9">
        <v>27</v>
      </c>
      <c r="K31" s="16" t="s">
        <v>35</v>
      </c>
      <c r="L31" s="16" t="s">
        <v>35</v>
      </c>
      <c r="M31" s="16" t="s">
        <v>37</v>
      </c>
      <c r="N31" s="16" t="s">
        <v>37</v>
      </c>
      <c r="O31" s="16" t="s">
        <v>18</v>
      </c>
      <c r="Q31" s="9">
        <v>8</v>
      </c>
      <c r="R31" s="9">
        <v>8</v>
      </c>
      <c r="S31" s="9">
        <v>7</v>
      </c>
      <c r="T31" s="9">
        <v>7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211">
        <v>0</v>
      </c>
      <c r="AE31" s="211">
        <v>6</v>
      </c>
      <c r="AF31" s="211">
        <v>0</v>
      </c>
      <c r="AG31" s="211">
        <v>9</v>
      </c>
      <c r="AH31" s="211">
        <v>0</v>
      </c>
      <c r="AI31" s="5"/>
      <c r="AJ31" s="133" t="str">
        <v>C1</v>
      </c>
      <c r="AK31" s="211">
        <v>0</v>
      </c>
      <c r="AL31" s="211">
        <v>6</v>
      </c>
      <c r="AM31" s="211">
        <v>0</v>
      </c>
      <c r="AN31" s="211">
        <v>9</v>
      </c>
      <c r="AO31" s="211">
        <v>0</v>
      </c>
    </row>
    <row r="32" spans="1:45" ht="16.5" customHeight="1" x14ac:dyDescent="0.3">
      <c r="J32" s="25">
        <v>28</v>
      </c>
      <c r="K32" s="16" t="s">
        <v>19</v>
      </c>
      <c r="L32" s="16" t="s">
        <v>22</v>
      </c>
      <c r="M32" s="16" t="s">
        <v>104</v>
      </c>
      <c r="N32" s="16" t="s">
        <v>22</v>
      </c>
      <c r="O32" s="16" t="s">
        <v>104</v>
      </c>
      <c r="Q32" s="9">
        <v>5</v>
      </c>
      <c r="R32" s="9">
        <v>3</v>
      </c>
      <c r="S32" s="9">
        <v>6</v>
      </c>
      <c r="T32" s="9">
        <v>3</v>
      </c>
      <c r="U32" s="9">
        <v>6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8" t="str">
        <v>M1</v>
      </c>
      <c r="AD32" s="128">
        <v>4</v>
      </c>
      <c r="AE32" s="128">
        <v>22</v>
      </c>
      <c r="AF32" s="128">
        <v>5</v>
      </c>
      <c r="AG32" s="128">
        <v>21</v>
      </c>
      <c r="AH32" s="128">
        <v>23</v>
      </c>
      <c r="AI32" s="5"/>
      <c r="AJ32" s="148" t="str">
        <v>M1</v>
      </c>
      <c r="AK32" s="128">
        <v>4</v>
      </c>
      <c r="AL32" s="128">
        <v>22</v>
      </c>
      <c r="AM32" s="128">
        <v>5</v>
      </c>
      <c r="AN32" s="128">
        <v>21</v>
      </c>
      <c r="AO32" s="128">
        <v>23</v>
      </c>
    </row>
    <row r="33" spans="10:41" ht="16.5" customHeight="1" x14ac:dyDescent="0.3">
      <c r="J33" s="9">
        <v>29</v>
      </c>
      <c r="K33" s="16" t="s">
        <v>34</v>
      </c>
      <c r="L33" s="16" t="s">
        <v>21</v>
      </c>
      <c r="M33" s="16" t="s">
        <v>102</v>
      </c>
      <c r="N33" s="16" t="s">
        <v>22</v>
      </c>
      <c r="O33" s="16" t="s">
        <v>34</v>
      </c>
      <c r="Q33" s="9">
        <v>9</v>
      </c>
      <c r="R33" s="9">
        <v>2</v>
      </c>
      <c r="S33" s="9">
        <v>17</v>
      </c>
      <c r="T33" s="9">
        <v>3</v>
      </c>
      <c r="U33" s="9">
        <v>9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8" t="str">
        <v>M2</v>
      </c>
      <c r="AD33" s="128">
        <v>4</v>
      </c>
      <c r="AE33" s="128">
        <v>10</v>
      </c>
      <c r="AF33" s="128">
        <v>5</v>
      </c>
      <c r="AG33" s="128">
        <v>21</v>
      </c>
      <c r="AH33" s="128">
        <v>23</v>
      </c>
      <c r="AI33" s="5"/>
      <c r="AJ33" s="148" t="str">
        <v>M2</v>
      </c>
      <c r="AK33" s="128">
        <v>4</v>
      </c>
      <c r="AL33" s="128">
        <v>10</v>
      </c>
      <c r="AM33" s="128">
        <v>5</v>
      </c>
      <c r="AN33" s="128">
        <v>21</v>
      </c>
      <c r="AO33" s="128">
        <v>23</v>
      </c>
    </row>
    <row r="34" spans="10:41" ht="16.5" customHeight="1" x14ac:dyDescent="0.3">
      <c r="J34" s="25">
        <v>30</v>
      </c>
      <c r="K34" s="16" t="s">
        <v>19</v>
      </c>
      <c r="L34" s="16" t="s">
        <v>105</v>
      </c>
      <c r="M34" s="16" t="s">
        <v>19</v>
      </c>
      <c r="N34" s="16" t="s">
        <v>18</v>
      </c>
      <c r="O34" s="16" t="s">
        <v>21</v>
      </c>
      <c r="Q34" s="9">
        <v>5</v>
      </c>
      <c r="R34" s="9">
        <v>15</v>
      </c>
      <c r="S34" s="9">
        <v>5</v>
      </c>
      <c r="T34" s="9">
        <v>4</v>
      </c>
      <c r="U34" s="9">
        <v>2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8" t="str">
        <v>M3</v>
      </c>
      <c r="AD34" s="128">
        <v>4</v>
      </c>
      <c r="AE34" s="128">
        <v>9</v>
      </c>
      <c r="AF34" s="128">
        <v>5</v>
      </c>
      <c r="AG34" s="128">
        <v>21</v>
      </c>
      <c r="AH34" s="128">
        <v>22</v>
      </c>
      <c r="AI34" s="5"/>
      <c r="AJ34" s="148" t="str">
        <v>M3</v>
      </c>
      <c r="AK34" s="128">
        <v>4</v>
      </c>
      <c r="AL34" s="128">
        <v>9</v>
      </c>
      <c r="AM34" s="128">
        <v>5</v>
      </c>
      <c r="AN34" s="128">
        <v>21</v>
      </c>
      <c r="AO34" s="128">
        <v>22</v>
      </c>
    </row>
    <row r="35" spans="10:41" ht="16.5" customHeight="1" x14ac:dyDescent="0.3">
      <c r="J35" s="9">
        <v>31</v>
      </c>
      <c r="K35" s="16" t="s">
        <v>19</v>
      </c>
      <c r="L35" s="16" t="s">
        <v>88</v>
      </c>
      <c r="M35" s="16" t="s">
        <v>36</v>
      </c>
      <c r="N35" s="16" t="s">
        <v>36</v>
      </c>
      <c r="O35" s="16" t="s">
        <v>21</v>
      </c>
      <c r="Q35" s="9">
        <v>5</v>
      </c>
      <c r="R35" s="9">
        <v>13</v>
      </c>
      <c r="S35" s="9">
        <v>10</v>
      </c>
      <c r="T35" s="9">
        <v>10</v>
      </c>
      <c r="U35" s="9">
        <v>2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8" t="str">
        <v>M4</v>
      </c>
      <c r="AD35" s="128">
        <v>43</v>
      </c>
      <c r="AE35" s="128">
        <v>13</v>
      </c>
      <c r="AF35" s="128">
        <v>41</v>
      </c>
      <c r="AG35" s="128">
        <v>14</v>
      </c>
      <c r="AH35" s="128">
        <v>22</v>
      </c>
      <c r="AI35" s="5"/>
      <c r="AJ35" s="148" t="str">
        <v>M4</v>
      </c>
      <c r="AK35" s="128">
        <v>43</v>
      </c>
      <c r="AL35" s="128">
        <v>13</v>
      </c>
      <c r="AM35" s="128">
        <v>41</v>
      </c>
      <c r="AN35" s="128">
        <v>14</v>
      </c>
      <c r="AO35" s="128">
        <v>22</v>
      </c>
    </row>
    <row r="36" spans="10:41" ht="16.5" customHeight="1" x14ac:dyDescent="0.3">
      <c r="J36" s="25">
        <v>32</v>
      </c>
      <c r="K36" s="16" t="s">
        <v>19</v>
      </c>
      <c r="L36" s="16" t="s">
        <v>18</v>
      </c>
      <c r="M36" s="16" t="s">
        <v>35</v>
      </c>
      <c r="N36" s="16" t="s">
        <v>36</v>
      </c>
      <c r="O36" s="16" t="s">
        <v>18</v>
      </c>
      <c r="Q36" s="9">
        <v>5</v>
      </c>
      <c r="R36" s="9">
        <v>4</v>
      </c>
      <c r="S36" s="9">
        <v>8</v>
      </c>
      <c r="T36" s="9">
        <v>10</v>
      </c>
      <c r="U36" s="9">
        <v>4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8" t="str">
        <v>M5</v>
      </c>
      <c r="AD36" s="128">
        <v>43</v>
      </c>
      <c r="AE36" s="128">
        <v>14</v>
      </c>
      <c r="AF36" s="128">
        <v>41</v>
      </c>
      <c r="AG36" s="128">
        <v>14</v>
      </c>
      <c r="AH36" s="128">
        <v>22</v>
      </c>
      <c r="AI36" s="5"/>
      <c r="AJ36" s="148" t="str">
        <v>M5</v>
      </c>
      <c r="AK36" s="128">
        <v>43</v>
      </c>
      <c r="AL36" s="128">
        <v>14</v>
      </c>
      <c r="AM36" s="128">
        <v>41</v>
      </c>
      <c r="AN36" s="128">
        <v>14</v>
      </c>
      <c r="AO36" s="128">
        <v>22</v>
      </c>
    </row>
    <row r="37" spans="10:41" ht="16.5" customHeight="1" x14ac:dyDescent="0.3">
      <c r="J37" s="9">
        <v>33</v>
      </c>
      <c r="K37" s="16" t="s">
        <v>104</v>
      </c>
      <c r="L37" s="16" t="s">
        <v>21</v>
      </c>
      <c r="M37" s="16" t="s">
        <v>105</v>
      </c>
      <c r="N37" s="16" t="s">
        <v>37</v>
      </c>
      <c r="O37" s="16" t="s">
        <v>18</v>
      </c>
      <c r="Q37" s="9">
        <v>6</v>
      </c>
      <c r="R37" s="9">
        <v>2</v>
      </c>
      <c r="S37" s="9">
        <v>15</v>
      </c>
      <c r="T37" s="9">
        <v>7</v>
      </c>
      <c r="U37" s="9">
        <v>4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8" t="str">
        <v>A</v>
      </c>
      <c r="AD37" s="128">
        <v>47</v>
      </c>
      <c r="AE37" s="128">
        <v>14</v>
      </c>
      <c r="AF37" s="128">
        <v>41</v>
      </c>
      <c r="AG37" s="128">
        <v>14</v>
      </c>
      <c r="AH37" s="128">
        <v>22</v>
      </c>
      <c r="AI37" s="5"/>
      <c r="AJ37" s="148" t="str">
        <v>A</v>
      </c>
      <c r="AK37" s="128">
        <v>47</v>
      </c>
      <c r="AL37" s="128">
        <v>14</v>
      </c>
      <c r="AM37" s="128">
        <v>41</v>
      </c>
      <c r="AN37" s="128">
        <v>14</v>
      </c>
      <c r="AO37" s="128">
        <v>22</v>
      </c>
    </row>
    <row r="38" spans="10:41" ht="16.5" customHeight="1" x14ac:dyDescent="0.3">
      <c r="J38" s="25">
        <v>34</v>
      </c>
      <c r="K38" s="16" t="s">
        <v>35</v>
      </c>
      <c r="L38" s="16" t="s">
        <v>34</v>
      </c>
      <c r="M38" s="16" t="s">
        <v>19</v>
      </c>
      <c r="N38" s="16" t="s">
        <v>37</v>
      </c>
      <c r="O38" s="16" t="s">
        <v>22</v>
      </c>
      <c r="Q38" s="9">
        <v>8</v>
      </c>
      <c r="R38" s="9">
        <v>9</v>
      </c>
      <c r="S38" s="9">
        <v>5</v>
      </c>
      <c r="T38" s="9">
        <v>7</v>
      </c>
      <c r="U38" s="9">
        <v>3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8" t="str">
        <v>K</v>
      </c>
      <c r="AD38" s="128">
        <v>47</v>
      </c>
      <c r="AE38" s="128">
        <v>18</v>
      </c>
      <c r="AF38" s="128">
        <v>41</v>
      </c>
      <c r="AG38" s="128">
        <v>14</v>
      </c>
      <c r="AH38" s="128">
        <v>22</v>
      </c>
      <c r="AI38" s="5"/>
      <c r="AJ38" s="148" t="str">
        <v>K</v>
      </c>
      <c r="AK38" s="128">
        <v>47</v>
      </c>
      <c r="AL38" s="128">
        <v>18</v>
      </c>
      <c r="AM38" s="128">
        <v>41</v>
      </c>
      <c r="AN38" s="128">
        <v>14</v>
      </c>
      <c r="AO38" s="128">
        <v>22</v>
      </c>
    </row>
    <row r="39" spans="10:41" ht="16.5" customHeight="1" x14ac:dyDescent="0.3">
      <c r="J39" s="9">
        <v>35</v>
      </c>
      <c r="K39" s="16" t="s">
        <v>37</v>
      </c>
      <c r="L39" s="16" t="s">
        <v>105</v>
      </c>
      <c r="M39" s="16" t="s">
        <v>19</v>
      </c>
      <c r="N39" s="16" t="s">
        <v>104</v>
      </c>
      <c r="O39" s="16" t="s">
        <v>34</v>
      </c>
      <c r="Q39" s="9">
        <v>7</v>
      </c>
      <c r="R39" s="9">
        <v>15</v>
      </c>
      <c r="S39" s="9">
        <v>5</v>
      </c>
      <c r="T39" s="9">
        <v>6</v>
      </c>
      <c r="U39" s="9">
        <v>9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8" t="str">
        <v>Q</v>
      </c>
      <c r="AD39" s="128">
        <v>4</v>
      </c>
      <c r="AE39" s="128">
        <v>5</v>
      </c>
      <c r="AF39" s="128">
        <v>5</v>
      </c>
      <c r="AG39" s="128">
        <v>20</v>
      </c>
      <c r="AH39" s="128">
        <v>22</v>
      </c>
      <c r="AI39" s="5"/>
      <c r="AJ39" s="148" t="str">
        <v>Q</v>
      </c>
      <c r="AK39" s="128">
        <v>4</v>
      </c>
      <c r="AL39" s="128">
        <v>5</v>
      </c>
      <c r="AM39" s="128">
        <v>5</v>
      </c>
      <c r="AN39" s="128">
        <v>20</v>
      </c>
      <c r="AO39" s="128">
        <v>22</v>
      </c>
    </row>
    <row r="40" spans="10:41" ht="16.5" customHeight="1" x14ac:dyDescent="0.3">
      <c r="J40" s="25">
        <v>36</v>
      </c>
      <c r="K40" s="16" t="s">
        <v>104</v>
      </c>
      <c r="L40" s="16" t="s">
        <v>104</v>
      </c>
      <c r="M40" s="16" t="s">
        <v>36</v>
      </c>
      <c r="N40" s="16" t="s">
        <v>88</v>
      </c>
      <c r="O40" s="16" t="s">
        <v>35</v>
      </c>
      <c r="Q40" s="9">
        <v>6</v>
      </c>
      <c r="R40" s="9">
        <v>6</v>
      </c>
      <c r="S40" s="9">
        <v>10</v>
      </c>
      <c r="T40" s="9">
        <v>13</v>
      </c>
      <c r="U40" s="9">
        <v>8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8" t="str">
        <v>J</v>
      </c>
      <c r="AD40" s="128">
        <v>4</v>
      </c>
      <c r="AE40" s="128">
        <v>9</v>
      </c>
      <c r="AF40" s="128">
        <v>4</v>
      </c>
      <c r="AG40" s="128">
        <v>20</v>
      </c>
      <c r="AH40" s="128">
        <v>22</v>
      </c>
      <c r="AI40" s="5"/>
      <c r="AJ40" s="148" t="str">
        <v>J</v>
      </c>
      <c r="AK40" s="128">
        <v>4</v>
      </c>
      <c r="AL40" s="128">
        <v>9</v>
      </c>
      <c r="AM40" s="128">
        <v>4</v>
      </c>
      <c r="AN40" s="128">
        <v>20</v>
      </c>
      <c r="AO40" s="128">
        <v>22</v>
      </c>
    </row>
    <row r="41" spans="10:41" ht="16.5" customHeight="1" x14ac:dyDescent="0.3">
      <c r="J41" s="9">
        <v>37</v>
      </c>
      <c r="K41" s="16" t="s">
        <v>37</v>
      </c>
      <c r="L41" s="16" t="s">
        <v>19</v>
      </c>
      <c r="M41" s="16" t="s">
        <v>104</v>
      </c>
      <c r="N41" s="16" t="s">
        <v>18</v>
      </c>
      <c r="O41" s="16" t="s">
        <v>35</v>
      </c>
      <c r="Q41" s="9">
        <v>7</v>
      </c>
      <c r="R41" s="9">
        <v>5</v>
      </c>
      <c r="S41" s="9">
        <v>6</v>
      </c>
      <c r="T41" s="9">
        <v>4</v>
      </c>
      <c r="U41" s="9">
        <v>8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48</v>
      </c>
      <c r="AF41" s="98">
        <v>0</v>
      </c>
      <c r="AG41" s="98">
        <v>12</v>
      </c>
      <c r="AH41" s="98">
        <v>0</v>
      </c>
      <c r="AI41" s="5"/>
      <c r="AJ41" s="133" t="str">
        <v>G1</v>
      </c>
      <c r="AK41" s="98">
        <v>0</v>
      </c>
      <c r="AL41" s="98">
        <v>48</v>
      </c>
      <c r="AM41" s="98">
        <v>0</v>
      </c>
      <c r="AN41" s="98">
        <v>12</v>
      </c>
      <c r="AO41" s="98">
        <v>0</v>
      </c>
    </row>
    <row r="42" spans="10:41" ht="16.5" customHeight="1" x14ac:dyDescent="0.3">
      <c r="J42" s="25">
        <v>38</v>
      </c>
      <c r="K42" s="16" t="s">
        <v>104</v>
      </c>
      <c r="L42" s="16" t="s">
        <v>18</v>
      </c>
      <c r="M42" s="16" t="s">
        <v>18</v>
      </c>
      <c r="N42" s="16" t="s">
        <v>104</v>
      </c>
      <c r="O42" s="16" t="s">
        <v>19</v>
      </c>
      <c r="Q42" s="9">
        <v>6</v>
      </c>
      <c r="R42" s="9">
        <v>4</v>
      </c>
      <c r="S42" s="9">
        <v>4</v>
      </c>
      <c r="T42" s="9">
        <v>6</v>
      </c>
      <c r="U42" s="9">
        <v>5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15</v>
      </c>
      <c r="AF42" s="98">
        <v>0</v>
      </c>
      <c r="AG42" s="98">
        <v>12</v>
      </c>
      <c r="AH42" s="98">
        <v>0</v>
      </c>
      <c r="AI42" s="5"/>
      <c r="AJ42" s="133" t="str">
        <v>G2</v>
      </c>
      <c r="AK42" s="98">
        <v>0</v>
      </c>
      <c r="AL42" s="98">
        <v>15</v>
      </c>
      <c r="AM42" s="98">
        <v>0</v>
      </c>
      <c r="AN42" s="98">
        <v>12</v>
      </c>
      <c r="AO42" s="98">
        <v>0</v>
      </c>
    </row>
    <row r="43" spans="10:41" ht="16.5" customHeight="1" x14ac:dyDescent="0.3">
      <c r="J43" s="9">
        <v>39</v>
      </c>
      <c r="K43" s="16" t="s">
        <v>19</v>
      </c>
      <c r="L43" s="16" t="s">
        <v>88</v>
      </c>
      <c r="M43" s="16" t="s">
        <v>104</v>
      </c>
      <c r="N43" s="16" t="s">
        <v>104</v>
      </c>
      <c r="O43" s="16" t="s">
        <v>19</v>
      </c>
      <c r="Q43" s="9">
        <v>5</v>
      </c>
      <c r="R43" s="9">
        <v>13</v>
      </c>
      <c r="S43" s="9">
        <v>6</v>
      </c>
      <c r="T43" s="9">
        <v>6</v>
      </c>
      <c r="U43" s="9">
        <v>5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21</v>
      </c>
      <c r="AF43" s="98">
        <v>0</v>
      </c>
      <c r="AG43" s="98">
        <v>12</v>
      </c>
      <c r="AH43" s="98">
        <v>0</v>
      </c>
      <c r="AI43" s="5"/>
      <c r="AJ43" s="133" t="str">
        <v>G3</v>
      </c>
      <c r="AK43" s="98">
        <v>0</v>
      </c>
      <c r="AL43" s="98">
        <v>21</v>
      </c>
      <c r="AM43" s="98">
        <v>0</v>
      </c>
      <c r="AN43" s="98">
        <v>12</v>
      </c>
      <c r="AO43" s="98">
        <v>0</v>
      </c>
    </row>
    <row r="44" spans="10:41" ht="16.5" customHeight="1" x14ac:dyDescent="0.3">
      <c r="J44" s="25">
        <v>40</v>
      </c>
      <c r="K44" s="16" t="s">
        <v>37</v>
      </c>
      <c r="L44" s="16" t="s">
        <v>35</v>
      </c>
      <c r="M44" s="16" t="s">
        <v>35</v>
      </c>
      <c r="N44" s="16" t="s">
        <v>22</v>
      </c>
      <c r="O44" s="16" t="s">
        <v>104</v>
      </c>
      <c r="Q44" s="9">
        <v>7</v>
      </c>
      <c r="R44" s="9">
        <v>8</v>
      </c>
      <c r="S44" s="9">
        <v>8</v>
      </c>
      <c r="T44" s="9">
        <v>3</v>
      </c>
      <c r="U44" s="9">
        <v>6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30</v>
      </c>
      <c r="AF44" s="98">
        <v>9</v>
      </c>
      <c r="AG44" s="98">
        <v>9</v>
      </c>
      <c r="AH44" s="98">
        <v>0</v>
      </c>
      <c r="AI44" s="5"/>
      <c r="AJ44" s="133" t="str">
        <v>G4</v>
      </c>
      <c r="AK44" s="98">
        <v>0</v>
      </c>
      <c r="AL44" s="98">
        <v>30</v>
      </c>
      <c r="AM44" s="98">
        <v>9</v>
      </c>
      <c r="AN44" s="98">
        <v>9</v>
      </c>
      <c r="AO44" s="98">
        <v>0</v>
      </c>
    </row>
    <row r="45" spans="10:41" ht="16.5" customHeight="1" x14ac:dyDescent="0.3">
      <c r="J45" s="9">
        <v>41</v>
      </c>
      <c r="K45" s="16" t="s">
        <v>104</v>
      </c>
      <c r="L45" s="16" t="s">
        <v>21</v>
      </c>
      <c r="M45" s="16" t="s">
        <v>35</v>
      </c>
      <c r="N45" s="16" t="s">
        <v>18</v>
      </c>
      <c r="O45" s="16" t="s">
        <v>104</v>
      </c>
      <c r="Q45" s="9">
        <v>6</v>
      </c>
      <c r="R45" s="9">
        <v>2</v>
      </c>
      <c r="S45" s="9">
        <v>8</v>
      </c>
      <c r="T45" s="9">
        <v>4</v>
      </c>
      <c r="U45" s="9">
        <v>6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33</v>
      </c>
      <c r="AF45" s="98">
        <v>9</v>
      </c>
      <c r="AG45" s="98">
        <v>9</v>
      </c>
      <c r="AH45" s="98">
        <v>0</v>
      </c>
      <c r="AI45" s="5"/>
      <c r="AJ45" s="133" t="str">
        <v>G5</v>
      </c>
      <c r="AK45" s="98">
        <v>0</v>
      </c>
      <c r="AL45" s="98">
        <v>33</v>
      </c>
      <c r="AM45" s="98">
        <v>9</v>
      </c>
      <c r="AN45" s="98">
        <v>9</v>
      </c>
      <c r="AO45" s="98">
        <v>0</v>
      </c>
    </row>
    <row r="46" spans="10:41" ht="16.5" customHeight="1" x14ac:dyDescent="0.3">
      <c r="J46" s="25">
        <v>42</v>
      </c>
      <c r="K46" s="16" t="s">
        <v>104</v>
      </c>
      <c r="L46" s="16" t="s">
        <v>105</v>
      </c>
      <c r="M46" s="16" t="s">
        <v>37</v>
      </c>
      <c r="N46" s="16" t="s">
        <v>20</v>
      </c>
      <c r="O46" s="16" t="s">
        <v>18</v>
      </c>
      <c r="Q46" s="9">
        <v>6</v>
      </c>
      <c r="R46" s="9">
        <v>15</v>
      </c>
      <c r="S46" s="9">
        <v>7</v>
      </c>
      <c r="T46" s="9">
        <v>1</v>
      </c>
      <c r="U46" s="9">
        <v>4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33</v>
      </c>
      <c r="AF46" s="98">
        <v>9</v>
      </c>
      <c r="AG46" s="98">
        <v>9</v>
      </c>
      <c r="AH46" s="98">
        <v>0</v>
      </c>
      <c r="AI46" s="5"/>
      <c r="AJ46" s="133" t="str">
        <v>GA</v>
      </c>
      <c r="AK46" s="98">
        <v>0</v>
      </c>
      <c r="AL46" s="98">
        <v>33</v>
      </c>
      <c r="AM46" s="98">
        <v>9</v>
      </c>
      <c r="AN46" s="98">
        <v>9</v>
      </c>
      <c r="AO46" s="98">
        <v>0</v>
      </c>
    </row>
    <row r="47" spans="10:41" ht="16.5" customHeight="1" x14ac:dyDescent="0.3">
      <c r="J47" s="9">
        <v>43</v>
      </c>
      <c r="K47" s="16" t="s">
        <v>37</v>
      </c>
      <c r="L47" s="16" t="s">
        <v>22</v>
      </c>
      <c r="M47" s="16" t="s">
        <v>104</v>
      </c>
      <c r="N47" s="16" t="s">
        <v>19</v>
      </c>
      <c r="O47" s="16" t="s">
        <v>35</v>
      </c>
      <c r="Q47" s="9">
        <v>7</v>
      </c>
      <c r="R47" s="9">
        <v>3</v>
      </c>
      <c r="S47" s="9">
        <v>6</v>
      </c>
      <c r="T47" s="9">
        <v>5</v>
      </c>
      <c r="U47" s="9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24</v>
      </c>
      <c r="AF47" s="98">
        <v>9</v>
      </c>
      <c r="AG47" s="98">
        <v>9</v>
      </c>
      <c r="AH47" s="98">
        <v>0</v>
      </c>
      <c r="AI47" s="5"/>
      <c r="AJ47" s="133" t="str">
        <v>GK</v>
      </c>
      <c r="AK47" s="98">
        <v>0</v>
      </c>
      <c r="AL47" s="98">
        <v>24</v>
      </c>
      <c r="AM47" s="98">
        <v>9</v>
      </c>
      <c r="AN47" s="98">
        <v>9</v>
      </c>
      <c r="AO47" s="98">
        <v>0</v>
      </c>
    </row>
    <row r="48" spans="10:41" ht="16.5" customHeight="1" x14ac:dyDescent="0.3">
      <c r="J48" s="25">
        <v>44</v>
      </c>
      <c r="K48" s="16" t="s">
        <v>19</v>
      </c>
      <c r="L48" s="16" t="s">
        <v>37</v>
      </c>
      <c r="M48" s="16" t="s">
        <v>37</v>
      </c>
      <c r="N48" s="16" t="s">
        <v>35</v>
      </c>
      <c r="O48" s="16" t="s">
        <v>35</v>
      </c>
      <c r="Q48" s="9">
        <v>5</v>
      </c>
      <c r="R48" s="9">
        <v>7</v>
      </c>
      <c r="S48" s="9">
        <v>7</v>
      </c>
      <c r="T48" s="9">
        <v>8</v>
      </c>
      <c r="U48" s="9">
        <v>8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18</v>
      </c>
      <c r="AF48" s="98">
        <v>0</v>
      </c>
      <c r="AG48" s="98">
        <v>12</v>
      </c>
      <c r="AH48" s="98">
        <v>0</v>
      </c>
      <c r="AI48" s="5"/>
      <c r="AJ48" s="133" t="str">
        <v>GQ</v>
      </c>
      <c r="AK48" s="98">
        <v>0</v>
      </c>
      <c r="AL48" s="98">
        <v>18</v>
      </c>
      <c r="AM48" s="98">
        <v>0</v>
      </c>
      <c r="AN48" s="98">
        <v>12</v>
      </c>
      <c r="AO48" s="98">
        <v>0</v>
      </c>
    </row>
    <row r="49" spans="10:41" ht="16.5" customHeight="1" x14ac:dyDescent="0.3">
      <c r="J49" s="9">
        <v>45</v>
      </c>
      <c r="K49" s="16" t="s">
        <v>19</v>
      </c>
      <c r="L49" s="16" t="s">
        <v>102</v>
      </c>
      <c r="M49" s="16" t="s">
        <v>104</v>
      </c>
      <c r="N49" s="16" t="s">
        <v>18</v>
      </c>
      <c r="O49" s="16" t="s">
        <v>104</v>
      </c>
      <c r="Q49" s="9">
        <v>5</v>
      </c>
      <c r="R49" s="9">
        <v>17</v>
      </c>
      <c r="S49" s="9">
        <v>6</v>
      </c>
      <c r="T49" s="9">
        <v>4</v>
      </c>
      <c r="U49" s="9">
        <v>6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18</v>
      </c>
      <c r="AF49" s="98">
        <v>0</v>
      </c>
      <c r="AG49" s="98">
        <v>12</v>
      </c>
      <c r="AH49" s="98">
        <v>0</v>
      </c>
      <c r="AI49" s="5"/>
      <c r="AJ49" s="133" t="str">
        <v>GJ</v>
      </c>
      <c r="AK49" s="98">
        <v>0</v>
      </c>
      <c r="AL49" s="98">
        <v>18</v>
      </c>
      <c r="AM49" s="98">
        <v>0</v>
      </c>
      <c r="AN49" s="98">
        <v>12</v>
      </c>
      <c r="AO49" s="98">
        <v>0</v>
      </c>
    </row>
    <row r="50" spans="10:41" ht="16.5" customHeight="1" x14ac:dyDescent="0.3">
      <c r="J50" s="25">
        <v>46</v>
      </c>
      <c r="K50" s="16" t="s">
        <v>18</v>
      </c>
      <c r="L50" s="16" t="s">
        <v>102</v>
      </c>
      <c r="M50" s="16" t="s">
        <v>35</v>
      </c>
      <c r="N50" s="16" t="s">
        <v>34</v>
      </c>
      <c r="O50" s="16" t="s">
        <v>21</v>
      </c>
      <c r="Q50" s="9">
        <v>4</v>
      </c>
      <c r="R50" s="9">
        <v>17</v>
      </c>
      <c r="S50" s="9">
        <v>8</v>
      </c>
      <c r="T50" s="9">
        <v>9</v>
      </c>
      <c r="U50" s="9">
        <v>2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200</v>
      </c>
      <c r="AE50" s="109">
        <f>SUM(AE30:AE49)</f>
        <v>360</v>
      </c>
      <c r="AF50" s="109">
        <f>SUM(AF30:AF49)</f>
        <v>224</v>
      </c>
      <c r="AG50" s="109">
        <f>SUM(AG30:AG49)</f>
        <v>264</v>
      </c>
      <c r="AH50" s="109">
        <f>SUM(AH30:AH49)</f>
        <v>200</v>
      </c>
      <c r="AI50" s="5"/>
      <c r="AK50" s="109">
        <f>SUM(AK30:AK49)</f>
        <v>200</v>
      </c>
      <c r="AL50" s="109">
        <f>SUM(AL30:AL49)</f>
        <v>360</v>
      </c>
      <c r="AM50" s="109">
        <f>SUM(AM30:AM49)</f>
        <v>224</v>
      </c>
      <c r="AN50" s="109">
        <f>SUM(AN30:AN49)</f>
        <v>264</v>
      </c>
      <c r="AO50" s="109">
        <f>SUM(AO30:AO49)</f>
        <v>200</v>
      </c>
    </row>
    <row r="51" spans="10:41" ht="16.5" customHeight="1" x14ac:dyDescent="0.3">
      <c r="J51" s="9">
        <v>47</v>
      </c>
      <c r="K51" s="16" t="s">
        <v>21</v>
      </c>
      <c r="L51" s="16" t="s">
        <v>35</v>
      </c>
      <c r="M51" s="16" t="s">
        <v>19</v>
      </c>
      <c r="N51" s="16" t="s">
        <v>86</v>
      </c>
      <c r="O51" s="16" t="s">
        <v>104</v>
      </c>
      <c r="Q51" s="9">
        <v>2</v>
      </c>
      <c r="R51" s="9">
        <v>8</v>
      </c>
      <c r="S51" s="9">
        <v>5</v>
      </c>
      <c r="T51" s="9">
        <v>11</v>
      </c>
      <c r="U51" s="9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37</v>
      </c>
      <c r="L52" s="16" t="s">
        <v>19</v>
      </c>
      <c r="M52" s="16" t="s">
        <v>37</v>
      </c>
      <c r="N52" s="16" t="s">
        <v>34</v>
      </c>
      <c r="O52" s="16" t="s">
        <v>104</v>
      </c>
      <c r="Q52" s="9">
        <v>7</v>
      </c>
      <c r="R52" s="9">
        <v>5</v>
      </c>
      <c r="S52" s="9">
        <v>7</v>
      </c>
      <c r="T52" s="9">
        <v>9</v>
      </c>
      <c r="U52" s="9">
        <v>6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 x14ac:dyDescent="0.3">
      <c r="J53" s="9">
        <v>49</v>
      </c>
      <c r="K53" s="16" t="s">
        <v>19</v>
      </c>
      <c r="L53" s="16" t="s">
        <v>93</v>
      </c>
      <c r="M53" s="16" t="s">
        <v>19</v>
      </c>
      <c r="N53" s="16" t="s">
        <v>35</v>
      </c>
      <c r="O53" s="16" t="s">
        <v>19</v>
      </c>
      <c r="Q53" s="9">
        <v>5</v>
      </c>
      <c r="R53" s="9">
        <v>18</v>
      </c>
      <c r="S53" s="9">
        <v>5</v>
      </c>
      <c r="T53" s="9">
        <v>8</v>
      </c>
      <c r="U53" s="9">
        <v>5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90</v>
      </c>
      <c r="M54" s="16" t="s">
        <v>104</v>
      </c>
      <c r="N54" s="16" t="s">
        <v>19</v>
      </c>
      <c r="O54" s="16" t="s">
        <v>19</v>
      </c>
      <c r="Q54" s="9">
        <v>7</v>
      </c>
      <c r="R54" s="9">
        <v>16</v>
      </c>
      <c r="S54" s="9">
        <v>6</v>
      </c>
      <c r="T54" s="9">
        <v>5</v>
      </c>
      <c r="U54" s="9">
        <v>5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 cm="1">
        <f t="array" ref="AD54:AH73">$AD$6:$AH$25</f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 cm="1">
        <f t="array" ref="AK54:AO73">$AD$6:$AH$25</f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 x14ac:dyDescent="0.3">
      <c r="J55" s="9">
        <v>51</v>
      </c>
      <c r="K55" s="16" t="s">
        <v>104</v>
      </c>
      <c r="L55" s="16" t="s">
        <v>90</v>
      </c>
      <c r="M55" s="16" t="s">
        <v>35</v>
      </c>
      <c r="N55" s="16" t="s">
        <v>22</v>
      </c>
      <c r="O55" s="16" t="s">
        <v>36</v>
      </c>
      <c r="Q55" s="9">
        <v>6</v>
      </c>
      <c r="R55" s="9">
        <v>16</v>
      </c>
      <c r="S55" s="9">
        <v>8</v>
      </c>
      <c r="T55" s="9">
        <v>3</v>
      </c>
      <c r="U55" s="9">
        <v>10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211">
        <v>0</v>
      </c>
      <c r="AE55" s="211">
        <v>6</v>
      </c>
      <c r="AF55" s="211">
        <v>0</v>
      </c>
      <c r="AG55" s="211">
        <v>9</v>
      </c>
      <c r="AH55" s="211">
        <v>0</v>
      </c>
      <c r="AI55" s="5"/>
      <c r="AJ55" s="133" t="str">
        <v>C1</v>
      </c>
      <c r="AK55" s="211">
        <v>0</v>
      </c>
      <c r="AL55" s="211">
        <v>6</v>
      </c>
      <c r="AM55" s="211">
        <v>0</v>
      </c>
      <c r="AN55" s="211">
        <v>9</v>
      </c>
      <c r="AO55" s="211">
        <v>0</v>
      </c>
    </row>
    <row r="56" spans="10:41" ht="16.5" customHeight="1" x14ac:dyDescent="0.3">
      <c r="J56" s="25">
        <v>52</v>
      </c>
      <c r="K56" s="16" t="s">
        <v>35</v>
      </c>
      <c r="L56" s="16" t="s">
        <v>19</v>
      </c>
      <c r="M56" s="16" t="s">
        <v>18</v>
      </c>
      <c r="N56" s="16" t="s">
        <v>19</v>
      </c>
      <c r="O56" s="16" t="s">
        <v>36</v>
      </c>
      <c r="Q56" s="9">
        <v>8</v>
      </c>
      <c r="R56" s="9">
        <v>5</v>
      </c>
      <c r="S56" s="9">
        <v>4</v>
      </c>
      <c r="T56" s="9">
        <v>5</v>
      </c>
      <c r="U56" s="9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8" t="str">
        <v>M1</v>
      </c>
      <c r="AD56" s="128">
        <v>4</v>
      </c>
      <c r="AE56" s="128">
        <v>22</v>
      </c>
      <c r="AF56" s="128">
        <v>5</v>
      </c>
      <c r="AG56" s="128">
        <v>21</v>
      </c>
      <c r="AH56" s="128">
        <v>23</v>
      </c>
      <c r="AI56" s="5"/>
      <c r="AJ56" s="148" t="str">
        <v>M1</v>
      </c>
      <c r="AK56" s="128">
        <v>4</v>
      </c>
      <c r="AL56" s="128">
        <v>22</v>
      </c>
      <c r="AM56" s="128">
        <v>5</v>
      </c>
      <c r="AN56" s="128">
        <v>21</v>
      </c>
      <c r="AO56" s="128">
        <v>23</v>
      </c>
    </row>
    <row r="57" spans="10:41" ht="16.5" customHeight="1" x14ac:dyDescent="0.3">
      <c r="J57" s="9">
        <v>53</v>
      </c>
      <c r="K57" s="16" t="s">
        <v>104</v>
      </c>
      <c r="L57" s="16" t="s">
        <v>88</v>
      </c>
      <c r="M57" s="16" t="s">
        <v>37</v>
      </c>
      <c r="N57" s="16" t="s">
        <v>34</v>
      </c>
      <c r="O57" s="16" t="s">
        <v>37</v>
      </c>
      <c r="Q57" s="9">
        <v>6</v>
      </c>
      <c r="R57" s="9">
        <v>13</v>
      </c>
      <c r="S57" s="9">
        <v>7</v>
      </c>
      <c r="T57" s="9">
        <v>9</v>
      </c>
      <c r="U57" s="9">
        <v>7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8" t="str">
        <v>M2</v>
      </c>
      <c r="AD57" s="128">
        <v>4</v>
      </c>
      <c r="AE57" s="128">
        <v>10</v>
      </c>
      <c r="AF57" s="128">
        <v>5</v>
      </c>
      <c r="AG57" s="128">
        <v>21</v>
      </c>
      <c r="AH57" s="128">
        <v>23</v>
      </c>
      <c r="AI57" s="5"/>
      <c r="AJ57" s="148" t="str">
        <v>M2</v>
      </c>
      <c r="AK57" s="128">
        <v>4</v>
      </c>
      <c r="AL57" s="128">
        <v>10</v>
      </c>
      <c r="AM57" s="128">
        <v>5</v>
      </c>
      <c r="AN57" s="128">
        <v>21</v>
      </c>
      <c r="AO57" s="128">
        <v>23</v>
      </c>
    </row>
    <row r="58" spans="10:41" ht="16.5" customHeight="1" x14ac:dyDescent="0.3">
      <c r="J58" s="25">
        <v>54</v>
      </c>
      <c r="K58" s="16" t="s">
        <v>35</v>
      </c>
      <c r="L58" s="16" t="s">
        <v>21</v>
      </c>
      <c r="M58" s="16" t="s">
        <v>19</v>
      </c>
      <c r="N58" s="16" t="s">
        <v>21</v>
      </c>
      <c r="O58" s="16" t="s">
        <v>19</v>
      </c>
      <c r="Q58" s="9">
        <v>8</v>
      </c>
      <c r="R58" s="9">
        <v>2</v>
      </c>
      <c r="S58" s="9">
        <v>5</v>
      </c>
      <c r="T58" s="9">
        <v>2</v>
      </c>
      <c r="U58" s="9">
        <v>5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8" t="str">
        <v>M3</v>
      </c>
      <c r="AD58" s="128">
        <v>4</v>
      </c>
      <c r="AE58" s="128">
        <v>9</v>
      </c>
      <c r="AF58" s="128">
        <v>5</v>
      </c>
      <c r="AG58" s="128">
        <v>21</v>
      </c>
      <c r="AH58" s="128">
        <v>22</v>
      </c>
      <c r="AI58" s="5"/>
      <c r="AJ58" s="148" t="str">
        <v>M3</v>
      </c>
      <c r="AK58" s="128">
        <v>4</v>
      </c>
      <c r="AL58" s="128">
        <v>9</v>
      </c>
      <c r="AM58" s="128">
        <v>5</v>
      </c>
      <c r="AN58" s="128">
        <v>21</v>
      </c>
      <c r="AO58" s="128">
        <v>22</v>
      </c>
    </row>
    <row r="59" spans="10:41" ht="16.5" customHeight="1" x14ac:dyDescent="0.3">
      <c r="J59" s="9">
        <v>55</v>
      </c>
      <c r="K59" s="16" t="s">
        <v>35</v>
      </c>
      <c r="L59" s="16" t="s">
        <v>35</v>
      </c>
      <c r="M59" s="16" t="s">
        <v>35</v>
      </c>
      <c r="N59" s="16" t="s">
        <v>93</v>
      </c>
      <c r="O59" s="16" t="s">
        <v>18</v>
      </c>
      <c r="Q59" s="9">
        <v>8</v>
      </c>
      <c r="R59" s="9">
        <v>8</v>
      </c>
      <c r="S59" s="9">
        <v>8</v>
      </c>
      <c r="T59" s="9">
        <v>18</v>
      </c>
      <c r="U59" s="9">
        <v>4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8" t="str">
        <v>M4</v>
      </c>
      <c r="AD59" s="128">
        <v>43</v>
      </c>
      <c r="AE59" s="128">
        <v>13</v>
      </c>
      <c r="AF59" s="128">
        <v>41</v>
      </c>
      <c r="AG59" s="128">
        <v>14</v>
      </c>
      <c r="AH59" s="128">
        <v>22</v>
      </c>
      <c r="AI59" s="5"/>
      <c r="AJ59" s="148" t="str">
        <v>M4</v>
      </c>
      <c r="AK59" s="128">
        <v>43</v>
      </c>
      <c r="AL59" s="128">
        <v>13</v>
      </c>
      <c r="AM59" s="128">
        <v>41</v>
      </c>
      <c r="AN59" s="128">
        <v>14</v>
      </c>
      <c r="AO59" s="128">
        <v>22</v>
      </c>
    </row>
    <row r="60" spans="10:41" ht="16.5" customHeight="1" x14ac:dyDescent="0.3">
      <c r="J60" s="25">
        <v>56</v>
      </c>
      <c r="K60" s="16" t="s">
        <v>19</v>
      </c>
      <c r="L60" s="16" t="s">
        <v>90</v>
      </c>
      <c r="M60" s="16" t="s">
        <v>37</v>
      </c>
      <c r="N60" s="16" t="s">
        <v>36</v>
      </c>
      <c r="O60" s="16" t="s">
        <v>34</v>
      </c>
      <c r="Q60" s="9">
        <v>5</v>
      </c>
      <c r="R60" s="9">
        <v>16</v>
      </c>
      <c r="S60" s="9">
        <v>7</v>
      </c>
      <c r="T60" s="9">
        <v>10</v>
      </c>
      <c r="U60" s="9">
        <v>9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8" t="str">
        <v>M5</v>
      </c>
      <c r="AD60" s="128">
        <v>43</v>
      </c>
      <c r="AE60" s="128">
        <v>14</v>
      </c>
      <c r="AF60" s="128">
        <v>41</v>
      </c>
      <c r="AG60" s="128">
        <v>14</v>
      </c>
      <c r="AH60" s="128">
        <v>22</v>
      </c>
      <c r="AI60" s="5"/>
      <c r="AJ60" s="148" t="str">
        <v>M5</v>
      </c>
      <c r="AK60" s="128">
        <v>43</v>
      </c>
      <c r="AL60" s="128">
        <v>14</v>
      </c>
      <c r="AM60" s="128">
        <v>41</v>
      </c>
      <c r="AN60" s="128">
        <v>14</v>
      </c>
      <c r="AO60" s="128">
        <v>22</v>
      </c>
    </row>
    <row r="61" spans="10:41" x14ac:dyDescent="0.3">
      <c r="J61" s="9">
        <v>57</v>
      </c>
      <c r="K61" s="16" t="s">
        <v>35</v>
      </c>
      <c r="L61" s="16" t="s">
        <v>20</v>
      </c>
      <c r="M61" s="16" t="s">
        <v>35</v>
      </c>
      <c r="N61" s="16" t="s">
        <v>19</v>
      </c>
      <c r="O61" s="16" t="s">
        <v>22</v>
      </c>
      <c r="Q61" s="9">
        <v>8</v>
      </c>
      <c r="R61" s="9">
        <v>1</v>
      </c>
      <c r="S61" s="9">
        <v>8</v>
      </c>
      <c r="T61" s="9">
        <v>5</v>
      </c>
      <c r="U61" s="9">
        <v>3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8" t="str">
        <v>A</v>
      </c>
      <c r="AD61" s="128">
        <v>47</v>
      </c>
      <c r="AE61" s="128">
        <v>14</v>
      </c>
      <c r="AF61" s="128">
        <v>41</v>
      </c>
      <c r="AG61" s="128">
        <v>14</v>
      </c>
      <c r="AH61" s="128">
        <v>22</v>
      </c>
      <c r="AI61" s="5"/>
      <c r="AJ61" s="148" t="str">
        <v>A</v>
      </c>
      <c r="AK61" s="128">
        <v>47</v>
      </c>
      <c r="AL61" s="128">
        <v>14</v>
      </c>
      <c r="AM61" s="128">
        <v>41</v>
      </c>
      <c r="AN61" s="128">
        <v>14</v>
      </c>
      <c r="AO61" s="128">
        <v>22</v>
      </c>
    </row>
    <row r="62" spans="10:41" x14ac:dyDescent="0.3">
      <c r="J62" s="25">
        <v>58</v>
      </c>
      <c r="K62" s="16" t="s">
        <v>104</v>
      </c>
      <c r="L62" s="16" t="s">
        <v>35</v>
      </c>
      <c r="M62" s="16" t="s">
        <v>37</v>
      </c>
      <c r="N62" s="16" t="s">
        <v>90</v>
      </c>
      <c r="O62" s="16" t="s">
        <v>18</v>
      </c>
      <c r="Q62" s="9">
        <v>6</v>
      </c>
      <c r="R62" s="9">
        <v>8</v>
      </c>
      <c r="S62" s="9">
        <v>7</v>
      </c>
      <c r="T62" s="9">
        <v>16</v>
      </c>
      <c r="U62" s="9">
        <v>4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8" t="str">
        <v>K</v>
      </c>
      <c r="AD62" s="128">
        <v>47</v>
      </c>
      <c r="AE62" s="128">
        <v>18</v>
      </c>
      <c r="AF62" s="128">
        <v>41</v>
      </c>
      <c r="AG62" s="128">
        <v>14</v>
      </c>
      <c r="AH62" s="128">
        <v>22</v>
      </c>
      <c r="AI62" s="5"/>
      <c r="AJ62" s="148" t="str">
        <v>K</v>
      </c>
      <c r="AK62" s="128">
        <v>47</v>
      </c>
      <c r="AL62" s="128">
        <v>18</v>
      </c>
      <c r="AM62" s="128">
        <v>41</v>
      </c>
      <c r="AN62" s="128">
        <v>14</v>
      </c>
      <c r="AO62" s="128">
        <v>22</v>
      </c>
    </row>
    <row r="63" spans="10:41" ht="16.5" customHeight="1" x14ac:dyDescent="0.3">
      <c r="J63" s="9">
        <v>59</v>
      </c>
      <c r="K63" s="16" t="s">
        <v>37</v>
      </c>
      <c r="L63" s="16" t="s">
        <v>104</v>
      </c>
      <c r="M63" s="16" t="s">
        <v>22</v>
      </c>
      <c r="N63" s="16" t="s">
        <v>93</v>
      </c>
      <c r="O63" s="16" t="s">
        <v>37</v>
      </c>
      <c r="Q63" s="9">
        <v>7</v>
      </c>
      <c r="R63" s="9">
        <v>6</v>
      </c>
      <c r="S63" s="9">
        <v>3</v>
      </c>
      <c r="T63" s="9">
        <v>18</v>
      </c>
      <c r="U63" s="9">
        <v>7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8" t="str">
        <v>Q</v>
      </c>
      <c r="AD63" s="128">
        <v>4</v>
      </c>
      <c r="AE63" s="128">
        <v>5</v>
      </c>
      <c r="AF63" s="128">
        <v>5</v>
      </c>
      <c r="AG63" s="128">
        <v>20</v>
      </c>
      <c r="AH63" s="128">
        <v>22</v>
      </c>
      <c r="AI63" s="5"/>
      <c r="AJ63" s="148" t="str">
        <v>Q</v>
      </c>
      <c r="AK63" s="128">
        <v>4</v>
      </c>
      <c r="AL63" s="128">
        <v>5</v>
      </c>
      <c r="AM63" s="128">
        <v>5</v>
      </c>
      <c r="AN63" s="128">
        <v>20</v>
      </c>
      <c r="AO63" s="128">
        <v>22</v>
      </c>
    </row>
    <row r="64" spans="10:41" ht="16.5" customHeight="1" x14ac:dyDescent="0.3">
      <c r="J64" s="25">
        <v>60</v>
      </c>
      <c r="K64" s="16" t="s">
        <v>19</v>
      </c>
      <c r="L64" s="16" t="s">
        <v>88</v>
      </c>
      <c r="M64" s="16" t="s">
        <v>35</v>
      </c>
      <c r="N64" s="16" t="s">
        <v>35</v>
      </c>
      <c r="O64" s="16" t="s">
        <v>18</v>
      </c>
      <c r="Q64" s="9">
        <v>5</v>
      </c>
      <c r="R64" s="9">
        <v>13</v>
      </c>
      <c r="S64" s="9">
        <v>8</v>
      </c>
      <c r="T64" s="9">
        <v>8</v>
      </c>
      <c r="U64" s="9">
        <v>4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8" t="str">
        <v>J</v>
      </c>
      <c r="AD64" s="128">
        <v>4</v>
      </c>
      <c r="AE64" s="128">
        <v>9</v>
      </c>
      <c r="AF64" s="128">
        <v>4</v>
      </c>
      <c r="AG64" s="128">
        <v>20</v>
      </c>
      <c r="AH64" s="128">
        <v>22</v>
      </c>
      <c r="AI64" s="5"/>
      <c r="AJ64" s="148" t="str">
        <v>J</v>
      </c>
      <c r="AK64" s="128">
        <v>4</v>
      </c>
      <c r="AL64" s="128">
        <v>9</v>
      </c>
      <c r="AM64" s="128">
        <v>4</v>
      </c>
      <c r="AN64" s="128">
        <v>20</v>
      </c>
      <c r="AO64" s="128">
        <v>22</v>
      </c>
    </row>
    <row r="65" spans="10:41" ht="16.5" customHeight="1" x14ac:dyDescent="0.3">
      <c r="J65" s="9">
        <v>61</v>
      </c>
      <c r="K65" s="16" t="s">
        <v>35</v>
      </c>
      <c r="L65" s="16" t="s">
        <v>104</v>
      </c>
      <c r="M65" s="16" t="s">
        <v>19</v>
      </c>
      <c r="N65" s="16" t="s">
        <v>22</v>
      </c>
      <c r="O65" s="16" t="s">
        <v>104</v>
      </c>
      <c r="Q65" s="9">
        <v>8</v>
      </c>
      <c r="R65" s="9">
        <v>6</v>
      </c>
      <c r="S65" s="9">
        <v>5</v>
      </c>
      <c r="T65" s="9">
        <v>3</v>
      </c>
      <c r="U65" s="9">
        <v>6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48</v>
      </c>
      <c r="AF65" s="98">
        <v>0</v>
      </c>
      <c r="AG65" s="98">
        <v>12</v>
      </c>
      <c r="AH65" s="98">
        <v>0</v>
      </c>
      <c r="AI65" s="5"/>
      <c r="AJ65" s="133" t="str">
        <v>G1</v>
      </c>
      <c r="AK65" s="98">
        <v>0</v>
      </c>
      <c r="AL65" s="98">
        <v>48</v>
      </c>
      <c r="AM65" s="98">
        <v>0</v>
      </c>
      <c r="AN65" s="98">
        <v>12</v>
      </c>
      <c r="AO65" s="98">
        <v>0</v>
      </c>
    </row>
    <row r="66" spans="10:41" ht="16.5" customHeight="1" x14ac:dyDescent="0.3">
      <c r="J66" s="25">
        <v>62</v>
      </c>
      <c r="K66" s="16" t="s">
        <v>37</v>
      </c>
      <c r="L66" s="16" t="s">
        <v>34</v>
      </c>
      <c r="M66" s="16" t="s">
        <v>19</v>
      </c>
      <c r="N66" s="16" t="s">
        <v>36</v>
      </c>
      <c r="O66" s="16" t="s">
        <v>36</v>
      </c>
      <c r="Q66" s="9">
        <v>7</v>
      </c>
      <c r="R66" s="9">
        <v>9</v>
      </c>
      <c r="S66" s="9">
        <v>5</v>
      </c>
      <c r="T66" s="9">
        <v>10</v>
      </c>
      <c r="U66" s="9">
        <v>10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15</v>
      </c>
      <c r="AF66" s="98">
        <v>0</v>
      </c>
      <c r="AG66" s="98">
        <v>12</v>
      </c>
      <c r="AH66" s="98">
        <v>0</v>
      </c>
      <c r="AI66" s="5"/>
      <c r="AJ66" s="133" t="str">
        <v>G2</v>
      </c>
      <c r="AK66" s="98">
        <v>0</v>
      </c>
      <c r="AL66" s="98">
        <v>15</v>
      </c>
      <c r="AM66" s="98">
        <v>0</v>
      </c>
      <c r="AN66" s="98">
        <v>12</v>
      </c>
      <c r="AO66" s="98">
        <v>0</v>
      </c>
    </row>
    <row r="67" spans="10:41" ht="16.5" customHeight="1" x14ac:dyDescent="0.3">
      <c r="J67" s="9">
        <v>63</v>
      </c>
      <c r="K67" s="16" t="s">
        <v>104</v>
      </c>
      <c r="L67" s="16" t="s">
        <v>105</v>
      </c>
      <c r="M67" s="16" t="s">
        <v>35</v>
      </c>
      <c r="N67" s="16" t="s">
        <v>20</v>
      </c>
      <c r="O67" s="16" t="s">
        <v>37</v>
      </c>
      <c r="Q67" s="9">
        <v>6</v>
      </c>
      <c r="R67" s="9">
        <v>15</v>
      </c>
      <c r="S67" s="9">
        <v>8</v>
      </c>
      <c r="T67" s="9">
        <v>1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21</v>
      </c>
      <c r="AF67" s="98">
        <v>0</v>
      </c>
      <c r="AG67" s="98">
        <v>12</v>
      </c>
      <c r="AH67" s="98">
        <v>0</v>
      </c>
      <c r="AI67" s="5"/>
      <c r="AJ67" s="133" t="str">
        <v>G3</v>
      </c>
      <c r="AK67" s="98">
        <v>0</v>
      </c>
      <c r="AL67" s="98">
        <v>21</v>
      </c>
      <c r="AM67" s="98">
        <v>0</v>
      </c>
      <c r="AN67" s="98">
        <v>12</v>
      </c>
      <c r="AO67" s="98">
        <v>0</v>
      </c>
    </row>
    <row r="68" spans="10:41" ht="16.5" customHeight="1" x14ac:dyDescent="0.3">
      <c r="J68" s="25">
        <v>64</v>
      </c>
      <c r="K68" s="16" t="s">
        <v>19</v>
      </c>
      <c r="L68" s="16" t="s">
        <v>87</v>
      </c>
      <c r="M68" s="16" t="s">
        <v>102</v>
      </c>
      <c r="N68" s="16" t="s">
        <v>21</v>
      </c>
      <c r="O68" s="16" t="s">
        <v>104</v>
      </c>
      <c r="Q68" s="9">
        <v>5</v>
      </c>
      <c r="R68" s="9">
        <v>12</v>
      </c>
      <c r="S68" s="9">
        <v>17</v>
      </c>
      <c r="T68" s="9">
        <v>2</v>
      </c>
      <c r="U68" s="9">
        <v>6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30</v>
      </c>
      <c r="AF68" s="98">
        <v>9</v>
      </c>
      <c r="AG68" s="98">
        <v>9</v>
      </c>
      <c r="AH68" s="98">
        <v>0</v>
      </c>
      <c r="AI68" s="5"/>
      <c r="AJ68" s="133" t="str">
        <v>G4</v>
      </c>
      <c r="AK68" s="98">
        <v>0</v>
      </c>
      <c r="AL68" s="98">
        <v>30</v>
      </c>
      <c r="AM68" s="98">
        <v>9</v>
      </c>
      <c r="AN68" s="98">
        <v>9</v>
      </c>
      <c r="AO68" s="98">
        <v>0</v>
      </c>
    </row>
    <row r="69" spans="10:41" ht="16.5" customHeight="1" x14ac:dyDescent="0.3">
      <c r="J69" s="9">
        <v>65</v>
      </c>
      <c r="K69" s="16" t="s">
        <v>35</v>
      </c>
      <c r="L69" s="16" t="s">
        <v>20</v>
      </c>
      <c r="M69" s="16" t="s">
        <v>104</v>
      </c>
      <c r="N69" s="16" t="s">
        <v>37</v>
      </c>
      <c r="O69" s="16" t="s">
        <v>18</v>
      </c>
      <c r="Q69" s="9">
        <v>8</v>
      </c>
      <c r="R69" s="9">
        <v>1</v>
      </c>
      <c r="S69" s="9">
        <v>6</v>
      </c>
      <c r="T69" s="9">
        <v>7</v>
      </c>
      <c r="U69" s="9">
        <v>4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33</v>
      </c>
      <c r="AF69" s="98">
        <v>9</v>
      </c>
      <c r="AG69" s="98">
        <v>9</v>
      </c>
      <c r="AH69" s="98">
        <v>0</v>
      </c>
      <c r="AI69" s="5"/>
      <c r="AJ69" s="133" t="str">
        <v>G5</v>
      </c>
      <c r="AK69" s="98">
        <v>0</v>
      </c>
      <c r="AL69" s="98">
        <v>33</v>
      </c>
      <c r="AM69" s="98">
        <v>9</v>
      </c>
      <c r="AN69" s="98">
        <v>9</v>
      </c>
      <c r="AO69" s="98">
        <v>0</v>
      </c>
    </row>
    <row r="70" spans="10:41" ht="16.5" customHeight="1" x14ac:dyDescent="0.3">
      <c r="J70" s="25">
        <v>66</v>
      </c>
      <c r="K70" s="16" t="s">
        <v>35</v>
      </c>
      <c r="L70" s="16" t="s">
        <v>104</v>
      </c>
      <c r="M70" s="16" t="s">
        <v>19</v>
      </c>
      <c r="N70" s="16" t="s">
        <v>37</v>
      </c>
      <c r="O70" s="16" t="s">
        <v>104</v>
      </c>
      <c r="Q70" s="9">
        <v>8</v>
      </c>
      <c r="R70" s="9">
        <v>6</v>
      </c>
      <c r="S70" s="9">
        <v>5</v>
      </c>
      <c r="T70" s="9">
        <v>7</v>
      </c>
      <c r="U70" s="9">
        <v>6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33</v>
      </c>
      <c r="AF70" s="98">
        <v>9</v>
      </c>
      <c r="AG70" s="98">
        <v>9</v>
      </c>
      <c r="AH70" s="98">
        <v>0</v>
      </c>
      <c r="AI70" s="5"/>
      <c r="AJ70" s="133" t="str">
        <v>GA</v>
      </c>
      <c r="AK70" s="98">
        <v>0</v>
      </c>
      <c r="AL70" s="98">
        <v>33</v>
      </c>
      <c r="AM70" s="98">
        <v>9</v>
      </c>
      <c r="AN70" s="98">
        <v>9</v>
      </c>
      <c r="AO70" s="98">
        <v>0</v>
      </c>
    </row>
    <row r="71" spans="10:41" ht="16.5" customHeight="1" x14ac:dyDescent="0.3">
      <c r="J71" s="9">
        <v>67</v>
      </c>
      <c r="K71" s="16" t="s">
        <v>19</v>
      </c>
      <c r="L71" s="16" t="s">
        <v>104</v>
      </c>
      <c r="M71" s="16" t="s">
        <v>34</v>
      </c>
      <c r="N71" s="16" t="s">
        <v>90</v>
      </c>
      <c r="O71" s="16" t="s">
        <v>36</v>
      </c>
      <c r="Q71" s="9">
        <v>5</v>
      </c>
      <c r="R71" s="9">
        <v>6</v>
      </c>
      <c r="S71" s="9">
        <v>9</v>
      </c>
      <c r="T71" s="9">
        <v>16</v>
      </c>
      <c r="U71" s="9">
        <v>10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24</v>
      </c>
      <c r="AF71" s="98">
        <v>9</v>
      </c>
      <c r="AG71" s="98">
        <v>9</v>
      </c>
      <c r="AH71" s="98">
        <v>0</v>
      </c>
      <c r="AI71" s="5"/>
      <c r="AJ71" s="133" t="str">
        <v>GK</v>
      </c>
      <c r="AK71" s="98">
        <v>0</v>
      </c>
      <c r="AL71" s="98">
        <v>24</v>
      </c>
      <c r="AM71" s="98">
        <v>9</v>
      </c>
      <c r="AN71" s="98">
        <v>9</v>
      </c>
      <c r="AO71" s="98">
        <v>0</v>
      </c>
    </row>
    <row r="72" spans="10:41" ht="16.5" customHeight="1" x14ac:dyDescent="0.3">
      <c r="J72" s="25">
        <v>68</v>
      </c>
      <c r="K72" s="16" t="s">
        <v>36</v>
      </c>
      <c r="L72" s="16" t="s">
        <v>86</v>
      </c>
      <c r="M72" s="16" t="s">
        <v>104</v>
      </c>
      <c r="N72" s="16" t="s">
        <v>22</v>
      </c>
      <c r="O72" s="16" t="s">
        <v>34</v>
      </c>
      <c r="Q72" s="9">
        <v>10</v>
      </c>
      <c r="R72" s="9">
        <v>11</v>
      </c>
      <c r="S72" s="9">
        <v>6</v>
      </c>
      <c r="T72" s="9">
        <v>3</v>
      </c>
      <c r="U72" s="9">
        <v>9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18</v>
      </c>
      <c r="AF72" s="98">
        <v>0</v>
      </c>
      <c r="AG72" s="98">
        <v>12</v>
      </c>
      <c r="AH72" s="98">
        <v>0</v>
      </c>
      <c r="AI72" s="5"/>
      <c r="AJ72" s="133" t="str">
        <v>GQ</v>
      </c>
      <c r="AK72" s="98">
        <v>0</v>
      </c>
      <c r="AL72" s="98">
        <v>18</v>
      </c>
      <c r="AM72" s="98">
        <v>0</v>
      </c>
      <c r="AN72" s="98">
        <v>12</v>
      </c>
      <c r="AO72" s="98">
        <v>0</v>
      </c>
    </row>
    <row r="73" spans="10:41" ht="16.5" customHeight="1" x14ac:dyDescent="0.3">
      <c r="J73" s="9">
        <v>69</v>
      </c>
      <c r="K73" s="16" t="s">
        <v>19</v>
      </c>
      <c r="L73" s="16" t="s">
        <v>18</v>
      </c>
      <c r="M73" s="16" t="s">
        <v>104</v>
      </c>
      <c r="N73" s="16" t="s">
        <v>18</v>
      </c>
      <c r="O73" s="16" t="s">
        <v>18</v>
      </c>
      <c r="Q73" s="9">
        <v>5</v>
      </c>
      <c r="R73" s="9">
        <v>4</v>
      </c>
      <c r="S73" s="9">
        <v>6</v>
      </c>
      <c r="T73" s="9">
        <v>4</v>
      </c>
      <c r="U73" s="9">
        <v>4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18</v>
      </c>
      <c r="AF73" s="98">
        <v>0</v>
      </c>
      <c r="AG73" s="98">
        <v>12</v>
      </c>
      <c r="AH73" s="98">
        <v>0</v>
      </c>
      <c r="AI73" s="5"/>
      <c r="AJ73" s="133" t="str">
        <v>GJ</v>
      </c>
      <c r="AK73" s="98">
        <v>0</v>
      </c>
      <c r="AL73" s="98">
        <v>18</v>
      </c>
      <c r="AM73" s="98">
        <v>0</v>
      </c>
      <c r="AN73" s="98">
        <v>12</v>
      </c>
      <c r="AO73" s="98">
        <v>0</v>
      </c>
    </row>
    <row r="74" spans="10:41" ht="16.5" customHeight="1" x14ac:dyDescent="0.3">
      <c r="J74" s="25">
        <v>70</v>
      </c>
      <c r="K74" s="16" t="s">
        <v>35</v>
      </c>
      <c r="L74" s="16" t="s">
        <v>35</v>
      </c>
      <c r="M74" s="16" t="s">
        <v>35</v>
      </c>
      <c r="N74" s="16" t="s">
        <v>34</v>
      </c>
      <c r="O74" s="16" t="s">
        <v>104</v>
      </c>
      <c r="Q74" s="9">
        <v>8</v>
      </c>
      <c r="R74" s="9">
        <v>8</v>
      </c>
      <c r="S74" s="9">
        <v>8</v>
      </c>
      <c r="T74" s="9">
        <v>9</v>
      </c>
      <c r="U74" s="9">
        <v>6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200</v>
      </c>
      <c r="AE74" s="109">
        <f>SUM(AE54:AE73)</f>
        <v>360</v>
      </c>
      <c r="AF74" s="109">
        <f>SUM(AF54:AF73)</f>
        <v>224</v>
      </c>
      <c r="AG74" s="109">
        <f>SUM(AG54:AG73)</f>
        <v>264</v>
      </c>
      <c r="AH74" s="109">
        <f>SUM(AH54:AH73)</f>
        <v>200</v>
      </c>
      <c r="AI74" s="5"/>
      <c r="AK74" s="109">
        <f>SUM(AK54:AK73)</f>
        <v>200</v>
      </c>
      <c r="AL74" s="109">
        <f>SUM(AL54:AL73)</f>
        <v>360</v>
      </c>
      <c r="AM74" s="109">
        <f>SUM(AM54:AM73)</f>
        <v>224</v>
      </c>
      <c r="AN74" s="109">
        <f>SUM(AN54:AN73)</f>
        <v>264</v>
      </c>
      <c r="AO74" s="109">
        <f>SUM(AO54:AO73)</f>
        <v>200</v>
      </c>
    </row>
    <row r="75" spans="10:41" ht="16.5" customHeight="1" x14ac:dyDescent="0.3">
      <c r="J75" s="9">
        <v>71</v>
      </c>
      <c r="K75" s="16" t="s">
        <v>18</v>
      </c>
      <c r="L75" s="16" t="s">
        <v>86</v>
      </c>
      <c r="M75" s="16" t="s">
        <v>104</v>
      </c>
      <c r="N75" s="16" t="s">
        <v>104</v>
      </c>
      <c r="O75" s="16" t="s">
        <v>21</v>
      </c>
      <c r="Q75" s="9">
        <v>4</v>
      </c>
      <c r="R75" s="9">
        <v>11</v>
      </c>
      <c r="S75" s="9">
        <v>6</v>
      </c>
      <c r="T75" s="9">
        <v>6</v>
      </c>
      <c r="U75" s="9">
        <v>2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22</v>
      </c>
      <c r="L76" s="16" t="s">
        <v>36</v>
      </c>
      <c r="M76" s="16" t="s">
        <v>19</v>
      </c>
      <c r="N76" s="16" t="s">
        <v>20</v>
      </c>
      <c r="O76" s="16" t="s">
        <v>37</v>
      </c>
      <c r="Q76" s="9">
        <v>3</v>
      </c>
      <c r="R76" s="9">
        <v>10</v>
      </c>
      <c r="S76" s="9">
        <v>5</v>
      </c>
      <c r="T76" s="9">
        <v>1</v>
      </c>
      <c r="U76" s="9">
        <v>7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19</v>
      </c>
      <c r="L77" s="16" t="s">
        <v>95</v>
      </c>
      <c r="M77" s="16" t="s">
        <v>35</v>
      </c>
      <c r="N77" s="16" t="s">
        <v>34</v>
      </c>
      <c r="O77" s="16" t="s">
        <v>104</v>
      </c>
      <c r="Q77" s="9">
        <v>5</v>
      </c>
      <c r="R77" s="9">
        <v>19</v>
      </c>
      <c r="S77" s="9">
        <v>8</v>
      </c>
      <c r="T77" s="9">
        <v>9</v>
      </c>
      <c r="U77" s="9">
        <v>6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35</v>
      </c>
      <c r="L78" s="16" t="s">
        <v>21</v>
      </c>
      <c r="M78" s="16" t="s">
        <v>104</v>
      </c>
      <c r="N78" s="16" t="s">
        <v>22</v>
      </c>
      <c r="O78" s="16" t="s">
        <v>22</v>
      </c>
      <c r="Q78" s="9">
        <v>8</v>
      </c>
      <c r="R78" s="9">
        <v>2</v>
      </c>
      <c r="S78" s="9">
        <v>6</v>
      </c>
      <c r="T78" s="9">
        <v>3</v>
      </c>
      <c r="U78" s="9">
        <v>3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104</v>
      </c>
      <c r="L79" s="16" t="s">
        <v>21</v>
      </c>
      <c r="M79" s="16" t="s">
        <v>104</v>
      </c>
      <c r="N79" s="16" t="s">
        <v>104</v>
      </c>
      <c r="O79" s="16" t="s">
        <v>22</v>
      </c>
      <c r="Q79" s="9">
        <v>6</v>
      </c>
      <c r="R79" s="9">
        <v>2</v>
      </c>
      <c r="S79" s="9">
        <v>6</v>
      </c>
      <c r="T79" s="9">
        <v>6</v>
      </c>
      <c r="U79" s="9">
        <v>3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37</v>
      </c>
      <c r="L80" s="16" t="s">
        <v>86</v>
      </c>
      <c r="M80" s="16" t="s">
        <v>105</v>
      </c>
      <c r="N80" s="16" t="s">
        <v>19</v>
      </c>
      <c r="O80" s="16" t="s">
        <v>19</v>
      </c>
      <c r="Q80" s="9">
        <v>7</v>
      </c>
      <c r="R80" s="9">
        <v>11</v>
      </c>
      <c r="S80" s="9">
        <v>15</v>
      </c>
      <c r="T80" s="9">
        <v>5</v>
      </c>
      <c r="U80" s="9">
        <v>5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37</v>
      </c>
      <c r="L81" s="16" t="s">
        <v>34</v>
      </c>
      <c r="M81" s="16" t="s">
        <v>35</v>
      </c>
      <c r="N81" s="16" t="s">
        <v>21</v>
      </c>
      <c r="O81" s="16" t="s">
        <v>37</v>
      </c>
      <c r="Q81" s="9">
        <v>7</v>
      </c>
      <c r="R81" s="9">
        <v>9</v>
      </c>
      <c r="S81" s="9">
        <v>8</v>
      </c>
      <c r="T81" s="9">
        <v>2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104</v>
      </c>
      <c r="L82" s="16" t="s">
        <v>21</v>
      </c>
      <c r="M82" s="16" t="s">
        <v>104</v>
      </c>
      <c r="N82" s="16" t="s">
        <v>18</v>
      </c>
      <c r="O82" s="16" t="s">
        <v>21</v>
      </c>
      <c r="Q82" s="9">
        <v>6</v>
      </c>
      <c r="R82" s="9">
        <v>2</v>
      </c>
      <c r="S82" s="9">
        <v>6</v>
      </c>
      <c r="T82" s="9">
        <v>4</v>
      </c>
      <c r="U82" s="9">
        <v>2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37</v>
      </c>
      <c r="L83" s="16" t="s">
        <v>102</v>
      </c>
      <c r="M83" s="16" t="s">
        <v>35</v>
      </c>
      <c r="N83" s="16" t="s">
        <v>18</v>
      </c>
      <c r="O83" s="16" t="s">
        <v>37</v>
      </c>
      <c r="Q83" s="9">
        <v>7</v>
      </c>
      <c r="R83" s="9">
        <v>17</v>
      </c>
      <c r="S83" s="9">
        <v>8</v>
      </c>
      <c r="T83" s="9">
        <v>4</v>
      </c>
      <c r="U83" s="9">
        <v>7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19</v>
      </c>
      <c r="L84" s="16" t="s">
        <v>19</v>
      </c>
      <c r="M84" s="16" t="s">
        <v>37</v>
      </c>
      <c r="N84" s="16" t="s">
        <v>18</v>
      </c>
      <c r="O84" s="16" t="s">
        <v>21</v>
      </c>
      <c r="Q84" s="9">
        <v>5</v>
      </c>
      <c r="R84" s="9">
        <v>5</v>
      </c>
      <c r="S84" s="9">
        <v>7</v>
      </c>
      <c r="T84" s="9">
        <v>4</v>
      </c>
      <c r="U84" s="9">
        <v>2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19</v>
      </c>
      <c r="L85" s="16" t="s">
        <v>88</v>
      </c>
      <c r="M85" s="16" t="s">
        <v>37</v>
      </c>
      <c r="N85" s="16" t="s">
        <v>37</v>
      </c>
      <c r="O85" s="16" t="s">
        <v>36</v>
      </c>
      <c r="Q85" s="9">
        <v>5</v>
      </c>
      <c r="R85" s="9">
        <v>13</v>
      </c>
      <c r="S85" s="9">
        <v>7</v>
      </c>
      <c r="T85" s="9">
        <v>7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35</v>
      </c>
      <c r="L86" s="16" t="s">
        <v>105</v>
      </c>
      <c r="M86" s="16" t="s">
        <v>35</v>
      </c>
      <c r="N86" s="16" t="s">
        <v>35</v>
      </c>
      <c r="O86" s="16" t="s">
        <v>22</v>
      </c>
      <c r="Q86" s="9">
        <v>8</v>
      </c>
      <c r="R86" s="9">
        <v>15</v>
      </c>
      <c r="S86" s="9">
        <v>8</v>
      </c>
      <c r="T86" s="9">
        <v>8</v>
      </c>
      <c r="U86" s="9">
        <v>3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19</v>
      </c>
      <c r="L87" s="16" t="s">
        <v>105</v>
      </c>
      <c r="M87" s="16" t="s">
        <v>19</v>
      </c>
      <c r="N87" s="16" t="s">
        <v>36</v>
      </c>
      <c r="O87" s="16" t="s">
        <v>35</v>
      </c>
      <c r="Q87" s="9">
        <v>5</v>
      </c>
      <c r="R87" s="9">
        <v>15</v>
      </c>
      <c r="S87" s="9">
        <v>5</v>
      </c>
      <c r="T87" s="9">
        <v>10</v>
      </c>
      <c r="U87" s="9">
        <v>8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35</v>
      </c>
      <c r="L88" s="16" t="s">
        <v>36</v>
      </c>
      <c r="M88" s="16" t="s">
        <v>22</v>
      </c>
      <c r="N88" s="16" t="s">
        <v>36</v>
      </c>
      <c r="O88" s="16" t="s">
        <v>21</v>
      </c>
      <c r="Q88" s="9">
        <v>8</v>
      </c>
      <c r="R88" s="9">
        <v>10</v>
      </c>
      <c r="S88" s="9">
        <v>3</v>
      </c>
      <c r="T88" s="9">
        <v>10</v>
      </c>
      <c r="U88" s="9">
        <v>2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104</v>
      </c>
      <c r="L89" s="16" t="s">
        <v>18</v>
      </c>
      <c r="M89" s="16" t="s">
        <v>90</v>
      </c>
      <c r="N89" s="16" t="s">
        <v>35</v>
      </c>
      <c r="O89" s="16" t="s">
        <v>19</v>
      </c>
      <c r="Q89" s="9">
        <v>6</v>
      </c>
      <c r="R89" s="9">
        <v>4</v>
      </c>
      <c r="S89" s="9">
        <v>16</v>
      </c>
      <c r="T89" s="9">
        <v>8</v>
      </c>
      <c r="U89" s="9">
        <v>5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104</v>
      </c>
      <c r="L90" s="16" t="s">
        <v>18</v>
      </c>
      <c r="M90" s="16" t="s">
        <v>19</v>
      </c>
      <c r="N90" s="16" t="s">
        <v>93</v>
      </c>
      <c r="O90" s="16" t="s">
        <v>21</v>
      </c>
      <c r="Q90" s="9">
        <v>6</v>
      </c>
      <c r="R90" s="9">
        <v>4</v>
      </c>
      <c r="S90" s="9">
        <v>5</v>
      </c>
      <c r="T90" s="9">
        <v>18</v>
      </c>
      <c r="U90" s="9">
        <v>2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35</v>
      </c>
      <c r="L91" s="16" t="s">
        <v>95</v>
      </c>
      <c r="M91" s="16" t="s">
        <v>37</v>
      </c>
      <c r="N91" s="16" t="s">
        <v>104</v>
      </c>
      <c r="O91" s="16" t="s">
        <v>21</v>
      </c>
      <c r="Q91" s="9">
        <v>8</v>
      </c>
      <c r="R91" s="9">
        <v>19</v>
      </c>
      <c r="S91" s="9">
        <v>7</v>
      </c>
      <c r="T91" s="9">
        <v>6</v>
      </c>
      <c r="U91" s="9">
        <v>2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104</v>
      </c>
      <c r="L92" s="16" t="s">
        <v>89</v>
      </c>
      <c r="M92" s="16" t="s">
        <v>104</v>
      </c>
      <c r="N92" s="16" t="s">
        <v>104</v>
      </c>
      <c r="O92" s="16" t="s">
        <v>22</v>
      </c>
      <c r="Q92" s="9">
        <v>6</v>
      </c>
      <c r="R92" s="9">
        <v>14</v>
      </c>
      <c r="S92" s="9">
        <v>6</v>
      </c>
      <c r="T92" s="9">
        <v>6</v>
      </c>
      <c r="U92" s="9">
        <v>3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37</v>
      </c>
      <c r="L93" s="16" t="s">
        <v>22</v>
      </c>
      <c r="M93" s="16" t="s">
        <v>89</v>
      </c>
      <c r="N93" s="16" t="s">
        <v>86</v>
      </c>
      <c r="O93" s="16" t="s">
        <v>19</v>
      </c>
      <c r="Q93" s="9">
        <v>7</v>
      </c>
      <c r="R93" s="9">
        <v>3</v>
      </c>
      <c r="S93" s="9">
        <v>14</v>
      </c>
      <c r="T93" s="9">
        <v>11</v>
      </c>
      <c r="U93" s="9">
        <v>5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35</v>
      </c>
      <c r="L94" s="16" t="s">
        <v>22</v>
      </c>
      <c r="M94" s="16" t="s">
        <v>35</v>
      </c>
      <c r="N94" s="16" t="s">
        <v>104</v>
      </c>
      <c r="O94" s="16" t="s">
        <v>37</v>
      </c>
      <c r="Q94" s="9">
        <v>8</v>
      </c>
      <c r="R94" s="9">
        <v>3</v>
      </c>
      <c r="S94" s="9">
        <v>8</v>
      </c>
      <c r="T94" s="9">
        <v>6</v>
      </c>
      <c r="U94" s="9">
        <v>7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35</v>
      </c>
      <c r="L95" s="16" t="s">
        <v>37</v>
      </c>
      <c r="M95" s="16" t="s">
        <v>35</v>
      </c>
      <c r="N95" s="16" t="s">
        <v>89</v>
      </c>
      <c r="O95" s="16" t="s">
        <v>36</v>
      </c>
      <c r="Q95" s="9">
        <v>8</v>
      </c>
      <c r="R95" s="9">
        <v>7</v>
      </c>
      <c r="S95" s="9">
        <v>8</v>
      </c>
      <c r="T95" s="9">
        <v>14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35</v>
      </c>
      <c r="L96" s="16" t="s">
        <v>90</v>
      </c>
      <c r="M96" s="16" t="s">
        <v>35</v>
      </c>
      <c r="N96" s="16" t="s">
        <v>22</v>
      </c>
      <c r="O96" s="16" t="s">
        <v>104</v>
      </c>
      <c r="Q96" s="9">
        <v>8</v>
      </c>
      <c r="R96" s="9">
        <v>16</v>
      </c>
      <c r="S96" s="9">
        <v>8</v>
      </c>
      <c r="T96" s="9">
        <v>3</v>
      </c>
      <c r="U96" s="9">
        <v>6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104</v>
      </c>
      <c r="L97" s="16" t="s">
        <v>34</v>
      </c>
      <c r="M97" s="16" t="s">
        <v>37</v>
      </c>
      <c r="N97" s="16" t="s">
        <v>18</v>
      </c>
      <c r="O97" s="16" t="s">
        <v>104</v>
      </c>
      <c r="Q97" s="9">
        <v>6</v>
      </c>
      <c r="R97" s="9">
        <v>9</v>
      </c>
      <c r="S97" s="9">
        <v>7</v>
      </c>
      <c r="T97" s="9">
        <v>4</v>
      </c>
      <c r="U97" s="9">
        <v>6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35</v>
      </c>
      <c r="L98" s="16" t="s">
        <v>36</v>
      </c>
      <c r="M98" s="16" t="s">
        <v>104</v>
      </c>
      <c r="N98" s="16" t="s">
        <v>18</v>
      </c>
      <c r="O98" s="16" t="s">
        <v>21</v>
      </c>
      <c r="Q98" s="9">
        <v>8</v>
      </c>
      <c r="R98" s="9">
        <v>10</v>
      </c>
      <c r="S98" s="9">
        <v>6</v>
      </c>
      <c r="T98" s="9">
        <v>4</v>
      </c>
      <c r="U98" s="9">
        <v>2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36</v>
      </c>
      <c r="L99" s="16" t="s">
        <v>87</v>
      </c>
      <c r="M99" s="16" t="s">
        <v>37</v>
      </c>
      <c r="N99" s="16" t="s">
        <v>21</v>
      </c>
      <c r="O99" s="16" t="s">
        <v>19</v>
      </c>
      <c r="Q99" s="9">
        <v>10</v>
      </c>
      <c r="R99" s="9">
        <v>12</v>
      </c>
      <c r="S99" s="9">
        <v>7</v>
      </c>
      <c r="T99" s="9">
        <v>2</v>
      </c>
      <c r="U99" s="9">
        <v>5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19</v>
      </c>
      <c r="L100" s="16" t="s">
        <v>35</v>
      </c>
      <c r="M100" s="16" t="s">
        <v>21</v>
      </c>
      <c r="N100" s="16" t="s">
        <v>21</v>
      </c>
      <c r="O100" s="16" t="s">
        <v>34</v>
      </c>
      <c r="Q100" s="9">
        <v>5</v>
      </c>
      <c r="R100" s="9">
        <v>8</v>
      </c>
      <c r="S100" s="9">
        <v>2</v>
      </c>
      <c r="T100" s="9">
        <v>2</v>
      </c>
      <c r="U100" s="9">
        <v>9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35</v>
      </c>
      <c r="L101" s="16" t="s">
        <v>86</v>
      </c>
      <c r="M101" s="16" t="s">
        <v>19</v>
      </c>
      <c r="N101" s="16" t="s">
        <v>21</v>
      </c>
      <c r="O101" s="16" t="s">
        <v>36</v>
      </c>
      <c r="Q101" s="9">
        <v>8</v>
      </c>
      <c r="R101" s="9">
        <v>11</v>
      </c>
      <c r="S101" s="9">
        <v>5</v>
      </c>
      <c r="T101" s="9">
        <v>2</v>
      </c>
      <c r="U101" s="9">
        <v>10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37</v>
      </c>
      <c r="L102" s="16" t="s">
        <v>22</v>
      </c>
      <c r="M102" s="16" t="s">
        <v>35</v>
      </c>
      <c r="N102" s="16" t="s">
        <v>104</v>
      </c>
      <c r="O102" s="16" t="s">
        <v>34</v>
      </c>
      <c r="Q102" s="9">
        <v>7</v>
      </c>
      <c r="R102" s="9">
        <v>3</v>
      </c>
      <c r="S102" s="9">
        <v>8</v>
      </c>
      <c r="T102" s="9">
        <v>6</v>
      </c>
      <c r="U102" s="9">
        <v>9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37</v>
      </c>
      <c r="L103" s="16" t="s">
        <v>20</v>
      </c>
      <c r="M103" s="16" t="s">
        <v>104</v>
      </c>
      <c r="N103" s="16" t="s">
        <v>37</v>
      </c>
      <c r="O103" s="16" t="s">
        <v>22</v>
      </c>
      <c r="Q103" s="9">
        <v>7</v>
      </c>
      <c r="R103" s="9">
        <v>1</v>
      </c>
      <c r="S103" s="9">
        <v>6</v>
      </c>
      <c r="T103" s="9">
        <v>7</v>
      </c>
      <c r="U103" s="9">
        <v>3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37</v>
      </c>
      <c r="L104" s="16" t="s">
        <v>21</v>
      </c>
      <c r="M104" s="16" t="s">
        <v>104</v>
      </c>
      <c r="N104" s="16" t="s">
        <v>104</v>
      </c>
      <c r="O104" s="16" t="s">
        <v>19</v>
      </c>
      <c r="Q104" s="9">
        <v>7</v>
      </c>
      <c r="R104" s="9">
        <v>2</v>
      </c>
      <c r="S104" s="9">
        <v>6</v>
      </c>
      <c r="T104" s="9">
        <v>6</v>
      </c>
      <c r="U104" s="9">
        <v>5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104</v>
      </c>
      <c r="L105" s="16" t="s">
        <v>89</v>
      </c>
      <c r="M105" s="16" t="s">
        <v>104</v>
      </c>
      <c r="N105" s="16" t="s">
        <v>88</v>
      </c>
      <c r="O105" s="16" t="s">
        <v>104</v>
      </c>
      <c r="Q105" s="9">
        <v>6</v>
      </c>
      <c r="R105" s="9">
        <v>14</v>
      </c>
      <c r="S105" s="9">
        <v>6</v>
      </c>
      <c r="T105" s="9">
        <v>13</v>
      </c>
      <c r="U105" s="9">
        <v>6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104</v>
      </c>
      <c r="L106" s="16" t="s">
        <v>89</v>
      </c>
      <c r="M106" s="16" t="s">
        <v>35</v>
      </c>
      <c r="N106" s="16" t="s">
        <v>36</v>
      </c>
      <c r="O106" s="16" t="s">
        <v>35</v>
      </c>
      <c r="Q106" s="9">
        <v>6</v>
      </c>
      <c r="R106" s="9">
        <v>14</v>
      </c>
      <c r="S106" s="9">
        <v>8</v>
      </c>
      <c r="T106" s="9">
        <v>10</v>
      </c>
      <c r="U106" s="9">
        <v>8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35</v>
      </c>
      <c r="L107" s="16" t="s">
        <v>18</v>
      </c>
      <c r="M107" s="16" t="s">
        <v>37</v>
      </c>
      <c r="N107" s="16" t="s">
        <v>19</v>
      </c>
      <c r="O107" s="16" t="s">
        <v>18</v>
      </c>
      <c r="Q107" s="9">
        <v>8</v>
      </c>
      <c r="R107" s="9">
        <v>4</v>
      </c>
      <c r="S107" s="9">
        <v>7</v>
      </c>
      <c r="T107" s="9">
        <v>5</v>
      </c>
      <c r="U107" s="9">
        <v>4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19</v>
      </c>
      <c r="L108" s="16" t="s">
        <v>102</v>
      </c>
      <c r="M108" s="16" t="s">
        <v>104</v>
      </c>
      <c r="N108" s="16" t="s">
        <v>104</v>
      </c>
      <c r="O108" s="16" t="s">
        <v>22</v>
      </c>
      <c r="Q108" s="9">
        <v>5</v>
      </c>
      <c r="R108" s="9">
        <v>17</v>
      </c>
      <c r="S108" s="9">
        <v>6</v>
      </c>
      <c r="T108" s="9">
        <v>6</v>
      </c>
      <c r="U108" s="9">
        <v>3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104</v>
      </c>
      <c r="L109" s="16" t="s">
        <v>22</v>
      </c>
      <c r="M109" s="16" t="s">
        <v>35</v>
      </c>
      <c r="N109" s="16" t="s">
        <v>36</v>
      </c>
      <c r="O109" s="16" t="s">
        <v>22</v>
      </c>
      <c r="Q109" s="9">
        <v>6</v>
      </c>
      <c r="R109" s="9">
        <v>3</v>
      </c>
      <c r="S109" s="9">
        <v>8</v>
      </c>
      <c r="T109" s="9">
        <v>10</v>
      </c>
      <c r="U109" s="9">
        <v>3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35</v>
      </c>
      <c r="M110" s="16" t="s">
        <v>35</v>
      </c>
      <c r="N110" s="16" t="s">
        <v>20</v>
      </c>
      <c r="O110" s="16" t="s">
        <v>35</v>
      </c>
      <c r="Q110" s="9">
        <v>8</v>
      </c>
      <c r="R110" s="9">
        <v>8</v>
      </c>
      <c r="S110" s="9">
        <v>8</v>
      </c>
      <c r="T110" s="9">
        <v>1</v>
      </c>
      <c r="U110" s="9">
        <v>8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22</v>
      </c>
      <c r="L111" s="16" t="s">
        <v>88</v>
      </c>
      <c r="M111" s="16" t="s">
        <v>37</v>
      </c>
      <c r="N111" s="16" t="s">
        <v>22</v>
      </c>
      <c r="O111" s="16" t="s">
        <v>34</v>
      </c>
      <c r="Q111" s="9">
        <v>3</v>
      </c>
      <c r="R111" s="9">
        <v>13</v>
      </c>
      <c r="S111" s="9">
        <v>7</v>
      </c>
      <c r="T111" s="9">
        <v>3</v>
      </c>
      <c r="U111" s="9">
        <v>9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37</v>
      </c>
      <c r="L112" s="16" t="s">
        <v>37</v>
      </c>
      <c r="M112" s="16" t="s">
        <v>37</v>
      </c>
      <c r="N112" s="16" t="s">
        <v>105</v>
      </c>
      <c r="O112" s="16" t="s">
        <v>34</v>
      </c>
      <c r="Q112" s="9">
        <v>7</v>
      </c>
      <c r="R112" s="9">
        <v>7</v>
      </c>
      <c r="S112" s="9">
        <v>7</v>
      </c>
      <c r="T112" s="9">
        <v>15</v>
      </c>
      <c r="U112" s="9">
        <v>9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37</v>
      </c>
      <c r="L113" s="16" t="s">
        <v>19</v>
      </c>
      <c r="M113" s="16" t="s">
        <v>104</v>
      </c>
      <c r="N113" s="16" t="s">
        <v>18</v>
      </c>
      <c r="O113" s="16" t="s">
        <v>36</v>
      </c>
      <c r="Q113" s="9">
        <v>7</v>
      </c>
      <c r="R113" s="9">
        <v>5</v>
      </c>
      <c r="S113" s="9">
        <v>6</v>
      </c>
      <c r="T113" s="9">
        <v>4</v>
      </c>
      <c r="U113" s="9">
        <v>10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37</v>
      </c>
      <c r="L114" s="16" t="s">
        <v>89</v>
      </c>
      <c r="M114" s="16" t="s">
        <v>19</v>
      </c>
      <c r="N114" s="16" t="s">
        <v>35</v>
      </c>
      <c r="O114" s="16" t="s">
        <v>36</v>
      </c>
      <c r="Q114" s="9">
        <v>7</v>
      </c>
      <c r="R114" s="9">
        <v>14</v>
      </c>
      <c r="S114" s="9">
        <v>5</v>
      </c>
      <c r="T114" s="9">
        <v>8</v>
      </c>
      <c r="U114" s="9">
        <v>10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104</v>
      </c>
      <c r="L115" s="16" t="s">
        <v>89</v>
      </c>
      <c r="M115" s="16" t="s">
        <v>19</v>
      </c>
      <c r="N115" s="16" t="s">
        <v>21</v>
      </c>
      <c r="O115" s="16" t="s">
        <v>19</v>
      </c>
      <c r="Q115" s="9">
        <v>6</v>
      </c>
      <c r="R115" s="9">
        <v>14</v>
      </c>
      <c r="S115" s="9">
        <v>5</v>
      </c>
      <c r="T115" s="9">
        <v>2</v>
      </c>
      <c r="U115" s="9">
        <v>5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19</v>
      </c>
      <c r="L116" s="16" t="s">
        <v>21</v>
      </c>
      <c r="M116" s="16" t="s">
        <v>37</v>
      </c>
      <c r="N116" s="16" t="s">
        <v>95</v>
      </c>
      <c r="O116" s="16" t="s">
        <v>35</v>
      </c>
      <c r="Q116" s="9">
        <v>5</v>
      </c>
      <c r="R116" s="9">
        <v>2</v>
      </c>
      <c r="S116" s="9">
        <v>7</v>
      </c>
      <c r="T116" s="9">
        <v>19</v>
      </c>
      <c r="U116" s="9">
        <v>8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37</v>
      </c>
      <c r="L117" s="16" t="s">
        <v>21</v>
      </c>
      <c r="M117" s="16" t="s">
        <v>19</v>
      </c>
      <c r="N117" s="16" t="s">
        <v>36</v>
      </c>
      <c r="O117" s="16" t="s">
        <v>21</v>
      </c>
      <c r="Q117" s="9">
        <v>7</v>
      </c>
      <c r="R117" s="9">
        <v>2</v>
      </c>
      <c r="S117" s="9">
        <v>5</v>
      </c>
      <c r="T117" s="9">
        <v>10</v>
      </c>
      <c r="U117" s="9">
        <v>2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95</v>
      </c>
      <c r="M118" s="16" t="s">
        <v>36</v>
      </c>
      <c r="N118" s="16" t="s">
        <v>22</v>
      </c>
      <c r="O118" s="16" t="s">
        <v>36</v>
      </c>
      <c r="Q118" s="9">
        <v>8</v>
      </c>
      <c r="R118" s="9">
        <v>19</v>
      </c>
      <c r="S118" s="9">
        <v>10</v>
      </c>
      <c r="T118" s="9">
        <v>3</v>
      </c>
      <c r="U118" s="9">
        <v>10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35</v>
      </c>
      <c r="L119" s="16" t="s">
        <v>93</v>
      </c>
      <c r="M119" s="16" t="s">
        <v>104</v>
      </c>
      <c r="N119" s="16" t="s">
        <v>22</v>
      </c>
      <c r="O119" s="16" t="s">
        <v>19</v>
      </c>
      <c r="Q119" s="9">
        <v>8</v>
      </c>
      <c r="R119" s="9">
        <v>18</v>
      </c>
      <c r="S119" s="9">
        <v>6</v>
      </c>
      <c r="T119" s="9">
        <v>3</v>
      </c>
      <c r="U119" s="9">
        <v>5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35</v>
      </c>
      <c r="L120" s="16" t="s">
        <v>35</v>
      </c>
      <c r="M120" s="16" t="s">
        <v>21</v>
      </c>
      <c r="N120" s="16" t="s">
        <v>86</v>
      </c>
      <c r="O120" s="16" t="s">
        <v>37</v>
      </c>
      <c r="Q120" s="9">
        <v>8</v>
      </c>
      <c r="R120" s="9">
        <v>8</v>
      </c>
      <c r="S120" s="9">
        <v>2</v>
      </c>
      <c r="T120" s="9">
        <v>11</v>
      </c>
      <c r="U120" s="9">
        <v>7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21</v>
      </c>
      <c r="M121" s="16" t="s">
        <v>19</v>
      </c>
      <c r="N121" s="16" t="s">
        <v>20</v>
      </c>
      <c r="O121" s="16" t="s">
        <v>21</v>
      </c>
      <c r="Q121" s="9">
        <v>7</v>
      </c>
      <c r="R121" s="9">
        <v>2</v>
      </c>
      <c r="S121" s="9">
        <v>5</v>
      </c>
      <c r="T121" s="9">
        <v>1</v>
      </c>
      <c r="U121" s="9">
        <v>2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104</v>
      </c>
      <c r="L122" s="16" t="s">
        <v>35</v>
      </c>
      <c r="M122" s="16" t="s">
        <v>104</v>
      </c>
      <c r="N122" s="16" t="s">
        <v>34</v>
      </c>
      <c r="O122" s="16" t="s">
        <v>18</v>
      </c>
      <c r="Q122" s="9">
        <v>6</v>
      </c>
      <c r="R122" s="9">
        <v>8</v>
      </c>
      <c r="S122" s="9">
        <v>6</v>
      </c>
      <c r="T122" s="9">
        <v>9</v>
      </c>
      <c r="U122" s="9">
        <v>4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104</v>
      </c>
      <c r="L123" s="16" t="s">
        <v>20</v>
      </c>
      <c r="M123" s="16" t="s">
        <v>104</v>
      </c>
      <c r="N123" s="16" t="s">
        <v>35</v>
      </c>
      <c r="O123" s="16" t="s">
        <v>22</v>
      </c>
      <c r="Q123" s="9">
        <v>6</v>
      </c>
      <c r="R123" s="9">
        <v>1</v>
      </c>
      <c r="S123" s="9">
        <v>6</v>
      </c>
      <c r="T123" s="9">
        <v>8</v>
      </c>
      <c r="U123" s="9">
        <v>3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35</v>
      </c>
      <c r="L124" s="16" t="s">
        <v>86</v>
      </c>
      <c r="M124" s="16" t="s">
        <v>37</v>
      </c>
      <c r="N124" s="16" t="s">
        <v>18</v>
      </c>
      <c r="O124" s="16" t="s">
        <v>19</v>
      </c>
      <c r="Q124" s="9">
        <v>8</v>
      </c>
      <c r="R124" s="9">
        <v>11</v>
      </c>
      <c r="S124" s="9">
        <v>7</v>
      </c>
      <c r="T124" s="9">
        <v>4</v>
      </c>
      <c r="U124" s="9">
        <v>5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37</v>
      </c>
      <c r="L125" s="16" t="s">
        <v>19</v>
      </c>
      <c r="M125" s="16" t="s">
        <v>19</v>
      </c>
      <c r="N125" s="16" t="s">
        <v>95</v>
      </c>
      <c r="O125" s="16" t="s">
        <v>35</v>
      </c>
      <c r="Q125" s="9">
        <v>7</v>
      </c>
      <c r="R125" s="9">
        <v>5</v>
      </c>
      <c r="S125" s="9">
        <v>5</v>
      </c>
      <c r="T125" s="9">
        <v>19</v>
      </c>
      <c r="U125" s="9">
        <v>8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37</v>
      </c>
      <c r="L126" s="16" t="s">
        <v>21</v>
      </c>
      <c r="M126" s="16" t="s">
        <v>37</v>
      </c>
      <c r="N126" s="16" t="s">
        <v>105</v>
      </c>
      <c r="O126" s="16" t="s">
        <v>18</v>
      </c>
      <c r="Q126" s="9">
        <v>7</v>
      </c>
      <c r="R126" s="9">
        <v>2</v>
      </c>
      <c r="S126" s="9">
        <v>7</v>
      </c>
      <c r="T126" s="9">
        <v>15</v>
      </c>
      <c r="U126" s="9">
        <v>4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102</v>
      </c>
      <c r="M127" s="16" t="s">
        <v>35</v>
      </c>
      <c r="N127" s="16" t="s">
        <v>22</v>
      </c>
      <c r="O127" s="16" t="s">
        <v>21</v>
      </c>
      <c r="Q127" s="9">
        <v>8</v>
      </c>
      <c r="R127" s="9">
        <v>17</v>
      </c>
      <c r="S127" s="9">
        <v>8</v>
      </c>
      <c r="T127" s="9">
        <v>3</v>
      </c>
      <c r="U127" s="9">
        <v>2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19</v>
      </c>
      <c r="L128" s="16" t="s">
        <v>22</v>
      </c>
      <c r="M128" s="16" t="s">
        <v>19</v>
      </c>
      <c r="N128" s="16" t="s">
        <v>37</v>
      </c>
      <c r="O128" s="16" t="s">
        <v>21</v>
      </c>
      <c r="Q128" s="9">
        <v>5</v>
      </c>
      <c r="R128" s="9">
        <v>3</v>
      </c>
      <c r="S128" s="9">
        <v>5</v>
      </c>
      <c r="T128" s="9">
        <v>7</v>
      </c>
      <c r="U128" s="9">
        <v>2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35</v>
      </c>
      <c r="L129" s="16" t="s">
        <v>90</v>
      </c>
      <c r="M129" s="16" t="s">
        <v>19</v>
      </c>
      <c r="N129" s="16" t="s">
        <v>104</v>
      </c>
      <c r="O129" s="16" t="s">
        <v>37</v>
      </c>
      <c r="Q129" s="9">
        <v>8</v>
      </c>
      <c r="R129" s="9">
        <v>16</v>
      </c>
      <c r="S129" s="9">
        <v>5</v>
      </c>
      <c r="T129" s="9">
        <v>6</v>
      </c>
      <c r="U129" s="9">
        <v>7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37</v>
      </c>
      <c r="L130" s="16" t="s">
        <v>35</v>
      </c>
      <c r="M130" s="16" t="s">
        <v>104</v>
      </c>
      <c r="N130" s="16" t="s">
        <v>37</v>
      </c>
      <c r="O130" s="16" t="s">
        <v>34</v>
      </c>
      <c r="Q130" s="9">
        <v>7</v>
      </c>
      <c r="R130" s="9">
        <v>8</v>
      </c>
      <c r="S130" s="9">
        <v>6</v>
      </c>
      <c r="T130" s="9">
        <v>7</v>
      </c>
      <c r="U130" s="9">
        <v>9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19</v>
      </c>
      <c r="L131" s="16" t="s">
        <v>35</v>
      </c>
      <c r="M131" s="16" t="s">
        <v>37</v>
      </c>
      <c r="N131" s="16" t="s">
        <v>36</v>
      </c>
      <c r="O131" s="16" t="s">
        <v>34</v>
      </c>
      <c r="Q131" s="9">
        <v>5</v>
      </c>
      <c r="R131" s="9">
        <v>8</v>
      </c>
      <c r="S131" s="9">
        <v>7</v>
      </c>
      <c r="T131" s="9">
        <v>10</v>
      </c>
      <c r="U131" s="9">
        <v>9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37</v>
      </c>
      <c r="L132" s="16" t="s">
        <v>86</v>
      </c>
      <c r="M132" s="16" t="s">
        <v>37</v>
      </c>
      <c r="N132" s="16" t="s">
        <v>88</v>
      </c>
      <c r="O132" s="16" t="s">
        <v>35</v>
      </c>
      <c r="Q132" s="9">
        <v>7</v>
      </c>
      <c r="R132" s="9">
        <v>11</v>
      </c>
      <c r="S132" s="9">
        <v>7</v>
      </c>
      <c r="T132" s="9">
        <v>13</v>
      </c>
      <c r="U132" s="9">
        <v>8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19</v>
      </c>
      <c r="L133" s="16" t="s">
        <v>22</v>
      </c>
      <c r="M133" s="16" t="s">
        <v>37</v>
      </c>
      <c r="N133" s="16" t="s">
        <v>20</v>
      </c>
      <c r="O133" s="16" t="s">
        <v>104</v>
      </c>
      <c r="Q133" s="9">
        <v>5</v>
      </c>
      <c r="R133" s="9">
        <v>3</v>
      </c>
      <c r="S133" s="9">
        <v>7</v>
      </c>
      <c r="T133" s="9">
        <v>1</v>
      </c>
      <c r="U133" s="9">
        <v>6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37</v>
      </c>
      <c r="L134" s="16" t="s">
        <v>22</v>
      </c>
      <c r="M134" s="16" t="s">
        <v>104</v>
      </c>
      <c r="N134" s="16" t="s">
        <v>21</v>
      </c>
      <c r="O134" s="16" t="s">
        <v>35</v>
      </c>
      <c r="Q134" s="9">
        <v>7</v>
      </c>
      <c r="R134" s="9">
        <v>3</v>
      </c>
      <c r="S134" s="9">
        <v>6</v>
      </c>
      <c r="T134" s="9">
        <v>2</v>
      </c>
      <c r="U134" s="9">
        <v>8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37</v>
      </c>
      <c r="L135" s="16" t="s">
        <v>95</v>
      </c>
      <c r="M135" s="16" t="s">
        <v>104</v>
      </c>
      <c r="N135" s="16" t="s">
        <v>21</v>
      </c>
      <c r="O135" s="16" t="s">
        <v>21</v>
      </c>
      <c r="Q135" s="9">
        <v>7</v>
      </c>
      <c r="R135" s="9">
        <v>19</v>
      </c>
      <c r="S135" s="9">
        <v>6</v>
      </c>
      <c r="T135" s="9">
        <v>2</v>
      </c>
      <c r="U135" s="9">
        <v>2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35</v>
      </c>
      <c r="L136" s="16" t="s">
        <v>20</v>
      </c>
      <c r="M136" s="16" t="s">
        <v>104</v>
      </c>
      <c r="N136" s="16" t="s">
        <v>90</v>
      </c>
      <c r="O136" s="16" t="s">
        <v>34</v>
      </c>
      <c r="Q136" s="9">
        <v>8</v>
      </c>
      <c r="R136" s="9">
        <v>1</v>
      </c>
      <c r="S136" s="9">
        <v>6</v>
      </c>
      <c r="T136" s="9">
        <v>16</v>
      </c>
      <c r="U136" s="9">
        <v>9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104</v>
      </c>
      <c r="L137" s="16" t="s">
        <v>104</v>
      </c>
      <c r="M137" s="16" t="s">
        <v>104</v>
      </c>
      <c r="N137" s="16" t="s">
        <v>102</v>
      </c>
      <c r="O137" s="16" t="s">
        <v>19</v>
      </c>
      <c r="Q137" s="9">
        <v>6</v>
      </c>
      <c r="R137" s="9">
        <v>6</v>
      </c>
      <c r="S137" s="9">
        <v>6</v>
      </c>
      <c r="T137" s="9">
        <v>17</v>
      </c>
      <c r="U137" s="9">
        <v>5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21</v>
      </c>
      <c r="M138" s="16" t="s">
        <v>35</v>
      </c>
      <c r="N138" s="16" t="s">
        <v>34</v>
      </c>
      <c r="O138" s="16" t="s">
        <v>22</v>
      </c>
      <c r="Q138" s="9">
        <v>8</v>
      </c>
      <c r="R138" s="9">
        <v>2</v>
      </c>
      <c r="S138" s="9">
        <v>8</v>
      </c>
      <c r="T138" s="9">
        <v>9</v>
      </c>
      <c r="U138" s="9">
        <v>3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19</v>
      </c>
      <c r="L139" s="16" t="s">
        <v>89</v>
      </c>
      <c r="M139" s="16" t="s">
        <v>102</v>
      </c>
      <c r="N139" s="16" t="s">
        <v>18</v>
      </c>
      <c r="O139" s="16" t="s">
        <v>22</v>
      </c>
      <c r="Q139" s="9">
        <v>5</v>
      </c>
      <c r="R139" s="9">
        <v>14</v>
      </c>
      <c r="S139" s="9">
        <v>17</v>
      </c>
      <c r="T139" s="9">
        <v>4</v>
      </c>
      <c r="U139" s="9">
        <v>3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37</v>
      </c>
      <c r="L140" s="16" t="s">
        <v>37</v>
      </c>
      <c r="M140" s="16" t="s">
        <v>19</v>
      </c>
      <c r="N140" s="16" t="s">
        <v>18</v>
      </c>
      <c r="O140" s="16" t="s">
        <v>36</v>
      </c>
      <c r="Q140" s="9">
        <v>7</v>
      </c>
      <c r="R140" s="9">
        <v>7</v>
      </c>
      <c r="S140" s="9">
        <v>5</v>
      </c>
      <c r="T140" s="9">
        <v>4</v>
      </c>
      <c r="U140" s="9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104</v>
      </c>
      <c r="M141" s="16" t="s">
        <v>22</v>
      </c>
      <c r="N141" s="16" t="s">
        <v>102</v>
      </c>
      <c r="O141" s="16" t="s">
        <v>35</v>
      </c>
      <c r="Q141" s="9">
        <v>8</v>
      </c>
      <c r="R141" s="9">
        <v>6</v>
      </c>
      <c r="S141" s="9">
        <v>3</v>
      </c>
      <c r="T141" s="9">
        <v>17</v>
      </c>
      <c r="U141" s="9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87</v>
      </c>
      <c r="M142" s="16" t="s">
        <v>37</v>
      </c>
      <c r="N142" s="16" t="s">
        <v>93</v>
      </c>
      <c r="O142" s="16" t="s">
        <v>36</v>
      </c>
      <c r="Q142" s="9">
        <v>7</v>
      </c>
      <c r="R142" s="9">
        <v>12</v>
      </c>
      <c r="S142" s="9">
        <v>7</v>
      </c>
      <c r="T142" s="9">
        <v>18</v>
      </c>
      <c r="U142" s="9">
        <v>10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35</v>
      </c>
      <c r="L143" s="16" t="s">
        <v>90</v>
      </c>
      <c r="M143" s="16" t="s">
        <v>105</v>
      </c>
      <c r="N143" s="16" t="s">
        <v>104</v>
      </c>
      <c r="O143" s="16" t="s">
        <v>37</v>
      </c>
      <c r="Q143" s="9">
        <v>8</v>
      </c>
      <c r="R143" s="9">
        <v>16</v>
      </c>
      <c r="S143" s="9">
        <v>15</v>
      </c>
      <c r="T143" s="9">
        <v>6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35</v>
      </c>
      <c r="L144" s="16" t="s">
        <v>37</v>
      </c>
      <c r="M144" s="16" t="s">
        <v>34</v>
      </c>
      <c r="N144" s="16" t="s">
        <v>21</v>
      </c>
      <c r="O144" s="16" t="s">
        <v>37</v>
      </c>
      <c r="Q144" s="9">
        <v>8</v>
      </c>
      <c r="R144" s="9">
        <v>7</v>
      </c>
      <c r="S144" s="9">
        <v>9</v>
      </c>
      <c r="T144" s="9">
        <v>2</v>
      </c>
      <c r="U144" s="9">
        <v>7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37</v>
      </c>
      <c r="M145" s="16" t="s">
        <v>35</v>
      </c>
      <c r="N145" s="16" t="s">
        <v>87</v>
      </c>
      <c r="O145" s="16" t="s">
        <v>19</v>
      </c>
      <c r="Q145" s="9">
        <v>7</v>
      </c>
      <c r="R145" s="9">
        <v>7</v>
      </c>
      <c r="S145" s="9">
        <v>8</v>
      </c>
      <c r="T145" s="9">
        <v>12</v>
      </c>
      <c r="U145" s="9">
        <v>5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104</v>
      </c>
      <c r="L146" s="16" t="s">
        <v>89</v>
      </c>
      <c r="M146" s="16" t="s">
        <v>35</v>
      </c>
      <c r="N146" s="16" t="s">
        <v>37</v>
      </c>
      <c r="O146" s="16" t="s">
        <v>34</v>
      </c>
      <c r="Q146" s="9">
        <v>6</v>
      </c>
      <c r="R146" s="9">
        <v>14</v>
      </c>
      <c r="S146" s="9">
        <v>8</v>
      </c>
      <c r="T146" s="9">
        <v>7</v>
      </c>
      <c r="U146" s="9">
        <v>9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37</v>
      </c>
      <c r="L147" s="16" t="s">
        <v>36</v>
      </c>
      <c r="M147" s="16" t="s">
        <v>104</v>
      </c>
      <c r="N147" s="16" t="s">
        <v>105</v>
      </c>
      <c r="O147" s="16" t="s">
        <v>35</v>
      </c>
      <c r="Q147" s="9">
        <v>7</v>
      </c>
      <c r="R147" s="9">
        <v>10</v>
      </c>
      <c r="S147" s="9">
        <v>6</v>
      </c>
      <c r="T147" s="9">
        <v>15</v>
      </c>
      <c r="U147" s="9">
        <v>8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104</v>
      </c>
      <c r="L148" s="16" t="s">
        <v>37</v>
      </c>
      <c r="M148" s="16" t="s">
        <v>37</v>
      </c>
      <c r="N148" s="16" t="s">
        <v>35</v>
      </c>
      <c r="O148" s="16" t="s">
        <v>21</v>
      </c>
      <c r="Q148" s="9">
        <v>6</v>
      </c>
      <c r="R148" s="9">
        <v>7</v>
      </c>
      <c r="S148" s="9">
        <v>7</v>
      </c>
      <c r="T148" s="9">
        <v>8</v>
      </c>
      <c r="U148" s="9">
        <v>2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37</v>
      </c>
      <c r="L149" s="16" t="s">
        <v>86</v>
      </c>
      <c r="M149" s="16" t="s">
        <v>37</v>
      </c>
      <c r="N149" s="16" t="s">
        <v>35</v>
      </c>
      <c r="O149" s="16" t="s">
        <v>22</v>
      </c>
      <c r="Q149" s="9">
        <v>7</v>
      </c>
      <c r="R149" s="9">
        <v>11</v>
      </c>
      <c r="S149" s="9">
        <v>7</v>
      </c>
      <c r="T149" s="9">
        <v>8</v>
      </c>
      <c r="U149" s="9">
        <v>3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35</v>
      </c>
      <c r="L150" s="16" t="s">
        <v>21</v>
      </c>
      <c r="M150" s="16" t="s">
        <v>37</v>
      </c>
      <c r="N150" s="16" t="s">
        <v>18</v>
      </c>
      <c r="O150" s="16" t="s">
        <v>34</v>
      </c>
      <c r="Q150" s="9">
        <v>8</v>
      </c>
      <c r="R150" s="9">
        <v>2</v>
      </c>
      <c r="S150" s="9">
        <v>7</v>
      </c>
      <c r="T150" s="9">
        <v>4</v>
      </c>
      <c r="U150" s="9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104</v>
      </c>
      <c r="L151" s="16" t="s">
        <v>21</v>
      </c>
      <c r="M151" s="16" t="s">
        <v>89</v>
      </c>
      <c r="N151" s="16" t="s">
        <v>35</v>
      </c>
      <c r="O151" s="16" t="s">
        <v>34</v>
      </c>
      <c r="Q151" s="9">
        <v>6</v>
      </c>
      <c r="R151" s="9">
        <v>2</v>
      </c>
      <c r="S151" s="9">
        <v>14</v>
      </c>
      <c r="T151" s="9">
        <v>8</v>
      </c>
      <c r="U151" s="9">
        <v>9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35</v>
      </c>
      <c r="L152" s="16" t="s">
        <v>90</v>
      </c>
      <c r="M152" s="16" t="s">
        <v>35</v>
      </c>
      <c r="N152" s="16" t="s">
        <v>37</v>
      </c>
      <c r="O152" s="16" t="s">
        <v>22</v>
      </c>
      <c r="Q152" s="9">
        <v>8</v>
      </c>
      <c r="R152" s="9">
        <v>16</v>
      </c>
      <c r="S152" s="9">
        <v>8</v>
      </c>
      <c r="T152" s="9">
        <v>7</v>
      </c>
      <c r="U152" s="9">
        <v>3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34</v>
      </c>
      <c r="L153" s="16" t="s">
        <v>34</v>
      </c>
      <c r="M153" s="16" t="s">
        <v>104</v>
      </c>
      <c r="N153" s="16" t="s">
        <v>21</v>
      </c>
      <c r="O153" s="16" t="s">
        <v>104</v>
      </c>
      <c r="Q153" s="9">
        <v>9</v>
      </c>
      <c r="R153" s="9">
        <v>9</v>
      </c>
      <c r="S153" s="9">
        <v>6</v>
      </c>
      <c r="T153" s="9">
        <v>2</v>
      </c>
      <c r="U153" s="9">
        <v>6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19</v>
      </c>
      <c r="L154" s="16" t="s">
        <v>102</v>
      </c>
      <c r="M154" s="16" t="s">
        <v>35</v>
      </c>
      <c r="N154" s="16" t="s">
        <v>34</v>
      </c>
      <c r="O154" s="16" t="s">
        <v>36</v>
      </c>
      <c r="Q154" s="9">
        <v>5</v>
      </c>
      <c r="R154" s="9">
        <v>17</v>
      </c>
      <c r="S154" s="9">
        <v>8</v>
      </c>
      <c r="T154" s="9">
        <v>9</v>
      </c>
      <c r="U154" s="9">
        <v>10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37</v>
      </c>
      <c r="L155" s="16" t="s">
        <v>88</v>
      </c>
      <c r="M155" s="16" t="s">
        <v>37</v>
      </c>
      <c r="N155" s="16" t="s">
        <v>19</v>
      </c>
      <c r="O155" s="16" t="s">
        <v>34</v>
      </c>
      <c r="Q155" s="9">
        <v>7</v>
      </c>
      <c r="R155" s="9">
        <v>13</v>
      </c>
      <c r="S155" s="9">
        <v>7</v>
      </c>
      <c r="T155" s="9">
        <v>5</v>
      </c>
      <c r="U155" s="9">
        <v>9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19</v>
      </c>
      <c r="L156" s="16" t="s">
        <v>104</v>
      </c>
      <c r="M156" s="16" t="s">
        <v>90</v>
      </c>
      <c r="N156" s="16" t="s">
        <v>89</v>
      </c>
      <c r="O156" s="16" t="s">
        <v>21</v>
      </c>
      <c r="Q156" s="9">
        <v>5</v>
      </c>
      <c r="R156" s="9">
        <v>6</v>
      </c>
      <c r="S156" s="9">
        <v>16</v>
      </c>
      <c r="T156" s="9">
        <v>14</v>
      </c>
      <c r="U156" s="9">
        <v>2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37</v>
      </c>
      <c r="L157" s="16" t="s">
        <v>35</v>
      </c>
      <c r="M157" s="16" t="s">
        <v>37</v>
      </c>
      <c r="N157" s="16" t="s">
        <v>19</v>
      </c>
      <c r="O157" s="16" t="s">
        <v>34</v>
      </c>
      <c r="Q157" s="9">
        <v>7</v>
      </c>
      <c r="R157" s="9">
        <v>8</v>
      </c>
      <c r="S157" s="9">
        <v>7</v>
      </c>
      <c r="T157" s="9">
        <v>5</v>
      </c>
      <c r="U157" s="9">
        <v>9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19</v>
      </c>
      <c r="L158" s="16" t="s">
        <v>105</v>
      </c>
      <c r="M158" s="16" t="s">
        <v>34</v>
      </c>
      <c r="N158" s="16" t="s">
        <v>19</v>
      </c>
      <c r="O158" s="16" t="s">
        <v>36</v>
      </c>
      <c r="Q158" s="9">
        <v>5</v>
      </c>
      <c r="R158" s="9">
        <v>15</v>
      </c>
      <c r="S158" s="9">
        <v>9</v>
      </c>
      <c r="T158" s="9">
        <v>5</v>
      </c>
      <c r="U158" s="9">
        <v>10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34</v>
      </c>
      <c r="L159" s="16" t="s">
        <v>21</v>
      </c>
      <c r="M159" s="16" t="s">
        <v>19</v>
      </c>
      <c r="N159" s="16" t="s">
        <v>34</v>
      </c>
      <c r="O159" s="16" t="s">
        <v>35</v>
      </c>
      <c r="Q159" s="9">
        <v>9</v>
      </c>
      <c r="R159" s="9">
        <v>2</v>
      </c>
      <c r="S159" s="9">
        <v>5</v>
      </c>
      <c r="T159" s="9">
        <v>9</v>
      </c>
      <c r="U159" s="9">
        <v>8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19</v>
      </c>
      <c r="L160" s="16" t="s">
        <v>21</v>
      </c>
      <c r="M160" s="16" t="s">
        <v>35</v>
      </c>
      <c r="N160" s="16" t="s">
        <v>21</v>
      </c>
      <c r="O160" s="16" t="s">
        <v>22</v>
      </c>
      <c r="Q160" s="9">
        <v>5</v>
      </c>
      <c r="R160" s="9">
        <v>2</v>
      </c>
      <c r="S160" s="9">
        <v>8</v>
      </c>
      <c r="T160" s="9">
        <v>2</v>
      </c>
      <c r="U160" s="9">
        <v>3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35</v>
      </c>
      <c r="M161" s="16" t="s">
        <v>19</v>
      </c>
      <c r="N161" s="16" t="s">
        <v>34</v>
      </c>
      <c r="O161" s="16" t="s">
        <v>21</v>
      </c>
      <c r="Q161" s="9">
        <v>8</v>
      </c>
      <c r="R161" s="9">
        <v>8</v>
      </c>
      <c r="S161" s="9">
        <v>5</v>
      </c>
      <c r="T161" s="9">
        <v>9</v>
      </c>
      <c r="U161" s="9">
        <v>2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19</v>
      </c>
      <c r="L162" s="16" t="s">
        <v>95</v>
      </c>
      <c r="M162" s="16" t="s">
        <v>37</v>
      </c>
      <c r="N162" s="16" t="s">
        <v>34</v>
      </c>
      <c r="O162" s="16" t="s">
        <v>37</v>
      </c>
      <c r="Q162" s="9">
        <v>5</v>
      </c>
      <c r="R162" s="9">
        <v>19</v>
      </c>
      <c r="S162" s="9">
        <v>7</v>
      </c>
      <c r="T162" s="9">
        <v>9</v>
      </c>
      <c r="U162" s="9">
        <v>7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22</v>
      </c>
      <c r="L163" s="16" t="s">
        <v>105</v>
      </c>
      <c r="M163" s="16" t="s">
        <v>19</v>
      </c>
      <c r="N163" s="16" t="s">
        <v>34</v>
      </c>
      <c r="O163" s="16" t="s">
        <v>19</v>
      </c>
      <c r="Q163" s="9">
        <v>3</v>
      </c>
      <c r="R163" s="9">
        <v>15</v>
      </c>
      <c r="S163" s="9">
        <v>5</v>
      </c>
      <c r="T163" s="9">
        <v>9</v>
      </c>
      <c r="U163" s="9">
        <v>5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19</v>
      </c>
      <c r="L164" s="16" t="s">
        <v>37</v>
      </c>
      <c r="M164" s="16" t="s">
        <v>35</v>
      </c>
      <c r="N164" s="16" t="s">
        <v>36</v>
      </c>
      <c r="O164" s="16" t="s">
        <v>21</v>
      </c>
      <c r="Q164" s="9">
        <v>5</v>
      </c>
      <c r="R164" s="9">
        <v>7</v>
      </c>
      <c r="S164" s="9">
        <v>8</v>
      </c>
      <c r="T164" s="9">
        <v>10</v>
      </c>
      <c r="U164" s="9">
        <v>2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37</v>
      </c>
      <c r="L165" s="16" t="s">
        <v>36</v>
      </c>
      <c r="M165" s="16" t="s">
        <v>19</v>
      </c>
      <c r="N165" s="16" t="s">
        <v>89</v>
      </c>
      <c r="O165" s="16" t="s">
        <v>104</v>
      </c>
      <c r="Q165" s="9">
        <v>7</v>
      </c>
      <c r="R165" s="9">
        <v>10</v>
      </c>
      <c r="S165" s="9">
        <v>5</v>
      </c>
      <c r="T165" s="9">
        <v>14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19</v>
      </c>
      <c r="L166" s="16" t="s">
        <v>104</v>
      </c>
      <c r="M166" s="16" t="s">
        <v>35</v>
      </c>
      <c r="N166" s="16" t="s">
        <v>35</v>
      </c>
      <c r="O166" s="16" t="s">
        <v>22</v>
      </c>
      <c r="Q166" s="9">
        <v>5</v>
      </c>
      <c r="R166" s="9">
        <v>6</v>
      </c>
      <c r="S166" s="9">
        <v>8</v>
      </c>
      <c r="T166" s="9">
        <v>8</v>
      </c>
      <c r="U166" s="9">
        <v>3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104</v>
      </c>
      <c r="L167" s="16" t="s">
        <v>93</v>
      </c>
      <c r="M167" s="16" t="s">
        <v>37</v>
      </c>
      <c r="N167" s="16" t="s">
        <v>21</v>
      </c>
      <c r="O167" s="16" t="s">
        <v>34</v>
      </c>
      <c r="Q167" s="9">
        <v>6</v>
      </c>
      <c r="R167" s="9">
        <v>18</v>
      </c>
      <c r="S167" s="9">
        <v>7</v>
      </c>
      <c r="T167" s="9">
        <v>2</v>
      </c>
      <c r="U167" s="9">
        <v>9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19</v>
      </c>
      <c r="L168" s="16" t="s">
        <v>37</v>
      </c>
      <c r="M168" s="16" t="s">
        <v>35</v>
      </c>
      <c r="N168" s="16" t="s">
        <v>22</v>
      </c>
      <c r="O168" s="16" t="s">
        <v>36</v>
      </c>
      <c r="Q168" s="9">
        <v>5</v>
      </c>
      <c r="R168" s="9">
        <v>7</v>
      </c>
      <c r="S168" s="9">
        <v>8</v>
      </c>
      <c r="T168" s="9">
        <v>3</v>
      </c>
      <c r="U168" s="9">
        <v>10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37</v>
      </c>
      <c r="L169" s="16" t="s">
        <v>21</v>
      </c>
      <c r="M169" s="16" t="s">
        <v>35</v>
      </c>
      <c r="N169" s="16" t="s">
        <v>22</v>
      </c>
      <c r="O169" s="16" t="s">
        <v>19</v>
      </c>
      <c r="Q169" s="9">
        <v>7</v>
      </c>
      <c r="R169" s="9">
        <v>2</v>
      </c>
      <c r="S169" s="9">
        <v>8</v>
      </c>
      <c r="T169" s="9">
        <v>3</v>
      </c>
      <c r="U169" s="9">
        <v>5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104</v>
      </c>
      <c r="L170" s="16" t="s">
        <v>37</v>
      </c>
      <c r="M170" s="16" t="s">
        <v>35</v>
      </c>
      <c r="N170" s="16" t="s">
        <v>22</v>
      </c>
      <c r="O170" s="16" t="s">
        <v>104</v>
      </c>
      <c r="Q170" s="9">
        <v>6</v>
      </c>
      <c r="R170" s="9">
        <v>7</v>
      </c>
      <c r="S170" s="9">
        <v>8</v>
      </c>
      <c r="T170" s="9">
        <v>3</v>
      </c>
      <c r="U170" s="9">
        <v>6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86</v>
      </c>
      <c r="M171" s="16" t="s">
        <v>37</v>
      </c>
      <c r="N171" s="16" t="s">
        <v>34</v>
      </c>
      <c r="O171" s="16" t="s">
        <v>18</v>
      </c>
      <c r="Q171" s="9">
        <v>8</v>
      </c>
      <c r="R171" s="9">
        <v>11</v>
      </c>
      <c r="S171" s="9">
        <v>7</v>
      </c>
      <c r="T171" s="9">
        <v>9</v>
      </c>
      <c r="U171" s="9">
        <v>4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86</v>
      </c>
      <c r="M172" s="16" t="s">
        <v>37</v>
      </c>
      <c r="N172" s="16" t="s">
        <v>19</v>
      </c>
      <c r="O172" s="16" t="s">
        <v>18</v>
      </c>
      <c r="Q172" s="9">
        <v>7</v>
      </c>
      <c r="R172" s="9">
        <v>11</v>
      </c>
      <c r="S172" s="9">
        <v>7</v>
      </c>
      <c r="T172" s="9">
        <v>5</v>
      </c>
      <c r="U172" s="9">
        <v>4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104</v>
      </c>
      <c r="L173" s="16" t="s">
        <v>36</v>
      </c>
      <c r="M173" s="16" t="s">
        <v>104</v>
      </c>
      <c r="N173" s="16" t="s">
        <v>19</v>
      </c>
      <c r="O173" s="16" t="s">
        <v>36</v>
      </c>
      <c r="Q173" s="9">
        <v>6</v>
      </c>
      <c r="R173" s="9">
        <v>10</v>
      </c>
      <c r="S173" s="9">
        <v>6</v>
      </c>
      <c r="T173" s="9">
        <v>5</v>
      </c>
      <c r="U173" s="9">
        <v>10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104</v>
      </c>
      <c r="L174" s="16" t="s">
        <v>21</v>
      </c>
      <c r="M174" s="16" t="s">
        <v>35</v>
      </c>
      <c r="N174" s="16" t="s">
        <v>18</v>
      </c>
      <c r="O174" s="16" t="s">
        <v>36</v>
      </c>
      <c r="Q174" s="9">
        <v>6</v>
      </c>
      <c r="R174" s="9">
        <v>2</v>
      </c>
      <c r="S174" s="9">
        <v>8</v>
      </c>
      <c r="T174" s="9">
        <v>4</v>
      </c>
      <c r="U174" s="9">
        <v>10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104</v>
      </c>
      <c r="L175" s="16" t="s">
        <v>104</v>
      </c>
      <c r="M175" s="16" t="s">
        <v>35</v>
      </c>
      <c r="N175" s="16" t="s">
        <v>95</v>
      </c>
      <c r="O175" s="16" t="s">
        <v>18</v>
      </c>
      <c r="Q175" s="9">
        <v>6</v>
      </c>
      <c r="R175" s="9">
        <v>6</v>
      </c>
      <c r="S175" s="9">
        <v>8</v>
      </c>
      <c r="T175" s="9">
        <v>19</v>
      </c>
      <c r="U175" s="9">
        <v>4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36</v>
      </c>
      <c r="L176" s="16" t="s">
        <v>105</v>
      </c>
      <c r="M176" s="16" t="s">
        <v>37</v>
      </c>
      <c r="N176" s="16" t="s">
        <v>36</v>
      </c>
      <c r="O176" s="16" t="s">
        <v>104</v>
      </c>
      <c r="Q176" s="9">
        <v>10</v>
      </c>
      <c r="R176" s="9">
        <v>15</v>
      </c>
      <c r="S176" s="9">
        <v>7</v>
      </c>
      <c r="T176" s="9">
        <v>10</v>
      </c>
      <c r="U176" s="9">
        <v>6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37</v>
      </c>
      <c r="L177" s="16" t="s">
        <v>87</v>
      </c>
      <c r="M177" s="16" t="s">
        <v>19</v>
      </c>
      <c r="N177" s="16" t="s">
        <v>18</v>
      </c>
      <c r="O177" s="16" t="s">
        <v>37</v>
      </c>
      <c r="Q177" s="9">
        <v>7</v>
      </c>
      <c r="R177" s="9">
        <v>12</v>
      </c>
      <c r="S177" s="9">
        <v>5</v>
      </c>
      <c r="T177" s="9">
        <v>4</v>
      </c>
      <c r="U177" s="9">
        <v>7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18</v>
      </c>
      <c r="L178" s="16" t="s">
        <v>19</v>
      </c>
      <c r="M178" s="16" t="s">
        <v>34</v>
      </c>
      <c r="N178" s="16" t="s">
        <v>104</v>
      </c>
      <c r="O178" s="16" t="s">
        <v>19</v>
      </c>
      <c r="Q178" s="9">
        <v>4</v>
      </c>
      <c r="R178" s="9">
        <v>5</v>
      </c>
      <c r="S178" s="9">
        <v>9</v>
      </c>
      <c r="T178" s="9">
        <v>6</v>
      </c>
      <c r="U178" s="9">
        <v>5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104</v>
      </c>
      <c r="L179" s="16" t="s">
        <v>19</v>
      </c>
      <c r="M179" s="16" t="s">
        <v>37</v>
      </c>
      <c r="N179" s="16" t="s">
        <v>21</v>
      </c>
      <c r="O179" s="16" t="s">
        <v>18</v>
      </c>
      <c r="Q179" s="9">
        <v>6</v>
      </c>
      <c r="R179" s="9">
        <v>5</v>
      </c>
      <c r="S179" s="9">
        <v>7</v>
      </c>
      <c r="T179" s="9">
        <v>2</v>
      </c>
      <c r="U179" s="9">
        <v>4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35</v>
      </c>
      <c r="L180" s="16" t="s">
        <v>90</v>
      </c>
      <c r="M180" s="16" t="s">
        <v>22</v>
      </c>
      <c r="N180" s="16" t="s">
        <v>20</v>
      </c>
      <c r="O180" s="16" t="s">
        <v>34</v>
      </c>
      <c r="Q180" s="9">
        <v>8</v>
      </c>
      <c r="R180" s="9">
        <v>16</v>
      </c>
      <c r="S180" s="9">
        <v>3</v>
      </c>
      <c r="T180" s="9">
        <v>1</v>
      </c>
      <c r="U180" s="9">
        <v>9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37</v>
      </c>
      <c r="L181" s="16" t="s">
        <v>19</v>
      </c>
      <c r="M181" s="16" t="s">
        <v>21</v>
      </c>
      <c r="N181" s="16" t="s">
        <v>37</v>
      </c>
      <c r="O181" s="16" t="s">
        <v>22</v>
      </c>
      <c r="Q181" s="9">
        <v>7</v>
      </c>
      <c r="R181" s="9">
        <v>5</v>
      </c>
      <c r="S181" s="9">
        <v>2</v>
      </c>
      <c r="T181" s="9">
        <v>7</v>
      </c>
      <c r="U181" s="9">
        <v>3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37</v>
      </c>
      <c r="L182" s="16" t="s">
        <v>35</v>
      </c>
      <c r="M182" s="16" t="s">
        <v>21</v>
      </c>
      <c r="N182" s="16" t="s">
        <v>86</v>
      </c>
      <c r="O182" s="16" t="s">
        <v>37</v>
      </c>
      <c r="Q182" s="9">
        <v>7</v>
      </c>
      <c r="R182" s="9">
        <v>8</v>
      </c>
      <c r="S182" s="9">
        <v>2</v>
      </c>
      <c r="T182" s="9">
        <v>11</v>
      </c>
      <c r="U182" s="9">
        <v>7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35</v>
      </c>
      <c r="L183" s="16" t="s">
        <v>86</v>
      </c>
      <c r="M183" s="16" t="s">
        <v>104</v>
      </c>
      <c r="N183" s="16" t="s">
        <v>18</v>
      </c>
      <c r="O183" s="16" t="s">
        <v>19</v>
      </c>
      <c r="Q183" s="9">
        <v>8</v>
      </c>
      <c r="R183" s="9">
        <v>11</v>
      </c>
      <c r="S183" s="9">
        <v>6</v>
      </c>
      <c r="T183" s="9">
        <v>4</v>
      </c>
      <c r="U183" s="9">
        <v>5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35</v>
      </c>
      <c r="L184" s="16" t="s">
        <v>37</v>
      </c>
      <c r="M184" s="16" t="s">
        <v>104</v>
      </c>
      <c r="N184" s="16" t="s">
        <v>87</v>
      </c>
      <c r="O184" s="16" t="s">
        <v>35</v>
      </c>
      <c r="Q184" s="9">
        <v>8</v>
      </c>
      <c r="R184" s="9">
        <v>7</v>
      </c>
      <c r="S184" s="9">
        <v>6</v>
      </c>
      <c r="T184" s="9">
        <v>12</v>
      </c>
      <c r="U184" s="9">
        <v>8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104</v>
      </c>
      <c r="L185" s="16" t="s">
        <v>86</v>
      </c>
      <c r="M185" s="16" t="s">
        <v>89</v>
      </c>
      <c r="N185" s="16" t="s">
        <v>18</v>
      </c>
      <c r="O185" s="16" t="s">
        <v>34</v>
      </c>
      <c r="Q185" s="9">
        <v>6</v>
      </c>
      <c r="R185" s="9">
        <v>11</v>
      </c>
      <c r="S185" s="9">
        <v>14</v>
      </c>
      <c r="T185" s="9">
        <v>4</v>
      </c>
      <c r="U185" s="9">
        <v>9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37</v>
      </c>
      <c r="L186" s="16" t="s">
        <v>35</v>
      </c>
      <c r="M186" s="16" t="s">
        <v>19</v>
      </c>
      <c r="N186" s="16" t="s">
        <v>34</v>
      </c>
      <c r="O186" s="16" t="s">
        <v>35</v>
      </c>
      <c r="Q186" s="9">
        <v>7</v>
      </c>
      <c r="R186" s="9">
        <v>8</v>
      </c>
      <c r="S186" s="9">
        <v>5</v>
      </c>
      <c r="T186" s="9">
        <v>9</v>
      </c>
      <c r="U186" s="9">
        <v>8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89</v>
      </c>
      <c r="M187" s="16" t="s">
        <v>18</v>
      </c>
      <c r="N187" s="16" t="s">
        <v>34</v>
      </c>
      <c r="O187" s="16" t="s">
        <v>36</v>
      </c>
      <c r="Q187" s="9">
        <v>8</v>
      </c>
      <c r="R187" s="9">
        <v>14</v>
      </c>
      <c r="S187" s="9">
        <v>4</v>
      </c>
      <c r="T187" s="9">
        <v>9</v>
      </c>
      <c r="U187" s="9">
        <v>10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104</v>
      </c>
      <c r="L188" s="16" t="s">
        <v>102</v>
      </c>
      <c r="M188" s="16" t="s">
        <v>37</v>
      </c>
      <c r="N188" s="16" t="s">
        <v>88</v>
      </c>
      <c r="O188" s="16" t="s">
        <v>104</v>
      </c>
      <c r="Q188" s="9">
        <v>6</v>
      </c>
      <c r="R188" s="9">
        <v>17</v>
      </c>
      <c r="S188" s="9">
        <v>7</v>
      </c>
      <c r="T188" s="9">
        <v>13</v>
      </c>
      <c r="U188" s="9">
        <v>6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37</v>
      </c>
      <c r="L189" s="16" t="s">
        <v>37</v>
      </c>
      <c r="M189" s="16" t="s">
        <v>36</v>
      </c>
      <c r="N189" s="16" t="s">
        <v>22</v>
      </c>
      <c r="O189" s="16" t="s">
        <v>37</v>
      </c>
      <c r="Q189" s="9">
        <v>7</v>
      </c>
      <c r="R189" s="9">
        <v>7</v>
      </c>
      <c r="S189" s="9">
        <v>10</v>
      </c>
      <c r="T189" s="9">
        <v>3</v>
      </c>
      <c r="U189" s="9">
        <v>7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87</v>
      </c>
      <c r="M190" s="16" t="s">
        <v>37</v>
      </c>
      <c r="N190" s="16" t="s">
        <v>87</v>
      </c>
      <c r="O190" s="16" t="s">
        <v>37</v>
      </c>
      <c r="Q190" s="9">
        <v>5</v>
      </c>
      <c r="R190" s="9">
        <v>12</v>
      </c>
      <c r="S190" s="9">
        <v>7</v>
      </c>
      <c r="T190" s="9">
        <v>12</v>
      </c>
      <c r="U190" s="9">
        <v>7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19</v>
      </c>
      <c r="L191" s="16" t="s">
        <v>95</v>
      </c>
      <c r="M191" s="16" t="s">
        <v>104</v>
      </c>
      <c r="N191" s="16" t="s">
        <v>35</v>
      </c>
      <c r="O191" s="16" t="s">
        <v>22</v>
      </c>
      <c r="Q191" s="9">
        <v>5</v>
      </c>
      <c r="R191" s="9">
        <v>19</v>
      </c>
      <c r="S191" s="9">
        <v>6</v>
      </c>
      <c r="T191" s="9">
        <v>8</v>
      </c>
      <c r="U191" s="9">
        <v>3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19</v>
      </c>
      <c r="L192" s="16" t="s">
        <v>104</v>
      </c>
      <c r="M192" s="16" t="s">
        <v>90</v>
      </c>
      <c r="N192" s="16" t="s">
        <v>36</v>
      </c>
      <c r="O192" s="16" t="s">
        <v>34</v>
      </c>
      <c r="Q192" s="9">
        <v>5</v>
      </c>
      <c r="R192" s="9">
        <v>6</v>
      </c>
      <c r="S192" s="9">
        <v>16</v>
      </c>
      <c r="T192" s="9">
        <v>10</v>
      </c>
      <c r="U192" s="9">
        <v>9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22</v>
      </c>
      <c r="L193" s="16" t="s">
        <v>21</v>
      </c>
      <c r="M193" s="16" t="s">
        <v>35</v>
      </c>
      <c r="N193" s="16" t="s">
        <v>22</v>
      </c>
      <c r="O193" s="16" t="s">
        <v>22</v>
      </c>
      <c r="Q193" s="9">
        <v>3</v>
      </c>
      <c r="R193" s="9">
        <v>2</v>
      </c>
      <c r="S193" s="9">
        <v>8</v>
      </c>
      <c r="T193" s="9">
        <v>3</v>
      </c>
      <c r="U193" s="9">
        <v>3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21</v>
      </c>
      <c r="L194" s="16" t="s">
        <v>21</v>
      </c>
      <c r="M194" s="16" t="s">
        <v>21</v>
      </c>
      <c r="N194" s="16" t="s">
        <v>21</v>
      </c>
      <c r="O194" s="16" t="s">
        <v>36</v>
      </c>
      <c r="Q194" s="9">
        <v>2</v>
      </c>
      <c r="R194" s="9">
        <v>2</v>
      </c>
      <c r="S194" s="9">
        <v>2</v>
      </c>
      <c r="T194" s="9">
        <v>2</v>
      </c>
      <c r="U194" s="9">
        <v>10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104</v>
      </c>
      <c r="L195" s="16" t="s">
        <v>93</v>
      </c>
      <c r="M195" s="16" t="s">
        <v>19</v>
      </c>
      <c r="N195" s="16" t="s">
        <v>21</v>
      </c>
      <c r="O195" s="16" t="s">
        <v>19</v>
      </c>
      <c r="Q195" s="9">
        <v>6</v>
      </c>
      <c r="R195" s="9">
        <v>18</v>
      </c>
      <c r="S195" s="9">
        <v>5</v>
      </c>
      <c r="T195" s="9">
        <v>2</v>
      </c>
      <c r="U195" s="9">
        <v>5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35</v>
      </c>
      <c r="L196" s="16" t="s">
        <v>105</v>
      </c>
      <c r="M196" s="16" t="s">
        <v>19</v>
      </c>
      <c r="N196" s="16" t="s">
        <v>35</v>
      </c>
      <c r="O196" s="16" t="s">
        <v>19</v>
      </c>
      <c r="Q196" s="9">
        <v>8</v>
      </c>
      <c r="R196" s="9">
        <v>15</v>
      </c>
      <c r="S196" s="9">
        <v>5</v>
      </c>
      <c r="T196" s="9">
        <v>8</v>
      </c>
      <c r="U196" s="9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19</v>
      </c>
      <c r="L197" s="16" t="s">
        <v>19</v>
      </c>
      <c r="M197" s="16" t="s">
        <v>19</v>
      </c>
      <c r="N197" s="16" t="s">
        <v>35</v>
      </c>
      <c r="O197" s="16" t="s">
        <v>35</v>
      </c>
      <c r="Q197" s="9">
        <v>5</v>
      </c>
      <c r="R197" s="9">
        <v>5</v>
      </c>
      <c r="S197" s="9">
        <v>5</v>
      </c>
      <c r="T197" s="9">
        <v>8</v>
      </c>
      <c r="U197" s="9">
        <v>8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19</v>
      </c>
      <c r="L198" s="16" t="s">
        <v>37</v>
      </c>
      <c r="M198" s="16" t="s">
        <v>37</v>
      </c>
      <c r="N198" s="16" t="s">
        <v>22</v>
      </c>
      <c r="O198" s="16" t="s">
        <v>22</v>
      </c>
      <c r="Q198" s="9">
        <v>5</v>
      </c>
      <c r="R198" s="9">
        <v>7</v>
      </c>
      <c r="S198" s="9">
        <v>7</v>
      </c>
      <c r="T198" s="9">
        <v>3</v>
      </c>
      <c r="U198" s="9">
        <v>3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21</v>
      </c>
      <c r="L199" s="16" t="s">
        <v>22</v>
      </c>
      <c r="M199" s="16" t="s">
        <v>22</v>
      </c>
      <c r="N199" s="16" t="s">
        <v>36</v>
      </c>
      <c r="O199" s="16" t="s">
        <v>104</v>
      </c>
      <c r="Q199" s="9">
        <v>2</v>
      </c>
      <c r="R199" s="9">
        <v>3</v>
      </c>
      <c r="S199" s="9">
        <v>3</v>
      </c>
      <c r="T199" s="9">
        <v>10</v>
      </c>
      <c r="U199" s="9">
        <v>6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104</v>
      </c>
      <c r="L200" s="16" t="s">
        <v>90</v>
      </c>
      <c r="M200" s="16" t="s">
        <v>104</v>
      </c>
      <c r="N200" s="16" t="s">
        <v>18</v>
      </c>
      <c r="O200" s="16" t="s">
        <v>35</v>
      </c>
      <c r="Q200" s="9">
        <v>6</v>
      </c>
      <c r="R200" s="9">
        <v>16</v>
      </c>
      <c r="S200" s="9">
        <v>6</v>
      </c>
      <c r="T200" s="9">
        <v>4</v>
      </c>
      <c r="U200" s="9">
        <v>8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19</v>
      </c>
      <c r="M201" s="16" t="s">
        <v>19</v>
      </c>
      <c r="N201" s="16" t="s">
        <v>22</v>
      </c>
      <c r="O201" s="16" t="s">
        <v>18</v>
      </c>
      <c r="Q201" s="9">
        <v>5</v>
      </c>
      <c r="R201" s="9">
        <v>5</v>
      </c>
      <c r="S201" s="9">
        <v>5</v>
      </c>
      <c r="T201" s="9">
        <v>3</v>
      </c>
      <c r="U201" s="9">
        <v>4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37</v>
      </c>
      <c r="L202" s="16" t="s">
        <v>104</v>
      </c>
      <c r="M202" s="16" t="s">
        <v>104</v>
      </c>
      <c r="N202" s="16" t="s">
        <v>34</v>
      </c>
      <c r="O202" s="16" t="s">
        <v>36</v>
      </c>
      <c r="Q202" s="9">
        <v>7</v>
      </c>
      <c r="R202" s="9">
        <v>6</v>
      </c>
      <c r="S202" s="9">
        <v>6</v>
      </c>
      <c r="T202" s="9">
        <v>9</v>
      </c>
      <c r="U202" s="9">
        <v>10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104</v>
      </c>
      <c r="L203" s="16" t="s">
        <v>36</v>
      </c>
      <c r="M203" s="16" t="s">
        <v>19</v>
      </c>
      <c r="N203" s="16" t="s">
        <v>36</v>
      </c>
      <c r="O203" s="16" t="s">
        <v>34</v>
      </c>
      <c r="Q203" s="9">
        <v>6</v>
      </c>
      <c r="R203" s="9">
        <v>10</v>
      </c>
      <c r="S203" s="9">
        <v>5</v>
      </c>
      <c r="T203" s="9">
        <v>10</v>
      </c>
      <c r="U203" s="9">
        <v>9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K1:O1048576">
    <cfRule type="cellIs" dxfId="160" priority="33" operator="equal">
      <formula>"C1"</formula>
    </cfRule>
    <cfRule type="cellIs" dxfId="159" priority="34" operator="between">
      <formula>"G1"</formula>
      <formula>"G5"</formula>
    </cfRule>
    <cfRule type="cellIs" dxfId="158" priority="36" operator="between">
      <formula>"M1"</formula>
      <formula>"M5"</formula>
    </cfRule>
  </conditionalFormatting>
  <conditionalFormatting sqref="W204:AA304">
    <cfRule type="expression" dxfId="157" priority="37">
      <formula>_xlfn.LET(_xlpm.x, W204, AND(NOT(_xlfn.ISFORMULA(_xlpm.x)), _xlpm.x&lt;&gt;""))</formula>
    </cfRule>
  </conditionalFormatting>
  <conditionalFormatting sqref="C28:G28 D27:G27 C31:G46 C29:C30 G29:G30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{1232790A-EE9C-4471-B48B-F95D427BCD44}</x14:id>
        </ext>
      </extLst>
    </cfRule>
  </conditionalFormatting>
  <conditionalFormatting sqref="D52:D54">
    <cfRule type="cellIs" dxfId="156" priority="15" operator="equal">
      <formula>"C1"</formula>
    </cfRule>
    <cfRule type="cellIs" dxfId="155" priority="16" operator="between">
      <formula>"G1"</formula>
      <formula>"G4"</formula>
    </cfRule>
    <cfRule type="cellIs" dxfId="154" priority="17" operator="between">
      <formula>"GA"</formula>
      <formula>"GQ"</formula>
    </cfRule>
    <cfRule type="cellIs" dxfId="153" priority="18" operator="between">
      <formula>"M1"</formula>
      <formula>"M4"</formula>
    </cfRule>
  </conditionalFormatting>
  <conditionalFormatting sqref="E52:E54">
    <cfRule type="cellIs" dxfId="152" priority="11" operator="equal">
      <formula>"C1"</formula>
    </cfRule>
    <cfRule type="cellIs" dxfId="151" priority="12" operator="between">
      <formula>"G1"</formula>
      <formula>"G4"</formula>
    </cfRule>
    <cfRule type="cellIs" dxfId="150" priority="13" operator="between">
      <formula>"GA"</formula>
      <formula>"GQ"</formula>
    </cfRule>
    <cfRule type="cellIs" dxfId="149" priority="14" operator="between">
      <formula>"M1"</formula>
      <formula>"M4"</formula>
    </cfRule>
  </conditionalFormatting>
  <conditionalFormatting sqref="F52:F54">
    <cfRule type="cellIs" dxfId="148" priority="7" operator="equal">
      <formula>"C1"</formula>
    </cfRule>
    <cfRule type="cellIs" dxfId="147" priority="8" operator="between">
      <formula>"G1"</formula>
      <formula>"G4"</formula>
    </cfRule>
    <cfRule type="cellIs" dxfId="146" priority="9" operator="between">
      <formula>"GA"</formula>
      <formula>"GQ"</formula>
    </cfRule>
    <cfRule type="cellIs" dxfId="145" priority="10" operator="between">
      <formula>"M1"</formula>
      <formula>"M4"</formula>
    </cfRule>
  </conditionalFormatting>
  <conditionalFormatting sqref="D29:F3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{32F7C5C6-3616-47BD-9ABC-1E57940737ED}</x14:id>
        </ext>
      </extLst>
    </cfRule>
  </conditionalFormatting>
  <conditionalFormatting sqref="W5:AA203 X4:AA4">
    <cfRule type="expression" dxfId="144" priority="3">
      <formula>_xlfn.LET(_xlpm.x, W4, AND(NOT(_xlfn.ISFORMULA(_xlpm.x)), _xlpm.x&lt;&gt;""))</formula>
    </cfRule>
  </conditionalFormatting>
  <conditionalFormatting sqref="W5:AA203 X4:AA4">
    <cfRule type="expression" dxfId="143" priority="2">
      <formula>_xlfn.LET(_xlpm.x, W4, AND(NOT(_xlfn.ISFORMULA(_xlpm.x)), _xlpm.x&lt;&gt;""))</formula>
    </cfRule>
  </conditionalFormatting>
  <conditionalFormatting sqref="W4:AA203">
    <cfRule type="expression" dxfId="142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32790A-EE9C-4471-B48B-F95D427BC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2F7C5C6-3616-47BD-9ABC-1E5794073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5" operator="containsText" id="{30FE77EC-34D1-4BBD-A182-45F06F644CA4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S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3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3" ht="15.9" customHeight="1" x14ac:dyDescent="0.3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3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3" ht="15.9" customHeight="1" x14ac:dyDescent="0.3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35</v>
      </c>
      <c r="L4" s="26" t="s">
        <v>23</v>
      </c>
      <c r="M4" s="26" t="s">
        <v>90</v>
      </c>
      <c r="N4" s="26" t="s">
        <v>36</v>
      </c>
      <c r="O4" s="26" t="s">
        <v>21</v>
      </c>
      <c r="Q4" s="25" cm="1">
        <f t="array" ref="Q4:U304">_xlfn.LET(_xlpm.x, K4:O304, IF(_xlpm.x="", "", _xlfn.XLOOKUP(_xlpm.x, $A$4:$A$23,_xlfn.ANCHORARRAY( H4))))</f>
        <v>8</v>
      </c>
      <c r="R4" s="25">
        <v>7</v>
      </c>
      <c r="S4" s="25">
        <v>16</v>
      </c>
      <c r="T4" s="25">
        <v>10</v>
      </c>
      <c r="U4" s="25">
        <v>2</v>
      </c>
      <c r="W4" s="25" cm="1">
        <f t="array" ref="W4">_xlfn.LET(_xlpm.x, K4:K6, IF(SUM((_xlpm.x="K")*1, (_xlpm.x="A")*1, (_xlpm.x="GK")*1, (_xlpm.x="GA")*1)&gt;0, 3, 1))</f>
        <v>3</v>
      </c>
      <c r="X4" s="25" cm="1">
        <f t="array" ref="X4">_xlfn.LET(_xlpm.x, L4:L6, IF(SUM((_xlpm.x="K")*1, (_xlpm.x="A")*1, (_xlpm.x="GK")*1, (_xlpm.x="GA")*1)&gt;0, 3, 1))</f>
        <v>3</v>
      </c>
      <c r="Y4" s="25" cm="1">
        <f t="array" ref="Y4">_xlfn.LET(_xlpm.x, M4:M6, IF(SUM((_xlpm.x="K")*1, (_xlpm.x="A")*1, (_xlpm.x="GK")*1, (_xlpm.x="GA")*1)&gt;0, 3, 1))</f>
        <v>3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3" ht="15.9" customHeight="1" x14ac:dyDescent="0.3">
      <c r="A5" s="29" t="str">
        <v>C1</v>
      </c>
      <c r="B5" s="8" t="str">
        <v>Scatter</v>
      </c>
      <c r="C5" s="98">
        <f t="shared" si="0"/>
        <v>0</v>
      </c>
      <c r="D5" s="98">
        <f t="shared" si="0"/>
        <v>6</v>
      </c>
      <c r="E5" s="98">
        <f t="shared" si="0"/>
        <v>0</v>
      </c>
      <c r="F5" s="98">
        <f t="shared" si="0"/>
        <v>9</v>
      </c>
      <c r="G5" s="98">
        <f t="shared" si="0"/>
        <v>0</v>
      </c>
      <c r="H5" s="8">
        <v>1</v>
      </c>
      <c r="I5" s="86"/>
      <c r="J5" s="9">
        <v>1</v>
      </c>
      <c r="K5" s="16" t="s">
        <v>37</v>
      </c>
      <c r="L5" s="16" t="s">
        <v>37</v>
      </c>
      <c r="M5" s="16" t="s">
        <v>93</v>
      </c>
      <c r="N5" s="16" t="s">
        <v>21</v>
      </c>
      <c r="O5" s="16" t="s">
        <v>18</v>
      </c>
      <c r="Q5" s="9">
        <v>7</v>
      </c>
      <c r="R5" s="9">
        <v>7</v>
      </c>
      <c r="S5" s="9">
        <v>18</v>
      </c>
      <c r="T5" s="9">
        <v>2</v>
      </c>
      <c r="U5" s="9">
        <v>4</v>
      </c>
      <c r="W5" s="25" cm="1">
        <f t="array" ref="W5">_xlfn.LET(_xlpm.x, K5:K7, IF(SUM((_xlpm.x="K")*1, (_xlpm.x="A")*1, (_xlpm.x="GK")*1, (_xlpm.x="GA")*1)&gt;0, 3, 1))</f>
        <v>3</v>
      </c>
      <c r="X5" s="25" cm="1">
        <f t="array" ref="X5">_xlfn.LET(_xlpm.x, L5:L7, IF(SUM((_xlpm.x="K")*1, (_xlpm.x="A")*1, (_xlpm.x="GK")*1, (_xlpm.x="GA")*1)&gt;0, 3, 1))</f>
        <v>3</v>
      </c>
      <c r="Y5" s="25" cm="1">
        <f t="array" ref="Y5">_xlfn.LET(_xlpm.x, M5:M7, IF(SUM((_xlpm.x="K")*1, (_xlpm.x="A")*1, (_xlpm.x="GK")*1, (_xlpm.x="GA")*1)&gt;0, 3, 1))</f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3" ht="15.9" customHeight="1" x14ac:dyDescent="0.3">
      <c r="A6" s="128" t="str">
        <v>M1</v>
      </c>
      <c r="B6" s="108" t="str">
        <v>M1</v>
      </c>
      <c r="C6" s="128">
        <f t="shared" si="0"/>
        <v>4</v>
      </c>
      <c r="D6" s="128">
        <f t="shared" si="0"/>
        <v>6</v>
      </c>
      <c r="E6" s="128">
        <f t="shared" si="0"/>
        <v>0</v>
      </c>
      <c r="F6" s="128">
        <f t="shared" si="0"/>
        <v>22</v>
      </c>
      <c r="G6" s="128">
        <f t="shared" si="0"/>
        <v>28</v>
      </c>
      <c r="H6" s="108">
        <v>2</v>
      </c>
      <c r="I6" s="86"/>
      <c r="J6" s="25">
        <v>2</v>
      </c>
      <c r="K6" s="16" t="s">
        <v>21</v>
      </c>
      <c r="L6" s="16" t="s">
        <v>90</v>
      </c>
      <c r="M6" s="16" t="s">
        <v>89</v>
      </c>
      <c r="N6" s="16" t="s">
        <v>18</v>
      </c>
      <c r="O6" s="16" t="s">
        <v>22</v>
      </c>
      <c r="Q6" s="9">
        <v>2</v>
      </c>
      <c r="R6" s="9">
        <v>16</v>
      </c>
      <c r="S6" s="9">
        <v>14</v>
      </c>
      <c r="T6" s="9">
        <v>4</v>
      </c>
      <c r="U6" s="9">
        <v>3</v>
      </c>
      <c r="W6" s="25" cm="1">
        <f t="array" ref="W6">_xlfn.LET(_xlpm.x, K6:K8, IF(SUM((_xlpm.x="K")*1, (_xlpm.x="A")*1, (_xlpm.x="GK")*1, (_xlpm.x="GA")*1)&gt;0, 3, 1))</f>
        <v>3</v>
      </c>
      <c r="X6" s="25" cm="1">
        <f t="array" ref="X6">_xlfn.LET(_xlpm.x, L6:L8, IF(SUM((_xlpm.x="K")*1, (_xlpm.x="A")*1, (_xlpm.x="GK")*1, (_xlpm.x="GA")*1)&gt;0, 3, 1))</f>
        <v>3</v>
      </c>
      <c r="Y6" s="25" cm="1">
        <f t="array" ref="Y6">_xlfn.LET(_xlpm.x, M6:M8, IF(SUM((_xlpm.x="K")*1, (_xlpm.x="A")*1, (_xlpm.x="GK")*1, (_xlpm.x="GA")*1)&gt;0, 3, 1))</f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 cm="1">
        <f t="array" ref="AK6:AO25">$AD$6:$AH$25</f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3" ht="15.9" customHeight="1" x14ac:dyDescent="0.3">
      <c r="A7" s="128" t="str">
        <v>M2</v>
      </c>
      <c r="B7" s="108" t="str">
        <v>M2</v>
      </c>
      <c r="C7" s="128">
        <f t="shared" si="0"/>
        <v>4</v>
      </c>
      <c r="D7" s="128">
        <f t="shared" si="0"/>
        <v>6</v>
      </c>
      <c r="E7" s="128">
        <f t="shared" si="0"/>
        <v>0</v>
      </c>
      <c r="F7" s="128">
        <f t="shared" si="0"/>
        <v>22</v>
      </c>
      <c r="G7" s="128">
        <f t="shared" si="0"/>
        <v>27</v>
      </c>
      <c r="H7" s="108">
        <v>3</v>
      </c>
      <c r="I7" s="86"/>
      <c r="J7" s="9">
        <v>3</v>
      </c>
      <c r="K7" s="16" t="s">
        <v>19</v>
      </c>
      <c r="L7" s="16" t="s">
        <v>34</v>
      </c>
      <c r="M7" s="26" t="s">
        <v>105</v>
      </c>
      <c r="N7" s="16" t="s">
        <v>18</v>
      </c>
      <c r="O7" s="16" t="s">
        <v>22</v>
      </c>
      <c r="Q7" s="9">
        <v>5</v>
      </c>
      <c r="R7" s="9">
        <v>9</v>
      </c>
      <c r="S7" s="9">
        <v>15</v>
      </c>
      <c r="T7" s="9">
        <v>4</v>
      </c>
      <c r="U7" s="9">
        <v>3</v>
      </c>
      <c r="W7" s="25" cm="1">
        <f t="array" ref="W7">_xlfn.LET(_xlpm.x, K7:K9, IF(SUM((_xlpm.x="K")*1, (_xlpm.x="A")*1, (_xlpm.x="GK")*1, (_xlpm.x="GA")*1)&gt;0, 3, 1))</f>
        <v>3</v>
      </c>
      <c r="X7" s="25" cm="1">
        <f t="array" ref="X7">_xlfn.LET(_xlpm.x, L7:L9, IF(SUM((_xlpm.x="K")*1, (_xlpm.x="A")*1, (_xlpm.x="GK")*1, (_xlpm.x="GA")*1)&gt;0, 3, 1))</f>
        <v>3</v>
      </c>
      <c r="Y7" s="25" cm="1">
        <f t="array" ref="Y7">_xlfn.LET(_xlpm.x, M7:M9, IF(SUM((_xlpm.x="K")*1, (_xlpm.x="A")*1, (_xlpm.x="GK")*1, (_xlpm.x="GA")*1)&gt;0, 3, 1))</f>
        <v>3</v>
      </c>
      <c r="Z7" s="25">
        <v>1</v>
      </c>
      <c r="AA7" s="25">
        <v>1</v>
      </c>
      <c r="AC7" s="133" t="str">
        <v>C1</v>
      </c>
      <c r="AD7" s="98">
        <v>0</v>
      </c>
      <c r="AE7" s="98">
        <v>6</v>
      </c>
      <c r="AF7" s="98">
        <v>0</v>
      </c>
      <c r="AG7" s="98">
        <v>9</v>
      </c>
      <c r="AH7" s="98">
        <v>0</v>
      </c>
      <c r="AI7" s="5"/>
      <c r="AJ7" s="133" t="str">
        <v>C1</v>
      </c>
      <c r="AK7" s="211">
        <v>0</v>
      </c>
      <c r="AL7" s="211">
        <v>6</v>
      </c>
      <c r="AM7" s="211">
        <v>0</v>
      </c>
      <c r="AN7" s="211">
        <v>9</v>
      </c>
      <c r="AO7" s="211">
        <v>0</v>
      </c>
    </row>
    <row r="8" spans="1:43" ht="15.9" customHeight="1" x14ac:dyDescent="0.3">
      <c r="A8" s="128" t="str">
        <v>M3</v>
      </c>
      <c r="B8" s="108" t="str">
        <v>M3</v>
      </c>
      <c r="C8" s="128">
        <f t="shared" si="0"/>
        <v>4</v>
      </c>
      <c r="D8" s="128">
        <f t="shared" si="0"/>
        <v>6</v>
      </c>
      <c r="E8" s="128">
        <f t="shared" si="0"/>
        <v>0</v>
      </c>
      <c r="F8" s="128">
        <f t="shared" si="0"/>
        <v>22</v>
      </c>
      <c r="G8" s="128">
        <f t="shared" si="0"/>
        <v>27</v>
      </c>
      <c r="H8" s="108">
        <v>4</v>
      </c>
      <c r="I8" s="86"/>
      <c r="J8" s="25">
        <v>4</v>
      </c>
      <c r="K8" s="16" t="s">
        <v>35</v>
      </c>
      <c r="L8" s="16" t="s">
        <v>90</v>
      </c>
      <c r="M8" s="16" t="s">
        <v>89</v>
      </c>
      <c r="N8" s="16" t="s">
        <v>22</v>
      </c>
      <c r="O8" s="16" t="s">
        <v>35</v>
      </c>
      <c r="Q8" s="9">
        <v>8</v>
      </c>
      <c r="R8" s="9">
        <v>16</v>
      </c>
      <c r="S8" s="9">
        <v>14</v>
      </c>
      <c r="T8" s="9">
        <v>3</v>
      </c>
      <c r="U8" s="9">
        <v>8</v>
      </c>
      <c r="W8" s="25" cm="1">
        <f t="array" ref="W8">_xlfn.LET(_xlpm.x, K8:K10, IF(SUM((_xlpm.x="K")*1, (_xlpm.x="A")*1, (_xlpm.x="GK")*1, (_xlpm.x="GA")*1)&gt;0, 3, 1))</f>
        <v>3</v>
      </c>
      <c r="X8" s="25" cm="1">
        <f t="array" ref="X8">_xlfn.LET(_xlpm.x, L8:L10, IF(SUM((_xlpm.x="K")*1, (_xlpm.x="A")*1, (_xlpm.x="GK")*1, (_xlpm.x="GA")*1)&gt;0, 3, 1))</f>
        <v>3</v>
      </c>
      <c r="Y8" s="25" cm="1">
        <f t="array" ref="Y8">_xlfn.LET(_xlpm.x, M8:M10, IF(SUM((_xlpm.x="K")*1, (_xlpm.x="A")*1, (_xlpm.x="GK")*1, (_xlpm.x="GA")*1)&gt;0, 3, 1))</f>
        <v>3</v>
      </c>
      <c r="Z8" s="25">
        <v>1</v>
      </c>
      <c r="AA8" s="25">
        <v>1</v>
      </c>
      <c r="AC8" s="148" t="str">
        <v>M1</v>
      </c>
      <c r="AD8" s="128">
        <v>4</v>
      </c>
      <c r="AE8" s="128">
        <v>11</v>
      </c>
      <c r="AF8" s="128">
        <v>0</v>
      </c>
      <c r="AG8" s="128">
        <v>22</v>
      </c>
      <c r="AH8" s="128">
        <v>28</v>
      </c>
      <c r="AI8" s="5"/>
      <c r="AJ8" s="148" t="str">
        <v>M1</v>
      </c>
      <c r="AK8" s="128">
        <v>4</v>
      </c>
      <c r="AL8" s="128">
        <v>11</v>
      </c>
      <c r="AM8" s="128">
        <v>0</v>
      </c>
      <c r="AN8" s="128">
        <v>22</v>
      </c>
      <c r="AO8" s="128">
        <v>28</v>
      </c>
    </row>
    <row r="9" spans="1:43" ht="15.9" customHeight="1" x14ac:dyDescent="0.3">
      <c r="A9" s="128" t="str">
        <v>M4</v>
      </c>
      <c r="B9" s="108" t="str">
        <v>M4</v>
      </c>
      <c r="C9" s="128">
        <f t="shared" si="0"/>
        <v>43</v>
      </c>
      <c r="D9" s="128">
        <f t="shared" si="0"/>
        <v>19</v>
      </c>
      <c r="E9" s="128">
        <f t="shared" si="0"/>
        <v>0</v>
      </c>
      <c r="F9" s="128">
        <f t="shared" si="0"/>
        <v>12</v>
      </c>
      <c r="G9" s="128">
        <f t="shared" si="0"/>
        <v>16</v>
      </c>
      <c r="H9" s="108">
        <v>5</v>
      </c>
      <c r="I9" s="86"/>
      <c r="J9" s="9">
        <v>5</v>
      </c>
      <c r="K9" s="16" t="s">
        <v>104</v>
      </c>
      <c r="L9" s="16" t="s">
        <v>18</v>
      </c>
      <c r="M9" s="16" t="s">
        <v>102</v>
      </c>
      <c r="N9" s="16" t="s">
        <v>22</v>
      </c>
      <c r="O9" s="16" t="s">
        <v>22</v>
      </c>
      <c r="Q9" s="9">
        <v>6</v>
      </c>
      <c r="R9" s="9">
        <v>4</v>
      </c>
      <c r="S9" s="9">
        <v>17</v>
      </c>
      <c r="T9" s="9">
        <v>3</v>
      </c>
      <c r="U9" s="9">
        <v>3</v>
      </c>
      <c r="W9" s="25" cm="1">
        <f t="array" ref="W9">_xlfn.LET(_xlpm.x, K9:K11, IF(SUM((_xlpm.x="K")*1, (_xlpm.x="A")*1, (_xlpm.x="GK")*1, (_xlpm.x="GA")*1)&gt;0, 3, 1))</f>
        <v>3</v>
      </c>
      <c r="X9" s="25" cm="1">
        <f t="array" ref="X9">_xlfn.LET(_xlpm.x, L9:L11, IF(SUM((_xlpm.x="K")*1, (_xlpm.x="A")*1, (_xlpm.x="GK")*1, (_xlpm.x="GA")*1)&gt;0, 3, 1))</f>
        <v>1</v>
      </c>
      <c r="Y9" s="25" cm="1">
        <f t="array" ref="Y9">_xlfn.LET(_xlpm.x, M9:M11, IF(SUM((_xlpm.x="K")*1, (_xlpm.x="A")*1, (_xlpm.x="GK")*1, (_xlpm.x="GA")*1)&gt;0, 3, 1))</f>
        <v>3</v>
      </c>
      <c r="Z9" s="25">
        <v>1</v>
      </c>
      <c r="AA9" s="25">
        <v>1</v>
      </c>
      <c r="AC9" s="148" t="str">
        <v>M2</v>
      </c>
      <c r="AD9" s="128">
        <v>4</v>
      </c>
      <c r="AE9" s="128">
        <v>11</v>
      </c>
      <c r="AF9" s="128">
        <v>0</v>
      </c>
      <c r="AG9" s="128">
        <v>22</v>
      </c>
      <c r="AH9" s="128">
        <v>27</v>
      </c>
      <c r="AI9" s="5"/>
      <c r="AJ9" s="148" t="str">
        <v>M2</v>
      </c>
      <c r="AK9" s="128">
        <v>4</v>
      </c>
      <c r="AL9" s="128">
        <v>11</v>
      </c>
      <c r="AM9" s="128">
        <v>0</v>
      </c>
      <c r="AN9" s="128">
        <v>22</v>
      </c>
      <c r="AO9" s="128">
        <v>27</v>
      </c>
    </row>
    <row r="10" spans="1:43" ht="15.9" customHeight="1" x14ac:dyDescent="0.3">
      <c r="A10" s="128" t="str">
        <v>M5</v>
      </c>
      <c r="B10" s="108" t="str">
        <v>M5</v>
      </c>
      <c r="C10" s="128">
        <f t="shared" si="0"/>
        <v>43</v>
      </c>
      <c r="D10" s="128">
        <f t="shared" si="0"/>
        <v>19</v>
      </c>
      <c r="E10" s="128">
        <f t="shared" si="0"/>
        <v>0</v>
      </c>
      <c r="F10" s="128">
        <f t="shared" si="0"/>
        <v>12</v>
      </c>
      <c r="G10" s="128">
        <f t="shared" si="0"/>
        <v>16</v>
      </c>
      <c r="H10" s="108">
        <v>6</v>
      </c>
      <c r="I10" s="86"/>
      <c r="J10" s="25">
        <v>6</v>
      </c>
      <c r="K10" s="16" t="s">
        <v>35</v>
      </c>
      <c r="L10" s="16" t="s">
        <v>19</v>
      </c>
      <c r="M10" s="16" t="s">
        <v>90</v>
      </c>
      <c r="N10" s="16" t="s">
        <v>36</v>
      </c>
      <c r="O10" s="16" t="s">
        <v>37</v>
      </c>
      <c r="Q10" s="9">
        <v>8</v>
      </c>
      <c r="R10" s="9">
        <v>5</v>
      </c>
      <c r="S10" s="9">
        <v>16</v>
      </c>
      <c r="T10" s="9">
        <v>10</v>
      </c>
      <c r="U10" s="9">
        <v>7</v>
      </c>
      <c r="W10" s="25" cm="1">
        <f t="array" ref="W10">_xlfn.LET(_xlpm.x, K10:K12, IF(SUM((_xlpm.x="K")*1, (_xlpm.x="A")*1, (_xlpm.x="GK")*1, (_xlpm.x="GA")*1)&gt;0, 3, 1))</f>
        <v>3</v>
      </c>
      <c r="X10" s="25" cm="1">
        <f t="array" ref="X10">_xlfn.LET(_xlpm.x, L10:L12, IF(SUM((_xlpm.x="K")*1, (_xlpm.x="A")*1, (_xlpm.x="GK")*1, (_xlpm.x="GA")*1)&gt;0, 3, 1))</f>
        <v>3</v>
      </c>
      <c r="Y10" s="25" cm="1">
        <f t="array" ref="Y10">_xlfn.LET(_xlpm.x, M10:M12, IF(SUM((_xlpm.x="K")*1, (_xlpm.x="A")*1, (_xlpm.x="GK")*1, (_xlpm.x="GA")*1)&gt;0, 3, 1))</f>
        <v>3</v>
      </c>
      <c r="Z10" s="25">
        <v>1</v>
      </c>
      <c r="AA10" s="25">
        <v>1</v>
      </c>
      <c r="AC10" s="148" t="str">
        <v>M3</v>
      </c>
      <c r="AD10" s="128">
        <v>4</v>
      </c>
      <c r="AE10" s="128">
        <v>11</v>
      </c>
      <c r="AF10" s="128">
        <v>0</v>
      </c>
      <c r="AG10" s="128">
        <v>22</v>
      </c>
      <c r="AH10" s="128">
        <v>27</v>
      </c>
      <c r="AI10" s="5"/>
      <c r="AJ10" s="148" t="str">
        <v>M3</v>
      </c>
      <c r="AK10" s="128">
        <v>4</v>
      </c>
      <c r="AL10" s="128">
        <v>11</v>
      </c>
      <c r="AM10" s="128">
        <v>0</v>
      </c>
      <c r="AN10" s="128">
        <v>22</v>
      </c>
      <c r="AO10" s="128">
        <v>27</v>
      </c>
    </row>
    <row r="11" spans="1:43" ht="15.9" customHeight="1" x14ac:dyDescent="0.3">
      <c r="A11" s="128" t="str">
        <v>A</v>
      </c>
      <c r="B11" s="108" t="str">
        <v>A</v>
      </c>
      <c r="C11" s="128">
        <f t="shared" si="0"/>
        <v>47</v>
      </c>
      <c r="D11" s="128">
        <f t="shared" si="0"/>
        <v>22</v>
      </c>
      <c r="E11" s="128">
        <f t="shared" si="0"/>
        <v>0</v>
      </c>
      <c r="F11" s="128">
        <f t="shared" si="0"/>
        <v>12</v>
      </c>
      <c r="G11" s="128">
        <f t="shared" si="0"/>
        <v>16</v>
      </c>
      <c r="H11" s="108">
        <v>7</v>
      </c>
      <c r="I11" s="86"/>
      <c r="J11" s="9">
        <v>7</v>
      </c>
      <c r="K11" s="16" t="s">
        <v>104</v>
      </c>
      <c r="L11" s="16" t="s">
        <v>88</v>
      </c>
      <c r="M11" s="16" t="s">
        <v>105</v>
      </c>
      <c r="N11" s="16" t="s">
        <v>36</v>
      </c>
      <c r="O11" s="16" t="s">
        <v>104</v>
      </c>
      <c r="Q11" s="9">
        <v>6</v>
      </c>
      <c r="R11" s="9">
        <v>13</v>
      </c>
      <c r="S11" s="9">
        <v>15</v>
      </c>
      <c r="T11" s="9">
        <v>10</v>
      </c>
      <c r="U11" s="9">
        <v>6</v>
      </c>
      <c r="W11" s="25" cm="1">
        <f t="array" ref="W11">_xlfn.LET(_xlpm.x, K11:K13, IF(SUM((_xlpm.x="K")*1, (_xlpm.x="A")*1, (_xlpm.x="GK")*1, (_xlpm.x="GA")*1)&gt;0, 3, 1))</f>
        <v>3</v>
      </c>
      <c r="X11" s="25" cm="1">
        <f t="array" ref="X11">_xlfn.LET(_xlpm.x, L11:L13, IF(SUM((_xlpm.x="K")*1, (_xlpm.x="A")*1, (_xlpm.x="GK")*1, (_xlpm.x="GA")*1)&gt;0, 3, 1))</f>
        <v>3</v>
      </c>
      <c r="Y11" s="25" cm="1">
        <f t="array" ref="Y11">_xlfn.LET(_xlpm.x, M11:M13, IF(SUM((_xlpm.x="K")*1, (_xlpm.x="A")*1, (_xlpm.x="GK")*1, (_xlpm.x="GA")*1)&gt;0, 3, 1))</f>
        <v>3</v>
      </c>
      <c r="Z11" s="25">
        <v>1</v>
      </c>
      <c r="AA11" s="25">
        <v>1</v>
      </c>
      <c r="AC11" s="148" t="str">
        <v>M4</v>
      </c>
      <c r="AD11" s="128">
        <v>43</v>
      </c>
      <c r="AE11" s="128">
        <v>19</v>
      </c>
      <c r="AF11" s="128">
        <v>0</v>
      </c>
      <c r="AG11" s="128">
        <v>12</v>
      </c>
      <c r="AH11" s="128">
        <v>16</v>
      </c>
      <c r="AI11" s="5"/>
      <c r="AJ11" s="148" t="str">
        <v>M4</v>
      </c>
      <c r="AK11" s="128">
        <v>43</v>
      </c>
      <c r="AL11" s="128">
        <v>19</v>
      </c>
      <c r="AM11" s="128">
        <v>0</v>
      </c>
      <c r="AN11" s="128">
        <v>12</v>
      </c>
      <c r="AO11" s="128">
        <v>16</v>
      </c>
    </row>
    <row r="12" spans="1:43" ht="15.9" customHeight="1" x14ac:dyDescent="0.3">
      <c r="A12" s="128" t="str">
        <v>K</v>
      </c>
      <c r="B12" s="108" t="str">
        <v>K</v>
      </c>
      <c r="C12" s="128">
        <f t="shared" si="0"/>
        <v>47</v>
      </c>
      <c r="D12" s="128">
        <f t="shared" si="0"/>
        <v>24</v>
      </c>
      <c r="E12" s="128">
        <f t="shared" si="0"/>
        <v>0</v>
      </c>
      <c r="F12" s="128">
        <f t="shared" si="0"/>
        <v>12</v>
      </c>
      <c r="G12" s="128">
        <f t="shared" si="0"/>
        <v>16</v>
      </c>
      <c r="H12" s="108">
        <v>8</v>
      </c>
      <c r="I12" s="86"/>
      <c r="J12" s="25">
        <v>8</v>
      </c>
      <c r="K12" s="16" t="s">
        <v>19</v>
      </c>
      <c r="L12" s="16" t="s">
        <v>37</v>
      </c>
      <c r="M12" s="16" t="s">
        <v>102</v>
      </c>
      <c r="N12" s="16" t="s">
        <v>104</v>
      </c>
      <c r="O12" s="16" t="s">
        <v>104</v>
      </c>
      <c r="Q12" s="9">
        <v>5</v>
      </c>
      <c r="R12" s="9">
        <v>7</v>
      </c>
      <c r="S12" s="9">
        <v>17</v>
      </c>
      <c r="T12" s="9">
        <v>6</v>
      </c>
      <c r="U12" s="9">
        <v>6</v>
      </c>
      <c r="W12" s="25" cm="1">
        <f t="array" ref="W12">_xlfn.LET(_xlpm.x, K12:K14, IF(SUM((_xlpm.x="K")*1, (_xlpm.x="A")*1, (_xlpm.x="GK")*1, (_xlpm.x="GA")*1)&gt;0, 3, 1))</f>
        <v>3</v>
      </c>
      <c r="X12" s="25" cm="1">
        <f t="array" ref="X12">_xlfn.LET(_xlpm.x, L12:L14, IF(SUM((_xlpm.x="K")*1, (_xlpm.x="A")*1, (_xlpm.x="GK")*1, (_xlpm.x="GA")*1)&gt;0, 3, 1))</f>
        <v>3</v>
      </c>
      <c r="Y12" s="25" cm="1">
        <f t="array" ref="Y12">_xlfn.LET(_xlpm.x, M12:M14, IF(SUM((_xlpm.x="K")*1, (_xlpm.x="A")*1, (_xlpm.x="GK")*1, (_xlpm.x="GA")*1)&gt;0, 3, 1))</f>
        <v>3</v>
      </c>
      <c r="Z12" s="25">
        <v>1</v>
      </c>
      <c r="AA12" s="25">
        <v>1</v>
      </c>
      <c r="AC12" s="148" t="str">
        <v>M5</v>
      </c>
      <c r="AD12" s="128">
        <v>43</v>
      </c>
      <c r="AE12" s="128">
        <v>20</v>
      </c>
      <c r="AF12" s="128">
        <v>0</v>
      </c>
      <c r="AG12" s="128">
        <v>12</v>
      </c>
      <c r="AH12" s="128">
        <v>16</v>
      </c>
      <c r="AI12" s="5"/>
      <c r="AJ12" s="148" t="str">
        <v>M5</v>
      </c>
      <c r="AK12" s="128">
        <v>43</v>
      </c>
      <c r="AL12" s="128">
        <v>20</v>
      </c>
      <c r="AM12" s="128">
        <v>0</v>
      </c>
      <c r="AN12" s="128">
        <v>12</v>
      </c>
      <c r="AO12" s="128">
        <v>16</v>
      </c>
    </row>
    <row r="13" spans="1:43" ht="15.9" customHeight="1" x14ac:dyDescent="0.3">
      <c r="A13" s="128" t="str">
        <v>Q</v>
      </c>
      <c r="B13" s="108" t="str">
        <v>Q</v>
      </c>
      <c r="C13" s="128">
        <f t="shared" si="0"/>
        <v>4</v>
      </c>
      <c r="D13" s="128">
        <f t="shared" si="0"/>
        <v>5</v>
      </c>
      <c r="E13" s="128">
        <f t="shared" si="0"/>
        <v>0</v>
      </c>
      <c r="F13" s="128">
        <f t="shared" si="0"/>
        <v>21</v>
      </c>
      <c r="G13" s="128">
        <f t="shared" si="0"/>
        <v>27</v>
      </c>
      <c r="H13" s="108">
        <v>9</v>
      </c>
      <c r="I13" s="86"/>
      <c r="J13" s="9">
        <v>9</v>
      </c>
      <c r="K13" s="16" t="s">
        <v>35</v>
      </c>
      <c r="L13" s="16" t="s">
        <v>95</v>
      </c>
      <c r="M13" s="16" t="s">
        <v>105</v>
      </c>
      <c r="N13" s="16" t="s">
        <v>95</v>
      </c>
      <c r="O13" s="16" t="s">
        <v>21</v>
      </c>
      <c r="Q13" s="9">
        <v>8</v>
      </c>
      <c r="R13" s="9">
        <v>19</v>
      </c>
      <c r="S13" s="9">
        <v>15</v>
      </c>
      <c r="T13" s="9">
        <v>19</v>
      </c>
      <c r="U13" s="9">
        <v>2</v>
      </c>
      <c r="W13" s="25" cm="1">
        <f t="array" ref="W13">_xlfn.LET(_xlpm.x, K13:K15, IF(SUM((_xlpm.x="K")*1, (_xlpm.x="A")*1, (_xlpm.x="GK")*1, (_xlpm.x="GA")*1)&gt;0, 3, 1))</f>
        <v>3</v>
      </c>
      <c r="X13" s="25" cm="1">
        <f t="array" ref="X13">_xlfn.LET(_xlpm.x, L13:L15, IF(SUM((_xlpm.x="K")*1, (_xlpm.x="A")*1, (_xlpm.x="GK")*1, (_xlpm.x="GA")*1)&gt;0, 3, 1))</f>
        <v>1</v>
      </c>
      <c r="Y13" s="25" cm="1">
        <f t="array" ref="Y13">_xlfn.LET(_xlpm.x, M13:M15, IF(SUM((_xlpm.x="K")*1, (_xlpm.x="A")*1, (_xlpm.x="GK")*1, (_xlpm.x="GA")*1)&gt;0, 3, 1))</f>
        <v>3</v>
      </c>
      <c r="Z13" s="25">
        <v>1</v>
      </c>
      <c r="AA13" s="25">
        <v>1</v>
      </c>
      <c r="AC13" s="148" t="str">
        <v>A</v>
      </c>
      <c r="AD13" s="128">
        <v>47</v>
      </c>
      <c r="AE13" s="128">
        <v>20</v>
      </c>
      <c r="AF13" s="128">
        <v>0</v>
      </c>
      <c r="AG13" s="128">
        <v>12</v>
      </c>
      <c r="AH13" s="128">
        <v>16</v>
      </c>
      <c r="AI13" s="5"/>
      <c r="AJ13" s="148" t="str">
        <v>A</v>
      </c>
      <c r="AK13" s="128">
        <v>47</v>
      </c>
      <c r="AL13" s="128">
        <v>20</v>
      </c>
      <c r="AM13" s="128">
        <v>0</v>
      </c>
      <c r="AN13" s="128">
        <v>12</v>
      </c>
      <c r="AO13" s="128">
        <v>16</v>
      </c>
    </row>
    <row r="14" spans="1:43" ht="15.9" customHeight="1" x14ac:dyDescent="0.3">
      <c r="A14" s="128" t="str">
        <v>J</v>
      </c>
      <c r="B14" s="108" t="str">
        <v>J</v>
      </c>
      <c r="C14" s="128">
        <f t="shared" si="0"/>
        <v>4</v>
      </c>
      <c r="D14" s="128">
        <f t="shared" si="0"/>
        <v>7</v>
      </c>
      <c r="E14" s="128">
        <f t="shared" si="0"/>
        <v>0</v>
      </c>
      <c r="F14" s="128">
        <f t="shared" si="0"/>
        <v>21</v>
      </c>
      <c r="G14" s="128">
        <f t="shared" si="0"/>
        <v>27</v>
      </c>
      <c r="H14" s="108">
        <v>10</v>
      </c>
      <c r="I14" s="86"/>
      <c r="J14" s="25">
        <v>10</v>
      </c>
      <c r="K14" s="16" t="s">
        <v>34</v>
      </c>
      <c r="L14" s="16" t="s">
        <v>287</v>
      </c>
      <c r="M14" s="16" t="s">
        <v>90</v>
      </c>
      <c r="N14" s="16" t="s">
        <v>21</v>
      </c>
      <c r="O14" s="16" t="s">
        <v>35</v>
      </c>
      <c r="Q14" s="9">
        <v>9</v>
      </c>
      <c r="R14" s="9">
        <v>15</v>
      </c>
      <c r="S14" s="9">
        <v>16</v>
      </c>
      <c r="T14" s="9">
        <v>2</v>
      </c>
      <c r="U14" s="9">
        <v>8</v>
      </c>
      <c r="W14" s="25" cm="1">
        <f t="array" ref="W14">_xlfn.LET(_xlpm.x, K14:K16, IF(SUM((_xlpm.x="K")*1, (_xlpm.x="A")*1, (_xlpm.x="GK")*1, (_xlpm.x="GA")*1)&gt;0, 3, 1))</f>
        <v>3</v>
      </c>
      <c r="X14" s="25" cm="1">
        <f t="array" ref="X14">_xlfn.LET(_xlpm.x, L14:L16, IF(SUM((_xlpm.x="K")*1, (_xlpm.x="A")*1, (_xlpm.x="GK")*1, (_xlpm.x="GA")*1)&gt;0, 3, 1))</f>
        <v>1</v>
      </c>
      <c r="Y14" s="25" cm="1">
        <f t="array" ref="Y14">_xlfn.LET(_xlpm.x, M14:M16, IF(SUM((_xlpm.x="K")*1, (_xlpm.x="A")*1, (_xlpm.x="GK")*1, (_xlpm.x="GA")*1)&gt;0, 3, 1))</f>
        <v>3</v>
      </c>
      <c r="Z14" s="25">
        <v>1</v>
      </c>
      <c r="AA14" s="25">
        <v>1</v>
      </c>
      <c r="AC14" s="148" t="str">
        <v>K</v>
      </c>
      <c r="AD14" s="128">
        <v>47</v>
      </c>
      <c r="AE14" s="128">
        <v>20</v>
      </c>
      <c r="AF14" s="128">
        <v>0</v>
      </c>
      <c r="AG14" s="128">
        <v>12</v>
      </c>
      <c r="AH14" s="128">
        <v>16</v>
      </c>
      <c r="AI14" s="5"/>
      <c r="AJ14" s="148" t="str">
        <v>K</v>
      </c>
      <c r="AK14" s="128">
        <v>47</v>
      </c>
      <c r="AL14" s="128">
        <v>20</v>
      </c>
      <c r="AM14" s="128">
        <v>0</v>
      </c>
      <c r="AN14" s="128">
        <v>12</v>
      </c>
      <c r="AO14" s="128">
        <v>16</v>
      </c>
    </row>
    <row r="15" spans="1:43" ht="15.9" customHeight="1" x14ac:dyDescent="0.3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4</v>
      </c>
      <c r="E15" s="98">
        <f t="shared" si="0"/>
        <v>5</v>
      </c>
      <c r="F15" s="98">
        <f t="shared" si="0"/>
        <v>5</v>
      </c>
      <c r="G15" s="98">
        <f t="shared" si="0"/>
        <v>0</v>
      </c>
      <c r="H15" s="8">
        <v>11</v>
      </c>
      <c r="I15" s="86"/>
      <c r="J15" s="9">
        <v>11</v>
      </c>
      <c r="K15" s="16" t="s">
        <v>37</v>
      </c>
      <c r="L15" s="16" t="s">
        <v>29</v>
      </c>
      <c r="M15" s="16" t="s">
        <v>89</v>
      </c>
      <c r="N15" s="16" t="s">
        <v>37</v>
      </c>
      <c r="O15" s="16" t="s">
        <v>35</v>
      </c>
      <c r="Q15" s="9">
        <v>7</v>
      </c>
      <c r="R15" s="9">
        <v>5</v>
      </c>
      <c r="S15" s="9">
        <v>14</v>
      </c>
      <c r="T15" s="9">
        <v>7</v>
      </c>
      <c r="U15" s="9">
        <v>8</v>
      </c>
      <c r="W15" s="25" cm="1">
        <f t="array" ref="W15">_xlfn.LET(_xlpm.x, K15:K17, IF(SUM((_xlpm.x="K")*1, (_xlpm.x="A")*1, (_xlpm.x="GK")*1, (_xlpm.x="GA")*1)&gt;0, 3, 1))</f>
        <v>3</v>
      </c>
      <c r="X15" s="25" cm="1">
        <f t="array" ref="X15">_xlfn.LET(_xlpm.x, L15:L17, IF(SUM((_xlpm.x="K")*1, (_xlpm.x="A")*1, (_xlpm.x="GK")*1, (_xlpm.x="GA")*1)&gt;0, 3, 1))</f>
        <v>1</v>
      </c>
      <c r="Y15" s="25" cm="1">
        <f t="array" ref="Y15">_xlfn.LET(_xlpm.x, M15:M17, IF(SUM((_xlpm.x="K")*1, (_xlpm.x="A")*1, (_xlpm.x="GK")*1, (_xlpm.x="GA")*1)&gt;0, 3, 1))</f>
        <v>3</v>
      </c>
      <c r="Z15" s="25">
        <v>1</v>
      </c>
      <c r="AA15" s="25">
        <v>1</v>
      </c>
      <c r="AC15" s="148" t="str">
        <v>Q</v>
      </c>
      <c r="AD15" s="128">
        <v>4</v>
      </c>
      <c r="AE15" s="128">
        <v>11</v>
      </c>
      <c r="AF15" s="128">
        <v>0</v>
      </c>
      <c r="AG15" s="128">
        <v>21</v>
      </c>
      <c r="AH15" s="128">
        <v>27</v>
      </c>
      <c r="AI15" s="5"/>
      <c r="AJ15" s="148" t="str">
        <v>Q</v>
      </c>
      <c r="AK15" s="128">
        <v>4</v>
      </c>
      <c r="AL15" s="128">
        <v>11</v>
      </c>
      <c r="AM15" s="128">
        <v>0</v>
      </c>
      <c r="AN15" s="128">
        <v>21</v>
      </c>
      <c r="AO15" s="128">
        <v>27</v>
      </c>
    </row>
    <row r="16" spans="1:43" ht="15.9" customHeight="1" x14ac:dyDescent="0.3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4</v>
      </c>
      <c r="E16" s="98">
        <f t="shared" si="0"/>
        <v>5</v>
      </c>
      <c r="F16" s="98">
        <f t="shared" si="0"/>
        <v>5</v>
      </c>
      <c r="G16" s="98">
        <f t="shared" si="0"/>
        <v>0</v>
      </c>
      <c r="H16" s="8">
        <v>12</v>
      </c>
      <c r="I16" s="86"/>
      <c r="J16" s="25">
        <v>12</v>
      </c>
      <c r="K16" s="16" t="s">
        <v>34</v>
      </c>
      <c r="L16" s="16" t="s">
        <v>19</v>
      </c>
      <c r="M16" s="16" t="s">
        <v>102</v>
      </c>
      <c r="N16" s="16" t="s">
        <v>90</v>
      </c>
      <c r="O16" s="16" t="s">
        <v>34</v>
      </c>
      <c r="Q16" s="9">
        <v>9</v>
      </c>
      <c r="R16" s="9">
        <v>5</v>
      </c>
      <c r="S16" s="9">
        <v>17</v>
      </c>
      <c r="T16" s="9">
        <v>16</v>
      </c>
      <c r="U16" s="9">
        <v>9</v>
      </c>
      <c r="W16" s="25" cm="1">
        <f t="array" ref="W16">_xlfn.LET(_xlpm.x, K16:K18, IF(SUM((_xlpm.x="K")*1, (_xlpm.x="A")*1, (_xlpm.x="GK")*1, (_xlpm.x="GA")*1)&gt;0, 3, 1))</f>
        <v>3</v>
      </c>
      <c r="X16" s="25" cm="1">
        <f t="array" ref="X16">_xlfn.LET(_xlpm.x, L16:L18, IF(SUM((_xlpm.x="K")*1, (_xlpm.x="A")*1, (_xlpm.x="GK")*1, (_xlpm.x="GA")*1)&gt;0, 3, 1))</f>
        <v>3</v>
      </c>
      <c r="Y16" s="25" cm="1">
        <f t="array" ref="Y16">_xlfn.LET(_xlpm.x, M16:M18, IF(SUM((_xlpm.x="K")*1, (_xlpm.x="A")*1, (_xlpm.x="GK")*1, (_xlpm.x="GA")*1)&gt;0, 3, 1))</f>
        <v>3</v>
      </c>
      <c r="Z16" s="25">
        <v>1</v>
      </c>
      <c r="AA16" s="25">
        <v>1</v>
      </c>
      <c r="AC16" s="148" t="str">
        <v>J</v>
      </c>
      <c r="AD16" s="128">
        <v>4</v>
      </c>
      <c r="AE16" s="128">
        <v>11</v>
      </c>
      <c r="AF16" s="128">
        <v>0</v>
      </c>
      <c r="AG16" s="128">
        <v>21</v>
      </c>
      <c r="AH16" s="128">
        <v>27</v>
      </c>
      <c r="AI16" s="5"/>
      <c r="AJ16" s="148" t="str">
        <v>J</v>
      </c>
      <c r="AK16" s="128">
        <v>4</v>
      </c>
      <c r="AL16" s="128">
        <v>11</v>
      </c>
      <c r="AM16" s="128">
        <v>0</v>
      </c>
      <c r="AN16" s="128">
        <v>21</v>
      </c>
      <c r="AO16" s="128">
        <v>27</v>
      </c>
      <c r="AQ16" s="5">
        <v>1.5</v>
      </c>
    </row>
    <row r="17" spans="1:45" ht="15.9" customHeight="1" x14ac:dyDescent="0.3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4</v>
      </c>
      <c r="E17" s="98">
        <f t="shared" si="0"/>
        <v>5</v>
      </c>
      <c r="F17" s="98">
        <f t="shared" si="0"/>
        <v>5</v>
      </c>
      <c r="G17" s="98">
        <f t="shared" si="0"/>
        <v>0</v>
      </c>
      <c r="H17" s="8">
        <v>13</v>
      </c>
      <c r="I17" s="86"/>
      <c r="J17" s="9">
        <v>13</v>
      </c>
      <c r="K17" s="16" t="s">
        <v>35</v>
      </c>
      <c r="L17" s="16" t="s">
        <v>32</v>
      </c>
      <c r="M17" s="16" t="s">
        <v>105</v>
      </c>
      <c r="N17" s="16" t="s">
        <v>35</v>
      </c>
      <c r="O17" s="16" t="s">
        <v>22</v>
      </c>
      <c r="Q17" s="9">
        <v>8</v>
      </c>
      <c r="R17" s="9">
        <v>9</v>
      </c>
      <c r="S17" s="9">
        <v>15</v>
      </c>
      <c r="T17" s="9">
        <v>8</v>
      </c>
      <c r="U17" s="9">
        <v>3</v>
      </c>
      <c r="W17" s="25" cm="1">
        <f t="array" ref="W17">_xlfn.LET(_xlpm.x, K17:K19, IF(SUM((_xlpm.x="K")*1, (_xlpm.x="A")*1, (_xlpm.x="GK")*1, (_xlpm.x="GA")*1)&gt;0, 3, 1))</f>
        <v>3</v>
      </c>
      <c r="X17" s="25" cm="1">
        <f t="array" ref="X17">_xlfn.LET(_xlpm.x, L17:L19, IF(SUM((_xlpm.x="K")*1, (_xlpm.x="A")*1, (_xlpm.x="GK")*1, (_xlpm.x="GA")*1)&gt;0, 3, 1))</f>
        <v>3</v>
      </c>
      <c r="Y17" s="25" cm="1">
        <f t="array" ref="Y17">_xlfn.LET(_xlpm.x, M17:M19, IF(SUM((_xlpm.x="K")*1, (_xlpm.x="A")*1, (_xlpm.x="GK")*1, (_xlpm.x="GA")*1)&gt;0, 3, 1))</f>
        <v>3</v>
      </c>
      <c r="Z17" s="25">
        <v>1</v>
      </c>
      <c r="AA17" s="25">
        <v>1</v>
      </c>
      <c r="AC17" s="133" t="str">
        <v>G1</v>
      </c>
      <c r="AD17" s="98">
        <v>0</v>
      </c>
      <c r="AE17" s="98">
        <v>7</v>
      </c>
      <c r="AF17" s="98">
        <v>7</v>
      </c>
      <c r="AG17" s="98">
        <v>9</v>
      </c>
      <c r="AH17" s="98">
        <v>0</v>
      </c>
      <c r="AI17" s="5"/>
      <c r="AJ17" s="133" t="str">
        <v>G1</v>
      </c>
      <c r="AK17" s="98">
        <v>0</v>
      </c>
      <c r="AL17" s="98">
        <v>7</v>
      </c>
      <c r="AM17" s="98">
        <v>7</v>
      </c>
      <c r="AN17" s="98">
        <v>9</v>
      </c>
      <c r="AO17" s="98">
        <v>0</v>
      </c>
      <c r="AQ17" s="5" cm="1">
        <f t="array" ref="AQ17:AS25">INT(AE17:AG25*AQ16)</f>
        <v>10</v>
      </c>
      <c r="AR17" s="5">
        <v>10</v>
      </c>
      <c r="AS17" s="5">
        <v>13</v>
      </c>
    </row>
    <row r="18" spans="1:45" ht="15.9" customHeight="1" x14ac:dyDescent="0.3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15</v>
      </c>
      <c r="E18" s="98">
        <f t="shared" si="0"/>
        <v>44</v>
      </c>
      <c r="F18" s="98">
        <f t="shared" si="0"/>
        <v>3</v>
      </c>
      <c r="G18" s="98">
        <f t="shared" si="0"/>
        <v>0</v>
      </c>
      <c r="H18" s="8">
        <v>14</v>
      </c>
      <c r="I18" s="86"/>
      <c r="J18" s="25">
        <v>14</v>
      </c>
      <c r="K18" s="16" t="s">
        <v>37</v>
      </c>
      <c r="L18" s="16" t="s">
        <v>90</v>
      </c>
      <c r="M18" s="16" t="s">
        <v>89</v>
      </c>
      <c r="N18" s="16" t="s">
        <v>37</v>
      </c>
      <c r="O18" s="16" t="s">
        <v>36</v>
      </c>
      <c r="Q18" s="9">
        <v>7</v>
      </c>
      <c r="R18" s="9">
        <v>16</v>
      </c>
      <c r="S18" s="9">
        <v>14</v>
      </c>
      <c r="T18" s="9">
        <v>7</v>
      </c>
      <c r="U18" s="9">
        <v>10</v>
      </c>
      <c r="W18" s="25" cm="1">
        <f t="array" ref="W18">_xlfn.LET(_xlpm.x, K18:K20, IF(SUM((_xlpm.x="K")*1, (_xlpm.x="A")*1, (_xlpm.x="GK")*1, (_xlpm.x="GA")*1)&gt;0, 3, 1))</f>
        <v>3</v>
      </c>
      <c r="X18" s="25" cm="1">
        <f t="array" ref="X18">_xlfn.LET(_xlpm.x, L18:L20, IF(SUM((_xlpm.x="K")*1, (_xlpm.x="A")*1, (_xlpm.x="GK")*1, (_xlpm.x="GA")*1)&gt;0, 3, 1))</f>
        <v>3</v>
      </c>
      <c r="Y18" s="25" cm="1">
        <f t="array" ref="Y18">_xlfn.LET(_xlpm.x, M18:M20, IF(SUM((_xlpm.x="K")*1, (_xlpm.x="A")*1, (_xlpm.x="GK")*1, (_xlpm.x="GA")*1)&gt;0, 3, 1))</f>
        <v>3</v>
      </c>
      <c r="Z18" s="25">
        <v>1</v>
      </c>
      <c r="AA18" s="25">
        <v>1</v>
      </c>
      <c r="AC18" s="133" t="str">
        <v>G2</v>
      </c>
      <c r="AD18" s="98">
        <v>0</v>
      </c>
      <c r="AE18" s="98">
        <v>9</v>
      </c>
      <c r="AF18" s="98">
        <v>7</v>
      </c>
      <c r="AG18" s="98">
        <v>9</v>
      </c>
      <c r="AH18" s="98">
        <v>0</v>
      </c>
      <c r="AI18" s="5"/>
      <c r="AJ18" s="133" t="str">
        <v>G2</v>
      </c>
      <c r="AK18" s="98">
        <v>0</v>
      </c>
      <c r="AL18" s="98">
        <v>9</v>
      </c>
      <c r="AM18" s="98">
        <v>7</v>
      </c>
      <c r="AN18" s="98">
        <v>9</v>
      </c>
      <c r="AO18" s="98">
        <v>0</v>
      </c>
      <c r="AQ18" s="5">
        <v>13</v>
      </c>
      <c r="AR18" s="5">
        <v>10</v>
      </c>
      <c r="AS18" s="5">
        <v>13</v>
      </c>
    </row>
    <row r="19" spans="1:45" ht="15.9" customHeight="1" x14ac:dyDescent="0.3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16</v>
      </c>
      <c r="E19" s="98">
        <f t="shared" si="0"/>
        <v>44</v>
      </c>
      <c r="F19" s="98">
        <f t="shared" si="0"/>
        <v>3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95</v>
      </c>
      <c r="M19" s="16" t="s">
        <v>90</v>
      </c>
      <c r="N19" s="16" t="s">
        <v>37</v>
      </c>
      <c r="O19" s="16" t="s">
        <v>104</v>
      </c>
      <c r="Q19" s="9">
        <v>7</v>
      </c>
      <c r="R19" s="9">
        <v>19</v>
      </c>
      <c r="S19" s="9">
        <v>16</v>
      </c>
      <c r="T19" s="9">
        <v>7</v>
      </c>
      <c r="U19" s="9">
        <v>6</v>
      </c>
      <c r="W19" s="25" cm="1">
        <f t="array" ref="W19">_xlfn.LET(_xlpm.x, K19:K21, IF(SUM((_xlpm.x="K")*1, (_xlpm.x="A")*1, (_xlpm.x="GK")*1, (_xlpm.x="GA")*1)&gt;0, 3, 1))</f>
        <v>3</v>
      </c>
      <c r="X19" s="25" cm="1">
        <f t="array" ref="X19">_xlfn.LET(_xlpm.x, L19:L21, IF(SUM((_xlpm.x="K")*1, (_xlpm.x="A")*1, (_xlpm.x="GK")*1, (_xlpm.x="GA")*1)&gt;0, 3, 1))</f>
        <v>1</v>
      </c>
      <c r="Y19" s="25" cm="1">
        <f t="array" ref="Y19">_xlfn.LET(_xlpm.x, M19:M21, IF(SUM((_xlpm.x="K")*1, (_xlpm.x="A")*1, (_xlpm.x="GK")*1, (_xlpm.x="GA")*1)&gt;0, 3, 1))</f>
        <v>3</v>
      </c>
      <c r="Z19" s="25">
        <v>1</v>
      </c>
      <c r="AA19" s="25">
        <v>1</v>
      </c>
      <c r="AC19" s="133" t="str">
        <v>G3</v>
      </c>
      <c r="AD19" s="98">
        <v>0</v>
      </c>
      <c r="AE19" s="98">
        <v>9</v>
      </c>
      <c r="AF19" s="98">
        <v>7</v>
      </c>
      <c r="AG19" s="98">
        <v>9</v>
      </c>
      <c r="AH19" s="98">
        <v>0</v>
      </c>
      <c r="AI19" s="5"/>
      <c r="AJ19" s="133" t="str">
        <v>G3</v>
      </c>
      <c r="AK19" s="98">
        <v>0</v>
      </c>
      <c r="AL19" s="98">
        <v>9</v>
      </c>
      <c r="AM19" s="98">
        <v>7</v>
      </c>
      <c r="AN19" s="98">
        <v>9</v>
      </c>
      <c r="AO19" s="98">
        <v>0</v>
      </c>
      <c r="AQ19" s="5">
        <v>13</v>
      </c>
      <c r="AR19" s="5">
        <v>10</v>
      </c>
      <c r="AS19" s="5">
        <v>13</v>
      </c>
    </row>
    <row r="20" spans="1:45" ht="15.9" customHeight="1" x14ac:dyDescent="0.3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15</v>
      </c>
      <c r="E20" s="98">
        <f t="shared" si="0"/>
        <v>44</v>
      </c>
      <c r="F20" s="98">
        <f t="shared" si="0"/>
        <v>3</v>
      </c>
      <c r="G20" s="98">
        <f t="shared" si="0"/>
        <v>0</v>
      </c>
      <c r="H20" s="8">
        <v>16</v>
      </c>
      <c r="I20" s="86"/>
      <c r="J20" s="25">
        <v>16</v>
      </c>
      <c r="K20" s="16" t="s">
        <v>37</v>
      </c>
      <c r="L20" s="16" t="s">
        <v>22</v>
      </c>
      <c r="M20" s="16" t="s">
        <v>93</v>
      </c>
      <c r="N20" s="16" t="s">
        <v>87</v>
      </c>
      <c r="O20" s="16" t="s">
        <v>21</v>
      </c>
      <c r="Q20" s="9">
        <v>7</v>
      </c>
      <c r="R20" s="9">
        <v>3</v>
      </c>
      <c r="S20" s="9">
        <v>18</v>
      </c>
      <c r="T20" s="9">
        <v>12</v>
      </c>
      <c r="U20" s="9">
        <v>2</v>
      </c>
      <c r="W20" s="25" cm="1">
        <f t="array" ref="W20">_xlfn.LET(_xlpm.x, K20:K22, IF(SUM((_xlpm.x="K")*1, (_xlpm.x="A")*1, (_xlpm.x="GK")*1, (_xlpm.x="GA")*1)&gt;0, 3, 1))</f>
        <v>3</v>
      </c>
      <c r="X20" s="25" cm="1">
        <f t="array" ref="X20">_xlfn.LET(_xlpm.x, L20:L22, IF(SUM((_xlpm.x="K")*1, (_xlpm.x="A")*1, (_xlpm.x="GK")*1, (_xlpm.x="GA")*1)&gt;0, 3, 1))</f>
        <v>1</v>
      </c>
      <c r="Y20" s="25" cm="1">
        <f t="array" ref="Y20">_xlfn.LET(_xlpm.x, M20:M22, IF(SUM((_xlpm.x="K")*1, (_xlpm.x="A")*1, (_xlpm.x="GK")*1, (_xlpm.x="GA")*1)&gt;0, 3, 1))</f>
        <v>3</v>
      </c>
      <c r="Z20" s="25">
        <v>1</v>
      </c>
      <c r="AA20" s="25">
        <v>1</v>
      </c>
      <c r="AC20" s="133" t="str">
        <v>G4</v>
      </c>
      <c r="AD20" s="98">
        <v>0</v>
      </c>
      <c r="AE20" s="98">
        <v>15</v>
      </c>
      <c r="AF20" s="98">
        <v>66</v>
      </c>
      <c r="AG20" s="98">
        <v>6</v>
      </c>
      <c r="AH20" s="98">
        <v>0</v>
      </c>
      <c r="AI20" s="5"/>
      <c r="AJ20" s="133" t="str">
        <v>G4</v>
      </c>
      <c r="AK20" s="98">
        <v>0</v>
      </c>
      <c r="AL20" s="98">
        <v>15</v>
      </c>
      <c r="AM20" s="98">
        <v>66</v>
      </c>
      <c r="AN20" s="98">
        <v>6</v>
      </c>
      <c r="AO20" s="98">
        <v>0</v>
      </c>
      <c r="AQ20" s="5">
        <v>22</v>
      </c>
      <c r="AR20" s="5">
        <v>99</v>
      </c>
      <c r="AS20" s="5">
        <v>9</v>
      </c>
    </row>
    <row r="21" spans="1:45" ht="15.9" customHeight="1" x14ac:dyDescent="0.3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14</v>
      </c>
      <c r="E21" s="98">
        <f t="shared" si="0"/>
        <v>44</v>
      </c>
      <c r="F21" s="98">
        <f t="shared" si="0"/>
        <v>3</v>
      </c>
      <c r="G21" s="98">
        <f t="shared" si="0"/>
        <v>0</v>
      </c>
      <c r="H21" s="8">
        <v>17</v>
      </c>
      <c r="I21" s="86"/>
      <c r="J21" s="9">
        <v>17</v>
      </c>
      <c r="K21" s="16" t="s">
        <v>35</v>
      </c>
      <c r="L21" s="16" t="s">
        <v>105</v>
      </c>
      <c r="M21" s="16" t="s">
        <v>90</v>
      </c>
      <c r="N21" s="16" t="s">
        <v>102</v>
      </c>
      <c r="O21" s="16" t="s">
        <v>37</v>
      </c>
      <c r="Q21" s="9">
        <v>8</v>
      </c>
      <c r="R21" s="9">
        <v>15</v>
      </c>
      <c r="S21" s="9">
        <v>16</v>
      </c>
      <c r="T21" s="9">
        <v>17</v>
      </c>
      <c r="U21" s="9">
        <v>7</v>
      </c>
      <c r="W21" s="25" cm="1">
        <f t="array" ref="W21">_xlfn.LET(_xlpm.x, K21:K23, IF(SUM((_xlpm.x="K")*1, (_xlpm.x="A")*1, (_xlpm.x="GK")*1, (_xlpm.x="GA")*1)&gt;0, 3, 1))</f>
        <v>3</v>
      </c>
      <c r="X21" s="25" cm="1">
        <f t="array" ref="X21">_xlfn.LET(_xlpm.x, L21:L23, IF(SUM((_xlpm.x="K")*1, (_xlpm.x="A")*1, (_xlpm.x="GK")*1, (_xlpm.x="GA")*1)&gt;0, 3, 1))</f>
        <v>3</v>
      </c>
      <c r="Y21" s="25" cm="1">
        <f t="array" ref="Y21">_xlfn.LET(_xlpm.x, M21:M23, IF(SUM((_xlpm.x="K")*1, (_xlpm.x="A")*1, (_xlpm.x="GK")*1, (_xlpm.x="GA")*1)&gt;0, 3, 1))</f>
        <v>3</v>
      </c>
      <c r="Z21" s="25">
        <v>1</v>
      </c>
      <c r="AA21" s="25">
        <v>1</v>
      </c>
      <c r="AC21" s="133" t="str">
        <v>G5</v>
      </c>
      <c r="AD21" s="98">
        <v>0</v>
      </c>
      <c r="AE21" s="98">
        <v>15</v>
      </c>
      <c r="AF21" s="98">
        <v>66</v>
      </c>
      <c r="AG21" s="98">
        <v>6</v>
      </c>
      <c r="AH21" s="98">
        <v>0</v>
      </c>
      <c r="AI21" s="5"/>
      <c r="AJ21" s="133" t="str">
        <v>G5</v>
      </c>
      <c r="AK21" s="98">
        <v>0</v>
      </c>
      <c r="AL21" s="98">
        <v>15</v>
      </c>
      <c r="AM21" s="98">
        <v>66</v>
      </c>
      <c r="AN21" s="98">
        <v>6</v>
      </c>
      <c r="AO21" s="98">
        <v>0</v>
      </c>
      <c r="AQ21" s="5">
        <v>22</v>
      </c>
      <c r="AR21" s="5">
        <v>99</v>
      </c>
      <c r="AS21" s="5">
        <v>9</v>
      </c>
    </row>
    <row r="22" spans="1:45" ht="15.9" customHeight="1" x14ac:dyDescent="0.3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5</v>
      </c>
      <c r="E22" s="98">
        <f t="shared" si="0"/>
        <v>5</v>
      </c>
      <c r="F22" s="98">
        <f t="shared" si="0"/>
        <v>4</v>
      </c>
      <c r="G22" s="98">
        <f t="shared" si="0"/>
        <v>0</v>
      </c>
      <c r="H22" s="8">
        <v>18</v>
      </c>
      <c r="I22" s="86"/>
      <c r="J22" s="25">
        <v>18</v>
      </c>
      <c r="K22" s="16" t="s">
        <v>104</v>
      </c>
      <c r="L22" s="16" t="s">
        <v>104</v>
      </c>
      <c r="M22" s="16" t="s">
        <v>105</v>
      </c>
      <c r="N22" s="16" t="s">
        <v>34</v>
      </c>
      <c r="O22" s="16" t="s">
        <v>36</v>
      </c>
      <c r="Q22" s="9">
        <v>6</v>
      </c>
      <c r="R22" s="9">
        <v>6</v>
      </c>
      <c r="S22" s="9">
        <v>15</v>
      </c>
      <c r="T22" s="9">
        <v>9</v>
      </c>
      <c r="U22" s="9">
        <v>10</v>
      </c>
      <c r="W22" s="25" cm="1">
        <f t="array" ref="W22">_xlfn.LET(_xlpm.x, K22:K24, IF(SUM((_xlpm.x="K")*1, (_xlpm.x="A")*1, (_xlpm.x="GK")*1, (_xlpm.x="GA")*1)&gt;0, 3, 1))</f>
        <v>1</v>
      </c>
      <c r="X22" s="25" cm="1">
        <f t="array" ref="X22">_xlfn.LET(_xlpm.x, L22:L24, IF(SUM((_xlpm.x="K")*1, (_xlpm.x="A")*1, (_xlpm.x="GK")*1, (_xlpm.x="GA")*1)&gt;0, 3, 1))</f>
        <v>3</v>
      </c>
      <c r="Y22" s="25" cm="1">
        <f t="array" ref="Y22">_xlfn.LET(_xlpm.x, M22:M24, IF(SUM((_xlpm.x="K")*1, (_xlpm.x="A")*1, (_xlpm.x="GK")*1, (_xlpm.x="GA")*1)&gt;0, 3, 1))</f>
        <v>3</v>
      </c>
      <c r="Z22" s="25">
        <v>1</v>
      </c>
      <c r="AA22" s="25">
        <v>1</v>
      </c>
      <c r="AC22" s="133" t="str">
        <v>GA</v>
      </c>
      <c r="AD22" s="98">
        <v>0</v>
      </c>
      <c r="AE22" s="98">
        <v>15</v>
      </c>
      <c r="AF22" s="98">
        <v>66</v>
      </c>
      <c r="AG22" s="98">
        <v>6</v>
      </c>
      <c r="AH22" s="98">
        <v>0</v>
      </c>
      <c r="AI22" s="5"/>
      <c r="AJ22" s="133" t="str">
        <v>GA</v>
      </c>
      <c r="AK22" s="98">
        <v>0</v>
      </c>
      <c r="AL22" s="98">
        <v>15</v>
      </c>
      <c r="AM22" s="98">
        <v>66</v>
      </c>
      <c r="AN22" s="98">
        <v>6</v>
      </c>
      <c r="AO22" s="98">
        <v>0</v>
      </c>
      <c r="AQ22" s="5">
        <v>22</v>
      </c>
      <c r="AR22" s="5">
        <v>99</v>
      </c>
      <c r="AS22" s="5">
        <v>9</v>
      </c>
    </row>
    <row r="23" spans="1:45" ht="15.9" customHeight="1" x14ac:dyDescent="0.3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3</v>
      </c>
      <c r="E23" s="98">
        <f t="shared" si="0"/>
        <v>4</v>
      </c>
      <c r="F23" s="98">
        <f t="shared" si="0"/>
        <v>4</v>
      </c>
      <c r="G23" s="98">
        <f t="shared" si="0"/>
        <v>0</v>
      </c>
      <c r="H23" s="8">
        <v>19</v>
      </c>
      <c r="I23" s="86"/>
      <c r="J23" s="9">
        <v>19</v>
      </c>
      <c r="K23" s="16" t="s">
        <v>19</v>
      </c>
      <c r="L23" s="16" t="s">
        <v>23</v>
      </c>
      <c r="M23" s="16" t="s">
        <v>102</v>
      </c>
      <c r="N23" s="16" t="s">
        <v>34</v>
      </c>
      <c r="O23" s="16" t="s">
        <v>21</v>
      </c>
      <c r="Q23" s="9">
        <v>5</v>
      </c>
      <c r="R23" s="9">
        <v>7</v>
      </c>
      <c r="S23" s="9">
        <v>17</v>
      </c>
      <c r="T23" s="9">
        <v>9</v>
      </c>
      <c r="U23" s="9">
        <v>2</v>
      </c>
      <c r="W23" s="25" cm="1">
        <f t="array" ref="W23">_xlfn.LET(_xlpm.x, K23:K25, IF(SUM((_xlpm.x="K")*1, (_xlpm.x="A")*1, (_xlpm.x="GK")*1, (_xlpm.x="GA")*1)&gt;0, 3, 1))</f>
        <v>1</v>
      </c>
      <c r="X23" s="25" cm="1">
        <f t="array" ref="X23">_xlfn.LET(_xlpm.x, L23:L25, IF(SUM((_xlpm.x="K")*1, (_xlpm.x="A")*1, (_xlpm.x="GK")*1, (_xlpm.x="GA")*1)&gt;0, 3, 1))</f>
        <v>3</v>
      </c>
      <c r="Y23" s="25" cm="1">
        <f t="array" ref="Y23">_xlfn.LET(_xlpm.x, M23:M25, IF(SUM((_xlpm.x="K")*1, (_xlpm.x="A")*1, (_xlpm.x="GK")*1, (_xlpm.x="GA")*1)&gt;0, 3, 1))</f>
        <v>3</v>
      </c>
      <c r="Z23" s="25">
        <v>1</v>
      </c>
      <c r="AA23" s="25">
        <v>1</v>
      </c>
      <c r="AC23" s="133" t="str">
        <v>GK</v>
      </c>
      <c r="AD23" s="98">
        <v>0</v>
      </c>
      <c r="AE23" s="98">
        <v>15</v>
      </c>
      <c r="AF23" s="98">
        <v>66</v>
      </c>
      <c r="AG23" s="98">
        <v>6</v>
      </c>
      <c r="AH23" s="98">
        <v>0</v>
      </c>
      <c r="AI23" s="5"/>
      <c r="AJ23" s="133" t="str">
        <v>GK</v>
      </c>
      <c r="AK23" s="98">
        <v>0</v>
      </c>
      <c r="AL23" s="98">
        <v>15</v>
      </c>
      <c r="AM23" s="98">
        <v>66</v>
      </c>
      <c r="AN23" s="98">
        <v>6</v>
      </c>
      <c r="AO23" s="98">
        <v>0</v>
      </c>
      <c r="AQ23" s="5">
        <v>22</v>
      </c>
      <c r="AR23" s="5">
        <v>99</v>
      </c>
      <c r="AS23" s="5">
        <v>9</v>
      </c>
    </row>
    <row r="24" spans="1:45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104</v>
      </c>
      <c r="L24" s="16" t="s">
        <v>92</v>
      </c>
      <c r="M24" s="16" t="s">
        <v>89</v>
      </c>
      <c r="N24" s="16" t="s">
        <v>18</v>
      </c>
      <c r="O24" s="16" t="s">
        <v>34</v>
      </c>
      <c r="Q24" s="9">
        <v>6</v>
      </c>
      <c r="R24" s="9">
        <v>17</v>
      </c>
      <c r="S24" s="9">
        <v>14</v>
      </c>
      <c r="T24" s="9">
        <v>4</v>
      </c>
      <c r="U24" s="9">
        <v>9</v>
      </c>
      <c r="W24" s="25" cm="1">
        <f t="array" ref="W24">_xlfn.LET(_xlpm.x, K24:K26, IF(SUM((_xlpm.x="K")*1, (_xlpm.x="A")*1, (_xlpm.x="GK")*1, (_xlpm.x="GA")*1)&gt;0, 3, 1))</f>
        <v>3</v>
      </c>
      <c r="X24" s="25" cm="1">
        <f t="array" ref="X24">_xlfn.LET(_xlpm.x, L24:L26, IF(SUM((_xlpm.x="K")*1, (_xlpm.x="A")*1, (_xlpm.x="GK")*1, (_xlpm.x="GA")*1)&gt;0, 3, 1))</f>
        <v>3</v>
      </c>
      <c r="Y24" s="25" cm="1">
        <f t="array" ref="Y24">_xlfn.LET(_xlpm.x, M24:M26, IF(SUM((_xlpm.x="K")*1, (_xlpm.x="A")*1, (_xlpm.x="GK")*1, (_xlpm.x="GA")*1)&gt;0, 3, 1))</f>
        <v>3</v>
      </c>
      <c r="Z24" s="25">
        <v>1</v>
      </c>
      <c r="AA24" s="25">
        <v>1</v>
      </c>
      <c r="AC24" s="133" t="str">
        <v>GQ</v>
      </c>
      <c r="AD24" s="98">
        <v>0</v>
      </c>
      <c r="AE24" s="98">
        <v>9</v>
      </c>
      <c r="AF24" s="98">
        <v>7</v>
      </c>
      <c r="AG24" s="98">
        <v>7</v>
      </c>
      <c r="AH24" s="98">
        <v>0</v>
      </c>
      <c r="AI24" s="5"/>
      <c r="AJ24" s="133" t="str">
        <v>GQ</v>
      </c>
      <c r="AK24" s="98">
        <v>0</v>
      </c>
      <c r="AL24" s="98">
        <v>9</v>
      </c>
      <c r="AM24" s="98">
        <v>7</v>
      </c>
      <c r="AN24" s="98">
        <v>7</v>
      </c>
      <c r="AO24" s="98">
        <v>0</v>
      </c>
      <c r="AQ24" s="5">
        <v>13</v>
      </c>
      <c r="AR24" s="5">
        <v>10</v>
      </c>
      <c r="AS24" s="5">
        <v>10</v>
      </c>
    </row>
    <row r="25" spans="1:45" ht="16.5" customHeight="1" x14ac:dyDescent="0.3">
      <c r="I25" s="86"/>
      <c r="J25" s="9">
        <v>21</v>
      </c>
      <c r="K25" s="16" t="s">
        <v>18</v>
      </c>
      <c r="L25" s="16" t="s">
        <v>102</v>
      </c>
      <c r="M25" s="16" t="s">
        <v>102</v>
      </c>
      <c r="N25" s="16" t="s">
        <v>20</v>
      </c>
      <c r="O25" s="16" t="s">
        <v>36</v>
      </c>
      <c r="Q25" s="9">
        <v>4</v>
      </c>
      <c r="R25" s="9">
        <v>17</v>
      </c>
      <c r="S25" s="9">
        <v>17</v>
      </c>
      <c r="T25" s="9">
        <v>1</v>
      </c>
      <c r="U25" s="9">
        <v>10</v>
      </c>
      <c r="W25" s="25" cm="1">
        <f t="array" ref="W25">_xlfn.LET(_xlpm.x, K25:K27, IF(SUM((_xlpm.x="K")*1, (_xlpm.x="A")*1, (_xlpm.x="GK")*1, (_xlpm.x="GA")*1)&gt;0, 3, 1))</f>
        <v>3</v>
      </c>
      <c r="X25" s="25" cm="1">
        <f t="array" ref="X25">_xlfn.LET(_xlpm.x, L25:L27, IF(SUM((_xlpm.x="K")*1, (_xlpm.x="A")*1, (_xlpm.x="GK")*1, (_xlpm.x="GA")*1)&gt;0, 3, 1))</f>
        <v>3</v>
      </c>
      <c r="Y25" s="25" cm="1">
        <f t="array" ref="Y25">_xlfn.LET(_xlpm.x, M25:M27, IF(SUM((_xlpm.x="K")*1, (_xlpm.x="A")*1, (_xlpm.x="GK")*1, (_xlpm.x="GA")*1)&gt;0, 3, 1))</f>
        <v>3</v>
      </c>
      <c r="Z25" s="25">
        <v>1</v>
      </c>
      <c r="AA25" s="25">
        <v>1</v>
      </c>
      <c r="AC25" s="133" t="str">
        <v>GJ</v>
      </c>
      <c r="AD25" s="98">
        <v>0</v>
      </c>
      <c r="AE25" s="98">
        <v>9</v>
      </c>
      <c r="AF25" s="98">
        <v>6</v>
      </c>
      <c r="AG25" s="98">
        <v>7</v>
      </c>
      <c r="AH25" s="98">
        <v>0</v>
      </c>
      <c r="AI25" s="5"/>
      <c r="AJ25" s="133" t="str">
        <v>GJ</v>
      </c>
      <c r="AK25" s="98">
        <v>0</v>
      </c>
      <c r="AL25" s="98">
        <v>9</v>
      </c>
      <c r="AM25" s="98">
        <v>6</v>
      </c>
      <c r="AN25" s="98">
        <v>7</v>
      </c>
      <c r="AO25" s="98">
        <v>0</v>
      </c>
      <c r="AQ25" s="5">
        <v>13</v>
      </c>
      <c r="AR25" s="5">
        <v>9</v>
      </c>
      <c r="AS25" s="5">
        <v>10</v>
      </c>
    </row>
    <row r="26" spans="1:45" ht="16.5" customHeight="1" x14ac:dyDescent="0.3">
      <c r="B26" s="5" t="s">
        <v>210</v>
      </c>
      <c r="C26" s="5">
        <f>SUM(C4:C14)/C24</f>
        <v>1</v>
      </c>
      <c r="D26" s="171">
        <f t="shared" ref="D26:G26" si="1">SUM(D4:D14)/D24</f>
        <v>0.6</v>
      </c>
      <c r="E26" s="171">
        <f t="shared" si="1"/>
        <v>0</v>
      </c>
      <c r="F26" s="171">
        <f t="shared" si="1"/>
        <v>0.82499999999999996</v>
      </c>
      <c r="G26" s="5">
        <f t="shared" si="1"/>
        <v>1</v>
      </c>
      <c r="I26" s="86"/>
      <c r="J26" s="25">
        <v>22</v>
      </c>
      <c r="K26" s="16" t="s">
        <v>35</v>
      </c>
      <c r="L26" s="16" t="s">
        <v>285</v>
      </c>
      <c r="M26" s="16" t="s">
        <v>95</v>
      </c>
      <c r="N26" s="16" t="s">
        <v>105</v>
      </c>
      <c r="O26" s="16" t="s">
        <v>18</v>
      </c>
      <c r="Q26" s="9">
        <v>8</v>
      </c>
      <c r="R26" s="9">
        <v>6</v>
      </c>
      <c r="S26" s="9">
        <v>19</v>
      </c>
      <c r="T26" s="9">
        <v>15</v>
      </c>
      <c r="U26" s="9">
        <v>4</v>
      </c>
      <c r="W26" s="25" cm="1">
        <f t="array" ref="W26">_xlfn.LET(_xlpm.x, K26:K28, IF(SUM((_xlpm.x="K")*1, (_xlpm.x="A")*1, (_xlpm.x="GK")*1, (_xlpm.x="GA")*1)&gt;0, 3, 1))</f>
        <v>3</v>
      </c>
      <c r="X26" s="25" cm="1">
        <f t="array" ref="X26">_xlfn.LET(_xlpm.x, L26:L28, IF(SUM((_xlpm.x="K")*1, (_xlpm.x="A")*1, (_xlpm.x="GK")*1, (_xlpm.x="GA")*1)&gt;0, 3, 1))</f>
        <v>3</v>
      </c>
      <c r="Y26" s="25" cm="1">
        <f t="array" ref="Y26">_xlfn.LET(_xlpm.x, M26:M28, IF(SUM((_xlpm.x="K")*1, (_xlpm.x="A")*1, (_xlpm.x="GK")*1, (_xlpm.x="GA")*1)&gt;0, 3, 1))</f>
        <v>1</v>
      </c>
      <c r="Z26" s="25">
        <v>1</v>
      </c>
      <c r="AA26" s="25">
        <v>1</v>
      </c>
      <c r="AD26" s="109">
        <f>SUM(AD6:AD25)</f>
        <v>200</v>
      </c>
      <c r="AE26" s="109">
        <f>SUM(AE6:AE25)</f>
        <v>243</v>
      </c>
      <c r="AF26" s="109">
        <f>SUM(AF6:AF25)</f>
        <v>298</v>
      </c>
      <c r="AG26" s="109">
        <f>SUM(AG6:AG25)</f>
        <v>230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243</v>
      </c>
      <c r="AM26" s="109">
        <f>SUM(AM6:AM25)</f>
        <v>298</v>
      </c>
      <c r="AN26" s="109">
        <f>SUM(AN6:AN25)</f>
        <v>230</v>
      </c>
      <c r="AO26" s="109">
        <f>SUM(AO6:AO25)</f>
        <v>200</v>
      </c>
    </row>
    <row r="27" spans="1:45" ht="16.5" customHeight="1" x14ac:dyDescent="0.3">
      <c r="B27" s="5" t="s">
        <v>314</v>
      </c>
      <c r="C27" s="5">
        <f>SUM(C15:C23)/C24</f>
        <v>0</v>
      </c>
      <c r="D27" s="171">
        <f t="shared" ref="D27:G27" si="2">SUM(D15:D23)/D24</f>
        <v>0.4</v>
      </c>
      <c r="E27" s="171">
        <f t="shared" si="2"/>
        <v>1</v>
      </c>
      <c r="F27" s="171">
        <f t="shared" si="2"/>
        <v>0.17499999999999999</v>
      </c>
      <c r="G27" s="5">
        <f t="shared" si="2"/>
        <v>0</v>
      </c>
      <c r="I27" s="86"/>
      <c r="J27" s="9">
        <v>23</v>
      </c>
      <c r="K27" s="16" t="s">
        <v>19</v>
      </c>
      <c r="L27" s="16" t="s">
        <v>31</v>
      </c>
      <c r="M27" s="16" t="s">
        <v>89</v>
      </c>
      <c r="N27" s="16" t="s">
        <v>36</v>
      </c>
      <c r="O27" s="16" t="s">
        <v>22</v>
      </c>
      <c r="Q27" s="9">
        <v>5</v>
      </c>
      <c r="R27" s="9">
        <v>8</v>
      </c>
      <c r="S27" s="9">
        <v>14</v>
      </c>
      <c r="T27" s="9">
        <v>10</v>
      </c>
      <c r="U27" s="9">
        <v>3</v>
      </c>
      <c r="W27" s="25" cm="1">
        <f t="array" ref="W27">_xlfn.LET(_xlpm.x, K27:K29, IF(SUM((_xlpm.x="K")*1, (_xlpm.x="A")*1, (_xlpm.x="GK")*1, (_xlpm.x="GA")*1)&gt;0, 3, 1))</f>
        <v>1</v>
      </c>
      <c r="X27" s="25" cm="1">
        <f t="array" ref="X27">_xlfn.LET(_xlpm.x, L27:L29, IF(SUM((_xlpm.x="K")*1, (_xlpm.x="A")*1, (_xlpm.x="GK")*1, (_xlpm.x="GA")*1)&gt;0, 3, 1))</f>
        <v>3</v>
      </c>
      <c r="Y27" s="25" cm="1">
        <f t="array" ref="Y27">_xlfn.LET(_xlpm.x, M27:M29, IF(SUM((_xlpm.x="K")*1, (_xlpm.x="A")*1, (_xlpm.x="GK")*1, (_xlpm.x="GA")*1)&gt;0, 3, 1))</f>
        <v>3</v>
      </c>
      <c r="Z27" s="25">
        <v>1</v>
      </c>
      <c r="AA27" s="25">
        <v>1</v>
      </c>
      <c r="AH27" s="5"/>
      <c r="AI27" s="5"/>
      <c r="AO27" s="5"/>
    </row>
    <row r="28" spans="1:45" ht="16.5" customHeight="1" x14ac:dyDescent="0.3">
      <c r="I28" s="86"/>
      <c r="J28" s="25">
        <v>24</v>
      </c>
      <c r="K28" s="16" t="s">
        <v>104</v>
      </c>
      <c r="L28" s="16" t="s">
        <v>105</v>
      </c>
      <c r="M28" s="16" t="s">
        <v>105</v>
      </c>
      <c r="N28" s="16" t="s">
        <v>35</v>
      </c>
      <c r="O28" s="16" t="s">
        <v>21</v>
      </c>
      <c r="Q28" s="9">
        <v>6</v>
      </c>
      <c r="R28" s="9">
        <v>15</v>
      </c>
      <c r="S28" s="9">
        <v>15</v>
      </c>
      <c r="T28" s="9">
        <v>8</v>
      </c>
      <c r="U28" s="9">
        <v>2</v>
      </c>
      <c r="W28" s="25" cm="1">
        <f t="array" ref="W28">_xlfn.LET(_xlpm.x, K28:K30, IF(SUM((_xlpm.x="K")*1, (_xlpm.x="A")*1, (_xlpm.x="GK")*1, (_xlpm.x="GA")*1)&gt;0, 3, 1))</f>
        <v>1</v>
      </c>
      <c r="X28" s="25" cm="1">
        <f t="array" ref="X28">_xlfn.LET(_xlpm.x, L28:L30, IF(SUM((_xlpm.x="K")*1, (_xlpm.x="A")*1, (_xlpm.x="GK")*1, (_xlpm.x="GA")*1)&gt;0, 3, 1))</f>
        <v>3</v>
      </c>
      <c r="Y28" s="25" cm="1">
        <f t="array" ref="Y28">_xlfn.LET(_xlpm.x, M28:M30, IF(SUM((_xlpm.x="K")*1, (_xlpm.x="A")*1, (_xlpm.x="GK")*1, (_xlpm.x="GA")*1)&gt;0, 3, 1))</f>
        <v>3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5" ht="16.5" customHeight="1" x14ac:dyDescent="0.3">
      <c r="I29" s="86"/>
      <c r="J29" s="9">
        <v>25</v>
      </c>
      <c r="K29" s="16" t="s">
        <v>36</v>
      </c>
      <c r="L29" s="16" t="s">
        <v>22</v>
      </c>
      <c r="M29" s="16" t="s">
        <v>102</v>
      </c>
      <c r="N29" s="16" t="s">
        <v>34</v>
      </c>
      <c r="O29" s="16" t="s">
        <v>18</v>
      </c>
      <c r="Q29" s="9">
        <v>10</v>
      </c>
      <c r="R29" s="9">
        <v>3</v>
      </c>
      <c r="S29" s="9">
        <v>17</v>
      </c>
      <c r="T29" s="9">
        <v>9</v>
      </c>
      <c r="U29" s="9">
        <v>4</v>
      </c>
      <c r="W29" s="25" cm="1">
        <f t="array" ref="W29">_xlfn.LET(_xlpm.x, K29:K31, IF(SUM((_xlpm.x="K")*1, (_xlpm.x="A")*1, (_xlpm.x="GK")*1, (_xlpm.x="GA")*1)&gt;0, 3, 1))</f>
        <v>1</v>
      </c>
      <c r="X29" s="25" cm="1">
        <f t="array" ref="X29">_xlfn.LET(_xlpm.x, L29:L31, IF(SUM((_xlpm.x="K")*1, (_xlpm.x="A")*1, (_xlpm.x="GK")*1, (_xlpm.x="GA")*1)&gt;0, 3, 1))</f>
        <v>3</v>
      </c>
      <c r="Y29" s="25" cm="1">
        <f t="array" ref="Y29">_xlfn.LET(_xlpm.x, M29:M31, IF(SUM((_xlpm.x="K")*1, (_xlpm.x="A")*1, (_xlpm.x="GK")*1, (_xlpm.x="GA")*1)&gt;0, 3, 1))</f>
        <v>3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5" ht="16.5" customHeight="1" x14ac:dyDescent="0.3">
      <c r="I30" s="86"/>
      <c r="J30" s="25">
        <v>26</v>
      </c>
      <c r="K30" s="16" t="s">
        <v>104</v>
      </c>
      <c r="L30" s="16" t="s">
        <v>35</v>
      </c>
      <c r="M30" s="16" t="s">
        <v>89</v>
      </c>
      <c r="N30" s="16" t="s">
        <v>104</v>
      </c>
      <c r="O30" s="16" t="s">
        <v>21</v>
      </c>
      <c r="Q30" s="9">
        <v>6</v>
      </c>
      <c r="R30" s="9">
        <v>8</v>
      </c>
      <c r="S30" s="9">
        <v>14</v>
      </c>
      <c r="T30" s="9">
        <v>6</v>
      </c>
      <c r="U30" s="9">
        <v>2</v>
      </c>
      <c r="W30" s="25" cm="1">
        <f t="array" ref="W30">_xlfn.LET(_xlpm.x, K30:K32, IF(SUM((_xlpm.x="K")*1, (_xlpm.x="A")*1, (_xlpm.x="GK")*1, (_xlpm.x="GA")*1)&gt;0, 3, 1))</f>
        <v>1</v>
      </c>
      <c r="X30" s="25" cm="1">
        <f t="array" ref="X30">_xlfn.LET(_xlpm.x, L30:L32, IF(SUM((_xlpm.x="K")*1, (_xlpm.x="A")*1, (_xlpm.x="GK")*1, (_xlpm.x="GA")*1)&gt;0, 3, 1))</f>
        <v>3</v>
      </c>
      <c r="Y30" s="25" cm="1">
        <f t="array" ref="Y30">_xlfn.LET(_xlpm.x, M30:M32, IF(SUM((_xlpm.x="K")*1, (_xlpm.x="A")*1, (_xlpm.x="GK")*1, (_xlpm.x="GA")*1)&gt;0, 3, 1))</f>
        <v>3</v>
      </c>
      <c r="Z30" s="25">
        <v>1</v>
      </c>
      <c r="AA30" s="25">
        <v>1</v>
      </c>
      <c r="AC30" s="133" t="str" cm="1">
        <f t="array" ref="AC30:AC49">$A$4:$A$23</f>
        <v>WW</v>
      </c>
      <c r="AD30" s="134" cm="1">
        <f t="array" ref="AD30:AH49">$AD$6:$AH$25</f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 cm="1">
        <f t="array" ref="AK30:AO49">$AD$6:$AH$25</f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5" ht="16.5" customHeight="1" x14ac:dyDescent="0.3">
      <c r="I31" s="86"/>
      <c r="J31" s="9">
        <v>27</v>
      </c>
      <c r="K31" s="16" t="s">
        <v>21</v>
      </c>
      <c r="L31" s="16" t="s">
        <v>35</v>
      </c>
      <c r="M31" s="16" t="s">
        <v>95</v>
      </c>
      <c r="N31" s="16" t="s">
        <v>21</v>
      </c>
      <c r="O31" s="16" t="s">
        <v>18</v>
      </c>
      <c r="Q31" s="9">
        <v>2</v>
      </c>
      <c r="R31" s="9">
        <v>8</v>
      </c>
      <c r="S31" s="9">
        <v>19</v>
      </c>
      <c r="T31" s="9">
        <v>2</v>
      </c>
      <c r="U31" s="9">
        <v>4</v>
      </c>
      <c r="W31" s="25" cm="1">
        <f t="array" ref="W31">_xlfn.LET(_xlpm.x, K31:K33, IF(SUM((_xlpm.x="K")*1, (_xlpm.x="A")*1, (_xlpm.x="GK")*1, (_xlpm.x="GA")*1)&gt;0, 3, 1))</f>
        <v>1</v>
      </c>
      <c r="X31" s="25" cm="1">
        <f t="array" ref="X31">_xlfn.LET(_xlpm.x, L31:L33, IF(SUM((_xlpm.x="K")*1, (_xlpm.x="A")*1, (_xlpm.x="GK")*1, (_xlpm.x="GA")*1)&gt;0, 3, 1))</f>
        <v>3</v>
      </c>
      <c r="Y31" s="25" cm="1">
        <f t="array" ref="Y31">_xlfn.LET(_xlpm.x, M31:M33, IF(SUM((_xlpm.x="K")*1, (_xlpm.x="A")*1, (_xlpm.x="GK")*1, (_xlpm.x="GA")*1)&gt;0, 3, 1))</f>
        <v>3</v>
      </c>
      <c r="Z31" s="25">
        <v>1</v>
      </c>
      <c r="AA31" s="25">
        <v>1</v>
      </c>
      <c r="AC31" s="133" t="str">
        <v>C1</v>
      </c>
      <c r="AD31" s="211">
        <v>0</v>
      </c>
      <c r="AE31" s="211">
        <v>6</v>
      </c>
      <c r="AF31" s="211">
        <v>0</v>
      </c>
      <c r="AG31" s="211">
        <v>9</v>
      </c>
      <c r="AH31" s="211">
        <v>0</v>
      </c>
      <c r="AI31" s="5"/>
      <c r="AJ31" s="133" t="str">
        <v>C1</v>
      </c>
      <c r="AK31" s="211">
        <v>0</v>
      </c>
      <c r="AL31" s="211">
        <v>6</v>
      </c>
      <c r="AM31" s="211">
        <v>0</v>
      </c>
      <c r="AN31" s="211">
        <v>9</v>
      </c>
      <c r="AO31" s="211">
        <v>0</v>
      </c>
    </row>
    <row r="32" spans="1:45" ht="16.5" customHeight="1" x14ac:dyDescent="0.3">
      <c r="J32" s="25">
        <v>28</v>
      </c>
      <c r="K32" s="16" t="s">
        <v>104</v>
      </c>
      <c r="L32" s="16" t="s">
        <v>90</v>
      </c>
      <c r="M32" s="16" t="s">
        <v>90</v>
      </c>
      <c r="N32" s="16" t="s">
        <v>20</v>
      </c>
      <c r="O32" s="16" t="s">
        <v>21</v>
      </c>
      <c r="Q32" s="9">
        <v>6</v>
      </c>
      <c r="R32" s="9">
        <v>16</v>
      </c>
      <c r="S32" s="9">
        <v>16</v>
      </c>
      <c r="T32" s="9">
        <v>1</v>
      </c>
      <c r="U32" s="9">
        <v>2</v>
      </c>
      <c r="W32" s="25" cm="1">
        <f t="array" ref="W32">_xlfn.LET(_xlpm.x, K32:K34, IF(SUM((_xlpm.x="K")*1, (_xlpm.x="A")*1, (_xlpm.x="GK")*1, (_xlpm.x="GA")*1)&gt;0, 3, 1))</f>
        <v>1</v>
      </c>
      <c r="X32" s="25" cm="1">
        <f t="array" ref="X32">_xlfn.LET(_xlpm.x, L32:L34, IF(SUM((_xlpm.x="K")*1, (_xlpm.x="A")*1, (_xlpm.x="GK")*1, (_xlpm.x="GA")*1)&gt;0, 3, 1))</f>
        <v>3</v>
      </c>
      <c r="Y32" s="25" cm="1">
        <f t="array" ref="Y32">_xlfn.LET(_xlpm.x, M32:M34, IF(SUM((_xlpm.x="K")*1, (_xlpm.x="A")*1, (_xlpm.x="GK")*1, (_xlpm.x="GA")*1)&gt;0, 3, 1))</f>
        <v>3</v>
      </c>
      <c r="Z32" s="25">
        <v>1</v>
      </c>
      <c r="AA32" s="25">
        <v>1</v>
      </c>
      <c r="AC32" s="148" t="str">
        <v>M1</v>
      </c>
      <c r="AD32" s="128">
        <v>4</v>
      </c>
      <c r="AE32" s="128">
        <v>11</v>
      </c>
      <c r="AF32" s="128">
        <v>0</v>
      </c>
      <c r="AG32" s="128">
        <v>22</v>
      </c>
      <c r="AH32" s="128">
        <v>28</v>
      </c>
      <c r="AI32" s="5"/>
      <c r="AJ32" s="148" t="str">
        <v>M1</v>
      </c>
      <c r="AK32" s="128">
        <v>4</v>
      </c>
      <c r="AL32" s="128">
        <v>11</v>
      </c>
      <c r="AM32" s="128">
        <v>0</v>
      </c>
      <c r="AN32" s="128">
        <v>22</v>
      </c>
      <c r="AO32" s="128">
        <v>28</v>
      </c>
    </row>
    <row r="33" spans="10:41" ht="16.5" customHeight="1" x14ac:dyDescent="0.3">
      <c r="J33" s="9">
        <v>29</v>
      </c>
      <c r="K33" s="16" t="s">
        <v>104</v>
      </c>
      <c r="L33" s="16" t="s">
        <v>90</v>
      </c>
      <c r="M33" s="16" t="s">
        <v>89</v>
      </c>
      <c r="N33" s="16" t="s">
        <v>18</v>
      </c>
      <c r="O33" s="16" t="s">
        <v>22</v>
      </c>
      <c r="Q33" s="9">
        <v>6</v>
      </c>
      <c r="R33" s="9">
        <v>16</v>
      </c>
      <c r="S33" s="9">
        <v>14</v>
      </c>
      <c r="T33" s="9">
        <v>4</v>
      </c>
      <c r="U33" s="9">
        <v>3</v>
      </c>
      <c r="W33" s="25" cm="1">
        <f t="array" ref="W33">_xlfn.LET(_xlpm.x, K33:K35, IF(SUM((_xlpm.x="K")*1, (_xlpm.x="A")*1, (_xlpm.x="GK")*1, (_xlpm.x="GA")*1)&gt;0, 3, 1))</f>
        <v>3</v>
      </c>
      <c r="X33" s="25" cm="1">
        <f t="array" ref="X33">_xlfn.LET(_xlpm.x, L33:L35, IF(SUM((_xlpm.x="K")*1, (_xlpm.x="A")*1, (_xlpm.x="GK")*1, (_xlpm.x="GA")*1)&gt;0, 3, 1))</f>
        <v>3</v>
      </c>
      <c r="Y33" s="25" cm="1">
        <f t="array" ref="Y33">_xlfn.LET(_xlpm.x, M33:M35, IF(SUM((_xlpm.x="K")*1, (_xlpm.x="A")*1, (_xlpm.x="GK")*1, (_xlpm.x="GA")*1)&gt;0, 3, 1))</f>
        <v>1</v>
      </c>
      <c r="Z33" s="25">
        <v>1</v>
      </c>
      <c r="AA33" s="25">
        <v>1</v>
      </c>
      <c r="AC33" s="148" t="str">
        <v>M2</v>
      </c>
      <c r="AD33" s="128">
        <v>4</v>
      </c>
      <c r="AE33" s="128">
        <v>11</v>
      </c>
      <c r="AF33" s="128">
        <v>0</v>
      </c>
      <c r="AG33" s="128">
        <v>22</v>
      </c>
      <c r="AH33" s="128">
        <v>27</v>
      </c>
      <c r="AI33" s="5"/>
      <c r="AJ33" s="148" t="str">
        <v>M2</v>
      </c>
      <c r="AK33" s="128">
        <v>4</v>
      </c>
      <c r="AL33" s="128">
        <v>11</v>
      </c>
      <c r="AM33" s="128">
        <v>0</v>
      </c>
      <c r="AN33" s="128">
        <v>22</v>
      </c>
      <c r="AO33" s="128">
        <v>27</v>
      </c>
    </row>
    <row r="34" spans="10:41" ht="16.5" customHeight="1" x14ac:dyDescent="0.3">
      <c r="J34" s="25">
        <v>30</v>
      </c>
      <c r="K34" s="16" t="s">
        <v>104</v>
      </c>
      <c r="L34" s="16" t="s">
        <v>22</v>
      </c>
      <c r="M34" s="16" t="s">
        <v>88</v>
      </c>
      <c r="N34" s="16" t="s">
        <v>86</v>
      </c>
      <c r="O34" s="16" t="s">
        <v>21</v>
      </c>
      <c r="Q34" s="9">
        <v>6</v>
      </c>
      <c r="R34" s="9">
        <v>3</v>
      </c>
      <c r="S34" s="9">
        <v>13</v>
      </c>
      <c r="T34" s="9">
        <v>11</v>
      </c>
      <c r="U34" s="9">
        <v>2</v>
      </c>
      <c r="W34" s="25" cm="1">
        <f t="array" ref="W34">_xlfn.LET(_xlpm.x, K34:K36, IF(SUM((_xlpm.x="K")*1, (_xlpm.x="A")*1, (_xlpm.x="GK")*1, (_xlpm.x="GA")*1)&gt;0, 3, 1))</f>
        <v>3</v>
      </c>
      <c r="X34" s="25" cm="1">
        <f t="array" ref="X34">_xlfn.LET(_xlpm.x, L34:L36, IF(SUM((_xlpm.x="K")*1, (_xlpm.x="A")*1, (_xlpm.x="GK")*1, (_xlpm.x="GA")*1)&gt;0, 3, 1))</f>
        <v>3</v>
      </c>
      <c r="Y34" s="25" cm="1">
        <f t="array" ref="Y34">_xlfn.LET(_xlpm.x, M34:M36, IF(SUM((_xlpm.x="K")*1, (_xlpm.x="A")*1, (_xlpm.x="GK")*1, (_xlpm.x="GA")*1)&gt;0, 3, 1))</f>
        <v>1</v>
      </c>
      <c r="Z34" s="25">
        <v>1</v>
      </c>
      <c r="AA34" s="25">
        <v>1</v>
      </c>
      <c r="AC34" s="148" t="str">
        <v>M3</v>
      </c>
      <c r="AD34" s="128">
        <v>4</v>
      </c>
      <c r="AE34" s="128">
        <v>11</v>
      </c>
      <c r="AF34" s="128">
        <v>0</v>
      </c>
      <c r="AG34" s="128">
        <v>22</v>
      </c>
      <c r="AH34" s="128">
        <v>27</v>
      </c>
      <c r="AI34" s="5"/>
      <c r="AJ34" s="148" t="str">
        <v>M3</v>
      </c>
      <c r="AK34" s="128">
        <v>4</v>
      </c>
      <c r="AL34" s="128">
        <v>11</v>
      </c>
      <c r="AM34" s="128">
        <v>0</v>
      </c>
      <c r="AN34" s="128">
        <v>22</v>
      </c>
      <c r="AO34" s="128">
        <v>27</v>
      </c>
    </row>
    <row r="35" spans="10:41" ht="16.5" customHeight="1" x14ac:dyDescent="0.3">
      <c r="J35" s="9">
        <v>31</v>
      </c>
      <c r="K35" s="16" t="s">
        <v>35</v>
      </c>
      <c r="L35" s="16" t="s">
        <v>35</v>
      </c>
      <c r="M35" s="16" t="s">
        <v>89</v>
      </c>
      <c r="N35" s="16" t="s">
        <v>37</v>
      </c>
      <c r="O35" s="16" t="s">
        <v>21</v>
      </c>
      <c r="Q35" s="9">
        <v>8</v>
      </c>
      <c r="R35" s="9">
        <v>8</v>
      </c>
      <c r="S35" s="9">
        <v>14</v>
      </c>
      <c r="T35" s="9">
        <v>7</v>
      </c>
      <c r="U35" s="9">
        <v>2</v>
      </c>
      <c r="W35" s="25" cm="1">
        <f t="array" ref="W35">_xlfn.LET(_xlpm.x, K35:K37, IF(SUM((_xlpm.x="K")*1, (_xlpm.x="A")*1, (_xlpm.x="GK")*1, (_xlpm.x="GA")*1)&gt;0, 3, 1))</f>
        <v>3</v>
      </c>
      <c r="X35" s="25" cm="1">
        <f t="array" ref="X35">_xlfn.LET(_xlpm.x, L35:L37, IF(SUM((_xlpm.x="K")*1, (_xlpm.x="A")*1, (_xlpm.x="GK")*1, (_xlpm.x="GA")*1)&gt;0, 3, 1))</f>
        <v>3</v>
      </c>
      <c r="Y35" s="25" cm="1">
        <f t="array" ref="Y35">_xlfn.LET(_xlpm.x, M35:M37, IF(SUM((_xlpm.x="K")*1, (_xlpm.x="A")*1, (_xlpm.x="GK")*1, (_xlpm.x="GA")*1)&gt;0, 3, 1))</f>
        <v>3</v>
      </c>
      <c r="Z35" s="25">
        <v>1</v>
      </c>
      <c r="AA35" s="25">
        <v>1</v>
      </c>
      <c r="AC35" s="148" t="str">
        <v>M4</v>
      </c>
      <c r="AD35" s="128">
        <v>43</v>
      </c>
      <c r="AE35" s="128">
        <v>19</v>
      </c>
      <c r="AF35" s="128">
        <v>0</v>
      </c>
      <c r="AG35" s="128">
        <v>12</v>
      </c>
      <c r="AH35" s="128">
        <v>16</v>
      </c>
      <c r="AI35" s="5"/>
      <c r="AJ35" s="148" t="str">
        <v>M4</v>
      </c>
      <c r="AK35" s="128">
        <v>43</v>
      </c>
      <c r="AL35" s="128">
        <v>19</v>
      </c>
      <c r="AM35" s="128">
        <v>0</v>
      </c>
      <c r="AN35" s="128">
        <v>12</v>
      </c>
      <c r="AO35" s="128">
        <v>16</v>
      </c>
    </row>
    <row r="36" spans="10:41" ht="16.5" customHeight="1" x14ac:dyDescent="0.3">
      <c r="J36" s="25">
        <v>32</v>
      </c>
      <c r="K36" s="16" t="s">
        <v>37</v>
      </c>
      <c r="L36" s="16" t="s">
        <v>95</v>
      </c>
      <c r="M36" s="16" t="s">
        <v>105</v>
      </c>
      <c r="N36" s="16" t="s">
        <v>18</v>
      </c>
      <c r="O36" s="16" t="s">
        <v>34</v>
      </c>
      <c r="Q36" s="9">
        <v>7</v>
      </c>
      <c r="R36" s="9">
        <v>19</v>
      </c>
      <c r="S36" s="9">
        <v>15</v>
      </c>
      <c r="T36" s="9">
        <v>4</v>
      </c>
      <c r="U36" s="9">
        <v>9</v>
      </c>
      <c r="W36" s="25" cm="1">
        <f t="array" ref="W36">_xlfn.LET(_xlpm.x, K36:K38, IF(SUM((_xlpm.x="K")*1, (_xlpm.x="A")*1, (_xlpm.x="GK")*1, (_xlpm.x="GA")*1)&gt;0, 3, 1))</f>
        <v>3</v>
      </c>
      <c r="X36" s="25" cm="1">
        <f t="array" ref="X36">_xlfn.LET(_xlpm.x, L36:L38, IF(SUM((_xlpm.x="K")*1, (_xlpm.x="A")*1, (_xlpm.x="GK")*1, (_xlpm.x="GA")*1)&gt;0, 3, 1))</f>
        <v>3</v>
      </c>
      <c r="Y36" s="25" cm="1">
        <f t="array" ref="Y36">_xlfn.LET(_xlpm.x, M36:M38, IF(SUM((_xlpm.x="K")*1, (_xlpm.x="A")*1, (_xlpm.x="GK")*1, (_xlpm.x="GA")*1)&gt;0, 3, 1))</f>
        <v>3</v>
      </c>
      <c r="Z36" s="25">
        <v>1</v>
      </c>
      <c r="AA36" s="25">
        <v>1</v>
      </c>
      <c r="AC36" s="148" t="str">
        <v>M5</v>
      </c>
      <c r="AD36" s="128">
        <v>43</v>
      </c>
      <c r="AE36" s="128">
        <v>20</v>
      </c>
      <c r="AF36" s="128">
        <v>0</v>
      </c>
      <c r="AG36" s="128">
        <v>12</v>
      </c>
      <c r="AH36" s="128">
        <v>16</v>
      </c>
      <c r="AI36" s="5"/>
      <c r="AJ36" s="148" t="str">
        <v>M5</v>
      </c>
      <c r="AK36" s="128">
        <v>43</v>
      </c>
      <c r="AL36" s="128">
        <v>20</v>
      </c>
      <c r="AM36" s="128">
        <v>0</v>
      </c>
      <c r="AN36" s="128">
        <v>12</v>
      </c>
      <c r="AO36" s="128">
        <v>16</v>
      </c>
    </row>
    <row r="37" spans="10:41" ht="16.5" customHeight="1" x14ac:dyDescent="0.3">
      <c r="J37" s="9">
        <v>33</v>
      </c>
      <c r="K37" s="16" t="s">
        <v>104</v>
      </c>
      <c r="L37" s="16" t="s">
        <v>35</v>
      </c>
      <c r="M37" s="16" t="s">
        <v>102</v>
      </c>
      <c r="N37" s="16" t="s">
        <v>102</v>
      </c>
      <c r="O37" s="16" t="s">
        <v>36</v>
      </c>
      <c r="Q37" s="9">
        <v>6</v>
      </c>
      <c r="R37" s="9">
        <v>8</v>
      </c>
      <c r="S37" s="9">
        <v>17</v>
      </c>
      <c r="T37" s="9">
        <v>17</v>
      </c>
      <c r="U37" s="9">
        <v>10</v>
      </c>
      <c r="W37" s="25" cm="1">
        <f t="array" ref="W37">_xlfn.LET(_xlpm.x, K37:K39, IF(SUM((_xlpm.x="K")*1, (_xlpm.x="A")*1, (_xlpm.x="GK")*1, (_xlpm.x="GA")*1)&gt;0, 3, 1))</f>
        <v>3</v>
      </c>
      <c r="X37" s="25" cm="1">
        <f t="array" ref="X37">_xlfn.LET(_xlpm.x, L37:L39, IF(SUM((_xlpm.x="K")*1, (_xlpm.x="A")*1, (_xlpm.x="GK")*1, (_xlpm.x="GA")*1)&gt;0, 3, 1))</f>
        <v>3</v>
      </c>
      <c r="Y37" s="25" cm="1">
        <f t="array" ref="Y37">_xlfn.LET(_xlpm.x, M37:M39, IF(SUM((_xlpm.x="K")*1, (_xlpm.x="A")*1, (_xlpm.x="GK")*1, (_xlpm.x="GA")*1)&gt;0, 3, 1))</f>
        <v>3</v>
      </c>
      <c r="Z37" s="25">
        <v>1</v>
      </c>
      <c r="AA37" s="25">
        <v>1</v>
      </c>
      <c r="AC37" s="148" t="str">
        <v>A</v>
      </c>
      <c r="AD37" s="128">
        <v>47</v>
      </c>
      <c r="AE37" s="128">
        <v>20</v>
      </c>
      <c r="AF37" s="128">
        <v>0</v>
      </c>
      <c r="AG37" s="128">
        <v>12</v>
      </c>
      <c r="AH37" s="128">
        <v>16</v>
      </c>
      <c r="AI37" s="5"/>
      <c r="AJ37" s="148" t="str">
        <v>A</v>
      </c>
      <c r="AK37" s="128">
        <v>47</v>
      </c>
      <c r="AL37" s="128">
        <v>20</v>
      </c>
      <c r="AM37" s="128">
        <v>0</v>
      </c>
      <c r="AN37" s="128">
        <v>12</v>
      </c>
      <c r="AO37" s="128">
        <v>16</v>
      </c>
    </row>
    <row r="38" spans="10:41" ht="16.5" customHeight="1" x14ac:dyDescent="0.3">
      <c r="J38" s="25">
        <v>34</v>
      </c>
      <c r="K38" s="16" t="s">
        <v>19</v>
      </c>
      <c r="L38" s="16" t="s">
        <v>89</v>
      </c>
      <c r="M38" s="16" t="s">
        <v>90</v>
      </c>
      <c r="N38" s="16" t="s">
        <v>21</v>
      </c>
      <c r="O38" s="16" t="s">
        <v>35</v>
      </c>
      <c r="Q38" s="9">
        <v>5</v>
      </c>
      <c r="R38" s="9">
        <v>14</v>
      </c>
      <c r="S38" s="9">
        <v>16</v>
      </c>
      <c r="T38" s="9">
        <v>2</v>
      </c>
      <c r="U38" s="9">
        <v>8</v>
      </c>
      <c r="W38" s="25" cm="1">
        <f t="array" ref="W38">_xlfn.LET(_xlpm.x, K38:K40, IF(SUM((_xlpm.x="K")*1, (_xlpm.x="A")*1, (_xlpm.x="GK")*1, (_xlpm.x="GA")*1)&gt;0, 3, 1))</f>
        <v>3</v>
      </c>
      <c r="X38" s="25" cm="1">
        <f t="array" ref="X38">_xlfn.LET(_xlpm.x, L38:L40, IF(SUM((_xlpm.x="K")*1, (_xlpm.x="A")*1, (_xlpm.x="GK")*1, (_xlpm.x="GA")*1)&gt;0, 3, 1))</f>
        <v>1</v>
      </c>
      <c r="Y38" s="25" cm="1">
        <f t="array" ref="Y38">_xlfn.LET(_xlpm.x, M38:M40, IF(SUM((_xlpm.x="K")*1, (_xlpm.x="A")*1, (_xlpm.x="GK")*1, (_xlpm.x="GA")*1)&gt;0, 3, 1))</f>
        <v>3</v>
      </c>
      <c r="Z38" s="25">
        <v>1</v>
      </c>
      <c r="AA38" s="25">
        <v>1</v>
      </c>
      <c r="AC38" s="148" t="str">
        <v>K</v>
      </c>
      <c r="AD38" s="128">
        <v>47</v>
      </c>
      <c r="AE38" s="128">
        <v>20</v>
      </c>
      <c r="AF38" s="128">
        <v>0</v>
      </c>
      <c r="AG38" s="128">
        <v>12</v>
      </c>
      <c r="AH38" s="128">
        <v>16</v>
      </c>
      <c r="AI38" s="5"/>
      <c r="AJ38" s="148" t="str">
        <v>K</v>
      </c>
      <c r="AK38" s="128">
        <v>47</v>
      </c>
      <c r="AL38" s="128">
        <v>20</v>
      </c>
      <c r="AM38" s="128">
        <v>0</v>
      </c>
      <c r="AN38" s="128">
        <v>12</v>
      </c>
      <c r="AO38" s="128">
        <v>16</v>
      </c>
    </row>
    <row r="39" spans="10:41" ht="16.5" customHeight="1" x14ac:dyDescent="0.3">
      <c r="J39" s="9">
        <v>35</v>
      </c>
      <c r="K39" s="16" t="s">
        <v>35</v>
      </c>
      <c r="L39" s="16" t="s">
        <v>18</v>
      </c>
      <c r="M39" s="16" t="s">
        <v>105</v>
      </c>
      <c r="N39" s="16" t="s">
        <v>19</v>
      </c>
      <c r="O39" s="16" t="s">
        <v>19</v>
      </c>
      <c r="Q39" s="9">
        <v>8</v>
      </c>
      <c r="R39" s="9">
        <v>4</v>
      </c>
      <c r="S39" s="9">
        <v>15</v>
      </c>
      <c r="T39" s="9">
        <v>5</v>
      </c>
      <c r="U39" s="9">
        <v>5</v>
      </c>
      <c r="W39" s="25" cm="1">
        <f t="array" ref="W39">_xlfn.LET(_xlpm.x, K39:K41, IF(SUM((_xlpm.x="K")*1, (_xlpm.x="A")*1, (_xlpm.x="GK")*1, (_xlpm.x="GA")*1)&gt;0, 3, 1))</f>
        <v>3</v>
      </c>
      <c r="X39" s="25" cm="1">
        <f t="array" ref="X39">_xlfn.LET(_xlpm.x, L39:L41, IF(SUM((_xlpm.x="K")*1, (_xlpm.x="A")*1, (_xlpm.x="GK")*1, (_xlpm.x="GA")*1)&gt;0, 3, 1))</f>
        <v>1</v>
      </c>
      <c r="Y39" s="25" cm="1">
        <f t="array" ref="Y39">_xlfn.LET(_xlpm.x, M39:M41, IF(SUM((_xlpm.x="K")*1, (_xlpm.x="A")*1, (_xlpm.x="GK")*1, (_xlpm.x="GA")*1)&gt;0, 3, 1))</f>
        <v>3</v>
      </c>
      <c r="Z39" s="25">
        <v>1</v>
      </c>
      <c r="AA39" s="25">
        <v>1</v>
      </c>
      <c r="AC39" s="148" t="str">
        <v>Q</v>
      </c>
      <c r="AD39" s="128">
        <v>4</v>
      </c>
      <c r="AE39" s="128">
        <v>11</v>
      </c>
      <c r="AF39" s="128">
        <v>0</v>
      </c>
      <c r="AG39" s="128">
        <v>21</v>
      </c>
      <c r="AH39" s="128">
        <v>27</v>
      </c>
      <c r="AI39" s="5"/>
      <c r="AJ39" s="148" t="str">
        <v>Q</v>
      </c>
      <c r="AK39" s="128">
        <v>4</v>
      </c>
      <c r="AL39" s="128">
        <v>11</v>
      </c>
      <c r="AM39" s="128">
        <v>0</v>
      </c>
      <c r="AN39" s="128">
        <v>21</v>
      </c>
      <c r="AO39" s="128">
        <v>27</v>
      </c>
    </row>
    <row r="40" spans="10:41" ht="16.5" customHeight="1" x14ac:dyDescent="0.3">
      <c r="J40" s="25">
        <v>36</v>
      </c>
      <c r="K40" s="16" t="s">
        <v>19</v>
      </c>
      <c r="L40" s="16" t="s">
        <v>18</v>
      </c>
      <c r="M40" s="16" t="s">
        <v>89</v>
      </c>
      <c r="N40" s="16" t="s">
        <v>19</v>
      </c>
      <c r="O40" s="16" t="s">
        <v>18</v>
      </c>
      <c r="Q40" s="9">
        <v>5</v>
      </c>
      <c r="R40" s="9">
        <v>4</v>
      </c>
      <c r="S40" s="9">
        <v>14</v>
      </c>
      <c r="T40" s="9">
        <v>5</v>
      </c>
      <c r="U40" s="9">
        <v>4</v>
      </c>
      <c r="W40" s="25" cm="1">
        <f t="array" ref="W40">_xlfn.LET(_xlpm.x, K40:K42, IF(SUM((_xlpm.x="K")*1, (_xlpm.x="A")*1, (_xlpm.x="GK")*1, (_xlpm.x="GA")*1)&gt;0, 3, 1))</f>
        <v>1</v>
      </c>
      <c r="X40" s="25" cm="1">
        <f t="array" ref="X40">_xlfn.LET(_xlpm.x, L40:L42, IF(SUM((_xlpm.x="K")*1, (_xlpm.x="A")*1, (_xlpm.x="GK")*1, (_xlpm.x="GA")*1)&gt;0, 3, 1))</f>
        <v>3</v>
      </c>
      <c r="Y40" s="25" cm="1">
        <f t="array" ref="Y40">_xlfn.LET(_xlpm.x, M40:M42, IF(SUM((_xlpm.x="K")*1, (_xlpm.x="A")*1, (_xlpm.x="GK")*1, (_xlpm.x="GA")*1)&gt;0, 3, 1))</f>
        <v>3</v>
      </c>
      <c r="Z40" s="25">
        <v>1</v>
      </c>
      <c r="AA40" s="25">
        <v>1</v>
      </c>
      <c r="AC40" s="148" t="str">
        <v>J</v>
      </c>
      <c r="AD40" s="128">
        <v>4</v>
      </c>
      <c r="AE40" s="128">
        <v>11</v>
      </c>
      <c r="AF40" s="128">
        <v>0</v>
      </c>
      <c r="AG40" s="128">
        <v>21</v>
      </c>
      <c r="AH40" s="128">
        <v>27</v>
      </c>
      <c r="AI40" s="5"/>
      <c r="AJ40" s="148" t="str">
        <v>J</v>
      </c>
      <c r="AK40" s="128">
        <v>4</v>
      </c>
      <c r="AL40" s="128">
        <v>11</v>
      </c>
      <c r="AM40" s="128">
        <v>0</v>
      </c>
      <c r="AN40" s="128">
        <v>21</v>
      </c>
      <c r="AO40" s="128">
        <v>27</v>
      </c>
    </row>
    <row r="41" spans="10:41" ht="16.5" customHeight="1" x14ac:dyDescent="0.3">
      <c r="J41" s="9">
        <v>37</v>
      </c>
      <c r="K41" s="16" t="s">
        <v>104</v>
      </c>
      <c r="L41" s="16" t="s">
        <v>105</v>
      </c>
      <c r="M41" s="16" t="s">
        <v>102</v>
      </c>
      <c r="N41" s="16" t="s">
        <v>86</v>
      </c>
      <c r="O41" s="16" t="s">
        <v>19</v>
      </c>
      <c r="Q41" s="9">
        <v>6</v>
      </c>
      <c r="R41" s="9">
        <v>15</v>
      </c>
      <c r="S41" s="9">
        <v>17</v>
      </c>
      <c r="T41" s="9">
        <v>11</v>
      </c>
      <c r="U41" s="9">
        <v>5</v>
      </c>
      <c r="W41" s="25" cm="1">
        <f t="array" ref="W41">_xlfn.LET(_xlpm.x, K41:K43, IF(SUM((_xlpm.x="K")*1, (_xlpm.x="A")*1, (_xlpm.x="GK")*1, (_xlpm.x="GA")*1)&gt;0, 3, 1))</f>
        <v>1</v>
      </c>
      <c r="X41" s="25" cm="1">
        <f t="array" ref="X41">_xlfn.LET(_xlpm.x, L41:L43, IF(SUM((_xlpm.x="K")*1, (_xlpm.x="A")*1, (_xlpm.x="GK")*1, (_xlpm.x="GA")*1)&gt;0, 3, 1))</f>
        <v>3</v>
      </c>
      <c r="Y41" s="25" cm="1">
        <f t="array" ref="Y41">_xlfn.LET(_xlpm.x, M41:M43, IF(SUM((_xlpm.x="K")*1, (_xlpm.x="A")*1, (_xlpm.x="GK")*1, (_xlpm.x="GA")*1)&gt;0, 3, 1))</f>
        <v>3</v>
      </c>
      <c r="Z41" s="25">
        <v>1</v>
      </c>
      <c r="AA41" s="25">
        <v>1</v>
      </c>
      <c r="AC41" s="133" t="str">
        <v>G1</v>
      </c>
      <c r="AD41" s="98">
        <v>0</v>
      </c>
      <c r="AE41" s="98">
        <v>7</v>
      </c>
      <c r="AF41" s="98">
        <v>7</v>
      </c>
      <c r="AG41" s="98">
        <v>9</v>
      </c>
      <c r="AH41" s="98">
        <v>0</v>
      </c>
      <c r="AI41" s="5"/>
      <c r="AJ41" s="133" t="str">
        <v>G1</v>
      </c>
      <c r="AK41" s="98">
        <v>0</v>
      </c>
      <c r="AL41" s="98">
        <v>7</v>
      </c>
      <c r="AM41" s="98">
        <v>7</v>
      </c>
      <c r="AN41" s="98">
        <v>9</v>
      </c>
      <c r="AO41" s="98">
        <v>0</v>
      </c>
    </row>
    <row r="42" spans="10:41" ht="16.5" customHeight="1" x14ac:dyDescent="0.3">
      <c r="J42" s="25">
        <v>38</v>
      </c>
      <c r="K42" s="16" t="s">
        <v>19</v>
      </c>
      <c r="L42" s="16" t="s">
        <v>91</v>
      </c>
      <c r="M42" s="16" t="s">
        <v>90</v>
      </c>
      <c r="N42" s="16" t="s">
        <v>34</v>
      </c>
      <c r="O42" s="16" t="s">
        <v>22</v>
      </c>
      <c r="Q42" s="9">
        <v>5</v>
      </c>
      <c r="R42" s="9">
        <v>16</v>
      </c>
      <c r="S42" s="9">
        <v>16</v>
      </c>
      <c r="T42" s="9">
        <v>9</v>
      </c>
      <c r="U42" s="9">
        <v>3</v>
      </c>
      <c r="W42" s="25" cm="1">
        <f t="array" ref="W42">_xlfn.LET(_xlpm.x, K42:K44, IF(SUM((_xlpm.x="K")*1, (_xlpm.x="A")*1, (_xlpm.x="GK")*1, (_xlpm.x="GA")*1)&gt;0, 3, 1))</f>
        <v>1</v>
      </c>
      <c r="X42" s="25" cm="1">
        <f t="array" ref="X42">_xlfn.LET(_xlpm.x, L42:L44, IF(SUM((_xlpm.x="K")*1, (_xlpm.x="A")*1, (_xlpm.x="GK")*1, (_xlpm.x="GA")*1)&gt;0, 3, 1))</f>
        <v>3</v>
      </c>
      <c r="Y42" s="25" cm="1">
        <f t="array" ref="Y42">_xlfn.LET(_xlpm.x, M42:M44, IF(SUM((_xlpm.x="K")*1, (_xlpm.x="A")*1, (_xlpm.x="GK")*1, (_xlpm.x="GA")*1)&gt;0, 3, 1))</f>
        <v>3</v>
      </c>
      <c r="Z42" s="25">
        <v>1</v>
      </c>
      <c r="AA42" s="25">
        <v>1</v>
      </c>
      <c r="AC42" s="133" t="str">
        <v>G2</v>
      </c>
      <c r="AD42" s="98">
        <v>0</v>
      </c>
      <c r="AE42" s="98">
        <v>9</v>
      </c>
      <c r="AF42" s="98">
        <v>7</v>
      </c>
      <c r="AG42" s="98">
        <v>9</v>
      </c>
      <c r="AH42" s="98">
        <v>0</v>
      </c>
      <c r="AI42" s="5"/>
      <c r="AJ42" s="133" t="str">
        <v>G2</v>
      </c>
      <c r="AK42" s="98">
        <v>0</v>
      </c>
      <c r="AL42" s="98">
        <v>9</v>
      </c>
      <c r="AM42" s="98">
        <v>7</v>
      </c>
      <c r="AN42" s="98">
        <v>9</v>
      </c>
      <c r="AO42" s="98">
        <v>0</v>
      </c>
    </row>
    <row r="43" spans="10:41" ht="16.5" customHeight="1" x14ac:dyDescent="0.3">
      <c r="J43" s="9">
        <v>39</v>
      </c>
      <c r="K43" s="16" t="s">
        <v>19</v>
      </c>
      <c r="L43" s="16" t="s">
        <v>19</v>
      </c>
      <c r="M43" s="16" t="s">
        <v>86</v>
      </c>
      <c r="N43" s="16" t="s">
        <v>22</v>
      </c>
      <c r="O43" s="16" t="s">
        <v>22</v>
      </c>
      <c r="Q43" s="9">
        <v>5</v>
      </c>
      <c r="R43" s="9">
        <v>5</v>
      </c>
      <c r="S43" s="9">
        <v>11</v>
      </c>
      <c r="T43" s="9">
        <v>3</v>
      </c>
      <c r="U43" s="9">
        <v>3</v>
      </c>
      <c r="W43" s="25" cm="1">
        <f t="array" ref="W43">_xlfn.LET(_xlpm.x, K43:K45, IF(SUM((_xlpm.x="K")*1, (_xlpm.x="A")*1, (_xlpm.x="GK")*1, (_xlpm.x="GA")*1)&gt;0, 3, 1))</f>
        <v>1</v>
      </c>
      <c r="X43" s="25" cm="1">
        <f t="array" ref="X43">_xlfn.LET(_xlpm.x, L43:L45, IF(SUM((_xlpm.x="K")*1, (_xlpm.x="A")*1, (_xlpm.x="GK")*1, (_xlpm.x="GA")*1)&gt;0, 3, 1))</f>
        <v>3</v>
      </c>
      <c r="Y43" s="25" cm="1">
        <f t="array" ref="Y43">_xlfn.LET(_xlpm.x, M43:M45, IF(SUM((_xlpm.x="K")*1, (_xlpm.x="A")*1, (_xlpm.x="GK")*1, (_xlpm.x="GA")*1)&gt;0, 3, 1))</f>
        <v>3</v>
      </c>
      <c r="Z43" s="25">
        <v>1</v>
      </c>
      <c r="AA43" s="25">
        <v>1</v>
      </c>
      <c r="AC43" s="133" t="str">
        <v>G3</v>
      </c>
      <c r="AD43" s="98">
        <v>0</v>
      </c>
      <c r="AE43" s="98">
        <v>9</v>
      </c>
      <c r="AF43" s="98">
        <v>7</v>
      </c>
      <c r="AG43" s="98">
        <v>9</v>
      </c>
      <c r="AH43" s="98">
        <v>0</v>
      </c>
      <c r="AI43" s="5"/>
      <c r="AJ43" s="133" t="str">
        <v>G3</v>
      </c>
      <c r="AK43" s="98">
        <v>0</v>
      </c>
      <c r="AL43" s="98">
        <v>9</v>
      </c>
      <c r="AM43" s="98">
        <v>7</v>
      </c>
      <c r="AN43" s="98">
        <v>9</v>
      </c>
      <c r="AO43" s="98">
        <v>0</v>
      </c>
    </row>
    <row r="44" spans="10:41" ht="16.5" customHeight="1" x14ac:dyDescent="0.3">
      <c r="J44" s="25">
        <v>40</v>
      </c>
      <c r="K44" s="16" t="s">
        <v>19</v>
      </c>
      <c r="L44" s="16" t="s">
        <v>86</v>
      </c>
      <c r="M44" s="16" t="s">
        <v>90</v>
      </c>
      <c r="N44" s="16" t="s">
        <v>89</v>
      </c>
      <c r="O44" s="16" t="s">
        <v>34</v>
      </c>
      <c r="Q44" s="9">
        <v>5</v>
      </c>
      <c r="R44" s="9">
        <v>11</v>
      </c>
      <c r="S44" s="9">
        <v>16</v>
      </c>
      <c r="T44" s="9">
        <v>14</v>
      </c>
      <c r="U44" s="9">
        <v>9</v>
      </c>
      <c r="W44" s="25" cm="1">
        <f t="array" ref="W44">_xlfn.LET(_xlpm.x, K44:K46, IF(SUM((_xlpm.x="K")*1, (_xlpm.x="A")*1, (_xlpm.x="GK")*1, (_xlpm.x="GA")*1)&gt;0, 3, 1))</f>
        <v>3</v>
      </c>
      <c r="X44" s="25" cm="1">
        <f t="array" ref="X44">_xlfn.LET(_xlpm.x, L44:L46, IF(SUM((_xlpm.x="K")*1, (_xlpm.x="A")*1, (_xlpm.x="GK")*1, (_xlpm.x="GA")*1)&gt;0, 3, 1))</f>
        <v>3</v>
      </c>
      <c r="Y44" s="25" cm="1">
        <f t="array" ref="Y44">_xlfn.LET(_xlpm.x, M44:M46, IF(SUM((_xlpm.x="K")*1, (_xlpm.x="A")*1, (_xlpm.x="GK")*1, (_xlpm.x="GA")*1)&gt;0, 3, 1))</f>
        <v>3</v>
      </c>
      <c r="Z44" s="25">
        <v>1</v>
      </c>
      <c r="AA44" s="25">
        <v>1</v>
      </c>
      <c r="AC44" s="133" t="str">
        <v>G4</v>
      </c>
      <c r="AD44" s="98">
        <v>0</v>
      </c>
      <c r="AE44" s="98">
        <v>15</v>
      </c>
      <c r="AF44" s="98">
        <v>66</v>
      </c>
      <c r="AG44" s="98">
        <v>6</v>
      </c>
      <c r="AH44" s="98">
        <v>0</v>
      </c>
      <c r="AI44" s="5"/>
      <c r="AJ44" s="133" t="str">
        <v>G4</v>
      </c>
      <c r="AK44" s="98">
        <v>0</v>
      </c>
      <c r="AL44" s="98">
        <v>15</v>
      </c>
      <c r="AM44" s="98">
        <v>66</v>
      </c>
      <c r="AN44" s="98">
        <v>6</v>
      </c>
      <c r="AO44" s="98">
        <v>0</v>
      </c>
    </row>
    <row r="45" spans="10:41" ht="16.5" customHeight="1" x14ac:dyDescent="0.3">
      <c r="J45" s="9">
        <v>41</v>
      </c>
      <c r="K45" s="16" t="s">
        <v>104</v>
      </c>
      <c r="L45" s="16" t="s">
        <v>23</v>
      </c>
      <c r="M45" s="16" t="s">
        <v>102</v>
      </c>
      <c r="N45" s="16" t="s">
        <v>93</v>
      </c>
      <c r="O45" s="16" t="s">
        <v>35</v>
      </c>
      <c r="Q45" s="9">
        <v>6</v>
      </c>
      <c r="R45" s="9">
        <v>7</v>
      </c>
      <c r="S45" s="9">
        <v>17</v>
      </c>
      <c r="T45" s="9">
        <v>18</v>
      </c>
      <c r="U45" s="9">
        <v>8</v>
      </c>
      <c r="W45" s="25" cm="1">
        <f t="array" ref="W45">_xlfn.LET(_xlpm.x, K45:K47, IF(SUM((_xlpm.x="K")*1, (_xlpm.x="A")*1, (_xlpm.x="GK")*1, (_xlpm.x="GA")*1)&gt;0, 3, 1))</f>
        <v>3</v>
      </c>
      <c r="X45" s="25" cm="1">
        <f t="array" ref="X45">_xlfn.LET(_xlpm.x, L45:L47, IF(SUM((_xlpm.x="K")*1, (_xlpm.x="A")*1, (_xlpm.x="GK")*1, (_xlpm.x="GA")*1)&gt;0, 3, 1))</f>
        <v>3</v>
      </c>
      <c r="Y45" s="25" cm="1">
        <f t="array" ref="Y45">_xlfn.LET(_xlpm.x, M45:M47, IF(SUM((_xlpm.x="K")*1, (_xlpm.x="A")*1, (_xlpm.x="GK")*1, (_xlpm.x="GA")*1)&gt;0, 3, 1))</f>
        <v>3</v>
      </c>
      <c r="Z45" s="25">
        <v>1</v>
      </c>
      <c r="AA45" s="25">
        <v>1</v>
      </c>
      <c r="AC45" s="133" t="str">
        <v>G5</v>
      </c>
      <c r="AD45" s="98">
        <v>0</v>
      </c>
      <c r="AE45" s="98">
        <v>15</v>
      </c>
      <c r="AF45" s="98">
        <v>66</v>
      </c>
      <c r="AG45" s="98">
        <v>6</v>
      </c>
      <c r="AH45" s="98">
        <v>0</v>
      </c>
      <c r="AI45" s="5"/>
      <c r="AJ45" s="133" t="str">
        <v>G5</v>
      </c>
      <c r="AK45" s="98">
        <v>0</v>
      </c>
      <c r="AL45" s="98">
        <v>15</v>
      </c>
      <c r="AM45" s="98">
        <v>66</v>
      </c>
      <c r="AN45" s="98">
        <v>6</v>
      </c>
      <c r="AO45" s="98">
        <v>0</v>
      </c>
    </row>
    <row r="46" spans="10:41" ht="16.5" customHeight="1" x14ac:dyDescent="0.3">
      <c r="J46" s="25">
        <v>42</v>
      </c>
      <c r="K46" s="16" t="s">
        <v>37</v>
      </c>
      <c r="L46" s="16" t="s">
        <v>19</v>
      </c>
      <c r="M46" s="16" t="s">
        <v>89</v>
      </c>
      <c r="N46" s="16" t="s">
        <v>35</v>
      </c>
      <c r="O46" s="16" t="s">
        <v>35</v>
      </c>
      <c r="Q46" s="9">
        <v>7</v>
      </c>
      <c r="R46" s="9">
        <v>5</v>
      </c>
      <c r="S46" s="9">
        <v>14</v>
      </c>
      <c r="T46" s="9">
        <v>8</v>
      </c>
      <c r="U46" s="9">
        <v>8</v>
      </c>
      <c r="W46" s="25" cm="1">
        <f t="array" ref="W46">_xlfn.LET(_xlpm.x, K46:K48, IF(SUM((_xlpm.x="K")*1, (_xlpm.x="A")*1, (_xlpm.x="GK")*1, (_xlpm.x="GA")*1)&gt;0, 3, 1))</f>
        <v>3</v>
      </c>
      <c r="X46" s="25" cm="1">
        <f t="array" ref="X46">_xlfn.LET(_xlpm.x, L46:L48, IF(SUM((_xlpm.x="K")*1, (_xlpm.x="A")*1, (_xlpm.x="GK")*1, (_xlpm.x="GA")*1)&gt;0, 3, 1))</f>
        <v>3</v>
      </c>
      <c r="Y46" s="25" cm="1">
        <f t="array" ref="Y46">_xlfn.LET(_xlpm.x, M46:M48, IF(SUM((_xlpm.x="K")*1, (_xlpm.x="A")*1, (_xlpm.x="GK")*1, (_xlpm.x="GA")*1)&gt;0, 3, 1))</f>
        <v>3</v>
      </c>
      <c r="Z46" s="25">
        <v>1</v>
      </c>
      <c r="AA46" s="25">
        <v>1</v>
      </c>
      <c r="AC46" s="133" t="str">
        <v>GA</v>
      </c>
      <c r="AD46" s="98">
        <v>0</v>
      </c>
      <c r="AE46" s="98">
        <v>15</v>
      </c>
      <c r="AF46" s="98">
        <v>66</v>
      </c>
      <c r="AG46" s="98">
        <v>6</v>
      </c>
      <c r="AH46" s="98">
        <v>0</v>
      </c>
      <c r="AI46" s="5"/>
      <c r="AJ46" s="133" t="str">
        <v>GA</v>
      </c>
      <c r="AK46" s="98">
        <v>0</v>
      </c>
      <c r="AL46" s="98">
        <v>15</v>
      </c>
      <c r="AM46" s="98">
        <v>66</v>
      </c>
      <c r="AN46" s="98">
        <v>6</v>
      </c>
      <c r="AO46" s="98">
        <v>0</v>
      </c>
    </row>
    <row r="47" spans="10:41" ht="16.5" customHeight="1" x14ac:dyDescent="0.3">
      <c r="J47" s="9">
        <v>43</v>
      </c>
      <c r="K47" s="16" t="s">
        <v>19</v>
      </c>
      <c r="L47" s="16" t="s">
        <v>102</v>
      </c>
      <c r="M47" s="16" t="s">
        <v>90</v>
      </c>
      <c r="N47" s="16" t="s">
        <v>36</v>
      </c>
      <c r="O47" s="16" t="s">
        <v>19</v>
      </c>
      <c r="Q47" s="9">
        <v>5</v>
      </c>
      <c r="R47" s="9">
        <v>17</v>
      </c>
      <c r="S47" s="9">
        <v>16</v>
      </c>
      <c r="T47" s="9">
        <v>10</v>
      </c>
      <c r="U47" s="9">
        <v>5</v>
      </c>
      <c r="W47" s="25" cm="1">
        <f t="array" ref="W47">_xlfn.LET(_xlpm.x, K47:K49, IF(SUM((_xlpm.x="K")*1, (_xlpm.x="A")*1, (_xlpm.x="GK")*1, (_xlpm.x="GA")*1)&gt;0, 3, 1))</f>
        <v>1</v>
      </c>
      <c r="X47" s="25" cm="1">
        <f t="array" ref="X47">_xlfn.LET(_xlpm.x, L47:L49, IF(SUM((_xlpm.x="K")*1, (_xlpm.x="A")*1, (_xlpm.x="GK")*1, (_xlpm.x="GA")*1)&gt;0, 3, 1))</f>
        <v>3</v>
      </c>
      <c r="Y47" s="25" cm="1">
        <f t="array" ref="Y47">_xlfn.LET(_xlpm.x, M47:M49, IF(SUM((_xlpm.x="K")*1, (_xlpm.x="A")*1, (_xlpm.x="GK")*1, (_xlpm.x="GA")*1)&gt;0, 3, 1))</f>
        <v>3</v>
      </c>
      <c r="Z47" s="25">
        <v>1</v>
      </c>
      <c r="AA47" s="25">
        <v>1</v>
      </c>
      <c r="AC47" s="133" t="str">
        <v>GK</v>
      </c>
      <c r="AD47" s="98">
        <v>0</v>
      </c>
      <c r="AE47" s="98">
        <v>15</v>
      </c>
      <c r="AF47" s="98">
        <v>66</v>
      </c>
      <c r="AG47" s="98">
        <v>6</v>
      </c>
      <c r="AH47" s="98">
        <v>0</v>
      </c>
      <c r="AI47" s="5"/>
      <c r="AJ47" s="133" t="str">
        <v>GK</v>
      </c>
      <c r="AK47" s="98">
        <v>0</v>
      </c>
      <c r="AL47" s="98">
        <v>15</v>
      </c>
      <c r="AM47" s="98">
        <v>66</v>
      </c>
      <c r="AN47" s="98">
        <v>6</v>
      </c>
      <c r="AO47" s="98">
        <v>0</v>
      </c>
    </row>
    <row r="48" spans="10:41" ht="16.5" customHeight="1" x14ac:dyDescent="0.3">
      <c r="J48" s="25">
        <v>44</v>
      </c>
      <c r="K48" s="16" t="s">
        <v>104</v>
      </c>
      <c r="L48" s="16" t="s">
        <v>20</v>
      </c>
      <c r="M48" s="16" t="s">
        <v>105</v>
      </c>
      <c r="N48" s="16" t="s">
        <v>104</v>
      </c>
      <c r="O48" s="16" t="s">
        <v>21</v>
      </c>
      <c r="Q48" s="9">
        <v>6</v>
      </c>
      <c r="R48" s="9">
        <v>1</v>
      </c>
      <c r="S48" s="9">
        <v>15</v>
      </c>
      <c r="T48" s="9">
        <v>6</v>
      </c>
      <c r="U48" s="9">
        <v>2</v>
      </c>
      <c r="W48" s="25" cm="1">
        <f t="array" ref="W48">_xlfn.LET(_xlpm.x, K48:K50, IF(SUM((_xlpm.x="K")*1, (_xlpm.x="A")*1, (_xlpm.x="GK")*1, (_xlpm.x="GA")*1)&gt;0, 3, 1))</f>
        <v>1</v>
      </c>
      <c r="X48" s="25" cm="1">
        <f t="array" ref="X48">_xlfn.LET(_xlpm.x, L48:L50, IF(SUM((_xlpm.x="K")*1, (_xlpm.x="A")*1, (_xlpm.x="GK")*1, (_xlpm.x="GA")*1)&gt;0, 3, 1))</f>
        <v>1</v>
      </c>
      <c r="Y48" s="25" cm="1">
        <f t="array" ref="Y48">_xlfn.LET(_xlpm.x, M48:M50, IF(SUM((_xlpm.x="K")*1, (_xlpm.x="A")*1, (_xlpm.x="GK")*1, (_xlpm.x="GA")*1)&gt;0, 3, 1))</f>
        <v>3</v>
      </c>
      <c r="Z48" s="25">
        <v>1</v>
      </c>
      <c r="AA48" s="25">
        <v>1</v>
      </c>
      <c r="AC48" s="133" t="str">
        <v>GQ</v>
      </c>
      <c r="AD48" s="98">
        <v>0</v>
      </c>
      <c r="AE48" s="98">
        <v>9</v>
      </c>
      <c r="AF48" s="98">
        <v>7</v>
      </c>
      <c r="AG48" s="98">
        <v>7</v>
      </c>
      <c r="AH48" s="98">
        <v>0</v>
      </c>
      <c r="AI48" s="5"/>
      <c r="AJ48" s="133" t="str">
        <v>GQ</v>
      </c>
      <c r="AK48" s="98">
        <v>0</v>
      </c>
      <c r="AL48" s="98">
        <v>9</v>
      </c>
      <c r="AM48" s="98">
        <v>7</v>
      </c>
      <c r="AN48" s="98">
        <v>7</v>
      </c>
      <c r="AO48" s="98">
        <v>0</v>
      </c>
    </row>
    <row r="49" spans="10:41" ht="16.5" customHeight="1" x14ac:dyDescent="0.3">
      <c r="J49" s="9">
        <v>45</v>
      </c>
      <c r="K49" s="16" t="s">
        <v>19</v>
      </c>
      <c r="L49" s="16" t="s">
        <v>105</v>
      </c>
      <c r="M49" s="16" t="s">
        <v>102</v>
      </c>
      <c r="N49" s="16" t="s">
        <v>104</v>
      </c>
      <c r="O49" s="16" t="s">
        <v>22</v>
      </c>
      <c r="Q49" s="9">
        <v>5</v>
      </c>
      <c r="R49" s="9">
        <v>15</v>
      </c>
      <c r="S49" s="9">
        <v>17</v>
      </c>
      <c r="T49" s="9">
        <v>6</v>
      </c>
      <c r="U49" s="9">
        <v>3</v>
      </c>
      <c r="W49" s="25" cm="1">
        <f t="array" ref="W49">_xlfn.LET(_xlpm.x, K49:K51, IF(SUM((_xlpm.x="K")*1, (_xlpm.x="A")*1, (_xlpm.x="GK")*1, (_xlpm.x="GA")*1)&gt;0, 3, 1))</f>
        <v>1</v>
      </c>
      <c r="X49" s="25" cm="1">
        <f t="array" ref="X49">_xlfn.LET(_xlpm.x, L49:L51, IF(SUM((_xlpm.x="K")*1, (_xlpm.x="A")*1, (_xlpm.x="GK")*1, (_xlpm.x="GA")*1)&gt;0, 3, 1))</f>
        <v>3</v>
      </c>
      <c r="Y49" s="25" cm="1">
        <f t="array" ref="Y49">_xlfn.LET(_xlpm.x, M49:M51, IF(SUM((_xlpm.x="K")*1, (_xlpm.x="A")*1, (_xlpm.x="GK")*1, (_xlpm.x="GA")*1)&gt;0, 3, 1))</f>
        <v>3</v>
      </c>
      <c r="Z49" s="25">
        <v>1</v>
      </c>
      <c r="AA49" s="25">
        <v>1</v>
      </c>
      <c r="AC49" s="133" t="str">
        <v>GJ</v>
      </c>
      <c r="AD49" s="98">
        <v>0</v>
      </c>
      <c r="AE49" s="98">
        <v>9</v>
      </c>
      <c r="AF49" s="98">
        <v>6</v>
      </c>
      <c r="AG49" s="98">
        <v>7</v>
      </c>
      <c r="AH49" s="98">
        <v>0</v>
      </c>
      <c r="AI49" s="5"/>
      <c r="AJ49" s="133" t="str">
        <v>GJ</v>
      </c>
      <c r="AK49" s="98">
        <v>0</v>
      </c>
      <c r="AL49" s="98">
        <v>9</v>
      </c>
      <c r="AM49" s="98">
        <v>6</v>
      </c>
      <c r="AN49" s="98">
        <v>7</v>
      </c>
      <c r="AO49" s="98">
        <v>0</v>
      </c>
    </row>
    <row r="50" spans="10:41" ht="16.5" customHeight="1" x14ac:dyDescent="0.3">
      <c r="J50" s="25">
        <v>46</v>
      </c>
      <c r="K50" s="16" t="s">
        <v>18</v>
      </c>
      <c r="L50" s="16" t="s">
        <v>104</v>
      </c>
      <c r="M50" s="16" t="s">
        <v>89</v>
      </c>
      <c r="N50" s="16" t="s">
        <v>22</v>
      </c>
      <c r="O50" s="16" t="s">
        <v>37</v>
      </c>
      <c r="Q50" s="9">
        <v>4</v>
      </c>
      <c r="R50" s="9">
        <v>6</v>
      </c>
      <c r="S50" s="9">
        <v>14</v>
      </c>
      <c r="T50" s="9">
        <v>3</v>
      </c>
      <c r="U50" s="9">
        <v>7</v>
      </c>
      <c r="W50" s="25" cm="1">
        <f t="array" ref="W50">_xlfn.LET(_xlpm.x, K50:K52, IF(SUM((_xlpm.x="K")*1, (_xlpm.x="A")*1, (_xlpm.x="GK")*1, (_xlpm.x="GA")*1)&gt;0, 3, 1))</f>
        <v>1</v>
      </c>
      <c r="X50" s="25" cm="1">
        <f t="array" ref="X50">_xlfn.LET(_xlpm.x, L50:L52, IF(SUM((_xlpm.x="K")*1, (_xlpm.x="A")*1, (_xlpm.x="GK")*1, (_xlpm.x="GA")*1)&gt;0, 3, 1))</f>
        <v>3</v>
      </c>
      <c r="Y50" s="25" cm="1">
        <f t="array" ref="Y50">_xlfn.LET(_xlpm.x, M50:M52, IF(SUM((_xlpm.x="K")*1, (_xlpm.x="A")*1, (_xlpm.x="GK")*1, (_xlpm.x="GA")*1)&gt;0, 3, 1))</f>
        <v>3</v>
      </c>
      <c r="Z50" s="25">
        <v>1</v>
      </c>
      <c r="AA50" s="25">
        <v>1</v>
      </c>
      <c r="AD50" s="109">
        <f>SUM(AD30:AD49)</f>
        <v>200</v>
      </c>
      <c r="AE50" s="109">
        <f>SUM(AE30:AE49)</f>
        <v>243</v>
      </c>
      <c r="AF50" s="109">
        <f>SUM(AF30:AF49)</f>
        <v>298</v>
      </c>
      <c r="AG50" s="109">
        <f>SUM(AG30:AG49)</f>
        <v>230</v>
      </c>
      <c r="AH50" s="109">
        <f>SUM(AH30:AH49)</f>
        <v>200</v>
      </c>
      <c r="AI50" s="5"/>
      <c r="AK50" s="109">
        <f>SUM(AK30:AK49)</f>
        <v>200</v>
      </c>
      <c r="AL50" s="109">
        <f>SUM(AL30:AL49)</f>
        <v>243</v>
      </c>
      <c r="AM50" s="109">
        <f>SUM(AM30:AM49)</f>
        <v>298</v>
      </c>
      <c r="AN50" s="109">
        <f>SUM(AN30:AN49)</f>
        <v>230</v>
      </c>
      <c r="AO50" s="109">
        <f>SUM(AO30:AO49)</f>
        <v>200</v>
      </c>
    </row>
    <row r="51" spans="10:41" ht="16.5" customHeight="1" x14ac:dyDescent="0.3">
      <c r="J51" s="9">
        <v>47</v>
      </c>
      <c r="K51" s="16" t="s">
        <v>19</v>
      </c>
      <c r="L51" s="16" t="s">
        <v>37</v>
      </c>
      <c r="M51" s="16" t="s">
        <v>102</v>
      </c>
      <c r="N51" s="16" t="s">
        <v>34</v>
      </c>
      <c r="O51" s="16" t="s">
        <v>37</v>
      </c>
      <c r="Q51" s="9">
        <v>5</v>
      </c>
      <c r="R51" s="9">
        <v>7</v>
      </c>
      <c r="S51" s="9">
        <v>17</v>
      </c>
      <c r="T51" s="9">
        <v>9</v>
      </c>
      <c r="U51" s="9">
        <v>7</v>
      </c>
      <c r="W51" s="25" cm="1">
        <f t="array" ref="W51">_xlfn.LET(_xlpm.x, K51:K53, IF(SUM((_xlpm.x="K")*1, (_xlpm.x="A")*1, (_xlpm.x="GK")*1, (_xlpm.x="GA")*1)&gt;0, 3, 1))</f>
        <v>3</v>
      </c>
      <c r="X51" s="25" cm="1">
        <f t="array" ref="X51">_xlfn.LET(_xlpm.x, L51:L53, IF(SUM((_xlpm.x="K")*1, (_xlpm.x="A")*1, (_xlpm.x="GK")*1, (_xlpm.x="GA")*1)&gt;0, 3, 1))</f>
        <v>3</v>
      </c>
      <c r="Y51" s="25" cm="1">
        <f t="array" ref="Y51">_xlfn.LET(_xlpm.x, M51:M53, IF(SUM((_xlpm.x="K")*1, (_xlpm.x="A")*1, (_xlpm.x="GK")*1, (_xlpm.x="GA")*1)&gt;0, 3, 1))</f>
        <v>3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104</v>
      </c>
      <c r="L52" s="16" t="s">
        <v>37</v>
      </c>
      <c r="M52" s="16" t="s">
        <v>90</v>
      </c>
      <c r="N52" s="16" t="s">
        <v>22</v>
      </c>
      <c r="O52" s="16" t="s">
        <v>19</v>
      </c>
      <c r="Q52" s="9">
        <v>6</v>
      </c>
      <c r="R52" s="9">
        <v>7</v>
      </c>
      <c r="S52" s="9">
        <v>16</v>
      </c>
      <c r="T52" s="9">
        <v>3</v>
      </c>
      <c r="U52" s="9">
        <v>5</v>
      </c>
      <c r="W52" s="25" cm="1">
        <f t="array" ref="W52">_xlfn.LET(_xlpm.x, K52:K54, IF(SUM((_xlpm.x="K")*1, (_xlpm.x="A")*1, (_xlpm.x="GK")*1, (_xlpm.x="GA")*1)&gt;0, 3, 1))</f>
        <v>3</v>
      </c>
      <c r="X52" s="25" cm="1">
        <f t="array" ref="X52">_xlfn.LET(_xlpm.x, L52:L54, IF(SUM((_xlpm.x="K")*1, (_xlpm.x="A")*1, (_xlpm.x="GK")*1, (_xlpm.x="GA")*1)&gt;0, 3, 1))</f>
        <v>3</v>
      </c>
      <c r="Y52" s="25" cm="1">
        <f t="array" ref="Y52">_xlfn.LET(_xlpm.x, M52:M54, IF(SUM((_xlpm.x="K")*1, (_xlpm.x="A")*1, (_xlpm.x="GK")*1, (_xlpm.x="GA")*1)&gt;0, 3, 1))</f>
        <v>3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 x14ac:dyDescent="0.3">
      <c r="J53" s="9">
        <v>49</v>
      </c>
      <c r="K53" s="16" t="s">
        <v>35</v>
      </c>
      <c r="L53" s="16" t="s">
        <v>287</v>
      </c>
      <c r="M53" s="16" t="s">
        <v>105</v>
      </c>
      <c r="N53" s="16" t="s">
        <v>104</v>
      </c>
      <c r="O53" s="16" t="s">
        <v>37</v>
      </c>
      <c r="Q53" s="9">
        <v>8</v>
      </c>
      <c r="R53" s="9">
        <v>15</v>
      </c>
      <c r="S53" s="9">
        <v>15</v>
      </c>
      <c r="T53" s="9">
        <v>6</v>
      </c>
      <c r="U53" s="9">
        <v>7</v>
      </c>
      <c r="W53" s="25" cm="1">
        <f t="array" ref="W53">_xlfn.LET(_xlpm.x, K53:K55, IF(SUM((_xlpm.x="K")*1, (_xlpm.x="A")*1, (_xlpm.x="GK")*1, (_xlpm.x="GA")*1)&gt;0, 3, 1))</f>
        <v>3</v>
      </c>
      <c r="X53" s="25" cm="1">
        <f t="array" ref="X53">_xlfn.LET(_xlpm.x, L53:L55, IF(SUM((_xlpm.x="K")*1, (_xlpm.x="A")*1, (_xlpm.x="GK")*1, (_xlpm.x="GA")*1)&gt;0, 3, 1))</f>
        <v>3</v>
      </c>
      <c r="Y53" s="25" cm="1">
        <f t="array" ref="Y53">_xlfn.LET(_xlpm.x, M53:M55, IF(SUM((_xlpm.x="K")*1, (_xlpm.x="A")*1, (_xlpm.x="GK")*1, (_xlpm.x="GA")*1)&gt;0, 3, 1))</f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287</v>
      </c>
      <c r="M54" s="16" t="s">
        <v>88</v>
      </c>
      <c r="N54" s="16" t="s">
        <v>104</v>
      </c>
      <c r="O54" s="16" t="s">
        <v>22</v>
      </c>
      <c r="Q54" s="9">
        <v>7</v>
      </c>
      <c r="R54" s="9">
        <v>15</v>
      </c>
      <c r="S54" s="9">
        <v>13</v>
      </c>
      <c r="T54" s="9">
        <v>6</v>
      </c>
      <c r="U54" s="9">
        <v>3</v>
      </c>
      <c r="W54" s="25" cm="1">
        <f t="array" ref="W54">_xlfn.LET(_xlpm.x, K54:K56, IF(SUM((_xlpm.x="K")*1, (_xlpm.x="A")*1, (_xlpm.x="GK")*1, (_xlpm.x="GA")*1)&gt;0, 3, 1))</f>
        <v>3</v>
      </c>
      <c r="X54" s="25" cm="1">
        <f t="array" ref="X54">_xlfn.LET(_xlpm.x, L54:L56, IF(SUM((_xlpm.x="K")*1, (_xlpm.x="A")*1, (_xlpm.x="GK")*1, (_xlpm.x="GA")*1)&gt;0, 3, 1))</f>
        <v>3</v>
      </c>
      <c r="Y54" s="25" cm="1">
        <f t="array" ref="Y54">_xlfn.LET(_xlpm.x, M54:M56, IF(SUM((_xlpm.x="K")*1, (_xlpm.x="A")*1, (_xlpm.x="GK")*1, (_xlpm.x="GA")*1)&gt;0, 3, 1))</f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 cm="1">
        <f t="array" ref="AD54:AH73">$AD$6:$AH$25</f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 cm="1">
        <f t="array" ref="AK54:AO73">$AD$6:$AH$25</f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 x14ac:dyDescent="0.3">
      <c r="J55" s="9">
        <v>51</v>
      </c>
      <c r="K55" s="16" t="s">
        <v>35</v>
      </c>
      <c r="L55" s="16" t="s">
        <v>31</v>
      </c>
      <c r="M55" s="16" t="s">
        <v>105</v>
      </c>
      <c r="N55" s="16" t="s">
        <v>88</v>
      </c>
      <c r="O55" s="16" t="s">
        <v>19</v>
      </c>
      <c r="Q55" s="9">
        <v>8</v>
      </c>
      <c r="R55" s="9">
        <v>8</v>
      </c>
      <c r="S55" s="9">
        <v>15</v>
      </c>
      <c r="T55" s="9">
        <v>13</v>
      </c>
      <c r="U55" s="9">
        <v>5</v>
      </c>
      <c r="W55" s="25" cm="1">
        <f t="array" ref="W55">_xlfn.LET(_xlpm.x, K55:K57, IF(SUM((_xlpm.x="K")*1, (_xlpm.x="A")*1, (_xlpm.x="GK")*1, (_xlpm.x="GA")*1)&gt;0, 3, 1))</f>
        <v>3</v>
      </c>
      <c r="X55" s="25" cm="1">
        <f t="array" ref="X55">_xlfn.LET(_xlpm.x, L55:L57, IF(SUM((_xlpm.x="K")*1, (_xlpm.x="A")*1, (_xlpm.x="GK")*1, (_xlpm.x="GA")*1)&gt;0, 3, 1))</f>
        <v>3</v>
      </c>
      <c r="Y55" s="25" cm="1">
        <f t="array" ref="Y55">_xlfn.LET(_xlpm.x, M55:M57, IF(SUM((_xlpm.x="K")*1, (_xlpm.x="A")*1, (_xlpm.x="GK")*1, (_xlpm.x="GA")*1)&gt;0, 3, 1))</f>
        <v>1</v>
      </c>
      <c r="Z55" s="25">
        <v>1</v>
      </c>
      <c r="AA55" s="25">
        <v>1</v>
      </c>
      <c r="AC55" s="133" t="str">
        <v>C1</v>
      </c>
      <c r="AD55" s="211">
        <v>0</v>
      </c>
      <c r="AE55" s="211">
        <v>6</v>
      </c>
      <c r="AF55" s="211">
        <v>0</v>
      </c>
      <c r="AG55" s="211">
        <v>9</v>
      </c>
      <c r="AH55" s="211">
        <v>0</v>
      </c>
      <c r="AI55" s="5"/>
      <c r="AJ55" s="133" t="str">
        <v>C1</v>
      </c>
      <c r="AK55" s="211">
        <v>0</v>
      </c>
      <c r="AL55" s="211">
        <v>6</v>
      </c>
      <c r="AM55" s="211">
        <v>0</v>
      </c>
      <c r="AN55" s="211">
        <v>9</v>
      </c>
      <c r="AO55" s="211">
        <v>0</v>
      </c>
    </row>
    <row r="56" spans="10:41" ht="16.5" customHeight="1" x14ac:dyDescent="0.3">
      <c r="J56" s="25">
        <v>52</v>
      </c>
      <c r="K56" s="16" t="s">
        <v>35</v>
      </c>
      <c r="L56" s="16" t="s">
        <v>37</v>
      </c>
      <c r="M56" s="16" t="s">
        <v>89</v>
      </c>
      <c r="N56" s="16" t="s">
        <v>36</v>
      </c>
      <c r="O56" s="16" t="s">
        <v>36</v>
      </c>
      <c r="Q56" s="9">
        <v>8</v>
      </c>
      <c r="R56" s="9">
        <v>7</v>
      </c>
      <c r="S56" s="9">
        <v>14</v>
      </c>
      <c r="T56" s="9">
        <v>10</v>
      </c>
      <c r="U56" s="9">
        <v>10</v>
      </c>
      <c r="W56" s="25" cm="1">
        <f t="array" ref="W56">_xlfn.LET(_xlpm.x, K56:K58, IF(SUM((_xlpm.x="K")*1, (_xlpm.x="A")*1, (_xlpm.x="GK")*1, (_xlpm.x="GA")*1)&gt;0, 3, 1))</f>
        <v>3</v>
      </c>
      <c r="X56" s="25" cm="1">
        <f t="array" ref="X56">_xlfn.LET(_xlpm.x, L56:L58, IF(SUM((_xlpm.x="K")*1, (_xlpm.x="A")*1, (_xlpm.x="GK")*1, (_xlpm.x="GA")*1)&gt;0, 3, 1))</f>
        <v>3</v>
      </c>
      <c r="Y56" s="25" cm="1">
        <f t="array" ref="Y56">_xlfn.LET(_xlpm.x, M56:M58, IF(SUM((_xlpm.x="K")*1, (_xlpm.x="A")*1, (_xlpm.x="GK")*1, (_xlpm.x="GA")*1)&gt;0, 3, 1))</f>
        <v>3</v>
      </c>
      <c r="Z56" s="25">
        <v>1</v>
      </c>
      <c r="AA56" s="25">
        <v>1</v>
      </c>
      <c r="AC56" s="148" t="str">
        <v>M1</v>
      </c>
      <c r="AD56" s="128">
        <v>4</v>
      </c>
      <c r="AE56" s="128">
        <v>11</v>
      </c>
      <c r="AF56" s="128">
        <v>0</v>
      </c>
      <c r="AG56" s="128">
        <v>22</v>
      </c>
      <c r="AH56" s="128">
        <v>28</v>
      </c>
      <c r="AI56" s="5"/>
      <c r="AJ56" s="148" t="str">
        <v>M1</v>
      </c>
      <c r="AK56" s="128">
        <v>4</v>
      </c>
      <c r="AL56" s="128">
        <v>11</v>
      </c>
      <c r="AM56" s="128">
        <v>0</v>
      </c>
      <c r="AN56" s="128">
        <v>22</v>
      </c>
      <c r="AO56" s="128">
        <v>28</v>
      </c>
    </row>
    <row r="57" spans="10:41" ht="16.5" customHeight="1" x14ac:dyDescent="0.3">
      <c r="J57" s="9">
        <v>53</v>
      </c>
      <c r="K57" s="16" t="s">
        <v>19</v>
      </c>
      <c r="L57" s="16" t="s">
        <v>288</v>
      </c>
      <c r="M57" s="16" t="s">
        <v>105</v>
      </c>
      <c r="N57" s="16" t="s">
        <v>87</v>
      </c>
      <c r="O57" s="16" t="s">
        <v>18</v>
      </c>
      <c r="Q57" s="9">
        <v>5</v>
      </c>
      <c r="R57" s="9">
        <v>14</v>
      </c>
      <c r="S57" s="9">
        <v>15</v>
      </c>
      <c r="T57" s="9">
        <v>12</v>
      </c>
      <c r="U57" s="9">
        <v>4</v>
      </c>
      <c r="W57" s="25" cm="1">
        <f t="array" ref="W57">_xlfn.LET(_xlpm.x, K57:K59, IF(SUM((_xlpm.x="K")*1, (_xlpm.x="A")*1, (_xlpm.x="GK")*1, (_xlpm.x="GA")*1)&gt;0, 3, 1))</f>
        <v>3</v>
      </c>
      <c r="X57" s="25" cm="1">
        <f t="array" ref="X57">_xlfn.LET(_xlpm.x, L57:L59, IF(SUM((_xlpm.x="K")*1, (_xlpm.x="A")*1, (_xlpm.x="GK")*1, (_xlpm.x="GA")*1)&gt;0, 3, 1))</f>
        <v>3</v>
      </c>
      <c r="Y57" s="25" cm="1">
        <f t="array" ref="Y57">_xlfn.LET(_xlpm.x, M57:M59, IF(SUM((_xlpm.x="K")*1, (_xlpm.x="A")*1, (_xlpm.x="GK")*1, (_xlpm.x="GA")*1)&gt;0, 3, 1))</f>
        <v>3</v>
      </c>
      <c r="Z57" s="25">
        <v>1</v>
      </c>
      <c r="AA57" s="25">
        <v>1</v>
      </c>
      <c r="AC57" s="148" t="str">
        <v>M2</v>
      </c>
      <c r="AD57" s="128">
        <v>4</v>
      </c>
      <c r="AE57" s="128">
        <v>11</v>
      </c>
      <c r="AF57" s="128">
        <v>0</v>
      </c>
      <c r="AG57" s="128">
        <v>22</v>
      </c>
      <c r="AH57" s="128">
        <v>27</v>
      </c>
      <c r="AI57" s="5"/>
      <c r="AJ57" s="148" t="str">
        <v>M2</v>
      </c>
      <c r="AK57" s="128">
        <v>4</v>
      </c>
      <c r="AL57" s="128">
        <v>11</v>
      </c>
      <c r="AM57" s="128">
        <v>0</v>
      </c>
      <c r="AN57" s="128">
        <v>22</v>
      </c>
      <c r="AO57" s="128">
        <v>27</v>
      </c>
    </row>
    <row r="58" spans="10:41" ht="16.5" customHeight="1" x14ac:dyDescent="0.3">
      <c r="J58" s="25">
        <v>54</v>
      </c>
      <c r="K58" s="16" t="s">
        <v>35</v>
      </c>
      <c r="L58" s="16" t="s">
        <v>91</v>
      </c>
      <c r="M58" s="16" t="s">
        <v>90</v>
      </c>
      <c r="N58" s="16" t="s">
        <v>37</v>
      </c>
      <c r="O58" s="16" t="s">
        <v>19</v>
      </c>
      <c r="Q58" s="9">
        <v>8</v>
      </c>
      <c r="R58" s="9">
        <v>16</v>
      </c>
      <c r="S58" s="9">
        <v>16</v>
      </c>
      <c r="T58" s="9">
        <v>7</v>
      </c>
      <c r="U58" s="9">
        <v>5</v>
      </c>
      <c r="W58" s="25" cm="1">
        <f t="array" ref="W58">_xlfn.LET(_xlpm.x, K58:K60, IF(SUM((_xlpm.x="K")*1, (_xlpm.x="A")*1, (_xlpm.x="GK")*1, (_xlpm.x="GA")*1)&gt;0, 3, 1))</f>
        <v>3</v>
      </c>
      <c r="X58" s="25" cm="1">
        <f t="array" ref="X58">_xlfn.LET(_xlpm.x, L58:L60, IF(SUM((_xlpm.x="K")*1, (_xlpm.x="A")*1, (_xlpm.x="GK")*1, (_xlpm.x="GA")*1)&gt;0, 3, 1))</f>
        <v>3</v>
      </c>
      <c r="Y58" s="25" cm="1">
        <f t="array" ref="Y58">_xlfn.LET(_xlpm.x, M58:M60, IF(SUM((_xlpm.x="K")*1, (_xlpm.x="A")*1, (_xlpm.x="GK")*1, (_xlpm.x="GA")*1)&gt;0, 3, 1))</f>
        <v>3</v>
      </c>
      <c r="Z58" s="25">
        <v>1</v>
      </c>
      <c r="AA58" s="25">
        <v>1</v>
      </c>
      <c r="AC58" s="148" t="str">
        <v>M3</v>
      </c>
      <c r="AD58" s="128">
        <v>4</v>
      </c>
      <c r="AE58" s="128">
        <v>11</v>
      </c>
      <c r="AF58" s="128">
        <v>0</v>
      </c>
      <c r="AG58" s="128">
        <v>22</v>
      </c>
      <c r="AH58" s="128">
        <v>27</v>
      </c>
      <c r="AI58" s="5"/>
      <c r="AJ58" s="148" t="str">
        <v>M3</v>
      </c>
      <c r="AK58" s="128">
        <v>4</v>
      </c>
      <c r="AL58" s="128">
        <v>11</v>
      </c>
      <c r="AM58" s="128">
        <v>0</v>
      </c>
      <c r="AN58" s="128">
        <v>22</v>
      </c>
      <c r="AO58" s="128">
        <v>27</v>
      </c>
    </row>
    <row r="59" spans="10:41" ht="16.5" customHeight="1" x14ac:dyDescent="0.3">
      <c r="J59" s="9">
        <v>55</v>
      </c>
      <c r="K59" s="16" t="s">
        <v>37</v>
      </c>
      <c r="L59" s="16" t="s">
        <v>23</v>
      </c>
      <c r="M59" s="16" t="s">
        <v>105</v>
      </c>
      <c r="N59" s="16" t="s">
        <v>88</v>
      </c>
      <c r="O59" s="16" t="s">
        <v>22</v>
      </c>
      <c r="Q59" s="9">
        <v>7</v>
      </c>
      <c r="R59" s="9">
        <v>7</v>
      </c>
      <c r="S59" s="9">
        <v>15</v>
      </c>
      <c r="T59" s="9">
        <v>13</v>
      </c>
      <c r="U59" s="9">
        <v>3</v>
      </c>
      <c r="W59" s="25" cm="1">
        <f t="array" ref="W59">_xlfn.LET(_xlpm.x, K59:K61, IF(SUM((_xlpm.x="K")*1, (_xlpm.x="A")*1, (_xlpm.x="GK")*1, (_xlpm.x="GA")*1)&gt;0, 3, 1))</f>
        <v>3</v>
      </c>
      <c r="X59" s="25" cm="1">
        <f t="array" ref="X59">_xlfn.LET(_xlpm.x, L59:L61, IF(SUM((_xlpm.x="K")*1, (_xlpm.x="A")*1, (_xlpm.x="GK")*1, (_xlpm.x="GA")*1)&gt;0, 3, 1))</f>
        <v>3</v>
      </c>
      <c r="Y59" s="25" cm="1">
        <f t="array" ref="Y59">_xlfn.LET(_xlpm.x, M59:M61, IF(SUM((_xlpm.x="K")*1, (_xlpm.x="A")*1, (_xlpm.x="GK")*1, (_xlpm.x="GA")*1)&gt;0, 3, 1))</f>
        <v>3</v>
      </c>
      <c r="Z59" s="25">
        <v>1</v>
      </c>
      <c r="AA59" s="25">
        <v>1</v>
      </c>
      <c r="AC59" s="148" t="str">
        <v>M4</v>
      </c>
      <c r="AD59" s="128">
        <v>43</v>
      </c>
      <c r="AE59" s="128">
        <v>19</v>
      </c>
      <c r="AF59" s="128">
        <v>0</v>
      </c>
      <c r="AG59" s="128">
        <v>12</v>
      </c>
      <c r="AH59" s="128">
        <v>16</v>
      </c>
      <c r="AI59" s="5"/>
      <c r="AJ59" s="148" t="str">
        <v>M4</v>
      </c>
      <c r="AK59" s="128">
        <v>43</v>
      </c>
      <c r="AL59" s="128">
        <v>19</v>
      </c>
      <c r="AM59" s="128">
        <v>0</v>
      </c>
      <c r="AN59" s="128">
        <v>12</v>
      </c>
      <c r="AO59" s="128">
        <v>16</v>
      </c>
    </row>
    <row r="60" spans="10:41" ht="16.5" customHeight="1" x14ac:dyDescent="0.3">
      <c r="J60" s="25">
        <v>56</v>
      </c>
      <c r="K60" s="16" t="s">
        <v>19</v>
      </c>
      <c r="L60" s="16" t="s">
        <v>29</v>
      </c>
      <c r="M60" s="16" t="s">
        <v>86</v>
      </c>
      <c r="N60" s="16" t="s">
        <v>22</v>
      </c>
      <c r="O60" s="16" t="s">
        <v>104</v>
      </c>
      <c r="Q60" s="9">
        <v>5</v>
      </c>
      <c r="R60" s="9">
        <v>5</v>
      </c>
      <c r="S60" s="9">
        <v>11</v>
      </c>
      <c r="T60" s="9">
        <v>3</v>
      </c>
      <c r="U60" s="9">
        <v>6</v>
      </c>
      <c r="W60" s="25" cm="1">
        <f t="array" ref="W60">_xlfn.LET(_xlpm.x, K60:K62, IF(SUM((_xlpm.x="K")*1, (_xlpm.x="A")*1, (_xlpm.x="GK")*1, (_xlpm.x="GA")*1)&gt;0, 3, 1))</f>
        <v>1</v>
      </c>
      <c r="X60" s="25" cm="1">
        <f t="array" ref="X60">_xlfn.LET(_xlpm.x, L60:L62, IF(SUM((_xlpm.x="K")*1, (_xlpm.x="A")*1, (_xlpm.x="GK")*1, (_xlpm.x="GA")*1)&gt;0, 3, 1))</f>
        <v>1</v>
      </c>
      <c r="Y60" s="25" cm="1">
        <f t="array" ref="Y60">_xlfn.LET(_xlpm.x, M60:M62, IF(SUM((_xlpm.x="K")*1, (_xlpm.x="A")*1, (_xlpm.x="GK")*1, (_xlpm.x="GA")*1)&gt;0, 3, 1))</f>
        <v>3</v>
      </c>
      <c r="Z60" s="25">
        <v>1</v>
      </c>
      <c r="AA60" s="25">
        <v>1</v>
      </c>
      <c r="AC60" s="148" t="str">
        <v>M5</v>
      </c>
      <c r="AD60" s="128">
        <v>43</v>
      </c>
      <c r="AE60" s="128">
        <v>20</v>
      </c>
      <c r="AF60" s="128">
        <v>0</v>
      </c>
      <c r="AG60" s="128">
        <v>12</v>
      </c>
      <c r="AH60" s="128">
        <v>16</v>
      </c>
      <c r="AI60" s="5"/>
      <c r="AJ60" s="148" t="str">
        <v>M5</v>
      </c>
      <c r="AK60" s="128">
        <v>43</v>
      </c>
      <c r="AL60" s="128">
        <v>20</v>
      </c>
      <c r="AM60" s="128">
        <v>0</v>
      </c>
      <c r="AN60" s="128">
        <v>12</v>
      </c>
      <c r="AO60" s="128">
        <v>16</v>
      </c>
    </row>
    <row r="61" spans="10:41" x14ac:dyDescent="0.3">
      <c r="J61" s="9">
        <v>57</v>
      </c>
      <c r="K61" s="16" t="s">
        <v>19</v>
      </c>
      <c r="L61" s="16" t="s">
        <v>287</v>
      </c>
      <c r="M61" s="16" t="s">
        <v>102</v>
      </c>
      <c r="N61" s="16" t="s">
        <v>22</v>
      </c>
      <c r="O61" s="16" t="s">
        <v>104</v>
      </c>
      <c r="Q61" s="9">
        <v>5</v>
      </c>
      <c r="R61" s="9">
        <v>15</v>
      </c>
      <c r="S61" s="9">
        <v>17</v>
      </c>
      <c r="T61" s="9">
        <v>3</v>
      </c>
      <c r="U61" s="9">
        <v>6</v>
      </c>
      <c r="W61" s="25" cm="1">
        <f t="array" ref="W61">_xlfn.LET(_xlpm.x, K61:K63, IF(SUM((_xlpm.x="K")*1, (_xlpm.x="A")*1, (_xlpm.x="GK")*1, (_xlpm.x="GA")*1)&gt;0, 3, 1))</f>
        <v>3</v>
      </c>
      <c r="X61" s="25" cm="1">
        <f t="array" ref="X61">_xlfn.LET(_xlpm.x, L61:L63, IF(SUM((_xlpm.x="K")*1, (_xlpm.x="A")*1, (_xlpm.x="GK")*1, (_xlpm.x="GA")*1)&gt;0, 3, 1))</f>
        <v>1</v>
      </c>
      <c r="Y61" s="25" cm="1">
        <f t="array" ref="Y61">_xlfn.LET(_xlpm.x, M61:M63, IF(SUM((_xlpm.x="K")*1, (_xlpm.x="A")*1, (_xlpm.x="GK")*1, (_xlpm.x="GA")*1)&gt;0, 3, 1))</f>
        <v>3</v>
      </c>
      <c r="Z61" s="25">
        <v>1</v>
      </c>
      <c r="AA61" s="25">
        <v>1</v>
      </c>
      <c r="AC61" s="148" t="str">
        <v>A</v>
      </c>
      <c r="AD61" s="128">
        <v>47</v>
      </c>
      <c r="AE61" s="128">
        <v>20</v>
      </c>
      <c r="AF61" s="128">
        <v>0</v>
      </c>
      <c r="AG61" s="128">
        <v>12</v>
      </c>
      <c r="AH61" s="128">
        <v>16</v>
      </c>
      <c r="AI61" s="5"/>
      <c r="AJ61" s="148" t="str">
        <v>A</v>
      </c>
      <c r="AK61" s="128">
        <v>47</v>
      </c>
      <c r="AL61" s="128">
        <v>20</v>
      </c>
      <c r="AM61" s="128">
        <v>0</v>
      </c>
      <c r="AN61" s="128">
        <v>12</v>
      </c>
      <c r="AO61" s="128">
        <v>16</v>
      </c>
    </row>
    <row r="62" spans="10:41" x14ac:dyDescent="0.3">
      <c r="J62" s="25">
        <v>58</v>
      </c>
      <c r="K62" s="16" t="s">
        <v>19</v>
      </c>
      <c r="L62" s="16" t="s">
        <v>285</v>
      </c>
      <c r="M62" s="16" t="s">
        <v>87</v>
      </c>
      <c r="N62" s="16" t="s">
        <v>22</v>
      </c>
      <c r="O62" s="16" t="s">
        <v>21</v>
      </c>
      <c r="Q62" s="9">
        <v>5</v>
      </c>
      <c r="R62" s="9">
        <v>6</v>
      </c>
      <c r="S62" s="9">
        <v>12</v>
      </c>
      <c r="T62" s="9">
        <v>3</v>
      </c>
      <c r="U62" s="9">
        <v>2</v>
      </c>
      <c r="W62" s="25" cm="1">
        <f t="array" ref="W62">_xlfn.LET(_xlpm.x, K62:K64, IF(SUM((_xlpm.x="K")*1, (_xlpm.x="A")*1, (_xlpm.x="GK")*1, (_xlpm.x="GA")*1)&gt;0, 3, 1))</f>
        <v>3</v>
      </c>
      <c r="X62" s="25" cm="1">
        <f t="array" ref="X62">_xlfn.LET(_xlpm.x, L62:L64, IF(SUM((_xlpm.x="K")*1, (_xlpm.x="A")*1, (_xlpm.x="GK")*1, (_xlpm.x="GA")*1)&gt;0, 3, 1))</f>
        <v>1</v>
      </c>
      <c r="Y62" s="25" cm="1">
        <f t="array" ref="Y62">_xlfn.LET(_xlpm.x, M62:M64, IF(SUM((_xlpm.x="K")*1, (_xlpm.x="A")*1, (_xlpm.x="GK")*1, (_xlpm.x="GA")*1)&gt;0, 3, 1))</f>
        <v>1</v>
      </c>
      <c r="Z62" s="25">
        <v>1</v>
      </c>
      <c r="AA62" s="25">
        <v>1</v>
      </c>
      <c r="AC62" s="148" t="str">
        <v>K</v>
      </c>
      <c r="AD62" s="128">
        <v>47</v>
      </c>
      <c r="AE62" s="128">
        <v>20</v>
      </c>
      <c r="AF62" s="128">
        <v>0</v>
      </c>
      <c r="AG62" s="128">
        <v>12</v>
      </c>
      <c r="AH62" s="128">
        <v>16</v>
      </c>
      <c r="AI62" s="5"/>
      <c r="AJ62" s="148" t="str">
        <v>K</v>
      </c>
      <c r="AK62" s="128">
        <v>47</v>
      </c>
      <c r="AL62" s="128">
        <v>20</v>
      </c>
      <c r="AM62" s="128">
        <v>0</v>
      </c>
      <c r="AN62" s="128">
        <v>12</v>
      </c>
      <c r="AO62" s="128">
        <v>16</v>
      </c>
    </row>
    <row r="63" spans="10:41" ht="16.5" customHeight="1" x14ac:dyDescent="0.3">
      <c r="J63" s="9">
        <v>59</v>
      </c>
      <c r="K63" s="16" t="s">
        <v>37</v>
      </c>
      <c r="L63" s="16" t="s">
        <v>29</v>
      </c>
      <c r="M63" s="16" t="s">
        <v>86</v>
      </c>
      <c r="N63" s="16" t="s">
        <v>89</v>
      </c>
      <c r="O63" s="16" t="s">
        <v>37</v>
      </c>
      <c r="Q63" s="9">
        <v>7</v>
      </c>
      <c r="R63" s="9">
        <v>5</v>
      </c>
      <c r="S63" s="9">
        <v>11</v>
      </c>
      <c r="T63" s="9">
        <v>14</v>
      </c>
      <c r="U63" s="9">
        <v>7</v>
      </c>
      <c r="W63" s="25" cm="1">
        <f t="array" ref="W63">_xlfn.LET(_xlpm.x, K63:K65, IF(SUM((_xlpm.x="K")*1, (_xlpm.x="A")*1, (_xlpm.x="GK")*1, (_xlpm.x="GA")*1)&gt;0, 3, 1))</f>
        <v>3</v>
      </c>
      <c r="X63" s="25" cm="1">
        <f t="array" ref="X63">_xlfn.LET(_xlpm.x, L63:L65, IF(SUM((_xlpm.x="K")*1, (_xlpm.x="A")*1, (_xlpm.x="GK")*1, (_xlpm.x="GA")*1)&gt;0, 3, 1))</f>
        <v>3</v>
      </c>
      <c r="Y63" s="25" cm="1">
        <f t="array" ref="Y63">_xlfn.LET(_xlpm.x, M63:M65, IF(SUM((_xlpm.x="K")*1, (_xlpm.x="A")*1, (_xlpm.x="GK")*1, (_xlpm.x="GA")*1)&gt;0, 3, 1))</f>
        <v>3</v>
      </c>
      <c r="Z63" s="25">
        <v>1</v>
      </c>
      <c r="AA63" s="25">
        <v>1</v>
      </c>
      <c r="AC63" s="148" t="str">
        <v>Q</v>
      </c>
      <c r="AD63" s="128">
        <v>4</v>
      </c>
      <c r="AE63" s="128">
        <v>11</v>
      </c>
      <c r="AF63" s="128">
        <v>0</v>
      </c>
      <c r="AG63" s="128">
        <v>21</v>
      </c>
      <c r="AH63" s="128">
        <v>27</v>
      </c>
      <c r="AI63" s="5"/>
      <c r="AJ63" s="148" t="str">
        <v>Q</v>
      </c>
      <c r="AK63" s="128">
        <v>4</v>
      </c>
      <c r="AL63" s="128">
        <v>11</v>
      </c>
      <c r="AM63" s="128">
        <v>0</v>
      </c>
      <c r="AN63" s="128">
        <v>21</v>
      </c>
      <c r="AO63" s="128">
        <v>27</v>
      </c>
    </row>
    <row r="64" spans="10:41" ht="16.5" customHeight="1" x14ac:dyDescent="0.3">
      <c r="J64" s="25">
        <v>60</v>
      </c>
      <c r="K64" s="16" t="s">
        <v>19</v>
      </c>
      <c r="L64" s="16" t="s">
        <v>288</v>
      </c>
      <c r="M64" s="16" t="s">
        <v>88</v>
      </c>
      <c r="N64" s="16" t="s">
        <v>21</v>
      </c>
      <c r="O64" s="16" t="s">
        <v>34</v>
      </c>
      <c r="Q64" s="9">
        <v>5</v>
      </c>
      <c r="R64" s="9">
        <v>14</v>
      </c>
      <c r="S64" s="9">
        <v>13</v>
      </c>
      <c r="T64" s="9">
        <v>2</v>
      </c>
      <c r="U64" s="9">
        <v>9</v>
      </c>
      <c r="W64" s="25" cm="1">
        <f t="array" ref="W64">_xlfn.LET(_xlpm.x, K64:K66, IF(SUM((_xlpm.x="K")*1, (_xlpm.x="A")*1, (_xlpm.x="GK")*1, (_xlpm.x="GA")*1)&gt;0, 3, 1))</f>
        <v>3</v>
      </c>
      <c r="X64" s="25" cm="1">
        <f t="array" ref="X64">_xlfn.LET(_xlpm.x, L64:L66, IF(SUM((_xlpm.x="K")*1, (_xlpm.x="A")*1, (_xlpm.x="GK")*1, (_xlpm.x="GA")*1)&gt;0, 3, 1))</f>
        <v>3</v>
      </c>
      <c r="Y64" s="25" cm="1">
        <f t="array" ref="Y64">_xlfn.LET(_xlpm.x, M64:M66, IF(SUM((_xlpm.x="K")*1, (_xlpm.x="A")*1, (_xlpm.x="GK")*1, (_xlpm.x="GA")*1)&gt;0, 3, 1))</f>
        <v>3</v>
      </c>
      <c r="Z64" s="25">
        <v>1</v>
      </c>
      <c r="AA64" s="25">
        <v>1</v>
      </c>
      <c r="AC64" s="148" t="str">
        <v>J</v>
      </c>
      <c r="AD64" s="128">
        <v>4</v>
      </c>
      <c r="AE64" s="128">
        <v>11</v>
      </c>
      <c r="AF64" s="128">
        <v>0</v>
      </c>
      <c r="AG64" s="128">
        <v>21</v>
      </c>
      <c r="AH64" s="128">
        <v>27</v>
      </c>
      <c r="AI64" s="5"/>
      <c r="AJ64" s="148" t="str">
        <v>J</v>
      </c>
      <c r="AK64" s="128">
        <v>4</v>
      </c>
      <c r="AL64" s="128">
        <v>11</v>
      </c>
      <c r="AM64" s="128">
        <v>0</v>
      </c>
      <c r="AN64" s="128">
        <v>21</v>
      </c>
      <c r="AO64" s="128">
        <v>27</v>
      </c>
    </row>
    <row r="65" spans="10:41" ht="16.5" customHeight="1" x14ac:dyDescent="0.3">
      <c r="J65" s="9">
        <v>61</v>
      </c>
      <c r="K65" s="16" t="s">
        <v>37</v>
      </c>
      <c r="L65" s="16" t="s">
        <v>37</v>
      </c>
      <c r="M65" s="16" t="s">
        <v>102</v>
      </c>
      <c r="N65" s="16" t="s">
        <v>104</v>
      </c>
      <c r="O65" s="16" t="s">
        <v>21</v>
      </c>
      <c r="Q65" s="9">
        <v>7</v>
      </c>
      <c r="R65" s="9">
        <v>7</v>
      </c>
      <c r="S65" s="9">
        <v>17</v>
      </c>
      <c r="T65" s="9">
        <v>6</v>
      </c>
      <c r="U65" s="9">
        <v>2</v>
      </c>
      <c r="W65" s="25" cm="1">
        <f t="array" ref="W65">_xlfn.LET(_xlpm.x, K65:K67, IF(SUM((_xlpm.x="K")*1, (_xlpm.x="A")*1, (_xlpm.x="GK")*1, (_xlpm.x="GA")*1)&gt;0, 3, 1))</f>
        <v>3</v>
      </c>
      <c r="X65" s="25" cm="1">
        <f t="array" ref="X65">_xlfn.LET(_xlpm.x, L65:L67, IF(SUM((_xlpm.x="K")*1, (_xlpm.x="A")*1, (_xlpm.x="GK")*1, (_xlpm.x="GA")*1)&gt;0, 3, 1))</f>
        <v>3</v>
      </c>
      <c r="Y65" s="25" cm="1">
        <f t="array" ref="Y65">_xlfn.LET(_xlpm.x, M65:M67, IF(SUM((_xlpm.x="K")*1, (_xlpm.x="A")*1, (_xlpm.x="GK")*1, (_xlpm.x="GA")*1)&gt;0, 3, 1))</f>
        <v>3</v>
      </c>
      <c r="Z65" s="25">
        <v>1</v>
      </c>
      <c r="AA65" s="25">
        <v>1</v>
      </c>
      <c r="AC65" s="133" t="str">
        <v>G1</v>
      </c>
      <c r="AD65" s="98">
        <v>0</v>
      </c>
      <c r="AE65" s="98">
        <v>7</v>
      </c>
      <c r="AF65" s="98">
        <v>7</v>
      </c>
      <c r="AG65" s="98">
        <v>9</v>
      </c>
      <c r="AH65" s="98">
        <v>0</v>
      </c>
      <c r="AI65" s="5"/>
      <c r="AJ65" s="133" t="str">
        <v>G1</v>
      </c>
      <c r="AK65" s="98">
        <v>0</v>
      </c>
      <c r="AL65" s="98">
        <v>7</v>
      </c>
      <c r="AM65" s="98">
        <v>7</v>
      </c>
      <c r="AN65" s="98">
        <v>9</v>
      </c>
      <c r="AO65" s="98">
        <v>0</v>
      </c>
    </row>
    <row r="66" spans="10:41" ht="16.5" customHeight="1" x14ac:dyDescent="0.3">
      <c r="J66" s="25">
        <v>62</v>
      </c>
      <c r="K66" s="16" t="s">
        <v>35</v>
      </c>
      <c r="L66" s="16" t="s">
        <v>105</v>
      </c>
      <c r="M66" s="16" t="s">
        <v>89</v>
      </c>
      <c r="N66" s="16" t="s">
        <v>21</v>
      </c>
      <c r="O66" s="16" t="s">
        <v>36</v>
      </c>
      <c r="Q66" s="9">
        <v>8</v>
      </c>
      <c r="R66" s="9">
        <v>15</v>
      </c>
      <c r="S66" s="9">
        <v>14</v>
      </c>
      <c r="T66" s="9">
        <v>2</v>
      </c>
      <c r="U66" s="9">
        <v>10</v>
      </c>
      <c r="W66" s="25" cm="1">
        <f t="array" ref="W66">_xlfn.LET(_xlpm.x, K66:K68, IF(SUM((_xlpm.x="K")*1, (_xlpm.x="A")*1, (_xlpm.x="GK")*1, (_xlpm.x="GA")*1)&gt;0, 3, 1))</f>
        <v>3</v>
      </c>
      <c r="X66" s="25" cm="1">
        <f t="array" ref="X66">_xlfn.LET(_xlpm.x, L66:L68, IF(SUM((_xlpm.x="K")*1, (_xlpm.x="A")*1, (_xlpm.x="GK")*1, (_xlpm.x="GA")*1)&gt;0, 3, 1))</f>
        <v>1</v>
      </c>
      <c r="Y66" s="25" cm="1">
        <f t="array" ref="Y66">_xlfn.LET(_xlpm.x, M66:M68, IF(SUM((_xlpm.x="K")*1, (_xlpm.x="A")*1, (_xlpm.x="GK")*1, (_xlpm.x="GA")*1)&gt;0, 3, 1))</f>
        <v>3</v>
      </c>
      <c r="Z66" s="25">
        <v>1</v>
      </c>
      <c r="AA66" s="25">
        <v>1</v>
      </c>
      <c r="AC66" s="133" t="str">
        <v>G2</v>
      </c>
      <c r="AD66" s="98">
        <v>0</v>
      </c>
      <c r="AE66" s="98">
        <v>9</v>
      </c>
      <c r="AF66" s="98">
        <v>7</v>
      </c>
      <c r="AG66" s="98">
        <v>9</v>
      </c>
      <c r="AH66" s="98">
        <v>0</v>
      </c>
      <c r="AI66" s="5"/>
      <c r="AJ66" s="133" t="str">
        <v>G2</v>
      </c>
      <c r="AK66" s="98">
        <v>0</v>
      </c>
      <c r="AL66" s="98">
        <v>9</v>
      </c>
      <c r="AM66" s="98">
        <v>7</v>
      </c>
      <c r="AN66" s="98">
        <v>9</v>
      </c>
      <c r="AO66" s="98">
        <v>0</v>
      </c>
    </row>
    <row r="67" spans="10:41" ht="16.5" customHeight="1" x14ac:dyDescent="0.3">
      <c r="J67" s="9">
        <v>63</v>
      </c>
      <c r="K67" s="16" t="s">
        <v>19</v>
      </c>
      <c r="L67" s="16" t="s">
        <v>21</v>
      </c>
      <c r="M67" s="16" t="s">
        <v>90</v>
      </c>
      <c r="N67" s="16" t="s">
        <v>93</v>
      </c>
      <c r="O67" s="16" t="s">
        <v>34</v>
      </c>
      <c r="Q67" s="9">
        <v>5</v>
      </c>
      <c r="R67" s="9">
        <v>2</v>
      </c>
      <c r="S67" s="9">
        <v>16</v>
      </c>
      <c r="T67" s="9">
        <v>18</v>
      </c>
      <c r="U67" s="9">
        <v>9</v>
      </c>
      <c r="W67" s="25" cm="1">
        <f t="array" ref="W67">_xlfn.LET(_xlpm.x, K67:K69, IF(SUM((_xlpm.x="K")*1, (_xlpm.x="A")*1, (_xlpm.x="GK")*1, (_xlpm.x="GA")*1)&gt;0, 3, 1))</f>
        <v>1</v>
      </c>
      <c r="X67" s="25" cm="1">
        <f t="array" ref="X67">_xlfn.LET(_xlpm.x, L67:L69, IF(SUM((_xlpm.x="K")*1, (_xlpm.x="A")*1, (_xlpm.x="GK")*1, (_xlpm.x="GA")*1)&gt;0, 3, 1))</f>
        <v>1</v>
      </c>
      <c r="Y67" s="25" cm="1">
        <f t="array" ref="Y67">_xlfn.LET(_xlpm.x, M67:M69, IF(SUM((_xlpm.x="K")*1, (_xlpm.x="A")*1, (_xlpm.x="GK")*1, (_xlpm.x="GA")*1)&gt;0, 3, 1))</f>
        <v>3</v>
      </c>
      <c r="Z67" s="25">
        <v>1</v>
      </c>
      <c r="AA67" s="25">
        <v>1</v>
      </c>
      <c r="AC67" s="133" t="str">
        <v>G3</v>
      </c>
      <c r="AD67" s="98">
        <v>0</v>
      </c>
      <c r="AE67" s="98">
        <v>9</v>
      </c>
      <c r="AF67" s="98">
        <v>7</v>
      </c>
      <c r="AG67" s="98">
        <v>9</v>
      </c>
      <c r="AH67" s="98">
        <v>0</v>
      </c>
      <c r="AI67" s="5"/>
      <c r="AJ67" s="133" t="str">
        <v>G3</v>
      </c>
      <c r="AK67" s="98">
        <v>0</v>
      </c>
      <c r="AL67" s="98">
        <v>9</v>
      </c>
      <c r="AM67" s="98">
        <v>7</v>
      </c>
      <c r="AN67" s="98">
        <v>9</v>
      </c>
      <c r="AO67" s="98">
        <v>0</v>
      </c>
    </row>
    <row r="68" spans="10:41" ht="16.5" customHeight="1" x14ac:dyDescent="0.3">
      <c r="J68" s="25">
        <v>64</v>
      </c>
      <c r="K68" s="16" t="s">
        <v>22</v>
      </c>
      <c r="L68" s="16" t="s">
        <v>36</v>
      </c>
      <c r="M68" s="16" t="s">
        <v>87</v>
      </c>
      <c r="N68" s="16" t="s">
        <v>34</v>
      </c>
      <c r="O68" s="16" t="s">
        <v>36</v>
      </c>
      <c r="Q68" s="9">
        <v>3</v>
      </c>
      <c r="R68" s="9">
        <v>10</v>
      </c>
      <c r="S68" s="9">
        <v>12</v>
      </c>
      <c r="T68" s="9">
        <v>9</v>
      </c>
      <c r="U68" s="9">
        <v>10</v>
      </c>
      <c r="W68" s="25" cm="1">
        <f t="array" ref="W68">_xlfn.LET(_xlpm.x, K68:K70, IF(SUM((_xlpm.x="K")*1, (_xlpm.x="A")*1, (_xlpm.x="GK")*1, (_xlpm.x="GA")*1)&gt;0, 3, 1))</f>
        <v>3</v>
      </c>
      <c r="X68" s="25" cm="1">
        <f t="array" ref="X68">_xlfn.LET(_xlpm.x, L68:L70, IF(SUM((_xlpm.x="K")*1, (_xlpm.x="A")*1, (_xlpm.x="GK")*1, (_xlpm.x="GA")*1)&gt;0, 3, 1))</f>
        <v>3</v>
      </c>
      <c r="Y68" s="25" cm="1">
        <f t="array" ref="Y68">_xlfn.LET(_xlpm.x, M68:M70, IF(SUM((_xlpm.x="K")*1, (_xlpm.x="A")*1, (_xlpm.x="GK")*1, (_xlpm.x="GA")*1)&gt;0, 3, 1))</f>
        <v>3</v>
      </c>
      <c r="Z68" s="25">
        <v>1</v>
      </c>
      <c r="AA68" s="25">
        <v>1</v>
      </c>
      <c r="AC68" s="133" t="str">
        <v>G4</v>
      </c>
      <c r="AD68" s="98">
        <v>0</v>
      </c>
      <c r="AE68" s="98">
        <v>15</v>
      </c>
      <c r="AF68" s="98">
        <v>66</v>
      </c>
      <c r="AG68" s="98">
        <v>6</v>
      </c>
      <c r="AH68" s="98">
        <v>0</v>
      </c>
      <c r="AI68" s="5"/>
      <c r="AJ68" s="133" t="str">
        <v>G4</v>
      </c>
      <c r="AK68" s="98">
        <v>0</v>
      </c>
      <c r="AL68" s="98">
        <v>15</v>
      </c>
      <c r="AM68" s="98">
        <v>66</v>
      </c>
      <c r="AN68" s="98">
        <v>6</v>
      </c>
      <c r="AO68" s="98">
        <v>0</v>
      </c>
    </row>
    <row r="69" spans="10:41" ht="16.5" customHeight="1" x14ac:dyDescent="0.3">
      <c r="J69" s="9">
        <v>65</v>
      </c>
      <c r="K69" s="16" t="s">
        <v>36</v>
      </c>
      <c r="L69" s="16" t="s">
        <v>36</v>
      </c>
      <c r="M69" s="16" t="s">
        <v>89</v>
      </c>
      <c r="N69" s="16" t="s">
        <v>22</v>
      </c>
      <c r="O69" s="16" t="s">
        <v>34</v>
      </c>
      <c r="Q69" s="9">
        <v>10</v>
      </c>
      <c r="R69" s="9">
        <v>10</v>
      </c>
      <c r="S69" s="9">
        <v>14</v>
      </c>
      <c r="T69" s="9">
        <v>3</v>
      </c>
      <c r="U69" s="9">
        <v>9</v>
      </c>
      <c r="W69" s="25" cm="1">
        <f t="array" ref="W69">_xlfn.LET(_xlpm.x, K69:K71, IF(SUM((_xlpm.x="K")*1, (_xlpm.x="A")*1, (_xlpm.x="GK")*1, (_xlpm.x="GA")*1)&gt;0, 3, 1))</f>
        <v>3</v>
      </c>
      <c r="X69" s="25" cm="1">
        <f t="array" ref="X69">_xlfn.LET(_xlpm.x, L69:L71, IF(SUM((_xlpm.x="K")*1, (_xlpm.x="A")*1, (_xlpm.x="GK")*1, (_xlpm.x="GA")*1)&gt;0, 3, 1))</f>
        <v>3</v>
      </c>
      <c r="Y69" s="25" cm="1">
        <f t="array" ref="Y69">_xlfn.LET(_xlpm.x, M69:M71, IF(SUM((_xlpm.x="K")*1, (_xlpm.x="A")*1, (_xlpm.x="GK")*1, (_xlpm.x="GA")*1)&gt;0, 3, 1))</f>
        <v>3</v>
      </c>
      <c r="Z69" s="25">
        <v>1</v>
      </c>
      <c r="AA69" s="25">
        <v>1</v>
      </c>
      <c r="AC69" s="133" t="str">
        <v>G5</v>
      </c>
      <c r="AD69" s="98">
        <v>0</v>
      </c>
      <c r="AE69" s="98">
        <v>15</v>
      </c>
      <c r="AF69" s="98">
        <v>66</v>
      </c>
      <c r="AG69" s="98">
        <v>6</v>
      </c>
      <c r="AH69" s="98">
        <v>0</v>
      </c>
      <c r="AI69" s="5"/>
      <c r="AJ69" s="133" t="str">
        <v>G5</v>
      </c>
      <c r="AK69" s="98">
        <v>0</v>
      </c>
      <c r="AL69" s="98">
        <v>15</v>
      </c>
      <c r="AM69" s="98">
        <v>66</v>
      </c>
      <c r="AN69" s="98">
        <v>6</v>
      </c>
      <c r="AO69" s="98">
        <v>0</v>
      </c>
    </row>
    <row r="70" spans="10:41" ht="16.5" customHeight="1" x14ac:dyDescent="0.3">
      <c r="J70" s="25">
        <v>66</v>
      </c>
      <c r="K70" s="16" t="s">
        <v>35</v>
      </c>
      <c r="L70" s="16" t="s">
        <v>102</v>
      </c>
      <c r="M70" s="16" t="s">
        <v>102</v>
      </c>
      <c r="N70" s="16" t="s">
        <v>88</v>
      </c>
      <c r="O70" s="16" t="s">
        <v>21</v>
      </c>
      <c r="Q70" s="9">
        <v>8</v>
      </c>
      <c r="R70" s="9">
        <v>17</v>
      </c>
      <c r="S70" s="9">
        <v>17</v>
      </c>
      <c r="T70" s="9">
        <v>13</v>
      </c>
      <c r="U70" s="9">
        <v>2</v>
      </c>
      <c r="W70" s="25" cm="1">
        <f t="array" ref="W70">_xlfn.LET(_xlpm.x, K70:K72, IF(SUM((_xlpm.x="K")*1, (_xlpm.x="A")*1, (_xlpm.x="GK")*1, (_xlpm.x="GA")*1)&gt;0, 3, 1))</f>
        <v>3</v>
      </c>
      <c r="X70" s="25" cm="1">
        <f t="array" ref="X70">_xlfn.LET(_xlpm.x, L70:L72, IF(SUM((_xlpm.x="K")*1, (_xlpm.x="A")*1, (_xlpm.x="GK")*1, (_xlpm.x="GA")*1)&gt;0, 3, 1))</f>
        <v>3</v>
      </c>
      <c r="Y70" s="25" cm="1">
        <f t="array" ref="Y70">_xlfn.LET(_xlpm.x, M70:M72, IF(SUM((_xlpm.x="K")*1, (_xlpm.x="A")*1, (_xlpm.x="GK")*1, (_xlpm.x="GA")*1)&gt;0, 3, 1))</f>
        <v>3</v>
      </c>
      <c r="Z70" s="25">
        <v>1</v>
      </c>
      <c r="AA70" s="25">
        <v>1</v>
      </c>
      <c r="AC70" s="133" t="str">
        <v>GA</v>
      </c>
      <c r="AD70" s="98">
        <v>0</v>
      </c>
      <c r="AE70" s="98">
        <v>15</v>
      </c>
      <c r="AF70" s="98">
        <v>66</v>
      </c>
      <c r="AG70" s="98">
        <v>6</v>
      </c>
      <c r="AH70" s="98">
        <v>0</v>
      </c>
      <c r="AI70" s="5"/>
      <c r="AJ70" s="133" t="str">
        <v>GA</v>
      </c>
      <c r="AK70" s="98">
        <v>0</v>
      </c>
      <c r="AL70" s="98">
        <v>15</v>
      </c>
      <c r="AM70" s="98">
        <v>66</v>
      </c>
      <c r="AN70" s="98">
        <v>6</v>
      </c>
      <c r="AO70" s="98">
        <v>0</v>
      </c>
    </row>
    <row r="71" spans="10:41" ht="16.5" customHeight="1" x14ac:dyDescent="0.3">
      <c r="J71" s="9">
        <v>67</v>
      </c>
      <c r="K71" s="16" t="s">
        <v>35</v>
      </c>
      <c r="L71" s="16" t="s">
        <v>90</v>
      </c>
      <c r="M71" s="16" t="s">
        <v>89</v>
      </c>
      <c r="N71" s="16" t="s">
        <v>20</v>
      </c>
      <c r="O71" s="16" t="s">
        <v>36</v>
      </c>
      <c r="Q71" s="9">
        <v>8</v>
      </c>
      <c r="R71" s="9">
        <v>16</v>
      </c>
      <c r="S71" s="9">
        <v>14</v>
      </c>
      <c r="T71" s="9">
        <v>1</v>
      </c>
      <c r="U71" s="9">
        <v>10</v>
      </c>
      <c r="W71" s="25" cm="1">
        <f t="array" ref="W71">_xlfn.LET(_xlpm.x, K71:K73, IF(SUM((_xlpm.x="K")*1, (_xlpm.x="A")*1, (_xlpm.x="GK")*1, (_xlpm.x="GA")*1)&gt;0, 3, 1))</f>
        <v>3</v>
      </c>
      <c r="X71" s="25" cm="1">
        <f t="array" ref="X71">_xlfn.LET(_xlpm.x, L71:L73, IF(SUM((_xlpm.x="K")*1, (_xlpm.x="A")*1, (_xlpm.x="GK")*1, (_xlpm.x="GA")*1)&gt;0, 3, 1))</f>
        <v>3</v>
      </c>
      <c r="Y71" s="25" cm="1">
        <f t="array" ref="Y71">_xlfn.LET(_xlpm.x, M71:M73, IF(SUM((_xlpm.x="K")*1, (_xlpm.x="A")*1, (_xlpm.x="GK")*1, (_xlpm.x="GA")*1)&gt;0, 3, 1))</f>
        <v>3</v>
      </c>
      <c r="Z71" s="25">
        <v>1</v>
      </c>
      <c r="AA71" s="25">
        <v>1</v>
      </c>
      <c r="AC71" s="133" t="str">
        <v>GK</v>
      </c>
      <c r="AD71" s="98">
        <v>0</v>
      </c>
      <c r="AE71" s="98">
        <v>15</v>
      </c>
      <c r="AF71" s="98">
        <v>66</v>
      </c>
      <c r="AG71" s="98">
        <v>6</v>
      </c>
      <c r="AH71" s="98">
        <v>0</v>
      </c>
      <c r="AI71" s="5"/>
      <c r="AJ71" s="133" t="str">
        <v>GK</v>
      </c>
      <c r="AK71" s="98">
        <v>0</v>
      </c>
      <c r="AL71" s="98">
        <v>15</v>
      </c>
      <c r="AM71" s="98">
        <v>66</v>
      </c>
      <c r="AN71" s="98">
        <v>6</v>
      </c>
      <c r="AO71" s="98">
        <v>0</v>
      </c>
    </row>
    <row r="72" spans="10:41" ht="16.5" customHeight="1" x14ac:dyDescent="0.3">
      <c r="J72" s="25">
        <v>68</v>
      </c>
      <c r="K72" s="16" t="s">
        <v>34</v>
      </c>
      <c r="L72" s="16" t="s">
        <v>36</v>
      </c>
      <c r="M72" s="16" t="s">
        <v>93</v>
      </c>
      <c r="N72" s="16" t="s">
        <v>22</v>
      </c>
      <c r="O72" s="16" t="s">
        <v>21</v>
      </c>
      <c r="Q72" s="9">
        <v>9</v>
      </c>
      <c r="R72" s="9">
        <v>10</v>
      </c>
      <c r="S72" s="9">
        <v>18</v>
      </c>
      <c r="T72" s="9">
        <v>3</v>
      </c>
      <c r="U72" s="9">
        <v>2</v>
      </c>
      <c r="W72" s="25" cm="1">
        <f t="array" ref="W72">_xlfn.LET(_xlpm.x, K72:K74, IF(SUM((_xlpm.x="K")*1, (_xlpm.x="A")*1, (_xlpm.x="GK")*1, (_xlpm.x="GA")*1)&gt;0, 3, 1))</f>
        <v>1</v>
      </c>
      <c r="X72" s="25" cm="1">
        <f t="array" ref="X72">_xlfn.LET(_xlpm.x, L72:L74, IF(SUM((_xlpm.x="K")*1, (_xlpm.x="A")*1, (_xlpm.x="GK")*1, (_xlpm.x="GA")*1)&gt;0, 3, 1))</f>
        <v>1</v>
      </c>
      <c r="Y72" s="25" cm="1">
        <f t="array" ref="Y72">_xlfn.LET(_xlpm.x, M72:M74, IF(SUM((_xlpm.x="K")*1, (_xlpm.x="A")*1, (_xlpm.x="GK")*1, (_xlpm.x="GA")*1)&gt;0, 3, 1))</f>
        <v>3</v>
      </c>
      <c r="Z72" s="25">
        <v>1</v>
      </c>
      <c r="AA72" s="25">
        <v>1</v>
      </c>
      <c r="AC72" s="133" t="str">
        <v>GQ</v>
      </c>
      <c r="AD72" s="98">
        <v>0</v>
      </c>
      <c r="AE72" s="98">
        <v>9</v>
      </c>
      <c r="AF72" s="98">
        <v>7</v>
      </c>
      <c r="AG72" s="98">
        <v>7</v>
      </c>
      <c r="AH72" s="98">
        <v>0</v>
      </c>
      <c r="AI72" s="5"/>
      <c r="AJ72" s="133" t="str">
        <v>GQ</v>
      </c>
      <c r="AK72" s="98">
        <v>0</v>
      </c>
      <c r="AL72" s="98">
        <v>9</v>
      </c>
      <c r="AM72" s="98">
        <v>7</v>
      </c>
      <c r="AN72" s="98">
        <v>7</v>
      </c>
      <c r="AO72" s="98">
        <v>0</v>
      </c>
    </row>
    <row r="73" spans="10:41" ht="16.5" customHeight="1" x14ac:dyDescent="0.3">
      <c r="J73" s="9">
        <v>69</v>
      </c>
      <c r="K73" s="16" t="s">
        <v>21</v>
      </c>
      <c r="L73" s="16" t="s">
        <v>29</v>
      </c>
      <c r="M73" s="16" t="s">
        <v>90</v>
      </c>
      <c r="N73" s="16" t="s">
        <v>21</v>
      </c>
      <c r="O73" s="16" t="s">
        <v>37</v>
      </c>
      <c r="Q73" s="9">
        <v>2</v>
      </c>
      <c r="R73" s="9">
        <v>5</v>
      </c>
      <c r="S73" s="9">
        <v>16</v>
      </c>
      <c r="T73" s="9">
        <v>2</v>
      </c>
      <c r="U73" s="9">
        <v>7</v>
      </c>
      <c r="W73" s="25" cm="1">
        <f t="array" ref="W73">_xlfn.LET(_xlpm.x, K73:K75, IF(SUM((_xlpm.x="K")*1, (_xlpm.x="A")*1, (_xlpm.x="GK")*1, (_xlpm.x="GA")*1)&gt;0, 3, 1))</f>
        <v>1</v>
      </c>
      <c r="X73" s="25" cm="1">
        <f t="array" ref="X73">_xlfn.LET(_xlpm.x, L73:L75, IF(SUM((_xlpm.x="K")*1, (_xlpm.x="A")*1, (_xlpm.x="GK")*1, (_xlpm.x="GA")*1)&gt;0, 3, 1))</f>
        <v>3</v>
      </c>
      <c r="Y73" s="25" cm="1">
        <f t="array" ref="Y73">_xlfn.LET(_xlpm.x, M73:M75, IF(SUM((_xlpm.x="K")*1, (_xlpm.x="A")*1, (_xlpm.x="GK")*1, (_xlpm.x="GA")*1)&gt;0, 3, 1))</f>
        <v>3</v>
      </c>
      <c r="Z73" s="25">
        <v>1</v>
      </c>
      <c r="AA73" s="25">
        <v>1</v>
      </c>
      <c r="AC73" s="133" t="str">
        <v>GJ</v>
      </c>
      <c r="AD73" s="98">
        <v>0</v>
      </c>
      <c r="AE73" s="98">
        <v>9</v>
      </c>
      <c r="AF73" s="98">
        <v>6</v>
      </c>
      <c r="AG73" s="98">
        <v>7</v>
      </c>
      <c r="AH73" s="98">
        <v>0</v>
      </c>
      <c r="AI73" s="5"/>
      <c r="AJ73" s="133" t="str">
        <v>GJ</v>
      </c>
      <c r="AK73" s="98">
        <v>0</v>
      </c>
      <c r="AL73" s="98">
        <v>9</v>
      </c>
      <c r="AM73" s="98">
        <v>6</v>
      </c>
      <c r="AN73" s="98">
        <v>7</v>
      </c>
      <c r="AO73" s="98">
        <v>0</v>
      </c>
    </row>
    <row r="74" spans="10:41" ht="16.5" customHeight="1" x14ac:dyDescent="0.3">
      <c r="J74" s="25">
        <v>70</v>
      </c>
      <c r="K74" s="16" t="s">
        <v>19</v>
      </c>
      <c r="L74" s="16" t="s">
        <v>29</v>
      </c>
      <c r="M74" s="16" t="s">
        <v>89</v>
      </c>
      <c r="N74" s="16" t="s">
        <v>37</v>
      </c>
      <c r="O74" s="16" t="s">
        <v>37</v>
      </c>
      <c r="Q74" s="9">
        <v>5</v>
      </c>
      <c r="R74" s="9">
        <v>5</v>
      </c>
      <c r="S74" s="9">
        <v>14</v>
      </c>
      <c r="T74" s="9">
        <v>7</v>
      </c>
      <c r="U74" s="9">
        <v>7</v>
      </c>
      <c r="W74" s="25" cm="1">
        <f t="array" ref="W74">_xlfn.LET(_xlpm.x, K74:K76, IF(SUM((_xlpm.x="K")*1, (_xlpm.x="A")*1, (_xlpm.x="GK")*1, (_xlpm.x="GA")*1)&gt;0, 3, 1))</f>
        <v>3</v>
      </c>
      <c r="X74" s="25" cm="1">
        <f t="array" ref="X74">_xlfn.LET(_xlpm.x, L74:L76, IF(SUM((_xlpm.x="K")*1, (_xlpm.x="A")*1, (_xlpm.x="GK")*1, (_xlpm.x="GA")*1)&gt;0, 3, 1))</f>
        <v>3</v>
      </c>
      <c r="Y74" s="25" cm="1">
        <f t="array" ref="Y74">_xlfn.LET(_xlpm.x, M74:M76, IF(SUM((_xlpm.x="K")*1, (_xlpm.x="A")*1, (_xlpm.x="GK")*1, (_xlpm.x="GA")*1)&gt;0, 3, 1))</f>
        <v>3</v>
      </c>
      <c r="Z74" s="25">
        <v>1</v>
      </c>
      <c r="AA74" s="25">
        <v>1</v>
      </c>
      <c r="AD74" s="109">
        <f>SUM(AD54:AD73)</f>
        <v>200</v>
      </c>
      <c r="AE74" s="109">
        <f>SUM(AE54:AE73)</f>
        <v>243</v>
      </c>
      <c r="AF74" s="109">
        <f>SUM(AF54:AF73)</f>
        <v>298</v>
      </c>
      <c r="AG74" s="109">
        <f>SUM(AG54:AG73)</f>
        <v>230</v>
      </c>
      <c r="AH74" s="109">
        <f>SUM(AH54:AH73)</f>
        <v>200</v>
      </c>
      <c r="AI74" s="5"/>
      <c r="AK74" s="109">
        <f>SUM(AK54:AK73)</f>
        <v>200</v>
      </c>
      <c r="AL74" s="109">
        <f>SUM(AL54:AL73)</f>
        <v>243</v>
      </c>
      <c r="AM74" s="109">
        <f>SUM(AM54:AM73)</f>
        <v>298</v>
      </c>
      <c r="AN74" s="109">
        <f>SUM(AN54:AN73)</f>
        <v>230</v>
      </c>
      <c r="AO74" s="109">
        <f>SUM(AO54:AO73)</f>
        <v>200</v>
      </c>
    </row>
    <row r="75" spans="10:41" ht="16.5" customHeight="1" x14ac:dyDescent="0.3">
      <c r="J75" s="9">
        <v>71</v>
      </c>
      <c r="K75" s="16" t="s">
        <v>104</v>
      </c>
      <c r="L75" s="16" t="s">
        <v>102</v>
      </c>
      <c r="M75" s="16" t="s">
        <v>90</v>
      </c>
      <c r="N75" s="16" t="s">
        <v>18</v>
      </c>
      <c r="O75" s="16" t="s">
        <v>22</v>
      </c>
      <c r="Q75" s="9">
        <v>6</v>
      </c>
      <c r="R75" s="9">
        <v>17</v>
      </c>
      <c r="S75" s="9">
        <v>16</v>
      </c>
      <c r="T75" s="9">
        <v>4</v>
      </c>
      <c r="U75" s="9">
        <v>3</v>
      </c>
      <c r="W75" s="25" cm="1">
        <f t="array" ref="W75">_xlfn.LET(_xlpm.x, K75:K77, IF(SUM((_xlpm.x="K")*1, (_xlpm.x="A")*1, (_xlpm.x="GK")*1, (_xlpm.x="GA")*1)&gt;0, 3, 1))</f>
        <v>3</v>
      </c>
      <c r="X75" s="25" cm="1">
        <f t="array" ref="X75">_xlfn.LET(_xlpm.x, L75:L77, IF(SUM((_xlpm.x="K")*1, (_xlpm.x="A")*1, (_xlpm.x="GK")*1, (_xlpm.x="GA")*1)&gt;0, 3, 1))</f>
        <v>3</v>
      </c>
      <c r="Y75" s="25" cm="1">
        <f t="array" ref="Y75">_xlfn.LET(_xlpm.x, M75:M77, IF(SUM((_xlpm.x="K")*1, (_xlpm.x="A")*1, (_xlpm.x="GK")*1, (_xlpm.x="GA")*1)&gt;0, 3, 1))</f>
        <v>3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35</v>
      </c>
      <c r="L76" s="16" t="s">
        <v>37</v>
      </c>
      <c r="M76" s="16" t="s">
        <v>87</v>
      </c>
      <c r="N76" s="16" t="s">
        <v>21</v>
      </c>
      <c r="O76" s="16" t="s">
        <v>18</v>
      </c>
      <c r="Q76" s="9">
        <v>8</v>
      </c>
      <c r="R76" s="9">
        <v>7</v>
      </c>
      <c r="S76" s="9">
        <v>12</v>
      </c>
      <c r="T76" s="9">
        <v>2</v>
      </c>
      <c r="U76" s="9">
        <v>4</v>
      </c>
      <c r="W76" s="25" cm="1">
        <f t="array" ref="W76">_xlfn.LET(_xlpm.x, K76:K78, IF(SUM((_xlpm.x="K")*1, (_xlpm.x="A")*1, (_xlpm.x="GK")*1, (_xlpm.x="GA")*1)&gt;0, 3, 1))</f>
        <v>3</v>
      </c>
      <c r="X76" s="25" cm="1">
        <f t="array" ref="X76">_xlfn.LET(_xlpm.x, L76:L78, IF(SUM((_xlpm.x="K")*1, (_xlpm.x="A")*1, (_xlpm.x="GK")*1, (_xlpm.x="GA")*1)&gt;0, 3, 1))</f>
        <v>3</v>
      </c>
      <c r="Y76" s="25" cm="1">
        <f t="array" ref="Y76">_xlfn.LET(_xlpm.x, M76:M78, IF(SUM((_xlpm.x="K")*1, (_xlpm.x="A")*1, (_xlpm.x="GK")*1, (_xlpm.x="GA")*1)&gt;0, 3, 1))</f>
        <v>3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35</v>
      </c>
      <c r="L77" s="16" t="s">
        <v>88</v>
      </c>
      <c r="M77" s="16" t="s">
        <v>102</v>
      </c>
      <c r="N77" s="16" t="s">
        <v>21</v>
      </c>
      <c r="O77" s="16" t="s">
        <v>104</v>
      </c>
      <c r="Q77" s="9">
        <v>8</v>
      </c>
      <c r="R77" s="9">
        <v>13</v>
      </c>
      <c r="S77" s="9">
        <v>17</v>
      </c>
      <c r="T77" s="9">
        <v>2</v>
      </c>
      <c r="U77" s="9">
        <v>6</v>
      </c>
      <c r="W77" s="25" cm="1">
        <f t="array" ref="W77">_xlfn.LET(_xlpm.x, K77:K79, IF(SUM((_xlpm.x="K")*1, (_xlpm.x="A")*1, (_xlpm.x="GK")*1, (_xlpm.x="GA")*1)&gt;0, 3, 1))</f>
        <v>3</v>
      </c>
      <c r="X77" s="25" cm="1">
        <f t="array" ref="X77">_xlfn.LET(_xlpm.x, L77:L79, IF(SUM((_xlpm.x="K")*1, (_xlpm.x="A")*1, (_xlpm.x="GK")*1, (_xlpm.x="GA")*1)&gt;0, 3, 1))</f>
        <v>1</v>
      </c>
      <c r="Y77" s="25" cm="1">
        <f t="array" ref="Y77">_xlfn.LET(_xlpm.x, M77:M79, IF(SUM((_xlpm.x="K")*1, (_xlpm.x="A")*1, (_xlpm.x="GK")*1, (_xlpm.x="GA")*1)&gt;0, 3, 1))</f>
        <v>3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104</v>
      </c>
      <c r="L78" s="16" t="s">
        <v>19</v>
      </c>
      <c r="M78" s="16" t="s">
        <v>89</v>
      </c>
      <c r="N78" s="16" t="s">
        <v>20</v>
      </c>
      <c r="O78" s="16" t="s">
        <v>18</v>
      </c>
      <c r="Q78" s="9">
        <v>6</v>
      </c>
      <c r="R78" s="9">
        <v>5</v>
      </c>
      <c r="S78" s="9">
        <v>14</v>
      </c>
      <c r="T78" s="9">
        <v>1</v>
      </c>
      <c r="U78" s="9">
        <v>4</v>
      </c>
      <c r="W78" s="25" cm="1">
        <f t="array" ref="W78">_xlfn.LET(_xlpm.x, K78:K80, IF(SUM((_xlpm.x="K")*1, (_xlpm.x="A")*1, (_xlpm.x="GK")*1, (_xlpm.x="GA")*1)&gt;0, 3, 1))</f>
        <v>3</v>
      </c>
      <c r="X78" s="25" cm="1">
        <f t="array" ref="X78">_xlfn.LET(_xlpm.x, L78:L80, IF(SUM((_xlpm.x="K")*1, (_xlpm.x="A")*1, (_xlpm.x="GK")*1, (_xlpm.x="GA")*1)&gt;0, 3, 1))</f>
        <v>1</v>
      </c>
      <c r="Y78" s="25" cm="1">
        <f t="array" ref="Y78">_xlfn.LET(_xlpm.x, M78:M80, IF(SUM((_xlpm.x="K")*1, (_xlpm.x="A")*1, (_xlpm.x="GK")*1, (_xlpm.x="GA")*1)&gt;0, 3, 1))</f>
        <v>3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104</v>
      </c>
      <c r="L79" s="16" t="s">
        <v>19</v>
      </c>
      <c r="M79" s="16" t="s">
        <v>105</v>
      </c>
      <c r="N79" s="16" t="s">
        <v>95</v>
      </c>
      <c r="O79" s="16" t="s">
        <v>36</v>
      </c>
      <c r="Q79" s="9">
        <v>6</v>
      </c>
      <c r="R79" s="9">
        <v>5</v>
      </c>
      <c r="S79" s="9">
        <v>15</v>
      </c>
      <c r="T79" s="9">
        <v>19</v>
      </c>
      <c r="U79" s="9">
        <v>10</v>
      </c>
      <c r="W79" s="25" cm="1">
        <f t="array" ref="W79">_xlfn.LET(_xlpm.x, K79:K81, IF(SUM((_xlpm.x="K")*1, (_xlpm.x="A")*1, (_xlpm.x="GK")*1, (_xlpm.x="GA")*1)&gt;0, 3, 1))</f>
        <v>3</v>
      </c>
      <c r="X79" s="25" cm="1">
        <f t="array" ref="X79">_xlfn.LET(_xlpm.x, L79:L81, IF(SUM((_xlpm.x="K")*1, (_xlpm.x="A")*1, (_xlpm.x="GK")*1, (_xlpm.x="GA")*1)&gt;0, 3, 1))</f>
        <v>1</v>
      </c>
      <c r="Y79" s="25" cm="1">
        <f t="array" ref="Y79">_xlfn.LET(_xlpm.x, M79:M81, IF(SUM((_xlpm.x="K")*1, (_xlpm.x="A")*1, (_xlpm.x="GK")*1, (_xlpm.x="GA")*1)&gt;0, 3, 1))</f>
        <v>3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37</v>
      </c>
      <c r="L80" s="16" t="s">
        <v>89</v>
      </c>
      <c r="M80" s="16" t="s">
        <v>90</v>
      </c>
      <c r="N80" s="16" t="s">
        <v>34</v>
      </c>
      <c r="O80" s="16" t="s">
        <v>34</v>
      </c>
      <c r="Q80" s="9">
        <v>7</v>
      </c>
      <c r="R80" s="9">
        <v>14</v>
      </c>
      <c r="S80" s="9">
        <v>16</v>
      </c>
      <c r="T80" s="9">
        <v>9</v>
      </c>
      <c r="U80" s="9">
        <v>9</v>
      </c>
      <c r="W80" s="25" cm="1">
        <f t="array" ref="W80">_xlfn.LET(_xlpm.x, K80:K82, IF(SUM((_xlpm.x="K")*1, (_xlpm.x="A")*1, (_xlpm.x="GK")*1, (_xlpm.x="GA")*1)&gt;0, 3, 1))</f>
        <v>3</v>
      </c>
      <c r="X80" s="25" cm="1">
        <f t="array" ref="X80">_xlfn.LET(_xlpm.x, L80:L82, IF(SUM((_xlpm.x="K")*1, (_xlpm.x="A")*1, (_xlpm.x="GK")*1, (_xlpm.x="GA")*1)&gt;0, 3, 1))</f>
        <v>1</v>
      </c>
      <c r="Y80" s="25" cm="1">
        <f t="array" ref="Y80">_xlfn.LET(_xlpm.x, M80:M82, IF(SUM((_xlpm.x="K")*1, (_xlpm.x="A")*1, (_xlpm.x="GK")*1, (_xlpm.x="GA")*1)&gt;0, 3, 1))</f>
        <v>3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35</v>
      </c>
      <c r="L81" s="16" t="s">
        <v>285</v>
      </c>
      <c r="M81" s="16" t="s">
        <v>89</v>
      </c>
      <c r="N81" s="16" t="s">
        <v>22</v>
      </c>
      <c r="O81" s="16" t="s">
        <v>34</v>
      </c>
      <c r="Q81" s="9">
        <v>8</v>
      </c>
      <c r="R81" s="9">
        <v>6</v>
      </c>
      <c r="S81" s="9">
        <v>14</v>
      </c>
      <c r="T81" s="9">
        <v>3</v>
      </c>
      <c r="U81" s="9">
        <v>9</v>
      </c>
      <c r="W81" s="25" cm="1">
        <f t="array" ref="W81">_xlfn.LET(_xlpm.x, K81:K83, IF(SUM((_xlpm.x="K")*1, (_xlpm.x="A")*1, (_xlpm.x="GK")*1, (_xlpm.x="GA")*1)&gt;0, 3, 1))</f>
        <v>3</v>
      </c>
      <c r="X81" s="25" cm="1">
        <f t="array" ref="X81">_xlfn.LET(_xlpm.x, L81:L83, IF(SUM((_xlpm.x="K")*1, (_xlpm.x="A")*1, (_xlpm.x="GK")*1, (_xlpm.x="GA")*1)&gt;0, 3, 1))</f>
        <v>1</v>
      </c>
      <c r="Y81" s="25" cm="1">
        <f t="array" ref="Y81">_xlfn.LET(_xlpm.x, M81:M83, IF(SUM((_xlpm.x="K")*1, (_xlpm.x="A")*1, (_xlpm.x="GK")*1, (_xlpm.x="GA")*1)&gt;0, 3, 1))</f>
        <v>3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37</v>
      </c>
      <c r="L82" s="16" t="s">
        <v>285</v>
      </c>
      <c r="M82" s="16" t="s">
        <v>102</v>
      </c>
      <c r="N82" s="16" t="s">
        <v>19</v>
      </c>
      <c r="O82" s="16" t="s">
        <v>22</v>
      </c>
      <c r="Q82" s="9">
        <v>7</v>
      </c>
      <c r="R82" s="9">
        <v>6</v>
      </c>
      <c r="S82" s="9">
        <v>17</v>
      </c>
      <c r="T82" s="9">
        <v>5</v>
      </c>
      <c r="U82" s="9">
        <v>3</v>
      </c>
      <c r="W82" s="25" cm="1">
        <f t="array" ref="W82">_xlfn.LET(_xlpm.x, K82:K84, IF(SUM((_xlpm.x="K")*1, (_xlpm.x="A")*1, (_xlpm.x="GK")*1, (_xlpm.x="GA")*1)&gt;0, 3, 1))</f>
        <v>3</v>
      </c>
      <c r="X82" s="25" cm="1">
        <f t="array" ref="X82">_xlfn.LET(_xlpm.x, L82:L84, IF(SUM((_xlpm.x="K")*1, (_xlpm.x="A")*1, (_xlpm.x="GK")*1, (_xlpm.x="GA")*1)&gt;0, 3, 1))</f>
        <v>1</v>
      </c>
      <c r="Y82" s="25" cm="1">
        <f t="array" ref="Y82">_xlfn.LET(_xlpm.x, M82:M84, IF(SUM((_xlpm.x="K")*1, (_xlpm.x="A")*1, (_xlpm.x="GK")*1, (_xlpm.x="GA")*1)&gt;0, 3, 1))</f>
        <v>3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36</v>
      </c>
      <c r="L83" s="16" t="s">
        <v>89</v>
      </c>
      <c r="M83" s="16" t="s">
        <v>90</v>
      </c>
      <c r="N83" s="16" t="s">
        <v>34</v>
      </c>
      <c r="O83" s="16" t="s">
        <v>34</v>
      </c>
      <c r="Q83" s="9">
        <v>10</v>
      </c>
      <c r="R83" s="9">
        <v>14</v>
      </c>
      <c r="S83" s="9">
        <v>16</v>
      </c>
      <c r="T83" s="9">
        <v>9</v>
      </c>
      <c r="U83" s="9">
        <v>9</v>
      </c>
      <c r="W83" s="25" cm="1">
        <f t="array" ref="W83">_xlfn.LET(_xlpm.x, K83:K85, IF(SUM((_xlpm.x="K")*1, (_xlpm.x="A")*1, (_xlpm.x="GK")*1, (_xlpm.x="GA")*1)&gt;0, 3, 1))</f>
        <v>3</v>
      </c>
      <c r="X83" s="25" cm="1">
        <f t="array" ref="X83">_xlfn.LET(_xlpm.x, L83:L85, IF(SUM((_xlpm.x="K")*1, (_xlpm.x="A")*1, (_xlpm.x="GK")*1, (_xlpm.x="GA")*1)&gt;0, 3, 1))</f>
        <v>1</v>
      </c>
      <c r="Y83" s="25" cm="1">
        <f t="array" ref="Y83">_xlfn.LET(_xlpm.x, M83:M85, IF(SUM((_xlpm.x="K")*1, (_xlpm.x="A")*1, (_xlpm.x="GK")*1, (_xlpm.x="GA")*1)&gt;0, 3, 1))</f>
        <v>3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104</v>
      </c>
      <c r="M84" s="16" t="s">
        <v>105</v>
      </c>
      <c r="N84" s="16" t="s">
        <v>34</v>
      </c>
      <c r="O84" s="16" t="s">
        <v>18</v>
      </c>
      <c r="Q84" s="9">
        <v>8</v>
      </c>
      <c r="R84" s="9">
        <v>6</v>
      </c>
      <c r="S84" s="9">
        <v>15</v>
      </c>
      <c r="T84" s="9">
        <v>9</v>
      </c>
      <c r="U84" s="9">
        <v>4</v>
      </c>
      <c r="W84" s="25" cm="1">
        <f t="array" ref="W84">_xlfn.LET(_xlpm.x, K84:K86, IF(SUM((_xlpm.x="K")*1, (_xlpm.x="A")*1, (_xlpm.x="GK")*1, (_xlpm.x="GA")*1)&gt;0, 3, 1))</f>
        <v>3</v>
      </c>
      <c r="X84" s="25" cm="1">
        <f t="array" ref="X84">_xlfn.LET(_xlpm.x, L84:L86, IF(SUM((_xlpm.x="K")*1, (_xlpm.x="A")*1, (_xlpm.x="GK")*1, (_xlpm.x="GA")*1)&gt;0, 3, 1))</f>
        <v>1</v>
      </c>
      <c r="Y84" s="25" cm="1">
        <f t="array" ref="Y84">_xlfn.LET(_xlpm.x, M84:M86, IF(SUM((_xlpm.x="K")*1, (_xlpm.x="A")*1, (_xlpm.x="GK")*1, (_xlpm.x="GA")*1)&gt;0, 3, 1))</f>
        <v>3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104</v>
      </c>
      <c r="L85" s="16" t="s">
        <v>21</v>
      </c>
      <c r="M85" s="16" t="s">
        <v>90</v>
      </c>
      <c r="N85" s="16" t="s">
        <v>34</v>
      </c>
      <c r="O85" s="16" t="s">
        <v>36</v>
      </c>
      <c r="Q85" s="9">
        <v>6</v>
      </c>
      <c r="R85" s="9">
        <v>2</v>
      </c>
      <c r="S85" s="9">
        <v>16</v>
      </c>
      <c r="T85" s="9">
        <v>9</v>
      </c>
      <c r="U85" s="9">
        <v>10</v>
      </c>
      <c r="W85" s="25" cm="1">
        <f t="array" ref="W85">_xlfn.LET(_xlpm.x, K85:K87, IF(SUM((_xlpm.x="K")*1, (_xlpm.x="A")*1, (_xlpm.x="GK")*1, (_xlpm.x="GA")*1)&gt;0, 3, 1))</f>
        <v>1</v>
      </c>
      <c r="X85" s="25" cm="1">
        <f t="array" ref="X85">_xlfn.LET(_xlpm.x, L85:L87, IF(SUM((_xlpm.x="K")*1, (_xlpm.x="A")*1, (_xlpm.x="GK")*1, (_xlpm.x="GA")*1)&gt;0, 3, 1))</f>
        <v>3</v>
      </c>
      <c r="Y85" s="25" cm="1">
        <f t="array" ref="Y85">_xlfn.LET(_xlpm.x, M85:M87, IF(SUM((_xlpm.x="K")*1, (_xlpm.x="A")*1, (_xlpm.x="GK")*1, (_xlpm.x="GA")*1)&gt;0, 3, 1))</f>
        <v>3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104</v>
      </c>
      <c r="L86" s="16" t="s">
        <v>105</v>
      </c>
      <c r="M86" s="16" t="s">
        <v>93</v>
      </c>
      <c r="N86" s="16" t="s">
        <v>21</v>
      </c>
      <c r="O86" s="16" t="s">
        <v>104</v>
      </c>
      <c r="Q86" s="9">
        <v>6</v>
      </c>
      <c r="R86" s="9">
        <v>15</v>
      </c>
      <c r="S86" s="9">
        <v>18</v>
      </c>
      <c r="T86" s="9">
        <v>2</v>
      </c>
      <c r="U86" s="9">
        <v>6</v>
      </c>
      <c r="W86" s="25" cm="1">
        <f t="array" ref="W86">_xlfn.LET(_xlpm.x, K86:K88, IF(SUM((_xlpm.x="K")*1, (_xlpm.x="A")*1, (_xlpm.x="GK")*1, (_xlpm.x="GA")*1)&gt;0, 3, 1))</f>
        <v>3</v>
      </c>
      <c r="X86" s="25" cm="1">
        <f t="array" ref="X86">_xlfn.LET(_xlpm.x, L86:L88, IF(SUM((_xlpm.x="K")*1, (_xlpm.x="A")*1, (_xlpm.x="GK")*1, (_xlpm.x="GA")*1)&gt;0, 3, 1))</f>
        <v>3</v>
      </c>
      <c r="Y86" s="25" cm="1">
        <f t="array" ref="Y86">_xlfn.LET(_xlpm.x, M86:M88, IF(SUM((_xlpm.x="K")*1, (_xlpm.x="A")*1, (_xlpm.x="GK")*1, (_xlpm.x="GA")*1)&gt;0, 3, 1))</f>
        <v>3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104</v>
      </c>
      <c r="L87" s="16" t="s">
        <v>31</v>
      </c>
      <c r="M87" s="16" t="s">
        <v>89</v>
      </c>
      <c r="N87" s="16" t="s">
        <v>19</v>
      </c>
      <c r="O87" s="16" t="s">
        <v>22</v>
      </c>
      <c r="Q87" s="9">
        <v>6</v>
      </c>
      <c r="R87" s="9">
        <v>8</v>
      </c>
      <c r="S87" s="9">
        <v>14</v>
      </c>
      <c r="T87" s="9">
        <v>5</v>
      </c>
      <c r="U87" s="9">
        <v>3</v>
      </c>
      <c r="W87" s="25" cm="1">
        <f t="array" ref="W87">_xlfn.LET(_xlpm.x, K87:K89, IF(SUM((_xlpm.x="K")*1, (_xlpm.x="A")*1, (_xlpm.x="GK")*1, (_xlpm.x="GA")*1)&gt;0, 3, 1))</f>
        <v>3</v>
      </c>
      <c r="X87" s="25" cm="1">
        <f t="array" ref="X87">_xlfn.LET(_xlpm.x, L87:L89, IF(SUM((_xlpm.x="K")*1, (_xlpm.x="A")*1, (_xlpm.x="GK")*1, (_xlpm.x="GA")*1)&gt;0, 3, 1))</f>
        <v>3</v>
      </c>
      <c r="Y87" s="25" cm="1">
        <f t="array" ref="Y87">_xlfn.LET(_xlpm.x, M87:M89, IF(SUM((_xlpm.x="K")*1, (_xlpm.x="A")*1, (_xlpm.x="GK")*1, (_xlpm.x="GA")*1)&gt;0, 3, 1))</f>
        <v>3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37</v>
      </c>
      <c r="L88" s="16" t="s">
        <v>89</v>
      </c>
      <c r="M88" s="16" t="s">
        <v>102</v>
      </c>
      <c r="N88" s="16" t="s">
        <v>86</v>
      </c>
      <c r="O88" s="16" t="s">
        <v>34</v>
      </c>
      <c r="Q88" s="9">
        <v>7</v>
      </c>
      <c r="R88" s="9">
        <v>14</v>
      </c>
      <c r="S88" s="9">
        <v>17</v>
      </c>
      <c r="T88" s="9">
        <v>11</v>
      </c>
      <c r="U88" s="9">
        <v>9</v>
      </c>
      <c r="W88" s="25" cm="1">
        <f t="array" ref="W88">_xlfn.LET(_xlpm.x, K88:K90, IF(SUM((_xlpm.x="K")*1, (_xlpm.x="A")*1, (_xlpm.x="GK")*1, (_xlpm.x="GA")*1)&gt;0, 3, 1))</f>
        <v>3</v>
      </c>
      <c r="X88" s="25" cm="1">
        <f t="array" ref="X88">_xlfn.LET(_xlpm.x, L88:L90, IF(SUM((_xlpm.x="K")*1, (_xlpm.x="A")*1, (_xlpm.x="GK")*1, (_xlpm.x="GA")*1)&gt;0, 3, 1))</f>
        <v>1</v>
      </c>
      <c r="Y88" s="25" cm="1">
        <f t="array" ref="Y88">_xlfn.LET(_xlpm.x, M88:M90, IF(SUM((_xlpm.x="K")*1, (_xlpm.x="A")*1, (_xlpm.x="GK")*1, (_xlpm.x="GA")*1)&gt;0, 3, 1))</f>
        <v>3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37</v>
      </c>
      <c r="L89" s="16" t="s">
        <v>19</v>
      </c>
      <c r="M89" s="16" t="s">
        <v>105</v>
      </c>
      <c r="N89" s="16" t="s">
        <v>22</v>
      </c>
      <c r="O89" s="16" t="s">
        <v>104</v>
      </c>
      <c r="Q89" s="9">
        <v>7</v>
      </c>
      <c r="R89" s="9">
        <v>5</v>
      </c>
      <c r="S89" s="9">
        <v>15</v>
      </c>
      <c r="T89" s="9">
        <v>3</v>
      </c>
      <c r="U89" s="9">
        <v>6</v>
      </c>
      <c r="W89" s="25" cm="1">
        <f t="array" ref="W89">_xlfn.LET(_xlpm.x, K89:K91, IF(SUM((_xlpm.x="K")*1, (_xlpm.x="A")*1, (_xlpm.x="GK")*1, (_xlpm.x="GA")*1)&gt;0, 3, 1))</f>
        <v>3</v>
      </c>
      <c r="X89" s="25" cm="1">
        <f t="array" ref="X89">_xlfn.LET(_xlpm.x, L89:L91, IF(SUM((_xlpm.x="K")*1, (_xlpm.x="A")*1, (_xlpm.x="GK")*1, (_xlpm.x="GA")*1)&gt;0, 3, 1))</f>
        <v>1</v>
      </c>
      <c r="Y89" s="25" cm="1">
        <f t="array" ref="Y89">_xlfn.LET(_xlpm.x, M89:M91, IF(SUM((_xlpm.x="K")*1, (_xlpm.x="A")*1, (_xlpm.x="GK")*1, (_xlpm.x="GA")*1)&gt;0, 3, 1))</f>
        <v>3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37</v>
      </c>
      <c r="L90" s="16" t="s">
        <v>19</v>
      </c>
      <c r="M90" s="16" t="s">
        <v>90</v>
      </c>
      <c r="N90" s="16" t="s">
        <v>19</v>
      </c>
      <c r="O90" s="16" t="s">
        <v>37</v>
      </c>
      <c r="Q90" s="9">
        <v>7</v>
      </c>
      <c r="R90" s="9">
        <v>5</v>
      </c>
      <c r="S90" s="9">
        <v>16</v>
      </c>
      <c r="T90" s="9">
        <v>5</v>
      </c>
      <c r="U90" s="9">
        <v>7</v>
      </c>
      <c r="W90" s="25" cm="1">
        <f t="array" ref="W90">_xlfn.LET(_xlpm.x, K90:K92, IF(SUM((_xlpm.x="K")*1, (_xlpm.x="A")*1, (_xlpm.x="GK")*1, (_xlpm.x="GA")*1)&gt;0, 3, 1))</f>
        <v>3</v>
      </c>
      <c r="X90" s="25" cm="1">
        <f t="array" ref="X90">_xlfn.LET(_xlpm.x, L90:L92, IF(SUM((_xlpm.x="K")*1, (_xlpm.x="A")*1, (_xlpm.x="GK")*1, (_xlpm.x="GA")*1)&gt;0, 3, 1))</f>
        <v>1</v>
      </c>
      <c r="Y90" s="25" cm="1">
        <f t="array" ref="Y90">_xlfn.LET(_xlpm.x, M90:M92, IF(SUM((_xlpm.x="K")*1, (_xlpm.x="A")*1, (_xlpm.x="GK")*1, (_xlpm.x="GA")*1)&gt;0, 3, 1))</f>
        <v>3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35</v>
      </c>
      <c r="L91" s="16" t="s">
        <v>36</v>
      </c>
      <c r="M91" s="16" t="s">
        <v>89</v>
      </c>
      <c r="N91" s="16" t="s">
        <v>19</v>
      </c>
      <c r="O91" s="16" t="s">
        <v>34</v>
      </c>
      <c r="Q91" s="9">
        <v>8</v>
      </c>
      <c r="R91" s="9">
        <v>10</v>
      </c>
      <c r="S91" s="9">
        <v>14</v>
      </c>
      <c r="T91" s="9">
        <v>5</v>
      </c>
      <c r="U91" s="9">
        <v>9</v>
      </c>
      <c r="W91" s="25" cm="1">
        <f t="array" ref="W91">_xlfn.LET(_xlpm.x, K91:K93, IF(SUM((_xlpm.x="K")*1, (_xlpm.x="A")*1, (_xlpm.x="GK")*1, (_xlpm.x="GA")*1)&gt;0, 3, 1))</f>
        <v>3</v>
      </c>
      <c r="X91" s="25" cm="1">
        <f t="array" ref="X91">_xlfn.LET(_xlpm.x, L91:L93, IF(SUM((_xlpm.x="K")*1, (_xlpm.x="A")*1, (_xlpm.x="GK")*1, (_xlpm.x="GA")*1)&gt;0, 3, 1))</f>
        <v>1</v>
      </c>
      <c r="Y91" s="25" cm="1">
        <f t="array" ref="Y91">_xlfn.LET(_xlpm.x, M91:M93, IF(SUM((_xlpm.x="K")*1, (_xlpm.x="A")*1, (_xlpm.x="GK")*1, (_xlpm.x="GA")*1)&gt;0, 3, 1))</f>
        <v>3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37</v>
      </c>
      <c r="L92" s="16" t="s">
        <v>105</v>
      </c>
      <c r="M92" s="16" t="s">
        <v>90</v>
      </c>
      <c r="N92" s="16" t="s">
        <v>20</v>
      </c>
      <c r="O92" s="16" t="s">
        <v>19</v>
      </c>
      <c r="Q92" s="9">
        <v>7</v>
      </c>
      <c r="R92" s="9">
        <v>15</v>
      </c>
      <c r="S92" s="9">
        <v>16</v>
      </c>
      <c r="T92" s="9">
        <v>1</v>
      </c>
      <c r="U92" s="9">
        <v>5</v>
      </c>
      <c r="W92" s="25" cm="1">
        <f t="array" ref="W92">_xlfn.LET(_xlpm.x, K92:K94, IF(SUM((_xlpm.x="K")*1, (_xlpm.x="A")*1, (_xlpm.x="GK")*1, (_xlpm.x="GA")*1)&gt;0, 3, 1))</f>
        <v>3</v>
      </c>
      <c r="X92" s="25" cm="1">
        <f t="array" ref="X92">_xlfn.LET(_xlpm.x, L92:L94, IF(SUM((_xlpm.x="K")*1, (_xlpm.x="A")*1, (_xlpm.x="GK")*1, (_xlpm.x="GA")*1)&gt;0, 3, 1))</f>
        <v>3</v>
      </c>
      <c r="Y92" s="25" cm="1">
        <f t="array" ref="Y92">_xlfn.LET(_xlpm.x, M92:M94, IF(SUM((_xlpm.x="K")*1, (_xlpm.x="A")*1, (_xlpm.x="GK")*1, (_xlpm.x="GA")*1)&gt;0, 3, 1))</f>
        <v>3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18</v>
      </c>
      <c r="L93" s="16" t="s">
        <v>105</v>
      </c>
      <c r="M93" s="16" t="s">
        <v>102</v>
      </c>
      <c r="N93" s="16" t="s">
        <v>21</v>
      </c>
      <c r="O93" s="16" t="s">
        <v>34</v>
      </c>
      <c r="Q93" s="9">
        <v>4</v>
      </c>
      <c r="R93" s="9">
        <v>15</v>
      </c>
      <c r="S93" s="9">
        <v>17</v>
      </c>
      <c r="T93" s="9">
        <v>2</v>
      </c>
      <c r="U93" s="9">
        <v>9</v>
      </c>
      <c r="W93" s="25" cm="1">
        <f t="array" ref="W93">_xlfn.LET(_xlpm.x, K93:K95, IF(SUM((_xlpm.x="K")*1, (_xlpm.x="A")*1, (_xlpm.x="GK")*1, (_xlpm.x="GA")*1)&gt;0, 3, 1))</f>
        <v>1</v>
      </c>
      <c r="X93" s="25" cm="1">
        <f t="array" ref="X93">_xlfn.LET(_xlpm.x, L93:L95, IF(SUM((_xlpm.x="K")*1, (_xlpm.x="A")*1, (_xlpm.x="GK")*1, (_xlpm.x="GA")*1)&gt;0, 3, 1))</f>
        <v>3</v>
      </c>
      <c r="Y93" s="25" cm="1">
        <f t="array" ref="Y93">_xlfn.LET(_xlpm.x, M93:M95, IF(SUM((_xlpm.x="K")*1, (_xlpm.x="A")*1, (_xlpm.x="GK")*1, (_xlpm.x="GA")*1)&gt;0, 3, 1))</f>
        <v>3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22</v>
      </c>
      <c r="L94" s="16" t="s">
        <v>35</v>
      </c>
      <c r="M94" s="16" t="s">
        <v>89</v>
      </c>
      <c r="N94" s="16" t="s">
        <v>22</v>
      </c>
      <c r="O94" s="16" t="s">
        <v>35</v>
      </c>
      <c r="Q94" s="9">
        <v>3</v>
      </c>
      <c r="R94" s="9">
        <v>8</v>
      </c>
      <c r="S94" s="9">
        <v>14</v>
      </c>
      <c r="T94" s="9">
        <v>3</v>
      </c>
      <c r="U94" s="9">
        <v>8</v>
      </c>
      <c r="W94" s="25" cm="1">
        <f t="array" ref="W94">_xlfn.LET(_xlpm.x, K94:K96, IF(SUM((_xlpm.x="K")*1, (_xlpm.x="A")*1, (_xlpm.x="GK")*1, (_xlpm.x="GA")*1)&gt;0, 3, 1))</f>
        <v>3</v>
      </c>
      <c r="X94" s="25" cm="1">
        <f t="array" ref="X94">_xlfn.LET(_xlpm.x, L94:L96, IF(SUM((_xlpm.x="K")*1, (_xlpm.x="A")*1, (_xlpm.x="GK")*1, (_xlpm.x="GA")*1)&gt;0, 3, 1))</f>
        <v>3</v>
      </c>
      <c r="Y94" s="25" cm="1">
        <f t="array" ref="Y94">_xlfn.LET(_xlpm.x, M94:M96, IF(SUM((_xlpm.x="K")*1, (_xlpm.x="A")*1, (_xlpm.x="GK")*1, (_xlpm.x="GA")*1)&gt;0, 3, 1))</f>
        <v>3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19</v>
      </c>
      <c r="L95" s="16" t="s">
        <v>35</v>
      </c>
      <c r="M95" s="16" t="s">
        <v>102</v>
      </c>
      <c r="N95" s="16" t="s">
        <v>21</v>
      </c>
      <c r="O95" s="16" t="s">
        <v>22</v>
      </c>
      <c r="Q95" s="9">
        <v>5</v>
      </c>
      <c r="R95" s="9">
        <v>8</v>
      </c>
      <c r="S95" s="9">
        <v>17</v>
      </c>
      <c r="T95" s="9">
        <v>2</v>
      </c>
      <c r="U95" s="9">
        <v>3</v>
      </c>
      <c r="W95" s="25" cm="1">
        <f t="array" ref="W95">_xlfn.LET(_xlpm.x, K95:K97, IF(SUM((_xlpm.x="K")*1, (_xlpm.x="A")*1, (_xlpm.x="GK")*1, (_xlpm.x="GA")*1)&gt;0, 3, 1))</f>
        <v>3</v>
      </c>
      <c r="X95" s="25" cm="1">
        <f t="array" ref="X95">_xlfn.LET(_xlpm.x, L95:L97, IF(SUM((_xlpm.x="K")*1, (_xlpm.x="A")*1, (_xlpm.x="GK")*1, (_xlpm.x="GA")*1)&gt;0, 3, 1))</f>
        <v>3</v>
      </c>
      <c r="Y95" s="25" cm="1">
        <f t="array" ref="Y95">_xlfn.LET(_xlpm.x, M95:M97, IF(SUM((_xlpm.x="K")*1, (_xlpm.x="A")*1, (_xlpm.x="GK")*1, (_xlpm.x="GA")*1)&gt;0, 3, 1))</f>
        <v>3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37</v>
      </c>
      <c r="L96" s="16" t="s">
        <v>90</v>
      </c>
      <c r="M96" s="16" t="s">
        <v>89</v>
      </c>
      <c r="N96" s="16" t="s">
        <v>21</v>
      </c>
      <c r="O96" s="16" t="s">
        <v>21</v>
      </c>
      <c r="Q96" s="9">
        <v>7</v>
      </c>
      <c r="R96" s="9">
        <v>16</v>
      </c>
      <c r="S96" s="9">
        <v>14</v>
      </c>
      <c r="T96" s="9">
        <v>2</v>
      </c>
      <c r="U96" s="9">
        <v>2</v>
      </c>
      <c r="W96" s="25" cm="1">
        <f t="array" ref="W96">_xlfn.LET(_xlpm.x, K96:K98, IF(SUM((_xlpm.x="K")*1, (_xlpm.x="A")*1, (_xlpm.x="GK")*1, (_xlpm.x="GA")*1)&gt;0, 3, 1))</f>
        <v>3</v>
      </c>
      <c r="X96" s="25" cm="1">
        <f t="array" ref="X96">_xlfn.LET(_xlpm.x, L96:L98, IF(SUM((_xlpm.x="K")*1, (_xlpm.x="A")*1, (_xlpm.x="GK")*1, (_xlpm.x="GA")*1)&gt;0, 3, 1))</f>
        <v>3</v>
      </c>
      <c r="Y96" s="25" cm="1">
        <f t="array" ref="Y96">_xlfn.LET(_xlpm.x, M96:M98, IF(SUM((_xlpm.x="K")*1, (_xlpm.x="A")*1, (_xlpm.x="GK")*1, (_xlpm.x="GA")*1)&gt;0, 3, 1))</f>
        <v>3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19</v>
      </c>
      <c r="L97" s="16" t="s">
        <v>35</v>
      </c>
      <c r="M97" s="16" t="s">
        <v>90</v>
      </c>
      <c r="N97" s="16" t="s">
        <v>21</v>
      </c>
      <c r="O97" s="16" t="s">
        <v>36</v>
      </c>
      <c r="Q97" s="9">
        <v>5</v>
      </c>
      <c r="R97" s="9">
        <v>8</v>
      </c>
      <c r="S97" s="9">
        <v>16</v>
      </c>
      <c r="T97" s="9">
        <v>2</v>
      </c>
      <c r="U97" s="9">
        <v>10</v>
      </c>
      <c r="W97" s="25" cm="1">
        <f t="array" ref="W97">_xlfn.LET(_xlpm.x, K97:K99, IF(SUM((_xlpm.x="K")*1, (_xlpm.x="A")*1, (_xlpm.x="GK")*1, (_xlpm.x="GA")*1)&gt;0, 3, 1))</f>
        <v>3</v>
      </c>
      <c r="X97" s="25" cm="1">
        <f t="array" ref="X97">_xlfn.LET(_xlpm.x, L97:L99, IF(SUM((_xlpm.x="K")*1, (_xlpm.x="A")*1, (_xlpm.x="GK")*1, (_xlpm.x="GA")*1)&gt;0, 3, 1))</f>
        <v>3</v>
      </c>
      <c r="Y97" s="25" cm="1">
        <f t="array" ref="Y97">_xlfn.LET(_xlpm.x, M97:M99, IF(SUM((_xlpm.x="K")*1, (_xlpm.x="A")*1, (_xlpm.x="GK")*1, (_xlpm.x="GA")*1)&gt;0, 3, 1))</f>
        <v>3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37</v>
      </c>
      <c r="L98" s="16" t="s">
        <v>37</v>
      </c>
      <c r="M98" s="16" t="s">
        <v>105</v>
      </c>
      <c r="N98" s="16" t="s">
        <v>86</v>
      </c>
      <c r="O98" s="16" t="s">
        <v>22</v>
      </c>
      <c r="Q98" s="9">
        <v>7</v>
      </c>
      <c r="R98" s="9">
        <v>7</v>
      </c>
      <c r="S98" s="9">
        <v>15</v>
      </c>
      <c r="T98" s="9">
        <v>11</v>
      </c>
      <c r="U98" s="9">
        <v>3</v>
      </c>
      <c r="W98" s="25" cm="1">
        <f t="array" ref="W98">_xlfn.LET(_xlpm.x, K98:K100, IF(SUM((_xlpm.x="K")*1, (_xlpm.x="A")*1, (_xlpm.x="GK")*1, (_xlpm.x="GA")*1)&gt;0, 3, 1))</f>
        <v>3</v>
      </c>
      <c r="X98" s="25" cm="1">
        <f t="array" ref="X98">_xlfn.LET(_xlpm.x, L98:L100, IF(SUM((_xlpm.x="K")*1, (_xlpm.x="A")*1, (_xlpm.x="GK")*1, (_xlpm.x="GA")*1)&gt;0, 3, 1))</f>
        <v>3</v>
      </c>
      <c r="Y98" s="25" cm="1">
        <f t="array" ref="Y98">_xlfn.LET(_xlpm.x, M98:M100, IF(SUM((_xlpm.x="K")*1, (_xlpm.x="A")*1, (_xlpm.x="GK")*1, (_xlpm.x="GA")*1)&gt;0, 3, 1))</f>
        <v>3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102</v>
      </c>
      <c r="M99" s="16" t="s">
        <v>102</v>
      </c>
      <c r="N99" s="16" t="s">
        <v>18</v>
      </c>
      <c r="O99" s="16" t="s">
        <v>35</v>
      </c>
      <c r="Q99" s="9">
        <v>5</v>
      </c>
      <c r="R99" s="9">
        <v>17</v>
      </c>
      <c r="S99" s="9">
        <v>17</v>
      </c>
      <c r="T99" s="9">
        <v>4</v>
      </c>
      <c r="U99" s="9">
        <v>8</v>
      </c>
      <c r="W99" s="25" cm="1">
        <f t="array" ref="W99">_xlfn.LET(_xlpm.x, K99:K101, IF(SUM((_xlpm.x="K")*1, (_xlpm.x="A")*1, (_xlpm.x="GK")*1, (_xlpm.x="GA")*1)&gt;0, 3, 1))</f>
        <v>1</v>
      </c>
      <c r="X99" s="25" cm="1">
        <f t="array" ref="X99">_xlfn.LET(_xlpm.x, L99:L101, IF(SUM((_xlpm.x="K")*1, (_xlpm.x="A")*1, (_xlpm.x="GK")*1, (_xlpm.x="GA")*1)&gt;0, 3, 1))</f>
        <v>3</v>
      </c>
      <c r="Y99" s="25" cm="1">
        <f t="array" ref="Y99">_xlfn.LET(_xlpm.x, M99:M101, IF(SUM((_xlpm.x="K")*1, (_xlpm.x="A")*1, (_xlpm.x="GK")*1, (_xlpm.x="GA")*1)&gt;0, 3, 1))</f>
        <v>3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104</v>
      </c>
      <c r="L100" s="16" t="s">
        <v>31</v>
      </c>
      <c r="M100" s="16" t="s">
        <v>105</v>
      </c>
      <c r="N100" s="16" t="s">
        <v>35</v>
      </c>
      <c r="O100" s="16" t="s">
        <v>19</v>
      </c>
      <c r="Q100" s="9">
        <v>6</v>
      </c>
      <c r="R100" s="9">
        <v>8</v>
      </c>
      <c r="S100" s="9">
        <v>15</v>
      </c>
      <c r="T100" s="9">
        <v>8</v>
      </c>
      <c r="U100" s="9">
        <v>5</v>
      </c>
      <c r="W100" s="25" cm="1">
        <f t="array" ref="W100">_xlfn.LET(_xlpm.x, K100:K102, IF(SUM((_xlpm.x="K")*1, (_xlpm.x="A")*1, (_xlpm.x="GK")*1, (_xlpm.x="GA")*1)&gt;0, 3, 1))</f>
        <v>3</v>
      </c>
      <c r="X100" s="25" cm="1">
        <f t="array" ref="X100">_xlfn.LET(_xlpm.x, L100:L102, IF(SUM((_xlpm.x="K")*1, (_xlpm.x="A")*1, (_xlpm.x="GK")*1, (_xlpm.x="GA")*1)&gt;0, 3, 1))</f>
        <v>3</v>
      </c>
      <c r="Y100" s="25" cm="1">
        <f t="array" ref="Y100">_xlfn.LET(_xlpm.x, M100:M102, IF(SUM((_xlpm.x="K")*1, (_xlpm.x="A")*1, (_xlpm.x="GK")*1, (_xlpm.x="GA")*1)&gt;0, 3, 1))</f>
        <v>3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19</v>
      </c>
      <c r="L101" s="16" t="s">
        <v>90</v>
      </c>
      <c r="M101" s="16" t="s">
        <v>90</v>
      </c>
      <c r="N101" s="16" t="s">
        <v>35</v>
      </c>
      <c r="O101" s="16" t="s">
        <v>18</v>
      </c>
      <c r="Q101" s="9">
        <v>5</v>
      </c>
      <c r="R101" s="9">
        <v>16</v>
      </c>
      <c r="S101" s="9">
        <v>16</v>
      </c>
      <c r="T101" s="9">
        <v>8</v>
      </c>
      <c r="U101" s="9">
        <v>4</v>
      </c>
      <c r="W101" s="25" cm="1">
        <f t="array" ref="W101">_xlfn.LET(_xlpm.x, K101:K103, IF(SUM((_xlpm.x="K")*1, (_xlpm.x="A")*1, (_xlpm.x="GK")*1, (_xlpm.x="GA")*1)&gt;0, 3, 1))</f>
        <v>3</v>
      </c>
      <c r="X101" s="25" cm="1">
        <f t="array" ref="X101">_xlfn.LET(_xlpm.x, L101:L103, IF(SUM((_xlpm.x="K")*1, (_xlpm.x="A")*1, (_xlpm.x="GK")*1, (_xlpm.x="GA")*1)&gt;0, 3, 1))</f>
        <v>3</v>
      </c>
      <c r="Y101" s="25" cm="1">
        <f t="array" ref="Y101">_xlfn.LET(_xlpm.x, M101:M103, IF(SUM((_xlpm.x="K")*1, (_xlpm.x="A")*1, (_xlpm.x="GK")*1, (_xlpm.x="GA")*1)&gt;0, 3, 1))</f>
        <v>3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37</v>
      </c>
      <c r="L102" s="16" t="s">
        <v>21</v>
      </c>
      <c r="M102" s="16" t="s">
        <v>102</v>
      </c>
      <c r="N102" s="16" t="s">
        <v>18</v>
      </c>
      <c r="O102" s="16" t="s">
        <v>21</v>
      </c>
      <c r="Q102" s="9">
        <v>7</v>
      </c>
      <c r="R102" s="9">
        <v>2</v>
      </c>
      <c r="S102" s="9">
        <v>17</v>
      </c>
      <c r="T102" s="9">
        <v>4</v>
      </c>
      <c r="U102" s="9">
        <v>2</v>
      </c>
      <c r="W102" s="25" cm="1">
        <f t="array" ref="W102">_xlfn.LET(_xlpm.x, K102:K104, IF(SUM((_xlpm.x="K")*1, (_xlpm.x="A")*1, (_xlpm.x="GK")*1, (_xlpm.x="GA")*1)&gt;0, 3, 1))</f>
        <v>3</v>
      </c>
      <c r="X102" s="25" cm="1">
        <f t="array" ref="X102">_xlfn.LET(_xlpm.x, L102:L104, IF(SUM((_xlpm.x="K")*1, (_xlpm.x="A")*1, (_xlpm.x="GK")*1, (_xlpm.x="GA")*1)&gt;0, 3, 1))</f>
        <v>1</v>
      </c>
      <c r="Y102" s="25" cm="1">
        <f t="array" ref="Y102">_xlfn.LET(_xlpm.x, M102:M104, IF(SUM((_xlpm.x="K")*1, (_xlpm.x="A")*1, (_xlpm.x="GK")*1, (_xlpm.x="GA")*1)&gt;0, 3, 1))</f>
        <v>3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35</v>
      </c>
      <c r="L103" s="16" t="s">
        <v>89</v>
      </c>
      <c r="M103" s="16" t="s">
        <v>86</v>
      </c>
      <c r="N103" s="16" t="s">
        <v>36</v>
      </c>
      <c r="O103" s="16" t="s">
        <v>21</v>
      </c>
      <c r="Q103" s="9">
        <v>8</v>
      </c>
      <c r="R103" s="9">
        <v>14</v>
      </c>
      <c r="S103" s="9">
        <v>11</v>
      </c>
      <c r="T103" s="9">
        <v>10</v>
      </c>
      <c r="U103" s="9">
        <v>2</v>
      </c>
      <c r="W103" s="25" cm="1">
        <f t="array" ref="W103">_xlfn.LET(_xlpm.x, K103:K105, IF(SUM((_xlpm.x="K")*1, (_xlpm.x="A")*1, (_xlpm.x="GK")*1, (_xlpm.x="GA")*1)&gt;0, 3, 1))</f>
        <v>3</v>
      </c>
      <c r="X103" s="25" cm="1">
        <f t="array" ref="X103">_xlfn.LET(_xlpm.x, L103:L105, IF(SUM((_xlpm.x="K")*1, (_xlpm.x="A")*1, (_xlpm.x="GK")*1, (_xlpm.x="GA")*1)&gt;0, 3, 1))</f>
        <v>1</v>
      </c>
      <c r="Y103" s="25" cm="1">
        <f t="array" ref="Y103">_xlfn.LET(_xlpm.x, M103:M105, IF(SUM((_xlpm.x="K")*1, (_xlpm.x="A")*1, (_xlpm.x="GK")*1, (_xlpm.x="GA")*1)&gt;0, 3, 1))</f>
        <v>3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37</v>
      </c>
      <c r="L104" s="16" t="s">
        <v>20</v>
      </c>
      <c r="M104" s="16" t="s">
        <v>89</v>
      </c>
      <c r="N104" s="16" t="s">
        <v>22</v>
      </c>
      <c r="O104" s="16" t="s">
        <v>18</v>
      </c>
      <c r="Q104" s="9">
        <v>7</v>
      </c>
      <c r="R104" s="9">
        <v>1</v>
      </c>
      <c r="S104" s="9">
        <v>14</v>
      </c>
      <c r="T104" s="9">
        <v>3</v>
      </c>
      <c r="U104" s="9">
        <v>4</v>
      </c>
      <c r="W104" s="25" cm="1">
        <f t="array" ref="W104">_xlfn.LET(_xlpm.x, K104:K106, IF(SUM((_xlpm.x="K")*1, (_xlpm.x="A")*1, (_xlpm.x="GK")*1, (_xlpm.x="GA")*1)&gt;0, 3, 1))</f>
        <v>3</v>
      </c>
      <c r="X104" s="25" cm="1">
        <f t="array" ref="X104">_xlfn.LET(_xlpm.x, L104:L106, IF(SUM((_xlpm.x="K")*1, (_xlpm.x="A")*1, (_xlpm.x="GK")*1, (_xlpm.x="GA")*1)&gt;0, 3, 1))</f>
        <v>3</v>
      </c>
      <c r="Y104" s="25" cm="1">
        <f t="array" ref="Y104">_xlfn.LET(_xlpm.x, M104:M106, IF(SUM((_xlpm.x="K")*1, (_xlpm.x="A")*1, (_xlpm.x="GK")*1, (_xlpm.x="GA")*1)&gt;0, 3, 1))</f>
        <v>3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35</v>
      </c>
      <c r="L105" s="16" t="s">
        <v>104</v>
      </c>
      <c r="M105" s="16" t="s">
        <v>102</v>
      </c>
      <c r="N105" s="16" t="s">
        <v>22</v>
      </c>
      <c r="O105" s="16" t="s">
        <v>36</v>
      </c>
      <c r="Q105" s="9">
        <v>8</v>
      </c>
      <c r="R105" s="9">
        <v>6</v>
      </c>
      <c r="S105" s="9">
        <v>17</v>
      </c>
      <c r="T105" s="9">
        <v>3</v>
      </c>
      <c r="U105" s="9">
        <v>10</v>
      </c>
      <c r="W105" s="25" cm="1">
        <f t="array" ref="W105">_xlfn.LET(_xlpm.x, K105:K107, IF(SUM((_xlpm.x="K")*1, (_xlpm.x="A")*1, (_xlpm.x="GK")*1, (_xlpm.x="GA")*1)&gt;0, 3, 1))</f>
        <v>3</v>
      </c>
      <c r="X105" s="25" cm="1">
        <f t="array" ref="X105">_xlfn.LET(_xlpm.x, L105:L107, IF(SUM((_xlpm.x="K")*1, (_xlpm.x="A")*1, (_xlpm.x="GK")*1, (_xlpm.x="GA")*1)&gt;0, 3, 1))</f>
        <v>3</v>
      </c>
      <c r="Y105" s="25" cm="1">
        <f t="array" ref="Y105">_xlfn.LET(_xlpm.x, M105:M107, IF(SUM((_xlpm.x="K")*1, (_xlpm.x="A")*1, (_xlpm.x="GK")*1, (_xlpm.x="GA")*1)&gt;0, 3, 1))</f>
        <v>3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35</v>
      </c>
      <c r="L106" s="16" t="s">
        <v>31</v>
      </c>
      <c r="M106" s="16" t="s">
        <v>89</v>
      </c>
      <c r="N106" s="16" t="s">
        <v>21</v>
      </c>
      <c r="O106" s="16" t="s">
        <v>104</v>
      </c>
      <c r="Q106" s="9">
        <v>8</v>
      </c>
      <c r="R106" s="9">
        <v>8</v>
      </c>
      <c r="S106" s="9">
        <v>14</v>
      </c>
      <c r="T106" s="9">
        <v>2</v>
      </c>
      <c r="U106" s="9">
        <v>6</v>
      </c>
      <c r="W106" s="25" cm="1">
        <f t="array" ref="W106">_xlfn.LET(_xlpm.x, K106:K108, IF(SUM((_xlpm.x="K")*1, (_xlpm.x="A")*1, (_xlpm.x="GK")*1, (_xlpm.x="GA")*1)&gt;0, 3, 1))</f>
        <v>3</v>
      </c>
      <c r="X106" s="25" cm="1">
        <f t="array" ref="X106">_xlfn.LET(_xlpm.x, L106:L108, IF(SUM((_xlpm.x="K")*1, (_xlpm.x="A")*1, (_xlpm.x="GK")*1, (_xlpm.x="GA")*1)&gt;0, 3, 1))</f>
        <v>3</v>
      </c>
      <c r="Y106" s="25" cm="1">
        <f t="array" ref="Y106">_xlfn.LET(_xlpm.x, M106:M108, IF(SUM((_xlpm.x="K")*1, (_xlpm.x="A")*1, (_xlpm.x="GK")*1, (_xlpm.x="GA")*1)&gt;0, 3, 1))</f>
        <v>3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37</v>
      </c>
      <c r="L107" s="16" t="s">
        <v>31</v>
      </c>
      <c r="M107" s="16" t="s">
        <v>105</v>
      </c>
      <c r="N107" s="16" t="s">
        <v>88</v>
      </c>
      <c r="O107" s="16" t="s">
        <v>34</v>
      </c>
      <c r="Q107" s="9">
        <v>7</v>
      </c>
      <c r="R107" s="9">
        <v>8</v>
      </c>
      <c r="S107" s="9">
        <v>15</v>
      </c>
      <c r="T107" s="9">
        <v>13</v>
      </c>
      <c r="U107" s="9">
        <v>9</v>
      </c>
      <c r="W107" s="25" cm="1">
        <f t="array" ref="W107">_xlfn.LET(_xlpm.x, K107:K109, IF(SUM((_xlpm.x="K")*1, (_xlpm.x="A")*1, (_xlpm.x="GK")*1, (_xlpm.x="GA")*1)&gt;0, 3, 1))</f>
        <v>3</v>
      </c>
      <c r="X107" s="25" cm="1">
        <f t="array" ref="X107">_xlfn.LET(_xlpm.x, L107:L109, IF(SUM((_xlpm.x="K")*1, (_xlpm.x="A")*1, (_xlpm.x="GK")*1, (_xlpm.x="GA")*1)&gt;0, 3, 1))</f>
        <v>3</v>
      </c>
      <c r="Y107" s="25" cm="1">
        <f t="array" ref="Y107">_xlfn.LET(_xlpm.x, M107:M109, IF(SUM((_xlpm.x="K")*1, (_xlpm.x="A")*1, (_xlpm.x="GK")*1, (_xlpm.x="GA")*1)&gt;0, 3, 1))</f>
        <v>3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35</v>
      </c>
      <c r="L108" s="16" t="s">
        <v>89</v>
      </c>
      <c r="M108" s="16" t="s">
        <v>90</v>
      </c>
      <c r="N108" s="16" t="s">
        <v>22</v>
      </c>
      <c r="O108" s="16" t="s">
        <v>36</v>
      </c>
      <c r="Q108" s="9">
        <v>8</v>
      </c>
      <c r="R108" s="9">
        <v>14</v>
      </c>
      <c r="S108" s="9">
        <v>16</v>
      </c>
      <c r="T108" s="9">
        <v>3</v>
      </c>
      <c r="U108" s="9">
        <v>10</v>
      </c>
      <c r="W108" s="25" cm="1">
        <f t="array" ref="W108">_xlfn.LET(_xlpm.x, K108:K110, IF(SUM((_xlpm.x="K")*1, (_xlpm.x="A")*1, (_xlpm.x="GK")*1, (_xlpm.x="GA")*1)&gt;0, 3, 1))</f>
        <v>3</v>
      </c>
      <c r="X108" s="25" cm="1">
        <f t="array" ref="X108">_xlfn.LET(_xlpm.x, L108:L110, IF(SUM((_xlpm.x="K")*1, (_xlpm.x="A")*1, (_xlpm.x="GK")*1, (_xlpm.x="GA")*1)&gt;0, 3, 1))</f>
        <v>1</v>
      </c>
      <c r="Y108" s="25" cm="1">
        <f t="array" ref="Y108">_xlfn.LET(_xlpm.x, M108:M110, IF(SUM((_xlpm.x="K")*1, (_xlpm.x="A")*1, (_xlpm.x="GK")*1, (_xlpm.x="GA")*1)&gt;0, 3, 1))</f>
        <v>3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35</v>
      </c>
      <c r="L109" s="16" t="s">
        <v>87</v>
      </c>
      <c r="M109" s="16" t="s">
        <v>105</v>
      </c>
      <c r="N109" s="16" t="s">
        <v>19</v>
      </c>
      <c r="O109" s="16" t="s">
        <v>36</v>
      </c>
      <c r="Q109" s="9">
        <v>8</v>
      </c>
      <c r="R109" s="9">
        <v>12</v>
      </c>
      <c r="S109" s="9">
        <v>15</v>
      </c>
      <c r="T109" s="9">
        <v>5</v>
      </c>
      <c r="U109" s="9">
        <v>10</v>
      </c>
      <c r="W109" s="25" cm="1">
        <f t="array" ref="W109">_xlfn.LET(_xlpm.x, K109:K111, IF(SUM((_xlpm.x="K")*1, (_xlpm.x="A")*1, (_xlpm.x="GK")*1, (_xlpm.x="GA")*1)&gt;0, 3, 1))</f>
        <v>3</v>
      </c>
      <c r="X109" s="25" cm="1">
        <f t="array" ref="X109">_xlfn.LET(_xlpm.x, L109:L111, IF(SUM((_xlpm.x="K")*1, (_xlpm.x="A")*1, (_xlpm.x="GK")*1, (_xlpm.x="GA")*1)&gt;0, 3, 1))</f>
        <v>1</v>
      </c>
      <c r="Y109" s="25" cm="1">
        <f t="array" ref="Y109">_xlfn.LET(_xlpm.x, M109:M111, IF(SUM((_xlpm.x="K")*1, (_xlpm.x="A")*1, (_xlpm.x="GK")*1, (_xlpm.x="GA")*1)&gt;0, 3, 1))</f>
        <v>3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22</v>
      </c>
      <c r="M110" s="16" t="s">
        <v>90</v>
      </c>
      <c r="N110" s="16" t="s">
        <v>86</v>
      </c>
      <c r="O110" s="16" t="s">
        <v>19</v>
      </c>
      <c r="Q110" s="9">
        <v>8</v>
      </c>
      <c r="R110" s="9">
        <v>3</v>
      </c>
      <c r="S110" s="9">
        <v>16</v>
      </c>
      <c r="T110" s="9">
        <v>11</v>
      </c>
      <c r="U110" s="9">
        <v>5</v>
      </c>
      <c r="W110" s="25" cm="1">
        <f t="array" ref="W110">_xlfn.LET(_xlpm.x, K110:K112, IF(SUM((_xlpm.x="K")*1, (_xlpm.x="A")*1, (_xlpm.x="GK")*1, (_xlpm.x="GA")*1)&gt;0, 3, 1))</f>
        <v>3</v>
      </c>
      <c r="X110" s="25" cm="1">
        <f t="array" ref="X110">_xlfn.LET(_xlpm.x, L110:L112, IF(SUM((_xlpm.x="K")*1, (_xlpm.x="A")*1, (_xlpm.x="GK")*1, (_xlpm.x="GA")*1)&gt;0, 3, 1))</f>
        <v>1</v>
      </c>
      <c r="Y110" s="25" cm="1">
        <f t="array" ref="Y110">_xlfn.LET(_xlpm.x, M110:M112, IF(SUM((_xlpm.x="K")*1, (_xlpm.x="A")*1, (_xlpm.x="GK")*1, (_xlpm.x="GA")*1)&gt;0, 3, 1))</f>
        <v>3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37</v>
      </c>
      <c r="L111" s="16" t="s">
        <v>19</v>
      </c>
      <c r="M111" s="16" t="s">
        <v>105</v>
      </c>
      <c r="N111" s="16" t="s">
        <v>18</v>
      </c>
      <c r="O111" s="16" t="s">
        <v>19</v>
      </c>
      <c r="Q111" s="9">
        <v>7</v>
      </c>
      <c r="R111" s="9">
        <v>5</v>
      </c>
      <c r="S111" s="9">
        <v>15</v>
      </c>
      <c r="T111" s="9">
        <v>4</v>
      </c>
      <c r="U111" s="9">
        <v>5</v>
      </c>
      <c r="W111" s="25" cm="1">
        <f t="array" ref="W111">_xlfn.LET(_xlpm.x, K111:K113, IF(SUM((_xlpm.x="K")*1, (_xlpm.x="A")*1, (_xlpm.x="GK")*1, (_xlpm.x="GA")*1)&gt;0, 3, 1))</f>
        <v>3</v>
      </c>
      <c r="X111" s="25" cm="1">
        <f t="array" ref="X111">_xlfn.LET(_xlpm.x, L111:L113, IF(SUM((_xlpm.x="K")*1, (_xlpm.x="A")*1, (_xlpm.x="GK")*1, (_xlpm.x="GA")*1)&gt;0, 3, 1))</f>
        <v>1</v>
      </c>
      <c r="Y111" s="25" cm="1">
        <f t="array" ref="Y111">_xlfn.LET(_xlpm.x, M111:M113, IF(SUM((_xlpm.x="K")*1, (_xlpm.x="A")*1, (_xlpm.x="GK")*1, (_xlpm.x="GA")*1)&gt;0, 3, 1))</f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104</v>
      </c>
      <c r="L112" s="16" t="s">
        <v>87</v>
      </c>
      <c r="M112" s="16" t="s">
        <v>89</v>
      </c>
      <c r="N112" s="16" t="s">
        <v>34</v>
      </c>
      <c r="O112" s="16" t="s">
        <v>35</v>
      </c>
      <c r="Q112" s="9">
        <v>6</v>
      </c>
      <c r="R112" s="9">
        <v>12</v>
      </c>
      <c r="S112" s="9">
        <v>14</v>
      </c>
      <c r="T112" s="9">
        <v>9</v>
      </c>
      <c r="U112" s="9">
        <v>8</v>
      </c>
      <c r="W112" s="25" cm="1">
        <f t="array" ref="W112">_xlfn.LET(_xlpm.x, K112:K114, IF(SUM((_xlpm.x="K")*1, (_xlpm.x="A")*1, (_xlpm.x="GK")*1, (_xlpm.x="GA")*1)&gt;0, 3, 1))</f>
        <v>3</v>
      </c>
      <c r="X112" s="25" cm="1">
        <f t="array" ref="X112">_xlfn.LET(_xlpm.x, L112:L114, IF(SUM((_xlpm.x="K")*1, (_xlpm.x="A")*1, (_xlpm.x="GK")*1, (_xlpm.x="GA")*1)&gt;0, 3, 1))</f>
        <v>3</v>
      </c>
      <c r="Y112" s="25" cm="1">
        <f t="array" ref="Y112">_xlfn.LET(_xlpm.x, M112:M114, IF(SUM((_xlpm.x="K")*1, (_xlpm.x="A")*1, (_xlpm.x="GK")*1, (_xlpm.x="GA")*1)&gt;0, 3, 1))</f>
        <v>3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35</v>
      </c>
      <c r="L113" s="16" t="s">
        <v>89</v>
      </c>
      <c r="M113" s="16" t="s">
        <v>105</v>
      </c>
      <c r="N113" s="16" t="s">
        <v>36</v>
      </c>
      <c r="O113" s="16" t="s">
        <v>36</v>
      </c>
      <c r="Q113" s="9">
        <v>8</v>
      </c>
      <c r="R113" s="9">
        <v>14</v>
      </c>
      <c r="S113" s="9">
        <v>15</v>
      </c>
      <c r="T113" s="9">
        <v>10</v>
      </c>
      <c r="U113" s="9">
        <v>10</v>
      </c>
      <c r="W113" s="25" cm="1">
        <f t="array" ref="W113">_xlfn.LET(_xlpm.x, K113:K115, IF(SUM((_xlpm.x="K")*1, (_xlpm.x="A")*1, (_xlpm.x="GK")*1, (_xlpm.x="GA")*1)&gt;0, 3, 1))</f>
        <v>3</v>
      </c>
      <c r="X113" s="25" cm="1">
        <f t="array" ref="X113">_xlfn.LET(_xlpm.x, L113:L115, IF(SUM((_xlpm.x="K")*1, (_xlpm.x="A")*1, (_xlpm.x="GK")*1, (_xlpm.x="GA")*1)&gt;0, 3, 1))</f>
        <v>3</v>
      </c>
      <c r="Y113" s="25" cm="1">
        <f t="array" ref="Y113">_xlfn.LET(_xlpm.x, M113:M115, IF(SUM((_xlpm.x="K")*1, (_xlpm.x="A")*1, (_xlpm.x="GK")*1, (_xlpm.x="GA")*1)&gt;0, 3, 1))</f>
        <v>3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21</v>
      </c>
      <c r="L114" s="16" t="s">
        <v>37</v>
      </c>
      <c r="M114" s="16" t="s">
        <v>102</v>
      </c>
      <c r="N114" s="16" t="s">
        <v>37</v>
      </c>
      <c r="O114" s="16" t="s">
        <v>21</v>
      </c>
      <c r="Q114" s="9">
        <v>2</v>
      </c>
      <c r="R114" s="9">
        <v>7</v>
      </c>
      <c r="S114" s="9">
        <v>17</v>
      </c>
      <c r="T114" s="9">
        <v>7</v>
      </c>
      <c r="U114" s="9">
        <v>2</v>
      </c>
      <c r="W114" s="25" cm="1">
        <f t="array" ref="W114">_xlfn.LET(_xlpm.x, K114:K116, IF(SUM((_xlpm.x="K")*1, (_xlpm.x="A")*1, (_xlpm.x="GK")*1, (_xlpm.x="GA")*1)&gt;0, 3, 1))</f>
        <v>1</v>
      </c>
      <c r="X114" s="25" cm="1">
        <f t="array" ref="X114">_xlfn.LET(_xlpm.x, L114:L116, IF(SUM((_xlpm.x="K")*1, (_xlpm.x="A")*1, (_xlpm.x="GK")*1, (_xlpm.x="GA")*1)&gt;0, 3, 1))</f>
        <v>3</v>
      </c>
      <c r="Y114" s="25" cm="1">
        <f t="array" ref="Y114">_xlfn.LET(_xlpm.x, M114:M116, IF(SUM((_xlpm.x="K")*1, (_xlpm.x="A")*1, (_xlpm.x="GK")*1, (_xlpm.x="GA")*1)&gt;0, 3, 1))</f>
        <v>3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34</v>
      </c>
      <c r="L115" s="16" t="s">
        <v>37</v>
      </c>
      <c r="M115" s="16" t="s">
        <v>89</v>
      </c>
      <c r="N115" s="16" t="s">
        <v>104</v>
      </c>
      <c r="O115" s="16" t="s">
        <v>18</v>
      </c>
      <c r="Q115" s="9">
        <v>9</v>
      </c>
      <c r="R115" s="9">
        <v>7</v>
      </c>
      <c r="S115" s="9">
        <v>14</v>
      </c>
      <c r="T115" s="9">
        <v>6</v>
      </c>
      <c r="U115" s="9">
        <v>4</v>
      </c>
      <c r="W115" s="25" cm="1">
        <f t="array" ref="W115">_xlfn.LET(_xlpm.x, K115:K117, IF(SUM((_xlpm.x="K")*1, (_xlpm.x="A")*1, (_xlpm.x="GK")*1, (_xlpm.x="GA")*1)&gt;0, 3, 1))</f>
        <v>3</v>
      </c>
      <c r="X115" s="25" cm="1">
        <f t="array" ref="X115">_xlfn.LET(_xlpm.x, L115:L117, IF(SUM((_xlpm.x="K")*1, (_xlpm.x="A")*1, (_xlpm.x="GK")*1, (_xlpm.x="GA")*1)&gt;0, 3, 1))</f>
        <v>3</v>
      </c>
      <c r="Y115" s="25" cm="1">
        <f t="array" ref="Y115">_xlfn.LET(_xlpm.x, M115:M117, IF(SUM((_xlpm.x="K")*1, (_xlpm.x="A")*1, (_xlpm.x="GK")*1, (_xlpm.x="GA")*1)&gt;0, 3, 1))</f>
        <v>3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104</v>
      </c>
      <c r="L116" s="16" t="s">
        <v>89</v>
      </c>
      <c r="M116" s="16" t="s">
        <v>102</v>
      </c>
      <c r="N116" s="16" t="s">
        <v>18</v>
      </c>
      <c r="O116" s="16" t="s">
        <v>19</v>
      </c>
      <c r="Q116" s="9">
        <v>6</v>
      </c>
      <c r="R116" s="9">
        <v>14</v>
      </c>
      <c r="S116" s="9">
        <v>17</v>
      </c>
      <c r="T116" s="9">
        <v>4</v>
      </c>
      <c r="U116" s="9">
        <v>5</v>
      </c>
      <c r="W116" s="25" cm="1">
        <f t="array" ref="W116">_xlfn.LET(_xlpm.x, K116:K118, IF(SUM((_xlpm.x="K")*1, (_xlpm.x="A")*1, (_xlpm.x="GK")*1, (_xlpm.x="GA")*1)&gt;0, 3, 1))</f>
        <v>3</v>
      </c>
      <c r="X116" s="25" cm="1">
        <f t="array" ref="X116">_xlfn.LET(_xlpm.x, L116:L118, IF(SUM((_xlpm.x="K")*1, (_xlpm.x="A")*1, (_xlpm.x="GK")*1, (_xlpm.x="GA")*1)&gt;0, 3, 1))</f>
        <v>1</v>
      </c>
      <c r="Y116" s="25" cm="1">
        <f t="array" ref="Y116">_xlfn.LET(_xlpm.x, M116:M118, IF(SUM((_xlpm.x="K")*1, (_xlpm.x="A")*1, (_xlpm.x="GK")*1, (_xlpm.x="GA")*1)&gt;0, 3, 1))</f>
        <v>3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35</v>
      </c>
      <c r="L117" s="16" t="s">
        <v>19</v>
      </c>
      <c r="M117" s="16" t="s">
        <v>105</v>
      </c>
      <c r="N117" s="16" t="s">
        <v>36</v>
      </c>
      <c r="O117" s="16" t="s">
        <v>19</v>
      </c>
      <c r="Q117" s="9">
        <v>8</v>
      </c>
      <c r="R117" s="9">
        <v>5</v>
      </c>
      <c r="S117" s="9">
        <v>15</v>
      </c>
      <c r="T117" s="9">
        <v>10</v>
      </c>
      <c r="U117" s="9">
        <v>5</v>
      </c>
      <c r="W117" s="25" cm="1">
        <f t="array" ref="W117">_xlfn.LET(_xlpm.x, K117:K119, IF(SUM((_xlpm.x="K")*1, (_xlpm.x="A")*1, (_xlpm.x="GK")*1, (_xlpm.x="GA")*1)&gt;0, 3, 1))</f>
        <v>3</v>
      </c>
      <c r="X117" s="25" cm="1">
        <f t="array" ref="X117">_xlfn.LET(_xlpm.x, L117:L119, IF(SUM((_xlpm.x="K")*1, (_xlpm.x="A")*1, (_xlpm.x="GK")*1, (_xlpm.x="GA")*1)&gt;0, 3, 1))</f>
        <v>1</v>
      </c>
      <c r="Y117" s="25" cm="1">
        <f t="array" ref="Y117">_xlfn.LET(_xlpm.x, M117:M119, IF(SUM((_xlpm.x="K")*1, (_xlpm.x="A")*1, (_xlpm.x="GK")*1, (_xlpm.x="GA")*1)&gt;0, 3, 1))</f>
        <v>3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19</v>
      </c>
      <c r="L118" s="16" t="s">
        <v>19</v>
      </c>
      <c r="M118" s="16" t="s">
        <v>90</v>
      </c>
      <c r="N118" s="16" t="s">
        <v>104</v>
      </c>
      <c r="O118" s="16" t="s">
        <v>37</v>
      </c>
      <c r="Q118" s="9">
        <v>5</v>
      </c>
      <c r="R118" s="9">
        <v>5</v>
      </c>
      <c r="S118" s="9">
        <v>16</v>
      </c>
      <c r="T118" s="9">
        <v>6</v>
      </c>
      <c r="U118" s="9">
        <v>7</v>
      </c>
      <c r="W118" s="25" cm="1">
        <f t="array" ref="W118">_xlfn.LET(_xlpm.x, K118:K120, IF(SUM((_xlpm.x="K")*1, (_xlpm.x="A")*1, (_xlpm.x="GK")*1, (_xlpm.x="GA")*1)&gt;0, 3, 1))</f>
        <v>3</v>
      </c>
      <c r="X118" s="25" cm="1">
        <f t="array" ref="X118">_xlfn.LET(_xlpm.x, L118:L120, IF(SUM((_xlpm.x="K")*1, (_xlpm.x="A")*1, (_xlpm.x="GK")*1, (_xlpm.x="GA")*1)&gt;0, 3, 1))</f>
        <v>1</v>
      </c>
      <c r="Y118" s="25" cm="1">
        <f t="array" ref="Y118">_xlfn.LET(_xlpm.x, M118:M120, IF(SUM((_xlpm.x="K")*1, (_xlpm.x="A")*1, (_xlpm.x="GK")*1, (_xlpm.x="GA")*1)&gt;0, 3, 1))</f>
        <v>3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35</v>
      </c>
      <c r="L119" s="16" t="s">
        <v>105</v>
      </c>
      <c r="M119" s="16" t="s">
        <v>102</v>
      </c>
      <c r="N119" s="16" t="s">
        <v>90</v>
      </c>
      <c r="O119" s="16" t="s">
        <v>22</v>
      </c>
      <c r="Q119" s="9">
        <v>8</v>
      </c>
      <c r="R119" s="9">
        <v>15</v>
      </c>
      <c r="S119" s="9">
        <v>17</v>
      </c>
      <c r="T119" s="9">
        <v>16</v>
      </c>
      <c r="U119" s="9">
        <v>3</v>
      </c>
      <c r="W119" s="25" cm="1">
        <f t="array" ref="W119">_xlfn.LET(_xlpm.x, K119:K121, IF(SUM((_xlpm.x="K")*1, (_xlpm.x="A")*1, (_xlpm.x="GK")*1, (_xlpm.x="GA")*1)&gt;0, 3, 1))</f>
        <v>3</v>
      </c>
      <c r="X119" s="25" cm="1">
        <f t="array" ref="X119">_xlfn.LET(_xlpm.x, L119:L121, IF(SUM((_xlpm.x="K")*1, (_xlpm.x="A")*1, (_xlpm.x="GK")*1, (_xlpm.x="GA")*1)&gt;0, 3, 1))</f>
        <v>3</v>
      </c>
      <c r="Y119" s="25" cm="1">
        <f t="array" ref="Y119">_xlfn.LET(_xlpm.x, M119:M121, IF(SUM((_xlpm.x="K")*1, (_xlpm.x="A")*1, (_xlpm.x="GK")*1, (_xlpm.x="GA")*1)&gt;0, 3, 1))</f>
        <v>3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104</v>
      </c>
      <c r="M120" s="16" t="s">
        <v>90</v>
      </c>
      <c r="N120" s="16" t="s">
        <v>104</v>
      </c>
      <c r="O120" s="16" t="s">
        <v>35</v>
      </c>
      <c r="Q120" s="9">
        <v>5</v>
      </c>
      <c r="R120" s="9">
        <v>6</v>
      </c>
      <c r="S120" s="9">
        <v>16</v>
      </c>
      <c r="T120" s="9">
        <v>6</v>
      </c>
      <c r="U120" s="9">
        <v>8</v>
      </c>
      <c r="W120" s="25" cm="1">
        <f t="array" ref="W120">_xlfn.LET(_xlpm.x, K120:K122, IF(SUM((_xlpm.x="K")*1, (_xlpm.x="A")*1, (_xlpm.x="GK")*1, (_xlpm.x="GA")*1)&gt;0, 3, 1))</f>
        <v>3</v>
      </c>
      <c r="X120" s="25" cm="1">
        <f t="array" ref="X120">_xlfn.LET(_xlpm.x, L120:L122, IF(SUM((_xlpm.x="K")*1, (_xlpm.x="A")*1, (_xlpm.x="GK")*1, (_xlpm.x="GA")*1)&gt;0, 3, 1))</f>
        <v>3</v>
      </c>
      <c r="Y120" s="25" cm="1">
        <f t="array" ref="Y120">_xlfn.LET(_xlpm.x, M120:M122, IF(SUM((_xlpm.x="K")*1, (_xlpm.x="A")*1, (_xlpm.x="GK")*1, (_xlpm.x="GA")*1)&gt;0, 3, 1))</f>
        <v>3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19</v>
      </c>
      <c r="L121" s="16" t="s">
        <v>90</v>
      </c>
      <c r="M121" s="16" t="s">
        <v>105</v>
      </c>
      <c r="N121" s="16" t="s">
        <v>22</v>
      </c>
      <c r="O121" s="16" t="s">
        <v>22</v>
      </c>
      <c r="Q121" s="9">
        <v>5</v>
      </c>
      <c r="R121" s="9">
        <v>16</v>
      </c>
      <c r="S121" s="9">
        <v>15</v>
      </c>
      <c r="T121" s="9">
        <v>3</v>
      </c>
      <c r="U121" s="9">
        <v>3</v>
      </c>
      <c r="W121" s="25" cm="1">
        <f t="array" ref="W121">_xlfn.LET(_xlpm.x, K121:K123, IF(SUM((_xlpm.x="K")*1, (_xlpm.x="A")*1, (_xlpm.x="GK")*1, (_xlpm.x="GA")*1)&gt;0, 3, 1))</f>
        <v>3</v>
      </c>
      <c r="X121" s="25" cm="1">
        <f t="array" ref="X121">_xlfn.LET(_xlpm.x, L121:L123, IF(SUM((_xlpm.x="K")*1, (_xlpm.x="A")*1, (_xlpm.x="GK")*1, (_xlpm.x="GA")*1)&gt;0, 3, 1))</f>
        <v>3</v>
      </c>
      <c r="Y121" s="25" cm="1">
        <f t="array" ref="Y121">_xlfn.LET(_xlpm.x, M121:M123, IF(SUM((_xlpm.x="K")*1, (_xlpm.x="A")*1, (_xlpm.x="GK")*1, (_xlpm.x="GA")*1)&gt;0, 3, 1))</f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31</v>
      </c>
      <c r="M122" s="16" t="s">
        <v>95</v>
      </c>
      <c r="N122" s="16" t="s">
        <v>37</v>
      </c>
      <c r="O122" s="16" t="s">
        <v>34</v>
      </c>
      <c r="Q122" s="9">
        <v>7</v>
      </c>
      <c r="R122" s="9">
        <v>8</v>
      </c>
      <c r="S122" s="9">
        <v>19</v>
      </c>
      <c r="T122" s="9">
        <v>7</v>
      </c>
      <c r="U122" s="9">
        <v>9</v>
      </c>
      <c r="W122" s="25" cm="1">
        <f t="array" ref="W122">_xlfn.LET(_xlpm.x, K122:K124, IF(SUM((_xlpm.x="K")*1, (_xlpm.x="A")*1, (_xlpm.x="GK")*1, (_xlpm.x="GA")*1)&gt;0, 3, 1))</f>
        <v>3</v>
      </c>
      <c r="X122" s="25" cm="1">
        <f t="array" ref="X122">_xlfn.LET(_xlpm.x, L122:L124, IF(SUM((_xlpm.x="K")*1, (_xlpm.x="A")*1, (_xlpm.x="GK")*1, (_xlpm.x="GA")*1)&gt;0, 3, 1))</f>
        <v>3</v>
      </c>
      <c r="Y122" s="25" cm="1">
        <f t="array" ref="Y122">_xlfn.LET(_xlpm.x, M122:M124, IF(SUM((_xlpm.x="K")*1, (_xlpm.x="A")*1, (_xlpm.x="GK")*1, (_xlpm.x="GA")*1)&gt;0, 3, 1))</f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35</v>
      </c>
      <c r="L123" s="16" t="s">
        <v>93</v>
      </c>
      <c r="M123" s="16" t="s">
        <v>105</v>
      </c>
      <c r="N123" s="16" t="s">
        <v>37</v>
      </c>
      <c r="O123" s="16" t="s">
        <v>35</v>
      </c>
      <c r="Q123" s="9">
        <v>8</v>
      </c>
      <c r="R123" s="9">
        <v>18</v>
      </c>
      <c r="S123" s="9">
        <v>15</v>
      </c>
      <c r="T123" s="9">
        <v>7</v>
      </c>
      <c r="U123" s="9">
        <v>8</v>
      </c>
      <c r="W123" s="25" cm="1">
        <f t="array" ref="W123">_xlfn.LET(_xlpm.x, K123:K125, IF(SUM((_xlpm.x="K")*1, (_xlpm.x="A")*1, (_xlpm.x="GK")*1, (_xlpm.x="GA")*1)&gt;0, 3, 1))</f>
        <v>3</v>
      </c>
      <c r="X123" s="25" cm="1">
        <f t="array" ref="X123">_xlfn.LET(_xlpm.x, L123:L125, IF(SUM((_xlpm.x="K")*1, (_xlpm.x="A")*1, (_xlpm.x="GK")*1, (_xlpm.x="GA")*1)&gt;0, 3, 1))</f>
        <v>1</v>
      </c>
      <c r="Y123" s="25" cm="1">
        <f t="array" ref="Y123">_xlfn.LET(_xlpm.x, M123:M125, IF(SUM((_xlpm.x="K")*1, (_xlpm.x="A")*1, (_xlpm.x="GK")*1, (_xlpm.x="GA")*1)&gt;0, 3, 1))</f>
        <v>3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18</v>
      </c>
      <c r="L124" s="16" t="s">
        <v>89</v>
      </c>
      <c r="M124" s="16" t="s">
        <v>93</v>
      </c>
      <c r="N124" s="16" t="s">
        <v>20</v>
      </c>
      <c r="O124" s="16" t="s">
        <v>22</v>
      </c>
      <c r="Q124" s="9">
        <v>4</v>
      </c>
      <c r="R124" s="9">
        <v>14</v>
      </c>
      <c r="S124" s="9">
        <v>18</v>
      </c>
      <c r="T124" s="9">
        <v>1</v>
      </c>
      <c r="U124" s="9">
        <v>3</v>
      </c>
      <c r="W124" s="25" cm="1">
        <f t="array" ref="W124">_xlfn.LET(_xlpm.x, K124:K126, IF(SUM((_xlpm.x="K")*1, (_xlpm.x="A")*1, (_xlpm.x="GK")*1, (_xlpm.x="GA")*1)&gt;0, 3, 1))</f>
        <v>1</v>
      </c>
      <c r="X124" s="25" cm="1">
        <f t="array" ref="X124">_xlfn.LET(_xlpm.x, L124:L126, IF(SUM((_xlpm.x="K")*1, (_xlpm.x="A")*1, (_xlpm.x="GK")*1, (_xlpm.x="GA")*1)&gt;0, 3, 1))</f>
        <v>1</v>
      </c>
      <c r="Y124" s="25" cm="1">
        <f t="array" ref="Y124">_xlfn.LET(_xlpm.x, M124:M126, IF(SUM((_xlpm.x="K")*1, (_xlpm.x="A")*1, (_xlpm.x="GK")*1, (_xlpm.x="GA")*1)&gt;0, 3, 1))</f>
        <v>3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104</v>
      </c>
      <c r="L125" s="16" t="s">
        <v>20</v>
      </c>
      <c r="M125" s="16" t="s">
        <v>102</v>
      </c>
      <c r="N125" s="16" t="s">
        <v>18</v>
      </c>
      <c r="O125" s="16" t="s">
        <v>34</v>
      </c>
      <c r="Q125" s="9">
        <v>6</v>
      </c>
      <c r="R125" s="9">
        <v>1</v>
      </c>
      <c r="S125" s="9">
        <v>17</v>
      </c>
      <c r="T125" s="9">
        <v>4</v>
      </c>
      <c r="U125" s="9">
        <v>9</v>
      </c>
      <c r="W125" s="25" cm="1">
        <f t="array" ref="W125">_xlfn.LET(_xlpm.x, K125:K127, IF(SUM((_xlpm.x="K")*1, (_xlpm.x="A")*1, (_xlpm.x="GK")*1, (_xlpm.x="GA")*1)&gt;0, 3, 1))</f>
        <v>1</v>
      </c>
      <c r="X125" s="25" cm="1">
        <f t="array" ref="X125">_xlfn.LET(_xlpm.x, L125:L127, IF(SUM((_xlpm.x="K")*1, (_xlpm.x="A")*1, (_xlpm.x="GK")*1, (_xlpm.x="GA")*1)&gt;0, 3, 1))</f>
        <v>1</v>
      </c>
      <c r="Y125" s="25" cm="1">
        <f t="array" ref="Y125">_xlfn.LET(_xlpm.x, M125:M127, IF(SUM((_xlpm.x="K")*1, (_xlpm.x="A")*1, (_xlpm.x="GK")*1, (_xlpm.x="GA")*1)&gt;0, 3, 1))</f>
        <v>3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104</v>
      </c>
      <c r="L126" s="16" t="s">
        <v>22</v>
      </c>
      <c r="M126" s="16" t="s">
        <v>90</v>
      </c>
      <c r="N126" s="16" t="s">
        <v>22</v>
      </c>
      <c r="O126" s="16" t="s">
        <v>34</v>
      </c>
      <c r="Q126" s="9">
        <v>6</v>
      </c>
      <c r="R126" s="9">
        <v>3</v>
      </c>
      <c r="S126" s="9">
        <v>16</v>
      </c>
      <c r="T126" s="9">
        <v>3</v>
      </c>
      <c r="U126" s="9">
        <v>9</v>
      </c>
      <c r="W126" s="25" cm="1">
        <f t="array" ref="W126">_xlfn.LET(_xlpm.x, K126:K128, IF(SUM((_xlpm.x="K")*1, (_xlpm.x="A")*1, (_xlpm.x="GK")*1, (_xlpm.x="GA")*1)&gt;0, 3, 1))</f>
        <v>1</v>
      </c>
      <c r="X126" s="25" cm="1">
        <f t="array" ref="X126">_xlfn.LET(_xlpm.x, L126:L128, IF(SUM((_xlpm.x="K")*1, (_xlpm.x="A")*1, (_xlpm.x="GK")*1, (_xlpm.x="GA")*1)&gt;0, 3, 1))</f>
        <v>1</v>
      </c>
      <c r="Y126" s="25" cm="1">
        <f t="array" ref="Y126">_xlfn.LET(_xlpm.x, M126:M128, IF(SUM((_xlpm.x="K")*1, (_xlpm.x="A")*1, (_xlpm.x="GK")*1, (_xlpm.x="GA")*1)&gt;0, 3, 1))</f>
        <v>3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19</v>
      </c>
      <c r="L127" s="16" t="s">
        <v>36</v>
      </c>
      <c r="M127" s="16" t="s">
        <v>89</v>
      </c>
      <c r="N127" s="16" t="s">
        <v>18</v>
      </c>
      <c r="O127" s="16" t="s">
        <v>22</v>
      </c>
      <c r="Q127" s="9">
        <v>5</v>
      </c>
      <c r="R127" s="9">
        <v>10</v>
      </c>
      <c r="S127" s="9">
        <v>14</v>
      </c>
      <c r="T127" s="9">
        <v>4</v>
      </c>
      <c r="U127" s="9">
        <v>3</v>
      </c>
      <c r="W127" s="25" cm="1">
        <f t="array" ref="W127">_xlfn.LET(_xlpm.x, K127:K129, IF(SUM((_xlpm.x="K")*1, (_xlpm.x="A")*1, (_xlpm.x="GK")*1, (_xlpm.x="GA")*1)&gt;0, 3, 1))</f>
        <v>3</v>
      </c>
      <c r="X127" s="25" cm="1">
        <f t="array" ref="X127">_xlfn.LET(_xlpm.x, L127:L129, IF(SUM((_xlpm.x="K")*1, (_xlpm.x="A")*1, (_xlpm.x="GK")*1, (_xlpm.x="GA")*1)&gt;0, 3, 1))</f>
        <v>1</v>
      </c>
      <c r="Y127" s="25" cm="1">
        <f t="array" ref="Y127">_xlfn.LET(_xlpm.x, M127:M129, IF(SUM((_xlpm.x="K")*1, (_xlpm.x="A")*1, (_xlpm.x="GK")*1, (_xlpm.x="GA")*1)&gt;0, 3, 1))</f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104</v>
      </c>
      <c r="L128" s="16" t="s">
        <v>105</v>
      </c>
      <c r="M128" s="16" t="s">
        <v>105</v>
      </c>
      <c r="N128" s="16" t="s">
        <v>18</v>
      </c>
      <c r="O128" s="16" t="s">
        <v>35</v>
      </c>
      <c r="Q128" s="9">
        <v>6</v>
      </c>
      <c r="R128" s="9">
        <v>15</v>
      </c>
      <c r="S128" s="9">
        <v>15</v>
      </c>
      <c r="T128" s="9">
        <v>4</v>
      </c>
      <c r="U128" s="9">
        <v>8</v>
      </c>
      <c r="W128" s="25" cm="1">
        <f t="array" ref="W128">_xlfn.LET(_xlpm.x, K128:K130, IF(SUM((_xlpm.x="K")*1, (_xlpm.x="A")*1, (_xlpm.x="GK")*1, (_xlpm.x="GA")*1)&gt;0, 3, 1))</f>
        <v>3</v>
      </c>
      <c r="X128" s="25" cm="1">
        <f t="array" ref="X128">_xlfn.LET(_xlpm.x, L128:L130, IF(SUM((_xlpm.x="K")*1, (_xlpm.x="A")*1, (_xlpm.x="GK")*1, (_xlpm.x="GA")*1)&gt;0, 3, 1))</f>
        <v>1</v>
      </c>
      <c r="Y128" s="25" cm="1">
        <f t="array" ref="Y128">_xlfn.LET(_xlpm.x, M128:M130, IF(SUM((_xlpm.x="K")*1, (_xlpm.x="A")*1, (_xlpm.x="GK")*1, (_xlpm.x="GA")*1)&gt;0, 3, 1))</f>
        <v>3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35</v>
      </c>
      <c r="L129" s="16" t="s">
        <v>86</v>
      </c>
      <c r="M129" s="16" t="s">
        <v>87</v>
      </c>
      <c r="N129" s="16" t="s">
        <v>93</v>
      </c>
      <c r="O129" s="16" t="s">
        <v>35</v>
      </c>
      <c r="Q129" s="9">
        <v>8</v>
      </c>
      <c r="R129" s="9">
        <v>11</v>
      </c>
      <c r="S129" s="9">
        <v>12</v>
      </c>
      <c r="T129" s="9">
        <v>18</v>
      </c>
      <c r="U129" s="9">
        <v>8</v>
      </c>
      <c r="W129" s="25" cm="1">
        <f t="array" ref="W129">_xlfn.LET(_xlpm.x, K129:K131, IF(SUM((_xlpm.x="K")*1, (_xlpm.x="A")*1, (_xlpm.x="GK")*1, (_xlpm.x="GA")*1)&gt;0, 3, 1))</f>
        <v>3</v>
      </c>
      <c r="X129" s="25" cm="1">
        <f t="array" ref="X129">_xlfn.LET(_xlpm.x, L129:L131, IF(SUM((_xlpm.x="K")*1, (_xlpm.x="A")*1, (_xlpm.x="GK")*1, (_xlpm.x="GA")*1)&gt;0, 3, 1))</f>
        <v>3</v>
      </c>
      <c r="Y129" s="25" cm="1">
        <f t="array" ref="Y129">_xlfn.LET(_xlpm.x, M129:M131, IF(SUM((_xlpm.x="K")*1, (_xlpm.x="A")*1, (_xlpm.x="GK")*1, (_xlpm.x="GA")*1)&gt;0, 3, 1))</f>
        <v>3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104</v>
      </c>
      <c r="L130" s="16" t="s">
        <v>34</v>
      </c>
      <c r="M130" s="16" t="s">
        <v>102</v>
      </c>
      <c r="N130" s="16" t="s">
        <v>104</v>
      </c>
      <c r="O130" s="16" t="s">
        <v>22</v>
      </c>
      <c r="Q130" s="9">
        <v>6</v>
      </c>
      <c r="R130" s="9">
        <v>9</v>
      </c>
      <c r="S130" s="9">
        <v>17</v>
      </c>
      <c r="T130" s="9">
        <v>6</v>
      </c>
      <c r="U130" s="9">
        <v>3</v>
      </c>
      <c r="W130" s="25" cm="1">
        <f t="array" ref="W130">_xlfn.LET(_xlpm.x, K130:K132, IF(SUM((_xlpm.x="K")*1, (_xlpm.x="A")*1, (_xlpm.x="GK")*1, (_xlpm.x="GA")*1)&gt;0, 3, 1))</f>
        <v>3</v>
      </c>
      <c r="X130" s="25" cm="1">
        <f t="array" ref="X130">_xlfn.LET(_xlpm.x, L130:L132, IF(SUM((_xlpm.x="K")*1, (_xlpm.x="A")*1, (_xlpm.x="GK")*1, (_xlpm.x="GA")*1)&gt;0, 3, 1))</f>
        <v>3</v>
      </c>
      <c r="Y130" s="25" cm="1">
        <f t="array" ref="Y130">_xlfn.LET(_xlpm.x, M130:M132, IF(SUM((_xlpm.x="K")*1, (_xlpm.x="A")*1, (_xlpm.x="GK")*1, (_xlpm.x="GA")*1)&gt;0, 3, 1))</f>
        <v>3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35</v>
      </c>
      <c r="L131" s="16" t="s">
        <v>102</v>
      </c>
      <c r="M131" s="16" t="s">
        <v>89</v>
      </c>
      <c r="N131" s="16" t="s">
        <v>34</v>
      </c>
      <c r="O131" s="16" t="s">
        <v>34</v>
      </c>
      <c r="Q131" s="9">
        <v>8</v>
      </c>
      <c r="R131" s="9">
        <v>17</v>
      </c>
      <c r="S131" s="9">
        <v>14</v>
      </c>
      <c r="T131" s="9">
        <v>9</v>
      </c>
      <c r="U131" s="9">
        <v>9</v>
      </c>
      <c r="W131" s="25" cm="1">
        <f t="array" ref="W131">_xlfn.LET(_xlpm.x, K131:K133, IF(SUM((_xlpm.x="K")*1, (_xlpm.x="A")*1, (_xlpm.x="GK")*1, (_xlpm.x="GA")*1)&gt;0, 3, 1))</f>
        <v>3</v>
      </c>
      <c r="X131" s="25" cm="1">
        <f t="array" ref="X131">_xlfn.LET(_xlpm.x, L131:L133, IF(SUM((_xlpm.x="K")*1, (_xlpm.x="A")*1, (_xlpm.x="GK")*1, (_xlpm.x="GA")*1)&gt;0, 3, 1))</f>
        <v>3</v>
      </c>
      <c r="Y131" s="25" cm="1">
        <f t="array" ref="Y131">_xlfn.LET(_xlpm.x, M131:M133, IF(SUM((_xlpm.x="K")*1, (_xlpm.x="A")*1, (_xlpm.x="GK")*1, (_xlpm.x="GA")*1)&gt;0, 3, 1))</f>
        <v>3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104</v>
      </c>
      <c r="L132" s="16" t="s">
        <v>20</v>
      </c>
      <c r="M132" s="16" t="s">
        <v>105</v>
      </c>
      <c r="N132" s="16" t="s">
        <v>18</v>
      </c>
      <c r="O132" s="16" t="s">
        <v>18</v>
      </c>
      <c r="Q132" s="9">
        <v>6</v>
      </c>
      <c r="R132" s="9">
        <v>1</v>
      </c>
      <c r="S132" s="9">
        <v>15</v>
      </c>
      <c r="T132" s="9">
        <v>4</v>
      </c>
      <c r="U132" s="9">
        <v>4</v>
      </c>
      <c r="W132" s="25" cm="1">
        <f t="array" ref="W132">_xlfn.LET(_xlpm.x, K132:K134, IF(SUM((_xlpm.x="K")*1, (_xlpm.x="A")*1, (_xlpm.x="GK")*1, (_xlpm.x="GA")*1)&gt;0, 3, 1))</f>
        <v>3</v>
      </c>
      <c r="X132" s="25" cm="1">
        <f t="array" ref="X132">_xlfn.LET(_xlpm.x, L132:L134, IF(SUM((_xlpm.x="K")*1, (_xlpm.x="A")*1, (_xlpm.x="GK")*1, (_xlpm.x="GA")*1)&gt;0, 3, 1))</f>
        <v>1</v>
      </c>
      <c r="Y132" s="25" cm="1">
        <f t="array" ref="Y132">_xlfn.LET(_xlpm.x, M132:M134, IF(SUM((_xlpm.x="K")*1, (_xlpm.x="A")*1, (_xlpm.x="GK")*1, (_xlpm.x="GA")*1)&gt;0, 3, 1))</f>
        <v>3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35</v>
      </c>
      <c r="L133" s="16" t="s">
        <v>29</v>
      </c>
      <c r="M133" s="16" t="s">
        <v>102</v>
      </c>
      <c r="N133" s="16" t="s">
        <v>87</v>
      </c>
      <c r="O133" s="16" t="s">
        <v>21</v>
      </c>
      <c r="Q133" s="9">
        <v>8</v>
      </c>
      <c r="R133" s="9">
        <v>5</v>
      </c>
      <c r="S133" s="9">
        <v>17</v>
      </c>
      <c r="T133" s="9">
        <v>12</v>
      </c>
      <c r="U133" s="9">
        <v>2</v>
      </c>
      <c r="W133" s="25" cm="1">
        <f t="array" ref="W133">_xlfn.LET(_xlpm.x, K133:K135, IF(SUM((_xlpm.x="K")*1, (_xlpm.x="A")*1, (_xlpm.x="GK")*1, (_xlpm.x="GA")*1)&gt;0, 3, 1))</f>
        <v>3</v>
      </c>
      <c r="X133" s="25" cm="1">
        <f t="array" ref="X133">_xlfn.LET(_xlpm.x, L133:L135, IF(SUM((_xlpm.x="K")*1, (_xlpm.x="A")*1, (_xlpm.x="GK")*1, (_xlpm.x="GA")*1)&gt;0, 3, 1))</f>
        <v>1</v>
      </c>
      <c r="Y133" s="25" cm="1">
        <f t="array" ref="Y133">_xlfn.LET(_xlpm.x, M133:M135, IF(SUM((_xlpm.x="K")*1, (_xlpm.x="A")*1, (_xlpm.x="GK")*1, (_xlpm.x="GA")*1)&gt;0, 3, 1))</f>
        <v>3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104</v>
      </c>
      <c r="L134" s="16" t="s">
        <v>93</v>
      </c>
      <c r="M134" s="16" t="s">
        <v>90</v>
      </c>
      <c r="N134" s="16" t="s">
        <v>95</v>
      </c>
      <c r="O134" s="16" t="s">
        <v>22</v>
      </c>
      <c r="Q134" s="9">
        <v>6</v>
      </c>
      <c r="R134" s="9">
        <v>18</v>
      </c>
      <c r="S134" s="9">
        <v>16</v>
      </c>
      <c r="T134" s="9">
        <v>19</v>
      </c>
      <c r="U134" s="9">
        <v>3</v>
      </c>
      <c r="W134" s="25" cm="1">
        <f t="array" ref="W134">_xlfn.LET(_xlpm.x, K134:K136, IF(SUM((_xlpm.x="K")*1, (_xlpm.x="A")*1, (_xlpm.x="GK")*1, (_xlpm.x="GA")*1)&gt;0, 3, 1))</f>
        <v>3</v>
      </c>
      <c r="X134" s="25" cm="1">
        <f t="array" ref="X134">_xlfn.LET(_xlpm.x, L134:L136, IF(SUM((_xlpm.x="K")*1, (_xlpm.x="A")*1, (_xlpm.x="GK")*1, (_xlpm.x="GA")*1)&gt;0, 3, 1))</f>
        <v>3</v>
      </c>
      <c r="Y134" s="25" cm="1">
        <f t="array" ref="Y134">_xlfn.LET(_xlpm.x, M134:M136, IF(SUM((_xlpm.x="K")*1, (_xlpm.x="A")*1, (_xlpm.x="GK")*1, (_xlpm.x="GA")*1)&gt;0, 3, 1))</f>
        <v>3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37</v>
      </c>
      <c r="L135" s="16" t="s">
        <v>104</v>
      </c>
      <c r="M135" s="16" t="s">
        <v>102</v>
      </c>
      <c r="N135" s="16" t="s">
        <v>104</v>
      </c>
      <c r="O135" s="16" t="s">
        <v>37</v>
      </c>
      <c r="Q135" s="9">
        <v>7</v>
      </c>
      <c r="R135" s="9">
        <v>6</v>
      </c>
      <c r="S135" s="9">
        <v>17</v>
      </c>
      <c r="T135" s="9">
        <v>6</v>
      </c>
      <c r="U135" s="9">
        <v>7</v>
      </c>
      <c r="W135" s="25" cm="1">
        <f t="array" ref="W135">_xlfn.LET(_xlpm.x, K135:K137, IF(SUM((_xlpm.x="K")*1, (_xlpm.x="A")*1, (_xlpm.x="GK")*1, (_xlpm.x="GA")*1)&gt;0, 3, 1))</f>
        <v>3</v>
      </c>
      <c r="X135" s="25" cm="1">
        <f t="array" ref="X135">_xlfn.LET(_xlpm.x, L135:L137, IF(SUM((_xlpm.x="K")*1, (_xlpm.x="A")*1, (_xlpm.x="GK")*1, (_xlpm.x="GA")*1)&gt;0, 3, 1))</f>
        <v>3</v>
      </c>
      <c r="Y135" s="25" cm="1">
        <f t="array" ref="Y135">_xlfn.LET(_xlpm.x, M135:M137, IF(SUM((_xlpm.x="K")*1, (_xlpm.x="A")*1, (_xlpm.x="GK")*1, (_xlpm.x="GA")*1)&gt;0, 3, 1))</f>
        <v>3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37</v>
      </c>
      <c r="L136" s="16" t="s">
        <v>35</v>
      </c>
      <c r="M136" s="16" t="s">
        <v>88</v>
      </c>
      <c r="N136" s="16" t="s">
        <v>35</v>
      </c>
      <c r="O136" s="16" t="s">
        <v>37</v>
      </c>
      <c r="Q136" s="9">
        <v>7</v>
      </c>
      <c r="R136" s="9">
        <v>8</v>
      </c>
      <c r="S136" s="9">
        <v>13</v>
      </c>
      <c r="T136" s="9">
        <v>8</v>
      </c>
      <c r="U136" s="9">
        <v>7</v>
      </c>
      <c r="W136" s="25" cm="1">
        <f t="array" ref="W136">_xlfn.LET(_xlpm.x, K136:K138, IF(SUM((_xlpm.x="K")*1, (_xlpm.x="A")*1, (_xlpm.x="GK")*1, (_xlpm.x="GA")*1)&gt;0, 3, 1))</f>
        <v>3</v>
      </c>
      <c r="X136" s="25" cm="1">
        <f t="array" ref="X136">_xlfn.LET(_xlpm.x, L136:L138, IF(SUM((_xlpm.x="K")*1, (_xlpm.x="A")*1, (_xlpm.x="GK")*1, (_xlpm.x="GA")*1)&gt;0, 3, 1))</f>
        <v>3</v>
      </c>
      <c r="Y136" s="25" cm="1">
        <f t="array" ref="Y136">_xlfn.LET(_xlpm.x, M136:M138, IF(SUM((_xlpm.x="K")*1, (_xlpm.x="A")*1, (_xlpm.x="GK")*1, (_xlpm.x="GA")*1)&gt;0, 3, 1))</f>
        <v>3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104</v>
      </c>
      <c r="L137" s="16" t="s">
        <v>102</v>
      </c>
      <c r="M137" s="16" t="s">
        <v>90</v>
      </c>
      <c r="N137" s="16" t="s">
        <v>36</v>
      </c>
      <c r="O137" s="16" t="s">
        <v>21</v>
      </c>
      <c r="Q137" s="9">
        <v>6</v>
      </c>
      <c r="R137" s="9">
        <v>17</v>
      </c>
      <c r="S137" s="9">
        <v>16</v>
      </c>
      <c r="T137" s="9">
        <v>10</v>
      </c>
      <c r="U137" s="9">
        <v>2</v>
      </c>
      <c r="W137" s="25" cm="1">
        <f t="array" ref="W137">_xlfn.LET(_xlpm.x, K137:K139, IF(SUM((_xlpm.x="K")*1, (_xlpm.x="A")*1, (_xlpm.x="GK")*1, (_xlpm.x="GA")*1)&gt;0, 3, 1))</f>
        <v>3</v>
      </c>
      <c r="X137" s="25" cm="1">
        <f t="array" ref="X137">_xlfn.LET(_xlpm.x, L137:L139, IF(SUM((_xlpm.x="K")*1, (_xlpm.x="A")*1, (_xlpm.x="GK")*1, (_xlpm.x="GA")*1)&gt;0, 3, 1))</f>
        <v>3</v>
      </c>
      <c r="Y137" s="25" cm="1">
        <f t="array" ref="Y137">_xlfn.LET(_xlpm.x, M137:M139, IF(SUM((_xlpm.x="K")*1, (_xlpm.x="A")*1, (_xlpm.x="GK")*1, (_xlpm.x="GA")*1)&gt;0, 3, 1))</f>
        <v>3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22</v>
      </c>
      <c r="L138" s="16" t="s">
        <v>35</v>
      </c>
      <c r="M138" s="16" t="s">
        <v>105</v>
      </c>
      <c r="N138" s="16" t="s">
        <v>95</v>
      </c>
      <c r="O138" s="16" t="s">
        <v>35</v>
      </c>
      <c r="Q138" s="9">
        <v>3</v>
      </c>
      <c r="R138" s="9">
        <v>8</v>
      </c>
      <c r="S138" s="9">
        <v>15</v>
      </c>
      <c r="T138" s="9">
        <v>19</v>
      </c>
      <c r="U138" s="9">
        <v>8</v>
      </c>
      <c r="W138" s="25" cm="1">
        <f t="array" ref="W138">_xlfn.LET(_xlpm.x, K138:K140, IF(SUM((_xlpm.x="K")*1, (_xlpm.x="A")*1, (_xlpm.x="GK")*1, (_xlpm.x="GA")*1)&gt;0, 3, 1))</f>
        <v>3</v>
      </c>
      <c r="X138" s="25" cm="1">
        <f t="array" ref="X138">_xlfn.LET(_xlpm.x, L138:L140, IF(SUM((_xlpm.x="K")*1, (_xlpm.x="A")*1, (_xlpm.x="GK")*1, (_xlpm.x="GA")*1)&gt;0, 3, 1))</f>
        <v>3</v>
      </c>
      <c r="Y138" s="25" cm="1">
        <f t="array" ref="Y138">_xlfn.LET(_xlpm.x, M138:M140, IF(SUM((_xlpm.x="K")*1, (_xlpm.x="A")*1, (_xlpm.x="GK")*1, (_xlpm.x="GA")*1)&gt;0, 3, 1))</f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35</v>
      </c>
      <c r="L139" s="16" t="s">
        <v>20</v>
      </c>
      <c r="M139" s="16" t="s">
        <v>89</v>
      </c>
      <c r="N139" s="16" t="s">
        <v>20</v>
      </c>
      <c r="O139" s="16" t="s">
        <v>21</v>
      </c>
      <c r="Q139" s="9">
        <v>8</v>
      </c>
      <c r="R139" s="9">
        <v>1</v>
      </c>
      <c r="S139" s="9">
        <v>14</v>
      </c>
      <c r="T139" s="9">
        <v>1</v>
      </c>
      <c r="U139" s="9">
        <v>2</v>
      </c>
      <c r="W139" s="25" cm="1">
        <f t="array" ref="W139">_xlfn.LET(_xlpm.x, K139:K141, IF(SUM((_xlpm.x="K")*1, (_xlpm.x="A")*1, (_xlpm.x="GK")*1, (_xlpm.x="GA")*1)&gt;0, 3, 1))</f>
        <v>3</v>
      </c>
      <c r="X139" s="25" cm="1">
        <f t="array" ref="X139">_xlfn.LET(_xlpm.x, L139:L141, IF(SUM((_xlpm.x="K")*1, (_xlpm.x="A")*1, (_xlpm.x="GK")*1, (_xlpm.x="GA")*1)&gt;0, 3, 1))</f>
        <v>3</v>
      </c>
      <c r="Y139" s="25" cm="1">
        <f t="array" ref="Y139">_xlfn.LET(_xlpm.x, M139:M141, IF(SUM((_xlpm.x="K")*1, (_xlpm.x="A")*1, (_xlpm.x="GK")*1, (_xlpm.x="GA")*1)&gt;0, 3, 1))</f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104</v>
      </c>
      <c r="L140" s="16" t="s">
        <v>91</v>
      </c>
      <c r="M140" s="16" t="s">
        <v>95</v>
      </c>
      <c r="N140" s="16" t="s">
        <v>37</v>
      </c>
      <c r="O140" s="16" t="s">
        <v>104</v>
      </c>
      <c r="Q140" s="9">
        <v>6</v>
      </c>
      <c r="R140" s="9">
        <v>16</v>
      </c>
      <c r="S140" s="9">
        <v>19</v>
      </c>
      <c r="T140" s="9">
        <v>7</v>
      </c>
      <c r="U140" s="9">
        <v>6</v>
      </c>
      <c r="W140" s="25" cm="1">
        <f t="array" ref="W140">_xlfn.LET(_xlpm.x, K140:K142, IF(SUM((_xlpm.x="K")*1, (_xlpm.x="A")*1, (_xlpm.x="GK")*1, (_xlpm.x="GA")*1)&gt;0, 3, 1))</f>
        <v>3</v>
      </c>
      <c r="X140" s="25" cm="1">
        <f t="array" ref="X140">_xlfn.LET(_xlpm.x, L140:L142, IF(SUM((_xlpm.x="K")*1, (_xlpm.x="A")*1, (_xlpm.x="GK")*1, (_xlpm.x="GA")*1)&gt;0, 3, 1))</f>
        <v>3</v>
      </c>
      <c r="Y140" s="25" cm="1">
        <f t="array" ref="Y140">_xlfn.LET(_xlpm.x, M140:M142, IF(SUM((_xlpm.x="K")*1, (_xlpm.x="A")*1, (_xlpm.x="GK")*1, (_xlpm.x="GA")*1)&gt;0, 3, 1))</f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19</v>
      </c>
      <c r="M141" s="16" t="s">
        <v>89</v>
      </c>
      <c r="N141" s="16" t="s">
        <v>36</v>
      </c>
      <c r="O141" s="16" t="s">
        <v>36</v>
      </c>
      <c r="Q141" s="9">
        <v>8</v>
      </c>
      <c r="R141" s="9">
        <v>5</v>
      </c>
      <c r="S141" s="9">
        <v>14</v>
      </c>
      <c r="T141" s="9">
        <v>10</v>
      </c>
      <c r="U141" s="9">
        <v>10</v>
      </c>
      <c r="W141" s="25" cm="1">
        <f t="array" ref="W141">_xlfn.LET(_xlpm.x, K141:K143, IF(SUM((_xlpm.x="K")*1, (_xlpm.x="A")*1, (_xlpm.x="GK")*1, (_xlpm.x="GA")*1)&gt;0, 3, 1))</f>
        <v>3</v>
      </c>
      <c r="X141" s="25" cm="1">
        <f t="array" ref="X141">_xlfn.LET(_xlpm.x, L141:L143, IF(SUM((_xlpm.x="K")*1, (_xlpm.x="A")*1, (_xlpm.x="GK")*1, (_xlpm.x="GA")*1)&gt;0, 3, 1))</f>
        <v>3</v>
      </c>
      <c r="Y141" s="25" cm="1">
        <f t="array" ref="Y141">_xlfn.LET(_xlpm.x, M141:M143, IF(SUM((_xlpm.x="K")*1, (_xlpm.x="A")*1, (_xlpm.x="GK")*1, (_xlpm.x="GA")*1)&gt;0, 3, 1))</f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35</v>
      </c>
      <c r="M142" s="16" t="s">
        <v>105</v>
      </c>
      <c r="N142" s="16" t="s">
        <v>36</v>
      </c>
      <c r="O142" s="16" t="s">
        <v>34</v>
      </c>
      <c r="Q142" s="9">
        <v>7</v>
      </c>
      <c r="R142" s="9">
        <v>8</v>
      </c>
      <c r="S142" s="9">
        <v>15</v>
      </c>
      <c r="T142" s="9">
        <v>10</v>
      </c>
      <c r="U142" s="9">
        <v>9</v>
      </c>
      <c r="W142" s="25" cm="1">
        <f t="array" ref="W142">_xlfn.LET(_xlpm.x, K142:K144, IF(SUM((_xlpm.x="K")*1, (_xlpm.x="A")*1, (_xlpm.x="GK")*1, (_xlpm.x="GA")*1)&gt;0, 3, 1))</f>
        <v>3</v>
      </c>
      <c r="X142" s="25" cm="1">
        <f t="array" ref="X142">_xlfn.LET(_xlpm.x, L142:L144, IF(SUM((_xlpm.x="K")*1, (_xlpm.x="A")*1, (_xlpm.x="GK")*1, (_xlpm.x="GA")*1)&gt;0, 3, 1))</f>
        <v>3</v>
      </c>
      <c r="Y142" s="25" cm="1">
        <f t="array" ref="Y142">_xlfn.LET(_xlpm.x, M142:M144, IF(SUM((_xlpm.x="K")*1, (_xlpm.x="A")*1, (_xlpm.x="GK")*1, (_xlpm.x="GA")*1)&gt;0, 3, 1))</f>
        <v>3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22</v>
      </c>
      <c r="L143" s="16" t="s">
        <v>36</v>
      </c>
      <c r="M143" s="16" t="s">
        <v>89</v>
      </c>
      <c r="N143" s="16" t="s">
        <v>18</v>
      </c>
      <c r="O143" s="16" t="s">
        <v>37</v>
      </c>
      <c r="Q143" s="9">
        <v>3</v>
      </c>
      <c r="R143" s="9">
        <v>10</v>
      </c>
      <c r="S143" s="9">
        <v>14</v>
      </c>
      <c r="T143" s="9">
        <v>4</v>
      </c>
      <c r="U143" s="9">
        <v>7</v>
      </c>
      <c r="W143" s="25" cm="1">
        <f t="array" ref="W143">_xlfn.LET(_xlpm.x, K143:K145, IF(SUM((_xlpm.x="K")*1, (_xlpm.x="A")*1, (_xlpm.x="GK")*1, (_xlpm.x="GA")*1)&gt;0, 3, 1))</f>
        <v>3</v>
      </c>
      <c r="X143" s="25" cm="1">
        <f t="array" ref="X143">_xlfn.LET(_xlpm.x, L143:L145, IF(SUM((_xlpm.x="K")*1, (_xlpm.x="A")*1, (_xlpm.x="GK")*1, (_xlpm.x="GA")*1)&gt;0, 3, 1))</f>
        <v>3</v>
      </c>
      <c r="Y143" s="25" cm="1">
        <f t="array" ref="Y143">_xlfn.LET(_xlpm.x, M143:M145, IF(SUM((_xlpm.x="K")*1, (_xlpm.x="A")*1, (_xlpm.x="GK")*1, (_xlpm.x="GA")*1)&gt;0, 3, 1))</f>
        <v>3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37</v>
      </c>
      <c r="L144" s="16" t="s">
        <v>102</v>
      </c>
      <c r="M144" s="16" t="s">
        <v>102</v>
      </c>
      <c r="N144" s="16" t="s">
        <v>36</v>
      </c>
      <c r="O144" s="16" t="s">
        <v>18</v>
      </c>
      <c r="Q144" s="9">
        <v>7</v>
      </c>
      <c r="R144" s="9">
        <v>17</v>
      </c>
      <c r="S144" s="9">
        <v>17</v>
      </c>
      <c r="T144" s="9">
        <v>10</v>
      </c>
      <c r="U144" s="9">
        <v>4</v>
      </c>
      <c r="W144" s="25" cm="1">
        <f t="array" ref="W144">_xlfn.LET(_xlpm.x, K144:K146, IF(SUM((_xlpm.x="K")*1, (_xlpm.x="A")*1, (_xlpm.x="GK")*1, (_xlpm.x="GA")*1)&gt;0, 3, 1))</f>
        <v>3</v>
      </c>
      <c r="X144" s="25" cm="1">
        <f t="array" ref="X144">_xlfn.LET(_xlpm.x, L144:L146, IF(SUM((_xlpm.x="K")*1, (_xlpm.x="A")*1, (_xlpm.x="GK")*1, (_xlpm.x="GA")*1)&gt;0, 3, 1))</f>
        <v>3</v>
      </c>
      <c r="Y144" s="25" cm="1">
        <f t="array" ref="Y144">_xlfn.LET(_xlpm.x, M144:M146, IF(SUM((_xlpm.x="K")*1, (_xlpm.x="A")*1, (_xlpm.x="GK")*1, (_xlpm.x="GA")*1)&gt;0, 3, 1))</f>
        <v>3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36</v>
      </c>
      <c r="L145" s="16" t="s">
        <v>32</v>
      </c>
      <c r="M145" s="16" t="s">
        <v>90</v>
      </c>
      <c r="N145" s="16" t="s">
        <v>36</v>
      </c>
      <c r="O145" s="16" t="s">
        <v>18</v>
      </c>
      <c r="Q145" s="9">
        <v>10</v>
      </c>
      <c r="R145" s="9">
        <v>9</v>
      </c>
      <c r="S145" s="9">
        <v>16</v>
      </c>
      <c r="T145" s="9">
        <v>10</v>
      </c>
      <c r="U145" s="9">
        <v>4</v>
      </c>
      <c r="W145" s="25" cm="1">
        <f t="array" ref="W145">_xlfn.LET(_xlpm.x, K145:K147, IF(SUM((_xlpm.x="K")*1, (_xlpm.x="A")*1, (_xlpm.x="GK")*1, (_xlpm.x="GA")*1)&gt;0, 3, 1))</f>
        <v>3</v>
      </c>
      <c r="X145" s="25" cm="1">
        <f t="array" ref="X145">_xlfn.LET(_xlpm.x, L145:L147, IF(SUM((_xlpm.x="K")*1, (_xlpm.x="A")*1, (_xlpm.x="GK")*1, (_xlpm.x="GA")*1)&gt;0, 3, 1))</f>
        <v>3</v>
      </c>
      <c r="Y145" s="25" cm="1">
        <f t="array" ref="Y145">_xlfn.LET(_xlpm.x, M145:M147, IF(SUM((_xlpm.x="K")*1, (_xlpm.x="A")*1, (_xlpm.x="GK")*1, (_xlpm.x="GA")*1)&gt;0, 3, 1))</f>
        <v>3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37</v>
      </c>
      <c r="L146" s="16" t="s">
        <v>90</v>
      </c>
      <c r="M146" s="16" t="s">
        <v>105</v>
      </c>
      <c r="N146" s="16" t="s">
        <v>36</v>
      </c>
      <c r="O146" s="16" t="s">
        <v>104</v>
      </c>
      <c r="Q146" s="9">
        <v>7</v>
      </c>
      <c r="R146" s="9">
        <v>16</v>
      </c>
      <c r="S146" s="9">
        <v>15</v>
      </c>
      <c r="T146" s="9">
        <v>10</v>
      </c>
      <c r="U146" s="9">
        <v>6</v>
      </c>
      <c r="W146" s="25" cm="1">
        <f t="array" ref="W146">_xlfn.LET(_xlpm.x, K146:K148, IF(SUM((_xlpm.x="K")*1, (_xlpm.x="A")*1, (_xlpm.x="GK")*1, (_xlpm.x="GA")*1)&gt;0, 3, 1))</f>
        <v>3</v>
      </c>
      <c r="X146" s="25" cm="1">
        <f t="array" ref="X146">_xlfn.LET(_xlpm.x, L146:L148, IF(SUM((_xlpm.x="K")*1, (_xlpm.x="A")*1, (_xlpm.x="GK")*1, (_xlpm.x="GA")*1)&gt;0, 3, 1))</f>
        <v>3</v>
      </c>
      <c r="Y146" s="25" cm="1">
        <f t="array" ref="Y146">_xlfn.LET(_xlpm.x, M146:M148, IF(SUM((_xlpm.x="K")*1, (_xlpm.x="A")*1, (_xlpm.x="GK")*1, (_xlpm.x="GA")*1)&gt;0, 3, 1))</f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37</v>
      </c>
      <c r="L147" s="16" t="s">
        <v>21</v>
      </c>
      <c r="M147" s="16" t="s">
        <v>89</v>
      </c>
      <c r="N147" s="16" t="s">
        <v>88</v>
      </c>
      <c r="O147" s="16" t="s">
        <v>18</v>
      </c>
      <c r="Q147" s="9">
        <v>7</v>
      </c>
      <c r="R147" s="9">
        <v>2</v>
      </c>
      <c r="S147" s="9">
        <v>14</v>
      </c>
      <c r="T147" s="9">
        <v>13</v>
      </c>
      <c r="U147" s="9">
        <v>4</v>
      </c>
      <c r="W147" s="25" cm="1">
        <f t="array" ref="W147">_xlfn.LET(_xlpm.x, K147:K149, IF(SUM((_xlpm.x="K")*1, (_xlpm.x="A")*1, (_xlpm.x="GK")*1, (_xlpm.x="GA")*1)&gt;0, 3, 1))</f>
        <v>3</v>
      </c>
      <c r="X147" s="25" cm="1">
        <f t="array" ref="X147">_xlfn.LET(_xlpm.x, L147:L149, IF(SUM((_xlpm.x="K")*1, (_xlpm.x="A")*1, (_xlpm.x="GK")*1, (_xlpm.x="GA")*1)&gt;0, 3, 1))</f>
        <v>1</v>
      </c>
      <c r="Y147" s="25" cm="1">
        <f t="array" ref="Y147">_xlfn.LET(_xlpm.x, M147:M149, IF(SUM((_xlpm.x="K")*1, (_xlpm.x="A")*1, (_xlpm.x="GK")*1, (_xlpm.x="GA")*1)&gt;0, 3, 1))</f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19</v>
      </c>
      <c r="L148" s="16" t="s">
        <v>22</v>
      </c>
      <c r="M148" s="16" t="s">
        <v>105</v>
      </c>
      <c r="N148" s="16" t="s">
        <v>105</v>
      </c>
      <c r="O148" s="16" t="s">
        <v>21</v>
      </c>
      <c r="Q148" s="9">
        <v>5</v>
      </c>
      <c r="R148" s="9">
        <v>3</v>
      </c>
      <c r="S148" s="9">
        <v>15</v>
      </c>
      <c r="T148" s="9">
        <v>15</v>
      </c>
      <c r="U148" s="9">
        <v>2</v>
      </c>
      <c r="W148" s="25" cm="1">
        <f t="array" ref="W148">_xlfn.LET(_xlpm.x, K148:K150, IF(SUM((_xlpm.x="K")*1, (_xlpm.x="A")*1, (_xlpm.x="GK")*1, (_xlpm.x="GA")*1)&gt;0, 3, 1))</f>
        <v>3</v>
      </c>
      <c r="X148" s="25" cm="1">
        <f t="array" ref="X148">_xlfn.LET(_xlpm.x, L148:L150, IF(SUM((_xlpm.x="K")*1, (_xlpm.x="A")*1, (_xlpm.x="GK")*1, (_xlpm.x="GA")*1)&gt;0, 3, 1))</f>
        <v>3</v>
      </c>
      <c r="Y148" s="25" cm="1">
        <f t="array" ref="Y148">_xlfn.LET(_xlpm.x, M148:M150, IF(SUM((_xlpm.x="K")*1, (_xlpm.x="A")*1, (_xlpm.x="GK")*1, (_xlpm.x="GA")*1)&gt;0, 3, 1))</f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37</v>
      </c>
      <c r="L149" s="16" t="s">
        <v>87</v>
      </c>
      <c r="M149" s="16" t="s">
        <v>89</v>
      </c>
      <c r="N149" s="16" t="s">
        <v>102</v>
      </c>
      <c r="O149" s="16" t="s">
        <v>21</v>
      </c>
      <c r="Q149" s="9">
        <v>7</v>
      </c>
      <c r="R149" s="9">
        <v>12</v>
      </c>
      <c r="S149" s="9">
        <v>14</v>
      </c>
      <c r="T149" s="9">
        <v>17</v>
      </c>
      <c r="U149" s="9">
        <v>2</v>
      </c>
      <c r="W149" s="25" cm="1">
        <f t="array" ref="W149">_xlfn.LET(_xlpm.x, K149:K151, IF(SUM((_xlpm.x="K")*1, (_xlpm.x="A")*1, (_xlpm.x="GK")*1, (_xlpm.x="GA")*1)&gt;0, 3, 1))</f>
        <v>3</v>
      </c>
      <c r="X149" s="25" cm="1">
        <f t="array" ref="X149">_xlfn.LET(_xlpm.x, L149:L151, IF(SUM((_xlpm.x="K")*1, (_xlpm.x="A")*1, (_xlpm.x="GK")*1, (_xlpm.x="GA")*1)&gt;0, 3, 1))</f>
        <v>3</v>
      </c>
      <c r="Y149" s="25" cm="1">
        <f t="array" ref="Y149">_xlfn.LET(_xlpm.x, M149:M151, IF(SUM((_xlpm.x="K")*1, (_xlpm.x="A")*1, (_xlpm.x="GK")*1, (_xlpm.x="GA")*1)&gt;0, 3, 1))</f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104</v>
      </c>
      <c r="L150" s="16" t="s">
        <v>37</v>
      </c>
      <c r="M150" s="16" t="s">
        <v>105</v>
      </c>
      <c r="N150" s="16" t="s">
        <v>18</v>
      </c>
      <c r="O150" s="16" t="s">
        <v>36</v>
      </c>
      <c r="Q150" s="9">
        <v>6</v>
      </c>
      <c r="R150" s="9">
        <v>7</v>
      </c>
      <c r="S150" s="9">
        <v>15</v>
      </c>
      <c r="T150" s="9">
        <v>4</v>
      </c>
      <c r="U150" s="9">
        <v>10</v>
      </c>
      <c r="W150" s="25" cm="1">
        <f t="array" ref="W150">_xlfn.LET(_xlpm.x, K150:K152, IF(SUM((_xlpm.x="K")*1, (_xlpm.x="A")*1, (_xlpm.x="GK")*1, (_xlpm.x="GA")*1)&gt;0, 3, 1))</f>
        <v>3</v>
      </c>
      <c r="X150" s="25" cm="1">
        <f t="array" ref="X150">_xlfn.LET(_xlpm.x, L150:L152, IF(SUM((_xlpm.x="K")*1, (_xlpm.x="A")*1, (_xlpm.x="GK")*1, (_xlpm.x="GA")*1)&gt;0, 3, 1))</f>
        <v>3</v>
      </c>
      <c r="Y150" s="25" cm="1">
        <f t="array" ref="Y150">_xlfn.LET(_xlpm.x, M150:M152, IF(SUM((_xlpm.x="K")*1, (_xlpm.x="A")*1, (_xlpm.x="GK")*1, (_xlpm.x="GA")*1)&gt;0, 3, 1))</f>
        <v>3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37</v>
      </c>
      <c r="L151" s="16" t="s">
        <v>36</v>
      </c>
      <c r="M151" s="16" t="s">
        <v>89</v>
      </c>
      <c r="N151" s="16" t="s">
        <v>87</v>
      </c>
      <c r="O151" s="16" t="s">
        <v>34</v>
      </c>
      <c r="Q151" s="9">
        <v>7</v>
      </c>
      <c r="R151" s="9">
        <v>10</v>
      </c>
      <c r="S151" s="9">
        <v>14</v>
      </c>
      <c r="T151" s="9">
        <v>12</v>
      </c>
      <c r="U151" s="9">
        <v>9</v>
      </c>
      <c r="W151" s="25" cm="1">
        <f t="array" ref="W151">_xlfn.LET(_xlpm.x, K151:K153, IF(SUM((_xlpm.x="K")*1, (_xlpm.x="A")*1, (_xlpm.x="GK")*1, (_xlpm.x="GA")*1)&gt;0, 3, 1))</f>
        <v>3</v>
      </c>
      <c r="X151" s="25" cm="1">
        <f t="array" ref="X151">_xlfn.LET(_xlpm.x, L151:L153, IF(SUM((_xlpm.x="K")*1, (_xlpm.x="A")*1, (_xlpm.x="GK")*1, (_xlpm.x="GA")*1)&gt;0, 3, 1))</f>
        <v>1</v>
      </c>
      <c r="Y151" s="25" cm="1">
        <f t="array" ref="Y151">_xlfn.LET(_xlpm.x, M151:M153, IF(SUM((_xlpm.x="K")*1, (_xlpm.x="A")*1, (_xlpm.x="GK")*1, (_xlpm.x="GA")*1)&gt;0, 3, 1))</f>
        <v>3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37</v>
      </c>
      <c r="L152" s="16" t="s">
        <v>93</v>
      </c>
      <c r="M152" s="16" t="s">
        <v>90</v>
      </c>
      <c r="N152" s="16" t="s">
        <v>36</v>
      </c>
      <c r="O152" s="16" t="s">
        <v>18</v>
      </c>
      <c r="Q152" s="9">
        <v>7</v>
      </c>
      <c r="R152" s="9">
        <v>18</v>
      </c>
      <c r="S152" s="9">
        <v>16</v>
      </c>
      <c r="T152" s="9">
        <v>10</v>
      </c>
      <c r="U152" s="9">
        <v>4</v>
      </c>
      <c r="W152" s="25" cm="1">
        <f t="array" ref="W152">_xlfn.LET(_xlpm.x, K152:K154, IF(SUM((_xlpm.x="K")*1, (_xlpm.x="A")*1, (_xlpm.x="GK")*1, (_xlpm.x="GA")*1)&gt;0, 3, 1))</f>
        <v>3</v>
      </c>
      <c r="X152" s="25" cm="1">
        <f t="array" ref="X152">_xlfn.LET(_xlpm.x, L152:L154, IF(SUM((_xlpm.x="K")*1, (_xlpm.x="A")*1, (_xlpm.x="GK")*1, (_xlpm.x="GA")*1)&gt;0, 3, 1))</f>
        <v>3</v>
      </c>
      <c r="Y152" s="25" cm="1">
        <f t="array" ref="Y152">_xlfn.LET(_xlpm.x, M152:M154, IF(SUM((_xlpm.x="K")*1, (_xlpm.x="A")*1, (_xlpm.x="GK")*1, (_xlpm.x="GA")*1)&gt;0, 3, 1))</f>
        <v>3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104</v>
      </c>
      <c r="L153" s="16" t="s">
        <v>105</v>
      </c>
      <c r="M153" s="16" t="s">
        <v>105</v>
      </c>
      <c r="N153" s="16" t="s">
        <v>37</v>
      </c>
      <c r="O153" s="16" t="s">
        <v>21</v>
      </c>
      <c r="Q153" s="9">
        <v>6</v>
      </c>
      <c r="R153" s="9">
        <v>15</v>
      </c>
      <c r="S153" s="9">
        <v>15</v>
      </c>
      <c r="T153" s="9">
        <v>7</v>
      </c>
      <c r="U153" s="9">
        <v>2</v>
      </c>
      <c r="W153" s="25" cm="1">
        <f t="array" ref="W153">_xlfn.LET(_xlpm.x, K153:K155, IF(SUM((_xlpm.x="K")*1, (_xlpm.x="A")*1, (_xlpm.x="GK")*1, (_xlpm.x="GA")*1)&gt;0, 3, 1))</f>
        <v>3</v>
      </c>
      <c r="X153" s="25" cm="1">
        <f t="array" ref="X153">_xlfn.LET(_xlpm.x, L153:L155, IF(SUM((_xlpm.x="K")*1, (_xlpm.x="A")*1, (_xlpm.x="GK")*1, (_xlpm.x="GA")*1)&gt;0, 3, 1))</f>
        <v>3</v>
      </c>
      <c r="Y153" s="25" cm="1">
        <f t="array" ref="Y153">_xlfn.LET(_xlpm.x, M153:M155, IF(SUM((_xlpm.x="K")*1, (_xlpm.x="A")*1, (_xlpm.x="GK")*1, (_xlpm.x="GA")*1)&gt;0, 3, 1))</f>
        <v>3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23</v>
      </c>
      <c r="M154" s="16" t="s">
        <v>102</v>
      </c>
      <c r="N154" s="16" t="s">
        <v>34</v>
      </c>
      <c r="O154" s="16" t="s">
        <v>22</v>
      </c>
      <c r="Q154" s="9">
        <v>7</v>
      </c>
      <c r="R154" s="9">
        <v>7</v>
      </c>
      <c r="S154" s="9">
        <v>17</v>
      </c>
      <c r="T154" s="9">
        <v>9</v>
      </c>
      <c r="U154" s="9">
        <v>3</v>
      </c>
      <c r="W154" s="25" cm="1">
        <f t="array" ref="W154">_xlfn.LET(_xlpm.x, K154:K156, IF(SUM((_xlpm.x="K")*1, (_xlpm.x="A")*1, (_xlpm.x="GK")*1, (_xlpm.x="GA")*1)&gt;0, 3, 1))</f>
        <v>3</v>
      </c>
      <c r="X154" s="25" cm="1">
        <f t="array" ref="X154">_xlfn.LET(_xlpm.x, L154:L156, IF(SUM((_xlpm.x="K")*1, (_xlpm.x="A")*1, (_xlpm.x="GK")*1, (_xlpm.x="GA")*1)&gt;0, 3, 1))</f>
        <v>3</v>
      </c>
      <c r="Y154" s="25" cm="1">
        <f t="array" ref="Y154">_xlfn.LET(_xlpm.x, M154:M156, IF(SUM((_xlpm.x="K")*1, (_xlpm.x="A")*1, (_xlpm.x="GK")*1, (_xlpm.x="GA")*1)&gt;0, 3, 1))</f>
        <v>3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19</v>
      </c>
      <c r="L155" s="16" t="s">
        <v>35</v>
      </c>
      <c r="M155" s="16" t="s">
        <v>105</v>
      </c>
      <c r="N155" s="16" t="s">
        <v>21</v>
      </c>
      <c r="O155" s="16" t="s">
        <v>36</v>
      </c>
      <c r="Q155" s="9">
        <v>5</v>
      </c>
      <c r="R155" s="9">
        <v>8</v>
      </c>
      <c r="S155" s="9">
        <v>15</v>
      </c>
      <c r="T155" s="9">
        <v>2</v>
      </c>
      <c r="U155" s="9">
        <v>10</v>
      </c>
      <c r="W155" s="25" cm="1">
        <f t="array" ref="W155">_xlfn.LET(_xlpm.x, K155:K157, IF(SUM((_xlpm.x="K")*1, (_xlpm.x="A")*1, (_xlpm.x="GK")*1, (_xlpm.x="GA")*1)&gt;0, 3, 1))</f>
        <v>3</v>
      </c>
      <c r="X155" s="25" cm="1">
        <f t="array" ref="X155">_xlfn.LET(_xlpm.x, L155:L157, IF(SUM((_xlpm.x="K")*1, (_xlpm.x="A")*1, (_xlpm.x="GK")*1, (_xlpm.x="GA")*1)&gt;0, 3, 1))</f>
        <v>3</v>
      </c>
      <c r="Y155" s="25" cm="1">
        <f t="array" ref="Y155">_xlfn.LET(_xlpm.x, M155:M157, IF(SUM((_xlpm.x="K")*1, (_xlpm.x="A")*1, (_xlpm.x="GK")*1, (_xlpm.x="GA")*1)&gt;0, 3, 1))</f>
        <v>3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37</v>
      </c>
      <c r="L156" s="16" t="s">
        <v>86</v>
      </c>
      <c r="M156" s="16" t="s">
        <v>102</v>
      </c>
      <c r="N156" s="16" t="s">
        <v>20</v>
      </c>
      <c r="O156" s="16" t="s">
        <v>34</v>
      </c>
      <c r="Q156" s="9">
        <v>7</v>
      </c>
      <c r="R156" s="9">
        <v>11</v>
      </c>
      <c r="S156" s="9">
        <v>17</v>
      </c>
      <c r="T156" s="9">
        <v>1</v>
      </c>
      <c r="U156" s="9">
        <v>9</v>
      </c>
      <c r="W156" s="25" cm="1">
        <f t="array" ref="W156">_xlfn.LET(_xlpm.x, K156:K158, IF(SUM((_xlpm.x="K")*1, (_xlpm.x="A")*1, (_xlpm.x="GK")*1, (_xlpm.x="GA")*1)&gt;0, 3, 1))</f>
        <v>3</v>
      </c>
      <c r="X156" s="25" cm="1">
        <f t="array" ref="X156">_xlfn.LET(_xlpm.x, L156:L158, IF(SUM((_xlpm.x="K")*1, (_xlpm.x="A")*1, (_xlpm.x="GK")*1, (_xlpm.x="GA")*1)&gt;0, 3, 1))</f>
        <v>3</v>
      </c>
      <c r="Y156" s="25" cm="1">
        <f t="array" ref="Y156">_xlfn.LET(_xlpm.x, M156:M158, IF(SUM((_xlpm.x="K")*1, (_xlpm.x="A")*1, (_xlpm.x="GK")*1, (_xlpm.x="GA")*1)&gt;0, 3, 1))</f>
        <v>3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104</v>
      </c>
      <c r="L157" s="16" t="s">
        <v>37</v>
      </c>
      <c r="M157" s="16" t="s">
        <v>105</v>
      </c>
      <c r="N157" s="16" t="s">
        <v>22</v>
      </c>
      <c r="O157" s="16" t="s">
        <v>18</v>
      </c>
      <c r="Q157" s="9">
        <v>6</v>
      </c>
      <c r="R157" s="9">
        <v>7</v>
      </c>
      <c r="S157" s="9">
        <v>15</v>
      </c>
      <c r="T157" s="9">
        <v>3</v>
      </c>
      <c r="U157" s="9">
        <v>4</v>
      </c>
      <c r="W157" s="25" cm="1">
        <f t="array" ref="W157">_xlfn.LET(_xlpm.x, K157:K159, IF(SUM((_xlpm.x="K")*1, (_xlpm.x="A")*1, (_xlpm.x="GK")*1, (_xlpm.x="GA")*1)&gt;0, 3, 1))</f>
        <v>3</v>
      </c>
      <c r="X157" s="25" cm="1">
        <f t="array" ref="X157">_xlfn.LET(_xlpm.x, L157:L159, IF(SUM((_xlpm.x="K")*1, (_xlpm.x="A")*1, (_xlpm.x="GK")*1, (_xlpm.x="GA")*1)&gt;0, 3, 1))</f>
        <v>3</v>
      </c>
      <c r="Y157" s="25" cm="1">
        <f t="array" ref="Y157">_xlfn.LET(_xlpm.x, M157:M159, IF(SUM((_xlpm.x="K")*1, (_xlpm.x="A")*1, (_xlpm.x="GK")*1, (_xlpm.x="GA")*1)&gt;0, 3, 1))</f>
        <v>3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19</v>
      </c>
      <c r="L158" s="16" t="s">
        <v>104</v>
      </c>
      <c r="M158" s="16" t="s">
        <v>90</v>
      </c>
      <c r="N158" s="16" t="s">
        <v>19</v>
      </c>
      <c r="O158" s="16" t="s">
        <v>104</v>
      </c>
      <c r="Q158" s="9">
        <v>5</v>
      </c>
      <c r="R158" s="9">
        <v>6</v>
      </c>
      <c r="S158" s="9">
        <v>16</v>
      </c>
      <c r="T158" s="9">
        <v>5</v>
      </c>
      <c r="U158" s="9">
        <v>6</v>
      </c>
      <c r="W158" s="25" cm="1">
        <f t="array" ref="W158">_xlfn.LET(_xlpm.x, K158:K160, IF(SUM((_xlpm.x="K")*1, (_xlpm.x="A")*1, (_xlpm.x="GK")*1, (_xlpm.x="GA")*1)&gt;0, 3, 1))</f>
        <v>3</v>
      </c>
      <c r="X158" s="25" cm="1">
        <f t="array" ref="X158">_xlfn.LET(_xlpm.x, L158:L160, IF(SUM((_xlpm.x="K")*1, (_xlpm.x="A")*1, (_xlpm.x="GK")*1, (_xlpm.x="GA")*1)&gt;0, 3, 1))</f>
        <v>3</v>
      </c>
      <c r="Y158" s="25" cm="1">
        <f t="array" ref="Y158">_xlfn.LET(_xlpm.x, M158:M160, IF(SUM((_xlpm.x="K")*1, (_xlpm.x="A")*1, (_xlpm.x="GK")*1, (_xlpm.x="GA")*1)&gt;0, 3, 1))</f>
        <v>3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93</v>
      </c>
      <c r="M159" s="16" t="s">
        <v>102</v>
      </c>
      <c r="N159" s="16" t="s">
        <v>34</v>
      </c>
      <c r="O159" s="16" t="s">
        <v>21</v>
      </c>
      <c r="Q159" s="9">
        <v>8</v>
      </c>
      <c r="R159" s="9">
        <v>18</v>
      </c>
      <c r="S159" s="9">
        <v>17</v>
      </c>
      <c r="T159" s="9">
        <v>9</v>
      </c>
      <c r="U159" s="9">
        <v>2</v>
      </c>
      <c r="W159" s="25" cm="1">
        <f t="array" ref="W159">_xlfn.LET(_xlpm.x, K159:K161, IF(SUM((_xlpm.x="K")*1, (_xlpm.x="A")*1, (_xlpm.x="GK")*1, (_xlpm.x="GA")*1)&gt;0, 3, 1))</f>
        <v>3</v>
      </c>
      <c r="X159" s="25" cm="1">
        <f t="array" ref="X159">_xlfn.LET(_xlpm.x, L159:L161, IF(SUM((_xlpm.x="K")*1, (_xlpm.x="A")*1, (_xlpm.x="GK")*1, (_xlpm.x="GA")*1)&gt;0, 3, 1))</f>
        <v>3</v>
      </c>
      <c r="Y159" s="25" cm="1">
        <f t="array" ref="Y159">_xlfn.LET(_xlpm.x, M159:M161, IF(SUM((_xlpm.x="K")*1, (_xlpm.x="A")*1, (_xlpm.x="GK")*1, (_xlpm.x="GA")*1)&gt;0, 3, 1))</f>
        <v>3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19</v>
      </c>
      <c r="L160" s="16" t="s">
        <v>102</v>
      </c>
      <c r="M160" s="16" t="s">
        <v>90</v>
      </c>
      <c r="N160" s="16" t="s">
        <v>34</v>
      </c>
      <c r="O160" s="16" t="s">
        <v>104</v>
      </c>
      <c r="Q160" s="9">
        <v>5</v>
      </c>
      <c r="R160" s="9">
        <v>17</v>
      </c>
      <c r="S160" s="9">
        <v>16</v>
      </c>
      <c r="T160" s="9">
        <v>9</v>
      </c>
      <c r="U160" s="9">
        <v>6</v>
      </c>
      <c r="W160" s="25" cm="1">
        <f t="array" ref="W160">_xlfn.LET(_xlpm.x, K160:K162, IF(SUM((_xlpm.x="K")*1, (_xlpm.x="A")*1, (_xlpm.x="GK")*1, (_xlpm.x="GA")*1)&gt;0, 3, 1))</f>
        <v>3</v>
      </c>
      <c r="X160" s="25" cm="1">
        <f t="array" ref="X160">_xlfn.LET(_xlpm.x, L160:L162, IF(SUM((_xlpm.x="K")*1, (_xlpm.x="A")*1, (_xlpm.x="GK")*1, (_xlpm.x="GA")*1)&gt;0, 3, 1))</f>
        <v>3</v>
      </c>
      <c r="Y160" s="25" cm="1">
        <f t="array" ref="Y160">_xlfn.LET(_xlpm.x, M160:M162, IF(SUM((_xlpm.x="K")*1, (_xlpm.x="A")*1, (_xlpm.x="GK")*1, (_xlpm.x="GA")*1)&gt;0, 3, 1))</f>
        <v>3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285</v>
      </c>
      <c r="M161" s="16" t="s">
        <v>102</v>
      </c>
      <c r="N161" s="16" t="s">
        <v>18</v>
      </c>
      <c r="O161" s="16" t="s">
        <v>19</v>
      </c>
      <c r="Q161" s="9">
        <v>8</v>
      </c>
      <c r="R161" s="9">
        <v>6</v>
      </c>
      <c r="S161" s="9">
        <v>17</v>
      </c>
      <c r="T161" s="9">
        <v>4</v>
      </c>
      <c r="U161" s="9">
        <v>5</v>
      </c>
      <c r="W161" s="25" cm="1">
        <f t="array" ref="W161">_xlfn.LET(_xlpm.x, K161:K163, IF(SUM((_xlpm.x="K")*1, (_xlpm.x="A")*1, (_xlpm.x="GK")*1, (_xlpm.x="GA")*1)&gt;0, 3, 1))</f>
        <v>3</v>
      </c>
      <c r="X161" s="25" cm="1">
        <f t="array" ref="X161">_xlfn.LET(_xlpm.x, L161:L163, IF(SUM((_xlpm.x="K")*1, (_xlpm.x="A")*1, (_xlpm.x="GK")*1, (_xlpm.x="GA")*1)&gt;0, 3, 1))</f>
        <v>3</v>
      </c>
      <c r="Y161" s="25" cm="1">
        <f t="array" ref="Y161">_xlfn.LET(_xlpm.x, M161:M163, IF(SUM((_xlpm.x="K")*1, (_xlpm.x="A")*1, (_xlpm.x="GK")*1, (_xlpm.x="GA")*1)&gt;0, 3, 1))</f>
        <v>3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37</v>
      </c>
      <c r="L162" s="16" t="s">
        <v>37</v>
      </c>
      <c r="M162" s="16" t="s">
        <v>90</v>
      </c>
      <c r="N162" s="16" t="s">
        <v>87</v>
      </c>
      <c r="O162" s="16" t="s">
        <v>19</v>
      </c>
      <c r="Q162" s="9">
        <v>7</v>
      </c>
      <c r="R162" s="9">
        <v>7</v>
      </c>
      <c r="S162" s="9">
        <v>16</v>
      </c>
      <c r="T162" s="9">
        <v>12</v>
      </c>
      <c r="U162" s="9">
        <v>5</v>
      </c>
      <c r="W162" s="25" cm="1">
        <f t="array" ref="W162">_xlfn.LET(_xlpm.x, K162:K164, IF(SUM((_xlpm.x="K")*1, (_xlpm.x="A")*1, (_xlpm.x="GK")*1, (_xlpm.x="GA")*1)&gt;0, 3, 1))</f>
        <v>3</v>
      </c>
      <c r="X162" s="25" cm="1">
        <f t="array" ref="X162">_xlfn.LET(_xlpm.x, L162:L164, IF(SUM((_xlpm.x="K")*1, (_xlpm.x="A")*1, (_xlpm.x="GK")*1, (_xlpm.x="GA")*1)&gt;0, 3, 1))</f>
        <v>3</v>
      </c>
      <c r="Y162" s="25" cm="1">
        <f t="array" ref="Y162">_xlfn.LET(_xlpm.x, M162:M164, IF(SUM((_xlpm.x="K")*1, (_xlpm.x="A")*1, (_xlpm.x="GK")*1, (_xlpm.x="GA")*1)&gt;0, 3, 1))</f>
        <v>3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104</v>
      </c>
      <c r="L163" s="16" t="s">
        <v>90</v>
      </c>
      <c r="M163" s="16" t="s">
        <v>102</v>
      </c>
      <c r="N163" s="16" t="s">
        <v>19</v>
      </c>
      <c r="O163" s="16" t="s">
        <v>36</v>
      </c>
      <c r="Q163" s="9">
        <v>6</v>
      </c>
      <c r="R163" s="9">
        <v>16</v>
      </c>
      <c r="S163" s="9">
        <v>17</v>
      </c>
      <c r="T163" s="9">
        <v>5</v>
      </c>
      <c r="U163" s="9">
        <v>10</v>
      </c>
      <c r="W163" s="25" cm="1">
        <f t="array" ref="W163">_xlfn.LET(_xlpm.x, K163:K165, IF(SUM((_xlpm.x="K")*1, (_xlpm.x="A")*1, (_xlpm.x="GK")*1, (_xlpm.x="GA")*1)&gt;0, 3, 1))</f>
        <v>3</v>
      </c>
      <c r="X163" s="25" cm="1">
        <f t="array" ref="X163">_xlfn.LET(_xlpm.x, L163:L165, IF(SUM((_xlpm.x="K")*1, (_xlpm.x="A")*1, (_xlpm.x="GK")*1, (_xlpm.x="GA")*1)&gt;0, 3, 1))</f>
        <v>3</v>
      </c>
      <c r="Y163" s="25" cm="1">
        <f t="array" ref="Y163">_xlfn.LET(_xlpm.x, M163:M165, IF(SUM((_xlpm.x="K")*1, (_xlpm.x="A")*1, (_xlpm.x="GK")*1, (_xlpm.x="GA")*1)&gt;0, 3, 1))</f>
        <v>3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19</v>
      </c>
      <c r="L164" s="16" t="s">
        <v>37</v>
      </c>
      <c r="M164" s="16" t="s">
        <v>89</v>
      </c>
      <c r="N164" s="16" t="s">
        <v>21</v>
      </c>
      <c r="O164" s="16" t="s">
        <v>22</v>
      </c>
      <c r="Q164" s="9">
        <v>5</v>
      </c>
      <c r="R164" s="9">
        <v>7</v>
      </c>
      <c r="S164" s="9">
        <v>14</v>
      </c>
      <c r="T164" s="9">
        <v>2</v>
      </c>
      <c r="U164" s="9">
        <v>3</v>
      </c>
      <c r="W164" s="25" cm="1">
        <f t="array" ref="W164">_xlfn.LET(_xlpm.x, K164:K166, IF(SUM((_xlpm.x="K")*1, (_xlpm.x="A")*1, (_xlpm.x="GK")*1, (_xlpm.x="GA")*1)&gt;0, 3, 1))</f>
        <v>3</v>
      </c>
      <c r="X164" s="25" cm="1">
        <f t="array" ref="X164">_xlfn.LET(_xlpm.x, L164:L166, IF(SUM((_xlpm.x="K")*1, (_xlpm.x="A")*1, (_xlpm.x="GK")*1, (_xlpm.x="GA")*1)&gt;0, 3, 1))</f>
        <v>3</v>
      </c>
      <c r="Y164" s="25" cm="1">
        <f t="array" ref="Y164">_xlfn.LET(_xlpm.x, M164:M166, IF(SUM((_xlpm.x="K")*1, (_xlpm.x="A")*1, (_xlpm.x="GK")*1, (_xlpm.x="GA")*1)&gt;0, 3, 1))</f>
        <v>3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35</v>
      </c>
      <c r="L165" s="16" t="s">
        <v>286</v>
      </c>
      <c r="M165" s="16" t="s">
        <v>102</v>
      </c>
      <c r="N165" s="16" t="s">
        <v>35</v>
      </c>
      <c r="O165" s="16" t="s">
        <v>35</v>
      </c>
      <c r="Q165" s="9">
        <v>8</v>
      </c>
      <c r="R165" s="9">
        <v>11</v>
      </c>
      <c r="S165" s="9">
        <v>17</v>
      </c>
      <c r="T165" s="9">
        <v>8</v>
      </c>
      <c r="U165" s="9">
        <v>8</v>
      </c>
      <c r="W165" s="25" cm="1">
        <f t="array" ref="W165">_xlfn.LET(_xlpm.x, K165:K167, IF(SUM((_xlpm.x="K")*1, (_xlpm.x="A")*1, (_xlpm.x="GK")*1, (_xlpm.x="GA")*1)&gt;0, 3, 1))</f>
        <v>3</v>
      </c>
      <c r="X165" s="25" cm="1">
        <f t="array" ref="X165">_xlfn.LET(_xlpm.x, L165:L167, IF(SUM((_xlpm.x="K")*1, (_xlpm.x="A")*1, (_xlpm.x="GK")*1, (_xlpm.x="GA")*1)&gt;0, 3, 1))</f>
        <v>3</v>
      </c>
      <c r="Y165" s="25" cm="1">
        <f t="array" ref="Y165">_xlfn.LET(_xlpm.x, M165:M167, IF(SUM((_xlpm.x="K")*1, (_xlpm.x="A")*1, (_xlpm.x="GK")*1, (_xlpm.x="GA")*1)&gt;0, 3, 1))</f>
        <v>3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37</v>
      </c>
      <c r="L166" s="16" t="s">
        <v>32</v>
      </c>
      <c r="M166" s="16" t="s">
        <v>89</v>
      </c>
      <c r="N166" s="16" t="s">
        <v>22</v>
      </c>
      <c r="O166" s="16" t="s">
        <v>22</v>
      </c>
      <c r="Q166" s="9">
        <v>7</v>
      </c>
      <c r="R166" s="9">
        <v>9</v>
      </c>
      <c r="S166" s="9">
        <v>14</v>
      </c>
      <c r="T166" s="9">
        <v>3</v>
      </c>
      <c r="U166" s="9">
        <v>3</v>
      </c>
      <c r="W166" s="25" cm="1">
        <f t="array" ref="W166">_xlfn.LET(_xlpm.x, K166:K168, IF(SUM((_xlpm.x="K")*1, (_xlpm.x="A")*1, (_xlpm.x="GK")*1, (_xlpm.x="GA")*1)&gt;0, 3, 1))</f>
        <v>3</v>
      </c>
      <c r="X166" s="25" cm="1">
        <f t="array" ref="X166">_xlfn.LET(_xlpm.x, L166:L168, IF(SUM((_xlpm.x="K")*1, (_xlpm.x="A")*1, (_xlpm.x="GK")*1, (_xlpm.x="GA")*1)&gt;0, 3, 1))</f>
        <v>3</v>
      </c>
      <c r="Y166" s="25" cm="1">
        <f t="array" ref="Y166">_xlfn.LET(_xlpm.x, M166:M168, IF(SUM((_xlpm.x="K")*1, (_xlpm.x="A")*1, (_xlpm.x="GK")*1, (_xlpm.x="GA")*1)&gt;0, 3, 1))</f>
        <v>3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35</v>
      </c>
      <c r="L167" s="16" t="s">
        <v>35</v>
      </c>
      <c r="M167" s="16" t="s">
        <v>90</v>
      </c>
      <c r="N167" s="16" t="s">
        <v>19</v>
      </c>
      <c r="O167" s="16" t="s">
        <v>22</v>
      </c>
      <c r="Q167" s="9">
        <v>8</v>
      </c>
      <c r="R167" s="9">
        <v>8</v>
      </c>
      <c r="S167" s="9">
        <v>16</v>
      </c>
      <c r="T167" s="9">
        <v>5</v>
      </c>
      <c r="U167" s="9">
        <v>3</v>
      </c>
      <c r="W167" s="25" cm="1">
        <f t="array" ref="W167">_xlfn.LET(_xlpm.x, K167:K169, IF(SUM((_xlpm.x="K")*1, (_xlpm.x="A")*1, (_xlpm.x="GK")*1, (_xlpm.x="GA")*1)&gt;0, 3, 1))</f>
        <v>3</v>
      </c>
      <c r="X167" s="25" cm="1">
        <f t="array" ref="X167">_xlfn.LET(_xlpm.x, L167:L169, IF(SUM((_xlpm.x="K")*1, (_xlpm.x="A")*1, (_xlpm.x="GK")*1, (_xlpm.x="GA")*1)&gt;0, 3, 1))</f>
        <v>3</v>
      </c>
      <c r="Y167" s="25" cm="1">
        <f t="array" ref="Y167">_xlfn.LET(_xlpm.x, M167:M169, IF(SUM((_xlpm.x="K")*1, (_xlpm.x="A")*1, (_xlpm.x="GK")*1, (_xlpm.x="GA")*1)&gt;0, 3, 1))</f>
        <v>3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19</v>
      </c>
      <c r="L168" s="16" t="s">
        <v>89</v>
      </c>
      <c r="M168" s="16" t="s">
        <v>102</v>
      </c>
      <c r="N168" s="16" t="s">
        <v>89</v>
      </c>
      <c r="O168" s="16" t="s">
        <v>36</v>
      </c>
      <c r="Q168" s="9">
        <v>5</v>
      </c>
      <c r="R168" s="9">
        <v>14</v>
      </c>
      <c r="S168" s="9">
        <v>17</v>
      </c>
      <c r="T168" s="9">
        <v>14</v>
      </c>
      <c r="U168" s="9">
        <v>10</v>
      </c>
      <c r="W168" s="25" cm="1">
        <f t="array" ref="W168">_xlfn.LET(_xlpm.x, K168:K170, IF(SUM((_xlpm.x="K")*1, (_xlpm.x="A")*1, (_xlpm.x="GK")*1, (_xlpm.x="GA")*1)&gt;0, 3, 1))</f>
        <v>1</v>
      </c>
      <c r="X168" s="25" cm="1">
        <f t="array" ref="X168">_xlfn.LET(_xlpm.x, L168:L170, IF(SUM((_xlpm.x="K")*1, (_xlpm.x="A")*1, (_xlpm.x="GK")*1, (_xlpm.x="GA")*1)&gt;0, 3, 1))</f>
        <v>3</v>
      </c>
      <c r="Y168" s="25" cm="1">
        <f t="array" ref="Y168">_xlfn.LET(_xlpm.x, M168:M170, IF(SUM((_xlpm.x="K")*1, (_xlpm.x="A")*1, (_xlpm.x="GK")*1, (_xlpm.x="GA")*1)&gt;0, 3, 1))</f>
        <v>3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19</v>
      </c>
      <c r="L169" s="16" t="s">
        <v>37</v>
      </c>
      <c r="M169" s="16" t="s">
        <v>90</v>
      </c>
      <c r="N169" s="16" t="s">
        <v>36</v>
      </c>
      <c r="O169" s="16" t="s">
        <v>22</v>
      </c>
      <c r="Q169" s="9">
        <v>5</v>
      </c>
      <c r="R169" s="9">
        <v>7</v>
      </c>
      <c r="S169" s="9">
        <v>16</v>
      </c>
      <c r="T169" s="9">
        <v>10</v>
      </c>
      <c r="U169" s="9">
        <v>3</v>
      </c>
      <c r="W169" s="25" cm="1">
        <f t="array" ref="W169">_xlfn.LET(_xlpm.x, K169:K171, IF(SUM((_xlpm.x="K")*1, (_xlpm.x="A")*1, (_xlpm.x="GK")*1, (_xlpm.x="GA")*1)&gt;0, 3, 1))</f>
        <v>3</v>
      </c>
      <c r="X169" s="25" cm="1">
        <f t="array" ref="X169">_xlfn.LET(_xlpm.x, L169:L171, IF(SUM((_xlpm.x="K")*1, (_xlpm.x="A")*1, (_xlpm.x="GK")*1, (_xlpm.x="GA")*1)&gt;0, 3, 1))</f>
        <v>3</v>
      </c>
      <c r="Y169" s="25" cm="1">
        <f t="array" ref="Y169">_xlfn.LET(_xlpm.x, M169:M171, IF(SUM((_xlpm.x="K")*1, (_xlpm.x="A")*1, (_xlpm.x="GK")*1, (_xlpm.x="GA")*1)&gt;0, 3, 1))</f>
        <v>3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104</v>
      </c>
      <c r="L170" s="16" t="s">
        <v>102</v>
      </c>
      <c r="M170" s="16" t="s">
        <v>89</v>
      </c>
      <c r="N170" s="16" t="s">
        <v>90</v>
      </c>
      <c r="O170" s="16" t="s">
        <v>104</v>
      </c>
      <c r="Q170" s="9">
        <v>6</v>
      </c>
      <c r="R170" s="9">
        <v>17</v>
      </c>
      <c r="S170" s="9">
        <v>14</v>
      </c>
      <c r="T170" s="9">
        <v>16</v>
      </c>
      <c r="U170" s="9">
        <v>6</v>
      </c>
      <c r="W170" s="25" cm="1">
        <f t="array" ref="W170">_xlfn.LET(_xlpm.x, K170:K172, IF(SUM((_xlpm.x="K")*1, (_xlpm.x="A")*1, (_xlpm.x="GK")*1, (_xlpm.x="GA")*1)&gt;0, 3, 1))</f>
        <v>3</v>
      </c>
      <c r="X170" s="25" cm="1">
        <f t="array" ref="X170">_xlfn.LET(_xlpm.x, L170:L172, IF(SUM((_xlpm.x="K")*1, (_xlpm.x="A")*1, (_xlpm.x="GK")*1, (_xlpm.x="GA")*1)&gt;0, 3, 1))</f>
        <v>3</v>
      </c>
      <c r="Y170" s="25" cm="1">
        <f t="array" ref="Y170">_xlfn.LET(_xlpm.x, M170:M172, IF(SUM((_xlpm.x="K")*1, (_xlpm.x="A")*1, (_xlpm.x="GK")*1, (_xlpm.x="GA")*1)&gt;0, 3, 1))</f>
        <v>3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35</v>
      </c>
      <c r="M171" s="16" t="s">
        <v>90</v>
      </c>
      <c r="N171" s="16" t="s">
        <v>34</v>
      </c>
      <c r="O171" s="16" t="s">
        <v>18</v>
      </c>
      <c r="Q171" s="9">
        <v>8</v>
      </c>
      <c r="R171" s="9">
        <v>8</v>
      </c>
      <c r="S171" s="9">
        <v>16</v>
      </c>
      <c r="T171" s="9">
        <v>9</v>
      </c>
      <c r="U171" s="9">
        <v>4</v>
      </c>
      <c r="W171" s="25" cm="1">
        <f t="array" ref="W171">_xlfn.LET(_xlpm.x, K171:K173, IF(SUM((_xlpm.x="K")*1, (_xlpm.x="A")*1, (_xlpm.x="GK")*1, (_xlpm.x="GA")*1)&gt;0, 3, 1))</f>
        <v>3</v>
      </c>
      <c r="X171" s="25" cm="1">
        <f t="array" ref="X171">_xlfn.LET(_xlpm.x, L171:L173, IF(SUM((_xlpm.x="K")*1, (_xlpm.x="A")*1, (_xlpm.x="GK")*1, (_xlpm.x="GA")*1)&gt;0, 3, 1))</f>
        <v>3</v>
      </c>
      <c r="Y171" s="25" cm="1">
        <f t="array" ref="Y171">_xlfn.LET(_xlpm.x, M171:M173, IF(SUM((_xlpm.x="K")*1, (_xlpm.x="A")*1, (_xlpm.x="GK")*1, (_xlpm.x="GA")*1)&gt;0, 3, 1))</f>
        <v>3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104</v>
      </c>
      <c r="L172" s="16" t="s">
        <v>28</v>
      </c>
      <c r="M172" s="16" t="s">
        <v>102</v>
      </c>
      <c r="N172" s="16" t="s">
        <v>21</v>
      </c>
      <c r="O172" s="16" t="s">
        <v>34</v>
      </c>
      <c r="Q172" s="9">
        <v>6</v>
      </c>
      <c r="R172" s="9">
        <v>4</v>
      </c>
      <c r="S172" s="9">
        <v>17</v>
      </c>
      <c r="T172" s="9">
        <v>2</v>
      </c>
      <c r="U172" s="9">
        <v>9</v>
      </c>
      <c r="W172" s="25" cm="1">
        <f t="array" ref="W172">_xlfn.LET(_xlpm.x, K172:K174, IF(SUM((_xlpm.x="K")*1, (_xlpm.x="A")*1, (_xlpm.x="GK")*1, (_xlpm.x="GA")*1)&gt;0, 3, 1))</f>
        <v>3</v>
      </c>
      <c r="X172" s="25" cm="1">
        <f t="array" ref="X172">_xlfn.LET(_xlpm.x, L172:L174, IF(SUM((_xlpm.x="K")*1, (_xlpm.x="A")*1, (_xlpm.x="GK")*1, (_xlpm.x="GA")*1)&gt;0, 3, 1))</f>
        <v>1</v>
      </c>
      <c r="Y172" s="25" cm="1">
        <f t="array" ref="Y172">_xlfn.LET(_xlpm.x, M172:M174, IF(SUM((_xlpm.x="K")*1, (_xlpm.x="A")*1, (_xlpm.x="GK")*1, (_xlpm.x="GA")*1)&gt;0, 3, 1))</f>
        <v>3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104</v>
      </c>
      <c r="L173" s="16" t="s">
        <v>104</v>
      </c>
      <c r="M173" s="16" t="s">
        <v>105</v>
      </c>
      <c r="N173" s="16" t="s">
        <v>34</v>
      </c>
      <c r="O173" s="16" t="s">
        <v>18</v>
      </c>
      <c r="Q173" s="9">
        <v>6</v>
      </c>
      <c r="R173" s="9">
        <v>6</v>
      </c>
      <c r="S173" s="9">
        <v>15</v>
      </c>
      <c r="T173" s="9">
        <v>9</v>
      </c>
      <c r="U173" s="9">
        <v>4</v>
      </c>
      <c r="W173" s="25" cm="1">
        <f t="array" ref="W173">_xlfn.LET(_xlpm.x, K173:K175, IF(SUM((_xlpm.x="K")*1, (_xlpm.x="A")*1, (_xlpm.x="GK")*1, (_xlpm.x="GA")*1)&gt;0, 3, 1))</f>
        <v>3</v>
      </c>
      <c r="X173" s="25" cm="1">
        <f t="array" ref="X173">_xlfn.LET(_xlpm.x, L173:L175, IF(SUM((_xlpm.x="K")*1, (_xlpm.x="A")*1, (_xlpm.x="GK")*1, (_xlpm.x="GA")*1)&gt;0, 3, 1))</f>
        <v>3</v>
      </c>
      <c r="Y173" s="25" cm="1">
        <f t="array" ref="Y173">_xlfn.LET(_xlpm.x, M173:M175, IF(SUM((_xlpm.x="K")*1, (_xlpm.x="A")*1, (_xlpm.x="GK")*1, (_xlpm.x="GA")*1)&gt;0, 3, 1))</f>
        <v>3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35</v>
      </c>
      <c r="L174" s="16" t="s">
        <v>88</v>
      </c>
      <c r="M174" s="16" t="s">
        <v>102</v>
      </c>
      <c r="N174" s="16" t="s">
        <v>36</v>
      </c>
      <c r="O174" s="16" t="s">
        <v>37</v>
      </c>
      <c r="Q174" s="9">
        <v>8</v>
      </c>
      <c r="R174" s="9">
        <v>13</v>
      </c>
      <c r="S174" s="9">
        <v>17</v>
      </c>
      <c r="T174" s="9">
        <v>10</v>
      </c>
      <c r="U174" s="9">
        <v>7</v>
      </c>
      <c r="W174" s="25" cm="1">
        <f t="array" ref="W174">_xlfn.LET(_xlpm.x, K174:K176, IF(SUM((_xlpm.x="K")*1, (_xlpm.x="A")*1, (_xlpm.x="GK")*1, (_xlpm.x="GA")*1)&gt;0, 3, 1))</f>
        <v>3</v>
      </c>
      <c r="X174" s="25" cm="1">
        <f t="array" ref="X174">_xlfn.LET(_xlpm.x, L174:L176, IF(SUM((_xlpm.x="K")*1, (_xlpm.x="A")*1, (_xlpm.x="GK")*1, (_xlpm.x="GA")*1)&gt;0, 3, 1))</f>
        <v>3</v>
      </c>
      <c r="Y174" s="25" cm="1">
        <f t="array" ref="Y174">_xlfn.LET(_xlpm.x, M174:M176, IF(SUM((_xlpm.x="K")*1, (_xlpm.x="A")*1, (_xlpm.x="GK")*1, (_xlpm.x="GA")*1)&gt;0, 3, 1))</f>
        <v>3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35</v>
      </c>
      <c r="L175" s="16" t="s">
        <v>102</v>
      </c>
      <c r="M175" s="16" t="s">
        <v>89</v>
      </c>
      <c r="N175" s="16" t="s">
        <v>18</v>
      </c>
      <c r="O175" s="16" t="s">
        <v>21</v>
      </c>
      <c r="Q175" s="9">
        <v>8</v>
      </c>
      <c r="R175" s="9">
        <v>17</v>
      </c>
      <c r="S175" s="9">
        <v>14</v>
      </c>
      <c r="T175" s="9">
        <v>4</v>
      </c>
      <c r="U175" s="9">
        <v>2</v>
      </c>
      <c r="W175" s="25" cm="1">
        <f t="array" ref="W175">_xlfn.LET(_xlpm.x, K175:K177, IF(SUM((_xlpm.x="K")*1, (_xlpm.x="A")*1, (_xlpm.x="GK")*1, (_xlpm.x="GA")*1)&gt;0, 3, 1))</f>
        <v>3</v>
      </c>
      <c r="X175" s="25" cm="1">
        <f t="array" ref="X175">_xlfn.LET(_xlpm.x, L175:L177, IF(SUM((_xlpm.x="K")*1, (_xlpm.x="A")*1, (_xlpm.x="GK")*1, (_xlpm.x="GA")*1)&gt;0, 3, 1))</f>
        <v>3</v>
      </c>
      <c r="Y175" s="25" cm="1">
        <f t="array" ref="Y175">_xlfn.LET(_xlpm.x, M175:M177, IF(SUM((_xlpm.x="K")*1, (_xlpm.x="A")*1, (_xlpm.x="GK")*1, (_xlpm.x="GA")*1)&gt;0, 3, 1))</f>
        <v>3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35</v>
      </c>
      <c r="L176" s="16" t="s">
        <v>104</v>
      </c>
      <c r="M176" s="16" t="s">
        <v>102</v>
      </c>
      <c r="N176" s="16" t="s">
        <v>93</v>
      </c>
      <c r="O176" s="16" t="s">
        <v>34</v>
      </c>
      <c r="Q176" s="9">
        <v>8</v>
      </c>
      <c r="R176" s="9">
        <v>6</v>
      </c>
      <c r="S176" s="9">
        <v>17</v>
      </c>
      <c r="T176" s="9">
        <v>18</v>
      </c>
      <c r="U176" s="9">
        <v>9</v>
      </c>
      <c r="W176" s="25" cm="1">
        <f t="array" ref="W176">_xlfn.LET(_xlpm.x, K176:K178, IF(SUM((_xlpm.x="K")*1, (_xlpm.x="A")*1, (_xlpm.x="GK")*1, (_xlpm.x="GA")*1)&gt;0, 3, 1))</f>
        <v>3</v>
      </c>
      <c r="X176" s="25" cm="1">
        <f t="array" ref="X176">_xlfn.LET(_xlpm.x, L176:L178, IF(SUM((_xlpm.x="K")*1, (_xlpm.x="A")*1, (_xlpm.x="GK")*1, (_xlpm.x="GA")*1)&gt;0, 3, 1))</f>
        <v>1</v>
      </c>
      <c r="Y176" s="25" cm="1">
        <f t="array" ref="Y176">_xlfn.LET(_xlpm.x, M176:M178, IF(SUM((_xlpm.x="K")*1, (_xlpm.x="A")*1, (_xlpm.x="GK")*1, (_xlpm.x="GA")*1)&gt;0, 3, 1))</f>
        <v>3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37</v>
      </c>
      <c r="L177" s="16" t="s">
        <v>21</v>
      </c>
      <c r="M177" s="16" t="s">
        <v>105</v>
      </c>
      <c r="N177" s="16" t="s">
        <v>22</v>
      </c>
      <c r="O177" s="16" t="s">
        <v>104</v>
      </c>
      <c r="Q177" s="9">
        <v>7</v>
      </c>
      <c r="R177" s="9">
        <v>2</v>
      </c>
      <c r="S177" s="9">
        <v>15</v>
      </c>
      <c r="T177" s="9">
        <v>3</v>
      </c>
      <c r="U177" s="9">
        <v>6</v>
      </c>
      <c r="W177" s="25" cm="1">
        <f t="array" ref="W177">_xlfn.LET(_xlpm.x, K177:K179, IF(SUM((_xlpm.x="K")*1, (_xlpm.x="A")*1, (_xlpm.x="GK")*1, (_xlpm.x="GA")*1)&gt;0, 3, 1))</f>
        <v>3</v>
      </c>
      <c r="X177" s="25" cm="1">
        <f t="array" ref="X177">_xlfn.LET(_xlpm.x, L177:L179, IF(SUM((_xlpm.x="K")*1, (_xlpm.x="A")*1, (_xlpm.x="GK")*1, (_xlpm.x="GA")*1)&gt;0, 3, 1))</f>
        <v>3</v>
      </c>
      <c r="Y177" s="25" cm="1">
        <f t="array" ref="Y177">_xlfn.LET(_xlpm.x, M177:M179, IF(SUM((_xlpm.x="K")*1, (_xlpm.x="A")*1, (_xlpm.x="GK")*1, (_xlpm.x="GA")*1)&gt;0, 3, 1))</f>
        <v>3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37</v>
      </c>
      <c r="L178" s="16" t="s">
        <v>89</v>
      </c>
      <c r="M178" s="16" t="s">
        <v>90</v>
      </c>
      <c r="N178" s="16" t="s">
        <v>34</v>
      </c>
      <c r="O178" s="16" t="s">
        <v>104</v>
      </c>
      <c r="Q178" s="9">
        <v>7</v>
      </c>
      <c r="R178" s="9">
        <v>14</v>
      </c>
      <c r="S178" s="9">
        <v>16</v>
      </c>
      <c r="T178" s="9">
        <v>9</v>
      </c>
      <c r="U178" s="9">
        <v>6</v>
      </c>
      <c r="W178" s="25" cm="1">
        <f t="array" ref="W178">_xlfn.LET(_xlpm.x, K178:K180, IF(SUM((_xlpm.x="K")*1, (_xlpm.x="A")*1, (_xlpm.x="GK")*1, (_xlpm.x="GA")*1)&gt;0, 3, 1))</f>
        <v>3</v>
      </c>
      <c r="X178" s="25" cm="1">
        <f t="array" ref="X178">_xlfn.LET(_xlpm.x, L178:L180, IF(SUM((_xlpm.x="K")*1, (_xlpm.x="A")*1, (_xlpm.x="GK")*1, (_xlpm.x="GA")*1)&gt;0, 3, 1))</f>
        <v>3</v>
      </c>
      <c r="Y178" s="25" cm="1">
        <f t="array" ref="Y178">_xlfn.LET(_xlpm.x, M178:M180, IF(SUM((_xlpm.x="K")*1, (_xlpm.x="A")*1, (_xlpm.x="GK")*1, (_xlpm.x="GA")*1)&gt;0, 3, 1))</f>
        <v>3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104</v>
      </c>
      <c r="L179" s="16" t="s">
        <v>37</v>
      </c>
      <c r="M179" s="16" t="s">
        <v>88</v>
      </c>
      <c r="N179" s="16" t="s">
        <v>21</v>
      </c>
      <c r="O179" s="16" t="s">
        <v>18</v>
      </c>
      <c r="Q179" s="9">
        <v>6</v>
      </c>
      <c r="R179" s="9">
        <v>7</v>
      </c>
      <c r="S179" s="9">
        <v>13</v>
      </c>
      <c r="T179" s="9">
        <v>2</v>
      </c>
      <c r="U179" s="9">
        <v>4</v>
      </c>
      <c r="W179" s="25" cm="1">
        <f t="array" ref="W179">_xlfn.LET(_xlpm.x, K179:K181, IF(SUM((_xlpm.x="K")*1, (_xlpm.x="A")*1, (_xlpm.x="GK")*1, (_xlpm.x="GA")*1)&gt;0, 3, 1))</f>
        <v>1</v>
      </c>
      <c r="X179" s="25" cm="1">
        <f t="array" ref="X179">_xlfn.LET(_xlpm.x, L179:L181, IF(SUM((_xlpm.x="K")*1, (_xlpm.x="A")*1, (_xlpm.x="GK")*1, (_xlpm.x="GA")*1)&gt;0, 3, 1))</f>
        <v>3</v>
      </c>
      <c r="Y179" s="25" cm="1">
        <f t="array" ref="Y179">_xlfn.LET(_xlpm.x, M179:M181, IF(SUM((_xlpm.x="K")*1, (_xlpm.x="A")*1, (_xlpm.x="GK")*1, (_xlpm.x="GA")*1)&gt;0, 3, 1))</f>
        <v>3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104</v>
      </c>
      <c r="L180" s="16" t="s">
        <v>35</v>
      </c>
      <c r="M180" s="16" t="s">
        <v>102</v>
      </c>
      <c r="N180" s="16" t="s">
        <v>34</v>
      </c>
      <c r="O180" s="16" t="s">
        <v>18</v>
      </c>
      <c r="Q180" s="9">
        <v>6</v>
      </c>
      <c r="R180" s="9">
        <v>8</v>
      </c>
      <c r="S180" s="9">
        <v>17</v>
      </c>
      <c r="T180" s="9">
        <v>9</v>
      </c>
      <c r="U180" s="9">
        <v>4</v>
      </c>
      <c r="W180" s="25" cm="1">
        <f t="array" ref="W180">_xlfn.LET(_xlpm.x, K180:K182, IF(SUM((_xlpm.x="K")*1, (_xlpm.x="A")*1, (_xlpm.x="GK")*1, (_xlpm.x="GA")*1)&gt;0, 3, 1))</f>
        <v>3</v>
      </c>
      <c r="X180" s="25" cm="1">
        <f t="array" ref="X180">_xlfn.LET(_xlpm.x, L180:L182, IF(SUM((_xlpm.x="K")*1, (_xlpm.x="A")*1, (_xlpm.x="GK")*1, (_xlpm.x="GA")*1)&gt;0, 3, 1))</f>
        <v>3</v>
      </c>
      <c r="Y180" s="25" cm="1">
        <f t="array" ref="Y180">_xlfn.LET(_xlpm.x, M180:M182, IF(SUM((_xlpm.x="K")*1, (_xlpm.x="A")*1, (_xlpm.x="GK")*1, (_xlpm.x="GA")*1)&gt;0, 3, 1))</f>
        <v>3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19</v>
      </c>
      <c r="L181" s="16" t="s">
        <v>93</v>
      </c>
      <c r="M181" s="16" t="s">
        <v>87</v>
      </c>
      <c r="N181" s="16" t="s">
        <v>35</v>
      </c>
      <c r="O181" s="16" t="s">
        <v>35</v>
      </c>
      <c r="Q181" s="9">
        <v>5</v>
      </c>
      <c r="R181" s="9">
        <v>18</v>
      </c>
      <c r="S181" s="9">
        <v>12</v>
      </c>
      <c r="T181" s="9">
        <v>8</v>
      </c>
      <c r="U181" s="9">
        <v>8</v>
      </c>
      <c r="W181" s="25" cm="1">
        <f t="array" ref="W181">_xlfn.LET(_xlpm.x, K181:K183, IF(SUM((_xlpm.x="K")*1, (_xlpm.x="A")*1, (_xlpm.x="GK")*1, (_xlpm.x="GA")*1)&gt;0, 3, 1))</f>
        <v>3</v>
      </c>
      <c r="X181" s="25" cm="1">
        <f t="array" ref="X181">_xlfn.LET(_xlpm.x, L181:L183, IF(SUM((_xlpm.x="K")*1, (_xlpm.x="A")*1, (_xlpm.x="GK")*1, (_xlpm.x="GA")*1)&gt;0, 3, 1))</f>
        <v>3</v>
      </c>
      <c r="Y181" s="25" cm="1">
        <f t="array" ref="Y181">_xlfn.LET(_xlpm.x, M181:M183, IF(SUM((_xlpm.x="K")*1, (_xlpm.x="A")*1, (_xlpm.x="GK")*1, (_xlpm.x="GA")*1)&gt;0, 3, 1))</f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37</v>
      </c>
      <c r="L182" s="16" t="s">
        <v>35</v>
      </c>
      <c r="M182" s="16" t="s">
        <v>89</v>
      </c>
      <c r="N182" s="16" t="s">
        <v>35</v>
      </c>
      <c r="O182" s="16" t="s">
        <v>36</v>
      </c>
      <c r="Q182" s="9">
        <v>7</v>
      </c>
      <c r="R182" s="9">
        <v>8</v>
      </c>
      <c r="S182" s="9">
        <v>14</v>
      </c>
      <c r="T182" s="9">
        <v>8</v>
      </c>
      <c r="U182" s="9">
        <v>10</v>
      </c>
      <c r="W182" s="25" cm="1">
        <f t="array" ref="W182">_xlfn.LET(_xlpm.x, K182:K184, IF(SUM((_xlpm.x="K")*1, (_xlpm.x="A")*1, (_xlpm.x="GK")*1, (_xlpm.x="GA")*1)&gt;0, 3, 1))</f>
        <v>3</v>
      </c>
      <c r="X182" s="25" cm="1">
        <f t="array" ref="X182">_xlfn.LET(_xlpm.x, L182:L184, IF(SUM((_xlpm.x="K")*1, (_xlpm.x="A")*1, (_xlpm.x="GK")*1, (_xlpm.x="GA")*1)&gt;0, 3, 1))</f>
        <v>3</v>
      </c>
      <c r="Y182" s="25" cm="1">
        <f t="array" ref="Y182">_xlfn.LET(_xlpm.x, M182:M184, IF(SUM((_xlpm.x="K")*1, (_xlpm.x="A")*1, (_xlpm.x="GK")*1, (_xlpm.x="GA")*1)&gt;0, 3, 1))</f>
        <v>3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104</v>
      </c>
      <c r="L183" s="16" t="s">
        <v>19</v>
      </c>
      <c r="M183" s="16" t="s">
        <v>105</v>
      </c>
      <c r="N183" s="16" t="s">
        <v>19</v>
      </c>
      <c r="O183" s="16" t="s">
        <v>21</v>
      </c>
      <c r="Q183" s="9">
        <v>6</v>
      </c>
      <c r="R183" s="9">
        <v>5</v>
      </c>
      <c r="S183" s="9">
        <v>15</v>
      </c>
      <c r="T183" s="9">
        <v>5</v>
      </c>
      <c r="U183" s="9">
        <v>2</v>
      </c>
      <c r="W183" s="25" cm="1">
        <f t="array" ref="W183">_xlfn.LET(_xlpm.x, K183:K185, IF(SUM((_xlpm.x="K")*1, (_xlpm.x="A")*1, (_xlpm.x="GK")*1, (_xlpm.x="GA")*1)&gt;0, 3, 1))</f>
        <v>3</v>
      </c>
      <c r="X183" s="25" cm="1">
        <f t="array" ref="X183">_xlfn.LET(_xlpm.x, L183:L185, IF(SUM((_xlpm.x="K")*1, (_xlpm.x="A")*1, (_xlpm.x="GK")*1, (_xlpm.x="GA")*1)&gt;0, 3, 1))</f>
        <v>3</v>
      </c>
      <c r="Y183" s="25" cm="1">
        <f t="array" ref="Y183">_xlfn.LET(_xlpm.x, M183:M185, IF(SUM((_xlpm.x="K")*1, (_xlpm.x="A")*1, (_xlpm.x="GK")*1, (_xlpm.x="GA")*1)&gt;0, 3, 1))</f>
        <v>3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37</v>
      </c>
      <c r="L184" s="16" t="s">
        <v>102</v>
      </c>
      <c r="M184" s="16" t="s">
        <v>102</v>
      </c>
      <c r="N184" s="16" t="s">
        <v>18</v>
      </c>
      <c r="O184" s="16" t="s">
        <v>18</v>
      </c>
      <c r="Q184" s="9">
        <v>7</v>
      </c>
      <c r="R184" s="9">
        <v>17</v>
      </c>
      <c r="S184" s="9">
        <v>17</v>
      </c>
      <c r="T184" s="9">
        <v>4</v>
      </c>
      <c r="U184" s="9">
        <v>4</v>
      </c>
      <c r="W184" s="25" cm="1">
        <f t="array" ref="W184">_xlfn.LET(_xlpm.x, K184:K186, IF(SUM((_xlpm.x="K")*1, (_xlpm.x="A")*1, (_xlpm.x="GK")*1, (_xlpm.x="GA")*1)&gt;0, 3, 1))</f>
        <v>3</v>
      </c>
      <c r="X184" s="25" cm="1">
        <f t="array" ref="X184">_xlfn.LET(_xlpm.x, L184:L186, IF(SUM((_xlpm.x="K")*1, (_xlpm.x="A")*1, (_xlpm.x="GK")*1, (_xlpm.x="GA")*1)&gt;0, 3, 1))</f>
        <v>3</v>
      </c>
      <c r="Y184" s="25" cm="1">
        <f t="array" ref="Y184">_xlfn.LET(_xlpm.x, M184:M186, IF(SUM((_xlpm.x="K")*1, (_xlpm.x="A")*1, (_xlpm.x="GK")*1, (_xlpm.x="GA")*1)&gt;0, 3, 1))</f>
        <v>3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19</v>
      </c>
      <c r="L185" s="16" t="s">
        <v>88</v>
      </c>
      <c r="M185" s="16" t="s">
        <v>90</v>
      </c>
      <c r="N185" s="16" t="s">
        <v>21</v>
      </c>
      <c r="O185" s="16" t="s">
        <v>36</v>
      </c>
      <c r="Q185" s="9">
        <v>5</v>
      </c>
      <c r="R185" s="9">
        <v>13</v>
      </c>
      <c r="S185" s="9">
        <v>16</v>
      </c>
      <c r="T185" s="9">
        <v>2</v>
      </c>
      <c r="U185" s="9">
        <v>10</v>
      </c>
      <c r="W185" s="25" cm="1">
        <f t="array" ref="W185">_xlfn.LET(_xlpm.x, K185:K187, IF(SUM((_xlpm.x="K")*1, (_xlpm.x="A")*1, (_xlpm.x="GK")*1, (_xlpm.x="GA")*1)&gt;0, 3, 1))</f>
        <v>3</v>
      </c>
      <c r="X185" s="25" cm="1">
        <f t="array" ref="X185">_xlfn.LET(_xlpm.x, L185:L187, IF(SUM((_xlpm.x="K")*1, (_xlpm.x="A")*1, (_xlpm.x="GK")*1, (_xlpm.x="GA")*1)&gt;0, 3, 1))</f>
        <v>1</v>
      </c>
      <c r="Y185" s="25" cm="1">
        <f t="array" ref="Y185">_xlfn.LET(_xlpm.x, M185:M187, IF(SUM((_xlpm.x="K")*1, (_xlpm.x="A")*1, (_xlpm.x="GK")*1, (_xlpm.x="GA")*1)&gt;0, 3, 1))</f>
        <v>3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37</v>
      </c>
      <c r="L186" s="16" t="s">
        <v>104</v>
      </c>
      <c r="M186" s="16" t="s">
        <v>89</v>
      </c>
      <c r="N186" s="16" t="s">
        <v>21</v>
      </c>
      <c r="O186" s="16" t="s">
        <v>36</v>
      </c>
      <c r="Q186" s="9">
        <v>7</v>
      </c>
      <c r="R186" s="9">
        <v>6</v>
      </c>
      <c r="S186" s="9">
        <v>14</v>
      </c>
      <c r="T186" s="9">
        <v>2</v>
      </c>
      <c r="U186" s="9">
        <v>10</v>
      </c>
      <c r="W186" s="25" cm="1">
        <f t="array" ref="W186">_xlfn.LET(_xlpm.x, K186:K188, IF(SUM((_xlpm.x="K")*1, (_xlpm.x="A")*1, (_xlpm.x="GK")*1, (_xlpm.x="GA")*1)&gt;0, 3, 1))</f>
        <v>3</v>
      </c>
      <c r="X186" s="25" cm="1">
        <f t="array" ref="X186">_xlfn.LET(_xlpm.x, L186:L188, IF(SUM((_xlpm.x="K")*1, (_xlpm.x="A")*1, (_xlpm.x="GK")*1, (_xlpm.x="GA")*1)&gt;0, 3, 1))</f>
        <v>1</v>
      </c>
      <c r="Y186" s="25" cm="1">
        <f t="array" ref="Y186">_xlfn.LET(_xlpm.x, M186:M188, IF(SUM((_xlpm.x="K")*1, (_xlpm.x="A")*1, (_xlpm.x="GK")*1, (_xlpm.x="GA")*1)&gt;0, 3, 1))</f>
        <v>3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104</v>
      </c>
      <c r="L187" s="16" t="s">
        <v>21</v>
      </c>
      <c r="M187" s="16" t="s">
        <v>105</v>
      </c>
      <c r="N187" s="16" t="s">
        <v>18</v>
      </c>
      <c r="O187" s="16" t="s">
        <v>34</v>
      </c>
      <c r="Q187" s="9">
        <v>6</v>
      </c>
      <c r="R187" s="9">
        <v>2</v>
      </c>
      <c r="S187" s="9">
        <v>15</v>
      </c>
      <c r="T187" s="9">
        <v>4</v>
      </c>
      <c r="U187" s="9">
        <v>9</v>
      </c>
      <c r="W187" s="25" cm="1">
        <f t="array" ref="W187">_xlfn.LET(_xlpm.x, K187:K189, IF(SUM((_xlpm.x="K")*1, (_xlpm.x="A")*1, (_xlpm.x="GK")*1, (_xlpm.x="GA")*1)&gt;0, 3, 1))</f>
        <v>3</v>
      </c>
      <c r="X187" s="25" cm="1">
        <f t="array" ref="X187">_xlfn.LET(_xlpm.x, L187:L189, IF(SUM((_xlpm.x="K")*1, (_xlpm.x="A")*1, (_xlpm.x="GK")*1, (_xlpm.x="GA")*1)&gt;0, 3, 1))</f>
        <v>1</v>
      </c>
      <c r="Y187" s="25" cm="1">
        <f t="array" ref="Y187">_xlfn.LET(_xlpm.x, M187:M189, IF(SUM((_xlpm.x="K")*1, (_xlpm.x="A")*1, (_xlpm.x="GK")*1, (_xlpm.x="GA")*1)&gt;0, 3, 1))</f>
        <v>3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19</v>
      </c>
      <c r="L188" s="16" t="s">
        <v>105</v>
      </c>
      <c r="M188" s="16" t="s">
        <v>90</v>
      </c>
      <c r="N188" s="16" t="s">
        <v>18</v>
      </c>
      <c r="O188" s="16" t="s">
        <v>36</v>
      </c>
      <c r="Q188" s="9">
        <v>5</v>
      </c>
      <c r="R188" s="9">
        <v>15</v>
      </c>
      <c r="S188" s="9">
        <v>16</v>
      </c>
      <c r="T188" s="9">
        <v>4</v>
      </c>
      <c r="U188" s="9">
        <v>10</v>
      </c>
      <c r="W188" s="25" cm="1">
        <f t="array" ref="W188">_xlfn.LET(_xlpm.x, K188:K190, IF(SUM((_xlpm.x="K")*1, (_xlpm.x="A")*1, (_xlpm.x="GK")*1, (_xlpm.x="GA")*1)&gt;0, 3, 1))</f>
        <v>3</v>
      </c>
      <c r="X188" s="25" cm="1">
        <f t="array" ref="X188">_xlfn.LET(_xlpm.x, L188:L190, IF(SUM((_xlpm.x="K")*1, (_xlpm.x="A")*1, (_xlpm.x="GK")*1, (_xlpm.x="GA")*1)&gt;0, 3, 1))</f>
        <v>1</v>
      </c>
      <c r="Y188" s="25" cm="1">
        <f t="array" ref="Y188">_xlfn.LET(_xlpm.x, M188:M190, IF(SUM((_xlpm.x="K")*1, (_xlpm.x="A")*1, (_xlpm.x="GK")*1, (_xlpm.x="GA")*1)&gt;0, 3, 1))</f>
        <v>3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104</v>
      </c>
      <c r="M189" s="16" t="s">
        <v>105</v>
      </c>
      <c r="N189" s="16" t="s">
        <v>18</v>
      </c>
      <c r="O189" s="16" t="s">
        <v>18</v>
      </c>
      <c r="Q189" s="9">
        <v>8</v>
      </c>
      <c r="R189" s="9">
        <v>6</v>
      </c>
      <c r="S189" s="9">
        <v>15</v>
      </c>
      <c r="T189" s="9">
        <v>4</v>
      </c>
      <c r="U189" s="9">
        <v>4</v>
      </c>
      <c r="W189" s="25" cm="1">
        <f t="array" ref="W189">_xlfn.LET(_xlpm.x, K189:K191, IF(SUM((_xlpm.x="K")*1, (_xlpm.x="A")*1, (_xlpm.x="GK")*1, (_xlpm.x="GA")*1)&gt;0, 3, 1))</f>
        <v>3</v>
      </c>
      <c r="X189" s="25" cm="1">
        <f t="array" ref="X189">_xlfn.LET(_xlpm.x, L189:L191, IF(SUM((_xlpm.x="K")*1, (_xlpm.x="A")*1, (_xlpm.x="GK")*1, (_xlpm.x="GA")*1)&gt;0, 3, 1))</f>
        <v>3</v>
      </c>
      <c r="Y189" s="25" cm="1">
        <f t="array" ref="Y189">_xlfn.LET(_xlpm.x, M189:M191, IF(SUM((_xlpm.x="K")*1, (_xlpm.x="A")*1, (_xlpm.x="GK")*1, (_xlpm.x="GA")*1)&gt;0, 3, 1))</f>
        <v>3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37</v>
      </c>
      <c r="L190" s="16" t="s">
        <v>104</v>
      </c>
      <c r="M190" s="16" t="s">
        <v>89</v>
      </c>
      <c r="N190" s="16" t="s">
        <v>36</v>
      </c>
      <c r="O190" s="16" t="s">
        <v>18</v>
      </c>
      <c r="Q190" s="9">
        <v>7</v>
      </c>
      <c r="R190" s="9">
        <v>6</v>
      </c>
      <c r="S190" s="9">
        <v>14</v>
      </c>
      <c r="T190" s="9">
        <v>10</v>
      </c>
      <c r="U190" s="9">
        <v>4</v>
      </c>
      <c r="W190" s="25" cm="1">
        <f t="array" ref="W190">_xlfn.LET(_xlpm.x, K190:K192, IF(SUM((_xlpm.x="K")*1, (_xlpm.x="A")*1, (_xlpm.x="GK")*1, (_xlpm.x="GA")*1)&gt;0, 3, 1))</f>
        <v>3</v>
      </c>
      <c r="X190" s="25" cm="1">
        <f t="array" ref="X190">_xlfn.LET(_xlpm.x, L190:L192, IF(SUM((_xlpm.x="K")*1, (_xlpm.x="A")*1, (_xlpm.x="GK")*1, (_xlpm.x="GA")*1)&gt;0, 3, 1))</f>
        <v>3</v>
      </c>
      <c r="Y190" s="25" cm="1">
        <f t="array" ref="Y190">_xlfn.LET(_xlpm.x, M190:M192, IF(SUM((_xlpm.x="K")*1, (_xlpm.x="A")*1, (_xlpm.x="GK")*1, (_xlpm.x="GA")*1)&gt;0, 3, 1))</f>
        <v>3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37</v>
      </c>
      <c r="M191" s="16" t="s">
        <v>102</v>
      </c>
      <c r="N191" s="16" t="s">
        <v>37</v>
      </c>
      <c r="O191" s="16" t="s">
        <v>19</v>
      </c>
      <c r="Q191" s="9">
        <v>8</v>
      </c>
      <c r="R191" s="9">
        <v>7</v>
      </c>
      <c r="S191" s="9">
        <v>17</v>
      </c>
      <c r="T191" s="9">
        <v>7</v>
      </c>
      <c r="U191" s="9">
        <v>5</v>
      </c>
      <c r="W191" s="25" cm="1">
        <f t="array" ref="W191">_xlfn.LET(_xlpm.x, K191:K193, IF(SUM((_xlpm.x="K")*1, (_xlpm.x="A")*1, (_xlpm.x="GK")*1, (_xlpm.x="GA")*1)&gt;0, 3, 1))</f>
        <v>3</v>
      </c>
      <c r="X191" s="25" cm="1">
        <f t="array" ref="X191">_xlfn.LET(_xlpm.x, L191:L193, IF(SUM((_xlpm.x="K")*1, (_xlpm.x="A")*1, (_xlpm.x="GK")*1, (_xlpm.x="GA")*1)&gt;0, 3, 1))</f>
        <v>3</v>
      </c>
      <c r="Y191" s="25" cm="1">
        <f t="array" ref="Y191">_xlfn.LET(_xlpm.x, M191:M193, IF(SUM((_xlpm.x="K")*1, (_xlpm.x="A")*1, (_xlpm.x="GK")*1, (_xlpm.x="GA")*1)&gt;0, 3, 1))</f>
        <v>3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19</v>
      </c>
      <c r="L192" s="16" t="s">
        <v>90</v>
      </c>
      <c r="M192" s="16" t="s">
        <v>89</v>
      </c>
      <c r="N192" s="16" t="s">
        <v>21</v>
      </c>
      <c r="O192" s="16" t="s">
        <v>37</v>
      </c>
      <c r="Q192" s="9">
        <v>5</v>
      </c>
      <c r="R192" s="9">
        <v>16</v>
      </c>
      <c r="S192" s="9">
        <v>14</v>
      </c>
      <c r="T192" s="9">
        <v>2</v>
      </c>
      <c r="U192" s="9">
        <v>7</v>
      </c>
      <c r="W192" s="25" cm="1">
        <f t="array" ref="W192">_xlfn.LET(_xlpm.x, K192:K194, IF(SUM((_xlpm.x="K")*1, (_xlpm.x="A")*1, (_xlpm.x="GK")*1, (_xlpm.x="GA")*1)&gt;0, 3, 1))</f>
        <v>3</v>
      </c>
      <c r="X192" s="25" cm="1">
        <f t="array" ref="X192">_xlfn.LET(_xlpm.x, L192:L194, IF(SUM((_xlpm.x="K")*1, (_xlpm.x="A")*1, (_xlpm.x="GK")*1, (_xlpm.x="GA")*1)&gt;0, 3, 1))</f>
        <v>3</v>
      </c>
      <c r="Y192" s="25" cm="1">
        <f t="array" ref="Y192">_xlfn.LET(_xlpm.x, M192:M194, IF(SUM((_xlpm.x="K")*1, (_xlpm.x="A")*1, (_xlpm.x="GK")*1, (_xlpm.x="GA")*1)&gt;0, 3, 1))</f>
        <v>3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19</v>
      </c>
      <c r="L193" s="16" t="s">
        <v>31</v>
      </c>
      <c r="M193" s="16" t="s">
        <v>105</v>
      </c>
      <c r="N193" s="16" t="s">
        <v>34</v>
      </c>
      <c r="O193" s="16" t="s">
        <v>18</v>
      </c>
      <c r="Q193" s="9">
        <v>5</v>
      </c>
      <c r="R193" s="9">
        <v>8</v>
      </c>
      <c r="S193" s="9">
        <v>15</v>
      </c>
      <c r="T193" s="9">
        <v>9</v>
      </c>
      <c r="U193" s="9">
        <v>4</v>
      </c>
      <c r="W193" s="25" cm="1">
        <f t="array" ref="W193">_xlfn.LET(_xlpm.x, K193:K195, IF(SUM((_xlpm.x="K")*1, (_xlpm.x="A")*1, (_xlpm.x="GK")*1, (_xlpm.x="GA")*1)&gt;0, 3, 1))</f>
        <v>3</v>
      </c>
      <c r="X193" s="25" cm="1">
        <f t="array" ref="X193">_xlfn.LET(_xlpm.x, L193:L195, IF(SUM((_xlpm.x="K")*1, (_xlpm.x="A")*1, (_xlpm.x="GK")*1, (_xlpm.x="GA")*1)&gt;0, 3, 1))</f>
        <v>3</v>
      </c>
      <c r="Y193" s="25" cm="1">
        <f t="array" ref="Y193">_xlfn.LET(_xlpm.x, M193:M195, IF(SUM((_xlpm.x="K")*1, (_xlpm.x="A")*1, (_xlpm.x="GK")*1, (_xlpm.x="GA")*1)&gt;0, 3, 1))</f>
        <v>3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31</v>
      </c>
      <c r="M194" s="16" t="s">
        <v>90</v>
      </c>
      <c r="N194" s="16" t="s">
        <v>35</v>
      </c>
      <c r="O194" s="16" t="s">
        <v>36</v>
      </c>
      <c r="Q194" s="9">
        <v>8</v>
      </c>
      <c r="R194" s="9">
        <v>8</v>
      </c>
      <c r="S194" s="9">
        <v>16</v>
      </c>
      <c r="T194" s="9">
        <v>8</v>
      </c>
      <c r="U194" s="9">
        <v>10</v>
      </c>
      <c r="W194" s="25" cm="1">
        <f t="array" ref="W194">_xlfn.LET(_xlpm.x, K194:K196, IF(SUM((_xlpm.x="K")*1, (_xlpm.x="A")*1, (_xlpm.x="GK")*1, (_xlpm.x="GA")*1)&gt;0, 3, 1))</f>
        <v>3</v>
      </c>
      <c r="X194" s="25" cm="1">
        <f t="array" ref="X194">_xlfn.LET(_xlpm.x, L194:L196, IF(SUM((_xlpm.x="K")*1, (_xlpm.x="A")*1, (_xlpm.x="GK")*1, (_xlpm.x="GA")*1)&gt;0, 3, 1))</f>
        <v>3</v>
      </c>
      <c r="Y194" s="25" cm="1">
        <f t="array" ref="Y194">_xlfn.LET(_xlpm.x, M194:M196, IF(SUM((_xlpm.x="K")*1, (_xlpm.x="A")*1, (_xlpm.x="GK")*1, (_xlpm.x="GA")*1)&gt;0, 3, 1))</f>
        <v>3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37</v>
      </c>
      <c r="L195" s="16" t="s">
        <v>102</v>
      </c>
      <c r="M195" s="16" t="s">
        <v>89</v>
      </c>
      <c r="N195" s="16" t="s">
        <v>22</v>
      </c>
      <c r="O195" s="16" t="s">
        <v>36</v>
      </c>
      <c r="Q195" s="9">
        <v>7</v>
      </c>
      <c r="R195" s="9">
        <v>17</v>
      </c>
      <c r="S195" s="9">
        <v>14</v>
      </c>
      <c r="T195" s="9">
        <v>3</v>
      </c>
      <c r="U195" s="9">
        <v>10</v>
      </c>
      <c r="W195" s="25" cm="1">
        <f t="array" ref="W195">_xlfn.LET(_xlpm.x, K195:K197, IF(SUM((_xlpm.x="K")*1, (_xlpm.x="A")*1, (_xlpm.x="GK")*1, (_xlpm.x="GA")*1)&gt;0, 3, 1))</f>
        <v>3</v>
      </c>
      <c r="X195" s="25" cm="1">
        <f t="array" ref="X195">_xlfn.LET(_xlpm.x, L195:L197, IF(SUM((_xlpm.x="K")*1, (_xlpm.x="A")*1, (_xlpm.x="GK")*1, (_xlpm.x="GA")*1)&gt;0, 3, 1))</f>
        <v>3</v>
      </c>
      <c r="Y195" s="25" cm="1">
        <f t="array" ref="Y195">_xlfn.LET(_xlpm.x, M195:M197, IF(SUM((_xlpm.x="K")*1, (_xlpm.x="A")*1, (_xlpm.x="GK")*1, (_xlpm.x="GA")*1)&gt;0, 3, 1))</f>
        <v>3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104</v>
      </c>
      <c r="L196" s="16" t="s">
        <v>87</v>
      </c>
      <c r="M196" s="16" t="s">
        <v>102</v>
      </c>
      <c r="N196" s="16" t="s">
        <v>36</v>
      </c>
      <c r="O196" s="16" t="s">
        <v>34</v>
      </c>
      <c r="Q196" s="9">
        <v>6</v>
      </c>
      <c r="R196" s="9">
        <v>12</v>
      </c>
      <c r="S196" s="9">
        <v>17</v>
      </c>
      <c r="T196" s="9">
        <v>10</v>
      </c>
      <c r="U196" s="9">
        <v>9</v>
      </c>
      <c r="W196" s="25" cm="1">
        <f t="array" ref="W196">_xlfn.LET(_xlpm.x, K196:K198, IF(SUM((_xlpm.x="K")*1, (_xlpm.x="A")*1, (_xlpm.x="GK")*1, (_xlpm.x="GA")*1)&gt;0, 3, 1))</f>
        <v>1</v>
      </c>
      <c r="X196" s="25" cm="1">
        <f t="array" ref="X196">_xlfn.LET(_xlpm.x, L196:L198, IF(SUM((_xlpm.x="K")*1, (_xlpm.x="A")*1, (_xlpm.x="GK")*1, (_xlpm.x="GA")*1)&gt;0, 3, 1))</f>
        <v>1</v>
      </c>
      <c r="Y196" s="25" cm="1">
        <f t="array" ref="Y196">_xlfn.LET(_xlpm.x, M196:M198, IF(SUM((_xlpm.x="K")*1, (_xlpm.x="A")*1, (_xlpm.x="GK")*1, (_xlpm.x="GA")*1)&gt;0, 3, 1))</f>
        <v>3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19</v>
      </c>
      <c r="L197" s="16" t="s">
        <v>20</v>
      </c>
      <c r="M197" s="16" t="s">
        <v>86</v>
      </c>
      <c r="N197" s="16" t="s">
        <v>34</v>
      </c>
      <c r="O197" s="16" t="s">
        <v>18</v>
      </c>
      <c r="Q197" s="9">
        <v>5</v>
      </c>
      <c r="R197" s="9">
        <v>1</v>
      </c>
      <c r="S197" s="9">
        <v>11</v>
      </c>
      <c r="T197" s="9">
        <v>9</v>
      </c>
      <c r="U197" s="9">
        <v>4</v>
      </c>
      <c r="W197" s="25" cm="1">
        <f t="array" ref="W197">_xlfn.LET(_xlpm.x, K197:K199, IF(SUM((_xlpm.x="K")*1, (_xlpm.x="A")*1, (_xlpm.x="GK")*1, (_xlpm.x="GA")*1)&gt;0, 3, 1))</f>
        <v>3</v>
      </c>
      <c r="X197" s="25" cm="1">
        <f t="array" ref="X197">_xlfn.LET(_xlpm.x, L197:L199, IF(SUM((_xlpm.x="K")*1, (_xlpm.x="A")*1, (_xlpm.x="GK")*1, (_xlpm.x="GA")*1)&gt;0, 3, 1))</f>
        <v>1</v>
      </c>
      <c r="Y197" s="25" cm="1">
        <f t="array" ref="Y197">_xlfn.LET(_xlpm.x, M197:M199, IF(SUM((_xlpm.x="K")*1, (_xlpm.x="A")*1, (_xlpm.x="GK")*1, (_xlpm.x="GA")*1)&gt;0, 3, 1))</f>
        <v>3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19</v>
      </c>
      <c r="L198" s="16" t="s">
        <v>104</v>
      </c>
      <c r="M198" s="16" t="s">
        <v>105</v>
      </c>
      <c r="N198" s="16" t="s">
        <v>36</v>
      </c>
      <c r="O198" s="16" t="s">
        <v>34</v>
      </c>
      <c r="Q198" s="9">
        <v>5</v>
      </c>
      <c r="R198" s="9">
        <v>6</v>
      </c>
      <c r="S198" s="9">
        <v>15</v>
      </c>
      <c r="T198" s="9">
        <v>10</v>
      </c>
      <c r="U198" s="9">
        <v>9</v>
      </c>
      <c r="W198" s="25" cm="1">
        <f t="array" ref="W198">_xlfn.LET(_xlpm.x, K198:K200, IF(SUM((_xlpm.x="K")*1, (_xlpm.x="A")*1, (_xlpm.x="GK")*1, (_xlpm.x="GA")*1)&gt;0, 3, 1))</f>
        <v>3</v>
      </c>
      <c r="X198" s="25" cm="1">
        <f t="array" ref="X198">_xlfn.LET(_xlpm.x, L198:L200, IF(SUM((_xlpm.x="K")*1, (_xlpm.x="A")*1, (_xlpm.x="GK")*1, (_xlpm.x="GA")*1)&gt;0, 3, 1))</f>
        <v>1</v>
      </c>
      <c r="Y198" s="25" cm="1">
        <f t="array" ref="Y198">_xlfn.LET(_xlpm.x, M198:M200, IF(SUM((_xlpm.x="K")*1, (_xlpm.x="A")*1, (_xlpm.x="GK")*1, (_xlpm.x="GA")*1)&gt;0, 3, 1))</f>
        <v>3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37</v>
      </c>
      <c r="L199" s="16" t="s">
        <v>89</v>
      </c>
      <c r="M199" s="16" t="s">
        <v>90</v>
      </c>
      <c r="N199" s="16" t="s">
        <v>20</v>
      </c>
      <c r="O199" s="16" t="s">
        <v>34</v>
      </c>
      <c r="Q199" s="9">
        <v>7</v>
      </c>
      <c r="R199" s="9">
        <v>14</v>
      </c>
      <c r="S199" s="9">
        <v>16</v>
      </c>
      <c r="T199" s="9">
        <v>1</v>
      </c>
      <c r="U199" s="9">
        <v>9</v>
      </c>
      <c r="W199" s="25" cm="1">
        <f t="array" ref="W199">_xlfn.LET(_xlpm.x, K199:K201, IF(SUM((_xlpm.x="K")*1, (_xlpm.x="A")*1, (_xlpm.x="GK")*1, (_xlpm.x="GA")*1)&gt;0, 3, 1))</f>
        <v>3</v>
      </c>
      <c r="X199" s="25" cm="1">
        <f t="array" ref="X199">_xlfn.LET(_xlpm.x, L199:L201, IF(SUM((_xlpm.x="K")*1, (_xlpm.x="A")*1, (_xlpm.x="GK")*1, (_xlpm.x="GA")*1)&gt;0, 3, 1))</f>
        <v>1</v>
      </c>
      <c r="Y199" s="25" cm="1">
        <f t="array" ref="Y199">_xlfn.LET(_xlpm.x, M199:M201, IF(SUM((_xlpm.x="K")*1, (_xlpm.x="A")*1, (_xlpm.x="GK")*1, (_xlpm.x="GA")*1)&gt;0, 3, 1))</f>
        <v>3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19</v>
      </c>
      <c r="L200" s="16" t="s">
        <v>18</v>
      </c>
      <c r="M200" s="16" t="s">
        <v>105</v>
      </c>
      <c r="N200" s="16" t="s">
        <v>19</v>
      </c>
      <c r="O200" s="16" t="s">
        <v>37</v>
      </c>
      <c r="Q200" s="9">
        <v>5</v>
      </c>
      <c r="R200" s="9">
        <v>4</v>
      </c>
      <c r="S200" s="9">
        <v>15</v>
      </c>
      <c r="T200" s="9">
        <v>5</v>
      </c>
      <c r="U200" s="9">
        <v>7</v>
      </c>
      <c r="W200" s="25" cm="1">
        <f t="array" ref="W200">_xlfn.LET(_xlpm.x, K200:K202, IF(SUM((_xlpm.x="K")*1, (_xlpm.x="A")*1, (_xlpm.x="GK")*1, (_xlpm.x="GA")*1)&gt;0, 3, 1))</f>
        <v>3</v>
      </c>
      <c r="X200" s="25" cm="1">
        <f t="array" ref="X200">_xlfn.LET(_xlpm.x, L200:L202, IF(SUM((_xlpm.x="K")*1, (_xlpm.x="A")*1, (_xlpm.x="GK")*1, (_xlpm.x="GA")*1)&gt;0, 3, 1))</f>
        <v>1</v>
      </c>
      <c r="Y200" s="25" cm="1">
        <f t="array" ref="Y200">_xlfn.LET(_xlpm.x, M200:M202, IF(SUM((_xlpm.x="K")*1, (_xlpm.x="A")*1, (_xlpm.x="GK")*1, (_xlpm.x="GA")*1)&gt;0, 3, 1))</f>
        <v>3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37</v>
      </c>
      <c r="L201" s="16" t="s">
        <v>18</v>
      </c>
      <c r="M201" s="16" t="s">
        <v>90</v>
      </c>
      <c r="N201" s="16" t="s">
        <v>35</v>
      </c>
      <c r="O201" s="16" t="s">
        <v>21</v>
      </c>
      <c r="Q201" s="9">
        <v>7</v>
      </c>
      <c r="R201" s="9">
        <v>4</v>
      </c>
      <c r="S201" s="9">
        <v>16</v>
      </c>
      <c r="T201" s="9">
        <v>8</v>
      </c>
      <c r="U201" s="9">
        <v>2</v>
      </c>
      <c r="W201" s="25" cm="1">
        <f t="array" ref="W201">_xlfn.LET(_xlpm.x, K201:K203, IF(SUM((_xlpm.x="K")*1, (_xlpm.x="A")*1, (_xlpm.x="GK")*1, (_xlpm.x="GA")*1)&gt;0, 3, 1))</f>
        <v>3</v>
      </c>
      <c r="X201" s="25" cm="1">
        <f t="array" ref="X201">_xlfn.LET(_xlpm.x, L201:L203, IF(SUM((_xlpm.x="K")*1, (_xlpm.x="A")*1, (_xlpm.x="GK")*1, (_xlpm.x="GA")*1)&gt;0, 3, 1))</f>
        <v>1</v>
      </c>
      <c r="Y201" s="25" cm="1">
        <f t="array" ref="Y201">_xlfn.LET(_xlpm.x, M201:M203, IF(SUM((_xlpm.x="K")*1, (_xlpm.x="A")*1, (_xlpm.x="GK")*1, (_xlpm.x="GA")*1)&gt;0, 3, 1))</f>
        <v>3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19</v>
      </c>
      <c r="L202" s="16" t="s">
        <v>89</v>
      </c>
      <c r="M202" s="16" t="s">
        <v>105</v>
      </c>
      <c r="N202" s="16" t="s">
        <v>105</v>
      </c>
      <c r="O202" s="16" t="s">
        <v>19</v>
      </c>
      <c r="Q202" s="9">
        <v>5</v>
      </c>
      <c r="R202" s="9">
        <v>14</v>
      </c>
      <c r="S202" s="9">
        <v>15</v>
      </c>
      <c r="T202" s="9">
        <v>15</v>
      </c>
      <c r="U202" s="9">
        <v>5</v>
      </c>
      <c r="W202" s="25" cm="1">
        <f t="array" ref="W202">_xlfn.LET(_xlpm.x, K202:K204, IF(SUM((_xlpm.x="K")*1, (_xlpm.x="A")*1, (_xlpm.x="GK")*1, (_xlpm.x="GA")*1)&gt;0, 3, 1))</f>
        <v>3</v>
      </c>
      <c r="X202" s="25" cm="1">
        <f t="array" ref="X202">_xlfn.LET(_xlpm.x, L202:L204, IF(SUM((_xlpm.x="K")*1, (_xlpm.x="A")*1, (_xlpm.x="GK")*1, (_xlpm.x="GA")*1)&gt;0, 3, 1))</f>
        <v>1</v>
      </c>
      <c r="Y202" s="25" cm="1">
        <f t="array" ref="Y202">_xlfn.LET(_xlpm.x, M202:M204, IF(SUM((_xlpm.x="K")*1, (_xlpm.x="A")*1, (_xlpm.x="GK")*1, (_xlpm.x="GA")*1)&gt;0, 3, 1))</f>
        <v>3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37</v>
      </c>
      <c r="L203" s="16" t="s">
        <v>104</v>
      </c>
      <c r="M203" s="16" t="s">
        <v>90</v>
      </c>
      <c r="N203" s="16" t="s">
        <v>35</v>
      </c>
      <c r="O203" s="16" t="s">
        <v>36</v>
      </c>
      <c r="Q203" s="9">
        <v>7</v>
      </c>
      <c r="R203" s="9">
        <v>6</v>
      </c>
      <c r="S203" s="9">
        <v>16</v>
      </c>
      <c r="T203" s="9">
        <v>8</v>
      </c>
      <c r="U203" s="9">
        <v>10</v>
      </c>
      <c r="W203" s="25" cm="1">
        <f t="array" ref="W203">_xlfn.LET(_xlpm.x, K203:K205, IF(SUM((_xlpm.x="K")*1, (_xlpm.x="A")*1, (_xlpm.x="GK")*1, (_xlpm.x="GA")*1)&gt;0, 3, 1))</f>
        <v>3</v>
      </c>
      <c r="X203" s="25" cm="1">
        <f t="array" ref="X203">_xlfn.LET(_xlpm.x, L203:L205, IF(SUM((_xlpm.x="K")*1, (_xlpm.x="A")*1, (_xlpm.x="GK")*1, (_xlpm.x="GA")*1)&gt;0, 3, 1))</f>
        <v>1</v>
      </c>
      <c r="Y203" s="25" cm="1">
        <f t="array" ref="Y203">_xlfn.LET(_xlpm.x, M203:M205, IF(SUM((_xlpm.x="K")*1, (_xlpm.x="A")*1, (_xlpm.x="GK")*1, (_xlpm.x="GA")*1)&gt;0, 3, 1))</f>
        <v>3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40" priority="56">
      <formula>_xlfn.LET(_xlpm.x, W4, AND(NOT(_xlfn.ISFORMULA(_xlpm.x)), _xlpm.x&lt;&gt;""))</formula>
    </cfRule>
  </conditionalFormatting>
  <conditionalFormatting sqref="W5:AA203 X4:AA4">
    <cfRule type="expression" dxfId="139" priority="51">
      <formula>_xlfn.LET(_xlpm.x, W4, AND(NOT(_xlfn.ISFORMULA(_xlpm.x)), _xlpm.x&lt;&gt;""))</formula>
    </cfRule>
  </conditionalFormatting>
  <conditionalFormatting sqref="K1:K1048576">
    <cfRule type="cellIs" dxfId="138" priority="35" operator="equal">
      <formula>"C1"</formula>
    </cfRule>
    <cfRule type="cellIs" dxfId="137" priority="36" operator="between">
      <formula>"G1"</formula>
      <formula>"G5"</formula>
    </cfRule>
    <cfRule type="cellIs" dxfId="136" priority="38" operator="between">
      <formula>"M1"</formula>
      <formula>"M5"</formula>
    </cfRule>
  </conditionalFormatting>
  <conditionalFormatting sqref="L1:O1048576">
    <cfRule type="cellIs" dxfId="135" priority="31" operator="equal">
      <formula>"C1"</formula>
    </cfRule>
    <cfRule type="cellIs" dxfId="134" priority="32" operator="between">
      <formula>"G1"</formula>
      <formula>"G5"</formula>
    </cfRule>
    <cfRule type="cellIs" dxfId="133" priority="34" operator="between">
      <formula>"M1"</formula>
      <formula>"M5"</formula>
    </cfRule>
  </conditionalFormatting>
  <conditionalFormatting sqref="C28:G28 D27:G27 C29 C31:G46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{EDA4504F-D820-4308-95F6-297CD50D0C8A}</x14:id>
        </ext>
      </extLst>
    </cfRule>
  </conditionalFormatting>
  <conditionalFormatting sqref="D52:D54">
    <cfRule type="cellIs" dxfId="132" priority="11" operator="equal">
      <formula>"C1"</formula>
    </cfRule>
    <cfRule type="cellIs" dxfId="131" priority="12" operator="between">
      <formula>"G1"</formula>
      <formula>"G4"</formula>
    </cfRule>
    <cfRule type="cellIs" dxfId="130" priority="13" operator="between">
      <formula>"GA"</formula>
      <formula>"GQ"</formula>
    </cfRule>
    <cfRule type="cellIs" dxfId="129" priority="14" operator="between">
      <formula>"M1"</formula>
      <formula>"M4"</formula>
    </cfRule>
  </conditionalFormatting>
  <conditionalFormatting sqref="E52:E54">
    <cfRule type="cellIs" dxfId="128" priority="7" operator="equal">
      <formula>"C1"</formula>
    </cfRule>
    <cfRule type="cellIs" dxfId="127" priority="8" operator="between">
      <formula>"G1"</formula>
      <formula>"G4"</formula>
    </cfRule>
    <cfRule type="cellIs" dxfId="126" priority="9" operator="between">
      <formula>"GA"</formula>
      <formula>"GQ"</formula>
    </cfRule>
    <cfRule type="cellIs" dxfId="125" priority="10" operator="between">
      <formula>"M1"</formula>
      <formula>"M4"</formula>
    </cfRule>
  </conditionalFormatting>
  <conditionalFormatting sqref="F52:F54">
    <cfRule type="cellIs" dxfId="124" priority="3" operator="equal">
      <formula>"C1"</formula>
    </cfRule>
    <cfRule type="cellIs" dxfId="123" priority="4" operator="between">
      <formula>"G1"</formula>
      <formula>"G4"</formula>
    </cfRule>
    <cfRule type="cellIs" dxfId="122" priority="5" operator="between">
      <formula>"GA"</formula>
      <formula>"GQ"</formula>
    </cfRule>
    <cfRule type="cellIs" dxfId="121" priority="6" operator="between">
      <formula>"M1"</formula>
      <formula>"M4"</formula>
    </cfRule>
  </conditionalFormatting>
  <conditionalFormatting sqref="D29:F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{2B6593A0-5BC5-49E4-902A-D44EC86B98D3}</x14:id>
        </ext>
      </extLst>
    </cfRule>
  </conditionalFormatting>
  <conditionalFormatting sqref="W4:AA203">
    <cfRule type="expression" dxfId="12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4504F-D820-4308-95F6-297CD50D0C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2B6593A0-5BC5-49E4-902A-D44EC86B9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7" operator="containsText" id="{11E252AE-C834-47E3-A875-D94289C40F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33" operator="containsText" id="{6459DEBE-91DF-4AD5-B0B9-438EBD30833D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S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3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3" ht="15.9" customHeight="1" x14ac:dyDescent="0.3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3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3" ht="15.9" customHeight="1" x14ac:dyDescent="0.3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104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 cm="1">
        <f t="array" ref="W4">_xlfn.LET(_xlpm.x, K4:K6, IF(SUM((_xlpm.x="C1")*1)=1, 3, 1))</f>
        <v>1</v>
      </c>
      <c r="X4" s="25" cm="1">
        <f t="array" ref="X4">_xlfn.LET(_xlpm.x, L4:L6, IF(SUM((_xlpm.x="C1")*1)=1, 3, 1))</f>
        <v>1</v>
      </c>
      <c r="Y4" s="25" cm="1">
        <f t="array" ref="Y4">_xlfn.LET(_xlpm.x, M4:M6, IF(SUM((_xlpm.x="C1")*1)=1, 3, 1))</f>
        <v>3</v>
      </c>
      <c r="Z4" s="25" cm="1">
        <f t="array" ref="Z4">_xlfn.LET(_xlpm.x, N4:N6, IF(SUM((_xlpm.x="C1")*1)=1, 3, 1))</f>
        <v>1</v>
      </c>
      <c r="AA4" s="25" cm="1">
        <f t="array" ref="AA4">_xlfn.LET(_xlpm.x, O4:O6, IF(SUM((_xlpm.x="C1")*1)=1, 3, 1))</f>
        <v>3</v>
      </c>
      <c r="AB4" s="43"/>
      <c r="AC4" s="27" t="s">
        <v>109</v>
      </c>
      <c r="AH4" s="5"/>
      <c r="AI4" s="5"/>
      <c r="AJ4" s="27" t="s">
        <v>109</v>
      </c>
      <c r="AO4" s="5"/>
    </row>
    <row r="5" spans="1:43" ht="15.9" customHeight="1" x14ac:dyDescent="0.3">
      <c r="A5" s="29" t="str">
        <v>C1</v>
      </c>
      <c r="B5" s="8" t="str">
        <v>Scatter</v>
      </c>
      <c r="C5" s="98">
        <f t="shared" si="0"/>
        <v>6</v>
      </c>
      <c r="D5" s="98">
        <f t="shared" si="0"/>
        <v>6</v>
      </c>
      <c r="E5" s="98">
        <f t="shared" si="0"/>
        <v>6</v>
      </c>
      <c r="F5" s="98">
        <f t="shared" si="0"/>
        <v>9</v>
      </c>
      <c r="G5" s="98">
        <f t="shared" si="0"/>
        <v>9</v>
      </c>
      <c r="H5" s="8">
        <v>1</v>
      </c>
      <c r="I5" s="86"/>
      <c r="J5" s="9">
        <v>1</v>
      </c>
      <c r="K5" s="16" t="s">
        <v>35</v>
      </c>
      <c r="L5" s="16" t="s">
        <v>95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 cm="1">
        <f t="array" ref="W5">_xlfn.LET(_xlpm.x, K5:K7, IF(SUM((_xlpm.x="C1")*1)=1, 3, 1))</f>
        <v>1</v>
      </c>
      <c r="X5" s="25" cm="1">
        <f t="array" ref="X5">_xlfn.LET(_xlpm.x, L5:L7, IF(SUM((_xlpm.x="C1")*1)=1, 3, 1))</f>
        <v>1</v>
      </c>
      <c r="Y5" s="25" cm="1">
        <f t="array" ref="Y5">_xlfn.LET(_xlpm.x, M5:M7, IF(SUM((_xlpm.x="C1")*1)=1, 3, 1))</f>
        <v>3</v>
      </c>
      <c r="Z5" s="25" cm="1">
        <f t="array" ref="Z5">_xlfn.LET(_xlpm.x, N5:N7, IF(SUM((_xlpm.x="C1")*1)=1, 3, 1))</f>
        <v>1</v>
      </c>
      <c r="AA5" s="25" cm="1">
        <f t="array" ref="AA5">_xlfn.LET(_xlpm.x, O5:O7, IF(SUM((_xlpm.x="C1")*1)=1, 3, 1))</f>
        <v>3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3" ht="15.9" customHeight="1" x14ac:dyDescent="0.3">
      <c r="A6" s="128" t="str">
        <v>M1</v>
      </c>
      <c r="B6" s="108" t="str">
        <v>M1</v>
      </c>
      <c r="C6" s="128">
        <f t="shared" si="0"/>
        <v>4</v>
      </c>
      <c r="D6" s="128">
        <f t="shared" si="0"/>
        <v>14</v>
      </c>
      <c r="E6" s="128">
        <f t="shared" si="0"/>
        <v>4</v>
      </c>
      <c r="F6" s="128">
        <f t="shared" si="0"/>
        <v>21</v>
      </c>
      <c r="G6" s="128">
        <f t="shared" si="0"/>
        <v>22</v>
      </c>
      <c r="H6" s="108">
        <v>2</v>
      </c>
      <c r="I6" s="86"/>
      <c r="J6" s="25">
        <v>2</v>
      </c>
      <c r="K6" s="16" t="s">
        <v>35</v>
      </c>
      <c r="L6" s="16" t="s">
        <v>87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 cm="1">
        <f t="array" ref="W6">_xlfn.LET(_xlpm.x, K6:K8, IF(SUM((_xlpm.x="C1")*1)=1, 3, 1))</f>
        <v>1</v>
      </c>
      <c r="X6" s="25" cm="1">
        <f t="array" ref="X6">_xlfn.LET(_xlpm.x, L6:L8, IF(SUM((_xlpm.x="C1")*1)=1, 3, 1))</f>
        <v>1</v>
      </c>
      <c r="Y6" s="25" cm="1">
        <f t="array" ref="Y6">_xlfn.LET(_xlpm.x, M6:M8, IF(SUM((_xlpm.x="C1")*1)=1, 3, 1))</f>
        <v>3</v>
      </c>
      <c r="Z6" s="25" cm="1">
        <f t="array" ref="Z6">_xlfn.LET(_xlpm.x, N6:N8, IF(SUM((_xlpm.x="C1")*1)=1, 3, 1))</f>
        <v>1</v>
      </c>
      <c r="AA6" s="25" cm="1">
        <f t="array" ref="AA6">_xlfn.LET(_xlpm.x, O6:O8, IF(SUM((_xlpm.x="C1")*1)=1, 3, 1))</f>
        <v>3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 cm="1">
        <f t="array" ref="AK6:AO25">$AD$6:$AH$25</f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3" ht="15.9" customHeight="1" x14ac:dyDescent="0.3">
      <c r="A7" s="128" t="str">
        <v>M2</v>
      </c>
      <c r="B7" s="108" t="str">
        <v>M2</v>
      </c>
      <c r="C7" s="128">
        <f t="shared" si="0"/>
        <v>4</v>
      </c>
      <c r="D7" s="128">
        <f t="shared" si="0"/>
        <v>13</v>
      </c>
      <c r="E7" s="128">
        <f t="shared" si="0"/>
        <v>4</v>
      </c>
      <c r="F7" s="128">
        <f t="shared" si="0"/>
        <v>20</v>
      </c>
      <c r="G7" s="128">
        <f t="shared" si="0"/>
        <v>22</v>
      </c>
      <c r="H7" s="108">
        <v>3</v>
      </c>
      <c r="I7" s="86"/>
      <c r="J7" s="9">
        <v>3</v>
      </c>
      <c r="K7" s="16" t="s">
        <v>104</v>
      </c>
      <c r="L7" s="26" t="s">
        <v>285</v>
      </c>
      <c r="M7" s="16" t="s">
        <v>35</v>
      </c>
      <c r="N7" s="16" t="s">
        <v>22</v>
      </c>
      <c r="O7" s="16" t="s">
        <v>22</v>
      </c>
      <c r="Q7" s="9">
        <v>6</v>
      </c>
      <c r="R7" s="9">
        <v>6</v>
      </c>
      <c r="S7" s="9">
        <v>8</v>
      </c>
      <c r="T7" s="9">
        <v>3</v>
      </c>
      <c r="U7" s="9">
        <v>3</v>
      </c>
      <c r="W7" s="25" cm="1">
        <f t="array" ref="W7">_xlfn.LET(_xlpm.x, K7:K9, IF(SUM((_xlpm.x="C1")*1)=1, 3, 1))</f>
        <v>1</v>
      </c>
      <c r="X7" s="25" cm="1">
        <f t="array" ref="X7">_xlfn.LET(_xlpm.x, L7:L9, IF(SUM((_xlpm.x="C1")*1)=1, 3, 1))</f>
        <v>1</v>
      </c>
      <c r="Y7" s="25" cm="1">
        <f t="array" ref="Y7">_xlfn.LET(_xlpm.x, M7:M9, IF(SUM((_xlpm.x="C1")*1)=1, 3, 1))</f>
        <v>1</v>
      </c>
      <c r="Z7" s="25" cm="1">
        <f t="array" ref="Z7">_xlfn.LET(_xlpm.x, N7:N9, IF(SUM((_xlpm.x="C1")*1)=1, 3, 1))</f>
        <v>1</v>
      </c>
      <c r="AA7" s="25" cm="1">
        <f t="array" ref="AA7">_xlfn.LET(_xlpm.x, O7:O9, IF(SUM((_xlpm.x="C1")*1)=1, 3, 1))</f>
        <v>1</v>
      </c>
      <c r="AC7" s="133" t="str">
        <v>C1</v>
      </c>
      <c r="AD7" s="98">
        <v>0</v>
      </c>
      <c r="AE7" s="98">
        <v>6</v>
      </c>
      <c r="AF7" s="98">
        <v>0</v>
      </c>
      <c r="AG7" s="98">
        <v>9</v>
      </c>
      <c r="AH7" s="98">
        <v>0</v>
      </c>
      <c r="AI7" s="5"/>
      <c r="AJ7" s="133" t="str">
        <v>C1</v>
      </c>
      <c r="AK7" s="211">
        <v>0</v>
      </c>
      <c r="AL7" s="211">
        <v>6</v>
      </c>
      <c r="AM7" s="211">
        <v>0</v>
      </c>
      <c r="AN7" s="211">
        <v>9</v>
      </c>
      <c r="AO7" s="211">
        <v>0</v>
      </c>
    </row>
    <row r="8" spans="1:43" ht="15.9" customHeight="1" x14ac:dyDescent="0.3">
      <c r="A8" s="128" t="str">
        <v>M3</v>
      </c>
      <c r="B8" s="108" t="str">
        <v>M3</v>
      </c>
      <c r="C8" s="128">
        <f t="shared" si="0"/>
        <v>4</v>
      </c>
      <c r="D8" s="128">
        <f t="shared" si="0"/>
        <v>13</v>
      </c>
      <c r="E8" s="128">
        <f t="shared" si="0"/>
        <v>4</v>
      </c>
      <c r="F8" s="128">
        <f t="shared" si="0"/>
        <v>20</v>
      </c>
      <c r="G8" s="128">
        <f t="shared" si="0"/>
        <v>21</v>
      </c>
      <c r="H8" s="108">
        <v>4</v>
      </c>
      <c r="I8" s="86"/>
      <c r="J8" s="25">
        <v>4</v>
      </c>
      <c r="K8" s="16" t="s">
        <v>35</v>
      </c>
      <c r="L8" s="16" t="s">
        <v>285</v>
      </c>
      <c r="M8" s="16" t="s">
        <v>19</v>
      </c>
      <c r="N8" s="16" t="s">
        <v>88</v>
      </c>
      <c r="O8" s="16" t="s">
        <v>22</v>
      </c>
      <c r="Q8" s="9">
        <v>8</v>
      </c>
      <c r="R8" s="9">
        <v>6</v>
      </c>
      <c r="S8" s="9">
        <v>5</v>
      </c>
      <c r="T8" s="9">
        <v>13</v>
      </c>
      <c r="U8" s="9">
        <v>3</v>
      </c>
      <c r="W8" s="25" cm="1">
        <f t="array" ref="W8">_xlfn.LET(_xlpm.x, K8:K10, IF(SUM((_xlpm.x="C1")*1)=1, 3, 1))</f>
        <v>1</v>
      </c>
      <c r="X8" s="25" cm="1">
        <f t="array" ref="X8">_xlfn.LET(_xlpm.x, L8:L10, IF(SUM((_xlpm.x="C1")*1)=1, 3, 1))</f>
        <v>1</v>
      </c>
      <c r="Y8" s="25" cm="1">
        <f t="array" ref="Y8">_xlfn.LET(_xlpm.x, M8:M10, IF(SUM((_xlpm.x="C1")*1)=1, 3, 1))</f>
        <v>1</v>
      </c>
      <c r="Z8" s="25" cm="1">
        <f t="array" ref="Z8">_xlfn.LET(_xlpm.x, N8:N10, IF(SUM((_xlpm.x="C1")*1)=1, 3, 1))</f>
        <v>1</v>
      </c>
      <c r="AA8" s="25" cm="1">
        <f t="array" ref="AA8">_xlfn.LET(_xlpm.x, O8:O10, IF(SUM((_xlpm.x="C1")*1)=1, 3, 1))</f>
        <v>1</v>
      </c>
      <c r="AC8" s="148" t="str">
        <v>M1</v>
      </c>
      <c r="AD8" s="128">
        <v>4</v>
      </c>
      <c r="AE8" s="128">
        <v>14</v>
      </c>
      <c r="AF8" s="128">
        <v>4</v>
      </c>
      <c r="AG8" s="128">
        <v>21</v>
      </c>
      <c r="AH8" s="128">
        <v>22</v>
      </c>
      <c r="AI8" s="5"/>
      <c r="AJ8" s="148" t="str">
        <v>M1</v>
      </c>
      <c r="AK8" s="128">
        <v>4</v>
      </c>
      <c r="AL8" s="128">
        <v>14</v>
      </c>
      <c r="AM8" s="128">
        <v>4</v>
      </c>
      <c r="AN8" s="128">
        <v>21</v>
      </c>
      <c r="AO8" s="128">
        <v>22</v>
      </c>
    </row>
    <row r="9" spans="1:43" ht="15.9" customHeight="1" x14ac:dyDescent="0.3">
      <c r="A9" s="128" t="str">
        <v>M4</v>
      </c>
      <c r="B9" s="108" t="str">
        <v>M4</v>
      </c>
      <c r="C9" s="128">
        <f t="shared" si="0"/>
        <v>40</v>
      </c>
      <c r="D9" s="128">
        <f t="shared" si="0"/>
        <v>9</v>
      </c>
      <c r="E9" s="128">
        <f t="shared" si="0"/>
        <v>41</v>
      </c>
      <c r="F9" s="128">
        <f t="shared" si="0"/>
        <v>14</v>
      </c>
      <c r="G9" s="128">
        <f t="shared" si="0"/>
        <v>21</v>
      </c>
      <c r="H9" s="108">
        <v>5</v>
      </c>
      <c r="I9" s="86"/>
      <c r="J9" s="9">
        <v>5</v>
      </c>
      <c r="K9" s="16" t="s">
        <v>37</v>
      </c>
      <c r="L9" s="16" t="s">
        <v>102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 cm="1">
        <f t="array" ref="W9">_xlfn.LET(_xlpm.x, K9:K11, IF(SUM((_xlpm.x="C1")*1)=1, 3, 1))</f>
        <v>1</v>
      </c>
      <c r="X9" s="25" cm="1">
        <f t="array" ref="X9">_xlfn.LET(_xlpm.x, L9:L11, IF(SUM((_xlpm.x="C1")*1)=1, 3, 1))</f>
        <v>1</v>
      </c>
      <c r="Y9" s="25" cm="1">
        <f t="array" ref="Y9">_xlfn.LET(_xlpm.x, M9:M11, IF(SUM((_xlpm.x="C1")*1)=1, 3, 1))</f>
        <v>1</v>
      </c>
      <c r="Z9" s="25" cm="1">
        <f t="array" ref="Z9">_xlfn.LET(_xlpm.x, N9:N11, IF(SUM((_xlpm.x="C1")*1)=1, 3, 1))</f>
        <v>1</v>
      </c>
      <c r="AA9" s="25" cm="1">
        <f t="array" ref="AA9">_xlfn.LET(_xlpm.x, O9:O11, IF(SUM((_xlpm.x="C1")*1)=1, 3, 1))</f>
        <v>1</v>
      </c>
      <c r="AC9" s="148" t="str">
        <v>M2</v>
      </c>
      <c r="AD9" s="128">
        <v>4</v>
      </c>
      <c r="AE9" s="128">
        <v>13</v>
      </c>
      <c r="AF9" s="128">
        <v>4</v>
      </c>
      <c r="AG9" s="128">
        <v>20</v>
      </c>
      <c r="AH9" s="128">
        <v>22</v>
      </c>
      <c r="AI9" s="5"/>
      <c r="AJ9" s="148" t="str">
        <v>M2</v>
      </c>
      <c r="AK9" s="128">
        <v>4</v>
      </c>
      <c r="AL9" s="128">
        <v>13</v>
      </c>
      <c r="AM9" s="128">
        <v>4</v>
      </c>
      <c r="AN9" s="128">
        <v>20</v>
      </c>
      <c r="AO9" s="128">
        <v>22</v>
      </c>
    </row>
    <row r="10" spans="1:43" ht="15.9" customHeight="1" x14ac:dyDescent="0.3">
      <c r="A10" s="128" t="str">
        <v>M5</v>
      </c>
      <c r="B10" s="108" t="str">
        <v>M5</v>
      </c>
      <c r="C10" s="128">
        <f t="shared" si="0"/>
        <v>40</v>
      </c>
      <c r="D10" s="128">
        <f t="shared" si="0"/>
        <v>13</v>
      </c>
      <c r="E10" s="128">
        <f t="shared" si="0"/>
        <v>41</v>
      </c>
      <c r="F10" s="128">
        <f t="shared" si="0"/>
        <v>14</v>
      </c>
      <c r="G10" s="128">
        <f t="shared" si="0"/>
        <v>21</v>
      </c>
      <c r="H10" s="108">
        <v>6</v>
      </c>
      <c r="I10" s="86"/>
      <c r="J10" s="25">
        <v>6</v>
      </c>
      <c r="K10" s="16" t="s">
        <v>104</v>
      </c>
      <c r="L10" s="16" t="s">
        <v>104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6</v>
      </c>
      <c r="S10" s="9">
        <v>5</v>
      </c>
      <c r="T10" s="9">
        <v>10</v>
      </c>
      <c r="U10" s="9">
        <v>5</v>
      </c>
      <c r="W10" s="25" cm="1">
        <f t="array" ref="W10">_xlfn.LET(_xlpm.x, K10:K12, IF(SUM((_xlpm.x="C1")*1)=1, 3, 1))</f>
        <v>1</v>
      </c>
      <c r="X10" s="25" cm="1">
        <f t="array" ref="X10">_xlfn.LET(_xlpm.x, L10:L12, IF(SUM((_xlpm.x="C1")*1)=1, 3, 1))</f>
        <v>1</v>
      </c>
      <c r="Y10" s="25" cm="1">
        <f t="array" ref="Y10">_xlfn.LET(_xlpm.x, M10:M12, IF(SUM((_xlpm.x="C1")*1)=1, 3, 1))</f>
        <v>1</v>
      </c>
      <c r="Z10" s="25" cm="1">
        <f t="array" ref="Z10">_xlfn.LET(_xlpm.x, N10:N12, IF(SUM((_xlpm.x="C1")*1)=1, 3, 1))</f>
        <v>1</v>
      </c>
      <c r="AA10" s="25" cm="1">
        <f t="array" ref="AA10">_xlfn.LET(_xlpm.x, O10:O12, IF(SUM((_xlpm.x="C1")*1)=1, 3, 1))</f>
        <v>1</v>
      </c>
      <c r="AC10" s="148" t="str">
        <v>M3</v>
      </c>
      <c r="AD10" s="128">
        <v>4</v>
      </c>
      <c r="AE10" s="128">
        <v>13</v>
      </c>
      <c r="AF10" s="128">
        <v>4</v>
      </c>
      <c r="AG10" s="128">
        <v>20</v>
      </c>
      <c r="AH10" s="128">
        <v>21</v>
      </c>
      <c r="AI10" s="5"/>
      <c r="AJ10" s="148" t="str">
        <v>M3</v>
      </c>
      <c r="AK10" s="128">
        <v>4</v>
      </c>
      <c r="AL10" s="128">
        <v>13</v>
      </c>
      <c r="AM10" s="128">
        <v>4</v>
      </c>
      <c r="AN10" s="128">
        <v>20</v>
      </c>
      <c r="AO10" s="128">
        <v>21</v>
      </c>
    </row>
    <row r="11" spans="1:43" ht="15.9" customHeight="1" x14ac:dyDescent="0.3">
      <c r="A11" s="128" t="str">
        <v>A</v>
      </c>
      <c r="B11" s="108" t="str">
        <v>A</v>
      </c>
      <c r="C11" s="128">
        <f t="shared" si="0"/>
        <v>47</v>
      </c>
      <c r="D11" s="128">
        <f t="shared" si="0"/>
        <v>10</v>
      </c>
      <c r="E11" s="128">
        <f t="shared" si="0"/>
        <v>41</v>
      </c>
      <c r="F11" s="128">
        <f t="shared" si="0"/>
        <v>14</v>
      </c>
      <c r="G11" s="128">
        <f t="shared" si="0"/>
        <v>21</v>
      </c>
      <c r="H11" s="108">
        <v>7</v>
      </c>
      <c r="I11" s="86"/>
      <c r="J11" s="9">
        <v>7</v>
      </c>
      <c r="K11" s="16" t="s">
        <v>104</v>
      </c>
      <c r="L11" s="16" t="s">
        <v>104</v>
      </c>
      <c r="M11" s="16" t="s">
        <v>37</v>
      </c>
      <c r="N11" s="16" t="s">
        <v>37</v>
      </c>
      <c r="O11" s="16" t="s">
        <v>104</v>
      </c>
      <c r="Q11" s="9">
        <v>6</v>
      </c>
      <c r="R11" s="9">
        <v>6</v>
      </c>
      <c r="S11" s="9">
        <v>7</v>
      </c>
      <c r="T11" s="9">
        <v>7</v>
      </c>
      <c r="U11" s="9">
        <v>6</v>
      </c>
      <c r="W11" s="25" cm="1">
        <f t="array" ref="W11">_xlfn.LET(_xlpm.x, K11:K13, IF(SUM((_xlpm.x="C1")*1)=1, 3, 1))</f>
        <v>1</v>
      </c>
      <c r="X11" s="25"/>
      <c r="Y11" s="25" cm="1">
        <f t="array" ref="Y11">_xlfn.LET(_xlpm.x, M11:M13, IF(SUM((_xlpm.x="C1")*1)=1, 3, 1))</f>
        <v>1</v>
      </c>
      <c r="Z11" s="25" cm="1">
        <f t="array" ref="Z11">_xlfn.LET(_xlpm.x, N11:N13, IF(SUM((_xlpm.x="C1")*1)=1, 3, 1))</f>
        <v>1</v>
      </c>
      <c r="AA11" s="25" cm="1">
        <f t="array" ref="AA11">_xlfn.LET(_xlpm.x, O11:O13, IF(SUM((_xlpm.x="C1")*1)=1, 3, 1))</f>
        <v>1</v>
      </c>
      <c r="AC11" s="148" t="str">
        <v>M4</v>
      </c>
      <c r="AD11" s="128">
        <v>40</v>
      </c>
      <c r="AE11" s="128">
        <v>9</v>
      </c>
      <c r="AF11" s="128">
        <v>41</v>
      </c>
      <c r="AG11" s="128">
        <v>14</v>
      </c>
      <c r="AH11" s="128">
        <v>21</v>
      </c>
      <c r="AI11" s="5"/>
      <c r="AJ11" s="148" t="str">
        <v>M4</v>
      </c>
      <c r="AK11" s="128">
        <v>40</v>
      </c>
      <c r="AL11" s="128">
        <v>9</v>
      </c>
      <c r="AM11" s="128">
        <v>41</v>
      </c>
      <c r="AN11" s="128">
        <v>14</v>
      </c>
      <c r="AO11" s="128">
        <v>21</v>
      </c>
    </row>
    <row r="12" spans="1:43" ht="15.9" customHeight="1" x14ac:dyDescent="0.3">
      <c r="A12" s="128" t="str">
        <v>K</v>
      </c>
      <c r="B12" s="108" t="str">
        <v>K</v>
      </c>
      <c r="C12" s="128">
        <f t="shared" si="0"/>
        <v>47</v>
      </c>
      <c r="D12" s="128">
        <f t="shared" si="0"/>
        <v>10</v>
      </c>
      <c r="E12" s="128">
        <f t="shared" si="0"/>
        <v>41</v>
      </c>
      <c r="F12" s="128">
        <f t="shared" si="0"/>
        <v>14</v>
      </c>
      <c r="G12" s="128">
        <f t="shared" si="0"/>
        <v>21</v>
      </c>
      <c r="H12" s="108">
        <v>8</v>
      </c>
      <c r="I12" s="86"/>
      <c r="J12" s="25">
        <v>8</v>
      </c>
      <c r="K12" s="16" t="s">
        <v>37</v>
      </c>
      <c r="L12" s="16" t="s">
        <v>87</v>
      </c>
      <c r="M12" s="16" t="s">
        <v>105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 cm="1">
        <f t="array" ref="W12">_xlfn.LET(_xlpm.x, K12:K14, IF(SUM((_xlpm.x="C1")*1)=1, 3, 1))</f>
        <v>1</v>
      </c>
      <c r="X12" s="25" cm="1">
        <f t="array" ref="X12">_xlfn.LET(_xlpm.x, L12:L14, IF(SUM((_xlpm.x="C1")*1)=1, 3, 1))</f>
        <v>3</v>
      </c>
      <c r="Y12" s="25" cm="1">
        <f t="array" ref="Y12">_xlfn.LET(_xlpm.x, M12:M14, IF(SUM((_xlpm.x="C1")*1)=1, 3, 1))</f>
        <v>1</v>
      </c>
      <c r="Z12" s="25" cm="1">
        <f t="array" ref="Z12">_xlfn.LET(_xlpm.x, N12:N14, IF(SUM((_xlpm.x="C1")*1)=1, 3, 1))</f>
        <v>1</v>
      </c>
      <c r="AA12" s="25" cm="1">
        <f t="array" ref="AA12">_xlfn.LET(_xlpm.x, O12:O14, IF(SUM((_xlpm.x="C1")*1)=1, 3, 1))</f>
        <v>1</v>
      </c>
      <c r="AC12" s="148" t="str">
        <v>M5</v>
      </c>
      <c r="AD12" s="128">
        <v>40</v>
      </c>
      <c r="AE12" s="128">
        <v>13</v>
      </c>
      <c r="AF12" s="128">
        <v>41</v>
      </c>
      <c r="AG12" s="128">
        <v>14</v>
      </c>
      <c r="AH12" s="128">
        <v>21</v>
      </c>
      <c r="AI12" s="5"/>
      <c r="AJ12" s="148" t="str">
        <v>M5</v>
      </c>
      <c r="AK12" s="128">
        <v>40</v>
      </c>
      <c r="AL12" s="128">
        <v>13</v>
      </c>
      <c r="AM12" s="128">
        <v>41</v>
      </c>
      <c r="AN12" s="128">
        <v>14</v>
      </c>
      <c r="AO12" s="128">
        <v>21</v>
      </c>
    </row>
    <row r="13" spans="1:43" ht="15.9" customHeight="1" x14ac:dyDescent="0.3">
      <c r="A13" s="128" t="str">
        <v>Q</v>
      </c>
      <c r="B13" s="108" t="str">
        <v>Q</v>
      </c>
      <c r="C13" s="128">
        <f t="shared" si="0"/>
        <v>4</v>
      </c>
      <c r="D13" s="128">
        <f t="shared" si="0"/>
        <v>15</v>
      </c>
      <c r="E13" s="128">
        <f t="shared" si="0"/>
        <v>3</v>
      </c>
      <c r="F13" s="128">
        <f t="shared" si="0"/>
        <v>21</v>
      </c>
      <c r="G13" s="128">
        <f t="shared" si="0"/>
        <v>21</v>
      </c>
      <c r="H13" s="108">
        <v>9</v>
      </c>
      <c r="I13" s="86"/>
      <c r="J13" s="9">
        <v>9</v>
      </c>
      <c r="K13" s="16" t="s">
        <v>104</v>
      </c>
      <c r="L13" s="16" t="s">
        <v>20</v>
      </c>
      <c r="M13" s="16" t="s">
        <v>37</v>
      </c>
      <c r="N13" s="16" t="s">
        <v>104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 cm="1">
        <f t="array" ref="W13">_xlfn.LET(_xlpm.x, K13:K15, IF(SUM((_xlpm.x="C1")*1)=1, 3, 1))</f>
        <v>1</v>
      </c>
      <c r="X13" s="25" cm="1">
        <f t="array" ref="X13">_xlfn.LET(_xlpm.x, L13:L15, IF(SUM((_xlpm.x="C1")*1)=1, 3, 1))</f>
        <v>3</v>
      </c>
      <c r="Y13" s="25" cm="1">
        <f t="array" ref="Y13">_xlfn.LET(_xlpm.x, M13:M15, IF(SUM((_xlpm.x="C1")*1)=1, 3, 1))</f>
        <v>1</v>
      </c>
      <c r="Z13" s="25" cm="1">
        <f t="array" ref="Z13">_xlfn.LET(_xlpm.x, N13:N15, IF(SUM((_xlpm.x="C1")*1)=1, 3, 1))</f>
        <v>1</v>
      </c>
      <c r="AA13" s="25" cm="1">
        <f t="array" ref="AA13">_xlfn.LET(_xlpm.x, O13:O15, IF(SUM((_xlpm.x="C1")*1)=1, 3, 1))</f>
        <v>1</v>
      </c>
      <c r="AC13" s="148" t="str">
        <v>A</v>
      </c>
      <c r="AD13" s="128">
        <v>47</v>
      </c>
      <c r="AE13" s="128">
        <v>10</v>
      </c>
      <c r="AF13" s="128">
        <v>41</v>
      </c>
      <c r="AG13" s="128">
        <v>14</v>
      </c>
      <c r="AH13" s="128">
        <v>21</v>
      </c>
      <c r="AI13" s="5"/>
      <c r="AJ13" s="148" t="str">
        <v>A</v>
      </c>
      <c r="AK13" s="128">
        <v>47</v>
      </c>
      <c r="AL13" s="128">
        <v>10</v>
      </c>
      <c r="AM13" s="128">
        <v>41</v>
      </c>
      <c r="AN13" s="128">
        <v>14</v>
      </c>
      <c r="AO13" s="128">
        <v>21</v>
      </c>
    </row>
    <row r="14" spans="1:43" ht="15.9" customHeight="1" x14ac:dyDescent="0.3">
      <c r="A14" s="128" t="str">
        <v>J</v>
      </c>
      <c r="B14" s="108" t="str">
        <v>J</v>
      </c>
      <c r="C14" s="128">
        <f t="shared" si="0"/>
        <v>4</v>
      </c>
      <c r="D14" s="128">
        <f t="shared" si="0"/>
        <v>17</v>
      </c>
      <c r="E14" s="128">
        <f t="shared" si="0"/>
        <v>3</v>
      </c>
      <c r="F14" s="128">
        <f t="shared" si="0"/>
        <v>21</v>
      </c>
      <c r="G14" s="128">
        <f t="shared" si="0"/>
        <v>21</v>
      </c>
      <c r="H14" s="108">
        <v>10</v>
      </c>
      <c r="I14" s="86"/>
      <c r="J14" s="25">
        <v>10</v>
      </c>
      <c r="K14" s="16" t="s">
        <v>35</v>
      </c>
      <c r="L14" s="16" t="s">
        <v>37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7</v>
      </c>
      <c r="S14" s="9">
        <v>8</v>
      </c>
      <c r="T14" s="9">
        <v>3</v>
      </c>
      <c r="U14" s="9">
        <v>2</v>
      </c>
      <c r="W14" s="25" cm="1">
        <f t="array" ref="W14">_xlfn.LET(_xlpm.x, K14:K16, IF(SUM((_xlpm.x="C1")*1)=1, 3, 1))</f>
        <v>1</v>
      </c>
      <c r="X14" s="25" cm="1">
        <f t="array" ref="X14">_xlfn.LET(_xlpm.x, L14:L16, IF(SUM((_xlpm.x="C1")*1)=1, 3, 1))</f>
        <v>1</v>
      </c>
      <c r="Y14" s="25" cm="1">
        <f t="array" ref="Y14">_xlfn.LET(_xlpm.x, M14:M16, IF(SUM((_xlpm.x="C1")*1)=1, 3, 1))</f>
        <v>1</v>
      </c>
      <c r="Z14" s="25" cm="1">
        <f t="array" ref="Z14">_xlfn.LET(_xlpm.x, N14:N16, IF(SUM((_xlpm.x="C1")*1)=1, 3, 1))</f>
        <v>1</v>
      </c>
      <c r="AA14" s="25" cm="1">
        <f t="array" ref="AA14">_xlfn.LET(_xlpm.x, O14:O16, IF(SUM((_xlpm.x="C1")*1)=1, 3, 1))</f>
        <v>1</v>
      </c>
      <c r="AC14" s="148" t="str">
        <v>K</v>
      </c>
      <c r="AD14" s="128">
        <v>47</v>
      </c>
      <c r="AE14" s="128">
        <v>10</v>
      </c>
      <c r="AF14" s="128">
        <v>41</v>
      </c>
      <c r="AG14" s="128">
        <v>14</v>
      </c>
      <c r="AH14" s="128">
        <v>21</v>
      </c>
      <c r="AI14" s="5"/>
      <c r="AJ14" s="148" t="str">
        <v>K</v>
      </c>
      <c r="AK14" s="128">
        <v>47</v>
      </c>
      <c r="AL14" s="128">
        <v>10</v>
      </c>
      <c r="AM14" s="128">
        <v>41</v>
      </c>
      <c r="AN14" s="128">
        <v>14</v>
      </c>
      <c r="AO14" s="128">
        <v>21</v>
      </c>
    </row>
    <row r="15" spans="1:43" ht="15.9" customHeight="1" x14ac:dyDescent="0.3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10</v>
      </c>
      <c r="E15" s="98">
        <f t="shared" si="0"/>
        <v>0</v>
      </c>
      <c r="F15" s="98">
        <f t="shared" si="0"/>
        <v>4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95</v>
      </c>
      <c r="M15" s="16" t="s">
        <v>104</v>
      </c>
      <c r="N15" s="16" t="s">
        <v>18</v>
      </c>
      <c r="O15" s="16" t="s">
        <v>18</v>
      </c>
      <c r="Q15" s="9">
        <v>6</v>
      </c>
      <c r="R15" s="9">
        <v>19</v>
      </c>
      <c r="S15" s="9">
        <v>6</v>
      </c>
      <c r="T15" s="9">
        <v>4</v>
      </c>
      <c r="U15" s="9">
        <v>4</v>
      </c>
      <c r="W15" s="25" cm="1">
        <f t="array" ref="W15">_xlfn.LET(_xlpm.x, K15:K17, IF(SUM((_xlpm.x="C1")*1)=1, 3, 1))</f>
        <v>1</v>
      </c>
      <c r="X15" s="25" cm="1">
        <f t="array" ref="X15">_xlfn.LET(_xlpm.x, L15:L17, IF(SUM((_xlpm.x="C1")*1)=1, 3, 1))</f>
        <v>1</v>
      </c>
      <c r="Y15" s="25" cm="1">
        <f t="array" ref="Y15">_xlfn.LET(_xlpm.x, M15:M17, IF(SUM((_xlpm.x="C1")*1)=1, 3, 1))</f>
        <v>1</v>
      </c>
      <c r="Z15" s="25" cm="1">
        <f t="array" ref="Z15">_xlfn.LET(_xlpm.x, N15:N17, IF(SUM((_xlpm.x="C1")*1)=1, 3, 1))</f>
        <v>1</v>
      </c>
      <c r="AA15" s="25" cm="1">
        <f t="array" ref="AA15">_xlfn.LET(_xlpm.x, O15:O17, IF(SUM((_xlpm.x="C1")*1)=1, 3, 1))</f>
        <v>1</v>
      </c>
      <c r="AC15" s="148" t="str">
        <v>Q</v>
      </c>
      <c r="AD15" s="128">
        <v>4</v>
      </c>
      <c r="AE15" s="128">
        <v>15</v>
      </c>
      <c r="AF15" s="128">
        <v>3</v>
      </c>
      <c r="AG15" s="128">
        <v>21</v>
      </c>
      <c r="AH15" s="128">
        <v>21</v>
      </c>
      <c r="AI15" s="5"/>
      <c r="AJ15" s="148" t="str">
        <v>Q</v>
      </c>
      <c r="AK15" s="128">
        <v>4</v>
      </c>
      <c r="AL15" s="128">
        <v>15</v>
      </c>
      <c r="AM15" s="128">
        <v>3</v>
      </c>
      <c r="AN15" s="128">
        <v>21</v>
      </c>
      <c r="AO15" s="128">
        <v>21</v>
      </c>
    </row>
    <row r="16" spans="1:43" ht="15.9" customHeight="1" x14ac:dyDescent="0.3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12</v>
      </c>
      <c r="E16" s="98">
        <f t="shared" si="0"/>
        <v>0</v>
      </c>
      <c r="F16" s="98">
        <f t="shared" si="0"/>
        <v>4</v>
      </c>
      <c r="G16" s="98">
        <f t="shared" si="0"/>
        <v>0</v>
      </c>
      <c r="H16" s="8">
        <v>12</v>
      </c>
      <c r="I16" s="86"/>
      <c r="J16" s="25">
        <v>12</v>
      </c>
      <c r="K16" s="16" t="s">
        <v>19</v>
      </c>
      <c r="L16" s="16" t="s">
        <v>93</v>
      </c>
      <c r="M16" s="16" t="s">
        <v>104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 cm="1">
        <f t="array" ref="W16">_xlfn.LET(_xlpm.x, K16:K18, IF(SUM((_xlpm.x="C1")*1)=1, 3, 1))</f>
        <v>1</v>
      </c>
      <c r="X16" s="25" cm="1">
        <f t="array" ref="X16">_xlfn.LET(_xlpm.x, L16:L18, IF(SUM((_xlpm.x="C1")*1)=1, 3, 1))</f>
        <v>1</v>
      </c>
      <c r="Y16" s="25" cm="1">
        <f t="array" ref="Y16">_xlfn.LET(_xlpm.x, M16:M18, IF(SUM((_xlpm.x="C1")*1)=1, 3, 1))</f>
        <v>1</v>
      </c>
      <c r="Z16" s="25" cm="1">
        <f t="array" ref="Z16">_xlfn.LET(_xlpm.x, N16:N18, IF(SUM((_xlpm.x="C1")*1)=1, 3, 1))</f>
        <v>1</v>
      </c>
      <c r="AA16" s="25" cm="1">
        <f t="array" ref="AA16">_xlfn.LET(_xlpm.x, O16:O18, IF(SUM((_xlpm.x="C1")*1)=1, 3, 1))</f>
        <v>1</v>
      </c>
      <c r="AC16" s="148" t="str">
        <v>J</v>
      </c>
      <c r="AD16" s="128">
        <v>4</v>
      </c>
      <c r="AE16" s="128">
        <v>17</v>
      </c>
      <c r="AF16" s="128">
        <v>3</v>
      </c>
      <c r="AG16" s="128">
        <v>21</v>
      </c>
      <c r="AH16" s="128">
        <v>21</v>
      </c>
      <c r="AI16" s="5"/>
      <c r="AJ16" s="148" t="str">
        <v>J</v>
      </c>
      <c r="AK16" s="128">
        <v>4</v>
      </c>
      <c r="AL16" s="128">
        <v>17</v>
      </c>
      <c r="AM16" s="128">
        <v>3</v>
      </c>
      <c r="AN16" s="128">
        <v>21</v>
      </c>
      <c r="AO16" s="128">
        <v>21</v>
      </c>
      <c r="AQ16" s="5">
        <v>1.5</v>
      </c>
    </row>
    <row r="17" spans="1:45" ht="15.9" customHeight="1" x14ac:dyDescent="0.3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12</v>
      </c>
      <c r="E17" s="98">
        <f t="shared" si="0"/>
        <v>0</v>
      </c>
      <c r="F17" s="98">
        <f t="shared" si="0"/>
        <v>4</v>
      </c>
      <c r="G17" s="98">
        <f t="shared" si="0"/>
        <v>0</v>
      </c>
      <c r="H17" s="8">
        <v>13</v>
      </c>
      <c r="I17" s="86"/>
      <c r="J17" s="9">
        <v>13</v>
      </c>
      <c r="K17" s="16" t="s">
        <v>19</v>
      </c>
      <c r="L17" s="16" t="s">
        <v>104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 cm="1">
        <f t="array" ref="W17">_xlfn.LET(_xlpm.x, K17:K19, IF(SUM((_xlpm.x="C1")*1)=1, 3, 1))</f>
        <v>1</v>
      </c>
      <c r="X17" s="25" cm="1">
        <f t="array" ref="X17">_xlfn.LET(_xlpm.x, L17:L19, IF(SUM((_xlpm.x="C1")*1)=1, 3, 1))</f>
        <v>1</v>
      </c>
      <c r="Y17" s="25" cm="1">
        <f t="array" ref="Y17">_xlfn.LET(_xlpm.x, M17:M19, IF(SUM((_xlpm.x="C1")*1)=1, 3, 1))</f>
        <v>1</v>
      </c>
      <c r="Z17" s="25" cm="1">
        <f t="array" ref="Z17">_xlfn.LET(_xlpm.x, N17:N19, IF(SUM((_xlpm.x="C1")*1)=1, 3, 1))</f>
        <v>1</v>
      </c>
      <c r="AA17" s="25" cm="1">
        <f t="array" ref="AA17">_xlfn.LET(_xlpm.x, O17:O19, IF(SUM((_xlpm.x="C1")*1)=1, 3, 1))</f>
        <v>1</v>
      </c>
      <c r="AC17" s="133" t="str">
        <v>G1</v>
      </c>
      <c r="AD17" s="98">
        <v>0</v>
      </c>
      <c r="AE17" s="98">
        <v>15</v>
      </c>
      <c r="AF17" s="98">
        <v>0</v>
      </c>
      <c r="AG17" s="98">
        <v>6</v>
      </c>
      <c r="AH17" s="98">
        <v>0</v>
      </c>
      <c r="AI17" s="5"/>
      <c r="AJ17" s="133" t="str">
        <v>G1</v>
      </c>
      <c r="AK17" s="98">
        <v>0</v>
      </c>
      <c r="AL17" s="98">
        <v>15</v>
      </c>
      <c r="AM17" s="98">
        <v>0</v>
      </c>
      <c r="AN17" s="98">
        <v>6</v>
      </c>
      <c r="AO17" s="98">
        <v>0</v>
      </c>
      <c r="AQ17" s="5" cm="1">
        <f t="array" ref="AQ17:AS25">INT(AE17:AG25*AQ16)</f>
        <v>22</v>
      </c>
      <c r="AR17" s="5">
        <v>0</v>
      </c>
      <c r="AS17" s="5">
        <v>9</v>
      </c>
    </row>
    <row r="18" spans="1:45" ht="15.9" customHeight="1" x14ac:dyDescent="0.3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9</v>
      </c>
      <c r="E18" s="98">
        <f t="shared" si="0"/>
        <v>3</v>
      </c>
      <c r="F18" s="98">
        <f t="shared" si="0"/>
        <v>3</v>
      </c>
      <c r="G18" s="98">
        <f t="shared" si="0"/>
        <v>0</v>
      </c>
      <c r="H18" s="8">
        <v>14</v>
      </c>
      <c r="I18" s="86"/>
      <c r="J18" s="25">
        <v>14</v>
      </c>
      <c r="K18" s="16" t="s">
        <v>104</v>
      </c>
      <c r="L18" s="16" t="s">
        <v>86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 cm="1">
        <f t="array" ref="W18">_xlfn.LET(_xlpm.x, K18:K20, IF(SUM((_xlpm.x="C1")*1)=1, 3, 1))</f>
        <v>1</v>
      </c>
      <c r="X18" s="25" cm="1">
        <f t="array" ref="X18">_xlfn.LET(_xlpm.x, L18:L20, IF(SUM((_xlpm.x="C1")*1)=1, 3, 1))</f>
        <v>1</v>
      </c>
      <c r="Y18" s="25" cm="1">
        <f t="array" ref="Y18">_xlfn.LET(_xlpm.x, M18:M20, IF(SUM((_xlpm.x="C1")*1)=1, 3, 1))</f>
        <v>1</v>
      </c>
      <c r="Z18" s="25" cm="1">
        <f t="array" ref="Z18">_xlfn.LET(_xlpm.x, N18:N20, IF(SUM((_xlpm.x="C1")*1)=1, 3, 1))</f>
        <v>1</v>
      </c>
      <c r="AA18" s="25" cm="1">
        <f t="array" ref="AA18">_xlfn.LET(_xlpm.x, O18:O20, IF(SUM((_xlpm.x="C1")*1)=1, 3, 1))</f>
        <v>1</v>
      </c>
      <c r="AC18" s="133" t="str">
        <v>G2</v>
      </c>
      <c r="AD18" s="98">
        <v>0</v>
      </c>
      <c r="AE18" s="98">
        <v>18</v>
      </c>
      <c r="AF18" s="98">
        <v>0</v>
      </c>
      <c r="AG18" s="98">
        <v>6</v>
      </c>
      <c r="AH18" s="98">
        <v>0</v>
      </c>
      <c r="AI18" s="5"/>
      <c r="AJ18" s="133" t="str">
        <v>G2</v>
      </c>
      <c r="AK18" s="98">
        <v>0</v>
      </c>
      <c r="AL18" s="98">
        <v>18</v>
      </c>
      <c r="AM18" s="98">
        <v>0</v>
      </c>
      <c r="AN18" s="98">
        <v>6</v>
      </c>
      <c r="AO18" s="98">
        <v>0</v>
      </c>
      <c r="AQ18" s="5">
        <v>27</v>
      </c>
      <c r="AR18" s="5">
        <v>0</v>
      </c>
      <c r="AS18" s="5">
        <v>9</v>
      </c>
    </row>
    <row r="19" spans="1:45" ht="15.9" customHeight="1" x14ac:dyDescent="0.3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5</v>
      </c>
      <c r="E19" s="98">
        <f t="shared" si="0"/>
        <v>3</v>
      </c>
      <c r="F19" s="98">
        <f t="shared" si="0"/>
        <v>3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 cm="1">
        <f t="array" ref="W19">_xlfn.LET(_xlpm.x, K19:K21, IF(SUM((_xlpm.x="C1")*1)=1, 3, 1))</f>
        <v>1</v>
      </c>
      <c r="X19" s="25" cm="1">
        <f t="array" ref="X19">_xlfn.LET(_xlpm.x, L19:L21, IF(SUM((_xlpm.x="C1")*1)=1, 3, 1))</f>
        <v>1</v>
      </c>
      <c r="Y19" s="25" cm="1">
        <f t="array" ref="Y19">_xlfn.LET(_xlpm.x, M19:M21, IF(SUM((_xlpm.x="C1")*1)=1, 3, 1))</f>
        <v>1</v>
      </c>
      <c r="Z19" s="25" cm="1">
        <f t="array" ref="Z19">_xlfn.LET(_xlpm.x, N19:N21, IF(SUM((_xlpm.x="C1")*1)=1, 3, 1))</f>
        <v>1</v>
      </c>
      <c r="AA19" s="25" cm="1">
        <f t="array" ref="AA19">_xlfn.LET(_xlpm.x, O19:O21, IF(SUM((_xlpm.x="C1")*1)=1, 3, 1))</f>
        <v>1</v>
      </c>
      <c r="AC19" s="133" t="str">
        <v>G3</v>
      </c>
      <c r="AD19" s="98">
        <v>0</v>
      </c>
      <c r="AE19" s="98">
        <v>18</v>
      </c>
      <c r="AF19" s="98">
        <v>0</v>
      </c>
      <c r="AG19" s="98">
        <v>6</v>
      </c>
      <c r="AH19" s="98">
        <v>0</v>
      </c>
      <c r="AI19" s="5"/>
      <c r="AJ19" s="133" t="str">
        <v>G3</v>
      </c>
      <c r="AK19" s="98">
        <v>0</v>
      </c>
      <c r="AL19" s="98">
        <v>18</v>
      </c>
      <c r="AM19" s="98">
        <v>0</v>
      </c>
      <c r="AN19" s="98">
        <v>6</v>
      </c>
      <c r="AO19" s="98">
        <v>0</v>
      </c>
      <c r="AQ19" s="5">
        <v>27</v>
      </c>
      <c r="AR19" s="5">
        <v>0</v>
      </c>
      <c r="AS19" s="5">
        <v>9</v>
      </c>
    </row>
    <row r="20" spans="1:45" ht="15.9" customHeight="1" x14ac:dyDescent="0.3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7</v>
      </c>
      <c r="E20" s="98">
        <f t="shared" si="0"/>
        <v>3</v>
      </c>
      <c r="F20" s="98">
        <f t="shared" si="0"/>
        <v>3</v>
      </c>
      <c r="G20" s="98">
        <f t="shared" si="0"/>
        <v>0</v>
      </c>
      <c r="H20" s="8">
        <v>16</v>
      </c>
      <c r="I20" s="86"/>
      <c r="J20" s="25">
        <v>16</v>
      </c>
      <c r="K20" s="16" t="s">
        <v>22</v>
      </c>
      <c r="L20" s="16" t="s">
        <v>86</v>
      </c>
      <c r="M20" s="16" t="s">
        <v>21</v>
      </c>
      <c r="N20" s="16" t="s">
        <v>93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 cm="1">
        <f t="array" ref="W20">_xlfn.LET(_xlpm.x, K20:K22, IF(SUM((_xlpm.x="C1")*1)=1, 3, 1))</f>
        <v>1</v>
      </c>
      <c r="X20" s="25" cm="1">
        <f t="array" ref="X20">_xlfn.LET(_xlpm.x, L20:L22, IF(SUM((_xlpm.x="C1")*1)=1, 3, 1))</f>
        <v>1</v>
      </c>
      <c r="Y20" s="25" cm="1">
        <f t="array" ref="Y20">_xlfn.LET(_xlpm.x, M20:M22, IF(SUM((_xlpm.x="C1")*1)=1, 3, 1))</f>
        <v>1</v>
      </c>
      <c r="Z20" s="25" cm="1">
        <f t="array" ref="Z20">_xlfn.LET(_xlpm.x, N20:N22, IF(SUM((_xlpm.x="C1")*1)=1, 3, 1))</f>
        <v>1</v>
      </c>
      <c r="AA20" s="25" cm="1">
        <f t="array" ref="AA20">_xlfn.LET(_xlpm.x, O20:O22, IF(SUM((_xlpm.x="C1")*1)=1, 3, 1))</f>
        <v>1</v>
      </c>
      <c r="AC20" s="133" t="str">
        <v>G4</v>
      </c>
      <c r="AD20" s="98">
        <v>0</v>
      </c>
      <c r="AE20" s="98">
        <v>13</v>
      </c>
      <c r="AF20" s="98">
        <v>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13</v>
      </c>
      <c r="AM20" s="98">
        <v>4</v>
      </c>
      <c r="AN20" s="98">
        <v>4</v>
      </c>
      <c r="AO20" s="98">
        <v>0</v>
      </c>
      <c r="AQ20" s="5">
        <v>19</v>
      </c>
      <c r="AR20" s="5">
        <v>6</v>
      </c>
      <c r="AS20" s="5">
        <v>6</v>
      </c>
    </row>
    <row r="21" spans="1:45" ht="15.9" customHeight="1" x14ac:dyDescent="0.3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7</v>
      </c>
      <c r="E21" s="98">
        <f t="shared" si="0"/>
        <v>3</v>
      </c>
      <c r="F21" s="98">
        <f t="shared" si="0"/>
        <v>3</v>
      </c>
      <c r="G21" s="98">
        <f t="shared" si="0"/>
        <v>0</v>
      </c>
      <c r="H21" s="8">
        <v>17</v>
      </c>
      <c r="I21" s="86"/>
      <c r="J21" s="9">
        <v>17</v>
      </c>
      <c r="K21" s="16" t="s">
        <v>37</v>
      </c>
      <c r="L21" s="16" t="s">
        <v>105</v>
      </c>
      <c r="M21" s="16" t="s">
        <v>36</v>
      </c>
      <c r="N21" s="16" t="s">
        <v>34</v>
      </c>
      <c r="O21" s="16" t="s">
        <v>104</v>
      </c>
      <c r="Q21" s="9">
        <v>7</v>
      </c>
      <c r="R21" s="9">
        <v>15</v>
      </c>
      <c r="S21" s="9">
        <v>10</v>
      </c>
      <c r="T21" s="9">
        <v>9</v>
      </c>
      <c r="U21" s="9">
        <v>6</v>
      </c>
      <c r="W21" s="25" cm="1">
        <f t="array" ref="W21">_xlfn.LET(_xlpm.x, K21:K23, IF(SUM((_xlpm.x="C1")*1)=1, 3, 1))</f>
        <v>1</v>
      </c>
      <c r="X21" s="25" cm="1">
        <f t="array" ref="X21">_xlfn.LET(_xlpm.x, L21:L23, IF(SUM((_xlpm.x="C1")*1)=1, 3, 1))</f>
        <v>1</v>
      </c>
      <c r="Y21" s="25" cm="1">
        <f t="array" ref="Y21">_xlfn.LET(_xlpm.x, M21:M23, IF(SUM((_xlpm.x="C1")*1)=1, 3, 1))</f>
        <v>1</v>
      </c>
      <c r="Z21" s="25" cm="1">
        <f t="array" ref="Z21">_xlfn.LET(_xlpm.x, N21:N23, IF(SUM((_xlpm.x="C1")*1)=1, 3, 1))</f>
        <v>1</v>
      </c>
      <c r="AA21" s="25" cm="1">
        <f t="array" ref="AA21">_xlfn.LET(_xlpm.x, O21:O23, IF(SUM((_xlpm.x="C1")*1)=1, 3, 1))</f>
        <v>1</v>
      </c>
      <c r="AC21" s="133" t="str">
        <v>G5</v>
      </c>
      <c r="AD21" s="98">
        <v>0</v>
      </c>
      <c r="AE21" s="98">
        <v>7</v>
      </c>
      <c r="AF21" s="98">
        <v>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7</v>
      </c>
      <c r="AM21" s="98">
        <v>4</v>
      </c>
      <c r="AN21" s="98">
        <v>4</v>
      </c>
      <c r="AO21" s="98">
        <v>0</v>
      </c>
      <c r="AQ21" s="5">
        <v>10</v>
      </c>
      <c r="AR21" s="5">
        <v>6</v>
      </c>
      <c r="AS21" s="5">
        <v>6</v>
      </c>
    </row>
    <row r="22" spans="1:45" ht="15.9" customHeight="1" x14ac:dyDescent="0.3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10</v>
      </c>
      <c r="E22" s="98">
        <f t="shared" si="0"/>
        <v>0</v>
      </c>
      <c r="F22" s="98">
        <f t="shared" si="0"/>
        <v>4</v>
      </c>
      <c r="G22" s="98">
        <f t="shared" si="0"/>
        <v>0</v>
      </c>
      <c r="H22" s="8">
        <v>18</v>
      </c>
      <c r="I22" s="86"/>
      <c r="J22" s="25">
        <v>18</v>
      </c>
      <c r="K22" s="16" t="s">
        <v>35</v>
      </c>
      <c r="L22" s="16" t="s">
        <v>104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 cm="1">
        <f t="array" ref="W22">_xlfn.LET(_xlpm.x, K22:K24, IF(SUM((_xlpm.x="C1")*1)=1, 3, 1))</f>
        <v>1</v>
      </c>
      <c r="X22" s="25" cm="1">
        <f t="array" ref="X22">_xlfn.LET(_xlpm.x, L22:L24, IF(SUM((_xlpm.x="C1")*1)=1, 3, 1))</f>
        <v>1</v>
      </c>
      <c r="Y22" s="25" cm="1">
        <f t="array" ref="Y22">_xlfn.LET(_xlpm.x, M22:M24, IF(SUM((_xlpm.x="C1")*1)=1, 3, 1))</f>
        <v>1</v>
      </c>
      <c r="Z22" s="25" cm="1">
        <f t="array" ref="Z22">_xlfn.LET(_xlpm.x, N22:N24, IF(SUM((_xlpm.x="C1")*1)=1, 3, 1))</f>
        <v>1</v>
      </c>
      <c r="AA22" s="25" cm="1">
        <f t="array" ref="AA22">_xlfn.LET(_xlpm.x, O22:O24, IF(SUM((_xlpm.x="C1")*1)=1, 3, 1))</f>
        <v>1</v>
      </c>
      <c r="AC22" s="133" t="str">
        <v>GA</v>
      </c>
      <c r="AD22" s="98">
        <v>0</v>
      </c>
      <c r="AE22" s="98">
        <v>10</v>
      </c>
      <c r="AF22" s="98">
        <v>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10</v>
      </c>
      <c r="AM22" s="98">
        <v>4</v>
      </c>
      <c r="AN22" s="98">
        <v>4</v>
      </c>
      <c r="AO22" s="98">
        <v>0</v>
      </c>
      <c r="AQ22" s="5">
        <v>15</v>
      </c>
      <c r="AR22" s="5">
        <v>6</v>
      </c>
      <c r="AS22" s="5">
        <v>6</v>
      </c>
    </row>
    <row r="23" spans="1:45" ht="15.9" customHeight="1" x14ac:dyDescent="0.3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8</v>
      </c>
      <c r="E23" s="98">
        <f t="shared" si="0"/>
        <v>0</v>
      </c>
      <c r="F23" s="98">
        <f t="shared" si="0"/>
        <v>4</v>
      </c>
      <c r="G23" s="98">
        <f t="shared" si="0"/>
        <v>0</v>
      </c>
      <c r="H23" s="8">
        <v>19</v>
      </c>
      <c r="I23" s="86"/>
      <c r="J23" s="9">
        <v>19</v>
      </c>
      <c r="K23" s="16" t="s">
        <v>104</v>
      </c>
      <c r="L23" s="16" t="s">
        <v>19</v>
      </c>
      <c r="M23" s="16" t="s">
        <v>104</v>
      </c>
      <c r="N23" s="16" t="s">
        <v>90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 cm="1">
        <f t="array" ref="W23">_xlfn.LET(_xlpm.x, K23:K25, IF(SUM((_xlpm.x="C1")*1)=1, 3, 1))</f>
        <v>1</v>
      </c>
      <c r="X23" s="25" cm="1">
        <f t="array" ref="X23">_xlfn.LET(_xlpm.x, L23:L25, IF(SUM((_xlpm.x="C1")*1)=1, 3, 1))</f>
        <v>1</v>
      </c>
      <c r="Y23" s="25" cm="1">
        <f t="array" ref="Y23">_xlfn.LET(_xlpm.x, M23:M25, IF(SUM((_xlpm.x="C1")*1)=1, 3, 1))</f>
        <v>1</v>
      </c>
      <c r="Z23" s="25" cm="1">
        <f t="array" ref="Z23">_xlfn.LET(_xlpm.x, N23:N25, IF(SUM((_xlpm.x="C1")*1)=1, 3, 1))</f>
        <v>1</v>
      </c>
      <c r="AA23" s="25" cm="1">
        <f t="array" ref="AA23">_xlfn.LET(_xlpm.x, O23:O25, IF(SUM((_xlpm.x="C1")*1)=1, 3, 1))</f>
        <v>1</v>
      </c>
      <c r="AC23" s="133" t="str">
        <v>GK</v>
      </c>
      <c r="AD23" s="98">
        <v>0</v>
      </c>
      <c r="AE23" s="98">
        <v>10</v>
      </c>
      <c r="AF23" s="98">
        <v>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10</v>
      </c>
      <c r="AM23" s="98">
        <v>4</v>
      </c>
      <c r="AN23" s="98">
        <v>4</v>
      </c>
      <c r="AO23" s="98">
        <v>0</v>
      </c>
      <c r="AQ23" s="5">
        <v>15</v>
      </c>
      <c r="AR23" s="5">
        <v>6</v>
      </c>
      <c r="AS23" s="5">
        <v>6</v>
      </c>
    </row>
    <row r="24" spans="1:45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102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 cm="1">
        <f t="array" ref="W24">_xlfn.LET(_xlpm.x, K24:K26, IF(SUM((_xlpm.x="C1")*1)=1, 3, 1))</f>
        <v>1</v>
      </c>
      <c r="X24" s="25" cm="1">
        <f t="array" ref="X24">_xlfn.LET(_xlpm.x, L24:L26, IF(SUM((_xlpm.x="C1")*1)=1, 3, 1))</f>
        <v>1</v>
      </c>
      <c r="Y24" s="25" cm="1">
        <f t="array" ref="Y24">_xlfn.LET(_xlpm.x, M24:M26, IF(SUM((_xlpm.x="C1")*1)=1, 3, 1))</f>
        <v>1</v>
      </c>
      <c r="Z24" s="25" cm="1">
        <f t="array" ref="Z24">_xlfn.LET(_xlpm.x, N24:N26, IF(SUM((_xlpm.x="C1")*1)=1, 3, 1))</f>
        <v>1</v>
      </c>
      <c r="AA24" s="25" cm="1">
        <f t="array" ref="AA24">_xlfn.LET(_xlpm.x, O24:O26, IF(SUM((_xlpm.x="C1")*1)=1, 3, 1))</f>
        <v>1</v>
      </c>
      <c r="AC24" s="133" t="str">
        <v>GQ</v>
      </c>
      <c r="AD24" s="98">
        <v>0</v>
      </c>
      <c r="AE24" s="98">
        <v>15</v>
      </c>
      <c r="AF24" s="98">
        <v>0</v>
      </c>
      <c r="AG24" s="98">
        <v>6</v>
      </c>
      <c r="AH24" s="98">
        <v>0</v>
      </c>
      <c r="AI24" s="5"/>
      <c r="AJ24" s="133" t="str">
        <v>GQ</v>
      </c>
      <c r="AK24" s="98">
        <v>0</v>
      </c>
      <c r="AL24" s="98">
        <v>15</v>
      </c>
      <c r="AM24" s="98">
        <v>0</v>
      </c>
      <c r="AN24" s="98">
        <v>6</v>
      </c>
      <c r="AO24" s="98">
        <v>0</v>
      </c>
      <c r="AQ24" s="5">
        <v>22</v>
      </c>
      <c r="AR24" s="5">
        <v>0</v>
      </c>
      <c r="AS24" s="5">
        <v>9</v>
      </c>
    </row>
    <row r="25" spans="1:45" ht="16.5" customHeight="1" x14ac:dyDescent="0.3">
      <c r="I25" s="86"/>
      <c r="J25" s="9">
        <v>21</v>
      </c>
      <c r="K25" s="16" t="s">
        <v>35</v>
      </c>
      <c r="L25" s="16" t="s">
        <v>102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 cm="1">
        <f t="array" ref="W25">_xlfn.LET(_xlpm.x, K25:K27, IF(SUM((_xlpm.x="C1")*1)=1, 3, 1))</f>
        <v>1</v>
      </c>
      <c r="X25" s="25" cm="1">
        <f t="array" ref="X25">_xlfn.LET(_xlpm.x, L25:L27, IF(SUM((_xlpm.x="C1")*1)=1, 3, 1))</f>
        <v>1</v>
      </c>
      <c r="Y25" s="25" cm="1">
        <f t="array" ref="Y25">_xlfn.LET(_xlpm.x, M25:M27, IF(SUM((_xlpm.x="C1")*1)=1, 3, 1))</f>
        <v>1</v>
      </c>
      <c r="Z25" s="25" cm="1">
        <f t="array" ref="Z25">_xlfn.LET(_xlpm.x, N25:N27, IF(SUM((_xlpm.x="C1")*1)=1, 3, 1))</f>
        <v>3</v>
      </c>
      <c r="AA25" s="25" cm="1">
        <f t="array" ref="AA25">_xlfn.LET(_xlpm.x, O25:O27, IF(SUM((_xlpm.x="C1")*1)=1, 3, 1))</f>
        <v>1</v>
      </c>
      <c r="AC25" s="133" t="str">
        <v>GJ</v>
      </c>
      <c r="AD25" s="98">
        <v>0</v>
      </c>
      <c r="AE25" s="98">
        <v>12</v>
      </c>
      <c r="AF25" s="98">
        <v>0</v>
      </c>
      <c r="AG25" s="98">
        <v>6</v>
      </c>
      <c r="AH25" s="98">
        <v>0</v>
      </c>
      <c r="AI25" s="5"/>
      <c r="AJ25" s="133" t="str">
        <v>GJ</v>
      </c>
      <c r="AK25" s="98">
        <v>0</v>
      </c>
      <c r="AL25" s="98">
        <v>12</v>
      </c>
      <c r="AM25" s="98">
        <v>0</v>
      </c>
      <c r="AN25" s="98">
        <v>6</v>
      </c>
      <c r="AO25" s="98">
        <v>0</v>
      </c>
      <c r="AQ25" s="5">
        <v>18</v>
      </c>
      <c r="AR25" s="5">
        <v>0</v>
      </c>
      <c r="AS25" s="5">
        <v>9</v>
      </c>
    </row>
    <row r="26" spans="1:45" ht="16.5" customHeight="1" x14ac:dyDescent="0.3">
      <c r="B26" s="5" t="s">
        <v>210</v>
      </c>
      <c r="C26" s="5">
        <f>SUM(C4:C14)/C24</f>
        <v>1</v>
      </c>
      <c r="D26" s="171">
        <f t="shared" ref="D26:G26" si="1">SUM(D4:D14)/D24</f>
        <v>0.6</v>
      </c>
      <c r="E26" s="171">
        <f t="shared" si="1"/>
        <v>0.94</v>
      </c>
      <c r="F26" s="171">
        <f t="shared" si="1"/>
        <v>0.84</v>
      </c>
      <c r="G26" s="5">
        <f t="shared" si="1"/>
        <v>1</v>
      </c>
      <c r="I26" s="86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 cm="1">
        <f t="array" ref="W26">_xlfn.LET(_xlpm.x, K26:K28, IF(SUM((_xlpm.x="C1")*1)=1, 3, 1))</f>
        <v>1</v>
      </c>
      <c r="X26" s="25" cm="1">
        <f t="array" ref="X26">_xlfn.LET(_xlpm.x, L26:L28, IF(SUM((_xlpm.x="C1")*1)=1, 3, 1))</f>
        <v>1</v>
      </c>
      <c r="Y26" s="25" cm="1">
        <f t="array" ref="Y26">_xlfn.LET(_xlpm.x, M26:M28, IF(SUM((_xlpm.x="C1")*1)=1, 3, 1))</f>
        <v>1</v>
      </c>
      <c r="Z26" s="25" cm="1">
        <f t="array" ref="Z26">_xlfn.LET(_xlpm.x, N26:N28, IF(SUM((_xlpm.x="C1")*1)=1, 3, 1))</f>
        <v>3</v>
      </c>
      <c r="AA26" s="25" cm="1">
        <f t="array" ref="AA26">_xlfn.LET(_xlpm.x, O26:O28, IF(SUM((_xlpm.x="C1")*1)=1, 3, 1))</f>
        <v>1</v>
      </c>
      <c r="AD26" s="109">
        <f>SUM(AD6:AD25)</f>
        <v>194</v>
      </c>
      <c r="AE26" s="109">
        <f>SUM(AE6:AE25)</f>
        <v>238</v>
      </c>
      <c r="AF26" s="109">
        <f>SUM(AF6:AF25)</f>
        <v>198</v>
      </c>
      <c r="AG26" s="109">
        <f>SUM(AG6:AG25)</f>
        <v>214</v>
      </c>
      <c r="AH26" s="109">
        <f>SUM(AH6:AH25)</f>
        <v>191</v>
      </c>
      <c r="AI26" s="5"/>
      <c r="AK26" s="109">
        <f>SUM(AK6:AK25)</f>
        <v>194</v>
      </c>
      <c r="AL26" s="109">
        <f>SUM(AL6:AL25)</f>
        <v>238</v>
      </c>
      <c r="AM26" s="109">
        <f>SUM(AM6:AM25)</f>
        <v>198</v>
      </c>
      <c r="AN26" s="109">
        <f>SUM(AN6:AN25)</f>
        <v>214</v>
      </c>
      <c r="AO26" s="109">
        <f>SUM(AO6:AO25)</f>
        <v>191</v>
      </c>
    </row>
    <row r="27" spans="1:45" ht="16.5" customHeight="1" x14ac:dyDescent="0.3">
      <c r="B27" s="5" t="s">
        <v>314</v>
      </c>
      <c r="C27" s="5">
        <f>SUM(C15:C23)/C24</f>
        <v>0</v>
      </c>
      <c r="D27" s="171">
        <f t="shared" ref="D27:G27" si="2">SUM(D15:D23)/D24</f>
        <v>0.4</v>
      </c>
      <c r="E27" s="171">
        <f t="shared" si="2"/>
        <v>0.06</v>
      </c>
      <c r="F27" s="171">
        <f t="shared" si="2"/>
        <v>0.16</v>
      </c>
      <c r="G27" s="5">
        <f t="shared" si="2"/>
        <v>0</v>
      </c>
      <c r="I27" s="86"/>
      <c r="J27" s="9">
        <v>23</v>
      </c>
      <c r="K27" s="16" t="s">
        <v>35</v>
      </c>
      <c r="L27" s="16" t="s">
        <v>18</v>
      </c>
      <c r="M27" s="16" t="s">
        <v>104</v>
      </c>
      <c r="N27" s="16" t="s">
        <v>20</v>
      </c>
      <c r="O27" s="16" t="s">
        <v>104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 cm="1">
        <f t="array" ref="W27">_xlfn.LET(_xlpm.x, K27:K29, IF(SUM((_xlpm.x="C1")*1)=1, 3, 1))</f>
        <v>1</v>
      </c>
      <c r="X27" s="25" cm="1">
        <f t="array" ref="X27">_xlfn.LET(_xlpm.x, L27:L29, IF(SUM((_xlpm.x="C1")*1)=1, 3, 1))</f>
        <v>1</v>
      </c>
      <c r="Y27" s="25" cm="1">
        <f t="array" ref="Y27">_xlfn.LET(_xlpm.x, M27:M29, IF(SUM((_xlpm.x="C1")*1)=1, 3, 1))</f>
        <v>1</v>
      </c>
      <c r="Z27" s="25" cm="1">
        <f t="array" ref="Z27">_xlfn.LET(_xlpm.x, N27:N29, IF(SUM((_xlpm.x="C1")*1)=1, 3, 1))</f>
        <v>3</v>
      </c>
      <c r="AA27" s="25" cm="1">
        <f t="array" ref="AA27">_xlfn.LET(_xlpm.x, O27:O29, IF(SUM((_xlpm.x="C1")*1)=1, 3, 1))</f>
        <v>1</v>
      </c>
      <c r="AH27" s="5"/>
      <c r="AI27" s="5"/>
      <c r="AO27" s="5"/>
    </row>
    <row r="28" spans="1:45" ht="16.5" customHeight="1" x14ac:dyDescent="0.3">
      <c r="I28" s="86"/>
      <c r="J28" s="25">
        <v>24</v>
      </c>
      <c r="K28" s="16" t="s">
        <v>19</v>
      </c>
      <c r="L28" s="16" t="s">
        <v>88</v>
      </c>
      <c r="M28" s="16" t="s">
        <v>34</v>
      </c>
      <c r="N28" s="16" t="s">
        <v>95</v>
      </c>
      <c r="O28" s="16" t="s">
        <v>35</v>
      </c>
      <c r="Q28" s="9">
        <v>5</v>
      </c>
      <c r="R28" s="9">
        <v>13</v>
      </c>
      <c r="S28" s="9">
        <v>9</v>
      </c>
      <c r="T28" s="9">
        <v>19</v>
      </c>
      <c r="U28" s="9">
        <v>8</v>
      </c>
      <c r="W28" s="25" cm="1">
        <f t="array" ref="W28">_xlfn.LET(_xlpm.x, K28:K30, IF(SUM((_xlpm.x="C1")*1)=1, 3, 1))</f>
        <v>1</v>
      </c>
      <c r="X28" s="25" cm="1">
        <f t="array" ref="X28">_xlfn.LET(_xlpm.x, L28:L30, IF(SUM((_xlpm.x="C1")*1)=1, 3, 1))</f>
        <v>1</v>
      </c>
      <c r="Y28" s="25" cm="1">
        <f t="array" ref="Y28">_xlfn.LET(_xlpm.x, M28:M30, IF(SUM((_xlpm.x="C1")*1)=1, 3, 1))</f>
        <v>1</v>
      </c>
      <c r="Z28" s="25" cm="1">
        <f t="array" ref="Z28">_xlfn.LET(_xlpm.x, N28:N30, IF(SUM((_xlpm.x="C1")*1)=1, 3, 1))</f>
        <v>1</v>
      </c>
      <c r="AA28" s="25" cm="1">
        <f t="array" ref="AA28">_xlfn.LET(_xlpm.x, O28:O30, IF(SUM((_xlpm.x="C1")*1)=1, 3, 1))</f>
        <v>1</v>
      </c>
      <c r="AC28" s="27" t="s">
        <v>110</v>
      </c>
      <c r="AH28" s="5"/>
      <c r="AI28" s="5"/>
      <c r="AJ28" s="27" t="s">
        <v>110</v>
      </c>
      <c r="AO28" s="5"/>
    </row>
    <row r="29" spans="1:45" ht="16.5" customHeight="1" x14ac:dyDescent="0.3">
      <c r="I29" s="86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 cm="1">
        <f t="array" ref="W29">_xlfn.LET(_xlpm.x, K29:K31, IF(SUM((_xlpm.x="C1")*1)=1, 3, 1))</f>
        <v>1</v>
      </c>
      <c r="X29" s="25" cm="1">
        <f t="array" ref="X29">_xlfn.LET(_xlpm.x, L29:L31, IF(SUM((_xlpm.x="C1")*1)=1, 3, 1))</f>
        <v>1</v>
      </c>
      <c r="Y29" s="25" cm="1">
        <f t="array" ref="Y29">_xlfn.LET(_xlpm.x, M29:M31, IF(SUM((_xlpm.x="C1")*1)=1, 3, 1))</f>
        <v>1</v>
      </c>
      <c r="Z29" s="25" cm="1">
        <f t="array" ref="Z29">_xlfn.LET(_xlpm.x, N29:N31, IF(SUM((_xlpm.x="C1")*1)=1, 3, 1))</f>
        <v>1</v>
      </c>
      <c r="AA29" s="25" cm="1">
        <f t="array" ref="AA29">_xlfn.LET(_xlpm.x, O29:O31, IF(SUM((_xlpm.x="C1")*1)=1, 3, 1))</f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5" ht="16.5" customHeight="1" x14ac:dyDescent="0.3">
      <c r="I30" s="86"/>
      <c r="J30" s="25">
        <v>26</v>
      </c>
      <c r="K30" s="16" t="s">
        <v>37</v>
      </c>
      <c r="L30" s="16" t="s">
        <v>35</v>
      </c>
      <c r="M30" s="16" t="s">
        <v>104</v>
      </c>
      <c r="N30" s="16" t="s">
        <v>36</v>
      </c>
      <c r="O30" s="16" t="s">
        <v>104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 cm="1">
        <f t="array" ref="W30">_xlfn.LET(_xlpm.x, K30:K32, IF(SUM((_xlpm.x="C1")*1)=1, 3, 1))</f>
        <v>1</v>
      </c>
      <c r="X30" s="25" cm="1">
        <f t="array" ref="X30">_xlfn.LET(_xlpm.x, L30:L32, IF(SUM((_xlpm.x="C1")*1)=1, 3, 1))</f>
        <v>1</v>
      </c>
      <c r="Y30" s="25" cm="1">
        <f t="array" ref="Y30">_xlfn.LET(_xlpm.x, M30:M32, IF(SUM((_xlpm.x="C1")*1)=1, 3, 1))</f>
        <v>1</v>
      </c>
      <c r="Z30" s="25" cm="1">
        <f t="array" ref="Z30">_xlfn.LET(_xlpm.x, N30:N32, IF(SUM((_xlpm.x="C1")*1)=1, 3, 1))</f>
        <v>1</v>
      </c>
      <c r="AA30" s="25" cm="1">
        <f t="array" ref="AA30">_xlfn.LET(_xlpm.x, O30:O32, IF(SUM((_xlpm.x="C1")*1)=1, 3, 1))</f>
        <v>1</v>
      </c>
      <c r="AC30" s="133" t="str" cm="1">
        <f t="array" ref="AC30:AC49">$A$4:$A$23</f>
        <v>WW</v>
      </c>
      <c r="AD30" s="134" cm="1">
        <f t="array" ref="AD30:AH49">$AD$6:$AH$25</f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 cm="1">
        <f t="array" ref="AK30:AO49">$AD$6:$AH$25</f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5" ht="16.5" customHeight="1" x14ac:dyDescent="0.3">
      <c r="I31" s="86"/>
      <c r="J31" s="9">
        <v>27</v>
      </c>
      <c r="K31" s="16" t="s">
        <v>19</v>
      </c>
      <c r="L31" s="16" t="s">
        <v>93</v>
      </c>
      <c r="M31" s="16" t="s">
        <v>37</v>
      </c>
      <c r="N31" s="16" t="s">
        <v>95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 cm="1">
        <f t="array" ref="W31">_xlfn.LET(_xlpm.x, K31:K33, IF(SUM((_xlpm.x="C1")*1)=1, 3, 1))</f>
        <v>1</v>
      </c>
      <c r="X31" s="25" cm="1">
        <f t="array" ref="X31">_xlfn.LET(_xlpm.x, L31:L33, IF(SUM((_xlpm.x="C1")*1)=1, 3, 1))</f>
        <v>1</v>
      </c>
      <c r="Y31" s="25" cm="1">
        <f t="array" ref="Y31">_xlfn.LET(_xlpm.x, M31:M33, IF(SUM((_xlpm.x="C1")*1)=1, 3, 1))</f>
        <v>1</v>
      </c>
      <c r="Z31" s="25" cm="1">
        <f t="array" ref="Z31">_xlfn.LET(_xlpm.x, N31:N33, IF(SUM((_xlpm.x="C1")*1)=1, 3, 1))</f>
        <v>1</v>
      </c>
      <c r="AA31" s="25" cm="1">
        <f t="array" ref="AA31">_xlfn.LET(_xlpm.x, O31:O33, IF(SUM((_xlpm.x="C1")*1)=1, 3, 1))</f>
        <v>1</v>
      </c>
      <c r="AC31" s="133" t="str">
        <v>C1</v>
      </c>
      <c r="AD31" s="211">
        <v>0</v>
      </c>
      <c r="AE31" s="211">
        <v>6</v>
      </c>
      <c r="AF31" s="211">
        <v>0</v>
      </c>
      <c r="AG31" s="211">
        <v>9</v>
      </c>
      <c r="AH31" s="211">
        <v>0</v>
      </c>
      <c r="AI31" s="5"/>
      <c r="AJ31" s="133" t="str">
        <v>C1</v>
      </c>
      <c r="AK31" s="211">
        <v>0</v>
      </c>
      <c r="AL31" s="211">
        <v>6</v>
      </c>
      <c r="AM31" s="211">
        <v>0</v>
      </c>
      <c r="AN31" s="211">
        <v>9</v>
      </c>
      <c r="AO31" s="211">
        <v>0</v>
      </c>
    </row>
    <row r="32" spans="1:45" ht="16.5" customHeight="1" x14ac:dyDescent="0.3">
      <c r="J32" s="25">
        <v>28</v>
      </c>
      <c r="K32" s="16" t="s">
        <v>35</v>
      </c>
      <c r="L32" s="16" t="s">
        <v>89</v>
      </c>
      <c r="M32" s="16" t="s">
        <v>104</v>
      </c>
      <c r="N32" s="16" t="s">
        <v>86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 cm="1">
        <f t="array" ref="W32">_xlfn.LET(_xlpm.x, K32:K34, IF(SUM((_xlpm.x="C1")*1)=1, 3, 1))</f>
        <v>1</v>
      </c>
      <c r="X32" s="25" cm="1">
        <f t="array" ref="X32">_xlfn.LET(_xlpm.x, L32:L34, IF(SUM((_xlpm.x="C1")*1)=1, 3, 1))</f>
        <v>1</v>
      </c>
      <c r="Y32" s="25" cm="1">
        <f t="array" ref="Y32">_xlfn.LET(_xlpm.x, M32:M34, IF(SUM((_xlpm.x="C1")*1)=1, 3, 1))</f>
        <v>1</v>
      </c>
      <c r="Z32" s="25" cm="1">
        <f t="array" ref="Z32">_xlfn.LET(_xlpm.x, N32:N34, IF(SUM((_xlpm.x="C1")*1)=1, 3, 1))</f>
        <v>1</v>
      </c>
      <c r="AA32" s="25" cm="1">
        <f t="array" ref="AA32">_xlfn.LET(_xlpm.x, O32:O34, IF(SUM((_xlpm.x="C1")*1)=1, 3, 1))</f>
        <v>1</v>
      </c>
      <c r="AC32" s="148" t="str">
        <v>M1</v>
      </c>
      <c r="AD32" s="128">
        <v>4</v>
      </c>
      <c r="AE32" s="128">
        <v>14</v>
      </c>
      <c r="AF32" s="128">
        <v>4</v>
      </c>
      <c r="AG32" s="128">
        <v>21</v>
      </c>
      <c r="AH32" s="128">
        <v>22</v>
      </c>
      <c r="AI32" s="5"/>
      <c r="AJ32" s="148" t="str">
        <v>M1</v>
      </c>
      <c r="AK32" s="128">
        <v>4</v>
      </c>
      <c r="AL32" s="128">
        <v>14</v>
      </c>
      <c r="AM32" s="128">
        <v>4</v>
      </c>
      <c r="AN32" s="128">
        <v>21</v>
      </c>
      <c r="AO32" s="128">
        <v>22</v>
      </c>
    </row>
    <row r="33" spans="10:41" ht="16.5" customHeight="1" x14ac:dyDescent="0.3">
      <c r="J33" s="9">
        <v>29</v>
      </c>
      <c r="K33" s="16" t="s">
        <v>21</v>
      </c>
      <c r="L33" s="16" t="s">
        <v>88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 cm="1">
        <f t="array" ref="W33">_xlfn.LET(_xlpm.x, K33:K35, IF(SUM((_xlpm.x="C1")*1)=1, 3, 1))</f>
        <v>1</v>
      </c>
      <c r="X33" s="25" cm="1">
        <f t="array" ref="X33">_xlfn.LET(_xlpm.x, L33:L35, IF(SUM((_xlpm.x="C1")*1)=1, 3, 1))</f>
        <v>1</v>
      </c>
      <c r="Y33" s="25" cm="1">
        <f t="array" ref="Y33">_xlfn.LET(_xlpm.x, M33:M35, IF(SUM((_xlpm.x="C1")*1)=1, 3, 1))</f>
        <v>1</v>
      </c>
      <c r="Z33" s="25" cm="1">
        <f t="array" ref="Z33">_xlfn.LET(_xlpm.x, N33:N35, IF(SUM((_xlpm.x="C1")*1)=1, 3, 1))</f>
        <v>1</v>
      </c>
      <c r="AA33" s="25" cm="1">
        <f t="array" ref="AA33">_xlfn.LET(_xlpm.x, O33:O35, IF(SUM((_xlpm.x="C1")*1)=1, 3, 1))</f>
        <v>3</v>
      </c>
      <c r="AC33" s="148" t="str">
        <v>M2</v>
      </c>
      <c r="AD33" s="128">
        <v>4</v>
      </c>
      <c r="AE33" s="128">
        <v>13</v>
      </c>
      <c r="AF33" s="128">
        <v>4</v>
      </c>
      <c r="AG33" s="128">
        <v>20</v>
      </c>
      <c r="AH33" s="128">
        <v>22</v>
      </c>
      <c r="AI33" s="5"/>
      <c r="AJ33" s="148" t="str">
        <v>M2</v>
      </c>
      <c r="AK33" s="128">
        <v>4</v>
      </c>
      <c r="AL33" s="128">
        <v>13</v>
      </c>
      <c r="AM33" s="128">
        <v>4</v>
      </c>
      <c r="AN33" s="128">
        <v>20</v>
      </c>
      <c r="AO33" s="128">
        <v>22</v>
      </c>
    </row>
    <row r="34" spans="10:41" ht="16.5" customHeight="1" x14ac:dyDescent="0.3"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 cm="1">
        <f t="array" ref="W34">_xlfn.LET(_xlpm.x, K34:K36, IF(SUM((_xlpm.x="C1")*1)=1, 3, 1))</f>
        <v>1</v>
      </c>
      <c r="X34" s="25" cm="1">
        <f t="array" ref="X34">_xlfn.LET(_xlpm.x, L34:L36, IF(SUM((_xlpm.x="C1")*1)=1, 3, 1))</f>
        <v>1</v>
      </c>
      <c r="Y34" s="25" cm="1">
        <f t="array" ref="Y34">_xlfn.LET(_xlpm.x, M34:M36, IF(SUM((_xlpm.x="C1")*1)=1, 3, 1))</f>
        <v>1</v>
      </c>
      <c r="Z34" s="25" cm="1">
        <f t="array" ref="Z34">_xlfn.LET(_xlpm.x, N34:N36, IF(SUM((_xlpm.x="C1")*1)=1, 3, 1))</f>
        <v>1</v>
      </c>
      <c r="AA34" s="25" cm="1">
        <f t="array" ref="AA34">_xlfn.LET(_xlpm.x, O34:O36, IF(SUM((_xlpm.x="C1")*1)=1, 3, 1))</f>
        <v>3</v>
      </c>
      <c r="AC34" s="148" t="str">
        <v>M3</v>
      </c>
      <c r="AD34" s="128">
        <v>4</v>
      </c>
      <c r="AE34" s="128">
        <v>13</v>
      </c>
      <c r="AF34" s="128">
        <v>4</v>
      </c>
      <c r="AG34" s="128">
        <v>20</v>
      </c>
      <c r="AH34" s="128">
        <v>21</v>
      </c>
      <c r="AI34" s="5"/>
      <c r="AJ34" s="148" t="str">
        <v>M3</v>
      </c>
      <c r="AK34" s="128">
        <v>4</v>
      </c>
      <c r="AL34" s="128">
        <v>13</v>
      </c>
      <c r="AM34" s="128">
        <v>4</v>
      </c>
      <c r="AN34" s="128">
        <v>20</v>
      </c>
      <c r="AO34" s="128">
        <v>21</v>
      </c>
    </row>
    <row r="35" spans="10:41" ht="16.5" customHeight="1" x14ac:dyDescent="0.3">
      <c r="J35" s="9">
        <v>31</v>
      </c>
      <c r="K35" s="16" t="s">
        <v>19</v>
      </c>
      <c r="L35" s="16" t="s">
        <v>36</v>
      </c>
      <c r="M35" s="16" t="s">
        <v>37</v>
      </c>
      <c r="N35" s="16" t="s">
        <v>104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 cm="1">
        <f t="array" ref="W35">_xlfn.LET(_xlpm.x, K35:K37, IF(SUM((_xlpm.x="C1")*1)=1, 3, 1))</f>
        <v>1</v>
      </c>
      <c r="X35" s="25" cm="1">
        <f t="array" ref="X35">_xlfn.LET(_xlpm.x, L35:L37, IF(SUM((_xlpm.x="C1")*1)=1, 3, 1))</f>
        <v>1</v>
      </c>
      <c r="Y35" s="25" cm="1">
        <f t="array" ref="Y35">_xlfn.LET(_xlpm.x, M35:M37, IF(SUM((_xlpm.x="C1")*1)=1, 3, 1))</f>
        <v>1</v>
      </c>
      <c r="Z35" s="25" cm="1">
        <f t="array" ref="Z35">_xlfn.LET(_xlpm.x, N35:N37, IF(SUM((_xlpm.x="C1")*1)=1, 3, 1))</f>
        <v>1</v>
      </c>
      <c r="AA35" s="25" cm="1">
        <f t="array" ref="AA35">_xlfn.LET(_xlpm.x, O35:O37, IF(SUM((_xlpm.x="C1")*1)=1, 3, 1))</f>
        <v>3</v>
      </c>
      <c r="AC35" s="148" t="str">
        <v>M4</v>
      </c>
      <c r="AD35" s="128">
        <v>40</v>
      </c>
      <c r="AE35" s="128">
        <v>9</v>
      </c>
      <c r="AF35" s="128">
        <v>41</v>
      </c>
      <c r="AG35" s="128">
        <v>14</v>
      </c>
      <c r="AH35" s="128">
        <v>21</v>
      </c>
      <c r="AI35" s="5"/>
      <c r="AJ35" s="148" t="str">
        <v>M4</v>
      </c>
      <c r="AK35" s="128">
        <v>40</v>
      </c>
      <c r="AL35" s="128">
        <v>9</v>
      </c>
      <c r="AM35" s="128">
        <v>41</v>
      </c>
      <c r="AN35" s="128">
        <v>14</v>
      </c>
      <c r="AO35" s="128">
        <v>21</v>
      </c>
    </row>
    <row r="36" spans="10:41" ht="16.5" customHeight="1" x14ac:dyDescent="0.3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104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 cm="1">
        <f t="array" ref="W36">_xlfn.LET(_xlpm.x, K36:K38, IF(SUM((_xlpm.x="C1")*1)=1, 3, 1))</f>
        <v>1</v>
      </c>
      <c r="X36" s="25" cm="1">
        <f t="array" ref="X36">_xlfn.LET(_xlpm.x, L36:L38, IF(SUM((_xlpm.x="C1")*1)=1, 3, 1))</f>
        <v>1</v>
      </c>
      <c r="Y36" s="25" cm="1">
        <f t="array" ref="Y36">_xlfn.LET(_xlpm.x, M36:M38, IF(SUM((_xlpm.x="C1")*1)=1, 3, 1))</f>
        <v>1</v>
      </c>
      <c r="Z36" s="25" cm="1">
        <f t="array" ref="Z36">_xlfn.LET(_xlpm.x, N36:N38, IF(SUM((_xlpm.x="C1")*1)=1, 3, 1))</f>
        <v>1</v>
      </c>
      <c r="AA36" s="25" cm="1">
        <f t="array" ref="AA36">_xlfn.LET(_xlpm.x, O36:O38, IF(SUM((_xlpm.x="C1")*1)=1, 3, 1))</f>
        <v>1</v>
      </c>
      <c r="AC36" s="148" t="str">
        <v>M5</v>
      </c>
      <c r="AD36" s="128">
        <v>40</v>
      </c>
      <c r="AE36" s="128">
        <v>13</v>
      </c>
      <c r="AF36" s="128">
        <v>41</v>
      </c>
      <c r="AG36" s="128">
        <v>14</v>
      </c>
      <c r="AH36" s="128">
        <v>21</v>
      </c>
      <c r="AI36" s="5"/>
      <c r="AJ36" s="148" t="str">
        <v>M5</v>
      </c>
      <c r="AK36" s="128">
        <v>40</v>
      </c>
      <c r="AL36" s="128">
        <v>13</v>
      </c>
      <c r="AM36" s="128">
        <v>41</v>
      </c>
      <c r="AN36" s="128">
        <v>14</v>
      </c>
      <c r="AO36" s="128">
        <v>21</v>
      </c>
    </row>
    <row r="37" spans="10:41" ht="16.5" customHeight="1" x14ac:dyDescent="0.3">
      <c r="J37" s="9">
        <v>33</v>
      </c>
      <c r="K37" s="16" t="s">
        <v>19</v>
      </c>
      <c r="L37" s="16" t="s">
        <v>102</v>
      </c>
      <c r="M37" s="16" t="s">
        <v>35</v>
      </c>
      <c r="N37" s="16" t="s">
        <v>90</v>
      </c>
      <c r="O37" s="16" t="s">
        <v>35</v>
      </c>
      <c r="Q37" s="9">
        <v>5</v>
      </c>
      <c r="R37" s="9">
        <v>17</v>
      </c>
      <c r="S37" s="9">
        <v>8</v>
      </c>
      <c r="T37" s="9">
        <v>16</v>
      </c>
      <c r="U37" s="9">
        <v>8</v>
      </c>
      <c r="W37" s="25" cm="1">
        <f t="array" ref="W37">_xlfn.LET(_xlpm.x, K37:K39, IF(SUM((_xlpm.x="C1")*1)=1, 3, 1))</f>
        <v>1</v>
      </c>
      <c r="X37" s="25" cm="1">
        <f t="array" ref="X37">_xlfn.LET(_xlpm.x, L37:L39, IF(SUM((_xlpm.x="C1")*1)=1, 3, 1))</f>
        <v>1</v>
      </c>
      <c r="Y37" s="25" cm="1">
        <f t="array" ref="Y37">_xlfn.LET(_xlpm.x, M37:M39, IF(SUM((_xlpm.x="C1")*1)=1, 3, 1))</f>
        <v>1</v>
      </c>
      <c r="Z37" s="25" cm="1">
        <f t="array" ref="Z37">_xlfn.LET(_xlpm.x, N37:N39, IF(SUM((_xlpm.x="C1")*1)=1, 3, 1))</f>
        <v>1</v>
      </c>
      <c r="AA37" s="25" cm="1">
        <f t="array" ref="AA37">_xlfn.LET(_xlpm.x, O37:O39, IF(SUM((_xlpm.x="C1")*1)=1, 3, 1))</f>
        <v>1</v>
      </c>
      <c r="AC37" s="148" t="str">
        <v>A</v>
      </c>
      <c r="AD37" s="128">
        <v>47</v>
      </c>
      <c r="AE37" s="128">
        <v>10</v>
      </c>
      <c r="AF37" s="128">
        <v>41</v>
      </c>
      <c r="AG37" s="128">
        <v>14</v>
      </c>
      <c r="AH37" s="128">
        <v>21</v>
      </c>
      <c r="AI37" s="5"/>
      <c r="AJ37" s="148" t="str">
        <v>A</v>
      </c>
      <c r="AK37" s="128">
        <v>47</v>
      </c>
      <c r="AL37" s="128">
        <v>10</v>
      </c>
      <c r="AM37" s="128">
        <v>41</v>
      </c>
      <c r="AN37" s="128">
        <v>14</v>
      </c>
      <c r="AO37" s="128">
        <v>21</v>
      </c>
    </row>
    <row r="38" spans="10:41" ht="16.5" customHeight="1" x14ac:dyDescent="0.3">
      <c r="J38" s="25">
        <v>34</v>
      </c>
      <c r="K38" s="16" t="s">
        <v>104</v>
      </c>
      <c r="L38" s="16" t="s">
        <v>87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 cm="1">
        <f t="array" ref="W38">_xlfn.LET(_xlpm.x, K38:K40, IF(SUM((_xlpm.x="C1")*1)=1, 3, 1))</f>
        <v>1</v>
      </c>
      <c r="X38" s="25" cm="1">
        <f t="array" ref="X38">_xlfn.LET(_xlpm.x, L38:L40, IF(SUM((_xlpm.x="C1")*1)=1, 3, 1))</f>
        <v>1</v>
      </c>
      <c r="Y38" s="25" cm="1">
        <f t="array" ref="Y38">_xlfn.LET(_xlpm.x, M38:M40, IF(SUM((_xlpm.x="C1")*1)=1, 3, 1))</f>
        <v>1</v>
      </c>
      <c r="Z38" s="25" cm="1">
        <f t="array" ref="Z38">_xlfn.LET(_xlpm.x, N38:N40, IF(SUM((_xlpm.x="C1")*1)=1, 3, 1))</f>
        <v>1</v>
      </c>
      <c r="AA38" s="25" cm="1">
        <f t="array" ref="AA38">_xlfn.LET(_xlpm.x, O38:O40, IF(SUM((_xlpm.x="C1")*1)=1, 3, 1))</f>
        <v>1</v>
      </c>
      <c r="AC38" s="148" t="str">
        <v>K</v>
      </c>
      <c r="AD38" s="128">
        <v>47</v>
      </c>
      <c r="AE38" s="128">
        <v>10</v>
      </c>
      <c r="AF38" s="128">
        <v>41</v>
      </c>
      <c r="AG38" s="128">
        <v>14</v>
      </c>
      <c r="AH38" s="128">
        <v>21</v>
      </c>
      <c r="AI38" s="5"/>
      <c r="AJ38" s="148" t="str">
        <v>K</v>
      </c>
      <c r="AK38" s="128">
        <v>47</v>
      </c>
      <c r="AL38" s="128">
        <v>10</v>
      </c>
      <c r="AM38" s="128">
        <v>41</v>
      </c>
      <c r="AN38" s="128">
        <v>14</v>
      </c>
      <c r="AO38" s="128">
        <v>21</v>
      </c>
    </row>
    <row r="39" spans="10:41" ht="16.5" customHeight="1" x14ac:dyDescent="0.3">
      <c r="J39" s="9">
        <v>35</v>
      </c>
      <c r="K39" s="16" t="s">
        <v>104</v>
      </c>
      <c r="L39" s="16" t="s">
        <v>37</v>
      </c>
      <c r="M39" s="16" t="s">
        <v>104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 cm="1">
        <f t="array" ref="W39">_xlfn.LET(_xlpm.x, K39:K41, IF(SUM((_xlpm.x="C1")*1)=1, 3, 1))</f>
        <v>1</v>
      </c>
      <c r="X39" s="25" cm="1">
        <f t="array" ref="X39">_xlfn.LET(_xlpm.x, L39:L41, IF(SUM((_xlpm.x="C1")*1)=1, 3, 1))</f>
        <v>1</v>
      </c>
      <c r="Y39" s="25" cm="1">
        <f t="array" ref="Y39">_xlfn.LET(_xlpm.x, M39:M41, IF(SUM((_xlpm.x="C1")*1)=1, 3, 1))</f>
        <v>1</v>
      </c>
      <c r="Z39" s="25" cm="1">
        <f t="array" ref="Z39">_xlfn.LET(_xlpm.x, N39:N41, IF(SUM((_xlpm.x="C1")*1)=1, 3, 1))</f>
        <v>3</v>
      </c>
      <c r="AA39" s="25" cm="1">
        <f t="array" ref="AA39">_xlfn.LET(_xlpm.x, O39:O41, IF(SUM((_xlpm.x="C1")*1)=1, 3, 1))</f>
        <v>1</v>
      </c>
      <c r="AC39" s="148" t="str">
        <v>Q</v>
      </c>
      <c r="AD39" s="128">
        <v>4</v>
      </c>
      <c r="AE39" s="128">
        <v>15</v>
      </c>
      <c r="AF39" s="128">
        <v>3</v>
      </c>
      <c r="AG39" s="128">
        <v>21</v>
      </c>
      <c r="AH39" s="128">
        <v>21</v>
      </c>
      <c r="AI39" s="5"/>
      <c r="AJ39" s="148" t="str">
        <v>Q</v>
      </c>
      <c r="AK39" s="128">
        <v>4</v>
      </c>
      <c r="AL39" s="128">
        <v>15</v>
      </c>
      <c r="AM39" s="128">
        <v>3</v>
      </c>
      <c r="AN39" s="128">
        <v>21</v>
      </c>
      <c r="AO39" s="128">
        <v>21</v>
      </c>
    </row>
    <row r="40" spans="10:41" ht="16.5" customHeight="1" x14ac:dyDescent="0.3">
      <c r="J40" s="25">
        <v>36</v>
      </c>
      <c r="K40" s="16" t="s">
        <v>37</v>
      </c>
      <c r="L40" s="16" t="s">
        <v>90</v>
      </c>
      <c r="M40" s="16" t="s">
        <v>35</v>
      </c>
      <c r="N40" s="16" t="s">
        <v>89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 cm="1">
        <f t="array" ref="W40">_xlfn.LET(_xlpm.x, K40:K42, IF(SUM((_xlpm.x="C1")*1)=1, 3, 1))</f>
        <v>1</v>
      </c>
      <c r="X40" s="25" cm="1">
        <f t="array" ref="X40">_xlfn.LET(_xlpm.x, L40:L42, IF(SUM((_xlpm.x="C1")*1)=1, 3, 1))</f>
        <v>1</v>
      </c>
      <c r="Y40" s="25" cm="1">
        <f t="array" ref="Y40">_xlfn.LET(_xlpm.x, M40:M42, IF(SUM((_xlpm.x="C1")*1)=1, 3, 1))</f>
        <v>1</v>
      </c>
      <c r="Z40" s="25" cm="1">
        <f t="array" ref="Z40">_xlfn.LET(_xlpm.x, N40:N42, IF(SUM((_xlpm.x="C1")*1)=1, 3, 1))</f>
        <v>3</v>
      </c>
      <c r="AA40" s="25" cm="1">
        <f t="array" ref="AA40">_xlfn.LET(_xlpm.x, O40:O42, IF(SUM((_xlpm.x="C1")*1)=1, 3, 1))</f>
        <v>1</v>
      </c>
      <c r="AC40" s="148" t="str">
        <v>J</v>
      </c>
      <c r="AD40" s="128">
        <v>4</v>
      </c>
      <c r="AE40" s="128">
        <v>17</v>
      </c>
      <c r="AF40" s="128">
        <v>3</v>
      </c>
      <c r="AG40" s="128">
        <v>21</v>
      </c>
      <c r="AH40" s="128">
        <v>21</v>
      </c>
      <c r="AI40" s="5"/>
      <c r="AJ40" s="148" t="str">
        <v>J</v>
      </c>
      <c r="AK40" s="128">
        <v>4</v>
      </c>
      <c r="AL40" s="128">
        <v>17</v>
      </c>
      <c r="AM40" s="128">
        <v>3</v>
      </c>
      <c r="AN40" s="128">
        <v>21</v>
      </c>
      <c r="AO40" s="128">
        <v>21</v>
      </c>
    </row>
    <row r="41" spans="10:41" ht="16.5" customHeight="1" x14ac:dyDescent="0.3">
      <c r="J41" s="9">
        <v>37</v>
      </c>
      <c r="K41" s="16" t="s">
        <v>19</v>
      </c>
      <c r="L41" s="16" t="s">
        <v>90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 cm="1">
        <f t="array" ref="W41">_xlfn.LET(_xlpm.x, K41:K43, IF(SUM((_xlpm.x="C1")*1)=1, 3, 1))</f>
        <v>1</v>
      </c>
      <c r="X41" s="25" cm="1">
        <f t="array" ref="X41">_xlfn.LET(_xlpm.x, L41:L43, IF(SUM((_xlpm.x="C1")*1)=1, 3, 1))</f>
        <v>1</v>
      </c>
      <c r="Y41" s="25" cm="1">
        <f t="array" ref="Y41">_xlfn.LET(_xlpm.x, M41:M43, IF(SUM((_xlpm.x="C1")*1)=1, 3, 1))</f>
        <v>1</v>
      </c>
      <c r="Z41" s="25" cm="1">
        <f t="array" ref="Z41">_xlfn.LET(_xlpm.x, N41:N43, IF(SUM((_xlpm.x="C1")*1)=1, 3, 1))</f>
        <v>3</v>
      </c>
      <c r="AA41" s="25" cm="1">
        <f t="array" ref="AA41">_xlfn.LET(_xlpm.x, O41:O43, IF(SUM((_xlpm.x="C1")*1)=1, 3, 1))</f>
        <v>1</v>
      </c>
      <c r="AC41" s="133" t="str">
        <v>G1</v>
      </c>
      <c r="AD41" s="98">
        <v>0</v>
      </c>
      <c r="AE41" s="98">
        <v>15</v>
      </c>
      <c r="AF41" s="98">
        <v>0</v>
      </c>
      <c r="AG41" s="98">
        <v>6</v>
      </c>
      <c r="AH41" s="98">
        <v>0</v>
      </c>
      <c r="AI41" s="5"/>
      <c r="AJ41" s="133" t="str">
        <v>G1</v>
      </c>
      <c r="AK41" s="98">
        <v>0</v>
      </c>
      <c r="AL41" s="98">
        <v>15</v>
      </c>
      <c r="AM41" s="98">
        <v>0</v>
      </c>
      <c r="AN41" s="98">
        <v>6</v>
      </c>
      <c r="AO41" s="98">
        <v>0</v>
      </c>
    </row>
    <row r="42" spans="10:41" ht="16.5" customHeight="1" x14ac:dyDescent="0.3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104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 cm="1">
        <f t="array" ref="W42">_xlfn.LET(_xlpm.x, K42:K44, IF(SUM((_xlpm.x="C1")*1)=1, 3, 1))</f>
        <v>1</v>
      </c>
      <c r="X42" s="25" cm="1">
        <f t="array" ref="X42">_xlfn.LET(_xlpm.x, L42:L44, IF(SUM((_xlpm.x="C1")*1)=1, 3, 1))</f>
        <v>1</v>
      </c>
      <c r="Y42" s="25" cm="1">
        <f t="array" ref="Y42">_xlfn.LET(_xlpm.x, M42:M44, IF(SUM((_xlpm.x="C1")*1)=1, 3, 1))</f>
        <v>1</v>
      </c>
      <c r="Z42" s="25" cm="1">
        <f t="array" ref="Z42">_xlfn.LET(_xlpm.x, N42:N44, IF(SUM((_xlpm.x="C1")*1)=1, 3, 1))</f>
        <v>1</v>
      </c>
      <c r="AA42" s="25" cm="1">
        <f t="array" ref="AA42">_xlfn.LET(_xlpm.x, O42:O44, IF(SUM((_xlpm.x="C1")*1)=1, 3, 1))</f>
        <v>1</v>
      </c>
      <c r="AC42" s="133" t="str">
        <v>G2</v>
      </c>
      <c r="AD42" s="98">
        <v>0</v>
      </c>
      <c r="AE42" s="98">
        <v>18</v>
      </c>
      <c r="AF42" s="98">
        <v>0</v>
      </c>
      <c r="AG42" s="98">
        <v>6</v>
      </c>
      <c r="AH42" s="98">
        <v>0</v>
      </c>
      <c r="AI42" s="5"/>
      <c r="AJ42" s="133" t="str">
        <v>G2</v>
      </c>
      <c r="AK42" s="98">
        <v>0</v>
      </c>
      <c r="AL42" s="98">
        <v>18</v>
      </c>
      <c r="AM42" s="98">
        <v>0</v>
      </c>
      <c r="AN42" s="98">
        <v>6</v>
      </c>
      <c r="AO42" s="98">
        <v>0</v>
      </c>
    </row>
    <row r="43" spans="10:41" ht="16.5" customHeight="1" x14ac:dyDescent="0.3">
      <c r="J43" s="9">
        <v>39</v>
      </c>
      <c r="K43" s="16" t="s">
        <v>19</v>
      </c>
      <c r="L43" s="16" t="s">
        <v>19</v>
      </c>
      <c r="M43" s="16" t="s">
        <v>37</v>
      </c>
      <c r="N43" s="16" t="s">
        <v>104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 cm="1">
        <f t="array" ref="W43">_xlfn.LET(_xlpm.x, K43:K45, IF(SUM((_xlpm.x="C1")*1)=1, 3, 1))</f>
        <v>1</v>
      </c>
      <c r="X43" s="25" cm="1">
        <f t="array" ref="X43">_xlfn.LET(_xlpm.x, L43:L45, IF(SUM((_xlpm.x="C1")*1)=1, 3, 1))</f>
        <v>1</v>
      </c>
      <c r="Y43" s="25" cm="1">
        <f t="array" ref="Y43">_xlfn.LET(_xlpm.x, M43:M45, IF(SUM((_xlpm.x="C1")*1)=1, 3, 1))</f>
        <v>1</v>
      </c>
      <c r="Z43" s="25" cm="1">
        <f t="array" ref="Z43">_xlfn.LET(_xlpm.x, N43:N45, IF(SUM((_xlpm.x="C1")*1)=1, 3, 1))</f>
        <v>1</v>
      </c>
      <c r="AA43" s="25" cm="1">
        <f t="array" ref="AA43">_xlfn.LET(_xlpm.x, O43:O45, IF(SUM((_xlpm.x="C1")*1)=1, 3, 1))</f>
        <v>1</v>
      </c>
      <c r="AC43" s="133" t="str">
        <v>G3</v>
      </c>
      <c r="AD43" s="98">
        <v>0</v>
      </c>
      <c r="AE43" s="98">
        <v>18</v>
      </c>
      <c r="AF43" s="98">
        <v>0</v>
      </c>
      <c r="AG43" s="98">
        <v>6</v>
      </c>
      <c r="AH43" s="98">
        <v>0</v>
      </c>
      <c r="AI43" s="5"/>
      <c r="AJ43" s="133" t="str">
        <v>G3</v>
      </c>
      <c r="AK43" s="98">
        <v>0</v>
      </c>
      <c r="AL43" s="98">
        <v>18</v>
      </c>
      <c r="AM43" s="98">
        <v>0</v>
      </c>
      <c r="AN43" s="98">
        <v>6</v>
      </c>
      <c r="AO43" s="98">
        <v>0</v>
      </c>
    </row>
    <row r="44" spans="10:41" ht="16.5" customHeight="1" x14ac:dyDescent="0.3">
      <c r="J44" s="25">
        <v>40</v>
      </c>
      <c r="K44" s="16" t="s">
        <v>35</v>
      </c>
      <c r="L44" s="16" t="s">
        <v>87</v>
      </c>
      <c r="M44" s="16" t="s">
        <v>19</v>
      </c>
      <c r="N44" s="16" t="s">
        <v>102</v>
      </c>
      <c r="O44" s="16" t="s">
        <v>37</v>
      </c>
      <c r="Q44" s="9">
        <v>8</v>
      </c>
      <c r="R44" s="9">
        <v>12</v>
      </c>
      <c r="S44" s="9">
        <v>5</v>
      </c>
      <c r="T44" s="9">
        <v>17</v>
      </c>
      <c r="U44" s="9">
        <v>7</v>
      </c>
      <c r="W44" s="25" cm="1">
        <f t="array" ref="W44">_xlfn.LET(_xlpm.x, K44:K46, IF(SUM((_xlpm.x="C1")*1)=1, 3, 1))</f>
        <v>1</v>
      </c>
      <c r="X44" s="25" cm="1">
        <f t="array" ref="X44">_xlfn.LET(_xlpm.x, L44:L46, IF(SUM((_xlpm.x="C1")*1)=1, 3, 1))</f>
        <v>1</v>
      </c>
      <c r="Y44" s="25" cm="1">
        <f t="array" ref="Y44">_xlfn.LET(_xlpm.x, M44:M46, IF(SUM((_xlpm.x="C1")*1)=1, 3, 1))</f>
        <v>1</v>
      </c>
      <c r="Z44" s="25" cm="1">
        <f t="array" ref="Z44">_xlfn.LET(_xlpm.x, N44:N46, IF(SUM((_xlpm.x="C1")*1)=1, 3, 1))</f>
        <v>1</v>
      </c>
      <c r="AA44" s="25" cm="1">
        <f t="array" ref="AA44">_xlfn.LET(_xlpm.x, O44:O46, IF(SUM((_xlpm.x="C1")*1)=1, 3, 1))</f>
        <v>1</v>
      </c>
      <c r="AC44" s="133" t="str">
        <v>G4</v>
      </c>
      <c r="AD44" s="98">
        <v>0</v>
      </c>
      <c r="AE44" s="98">
        <v>13</v>
      </c>
      <c r="AF44" s="98">
        <v>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13</v>
      </c>
      <c r="AM44" s="98">
        <v>4</v>
      </c>
      <c r="AN44" s="98">
        <v>4</v>
      </c>
      <c r="AO44" s="98">
        <v>0</v>
      </c>
    </row>
    <row r="45" spans="10:41" ht="16.5" customHeight="1" x14ac:dyDescent="0.3">
      <c r="J45" s="9">
        <v>41</v>
      </c>
      <c r="K45" s="16" t="s">
        <v>104</v>
      </c>
      <c r="L45" s="16" t="s">
        <v>36</v>
      </c>
      <c r="M45" s="16" t="s">
        <v>104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 cm="1">
        <f t="array" ref="W45">_xlfn.LET(_xlpm.x, K45:K47, IF(SUM((_xlpm.x="C1")*1)=1, 3, 1))</f>
        <v>1</v>
      </c>
      <c r="X45" s="25" cm="1">
        <f t="array" ref="X45">_xlfn.LET(_xlpm.x, L45:L47, IF(SUM((_xlpm.x="C1")*1)=1, 3, 1))</f>
        <v>1</v>
      </c>
      <c r="Y45" s="25" cm="1">
        <f t="array" ref="Y45">_xlfn.LET(_xlpm.x, M45:M47, IF(SUM((_xlpm.x="C1")*1)=1, 3, 1))</f>
        <v>1</v>
      </c>
      <c r="Z45" s="25" cm="1">
        <f t="array" ref="Z45">_xlfn.LET(_xlpm.x, N45:N47, IF(SUM((_xlpm.x="C1")*1)=1, 3, 1))</f>
        <v>1</v>
      </c>
      <c r="AA45" s="25" cm="1">
        <f t="array" ref="AA45">_xlfn.LET(_xlpm.x, O45:O47, IF(SUM((_xlpm.x="C1")*1)=1, 3, 1))</f>
        <v>3</v>
      </c>
      <c r="AC45" s="133" t="str">
        <v>G5</v>
      </c>
      <c r="AD45" s="98">
        <v>0</v>
      </c>
      <c r="AE45" s="98">
        <v>7</v>
      </c>
      <c r="AF45" s="98">
        <v>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7</v>
      </c>
      <c r="AM45" s="98">
        <v>4</v>
      </c>
      <c r="AN45" s="98">
        <v>4</v>
      </c>
      <c r="AO45" s="98">
        <v>0</v>
      </c>
    </row>
    <row r="46" spans="10:41" ht="16.5" customHeight="1" x14ac:dyDescent="0.3">
      <c r="J46" s="25">
        <v>42</v>
      </c>
      <c r="K46" s="16" t="s">
        <v>104</v>
      </c>
      <c r="L46" s="16" t="s">
        <v>104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6</v>
      </c>
      <c r="S46" s="9">
        <v>7</v>
      </c>
      <c r="T46" s="9">
        <v>3</v>
      </c>
      <c r="U46" s="9">
        <v>10</v>
      </c>
      <c r="W46" s="25" cm="1">
        <f t="array" ref="W46">_xlfn.LET(_xlpm.x, K46:K48, IF(SUM((_xlpm.x="C1")*1)=1, 3, 1))</f>
        <v>1</v>
      </c>
      <c r="X46" s="25" cm="1">
        <f t="array" ref="X46">_xlfn.LET(_xlpm.x, L46:L48, IF(SUM((_xlpm.x="C1")*1)=1, 3, 1))</f>
        <v>3</v>
      </c>
      <c r="Y46" s="25" cm="1">
        <f t="array" ref="Y46">_xlfn.LET(_xlpm.x, M46:M48, IF(SUM((_xlpm.x="C1")*1)=1, 3, 1))</f>
        <v>1</v>
      </c>
      <c r="Z46" s="25" cm="1">
        <f t="array" ref="Z46">_xlfn.LET(_xlpm.x, N46:N48, IF(SUM((_xlpm.x="C1")*1)=1, 3, 1))</f>
        <v>1</v>
      </c>
      <c r="AA46" s="25" cm="1">
        <f t="array" ref="AA46">_xlfn.LET(_xlpm.x, O46:O48, IF(SUM((_xlpm.x="C1")*1)=1, 3, 1))</f>
        <v>3</v>
      </c>
      <c r="AC46" s="133" t="str">
        <v>GA</v>
      </c>
      <c r="AD46" s="98">
        <v>0</v>
      </c>
      <c r="AE46" s="98">
        <v>10</v>
      </c>
      <c r="AF46" s="98">
        <v>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10</v>
      </c>
      <c r="AM46" s="98">
        <v>4</v>
      </c>
      <c r="AN46" s="98">
        <v>4</v>
      </c>
      <c r="AO46" s="98">
        <v>0</v>
      </c>
    </row>
    <row r="47" spans="10:41" ht="16.5" customHeight="1" x14ac:dyDescent="0.3">
      <c r="J47" s="9">
        <v>43</v>
      </c>
      <c r="K47" s="16" t="s">
        <v>104</v>
      </c>
      <c r="L47" s="16" t="s">
        <v>93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 cm="1">
        <f t="array" ref="W47">_xlfn.LET(_xlpm.x, K47:K49, IF(SUM((_xlpm.x="C1")*1)=1, 3, 1))</f>
        <v>1</v>
      </c>
      <c r="X47" s="25" cm="1">
        <f t="array" ref="X47">_xlfn.LET(_xlpm.x, L47:L49, IF(SUM((_xlpm.x="C1")*1)=1, 3, 1))</f>
        <v>3</v>
      </c>
      <c r="Y47" s="25" cm="1">
        <f t="array" ref="Y47">_xlfn.LET(_xlpm.x, M47:M49, IF(SUM((_xlpm.x="C1")*1)=1, 3, 1))</f>
        <v>1</v>
      </c>
      <c r="Z47" s="25" cm="1">
        <f t="array" ref="Z47">_xlfn.LET(_xlpm.x, N47:N49, IF(SUM((_xlpm.x="C1")*1)=1, 3, 1))</f>
        <v>1</v>
      </c>
      <c r="AA47" s="25" cm="1">
        <f t="array" ref="AA47">_xlfn.LET(_xlpm.x, O47:O49, IF(SUM((_xlpm.x="C1")*1)=1, 3, 1))</f>
        <v>3</v>
      </c>
      <c r="AC47" s="133" t="str">
        <v>GK</v>
      </c>
      <c r="AD47" s="98">
        <v>0</v>
      </c>
      <c r="AE47" s="98">
        <v>10</v>
      </c>
      <c r="AF47" s="98">
        <v>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10</v>
      </c>
      <c r="AM47" s="98">
        <v>4</v>
      </c>
      <c r="AN47" s="98">
        <v>4</v>
      </c>
      <c r="AO47" s="98">
        <v>0</v>
      </c>
    </row>
    <row r="48" spans="10:41" ht="16.5" customHeight="1" x14ac:dyDescent="0.3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 cm="1">
        <f t="array" ref="W48">_xlfn.LET(_xlpm.x, K48:K50, IF(SUM((_xlpm.x="C1")*1)=1, 3, 1))</f>
        <v>1</v>
      </c>
      <c r="X48" s="25" cm="1">
        <f t="array" ref="X48">_xlfn.LET(_xlpm.x, L48:L50, IF(SUM((_xlpm.x="C1")*1)=1, 3, 1))</f>
        <v>3</v>
      </c>
      <c r="Y48" s="25" cm="1">
        <f t="array" ref="Y48">_xlfn.LET(_xlpm.x, M48:M50, IF(SUM((_xlpm.x="C1")*1)=1, 3, 1))</f>
        <v>1</v>
      </c>
      <c r="Z48" s="25" cm="1">
        <f t="array" ref="Z48">_xlfn.LET(_xlpm.x, N48:N50, IF(SUM((_xlpm.x="C1")*1)=1, 3, 1))</f>
        <v>1</v>
      </c>
      <c r="AA48" s="25" cm="1">
        <f t="array" ref="AA48">_xlfn.LET(_xlpm.x, O48:O50, IF(SUM((_xlpm.x="C1")*1)=1, 3, 1))</f>
        <v>1</v>
      </c>
      <c r="AC48" s="133" t="str">
        <v>GQ</v>
      </c>
      <c r="AD48" s="98">
        <v>0</v>
      </c>
      <c r="AE48" s="98">
        <v>15</v>
      </c>
      <c r="AF48" s="98">
        <v>0</v>
      </c>
      <c r="AG48" s="98">
        <v>6</v>
      </c>
      <c r="AH48" s="98">
        <v>0</v>
      </c>
      <c r="AI48" s="5"/>
      <c r="AJ48" s="133" t="str">
        <v>GQ</v>
      </c>
      <c r="AK48" s="98">
        <v>0</v>
      </c>
      <c r="AL48" s="98">
        <v>15</v>
      </c>
      <c r="AM48" s="98">
        <v>0</v>
      </c>
      <c r="AN48" s="98">
        <v>6</v>
      </c>
      <c r="AO48" s="98">
        <v>0</v>
      </c>
    </row>
    <row r="49" spans="10:41" ht="16.5" customHeight="1" x14ac:dyDescent="0.3">
      <c r="J49" s="9">
        <v>45</v>
      </c>
      <c r="K49" s="16" t="s">
        <v>35</v>
      </c>
      <c r="L49" s="16" t="s">
        <v>18</v>
      </c>
      <c r="M49" s="16" t="s">
        <v>104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 cm="1">
        <f t="array" ref="W49">_xlfn.LET(_xlpm.x, K49:K51, IF(SUM((_xlpm.x="C1")*1)=1, 3, 1))</f>
        <v>3</v>
      </c>
      <c r="X49" s="25" cm="1">
        <f t="array" ref="X49">_xlfn.LET(_xlpm.x, L49:L51, IF(SUM((_xlpm.x="C1")*1)=1, 3, 1))</f>
        <v>1</v>
      </c>
      <c r="Y49" s="25" cm="1">
        <f t="array" ref="Y49">_xlfn.LET(_xlpm.x, M49:M51, IF(SUM((_xlpm.x="C1")*1)=1, 3, 1))</f>
        <v>1</v>
      </c>
      <c r="Z49" s="25" cm="1">
        <f t="array" ref="Z49">_xlfn.LET(_xlpm.x, N49:N51, IF(SUM((_xlpm.x="C1")*1)=1, 3, 1))</f>
        <v>1</v>
      </c>
      <c r="AA49" s="25" cm="1">
        <f t="array" ref="AA49">_xlfn.LET(_xlpm.x, O49:O51, IF(SUM((_xlpm.x="C1")*1)=1, 3, 1))</f>
        <v>1</v>
      </c>
      <c r="AC49" s="133" t="str">
        <v>GJ</v>
      </c>
      <c r="AD49" s="98">
        <v>0</v>
      </c>
      <c r="AE49" s="98">
        <v>12</v>
      </c>
      <c r="AF49" s="98">
        <v>0</v>
      </c>
      <c r="AG49" s="98">
        <v>6</v>
      </c>
      <c r="AH49" s="98">
        <v>0</v>
      </c>
      <c r="AI49" s="5"/>
      <c r="AJ49" s="133" t="str">
        <v>GJ</v>
      </c>
      <c r="AK49" s="98">
        <v>0</v>
      </c>
      <c r="AL49" s="98">
        <v>12</v>
      </c>
      <c r="AM49" s="98">
        <v>0</v>
      </c>
      <c r="AN49" s="98">
        <v>6</v>
      </c>
      <c r="AO49" s="98">
        <v>0</v>
      </c>
    </row>
    <row r="50" spans="10:41" ht="16.5" customHeight="1" x14ac:dyDescent="0.3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 cm="1">
        <f t="array" ref="W50">_xlfn.LET(_xlpm.x, K50:K52, IF(SUM((_xlpm.x="C1")*1)=1, 3, 1))</f>
        <v>3</v>
      </c>
      <c r="X50" s="25" cm="1">
        <f t="array" ref="X50">_xlfn.LET(_xlpm.x, L50:L52, IF(SUM((_xlpm.x="C1")*1)=1, 3, 1))</f>
        <v>1</v>
      </c>
      <c r="Y50" s="25" cm="1">
        <f t="array" ref="Y50">_xlfn.LET(_xlpm.x, M50:M52, IF(SUM((_xlpm.x="C1")*1)=1, 3, 1))</f>
        <v>1</v>
      </c>
      <c r="Z50" s="25" cm="1">
        <f t="array" ref="Z50">_xlfn.LET(_xlpm.x, N50:N52, IF(SUM((_xlpm.x="C1")*1)=1, 3, 1))</f>
        <v>1</v>
      </c>
      <c r="AA50" s="25" cm="1">
        <f t="array" ref="AA50">_xlfn.LET(_xlpm.x, O50:O52, IF(SUM((_xlpm.x="C1")*1)=1, 3, 1))</f>
        <v>1</v>
      </c>
      <c r="AD50" s="109">
        <f>SUM(AD30:AD49)</f>
        <v>194</v>
      </c>
      <c r="AE50" s="109">
        <f>SUM(AE30:AE49)</f>
        <v>238</v>
      </c>
      <c r="AF50" s="109">
        <f>SUM(AF30:AF49)</f>
        <v>198</v>
      </c>
      <c r="AG50" s="109">
        <f>SUM(AG30:AG49)</f>
        <v>214</v>
      </c>
      <c r="AH50" s="109">
        <f>SUM(AH30:AH49)</f>
        <v>191</v>
      </c>
      <c r="AI50" s="5"/>
      <c r="AK50" s="109">
        <f>SUM(AK30:AK49)</f>
        <v>194</v>
      </c>
      <c r="AL50" s="109">
        <f>SUM(AL30:AL49)</f>
        <v>238</v>
      </c>
      <c r="AM50" s="109">
        <f>SUM(AM30:AM49)</f>
        <v>198</v>
      </c>
      <c r="AN50" s="109">
        <f>SUM(AN30:AN49)</f>
        <v>214</v>
      </c>
      <c r="AO50" s="109">
        <f>SUM(AO30:AO49)</f>
        <v>191</v>
      </c>
    </row>
    <row r="51" spans="10:41" ht="16.5" customHeight="1" x14ac:dyDescent="0.3">
      <c r="J51" s="9">
        <v>47</v>
      </c>
      <c r="K51" s="16" t="s">
        <v>20</v>
      </c>
      <c r="L51" s="16" t="s">
        <v>86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11</v>
      </c>
      <c r="S51" s="9">
        <v>3</v>
      </c>
      <c r="T51" s="9">
        <v>2</v>
      </c>
      <c r="U51" s="9">
        <v>9</v>
      </c>
      <c r="W51" s="25" cm="1">
        <f t="array" ref="W51">_xlfn.LET(_xlpm.x, K51:K53, IF(SUM((_xlpm.x="C1")*1)=1, 3, 1))</f>
        <v>3</v>
      </c>
      <c r="X51" s="25" cm="1">
        <f t="array" ref="X51">_xlfn.LET(_xlpm.x, L51:L53, IF(SUM((_xlpm.x="C1")*1)=1, 3, 1))</f>
        <v>1</v>
      </c>
      <c r="Y51" s="25" cm="1">
        <f t="array" ref="Y51">_xlfn.LET(_xlpm.x, M51:M53, IF(SUM((_xlpm.x="C1")*1)=1, 3, 1))</f>
        <v>1</v>
      </c>
      <c r="Z51" s="25" cm="1">
        <f t="array" ref="Z51">_xlfn.LET(_xlpm.x, N51:N53, IF(SUM((_xlpm.x="C1")*1)=1, 3, 1))</f>
        <v>1</v>
      </c>
      <c r="AA51" s="25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35</v>
      </c>
      <c r="L52" s="16" t="s">
        <v>89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14</v>
      </c>
      <c r="S52" s="9">
        <v>7</v>
      </c>
      <c r="T52" s="9">
        <v>7</v>
      </c>
      <c r="U52" s="9">
        <v>2</v>
      </c>
      <c r="W52" s="25" cm="1">
        <f t="array" ref="W52">_xlfn.LET(_xlpm.x, K52:K54, IF(SUM((_xlpm.x="C1")*1)=1, 3, 1))</f>
        <v>1</v>
      </c>
      <c r="X52" s="25" cm="1">
        <f t="array" ref="X52">_xlfn.LET(_xlpm.x, L52:L54, IF(SUM((_xlpm.x="C1")*1)=1, 3, 1))</f>
        <v>1</v>
      </c>
      <c r="Y52" s="25" cm="1">
        <f t="array" ref="Y52">_xlfn.LET(_xlpm.x, M52:M54, IF(SUM((_xlpm.x="C1")*1)=1, 3, 1))</f>
        <v>1</v>
      </c>
      <c r="Z52" s="25" cm="1">
        <f t="array" ref="Z52">_xlfn.LET(_xlpm.x, N52:N54, IF(SUM((_xlpm.x="C1")*1)=1, 3, 1))</f>
        <v>1</v>
      </c>
      <c r="AA52" s="25" cm="1">
        <f t="array" ref="AA52">_xlfn.LET(_xlpm.x, O52:O54, IF(SUM((_xlpm.x="C1")*1)=1, 3, 1))</f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 x14ac:dyDescent="0.3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 cm="1">
        <f t="array" ref="W53">_xlfn.LET(_xlpm.x, K53:K55, IF(SUM((_xlpm.x="C1")*1)=1, 3, 1))</f>
        <v>1</v>
      </c>
      <c r="X53" s="25" cm="1">
        <f t="array" ref="X53">_xlfn.LET(_xlpm.x, L53:L55, IF(SUM((_xlpm.x="C1")*1)=1, 3, 1))</f>
        <v>1</v>
      </c>
      <c r="Y53" s="25" cm="1">
        <f t="array" ref="Y53">_xlfn.LET(_xlpm.x, M53:M55, IF(SUM((_xlpm.x="C1")*1)=1, 3, 1))</f>
        <v>1</v>
      </c>
      <c r="Z53" s="25" cm="1">
        <f t="array" ref="Z53">_xlfn.LET(_xlpm.x, N53:N55, IF(SUM((_xlpm.x="C1")*1)=1, 3, 1))</f>
        <v>1</v>
      </c>
      <c r="AA53" s="25" cm="1">
        <f t="array" ref="AA53">_xlfn.LET(_xlpm.x, O53:O55, IF(SUM((_xlpm.x="C1")*1)=1, 3, 1))</f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 cm="1">
        <f t="array" ref="W54">_xlfn.LET(_xlpm.x, K54:K56, IF(SUM((_xlpm.x="C1")*1)=1, 3, 1))</f>
        <v>1</v>
      </c>
      <c r="X54" s="25" cm="1">
        <f t="array" ref="X54">_xlfn.LET(_xlpm.x, L54:L56, IF(SUM((_xlpm.x="C1")*1)=1, 3, 1))</f>
        <v>1</v>
      </c>
      <c r="Y54" s="25" cm="1">
        <f t="array" ref="Y54">_xlfn.LET(_xlpm.x, M54:M56, IF(SUM((_xlpm.x="C1")*1)=1, 3, 1))</f>
        <v>1</v>
      </c>
      <c r="Z54" s="25" cm="1">
        <f t="array" ref="Z54">_xlfn.LET(_xlpm.x, N54:N56, IF(SUM((_xlpm.x="C1")*1)=1, 3, 1))</f>
        <v>1</v>
      </c>
      <c r="AA54" s="25" cm="1">
        <f t="array" ref="AA54">_xlfn.LET(_xlpm.x, O54:O56, IF(SUM((_xlpm.x="C1")*1)=1, 3, 1))</f>
        <v>1</v>
      </c>
      <c r="AC54" s="133" t="str" cm="1">
        <f t="array" ref="AC54:AC73">$A$4:$A$23</f>
        <v>WW</v>
      </c>
      <c r="AD54" s="134" cm="1">
        <f t="array" ref="AD54:AH73">$AD$6:$AH$25</f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 cm="1">
        <f t="array" ref="AK54:AO73">$AD$6:$AH$25</f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 x14ac:dyDescent="0.3">
      <c r="J55" s="9">
        <v>51</v>
      </c>
      <c r="K55" s="16" t="s">
        <v>104</v>
      </c>
      <c r="L55" s="16" t="s">
        <v>102</v>
      </c>
      <c r="M55" s="16" t="s">
        <v>35</v>
      </c>
      <c r="N55" s="16" t="s">
        <v>89</v>
      </c>
      <c r="O55" s="16" t="s">
        <v>21</v>
      </c>
      <c r="Q55" s="9">
        <v>6</v>
      </c>
      <c r="R55" s="9">
        <v>17</v>
      </c>
      <c r="S55" s="9">
        <v>8</v>
      </c>
      <c r="T55" s="9">
        <v>14</v>
      </c>
      <c r="U55" s="9">
        <v>2</v>
      </c>
      <c r="W55" s="25" cm="1">
        <f t="array" ref="W55">_xlfn.LET(_xlpm.x, K55:K57, IF(SUM((_xlpm.x="C1")*1)=1, 3, 1))</f>
        <v>1</v>
      </c>
      <c r="X55" s="25" cm="1">
        <f t="array" ref="X55">_xlfn.LET(_xlpm.x, L55:L57, IF(SUM((_xlpm.x="C1")*1)=1, 3, 1))</f>
        <v>1</v>
      </c>
      <c r="Y55" s="25" cm="1">
        <f t="array" ref="Y55">_xlfn.LET(_xlpm.x, M55:M57, IF(SUM((_xlpm.x="C1")*1)=1, 3, 1))</f>
        <v>1</v>
      </c>
      <c r="Z55" s="25" cm="1">
        <f t="array" ref="Z55">_xlfn.LET(_xlpm.x, N55:N57, IF(SUM((_xlpm.x="C1")*1)=1, 3, 1))</f>
        <v>1</v>
      </c>
      <c r="AA55" s="25" cm="1">
        <f t="array" ref="AA55">_xlfn.LET(_xlpm.x, O55:O57, IF(SUM((_xlpm.x="C1")*1)=1, 3, 1))</f>
        <v>1</v>
      </c>
      <c r="AC55" s="133" t="str">
        <v>C1</v>
      </c>
      <c r="AD55" s="211">
        <v>0</v>
      </c>
      <c r="AE55" s="211">
        <v>6</v>
      </c>
      <c r="AF55" s="211">
        <v>0</v>
      </c>
      <c r="AG55" s="211">
        <v>9</v>
      </c>
      <c r="AH55" s="211">
        <v>0</v>
      </c>
      <c r="AI55" s="5"/>
      <c r="AJ55" s="133" t="str">
        <v>C1</v>
      </c>
      <c r="AK55" s="211">
        <v>0</v>
      </c>
      <c r="AL55" s="211">
        <v>6</v>
      </c>
      <c r="AM55" s="211">
        <v>0</v>
      </c>
      <c r="AN55" s="211">
        <v>9</v>
      </c>
      <c r="AO55" s="211">
        <v>0</v>
      </c>
    </row>
    <row r="56" spans="10:41" ht="16.5" customHeight="1" x14ac:dyDescent="0.3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 cm="1">
        <f t="array" ref="W56">_xlfn.LET(_xlpm.x, K56:K58, IF(SUM((_xlpm.x="C1")*1)=1, 3, 1))</f>
        <v>1</v>
      </c>
      <c r="X56" s="25" cm="1">
        <f t="array" ref="X56">_xlfn.LET(_xlpm.x, L56:L58, IF(SUM((_xlpm.x="C1")*1)=1, 3, 1))</f>
        <v>1</v>
      </c>
      <c r="Y56" s="25" cm="1">
        <f t="array" ref="Y56">_xlfn.LET(_xlpm.x, M56:M58, IF(SUM((_xlpm.x="C1")*1)=1, 3, 1))</f>
        <v>1</v>
      </c>
      <c r="Z56" s="25" cm="1">
        <f t="array" ref="Z56">_xlfn.LET(_xlpm.x, N56:N58, IF(SUM((_xlpm.x="C1")*1)=1, 3, 1))</f>
        <v>1</v>
      </c>
      <c r="AA56" s="25" cm="1">
        <f t="array" ref="AA56">_xlfn.LET(_xlpm.x, O56:O58, IF(SUM((_xlpm.x="C1")*1)=1, 3, 1))</f>
        <v>1</v>
      </c>
      <c r="AC56" s="148" t="str">
        <v>M1</v>
      </c>
      <c r="AD56" s="128">
        <v>4</v>
      </c>
      <c r="AE56" s="128">
        <v>14</v>
      </c>
      <c r="AF56" s="128">
        <v>4</v>
      </c>
      <c r="AG56" s="128">
        <v>21</v>
      </c>
      <c r="AH56" s="128">
        <v>22</v>
      </c>
      <c r="AI56" s="5"/>
      <c r="AJ56" s="148" t="str">
        <v>M1</v>
      </c>
      <c r="AK56" s="128">
        <v>4</v>
      </c>
      <c r="AL56" s="128">
        <v>14</v>
      </c>
      <c r="AM56" s="128">
        <v>4</v>
      </c>
      <c r="AN56" s="128">
        <v>21</v>
      </c>
      <c r="AO56" s="128">
        <v>22</v>
      </c>
    </row>
    <row r="57" spans="10:41" ht="16.5" customHeight="1" x14ac:dyDescent="0.3">
      <c r="J57" s="9">
        <v>53</v>
      </c>
      <c r="K57" s="16" t="s">
        <v>37</v>
      </c>
      <c r="L57" s="16" t="s">
        <v>34</v>
      </c>
      <c r="M57" s="16" t="s">
        <v>104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 cm="1">
        <f t="array" ref="W57">_xlfn.LET(_xlpm.x, K57:K59, IF(SUM((_xlpm.x="C1")*1)=1, 3, 1))</f>
        <v>1</v>
      </c>
      <c r="X57" s="25" cm="1">
        <f t="array" ref="X57">_xlfn.LET(_xlpm.x, L57:L59, IF(SUM((_xlpm.x="C1")*1)=1, 3, 1))</f>
        <v>1</v>
      </c>
      <c r="Y57" s="25" cm="1">
        <f t="array" ref="Y57">_xlfn.LET(_xlpm.x, M57:M59, IF(SUM((_xlpm.x="C1")*1)=1, 3, 1))</f>
        <v>1</v>
      </c>
      <c r="Z57" s="25" cm="1">
        <f t="array" ref="Z57">_xlfn.LET(_xlpm.x, N57:N59, IF(SUM((_xlpm.x="C1")*1)=1, 3, 1))</f>
        <v>1</v>
      </c>
      <c r="AA57" s="25" cm="1">
        <f t="array" ref="AA57">_xlfn.LET(_xlpm.x, O57:O59, IF(SUM((_xlpm.x="C1")*1)=1, 3, 1))</f>
        <v>1</v>
      </c>
      <c r="AC57" s="148" t="str">
        <v>M2</v>
      </c>
      <c r="AD57" s="128">
        <v>4</v>
      </c>
      <c r="AE57" s="128">
        <v>13</v>
      </c>
      <c r="AF57" s="128">
        <v>4</v>
      </c>
      <c r="AG57" s="128">
        <v>20</v>
      </c>
      <c r="AH57" s="128">
        <v>22</v>
      </c>
      <c r="AI57" s="5"/>
      <c r="AJ57" s="148" t="str">
        <v>M2</v>
      </c>
      <c r="AK57" s="128">
        <v>4</v>
      </c>
      <c r="AL57" s="128">
        <v>13</v>
      </c>
      <c r="AM57" s="128">
        <v>4</v>
      </c>
      <c r="AN57" s="128">
        <v>20</v>
      </c>
      <c r="AO57" s="128">
        <v>22</v>
      </c>
    </row>
    <row r="58" spans="10:41" ht="16.5" customHeight="1" x14ac:dyDescent="0.3">
      <c r="J58" s="25">
        <v>54</v>
      </c>
      <c r="K58" s="16" t="s">
        <v>37</v>
      </c>
      <c r="L58" s="16" t="s">
        <v>88</v>
      </c>
      <c r="M58" s="16" t="s">
        <v>35</v>
      </c>
      <c r="N58" s="16" t="s">
        <v>86</v>
      </c>
      <c r="O58" s="16" t="s">
        <v>21</v>
      </c>
      <c r="Q58" s="9">
        <v>7</v>
      </c>
      <c r="R58" s="9">
        <v>13</v>
      </c>
      <c r="S58" s="9">
        <v>8</v>
      </c>
      <c r="T58" s="9">
        <v>11</v>
      </c>
      <c r="U58" s="9">
        <v>2</v>
      </c>
      <c r="W58" s="25" cm="1">
        <f t="array" ref="W58">_xlfn.LET(_xlpm.x, K58:K60, IF(SUM((_xlpm.x="C1")*1)=1, 3, 1))</f>
        <v>1</v>
      </c>
      <c r="X58" s="25" cm="1">
        <f t="array" ref="X58">_xlfn.LET(_xlpm.x, L58:L60, IF(SUM((_xlpm.x="C1")*1)=1, 3, 1))</f>
        <v>1</v>
      </c>
      <c r="Y58" s="25" cm="1">
        <f t="array" ref="Y58">_xlfn.LET(_xlpm.x, M58:M60, IF(SUM((_xlpm.x="C1")*1)=1, 3, 1))</f>
        <v>1</v>
      </c>
      <c r="Z58" s="25" cm="1">
        <f t="array" ref="Z58">_xlfn.LET(_xlpm.x, N58:N60, IF(SUM((_xlpm.x="C1")*1)=1, 3, 1))</f>
        <v>1</v>
      </c>
      <c r="AA58" s="25" cm="1">
        <f t="array" ref="AA58">_xlfn.LET(_xlpm.x, O58:O60, IF(SUM((_xlpm.x="C1")*1)=1, 3, 1))</f>
        <v>1</v>
      </c>
      <c r="AC58" s="148" t="str">
        <v>M3</v>
      </c>
      <c r="AD58" s="128">
        <v>4</v>
      </c>
      <c r="AE58" s="128">
        <v>13</v>
      </c>
      <c r="AF58" s="128">
        <v>4</v>
      </c>
      <c r="AG58" s="128">
        <v>20</v>
      </c>
      <c r="AH58" s="128">
        <v>21</v>
      </c>
      <c r="AI58" s="5"/>
      <c r="AJ58" s="148" t="str">
        <v>M3</v>
      </c>
      <c r="AK58" s="128">
        <v>4</v>
      </c>
      <c r="AL58" s="128">
        <v>13</v>
      </c>
      <c r="AM58" s="128">
        <v>4</v>
      </c>
      <c r="AN58" s="128">
        <v>20</v>
      </c>
      <c r="AO58" s="128">
        <v>21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 cm="1">
        <f t="array" ref="W59">_xlfn.LET(_xlpm.x, K59:K61, IF(SUM((_xlpm.x="C1")*1)=1, 3, 1))</f>
        <v>1</v>
      </c>
      <c r="X59" s="25" cm="1">
        <f t="array" ref="X59">_xlfn.LET(_xlpm.x, L59:L61, IF(SUM((_xlpm.x="C1")*1)=1, 3, 1))</f>
        <v>1</v>
      </c>
      <c r="Y59" s="25" cm="1">
        <f t="array" ref="Y59">_xlfn.LET(_xlpm.x, M59:M61, IF(SUM((_xlpm.x="C1")*1)=1, 3, 1))</f>
        <v>1</v>
      </c>
      <c r="Z59" s="25" cm="1">
        <f t="array" ref="Z59">_xlfn.LET(_xlpm.x, N59:N61, IF(SUM((_xlpm.x="C1")*1)=1, 3, 1))</f>
        <v>1</v>
      </c>
      <c r="AA59" s="25" cm="1">
        <f t="array" ref="AA59">_xlfn.LET(_xlpm.x, O59:O61, IF(SUM((_xlpm.x="C1")*1)=1, 3, 1))</f>
        <v>1</v>
      </c>
      <c r="AC59" s="148" t="str">
        <v>M4</v>
      </c>
      <c r="AD59" s="128">
        <v>40</v>
      </c>
      <c r="AE59" s="128">
        <v>9</v>
      </c>
      <c r="AF59" s="128">
        <v>41</v>
      </c>
      <c r="AG59" s="128">
        <v>14</v>
      </c>
      <c r="AH59" s="128">
        <v>21</v>
      </c>
      <c r="AI59" s="5"/>
      <c r="AJ59" s="148" t="str">
        <v>M4</v>
      </c>
      <c r="AK59" s="128">
        <v>40</v>
      </c>
      <c r="AL59" s="128">
        <v>9</v>
      </c>
      <c r="AM59" s="128">
        <v>41</v>
      </c>
      <c r="AN59" s="128">
        <v>14</v>
      </c>
      <c r="AO59" s="128">
        <v>21</v>
      </c>
    </row>
    <row r="60" spans="10:41" ht="16.5" customHeight="1" x14ac:dyDescent="0.3">
      <c r="J60" s="25">
        <v>56</v>
      </c>
      <c r="K60" s="16" t="s">
        <v>19</v>
      </c>
      <c r="L60" s="16" t="s">
        <v>89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 cm="1">
        <f t="array" ref="W60">_xlfn.LET(_xlpm.x, K60:K62, IF(SUM((_xlpm.x="C1")*1)=1, 3, 1))</f>
        <v>1</v>
      </c>
      <c r="X60" s="25" cm="1">
        <f t="array" ref="X60">_xlfn.LET(_xlpm.x, L60:L62, IF(SUM((_xlpm.x="C1")*1)=1, 3, 1))</f>
        <v>1</v>
      </c>
      <c r="Y60" s="25" cm="1">
        <f t="array" ref="Y60">_xlfn.LET(_xlpm.x, M60:M62, IF(SUM((_xlpm.x="C1")*1)=1, 3, 1))</f>
        <v>1</v>
      </c>
      <c r="Z60" s="25" cm="1">
        <f t="array" ref="Z60">_xlfn.LET(_xlpm.x, N60:N62, IF(SUM((_xlpm.x="C1")*1)=1, 3, 1))</f>
        <v>1</v>
      </c>
      <c r="AA60" s="25" cm="1">
        <f t="array" ref="AA60">_xlfn.LET(_xlpm.x, O60:O62, IF(SUM((_xlpm.x="C1")*1)=1, 3, 1))</f>
        <v>1</v>
      </c>
      <c r="AC60" s="148" t="str">
        <v>M5</v>
      </c>
      <c r="AD60" s="128">
        <v>40</v>
      </c>
      <c r="AE60" s="128">
        <v>13</v>
      </c>
      <c r="AF60" s="128">
        <v>41</v>
      </c>
      <c r="AG60" s="128">
        <v>14</v>
      </c>
      <c r="AH60" s="128">
        <v>21</v>
      </c>
      <c r="AI60" s="5"/>
      <c r="AJ60" s="148" t="str">
        <v>M5</v>
      </c>
      <c r="AK60" s="128">
        <v>40</v>
      </c>
      <c r="AL60" s="128">
        <v>13</v>
      </c>
      <c r="AM60" s="128">
        <v>41</v>
      </c>
      <c r="AN60" s="128">
        <v>14</v>
      </c>
      <c r="AO60" s="128">
        <v>21</v>
      </c>
    </row>
    <row r="61" spans="10:41" x14ac:dyDescent="0.3">
      <c r="J61" s="9">
        <v>57</v>
      </c>
      <c r="K61" s="16" t="s">
        <v>104</v>
      </c>
      <c r="L61" s="16" t="s">
        <v>89</v>
      </c>
      <c r="M61" s="16" t="s">
        <v>104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 cm="1">
        <f t="array" ref="W61">_xlfn.LET(_xlpm.x, K61:K63, IF(SUM((_xlpm.x="C1")*1)=1, 3, 1))</f>
        <v>1</v>
      </c>
      <c r="X61" s="25" cm="1">
        <f t="array" ref="X61">_xlfn.LET(_xlpm.x, L61:L63, IF(SUM((_xlpm.x="C1")*1)=1, 3, 1))</f>
        <v>1</v>
      </c>
      <c r="Y61" s="25" cm="1">
        <f t="array" ref="Y61">_xlfn.LET(_xlpm.x, M61:M63, IF(SUM((_xlpm.x="C1")*1)=1, 3, 1))</f>
        <v>3</v>
      </c>
      <c r="Z61" s="25" cm="1">
        <f t="array" ref="Z61">_xlfn.LET(_xlpm.x, N61:N63, IF(SUM((_xlpm.x="C1")*1)=1, 3, 1))</f>
        <v>1</v>
      </c>
      <c r="AA61" s="25" cm="1">
        <f t="array" ref="AA61">_xlfn.LET(_xlpm.x, O61:O63, IF(SUM((_xlpm.x="C1")*1)=1, 3, 1))</f>
        <v>1</v>
      </c>
      <c r="AC61" s="148" t="str">
        <v>A</v>
      </c>
      <c r="AD61" s="128">
        <v>47</v>
      </c>
      <c r="AE61" s="128">
        <v>10</v>
      </c>
      <c r="AF61" s="128">
        <v>41</v>
      </c>
      <c r="AG61" s="128">
        <v>14</v>
      </c>
      <c r="AH61" s="128">
        <v>21</v>
      </c>
      <c r="AI61" s="5"/>
      <c r="AJ61" s="148" t="str">
        <v>A</v>
      </c>
      <c r="AK61" s="128">
        <v>47</v>
      </c>
      <c r="AL61" s="128">
        <v>10</v>
      </c>
      <c r="AM61" s="128">
        <v>41</v>
      </c>
      <c r="AN61" s="128">
        <v>14</v>
      </c>
      <c r="AO61" s="128">
        <v>21</v>
      </c>
    </row>
    <row r="62" spans="10:41" x14ac:dyDescent="0.3">
      <c r="J62" s="25">
        <v>58</v>
      </c>
      <c r="K62" s="16" t="s">
        <v>36</v>
      </c>
      <c r="L62" s="16" t="s">
        <v>34</v>
      </c>
      <c r="M62" s="16" t="s">
        <v>104</v>
      </c>
      <c r="N62" s="16" t="s">
        <v>102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 cm="1">
        <f t="array" ref="W62">_xlfn.LET(_xlpm.x, K62:K64, IF(SUM((_xlpm.x="C1")*1)=1, 3, 1))</f>
        <v>1</v>
      </c>
      <c r="X62" s="25" cm="1">
        <f t="array" ref="X62">_xlfn.LET(_xlpm.x, L62:L64, IF(SUM((_xlpm.x="C1")*1)=1, 3, 1))</f>
        <v>1</v>
      </c>
      <c r="Y62" s="25" cm="1">
        <f t="array" ref="Y62">_xlfn.LET(_xlpm.x, M62:M64, IF(SUM((_xlpm.x="C1")*1)=1, 3, 1))</f>
        <v>3</v>
      </c>
      <c r="Z62" s="25" cm="1">
        <f t="array" ref="Z62">_xlfn.LET(_xlpm.x, N62:N64, IF(SUM((_xlpm.x="C1")*1)=1, 3, 1))</f>
        <v>1</v>
      </c>
      <c r="AA62" s="25" cm="1">
        <f t="array" ref="AA62">_xlfn.LET(_xlpm.x, O62:O64, IF(SUM((_xlpm.x="C1")*1)=1, 3, 1))</f>
        <v>1</v>
      </c>
      <c r="AC62" s="148" t="str">
        <v>K</v>
      </c>
      <c r="AD62" s="128">
        <v>47</v>
      </c>
      <c r="AE62" s="128">
        <v>10</v>
      </c>
      <c r="AF62" s="128">
        <v>41</v>
      </c>
      <c r="AG62" s="128">
        <v>14</v>
      </c>
      <c r="AH62" s="128">
        <v>21</v>
      </c>
      <c r="AI62" s="5"/>
      <c r="AJ62" s="148" t="str">
        <v>K</v>
      </c>
      <c r="AK62" s="128">
        <v>47</v>
      </c>
      <c r="AL62" s="128">
        <v>10</v>
      </c>
      <c r="AM62" s="128">
        <v>41</v>
      </c>
      <c r="AN62" s="128">
        <v>14</v>
      </c>
      <c r="AO62" s="128">
        <v>21</v>
      </c>
    </row>
    <row r="63" spans="10:41" ht="16.5" customHeight="1" x14ac:dyDescent="0.3">
      <c r="J63" s="9">
        <v>59</v>
      </c>
      <c r="K63" s="16" t="s">
        <v>35</v>
      </c>
      <c r="L63" s="16" t="s">
        <v>88</v>
      </c>
      <c r="M63" s="16" t="s">
        <v>20</v>
      </c>
      <c r="N63" s="16" t="s">
        <v>93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 cm="1">
        <f t="array" ref="W63">_xlfn.LET(_xlpm.x, K63:K65, IF(SUM((_xlpm.x="C1")*1)=1, 3, 1))</f>
        <v>1</v>
      </c>
      <c r="X63" s="25" cm="1">
        <f t="array" ref="X63">_xlfn.LET(_xlpm.x, L63:L65, IF(SUM((_xlpm.x="C1")*1)=1, 3, 1))</f>
        <v>1</v>
      </c>
      <c r="Y63" s="25" cm="1">
        <f t="array" ref="Y63">_xlfn.LET(_xlpm.x, M63:M65, IF(SUM((_xlpm.x="C1")*1)=1, 3, 1))</f>
        <v>3</v>
      </c>
      <c r="Z63" s="25" cm="1">
        <f t="array" ref="Z63">_xlfn.LET(_xlpm.x, N63:N65, IF(SUM((_xlpm.x="C1")*1)=1, 3, 1))</f>
        <v>1</v>
      </c>
      <c r="AA63" s="25" cm="1">
        <f t="array" ref="AA63">_xlfn.LET(_xlpm.x, O63:O65, IF(SUM((_xlpm.x="C1")*1)=1, 3, 1))</f>
        <v>1</v>
      </c>
      <c r="AC63" s="148" t="str">
        <v>Q</v>
      </c>
      <c r="AD63" s="128">
        <v>4</v>
      </c>
      <c r="AE63" s="128">
        <v>15</v>
      </c>
      <c r="AF63" s="128">
        <v>3</v>
      </c>
      <c r="AG63" s="128">
        <v>21</v>
      </c>
      <c r="AH63" s="128">
        <v>21</v>
      </c>
      <c r="AI63" s="5"/>
      <c r="AJ63" s="148" t="str">
        <v>Q</v>
      </c>
      <c r="AK63" s="128">
        <v>4</v>
      </c>
      <c r="AL63" s="128">
        <v>15</v>
      </c>
      <c r="AM63" s="128">
        <v>3</v>
      </c>
      <c r="AN63" s="128">
        <v>21</v>
      </c>
      <c r="AO63" s="128">
        <v>21</v>
      </c>
    </row>
    <row r="64" spans="10:41" ht="16.5" customHeight="1" x14ac:dyDescent="0.3">
      <c r="J64" s="25">
        <v>60</v>
      </c>
      <c r="K64" s="16" t="s">
        <v>104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 cm="1">
        <f t="array" ref="W64">_xlfn.LET(_xlpm.x, K64:K66, IF(SUM((_xlpm.x="C1")*1)=1, 3, 1))</f>
        <v>1</v>
      </c>
      <c r="X64" s="25" cm="1">
        <f t="array" ref="X64">_xlfn.LET(_xlpm.x, L64:L66, IF(SUM((_xlpm.x="C1")*1)=1, 3, 1))</f>
        <v>1</v>
      </c>
      <c r="Y64" s="25" cm="1">
        <f t="array" ref="Y64">_xlfn.LET(_xlpm.x, M64:M66, IF(SUM((_xlpm.x="C1")*1)=1, 3, 1))</f>
        <v>1</v>
      </c>
      <c r="Z64" s="25" cm="1">
        <f t="array" ref="Z64">_xlfn.LET(_xlpm.x, N64:N66, IF(SUM((_xlpm.x="C1")*1)=1, 3, 1))</f>
        <v>1</v>
      </c>
      <c r="AA64" s="25" cm="1">
        <f t="array" ref="AA64">_xlfn.LET(_xlpm.x, O64:O66, IF(SUM((_xlpm.x="C1")*1)=1, 3, 1))</f>
        <v>1</v>
      </c>
      <c r="AC64" s="148" t="str">
        <v>J</v>
      </c>
      <c r="AD64" s="128">
        <v>4</v>
      </c>
      <c r="AE64" s="128">
        <v>17</v>
      </c>
      <c r="AF64" s="128">
        <v>3</v>
      </c>
      <c r="AG64" s="128">
        <v>21</v>
      </c>
      <c r="AH64" s="128">
        <v>21</v>
      </c>
      <c r="AI64" s="5"/>
      <c r="AJ64" s="148" t="str">
        <v>J</v>
      </c>
      <c r="AK64" s="128">
        <v>4</v>
      </c>
      <c r="AL64" s="128">
        <v>17</v>
      </c>
      <c r="AM64" s="128">
        <v>3</v>
      </c>
      <c r="AN64" s="128">
        <v>21</v>
      </c>
      <c r="AO64" s="128">
        <v>21</v>
      </c>
    </row>
    <row r="65" spans="10:41" ht="16.5" customHeight="1" x14ac:dyDescent="0.3">
      <c r="J65" s="9">
        <v>61</v>
      </c>
      <c r="K65" s="16" t="s">
        <v>37</v>
      </c>
      <c r="L65" s="16" t="s">
        <v>36</v>
      </c>
      <c r="M65" s="16" t="s">
        <v>89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 cm="1">
        <f t="array" ref="W65">_xlfn.LET(_xlpm.x, K65:K67, IF(SUM((_xlpm.x="C1")*1)=1, 3, 1))</f>
        <v>1</v>
      </c>
      <c r="X65" s="25" cm="1">
        <f t="array" ref="X65">_xlfn.LET(_xlpm.x, L65:L67, IF(SUM((_xlpm.x="C1")*1)=1, 3, 1))</f>
        <v>1</v>
      </c>
      <c r="Y65" s="25" cm="1">
        <f t="array" ref="Y65">_xlfn.LET(_xlpm.x, M65:M67, IF(SUM((_xlpm.x="C1")*1)=1, 3, 1))</f>
        <v>1</v>
      </c>
      <c r="Z65" s="25" cm="1">
        <f t="array" ref="Z65">_xlfn.LET(_xlpm.x, N65:N67, IF(SUM((_xlpm.x="C1")*1)=1, 3, 1))</f>
        <v>1</v>
      </c>
      <c r="AA65" s="25" cm="1">
        <f t="array" ref="AA65">_xlfn.LET(_xlpm.x, O65:O67, IF(SUM((_xlpm.x="C1")*1)=1, 3, 1))</f>
        <v>1</v>
      </c>
      <c r="AC65" s="133" t="str">
        <v>G1</v>
      </c>
      <c r="AD65" s="98">
        <v>0</v>
      </c>
      <c r="AE65" s="98">
        <v>15</v>
      </c>
      <c r="AF65" s="98">
        <v>0</v>
      </c>
      <c r="AG65" s="98">
        <v>6</v>
      </c>
      <c r="AH65" s="98">
        <v>0</v>
      </c>
      <c r="AI65" s="5"/>
      <c r="AJ65" s="133" t="str">
        <v>G1</v>
      </c>
      <c r="AK65" s="98">
        <v>0</v>
      </c>
      <c r="AL65" s="98">
        <v>15</v>
      </c>
      <c r="AM65" s="98">
        <v>0</v>
      </c>
      <c r="AN65" s="98">
        <v>6</v>
      </c>
      <c r="AO65" s="98">
        <v>0</v>
      </c>
    </row>
    <row r="66" spans="10:41" ht="16.5" customHeight="1" x14ac:dyDescent="0.3">
      <c r="J66" s="25">
        <v>62</v>
      </c>
      <c r="K66" s="16" t="s">
        <v>21</v>
      </c>
      <c r="L66" s="16" t="s">
        <v>87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12</v>
      </c>
      <c r="S66" s="9">
        <v>5</v>
      </c>
      <c r="T66" s="9">
        <v>9</v>
      </c>
      <c r="U66" s="9">
        <v>9</v>
      </c>
      <c r="W66" s="25" cm="1">
        <f t="array" ref="W66">_xlfn.LET(_xlpm.x, K66:K68, IF(SUM((_xlpm.x="C1")*1)=1, 3, 1))</f>
        <v>1</v>
      </c>
      <c r="X66" s="25" cm="1">
        <f t="array" ref="X66">_xlfn.LET(_xlpm.x, L66:L68, IF(SUM((_xlpm.x="C1")*1)=1, 3, 1))</f>
        <v>1</v>
      </c>
      <c r="Y66" s="25" cm="1">
        <f t="array" ref="Y66">_xlfn.LET(_xlpm.x, M66:M68, IF(SUM((_xlpm.x="C1")*1)=1, 3, 1))</f>
        <v>1</v>
      </c>
      <c r="Z66" s="25" cm="1">
        <f t="array" ref="Z66">_xlfn.LET(_xlpm.x, N66:N68, IF(SUM((_xlpm.x="C1")*1)=1, 3, 1))</f>
        <v>1</v>
      </c>
      <c r="AA66" s="25" cm="1">
        <f t="array" ref="AA66">_xlfn.LET(_xlpm.x, O66:O68, IF(SUM((_xlpm.x="C1")*1)=1, 3, 1))</f>
        <v>1</v>
      </c>
      <c r="AC66" s="133" t="str">
        <v>G2</v>
      </c>
      <c r="AD66" s="98">
        <v>0</v>
      </c>
      <c r="AE66" s="98">
        <v>18</v>
      </c>
      <c r="AF66" s="98">
        <v>0</v>
      </c>
      <c r="AG66" s="98">
        <v>6</v>
      </c>
      <c r="AH66" s="98">
        <v>0</v>
      </c>
      <c r="AI66" s="5"/>
      <c r="AJ66" s="133" t="str">
        <v>G2</v>
      </c>
      <c r="AK66" s="98">
        <v>0</v>
      </c>
      <c r="AL66" s="98">
        <v>18</v>
      </c>
      <c r="AM66" s="98">
        <v>0</v>
      </c>
      <c r="AN66" s="98">
        <v>6</v>
      </c>
      <c r="AO66" s="98">
        <v>0</v>
      </c>
    </row>
    <row r="67" spans="10:41" ht="16.5" customHeight="1" x14ac:dyDescent="0.3">
      <c r="J67" s="9">
        <v>63</v>
      </c>
      <c r="K67" s="16" t="s">
        <v>37</v>
      </c>
      <c r="L67" s="16" t="s">
        <v>93</v>
      </c>
      <c r="M67" s="16" t="s">
        <v>104</v>
      </c>
      <c r="N67" s="16" t="s">
        <v>105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 cm="1">
        <f t="array" ref="W67">_xlfn.LET(_xlpm.x, K67:K69, IF(SUM((_xlpm.x="C1")*1)=1, 3, 1))</f>
        <v>3</v>
      </c>
      <c r="X67" s="25" cm="1">
        <f t="array" ref="X67">_xlfn.LET(_xlpm.x, L67:L69, IF(SUM((_xlpm.x="C1")*1)=1, 3, 1))</f>
        <v>1</v>
      </c>
      <c r="Y67" s="25" cm="1">
        <f t="array" ref="Y67">_xlfn.LET(_xlpm.x, M67:M69, IF(SUM((_xlpm.x="C1")*1)=1, 3, 1))</f>
        <v>1</v>
      </c>
      <c r="Z67" s="25" cm="1">
        <f t="array" ref="Z67">_xlfn.LET(_xlpm.x, N67:N69, IF(SUM((_xlpm.x="C1")*1)=1, 3, 1))</f>
        <v>1</v>
      </c>
      <c r="AA67" s="25" cm="1">
        <f t="array" ref="AA67">_xlfn.LET(_xlpm.x, O67:O69, IF(SUM((_xlpm.x="C1")*1)=1, 3, 1))</f>
        <v>1</v>
      </c>
      <c r="AC67" s="133" t="str">
        <v>G3</v>
      </c>
      <c r="AD67" s="98">
        <v>0</v>
      </c>
      <c r="AE67" s="98">
        <v>18</v>
      </c>
      <c r="AF67" s="98">
        <v>0</v>
      </c>
      <c r="AG67" s="98">
        <v>6</v>
      </c>
      <c r="AH67" s="98">
        <v>0</v>
      </c>
      <c r="AI67" s="5"/>
      <c r="AJ67" s="133" t="str">
        <v>G3</v>
      </c>
      <c r="AK67" s="98">
        <v>0</v>
      </c>
      <c r="AL67" s="98">
        <v>18</v>
      </c>
      <c r="AM67" s="98">
        <v>0</v>
      </c>
      <c r="AN67" s="98">
        <v>6</v>
      </c>
      <c r="AO67" s="98">
        <v>0</v>
      </c>
    </row>
    <row r="68" spans="10:41" ht="16.5" customHeight="1" x14ac:dyDescent="0.3">
      <c r="J68" s="25">
        <v>64</v>
      </c>
      <c r="K68" s="16" t="s">
        <v>104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 cm="1">
        <f t="array" ref="W68">_xlfn.LET(_xlpm.x, K68:K70, IF(SUM((_xlpm.x="C1")*1)=1, 3, 1))</f>
        <v>3</v>
      </c>
      <c r="X68" s="25" cm="1">
        <f t="array" ref="X68">_xlfn.LET(_xlpm.x, L68:L70, IF(SUM((_xlpm.x="C1")*1)=1, 3, 1))</f>
        <v>1</v>
      </c>
      <c r="Y68" s="25" cm="1">
        <f t="array" ref="Y68">_xlfn.LET(_xlpm.x, M68:M70, IF(SUM((_xlpm.x="C1")*1)=1, 3, 1))</f>
        <v>1</v>
      </c>
      <c r="Z68" s="25" cm="1">
        <f t="array" ref="Z68">_xlfn.LET(_xlpm.x, N68:N70, IF(SUM((_xlpm.x="C1")*1)=1, 3, 1))</f>
        <v>1</v>
      </c>
      <c r="AA68" s="25" cm="1">
        <f t="array" ref="AA68">_xlfn.LET(_xlpm.x, O68:O70, IF(SUM((_xlpm.x="C1")*1)=1, 3, 1))</f>
        <v>1</v>
      </c>
      <c r="AC68" s="133" t="str">
        <v>G4</v>
      </c>
      <c r="AD68" s="98">
        <v>0</v>
      </c>
      <c r="AE68" s="98">
        <v>13</v>
      </c>
      <c r="AF68" s="98">
        <v>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13</v>
      </c>
      <c r="AM68" s="98">
        <v>4</v>
      </c>
      <c r="AN68" s="98">
        <v>4</v>
      </c>
      <c r="AO68" s="98">
        <v>0</v>
      </c>
    </row>
    <row r="69" spans="10:41" ht="16.5" customHeight="1" x14ac:dyDescent="0.3">
      <c r="J69" s="9">
        <v>65</v>
      </c>
      <c r="K69" s="16" t="s">
        <v>20</v>
      </c>
      <c r="L69" s="16" t="s">
        <v>22</v>
      </c>
      <c r="M69" s="16" t="s">
        <v>104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 cm="1">
        <f t="array" ref="W69">_xlfn.LET(_xlpm.x, K69:K71, IF(SUM((_xlpm.x="C1")*1)=1, 3, 1))</f>
        <v>3</v>
      </c>
      <c r="X69" s="25" cm="1">
        <f t="array" ref="X69">_xlfn.LET(_xlpm.x, L69:L71, IF(SUM((_xlpm.x="C1")*1)=1, 3, 1))</f>
        <v>1</v>
      </c>
      <c r="Y69" s="25" cm="1">
        <f t="array" ref="Y69">_xlfn.LET(_xlpm.x, M69:M71, IF(SUM((_xlpm.x="C1")*1)=1, 3, 1))</f>
        <v>1</v>
      </c>
      <c r="Z69" s="25" cm="1">
        <f t="array" ref="Z69">_xlfn.LET(_xlpm.x, N69:N71, IF(SUM((_xlpm.x="C1")*1)=1, 3, 1))</f>
        <v>1</v>
      </c>
      <c r="AA69" s="25" cm="1">
        <f t="array" ref="AA69">_xlfn.LET(_xlpm.x, O69:O71, IF(SUM((_xlpm.x="C1")*1)=1, 3, 1))</f>
        <v>1</v>
      </c>
      <c r="AC69" s="133" t="str">
        <v>G5</v>
      </c>
      <c r="AD69" s="98">
        <v>0</v>
      </c>
      <c r="AE69" s="98">
        <v>7</v>
      </c>
      <c r="AF69" s="98">
        <v>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7</v>
      </c>
      <c r="AM69" s="98">
        <v>4</v>
      </c>
      <c r="AN69" s="98">
        <v>4</v>
      </c>
      <c r="AO69" s="98">
        <v>0</v>
      </c>
    </row>
    <row r="70" spans="10:41" ht="16.5" customHeight="1" x14ac:dyDescent="0.3">
      <c r="J70" s="25">
        <v>66</v>
      </c>
      <c r="K70" s="16" t="s">
        <v>37</v>
      </c>
      <c r="L70" s="16" t="s">
        <v>35</v>
      </c>
      <c r="M70" s="16" t="s">
        <v>105</v>
      </c>
      <c r="N70" s="16" t="s">
        <v>36</v>
      </c>
      <c r="O70" s="16" t="s">
        <v>104</v>
      </c>
      <c r="Q70" s="9">
        <v>7</v>
      </c>
      <c r="R70" s="9">
        <v>8</v>
      </c>
      <c r="S70" s="9">
        <v>15</v>
      </c>
      <c r="T70" s="9">
        <v>10</v>
      </c>
      <c r="U70" s="9">
        <v>6</v>
      </c>
      <c r="W70" s="25" cm="1">
        <f t="array" ref="W70">_xlfn.LET(_xlpm.x, K70:K72, IF(SUM((_xlpm.x="C1")*1)=1, 3, 1))</f>
        <v>1</v>
      </c>
      <c r="X70" s="25" cm="1">
        <f t="array" ref="X70">_xlfn.LET(_xlpm.x, L70:L72, IF(SUM((_xlpm.x="C1")*1)=1, 3, 1))</f>
        <v>3</v>
      </c>
      <c r="Y70" s="25" cm="1">
        <f t="array" ref="Y70">_xlfn.LET(_xlpm.x, M70:M72, IF(SUM((_xlpm.x="C1")*1)=1, 3, 1))</f>
        <v>1</v>
      </c>
      <c r="Z70" s="25" cm="1">
        <f t="array" ref="Z70">_xlfn.LET(_xlpm.x, N70:N72, IF(SUM((_xlpm.x="C1")*1)=1, 3, 1))</f>
        <v>1</v>
      </c>
      <c r="AA70" s="25" cm="1">
        <f t="array" ref="AA70">_xlfn.LET(_xlpm.x, O70:O72, IF(SUM((_xlpm.x="C1")*1)=1, 3, 1))</f>
        <v>1</v>
      </c>
      <c r="AC70" s="133" t="str">
        <v>GA</v>
      </c>
      <c r="AD70" s="98">
        <v>0</v>
      </c>
      <c r="AE70" s="98">
        <v>10</v>
      </c>
      <c r="AF70" s="98">
        <v>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10</v>
      </c>
      <c r="AM70" s="98">
        <v>4</v>
      </c>
      <c r="AN70" s="98">
        <v>4</v>
      </c>
      <c r="AO70" s="98">
        <v>0</v>
      </c>
    </row>
    <row r="71" spans="10:41" ht="16.5" customHeight="1" x14ac:dyDescent="0.3">
      <c r="J71" s="9">
        <v>67</v>
      </c>
      <c r="K71" s="16" t="s">
        <v>36</v>
      </c>
      <c r="L71" s="16" t="s">
        <v>86</v>
      </c>
      <c r="M71" s="16" t="s">
        <v>104</v>
      </c>
      <c r="N71" s="16" t="s">
        <v>86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 cm="1">
        <f t="array" ref="W71">_xlfn.LET(_xlpm.x, K71:K73, IF(SUM((_xlpm.x="C1")*1)=1, 3, 1))</f>
        <v>1</v>
      </c>
      <c r="X71" s="25" cm="1">
        <f t="array" ref="X71">_xlfn.LET(_xlpm.x, L71:L73, IF(SUM((_xlpm.x="C1")*1)=1, 3, 1))</f>
        <v>3</v>
      </c>
      <c r="Y71" s="25" cm="1">
        <f t="array" ref="Y71">_xlfn.LET(_xlpm.x, M71:M73, IF(SUM((_xlpm.x="C1")*1)=1, 3, 1))</f>
        <v>1</v>
      </c>
      <c r="Z71" s="25" cm="1">
        <f t="array" ref="Z71">_xlfn.LET(_xlpm.x, N71:N73, IF(SUM((_xlpm.x="C1")*1)=1, 3, 1))</f>
        <v>1</v>
      </c>
      <c r="AA71" s="25" cm="1">
        <f t="array" ref="AA71">_xlfn.LET(_xlpm.x, O71:O73, IF(SUM((_xlpm.x="C1")*1)=1, 3, 1))</f>
        <v>1</v>
      </c>
      <c r="AC71" s="133" t="str">
        <v>GK</v>
      </c>
      <c r="AD71" s="98">
        <v>0</v>
      </c>
      <c r="AE71" s="98">
        <v>10</v>
      </c>
      <c r="AF71" s="98">
        <v>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10</v>
      </c>
      <c r="AM71" s="98">
        <v>4</v>
      </c>
      <c r="AN71" s="98">
        <v>4</v>
      </c>
      <c r="AO71" s="98">
        <v>0</v>
      </c>
    </row>
    <row r="72" spans="10:41" ht="16.5" customHeight="1" x14ac:dyDescent="0.3">
      <c r="J72" s="25">
        <v>68</v>
      </c>
      <c r="K72" s="16" t="s">
        <v>104</v>
      </c>
      <c r="L72" s="16" t="s">
        <v>20</v>
      </c>
      <c r="M72" s="16" t="s">
        <v>35</v>
      </c>
      <c r="N72" s="16" t="s">
        <v>36</v>
      </c>
      <c r="O72" s="16" t="s">
        <v>104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 cm="1">
        <f t="array" ref="W72">_xlfn.LET(_xlpm.x, K72:K74, IF(SUM((_xlpm.x="C1")*1)=1, 3, 1))</f>
        <v>1</v>
      </c>
      <c r="X72" s="25" cm="1">
        <f t="array" ref="X72">_xlfn.LET(_xlpm.x, L72:L74, IF(SUM((_xlpm.x="C1")*1)=1, 3, 1))</f>
        <v>3</v>
      </c>
      <c r="Y72" s="25" cm="1">
        <f t="array" ref="Y72">_xlfn.LET(_xlpm.x, M72:M74, IF(SUM((_xlpm.x="C1")*1)=1, 3, 1))</f>
        <v>1</v>
      </c>
      <c r="Z72" s="25" cm="1">
        <f t="array" ref="Z72">_xlfn.LET(_xlpm.x, N72:N74, IF(SUM((_xlpm.x="C1")*1)=1, 3, 1))</f>
        <v>1</v>
      </c>
      <c r="AA72" s="25" cm="1">
        <f t="array" ref="AA72">_xlfn.LET(_xlpm.x, O72:O74, IF(SUM((_xlpm.x="C1")*1)=1, 3, 1))</f>
        <v>1</v>
      </c>
      <c r="AC72" s="133" t="str">
        <v>GQ</v>
      </c>
      <c r="AD72" s="98">
        <v>0</v>
      </c>
      <c r="AE72" s="98">
        <v>15</v>
      </c>
      <c r="AF72" s="98">
        <v>0</v>
      </c>
      <c r="AG72" s="98">
        <v>6</v>
      </c>
      <c r="AH72" s="98">
        <v>0</v>
      </c>
      <c r="AI72" s="5"/>
      <c r="AJ72" s="133" t="str">
        <v>GQ</v>
      </c>
      <c r="AK72" s="98">
        <v>0</v>
      </c>
      <c r="AL72" s="98">
        <v>15</v>
      </c>
      <c r="AM72" s="98">
        <v>0</v>
      </c>
      <c r="AN72" s="98">
        <v>6</v>
      </c>
      <c r="AO72" s="98">
        <v>0</v>
      </c>
    </row>
    <row r="73" spans="10:41" ht="16.5" customHeight="1" x14ac:dyDescent="0.3">
      <c r="J73" s="9">
        <v>69</v>
      </c>
      <c r="K73" s="16" t="s">
        <v>36</v>
      </c>
      <c r="L73" s="16" t="s">
        <v>95</v>
      </c>
      <c r="M73" s="16" t="s">
        <v>104</v>
      </c>
      <c r="N73" s="16" t="s">
        <v>104</v>
      </c>
      <c r="O73" s="16" t="s">
        <v>37</v>
      </c>
      <c r="Q73" s="9">
        <v>10</v>
      </c>
      <c r="R73" s="9">
        <v>19</v>
      </c>
      <c r="S73" s="9">
        <v>6</v>
      </c>
      <c r="T73" s="9">
        <v>6</v>
      </c>
      <c r="U73" s="9">
        <v>7</v>
      </c>
      <c r="W73" s="25" cm="1">
        <f t="array" ref="W73">_xlfn.LET(_xlpm.x, K73:K75, IF(SUM((_xlpm.x="C1")*1)=1, 3, 1))</f>
        <v>1</v>
      </c>
      <c r="X73" s="25" cm="1">
        <f t="array" ref="X73">_xlfn.LET(_xlpm.x, L73:L75, IF(SUM((_xlpm.x="C1")*1)=1, 3, 1))</f>
        <v>1</v>
      </c>
      <c r="Y73" s="25" cm="1">
        <f t="array" ref="Y73">_xlfn.LET(_xlpm.x, M73:M75, IF(SUM((_xlpm.x="C1")*1)=1, 3, 1))</f>
        <v>1</v>
      </c>
      <c r="Z73" s="25" cm="1">
        <f t="array" ref="Z73">_xlfn.LET(_xlpm.x, N73:N75, IF(SUM((_xlpm.x="C1")*1)=1, 3, 1))</f>
        <v>3</v>
      </c>
      <c r="AA73" s="25" cm="1">
        <f t="array" ref="AA73">_xlfn.LET(_xlpm.x, O73:O75, IF(SUM((_xlpm.x="C1")*1)=1, 3, 1))</f>
        <v>1</v>
      </c>
      <c r="AC73" s="133" t="str">
        <v>GJ</v>
      </c>
      <c r="AD73" s="98">
        <v>0</v>
      </c>
      <c r="AE73" s="98">
        <v>12</v>
      </c>
      <c r="AF73" s="98">
        <v>0</v>
      </c>
      <c r="AG73" s="98">
        <v>6</v>
      </c>
      <c r="AH73" s="98">
        <v>0</v>
      </c>
      <c r="AI73" s="5"/>
      <c r="AJ73" s="133" t="str">
        <v>GJ</v>
      </c>
      <c r="AK73" s="98">
        <v>0</v>
      </c>
      <c r="AL73" s="98">
        <v>12</v>
      </c>
      <c r="AM73" s="98">
        <v>0</v>
      </c>
      <c r="AN73" s="98">
        <v>6</v>
      </c>
      <c r="AO73" s="98">
        <v>0</v>
      </c>
    </row>
    <row r="74" spans="10:41" ht="16.5" customHeight="1" x14ac:dyDescent="0.3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 cm="1">
        <f t="array" ref="W74">_xlfn.LET(_xlpm.x, K74:K76, IF(SUM((_xlpm.x="C1")*1)=1, 3, 1))</f>
        <v>1</v>
      </c>
      <c r="X74" s="25" cm="1">
        <f t="array" ref="X74">_xlfn.LET(_xlpm.x, L74:L76, IF(SUM((_xlpm.x="C1")*1)=1, 3, 1))</f>
        <v>1</v>
      </c>
      <c r="Y74" s="25" cm="1">
        <f t="array" ref="Y74">_xlfn.LET(_xlpm.x, M74:M76, IF(SUM((_xlpm.x="C1")*1)=1, 3, 1))</f>
        <v>1</v>
      </c>
      <c r="Z74" s="25" cm="1">
        <f t="array" ref="Z74">_xlfn.LET(_xlpm.x, N74:N76, IF(SUM((_xlpm.x="C1")*1)=1, 3, 1))</f>
        <v>3</v>
      </c>
      <c r="AA74" s="25" cm="1">
        <f t="array" ref="AA74">_xlfn.LET(_xlpm.x, O74:O76, IF(SUM((_xlpm.x="C1")*1)=1, 3, 1))</f>
        <v>1</v>
      </c>
      <c r="AD74" s="109">
        <f>SUM(AD54:AD73)</f>
        <v>194</v>
      </c>
      <c r="AE74" s="109">
        <f>SUM(AE54:AE73)</f>
        <v>238</v>
      </c>
      <c r="AF74" s="109">
        <f>SUM(AF54:AF73)</f>
        <v>198</v>
      </c>
      <c r="AG74" s="109">
        <f>SUM(AG54:AG73)</f>
        <v>214</v>
      </c>
      <c r="AH74" s="109">
        <f>SUM(AH54:AH73)</f>
        <v>191</v>
      </c>
      <c r="AI74" s="5"/>
      <c r="AK74" s="109">
        <f>SUM(AK54:AK73)</f>
        <v>194</v>
      </c>
      <c r="AL74" s="109">
        <f>SUM(AL54:AL73)</f>
        <v>238</v>
      </c>
      <c r="AM74" s="109">
        <f>SUM(AM54:AM73)</f>
        <v>198</v>
      </c>
      <c r="AN74" s="109">
        <f>SUM(AN54:AN73)</f>
        <v>214</v>
      </c>
      <c r="AO74" s="109">
        <f>SUM(AO54:AO73)</f>
        <v>191</v>
      </c>
    </row>
    <row r="75" spans="10:41" ht="16.5" customHeight="1" x14ac:dyDescent="0.3">
      <c r="J75" s="9">
        <v>71</v>
      </c>
      <c r="K75" s="16" t="s">
        <v>19</v>
      </c>
      <c r="L75" s="16" t="s">
        <v>22</v>
      </c>
      <c r="M75" s="16" t="s">
        <v>104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 cm="1">
        <f t="array" ref="W75">_xlfn.LET(_xlpm.x, K75:K77, IF(SUM((_xlpm.x="C1")*1)=1, 3, 1))</f>
        <v>1</v>
      </c>
      <c r="X75" s="25" cm="1">
        <f t="array" ref="X75">_xlfn.LET(_xlpm.x, L75:L77, IF(SUM((_xlpm.x="C1")*1)=1, 3, 1))</f>
        <v>1</v>
      </c>
      <c r="Y75" s="25" cm="1">
        <f t="array" ref="Y75">_xlfn.LET(_xlpm.x, M75:M77, IF(SUM((_xlpm.x="C1")*1)=1, 3, 1))</f>
        <v>1</v>
      </c>
      <c r="Z75" s="25" cm="1">
        <f t="array" ref="Z75">_xlfn.LET(_xlpm.x, N75:N77, IF(SUM((_xlpm.x="C1")*1)=1, 3, 1))</f>
        <v>3</v>
      </c>
      <c r="AA75" s="25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34</v>
      </c>
      <c r="L76" s="16" t="s">
        <v>87</v>
      </c>
      <c r="M76" s="16" t="s">
        <v>89</v>
      </c>
      <c r="N76" s="16" t="s">
        <v>86</v>
      </c>
      <c r="O76" s="16" t="s">
        <v>37</v>
      </c>
      <c r="Q76" s="9">
        <v>9</v>
      </c>
      <c r="R76" s="9">
        <v>12</v>
      </c>
      <c r="S76" s="9">
        <v>14</v>
      </c>
      <c r="T76" s="9">
        <v>11</v>
      </c>
      <c r="U76" s="9">
        <v>7</v>
      </c>
      <c r="W76" s="25" cm="1">
        <f t="array" ref="W76">_xlfn.LET(_xlpm.x, K76:K78, IF(SUM((_xlpm.x="C1")*1)=1, 3, 1))</f>
        <v>1</v>
      </c>
      <c r="X76" s="25" cm="1">
        <f t="array" ref="X76">_xlfn.LET(_xlpm.x, L76:L78, IF(SUM((_xlpm.x="C1")*1)=1, 3, 1))</f>
        <v>1</v>
      </c>
      <c r="Y76" s="25" cm="1">
        <f t="array" ref="Y76">_xlfn.LET(_xlpm.x, M76:M78, IF(SUM((_xlpm.x="C1")*1)=1, 3, 1))</f>
        <v>1</v>
      </c>
      <c r="Z76" s="25" cm="1">
        <f t="array" ref="Z76">_xlfn.LET(_xlpm.x, N76:N78, IF(SUM((_xlpm.x="C1")*1)=1, 3, 1))</f>
        <v>1</v>
      </c>
      <c r="AA76" s="25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19</v>
      </c>
      <c r="L77" s="16" t="s">
        <v>89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 cm="1">
        <f t="array" ref="W77">_xlfn.LET(_xlpm.x, K77:K79, IF(SUM((_xlpm.x="C1")*1)=1, 3, 1))</f>
        <v>1</v>
      </c>
      <c r="X77" s="25" cm="1">
        <f t="array" ref="X77">_xlfn.LET(_xlpm.x, L77:L79, IF(SUM((_xlpm.x="C1")*1)=1, 3, 1))</f>
        <v>1</v>
      </c>
      <c r="Y77" s="25" cm="1">
        <f t="array" ref="Y77">_xlfn.LET(_xlpm.x, M77:M79, IF(SUM((_xlpm.x="C1")*1)=1, 3, 1))</f>
        <v>1</v>
      </c>
      <c r="Z77" s="25" cm="1">
        <f t="array" ref="Z77">_xlfn.LET(_xlpm.x, N77:N79, IF(SUM((_xlpm.x="C1")*1)=1, 3, 1))</f>
        <v>1</v>
      </c>
      <c r="AA77" s="25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37</v>
      </c>
      <c r="L78" s="16" t="s">
        <v>21</v>
      </c>
      <c r="M78" s="16" t="s">
        <v>104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 cm="1">
        <f t="array" ref="W78">_xlfn.LET(_xlpm.x, K78:K80, IF(SUM((_xlpm.x="C1")*1)=1, 3, 1))</f>
        <v>1</v>
      </c>
      <c r="X78" s="25" cm="1">
        <f t="array" ref="X78">_xlfn.LET(_xlpm.x, L78:L80, IF(SUM((_xlpm.x="C1")*1)=1, 3, 1))</f>
        <v>1</v>
      </c>
      <c r="Y78" s="25" cm="1">
        <f t="array" ref="Y78">_xlfn.LET(_xlpm.x, M78:M80, IF(SUM((_xlpm.x="C1")*1)=1, 3, 1))</f>
        <v>1</v>
      </c>
      <c r="Z78" s="25" cm="1">
        <f t="array" ref="Z78">_xlfn.LET(_xlpm.x, N78:N80, IF(SUM((_xlpm.x="C1")*1)=1, 3, 1))</f>
        <v>1</v>
      </c>
      <c r="AA78" s="25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37</v>
      </c>
      <c r="L79" s="16" t="s">
        <v>36</v>
      </c>
      <c r="M79" s="16" t="s">
        <v>37</v>
      </c>
      <c r="N79" s="16" t="s">
        <v>88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 cm="1">
        <f t="array" ref="W79">_xlfn.LET(_xlpm.x, K79:K81, IF(SUM((_xlpm.x="C1")*1)=1, 3, 1))</f>
        <v>1</v>
      </c>
      <c r="X79" s="25" cm="1">
        <f t="array" ref="X79">_xlfn.LET(_xlpm.x, L79:L81, IF(SUM((_xlpm.x="C1")*1)=1, 3, 1))</f>
        <v>1</v>
      </c>
      <c r="Y79" s="25" cm="1">
        <f t="array" ref="Y79">_xlfn.LET(_xlpm.x, M79:M81, IF(SUM((_xlpm.x="C1")*1)=1, 3, 1))</f>
        <v>1</v>
      </c>
      <c r="Z79" s="25" cm="1">
        <f t="array" ref="Z79">_xlfn.LET(_xlpm.x, N79:N81, IF(SUM((_xlpm.x="C1")*1)=1, 3, 1))</f>
        <v>1</v>
      </c>
      <c r="AA79" s="25" cm="1">
        <f t="array" ref="AA79">_xlfn.LET(_xlpm.x, O79:O81, IF(SUM((_xlpm.x="C1")*1)=1, 3, 1))</f>
        <v>1</v>
      </c>
      <c r="AH79" s="5"/>
      <c r="AI79" s="5"/>
      <c r="AO79" s="5"/>
    </row>
    <row r="80" spans="10:41" x14ac:dyDescent="0.3">
      <c r="J80" s="25">
        <v>76</v>
      </c>
      <c r="K80" s="16" t="s">
        <v>35</v>
      </c>
      <c r="L80" s="16" t="s">
        <v>86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11</v>
      </c>
      <c r="S80" s="9">
        <v>10</v>
      </c>
      <c r="T80" s="9">
        <v>7</v>
      </c>
      <c r="U80" s="9">
        <v>5</v>
      </c>
      <c r="W80" s="25" cm="1">
        <f t="array" ref="W80">_xlfn.LET(_xlpm.x, K80:K82, IF(SUM((_xlpm.x="C1")*1)=1, 3, 1))</f>
        <v>1</v>
      </c>
      <c r="X80" s="25" cm="1">
        <f t="array" ref="X80">_xlfn.LET(_xlpm.x, L80:L82, IF(SUM((_xlpm.x="C1")*1)=1, 3, 1))</f>
        <v>1</v>
      </c>
      <c r="Y80" s="25" cm="1">
        <f t="array" ref="Y80">_xlfn.LET(_xlpm.x, M80:M82, IF(SUM((_xlpm.x="C1")*1)=1, 3, 1))</f>
        <v>1</v>
      </c>
      <c r="Z80" s="25" cm="1">
        <f t="array" ref="Z80">_xlfn.LET(_xlpm.x, N80:N82, IF(SUM((_xlpm.x="C1")*1)=1, 3, 1))</f>
        <v>1</v>
      </c>
      <c r="AA80" s="25" cm="1">
        <f t="array" ref="AA80">_xlfn.LET(_xlpm.x, O80:O82, IF(SUM((_xlpm.x="C1")*1)=1, 3, 1))</f>
        <v>1</v>
      </c>
      <c r="AH80" s="5"/>
      <c r="AI80" s="5"/>
      <c r="AO80" s="5"/>
    </row>
    <row r="81" spans="10:41" x14ac:dyDescent="0.3">
      <c r="J81" s="9">
        <v>77</v>
      </c>
      <c r="K81" s="16" t="s">
        <v>37</v>
      </c>
      <c r="L81" s="16" t="s">
        <v>104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 cm="1">
        <f t="array" ref="W81">_xlfn.LET(_xlpm.x, K81:K83, IF(SUM((_xlpm.x="C1")*1)=1, 3, 1))</f>
        <v>1</v>
      </c>
      <c r="X81" s="25" cm="1">
        <f t="array" ref="X81">_xlfn.LET(_xlpm.x, L81:L83, IF(SUM((_xlpm.x="C1")*1)=1, 3, 1))</f>
        <v>1</v>
      </c>
      <c r="Y81" s="25" cm="1">
        <f t="array" ref="Y81">_xlfn.LET(_xlpm.x, M81:M83, IF(SUM((_xlpm.x="C1")*1)=1, 3, 1))</f>
        <v>1</v>
      </c>
      <c r="Z81" s="25" cm="1">
        <f t="array" ref="Z81">_xlfn.LET(_xlpm.x, N81:N83, IF(SUM((_xlpm.x="C1")*1)=1, 3, 1))</f>
        <v>1</v>
      </c>
      <c r="AA81" s="25" cm="1">
        <f t="array" ref="AA81">_xlfn.LET(_xlpm.x, O81:O83, IF(SUM((_xlpm.x="C1")*1)=1, 3, 1))</f>
        <v>1</v>
      </c>
      <c r="AH81" s="5"/>
      <c r="AI81" s="5"/>
      <c r="AO81" s="5"/>
    </row>
    <row r="82" spans="10:41" x14ac:dyDescent="0.3">
      <c r="J82" s="25">
        <v>78</v>
      </c>
      <c r="K82" s="16" t="s">
        <v>19</v>
      </c>
      <c r="L82" s="16" t="s">
        <v>87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 cm="1">
        <f t="array" ref="W82">_xlfn.LET(_xlpm.x, K82:K84, IF(SUM((_xlpm.x="C1")*1)=1, 3, 1))</f>
        <v>1</v>
      </c>
      <c r="X82" s="25" cm="1">
        <f t="array" ref="X82">_xlfn.LET(_xlpm.x, L82:L84, IF(SUM((_xlpm.x="C1")*1)=1, 3, 1))</f>
        <v>1</v>
      </c>
      <c r="Y82" s="25" cm="1">
        <f t="array" ref="Y82">_xlfn.LET(_xlpm.x, M82:M84, IF(SUM((_xlpm.x="C1")*1)=1, 3, 1))</f>
        <v>1</v>
      </c>
      <c r="Z82" s="25" cm="1">
        <f t="array" ref="Z82">_xlfn.LET(_xlpm.x, N82:N84, IF(SUM((_xlpm.x="C1")*1)=1, 3, 1))</f>
        <v>3</v>
      </c>
      <c r="AA82" s="25" cm="1">
        <f t="array" ref="AA82">_xlfn.LET(_xlpm.x, O82:O84, IF(SUM((_xlpm.x="C1")*1)=1, 3, 1))</f>
        <v>1</v>
      </c>
      <c r="AH82" s="5"/>
      <c r="AI82" s="5"/>
      <c r="AO82" s="5"/>
    </row>
    <row r="83" spans="10:41" x14ac:dyDescent="0.3">
      <c r="J83" s="9">
        <v>79</v>
      </c>
      <c r="K83" s="16" t="s">
        <v>104</v>
      </c>
      <c r="L83" s="16" t="s">
        <v>36</v>
      </c>
      <c r="M83" s="16" t="s">
        <v>104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 cm="1">
        <f t="array" ref="W83">_xlfn.LET(_xlpm.x, K83:K85, IF(SUM((_xlpm.x="C1")*1)=1, 3, 1))</f>
        <v>1</v>
      </c>
      <c r="X83" s="25" cm="1">
        <f t="array" ref="X83">_xlfn.LET(_xlpm.x, L83:L85, IF(SUM((_xlpm.x="C1")*1)=1, 3, 1))</f>
        <v>1</v>
      </c>
      <c r="Y83" s="25" cm="1">
        <f t="array" ref="Y83">_xlfn.LET(_xlpm.x, M83:M85, IF(SUM((_xlpm.x="C1")*1)=1, 3, 1))</f>
        <v>1</v>
      </c>
      <c r="Z83" s="25" cm="1">
        <f t="array" ref="Z83">_xlfn.LET(_xlpm.x, N83:N85, IF(SUM((_xlpm.x="C1")*1)=1, 3, 1))</f>
        <v>3</v>
      </c>
      <c r="AA83" s="25" cm="1">
        <f t="array" ref="AA83">_xlfn.LET(_xlpm.x, O83:O85, IF(SUM((_xlpm.x="C1")*1)=1, 3, 1))</f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36</v>
      </c>
      <c r="M84" s="16" t="s">
        <v>102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 cm="1">
        <f t="array" ref="W84">_xlfn.LET(_xlpm.x, K84:K86, IF(SUM((_xlpm.x="C1")*1)=1, 3, 1))</f>
        <v>1</v>
      </c>
      <c r="X84" s="25" cm="1">
        <f t="array" ref="X84">_xlfn.LET(_xlpm.x, L84:L86, IF(SUM((_xlpm.x="C1")*1)=1, 3, 1))</f>
        <v>1</v>
      </c>
      <c r="Y84" s="25" cm="1">
        <f t="array" ref="Y84">_xlfn.LET(_xlpm.x, M84:M86, IF(SUM((_xlpm.x="C1")*1)=1, 3, 1))</f>
        <v>1</v>
      </c>
      <c r="Z84" s="25" cm="1">
        <f t="array" ref="Z84">_xlfn.LET(_xlpm.x, N84:N86, IF(SUM((_xlpm.x="C1")*1)=1, 3, 1))</f>
        <v>3</v>
      </c>
      <c r="AA84" s="25" cm="1">
        <f t="array" ref="AA84">_xlfn.LET(_xlpm.x, O84:O86, IF(SUM((_xlpm.x="C1")*1)=1, 3, 1))</f>
        <v>1</v>
      </c>
      <c r="AH84" s="5"/>
      <c r="AI84" s="5"/>
      <c r="AO84" s="5"/>
    </row>
    <row r="85" spans="10:41" x14ac:dyDescent="0.3">
      <c r="J85" s="9">
        <v>81</v>
      </c>
      <c r="K85" s="16" t="s">
        <v>37</v>
      </c>
      <c r="L85" s="16" t="s">
        <v>90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16</v>
      </c>
      <c r="S85" s="9">
        <v>7</v>
      </c>
      <c r="T85" s="9">
        <v>7</v>
      </c>
      <c r="U85" s="9">
        <v>8</v>
      </c>
      <c r="W85" s="25" cm="1">
        <f t="array" ref="W85">_xlfn.LET(_xlpm.x, K85:K87, IF(SUM((_xlpm.x="C1")*1)=1, 3, 1))</f>
        <v>1</v>
      </c>
      <c r="X85" s="25" cm="1">
        <f t="array" ref="X85">_xlfn.LET(_xlpm.x, L85:L87, IF(SUM((_xlpm.x="C1")*1)=1, 3, 1))</f>
        <v>1</v>
      </c>
      <c r="Y85" s="25" cm="1">
        <f t="array" ref="Y85">_xlfn.LET(_xlpm.x, M85:M87, IF(SUM((_xlpm.x="C1")*1)=1, 3, 1))</f>
        <v>1</v>
      </c>
      <c r="Z85" s="25" cm="1">
        <f t="array" ref="Z85">_xlfn.LET(_xlpm.x, N85:N87, IF(SUM((_xlpm.x="C1")*1)=1, 3, 1))</f>
        <v>1</v>
      </c>
      <c r="AA85" s="25" cm="1">
        <f t="array" ref="AA85">_xlfn.LET(_xlpm.x, O85:O87, IF(SUM((_xlpm.x="C1")*1)=1, 3, 1))</f>
        <v>1</v>
      </c>
      <c r="AH85" s="5"/>
      <c r="AI85" s="5"/>
      <c r="AO85" s="5"/>
    </row>
    <row r="86" spans="10:41" x14ac:dyDescent="0.3">
      <c r="J86" s="25">
        <v>82</v>
      </c>
      <c r="K86" s="16" t="s">
        <v>18</v>
      </c>
      <c r="L86" s="16" t="s">
        <v>89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14</v>
      </c>
      <c r="S86" s="9">
        <v>4</v>
      </c>
      <c r="T86" s="9">
        <v>7</v>
      </c>
      <c r="U86" s="9">
        <v>2</v>
      </c>
      <c r="W86" s="25" cm="1">
        <f t="array" ref="W86">_xlfn.LET(_xlpm.x, K86:K88, IF(SUM((_xlpm.x="C1")*1)=1, 3, 1))</f>
        <v>1</v>
      </c>
      <c r="X86" s="25" cm="1">
        <f t="array" ref="X86">_xlfn.LET(_xlpm.x, L86:L88, IF(SUM((_xlpm.x="C1")*1)=1, 3, 1))</f>
        <v>1</v>
      </c>
      <c r="Y86" s="25" cm="1">
        <f t="array" ref="Y86">_xlfn.LET(_xlpm.x, M86:M88, IF(SUM((_xlpm.x="C1")*1)=1, 3, 1))</f>
        <v>1</v>
      </c>
      <c r="Z86" s="25" cm="1">
        <f t="array" ref="Z86">_xlfn.LET(_xlpm.x, N86:N88, IF(SUM((_xlpm.x="C1")*1)=1, 3, 1))</f>
        <v>1</v>
      </c>
      <c r="AA86" s="25" cm="1">
        <f t="array" ref="AA86">_xlfn.LET(_xlpm.x, O86:O88, IF(SUM((_xlpm.x="C1")*1)=1, 3, 1))</f>
        <v>1</v>
      </c>
      <c r="AH86" s="5"/>
      <c r="AI86" s="5"/>
      <c r="AO86" s="5"/>
    </row>
    <row r="87" spans="10:41" x14ac:dyDescent="0.3">
      <c r="J87" s="9">
        <v>83</v>
      </c>
      <c r="K87" s="16" t="s">
        <v>104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 cm="1">
        <f t="array" ref="W87">_xlfn.LET(_xlpm.x, K87:K89, IF(SUM((_xlpm.x="C1")*1)=1, 3, 1))</f>
        <v>3</v>
      </c>
      <c r="X87" s="25" cm="1">
        <f t="array" ref="X87">_xlfn.LET(_xlpm.x, L87:L89, IF(SUM((_xlpm.x="C1")*1)=1, 3, 1))</f>
        <v>1</v>
      </c>
      <c r="Y87" s="25" cm="1">
        <f t="array" ref="Y87">_xlfn.LET(_xlpm.x, M87:M89, IF(SUM((_xlpm.x="C1")*1)=1, 3, 1))</f>
        <v>1</v>
      </c>
      <c r="Z87" s="25" cm="1">
        <f t="array" ref="Z87">_xlfn.LET(_xlpm.x, N87:N89, IF(SUM((_xlpm.x="C1")*1)=1, 3, 1))</f>
        <v>1</v>
      </c>
      <c r="AA87" s="25" cm="1">
        <f t="array" ref="AA87">_xlfn.LET(_xlpm.x, O87:O89, IF(SUM((_xlpm.x="C1")*1)=1, 3, 1))</f>
        <v>1</v>
      </c>
      <c r="AH87" s="5"/>
      <c r="AI87" s="5"/>
      <c r="AO87" s="5"/>
    </row>
    <row r="88" spans="10:41" x14ac:dyDescent="0.3">
      <c r="J88" s="25">
        <v>84</v>
      </c>
      <c r="K88" s="16" t="s">
        <v>104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 cm="1">
        <f t="array" ref="W88">_xlfn.LET(_xlpm.x, K88:K90, IF(SUM((_xlpm.x="C1")*1)=1, 3, 1))</f>
        <v>3</v>
      </c>
      <c r="X88" s="25" cm="1">
        <f t="array" ref="X88">_xlfn.LET(_xlpm.x, L88:L90, IF(SUM((_xlpm.x="C1")*1)=1, 3, 1))</f>
        <v>1</v>
      </c>
      <c r="Y88" s="25" cm="1">
        <f t="array" ref="Y88">_xlfn.LET(_xlpm.x, M88:M90, IF(SUM((_xlpm.x="C1")*1)=1, 3, 1))</f>
        <v>1</v>
      </c>
      <c r="Z88" s="25" cm="1">
        <f t="array" ref="Z88">_xlfn.LET(_xlpm.x, N88:N90, IF(SUM((_xlpm.x="C1")*1)=1, 3, 1))</f>
        <v>1</v>
      </c>
      <c r="AA88" s="25" cm="1">
        <f t="array" ref="AA88">_xlfn.LET(_xlpm.x, O88:O90, IF(SUM((_xlpm.x="C1")*1)=1, 3, 1))</f>
        <v>1</v>
      </c>
      <c r="AH88" s="5"/>
      <c r="AI88" s="5"/>
      <c r="AO88" s="5"/>
    </row>
    <row r="89" spans="10:41" x14ac:dyDescent="0.3">
      <c r="J89" s="9">
        <v>85</v>
      </c>
      <c r="K89" s="16" t="s">
        <v>20</v>
      </c>
      <c r="L89" s="16" t="s">
        <v>86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 cm="1">
        <f t="array" ref="W89">_xlfn.LET(_xlpm.x, K89:K91, IF(SUM((_xlpm.x="C1")*1)=1, 3, 1))</f>
        <v>3</v>
      </c>
      <c r="X89" s="25" cm="1">
        <f t="array" ref="X89">_xlfn.LET(_xlpm.x, L89:L91, IF(SUM((_xlpm.x="C1")*1)=1, 3, 1))</f>
        <v>3</v>
      </c>
      <c r="Y89" s="25" cm="1">
        <f t="array" ref="Y89">_xlfn.LET(_xlpm.x, M89:M91, IF(SUM((_xlpm.x="C1")*1)=1, 3, 1))</f>
        <v>1</v>
      </c>
      <c r="Z89" s="25" cm="1">
        <f t="array" ref="Z89">_xlfn.LET(_xlpm.x, N89:N91, IF(SUM((_xlpm.x="C1")*1)=1, 3, 1))</f>
        <v>1</v>
      </c>
      <c r="AA89" s="25" cm="1">
        <f t="array" ref="AA89">_xlfn.LET(_xlpm.x, O89:O91, IF(SUM((_xlpm.x="C1")*1)=1, 3, 1))</f>
        <v>1</v>
      </c>
      <c r="AH89" s="5"/>
      <c r="AI89" s="5"/>
      <c r="AO89" s="5"/>
    </row>
    <row r="90" spans="10:41" x14ac:dyDescent="0.3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 cm="1">
        <f t="array" ref="W90">_xlfn.LET(_xlpm.x, K90:K92, IF(SUM((_xlpm.x="C1")*1)=1, 3, 1))</f>
        <v>1</v>
      </c>
      <c r="X90" s="25" cm="1">
        <f t="array" ref="X90">_xlfn.LET(_xlpm.x, L90:L92, IF(SUM((_xlpm.x="C1")*1)=1, 3, 1))</f>
        <v>3</v>
      </c>
      <c r="Y90" s="25" cm="1">
        <f t="array" ref="Y90">_xlfn.LET(_xlpm.x, M90:M92, IF(SUM((_xlpm.x="C1")*1)=1, 3, 1))</f>
        <v>1</v>
      </c>
      <c r="Z90" s="25" cm="1">
        <f t="array" ref="Z90">_xlfn.LET(_xlpm.x, N90:N92, IF(SUM((_xlpm.x="C1")*1)=1, 3, 1))</f>
        <v>1</v>
      </c>
      <c r="AA90" s="25" cm="1">
        <f t="array" ref="AA90">_xlfn.LET(_xlpm.x, O90:O92, IF(SUM((_xlpm.x="C1")*1)=1, 3, 1))</f>
        <v>1</v>
      </c>
      <c r="AH90" s="5"/>
      <c r="AI90" s="5"/>
      <c r="AO90" s="5"/>
    </row>
    <row r="91" spans="10:41" x14ac:dyDescent="0.3">
      <c r="J91" s="9">
        <v>87</v>
      </c>
      <c r="K91" s="16" t="s">
        <v>37</v>
      </c>
      <c r="L91" s="16" t="s">
        <v>20</v>
      </c>
      <c r="M91" s="16" t="s">
        <v>37</v>
      </c>
      <c r="N91" s="16" t="s">
        <v>87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 cm="1">
        <f t="array" ref="W91">_xlfn.LET(_xlpm.x, K91:K93, IF(SUM((_xlpm.x="C1")*1)=1, 3, 1))</f>
        <v>1</v>
      </c>
      <c r="X91" s="25" cm="1">
        <f t="array" ref="X91">_xlfn.LET(_xlpm.x, L91:L93, IF(SUM((_xlpm.x="C1")*1)=1, 3, 1))</f>
        <v>3</v>
      </c>
      <c r="Y91" s="25" cm="1">
        <f t="array" ref="Y91">_xlfn.LET(_xlpm.x, M91:M93, IF(SUM((_xlpm.x="C1")*1)=1, 3, 1))</f>
        <v>3</v>
      </c>
      <c r="Z91" s="25" cm="1">
        <f t="array" ref="Z91">_xlfn.LET(_xlpm.x, N91:N93, IF(SUM((_xlpm.x="C1")*1)=1, 3, 1))</f>
        <v>1</v>
      </c>
      <c r="AA91" s="25" cm="1">
        <f t="array" ref="AA91">_xlfn.LET(_xlpm.x, O91:O93, IF(SUM((_xlpm.x="C1")*1)=1, 3, 1))</f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89</v>
      </c>
      <c r="M92" s="16" t="s">
        <v>104</v>
      </c>
      <c r="N92" s="16" t="s">
        <v>34</v>
      </c>
      <c r="O92" s="16" t="s">
        <v>19</v>
      </c>
      <c r="Q92" s="9">
        <v>5</v>
      </c>
      <c r="R92" s="9">
        <v>14</v>
      </c>
      <c r="S92" s="9">
        <v>6</v>
      </c>
      <c r="T92" s="9">
        <v>9</v>
      </c>
      <c r="U92" s="9">
        <v>5</v>
      </c>
      <c r="W92" s="25" cm="1">
        <f t="array" ref="W92">_xlfn.LET(_xlpm.x, K92:K94, IF(SUM((_xlpm.x="C1")*1)=1, 3, 1))</f>
        <v>1</v>
      </c>
      <c r="X92" s="25" cm="1">
        <f t="array" ref="X92">_xlfn.LET(_xlpm.x, L92:L94, IF(SUM((_xlpm.x="C1")*1)=1, 3, 1))</f>
        <v>1</v>
      </c>
      <c r="Y92" s="25" cm="1">
        <f t="array" ref="Y92">_xlfn.LET(_xlpm.x, M92:M94, IF(SUM((_xlpm.x="C1")*1)=1, 3, 1))</f>
        <v>3</v>
      </c>
      <c r="Z92" s="25" cm="1">
        <f t="array" ref="Z92">_xlfn.LET(_xlpm.x, N92:N94, IF(SUM((_xlpm.x="C1")*1)=1, 3, 1))</f>
        <v>1</v>
      </c>
      <c r="AA92" s="25" cm="1">
        <f t="array" ref="AA92">_xlfn.LET(_xlpm.x, O92:O94, IF(SUM((_xlpm.x="C1")*1)=1, 3, 1))</f>
        <v>3</v>
      </c>
      <c r="AH92" s="5"/>
      <c r="AI92" s="5"/>
      <c r="AO92" s="5"/>
    </row>
    <row r="93" spans="10:41" x14ac:dyDescent="0.3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 cm="1">
        <f t="array" ref="W93">_xlfn.LET(_xlpm.x, K93:K95, IF(SUM((_xlpm.x="C1")*1)=1, 3, 1))</f>
        <v>1</v>
      </c>
      <c r="X93" s="25" cm="1">
        <f t="array" ref="X93">_xlfn.LET(_xlpm.x, L93:L95, IF(SUM((_xlpm.x="C1")*1)=1, 3, 1))</f>
        <v>1</v>
      </c>
      <c r="Y93" s="25" cm="1">
        <f t="array" ref="Y93">_xlfn.LET(_xlpm.x, M93:M95, IF(SUM((_xlpm.x="C1")*1)=1, 3, 1))</f>
        <v>3</v>
      </c>
      <c r="Z93" s="25" cm="1">
        <f t="array" ref="Z93">_xlfn.LET(_xlpm.x, N93:N95, IF(SUM((_xlpm.x="C1")*1)=1, 3, 1))</f>
        <v>1</v>
      </c>
      <c r="AA93" s="25" cm="1">
        <f t="array" ref="AA93">_xlfn.LET(_xlpm.x, O93:O95, IF(SUM((_xlpm.x="C1")*1)=1, 3, 1))</f>
        <v>3</v>
      </c>
      <c r="AH93" s="5"/>
      <c r="AI93" s="5"/>
      <c r="AO93" s="5"/>
    </row>
    <row r="94" spans="10:41" x14ac:dyDescent="0.3">
      <c r="J94" s="25">
        <v>90</v>
      </c>
      <c r="K94" s="16" t="s">
        <v>104</v>
      </c>
      <c r="L94" s="16" t="s">
        <v>36</v>
      </c>
      <c r="M94" s="16" t="s">
        <v>90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 cm="1">
        <f t="array" ref="W94">_xlfn.LET(_xlpm.x, K94:K96, IF(SUM((_xlpm.x="C1")*1)=1, 3, 1))</f>
        <v>1</v>
      </c>
      <c r="X94" s="25" cm="1">
        <f t="array" ref="X94">_xlfn.LET(_xlpm.x, L94:L96, IF(SUM((_xlpm.x="C1")*1)=1, 3, 1))</f>
        <v>1</v>
      </c>
      <c r="Y94" s="25" cm="1">
        <f t="array" ref="Y94">_xlfn.LET(_xlpm.x, M94:M96, IF(SUM((_xlpm.x="C1")*1)=1, 3, 1))</f>
        <v>1</v>
      </c>
      <c r="Z94" s="25" cm="1">
        <f t="array" ref="Z94">_xlfn.LET(_xlpm.x, N94:N96, IF(SUM((_xlpm.x="C1")*1)=1, 3, 1))</f>
        <v>1</v>
      </c>
      <c r="AA94" s="25" cm="1">
        <f t="array" ref="AA94">_xlfn.LET(_xlpm.x, O94:O96, IF(SUM((_xlpm.x="C1")*1)=1, 3, 1))</f>
        <v>3</v>
      </c>
      <c r="AH94" s="5"/>
      <c r="AI94" s="5"/>
      <c r="AO94" s="5"/>
    </row>
    <row r="95" spans="10:41" x14ac:dyDescent="0.3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 cm="1">
        <f t="array" ref="W95">_xlfn.LET(_xlpm.x, K95:K97, IF(SUM((_xlpm.x="C1")*1)=1, 3, 1))</f>
        <v>1</v>
      </c>
      <c r="X95" s="25" cm="1">
        <f t="array" ref="X95">_xlfn.LET(_xlpm.x, L95:L97, IF(SUM((_xlpm.x="C1")*1)=1, 3, 1))</f>
        <v>1</v>
      </c>
      <c r="Y95" s="25" cm="1">
        <f t="array" ref="Y95">_xlfn.LET(_xlpm.x, M95:M97, IF(SUM((_xlpm.x="C1")*1)=1, 3, 1))</f>
        <v>1</v>
      </c>
      <c r="Z95" s="25" cm="1">
        <f t="array" ref="Z95">_xlfn.LET(_xlpm.x, N95:N97, IF(SUM((_xlpm.x="C1")*1)=1, 3, 1))</f>
        <v>1</v>
      </c>
      <c r="AA95" s="25" cm="1">
        <f t="array" ref="AA95">_xlfn.LET(_xlpm.x, O95:O97, IF(SUM((_xlpm.x="C1")*1)=1, 3, 1))</f>
        <v>1</v>
      </c>
      <c r="AH95" s="5"/>
      <c r="AI95" s="5"/>
      <c r="AO95" s="5"/>
    </row>
    <row r="96" spans="10:41" x14ac:dyDescent="0.3">
      <c r="J96" s="25">
        <v>92</v>
      </c>
      <c r="K96" s="16" t="s">
        <v>35</v>
      </c>
      <c r="L96" s="16" t="s">
        <v>86</v>
      </c>
      <c r="M96" s="16" t="s">
        <v>104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 cm="1">
        <f t="array" ref="W96">_xlfn.LET(_xlpm.x, K96:K98, IF(SUM((_xlpm.x="C1")*1)=1, 3, 1))</f>
        <v>1</v>
      </c>
      <c r="X96" s="25" cm="1">
        <f t="array" ref="X96">_xlfn.LET(_xlpm.x, L96:L98, IF(SUM((_xlpm.x="C1")*1)=1, 3, 1))</f>
        <v>1</v>
      </c>
      <c r="Y96" s="25" cm="1">
        <f t="array" ref="Y96">_xlfn.LET(_xlpm.x, M96:M98, IF(SUM((_xlpm.x="C1")*1)=1, 3, 1))</f>
        <v>1</v>
      </c>
      <c r="Z96" s="25" cm="1">
        <f t="array" ref="Z96">_xlfn.LET(_xlpm.x, N96:N98, IF(SUM((_xlpm.x="C1")*1)=1, 3, 1))</f>
        <v>1</v>
      </c>
      <c r="AA96" s="25" cm="1">
        <f t="array" ref="AA96">_xlfn.LET(_xlpm.x, O96:O98, IF(SUM((_xlpm.x="C1")*1)=1, 3, 1))</f>
        <v>1</v>
      </c>
      <c r="AH96" s="5"/>
      <c r="AI96" s="5"/>
      <c r="AO96" s="5"/>
    </row>
    <row r="97" spans="10:41" x14ac:dyDescent="0.3">
      <c r="J97" s="9">
        <v>93</v>
      </c>
      <c r="K97" s="16" t="s">
        <v>21</v>
      </c>
      <c r="L97" s="16" t="s">
        <v>36</v>
      </c>
      <c r="M97" s="16" t="s">
        <v>37</v>
      </c>
      <c r="N97" s="16" t="s">
        <v>102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 cm="1">
        <f t="array" ref="W97">_xlfn.LET(_xlpm.x, K97:K99, IF(SUM((_xlpm.x="C1")*1)=1, 3, 1))</f>
        <v>1</v>
      </c>
      <c r="X97" s="25" cm="1">
        <f t="array" ref="X97">_xlfn.LET(_xlpm.x, L97:L99, IF(SUM((_xlpm.x="C1")*1)=1, 3, 1))</f>
        <v>1</v>
      </c>
      <c r="Y97" s="25" cm="1">
        <f t="array" ref="Y97">_xlfn.LET(_xlpm.x, M97:M99, IF(SUM((_xlpm.x="C1")*1)=1, 3, 1))</f>
        <v>1</v>
      </c>
      <c r="Z97" s="25" cm="1">
        <f t="array" ref="Z97">_xlfn.LET(_xlpm.x, N97:N99, IF(SUM((_xlpm.x="C1")*1)=1, 3, 1))</f>
        <v>1</v>
      </c>
      <c r="AA97" s="25" cm="1">
        <f t="array" ref="AA97">_xlfn.LET(_xlpm.x, O97:O99, IF(SUM((_xlpm.x="C1")*1)=1, 3, 1))</f>
        <v>1</v>
      </c>
      <c r="AH97" s="5"/>
      <c r="AI97" s="5"/>
      <c r="AO97" s="5"/>
    </row>
    <row r="98" spans="10:41" x14ac:dyDescent="0.3">
      <c r="J98" s="25">
        <v>94</v>
      </c>
      <c r="K98" s="16" t="s">
        <v>19</v>
      </c>
      <c r="L98" s="16" t="s">
        <v>87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 cm="1">
        <f t="array" ref="W98">_xlfn.LET(_xlpm.x, K98:K100, IF(SUM((_xlpm.x="C1")*1)=1, 3, 1))</f>
        <v>1</v>
      </c>
      <c r="X98" s="25" cm="1">
        <f t="array" ref="X98">_xlfn.LET(_xlpm.x, L98:L100, IF(SUM((_xlpm.x="C1")*1)=1, 3, 1))</f>
        <v>1</v>
      </c>
      <c r="Y98" s="25" cm="1">
        <f t="array" ref="Y98">_xlfn.LET(_xlpm.x, M98:M100, IF(SUM((_xlpm.x="C1")*1)=1, 3, 1))</f>
        <v>1</v>
      </c>
      <c r="Z98" s="25" cm="1">
        <f t="array" ref="Z98">_xlfn.LET(_xlpm.x, N98:N100, IF(SUM((_xlpm.x="C1")*1)=1, 3, 1))</f>
        <v>1</v>
      </c>
      <c r="AA98" s="25" cm="1">
        <f t="array" ref="AA98">_xlfn.LET(_xlpm.x, O98:O100, IF(SUM((_xlpm.x="C1")*1)=1, 3, 1))</f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 cm="1">
        <f t="array" ref="W99">_xlfn.LET(_xlpm.x, K99:K101, IF(SUM((_xlpm.x="C1")*1)=1, 3, 1))</f>
        <v>1</v>
      </c>
      <c r="X99" s="25" cm="1">
        <f t="array" ref="X99">_xlfn.LET(_xlpm.x, L99:L101, IF(SUM((_xlpm.x="C1")*1)=1, 3, 1))</f>
        <v>1</v>
      </c>
      <c r="Y99" s="25" cm="1">
        <f t="array" ref="Y99">_xlfn.LET(_xlpm.x, M99:M101, IF(SUM((_xlpm.x="C1")*1)=1, 3, 1))</f>
        <v>1</v>
      </c>
      <c r="Z99" s="25" cm="1">
        <f t="array" ref="Z99">_xlfn.LET(_xlpm.x, N99:N101, IF(SUM((_xlpm.x="C1")*1)=1, 3, 1))</f>
        <v>1</v>
      </c>
      <c r="AA99" s="25" cm="1">
        <f t="array" ref="AA99">_xlfn.LET(_xlpm.x, O99:O101, IF(SUM((_xlpm.x="C1")*1)=1, 3, 1))</f>
        <v>1</v>
      </c>
      <c r="AH99" s="5"/>
      <c r="AI99" s="5"/>
      <c r="AO99" s="5"/>
    </row>
    <row r="100" spans="10:41" x14ac:dyDescent="0.3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 cm="1">
        <f t="array" ref="W100">_xlfn.LET(_xlpm.x, K100:K102, IF(SUM((_xlpm.x="C1")*1)=1, 3, 1))</f>
        <v>3</v>
      </c>
      <c r="X100" s="25" cm="1">
        <f t="array" ref="X100">_xlfn.LET(_xlpm.x, L100:L102, IF(SUM((_xlpm.x="C1")*1)=1, 3, 1))</f>
        <v>1</v>
      </c>
      <c r="Y100" s="25" cm="1">
        <f t="array" ref="Y100">_xlfn.LET(_xlpm.x, M100:M102, IF(SUM((_xlpm.x="C1")*1)=1, 3, 1))</f>
        <v>1</v>
      </c>
      <c r="Z100" s="25" cm="1">
        <f t="array" ref="Z100">_xlfn.LET(_xlpm.x, N100:N102, IF(SUM((_xlpm.x="C1")*1)=1, 3, 1))</f>
        <v>1</v>
      </c>
      <c r="AA100" s="25" cm="1">
        <f t="array" ref="AA100">_xlfn.LET(_xlpm.x, O100:O102, IF(SUM((_xlpm.x="C1")*1)=1, 3, 1))</f>
        <v>1</v>
      </c>
      <c r="AH100" s="5"/>
      <c r="AI100" s="5"/>
      <c r="AO100" s="5"/>
    </row>
    <row r="101" spans="10:41" x14ac:dyDescent="0.3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 cm="1">
        <f t="array" ref="W101">_xlfn.LET(_xlpm.x, K101:K103, IF(SUM((_xlpm.x="C1")*1)=1, 3, 1))</f>
        <v>3</v>
      </c>
      <c r="X101" s="25" cm="1">
        <f t="array" ref="X101">_xlfn.LET(_xlpm.x, L101:L103, IF(SUM((_xlpm.x="C1")*1)=1, 3, 1))</f>
        <v>1</v>
      </c>
      <c r="Y101" s="25" cm="1">
        <f t="array" ref="Y101">_xlfn.LET(_xlpm.x, M101:M103, IF(SUM((_xlpm.x="C1")*1)=1, 3, 1))</f>
        <v>1</v>
      </c>
      <c r="Z101" s="25" cm="1">
        <f t="array" ref="Z101">_xlfn.LET(_xlpm.x, N101:N103, IF(SUM((_xlpm.x="C1")*1)=1, 3, 1))</f>
        <v>1</v>
      </c>
      <c r="AA101" s="25" cm="1">
        <f t="array" ref="AA101">_xlfn.LET(_xlpm.x, O101:O103, IF(SUM((_xlpm.x="C1")*1)=1, 3, 1))</f>
        <v>1</v>
      </c>
      <c r="AH101" s="5"/>
      <c r="AI101" s="5"/>
      <c r="AO101" s="5"/>
    </row>
    <row r="102" spans="10:41" x14ac:dyDescent="0.3">
      <c r="J102" s="25">
        <v>98</v>
      </c>
      <c r="K102" s="16" t="s">
        <v>20</v>
      </c>
      <c r="L102" s="16" t="s">
        <v>86</v>
      </c>
      <c r="M102" s="16" t="s">
        <v>19</v>
      </c>
      <c r="N102" s="16" t="s">
        <v>19</v>
      </c>
      <c r="O102" s="16" t="s">
        <v>104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 cm="1">
        <f t="array" ref="W102">_xlfn.LET(_xlpm.x, K102:K104, IF(SUM((_xlpm.x="C1")*1)=1, 3, 1))</f>
        <v>3</v>
      </c>
      <c r="X102" s="25" cm="1">
        <f t="array" ref="X102">_xlfn.LET(_xlpm.x, L102:L104, IF(SUM((_xlpm.x="C1")*1)=1, 3, 1))</f>
        <v>1</v>
      </c>
      <c r="Y102" s="25" cm="1">
        <f t="array" ref="Y102">_xlfn.LET(_xlpm.x, M102:M104, IF(SUM((_xlpm.x="C1")*1)=1, 3, 1))</f>
        <v>1</v>
      </c>
      <c r="Z102" s="25" cm="1">
        <f t="array" ref="Z102">_xlfn.LET(_xlpm.x, N102:N104, IF(SUM((_xlpm.x="C1")*1)=1, 3, 1))</f>
        <v>1</v>
      </c>
      <c r="AA102" s="25" cm="1">
        <f t="array" ref="AA102">_xlfn.LET(_xlpm.x, O102:O104, IF(SUM((_xlpm.x="C1")*1)=1, 3, 1))</f>
        <v>1</v>
      </c>
      <c r="AH102" s="5"/>
      <c r="AI102" s="5"/>
      <c r="AO102" s="5"/>
    </row>
    <row r="103" spans="10:41" x14ac:dyDescent="0.3">
      <c r="J103" s="9">
        <v>99</v>
      </c>
      <c r="K103" s="16" t="s">
        <v>21</v>
      </c>
      <c r="L103" s="16" t="s">
        <v>105</v>
      </c>
      <c r="M103" s="16" t="s">
        <v>35</v>
      </c>
      <c r="N103" s="16" t="s">
        <v>34</v>
      </c>
      <c r="O103" s="16" t="s">
        <v>34</v>
      </c>
      <c r="Q103" s="9">
        <v>2</v>
      </c>
      <c r="R103" s="9">
        <v>15</v>
      </c>
      <c r="S103" s="9">
        <v>8</v>
      </c>
      <c r="T103" s="9">
        <v>9</v>
      </c>
      <c r="U103" s="9">
        <v>9</v>
      </c>
      <c r="W103" s="25" cm="1">
        <f t="array" ref="W103">_xlfn.LET(_xlpm.x, K103:K105, IF(SUM((_xlpm.x="C1")*1)=1, 3, 1))</f>
        <v>1</v>
      </c>
      <c r="X103" s="25" cm="1">
        <f t="array" ref="X103">_xlfn.LET(_xlpm.x, L103:L105, IF(SUM((_xlpm.x="C1")*1)=1, 3, 1))</f>
        <v>1</v>
      </c>
      <c r="Y103" s="25" cm="1">
        <f t="array" ref="Y103">_xlfn.LET(_xlpm.x, M103:M105, IF(SUM((_xlpm.x="C1")*1)=1, 3, 1))</f>
        <v>1</v>
      </c>
      <c r="Z103" s="25" cm="1">
        <f t="array" ref="Z103">_xlfn.LET(_xlpm.x, N103:N105, IF(SUM((_xlpm.x="C1")*1)=1, 3, 1))</f>
        <v>1</v>
      </c>
      <c r="AA103" s="25" cm="1">
        <f t="array" ref="AA103">_xlfn.LET(_xlpm.x, O103:O105, IF(SUM((_xlpm.x="C1")*1)=1, 3, 1))</f>
        <v>1</v>
      </c>
      <c r="AH103" s="5"/>
      <c r="AI103" s="5"/>
      <c r="AO103" s="5"/>
    </row>
    <row r="104" spans="10:41" x14ac:dyDescent="0.3">
      <c r="J104" s="25">
        <v>100</v>
      </c>
      <c r="K104" s="16" t="s">
        <v>22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3</v>
      </c>
      <c r="R104" s="9">
        <v>4</v>
      </c>
      <c r="S104" s="9">
        <v>7</v>
      </c>
      <c r="T104" s="9">
        <v>7</v>
      </c>
      <c r="U104" s="9">
        <v>4</v>
      </c>
      <c r="W104" s="25" cm="1">
        <f t="array" ref="W104">_xlfn.LET(_xlpm.x, K104:K106, IF(SUM((_xlpm.x="C1")*1)=1, 3, 1))</f>
        <v>1</v>
      </c>
      <c r="X104" s="25" cm="1">
        <f t="array" ref="X104">_xlfn.LET(_xlpm.x, L104:L106, IF(SUM((_xlpm.x="C1")*1)=1, 3, 1))</f>
        <v>1</v>
      </c>
      <c r="Y104" s="25" cm="1">
        <f t="array" ref="Y104">_xlfn.LET(_xlpm.x, M104:M106, IF(SUM((_xlpm.x="C1")*1)=1, 3, 1))</f>
        <v>1</v>
      </c>
      <c r="Z104" s="25" cm="1">
        <f t="array" ref="Z104">_xlfn.LET(_xlpm.x, N104:N106, IF(SUM((_xlpm.x="C1")*1)=1, 3, 1))</f>
        <v>1</v>
      </c>
      <c r="AA104" s="25" cm="1">
        <f t="array" ref="AA104">_xlfn.LET(_xlpm.x, O104:O106, IF(SUM((_xlpm.x="C1")*1)=1, 3, 1))</f>
        <v>1</v>
      </c>
      <c r="AH104" s="5"/>
      <c r="AI104" s="5"/>
      <c r="AO104" s="5"/>
    </row>
    <row r="105" spans="10:41" x14ac:dyDescent="0.3">
      <c r="J105" s="25">
        <v>101</v>
      </c>
      <c r="K105" s="16" t="s">
        <v>34</v>
      </c>
      <c r="L105" s="16" t="s">
        <v>104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 cm="1">
        <f t="array" ref="W105">_xlfn.LET(_xlpm.x, K105:K107, IF(SUM((_xlpm.x="C1")*1)=1, 3, 1))</f>
        <v>1</v>
      </c>
      <c r="X105" s="25" cm="1">
        <f t="array" ref="X105">_xlfn.LET(_xlpm.x, L105:L107, IF(SUM((_xlpm.x="C1")*1)=1, 3, 1))</f>
        <v>1</v>
      </c>
      <c r="Y105" s="25" cm="1">
        <f t="array" ref="Y105">_xlfn.LET(_xlpm.x, M105:M107, IF(SUM((_xlpm.x="C1")*1)=1, 3, 1))</f>
        <v>1</v>
      </c>
      <c r="Z105" s="25" cm="1">
        <f t="array" ref="Z105">_xlfn.LET(_xlpm.x, N105:N107, IF(SUM((_xlpm.x="C1")*1)=1, 3, 1))</f>
        <v>1</v>
      </c>
      <c r="AA105" s="25" cm="1">
        <f t="array" ref="AA105">_xlfn.LET(_xlpm.x, O105:O107, IF(SUM((_xlpm.x="C1")*1)=1, 3, 1))</f>
        <v>1</v>
      </c>
      <c r="AH105" s="5"/>
      <c r="AI105" s="5"/>
      <c r="AO105" s="5"/>
    </row>
    <row r="106" spans="10:41" x14ac:dyDescent="0.3">
      <c r="J106" s="9">
        <v>102</v>
      </c>
      <c r="K106" s="16" t="s">
        <v>18</v>
      </c>
      <c r="L106" s="16" t="s">
        <v>104</v>
      </c>
      <c r="M106" s="16" t="s">
        <v>104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 cm="1">
        <f t="array" ref="W106">_xlfn.LET(_xlpm.x, K106:K108, IF(SUM((_xlpm.x="C1")*1)=1, 3, 1))</f>
        <v>1</v>
      </c>
      <c r="X106" s="25" cm="1">
        <f t="array" ref="X106">_xlfn.LET(_xlpm.x, L106:L108, IF(SUM((_xlpm.x="C1")*1)=1, 3, 1))</f>
        <v>1</v>
      </c>
      <c r="Y106" s="25" cm="1">
        <f t="array" ref="Y106">_xlfn.LET(_xlpm.x, M106:M108, IF(SUM((_xlpm.x="C1")*1)=1, 3, 1))</f>
        <v>1</v>
      </c>
      <c r="Z106" s="25" cm="1">
        <f t="array" ref="Z106">_xlfn.LET(_xlpm.x, N106:N108, IF(SUM((_xlpm.x="C1")*1)=1, 3, 1))</f>
        <v>1</v>
      </c>
      <c r="AA106" s="25" cm="1">
        <f t="array" ref="AA106">_xlfn.LET(_xlpm.x, O106:O108, IF(SUM((_xlpm.x="C1")*1)=1, 3, 1))</f>
        <v>1</v>
      </c>
      <c r="AH106" s="5"/>
      <c r="AI106" s="5"/>
      <c r="AO106" s="5"/>
    </row>
    <row r="107" spans="10:41" x14ac:dyDescent="0.3">
      <c r="J107" s="25">
        <v>103</v>
      </c>
      <c r="K107" s="16" t="s">
        <v>35</v>
      </c>
      <c r="L107" s="16" t="s">
        <v>105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15</v>
      </c>
      <c r="S107" s="9">
        <v>3</v>
      </c>
      <c r="T107" s="9">
        <v>5</v>
      </c>
      <c r="U107" s="9">
        <v>10</v>
      </c>
      <c r="W107" s="25" cm="1">
        <f t="array" ref="W107">_xlfn.LET(_xlpm.x, K107:K109, IF(SUM((_xlpm.x="C1")*1)=1, 3, 1))</f>
        <v>1</v>
      </c>
      <c r="X107" s="25" cm="1">
        <f t="array" ref="X107">_xlfn.LET(_xlpm.x, L107:L109, IF(SUM((_xlpm.x="C1")*1)=1, 3, 1))</f>
        <v>1</v>
      </c>
      <c r="Y107" s="25" cm="1">
        <f t="array" ref="Y107">_xlfn.LET(_xlpm.x, M107:M109, IF(SUM((_xlpm.x="C1")*1)=1, 3, 1))</f>
        <v>1</v>
      </c>
      <c r="Z107" s="25" cm="1">
        <f t="array" ref="Z107">_xlfn.LET(_xlpm.x, N107:N109, IF(SUM((_xlpm.x="C1")*1)=1, 3, 1))</f>
        <v>1</v>
      </c>
      <c r="AA107" s="25" cm="1">
        <f t="array" ref="AA107">_xlfn.LET(_xlpm.x, O107:O109, IF(SUM((_xlpm.x="C1")*1)=1, 3, 1))</f>
        <v>1</v>
      </c>
      <c r="AH107" s="5"/>
      <c r="AI107" s="5"/>
      <c r="AO107" s="5"/>
    </row>
    <row r="108" spans="10:41" x14ac:dyDescent="0.3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 cm="1">
        <f t="array" ref="W108">_xlfn.LET(_xlpm.x, K108:K110, IF(SUM((_xlpm.x="C1")*1)=1, 3, 1))</f>
        <v>1</v>
      </c>
      <c r="X108" s="25" cm="1">
        <f t="array" ref="X108">_xlfn.LET(_xlpm.x, L108:L110, IF(SUM((_xlpm.x="C1")*1)=1, 3, 1))</f>
        <v>1</v>
      </c>
      <c r="Y108" s="25" cm="1">
        <f t="array" ref="Y108">_xlfn.LET(_xlpm.x, M108:M110, IF(SUM((_xlpm.x="C1")*1)=1, 3, 1))</f>
        <v>1</v>
      </c>
      <c r="Z108" s="25" cm="1">
        <f t="array" ref="Z108">_xlfn.LET(_xlpm.x, N108:N110, IF(SUM((_xlpm.x="C1")*1)=1, 3, 1))</f>
        <v>3</v>
      </c>
      <c r="AA108" s="25" cm="1">
        <f t="array" ref="AA108">_xlfn.LET(_xlpm.x, O108:O110, IF(SUM((_xlpm.x="C1")*1)=1, 3, 1))</f>
        <v>1</v>
      </c>
      <c r="AH108" s="5"/>
      <c r="AI108" s="5"/>
      <c r="AO108" s="5"/>
    </row>
    <row r="109" spans="10:41" x14ac:dyDescent="0.3">
      <c r="J109" s="25">
        <v>105</v>
      </c>
      <c r="K109" s="16" t="s">
        <v>36</v>
      </c>
      <c r="L109" s="16" t="s">
        <v>87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12</v>
      </c>
      <c r="S109" s="9">
        <v>7</v>
      </c>
      <c r="T109" s="9">
        <v>9</v>
      </c>
      <c r="U109" s="9">
        <v>3</v>
      </c>
      <c r="W109" s="25" cm="1">
        <f t="array" ref="W109">_xlfn.LET(_xlpm.x, K109:K111, IF(SUM((_xlpm.x="C1")*1)=1, 3, 1))</f>
        <v>1</v>
      </c>
      <c r="X109" s="25" cm="1">
        <f t="array" ref="X109">_xlfn.LET(_xlpm.x, L109:L111, IF(SUM((_xlpm.x="C1")*1)=1, 3, 1))</f>
        <v>1</v>
      </c>
      <c r="Y109" s="25" cm="1">
        <f t="array" ref="Y109">_xlfn.LET(_xlpm.x, M109:M111, IF(SUM((_xlpm.x="C1")*1)=1, 3, 1))</f>
        <v>3</v>
      </c>
      <c r="Z109" s="25" cm="1">
        <f t="array" ref="Z109">_xlfn.LET(_xlpm.x, N109:N111, IF(SUM((_xlpm.x="C1")*1)=1, 3, 1))</f>
        <v>3</v>
      </c>
      <c r="AA109" s="25" cm="1">
        <f t="array" ref="AA109">_xlfn.LET(_xlpm.x, O109:O111, IF(SUM((_xlpm.x="C1")*1)=1, 3, 1))</f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 cm="1">
        <f t="array" ref="W110">_xlfn.LET(_xlpm.x, K110:K112, IF(SUM((_xlpm.x="C1")*1)=1, 3, 1))</f>
        <v>1</v>
      </c>
      <c r="X110" s="25" cm="1">
        <f t="array" ref="X110">_xlfn.LET(_xlpm.x, L110:L112, IF(SUM((_xlpm.x="C1")*1)=1, 3, 1))</f>
        <v>1</v>
      </c>
      <c r="Y110" s="25" cm="1">
        <f t="array" ref="Y110">_xlfn.LET(_xlpm.x, M110:M112, IF(SUM((_xlpm.x="C1")*1)=1, 3, 1))</f>
        <v>3</v>
      </c>
      <c r="Z110" s="25" cm="1">
        <f t="array" ref="Z110">_xlfn.LET(_xlpm.x, N110:N112, IF(SUM((_xlpm.x="C1")*1)=1, 3, 1))</f>
        <v>3</v>
      </c>
      <c r="AA110" s="25" cm="1">
        <f t="array" ref="AA110">_xlfn.LET(_xlpm.x, O110:O112, IF(SUM((_xlpm.x="C1")*1)=1, 3, 1))</f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95</v>
      </c>
      <c r="M111" s="16" t="s">
        <v>20</v>
      </c>
      <c r="N111" s="16" t="s">
        <v>104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 cm="1">
        <f t="array" ref="W111">_xlfn.LET(_xlpm.x, K111:K113, IF(SUM((_xlpm.x="C1")*1)=1, 3, 1))</f>
        <v>1</v>
      </c>
      <c r="X111" s="25" cm="1">
        <f t="array" ref="X111">_xlfn.LET(_xlpm.x, L111:L113, IF(SUM((_xlpm.x="C1")*1)=1, 3, 1))</f>
        <v>1</v>
      </c>
      <c r="Y111" s="25" cm="1">
        <f t="array" ref="Y111">_xlfn.LET(_xlpm.x, M111:M113, IF(SUM((_xlpm.x="C1")*1)=1, 3, 1))</f>
        <v>3</v>
      </c>
      <c r="Z111" s="25" cm="1">
        <f t="array" ref="Z111">_xlfn.LET(_xlpm.x, N111:N113, IF(SUM((_xlpm.x="C1")*1)=1, 3, 1))</f>
        <v>1</v>
      </c>
      <c r="AA111" s="25" cm="1">
        <f t="array" ref="AA111">_xlfn.LET(_xlpm.x, O111:O113, IF(SUM((_xlpm.x="C1")*1)=1, 3, 1))</f>
        <v>1</v>
      </c>
      <c r="AH111" s="5"/>
      <c r="AI111" s="5"/>
      <c r="AO111" s="5"/>
    </row>
    <row r="112" spans="10:41" x14ac:dyDescent="0.3">
      <c r="J112" s="9">
        <v>108</v>
      </c>
      <c r="K112" s="16" t="s">
        <v>35</v>
      </c>
      <c r="L112" s="16" t="s">
        <v>93</v>
      </c>
      <c r="M112" s="16" t="s">
        <v>105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 cm="1">
        <f t="array" ref="W112">_xlfn.LET(_xlpm.x, K112:K114, IF(SUM((_xlpm.x="C1")*1)=1, 3, 1))</f>
        <v>1</v>
      </c>
      <c r="X112" s="25" cm="1">
        <f t="array" ref="X112">_xlfn.LET(_xlpm.x, L112:L114, IF(SUM((_xlpm.x="C1")*1)=1, 3, 1))</f>
        <v>1</v>
      </c>
      <c r="Y112" s="25" cm="1">
        <f t="array" ref="Y112">_xlfn.LET(_xlpm.x, M112:M114, IF(SUM((_xlpm.x="C1")*1)=1, 3, 1))</f>
        <v>1</v>
      </c>
      <c r="Z112" s="25" cm="1">
        <f t="array" ref="Z112">_xlfn.LET(_xlpm.x, N112:N114, IF(SUM((_xlpm.x="C1")*1)=1, 3, 1))</f>
        <v>1</v>
      </c>
      <c r="AA112" s="25" cm="1">
        <f t="array" ref="AA112">_xlfn.LET(_xlpm.x, O112:O114, IF(SUM((_xlpm.x="C1")*1)=1, 3, 1))</f>
        <v>1</v>
      </c>
      <c r="AH112" s="5"/>
      <c r="AI112" s="5"/>
      <c r="AO112" s="5"/>
    </row>
    <row r="113" spans="10:41" x14ac:dyDescent="0.3">
      <c r="J113" s="25">
        <v>109</v>
      </c>
      <c r="K113" s="16" t="s">
        <v>37</v>
      </c>
      <c r="L113" s="16" t="s">
        <v>104</v>
      </c>
      <c r="M113" s="16" t="s">
        <v>90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 cm="1">
        <f t="array" ref="W113">_xlfn.LET(_xlpm.x, K113:K115, IF(SUM((_xlpm.x="C1")*1)=1, 3, 1))</f>
        <v>1</v>
      </c>
      <c r="X113" s="25" cm="1">
        <f t="array" ref="X113">_xlfn.LET(_xlpm.x, L113:L115, IF(SUM((_xlpm.x="C1")*1)=1, 3, 1))</f>
        <v>1</v>
      </c>
      <c r="Y113" s="25" cm="1">
        <f t="array" ref="Y113">_xlfn.LET(_xlpm.x, M113:M115, IF(SUM((_xlpm.x="C1")*1)=1, 3, 1))</f>
        <v>1</v>
      </c>
      <c r="Z113" s="25" cm="1">
        <f t="array" ref="Z113">_xlfn.LET(_xlpm.x, N113:N115, IF(SUM((_xlpm.x="C1")*1)=1, 3, 1))</f>
        <v>1</v>
      </c>
      <c r="AA113" s="25" cm="1">
        <f t="array" ref="AA113">_xlfn.LET(_xlpm.x, O113:O115, IF(SUM((_xlpm.x="C1")*1)=1, 3, 1))</f>
        <v>1</v>
      </c>
      <c r="AH113" s="5"/>
      <c r="AI113" s="5"/>
      <c r="AO113" s="5"/>
    </row>
    <row r="114" spans="10:41" x14ac:dyDescent="0.3">
      <c r="J114" s="9">
        <v>110</v>
      </c>
      <c r="K114" s="16" t="s">
        <v>104</v>
      </c>
      <c r="L114" s="16" t="s">
        <v>102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 cm="1">
        <f t="array" ref="W114">_xlfn.LET(_xlpm.x, K114:K116, IF(SUM((_xlpm.x="C1")*1)=1, 3, 1))</f>
        <v>1</v>
      </c>
      <c r="X114" s="25" cm="1">
        <f t="array" ref="X114">_xlfn.LET(_xlpm.x, L114:L116, IF(SUM((_xlpm.x="C1")*1)=1, 3, 1))</f>
        <v>1</v>
      </c>
      <c r="Y114" s="25" cm="1">
        <f t="array" ref="Y114">_xlfn.LET(_xlpm.x, M114:M116, IF(SUM((_xlpm.x="C1")*1)=1, 3, 1))</f>
        <v>1</v>
      </c>
      <c r="Z114" s="25" cm="1">
        <f t="array" ref="Z114">_xlfn.LET(_xlpm.x, N114:N116, IF(SUM((_xlpm.x="C1")*1)=1, 3, 1))</f>
        <v>1</v>
      </c>
      <c r="AA114" s="25" cm="1">
        <f t="array" ref="AA114">_xlfn.LET(_xlpm.x, O114:O116, IF(SUM((_xlpm.x="C1")*1)=1, 3, 1))</f>
        <v>1</v>
      </c>
      <c r="AH114" s="5"/>
      <c r="AI114" s="5"/>
      <c r="AO114" s="5"/>
    </row>
    <row r="115" spans="10:41" x14ac:dyDescent="0.3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 cm="1">
        <f t="array" ref="W115">_xlfn.LET(_xlpm.x, K115:K117, IF(SUM((_xlpm.x="C1")*1)=1, 3, 1))</f>
        <v>1</v>
      </c>
      <c r="X115" s="25" cm="1">
        <f t="array" ref="X115">_xlfn.LET(_xlpm.x, L115:L117, IF(SUM((_xlpm.x="C1")*1)=1, 3, 1))</f>
        <v>1</v>
      </c>
      <c r="Y115" s="25" cm="1">
        <f t="array" ref="Y115">_xlfn.LET(_xlpm.x, M115:M117, IF(SUM((_xlpm.x="C1")*1)=1, 3, 1))</f>
        <v>1</v>
      </c>
      <c r="Z115" s="25" cm="1">
        <f t="array" ref="Z115">_xlfn.LET(_xlpm.x, N115:N117, IF(SUM((_xlpm.x="C1")*1)=1, 3, 1))</f>
        <v>1</v>
      </c>
      <c r="AA115" s="25" cm="1">
        <f t="array" ref="AA115">_xlfn.LET(_xlpm.x, O115:O117, IF(SUM((_xlpm.x="C1")*1)=1, 3, 1))</f>
        <v>1</v>
      </c>
      <c r="AH115" s="5"/>
      <c r="AI115" s="5"/>
      <c r="AO115" s="5"/>
    </row>
    <row r="116" spans="10:41" x14ac:dyDescent="0.3">
      <c r="J116" s="9">
        <v>112</v>
      </c>
      <c r="K116" s="16" t="s">
        <v>37</v>
      </c>
      <c r="L116" s="16" t="s">
        <v>34</v>
      </c>
      <c r="M116" s="16" t="s">
        <v>104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 cm="1">
        <f t="array" ref="W116">_xlfn.LET(_xlpm.x, K116:K118, IF(SUM((_xlpm.x="C1")*1)=1, 3, 1))</f>
        <v>1</v>
      </c>
      <c r="X116" s="25" cm="1">
        <f t="array" ref="X116">_xlfn.LET(_xlpm.x, L116:L118, IF(SUM((_xlpm.x="C1")*1)=1, 3, 1))</f>
        <v>1</v>
      </c>
      <c r="Y116" s="25" cm="1">
        <f t="array" ref="Y116">_xlfn.LET(_xlpm.x, M116:M118, IF(SUM((_xlpm.x="C1")*1)=1, 3, 1))</f>
        <v>1</v>
      </c>
      <c r="Z116" s="25" cm="1">
        <f t="array" ref="Z116">_xlfn.LET(_xlpm.x, N116:N118, IF(SUM((_xlpm.x="C1")*1)=1, 3, 1))</f>
        <v>1</v>
      </c>
      <c r="AA116" s="25" cm="1">
        <f t="array" ref="AA116">_xlfn.LET(_xlpm.x, O116:O118, IF(SUM((_xlpm.x="C1")*1)=1, 3, 1))</f>
        <v>1</v>
      </c>
      <c r="AH116" s="5"/>
      <c r="AI116" s="5"/>
      <c r="AO116" s="5"/>
    </row>
    <row r="117" spans="10:41" x14ac:dyDescent="0.3">
      <c r="J117" s="25">
        <v>113</v>
      </c>
      <c r="K117" s="16" t="s">
        <v>104</v>
      </c>
      <c r="L117" s="16" t="s">
        <v>93</v>
      </c>
      <c r="M117" s="16" t="s">
        <v>102</v>
      </c>
      <c r="N117" s="16" t="s">
        <v>36</v>
      </c>
      <c r="O117" s="16" t="s">
        <v>22</v>
      </c>
      <c r="Q117" s="9">
        <v>6</v>
      </c>
      <c r="R117" s="9">
        <v>18</v>
      </c>
      <c r="S117" s="9">
        <v>17</v>
      </c>
      <c r="T117" s="9">
        <v>10</v>
      </c>
      <c r="U117" s="9">
        <v>3</v>
      </c>
      <c r="W117" s="25" cm="1">
        <f t="array" ref="W117">_xlfn.LET(_xlpm.x, K117:K119, IF(SUM((_xlpm.x="C1")*1)=1, 3, 1))</f>
        <v>1</v>
      </c>
      <c r="X117" s="25" cm="1">
        <f t="array" ref="X117">_xlfn.LET(_xlpm.x, L117:L119, IF(SUM((_xlpm.x="C1")*1)=1, 3, 1))</f>
        <v>1</v>
      </c>
      <c r="Y117" s="25" cm="1">
        <f t="array" ref="Y117">_xlfn.LET(_xlpm.x, M117:M119, IF(SUM((_xlpm.x="C1")*1)=1, 3, 1))</f>
        <v>1</v>
      </c>
      <c r="Z117" s="25" cm="1">
        <f t="array" ref="Z117">_xlfn.LET(_xlpm.x, N117:N119, IF(SUM((_xlpm.x="C1")*1)=1, 3, 1))</f>
        <v>1</v>
      </c>
      <c r="AA117" s="25" cm="1">
        <f t="array" ref="AA117">_xlfn.LET(_xlpm.x, O117:O119, IF(SUM((_xlpm.x="C1")*1)=1, 3, 1))</f>
        <v>3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88</v>
      </c>
      <c r="M118" s="16" t="s">
        <v>37</v>
      </c>
      <c r="N118" s="16" t="s">
        <v>22</v>
      </c>
      <c r="O118" s="16" t="s">
        <v>104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 cm="1">
        <f t="array" ref="W118">_xlfn.LET(_xlpm.x, K118:K120, IF(SUM((_xlpm.x="C1")*1)=1, 3, 1))</f>
        <v>1</v>
      </c>
      <c r="X118" s="25" cm="1">
        <f t="array" ref="X118">_xlfn.LET(_xlpm.x, L118:L120, IF(SUM((_xlpm.x="C1")*1)=1, 3, 1))</f>
        <v>1</v>
      </c>
      <c r="Y118" s="25" cm="1">
        <f t="array" ref="Y118">_xlfn.LET(_xlpm.x, M118:M120, IF(SUM((_xlpm.x="C1")*1)=1, 3, 1))</f>
        <v>1</v>
      </c>
      <c r="Z118" s="25" cm="1">
        <f t="array" ref="Z118">_xlfn.LET(_xlpm.x, N118:N120, IF(SUM((_xlpm.x="C1")*1)=1, 3, 1))</f>
        <v>3</v>
      </c>
      <c r="AA118" s="25" cm="1">
        <f t="array" ref="AA118">_xlfn.LET(_xlpm.x, O118:O120, IF(SUM((_xlpm.x="C1")*1)=1, 3, 1))</f>
        <v>3</v>
      </c>
      <c r="AH118" s="5"/>
      <c r="AI118" s="5"/>
      <c r="AO118" s="5"/>
    </row>
    <row r="119" spans="10:41" x14ac:dyDescent="0.3">
      <c r="J119" s="25">
        <v>115</v>
      </c>
      <c r="K119" s="16" t="s">
        <v>37</v>
      </c>
      <c r="L119" s="16" t="s">
        <v>35</v>
      </c>
      <c r="M119" s="16" t="s">
        <v>104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 cm="1">
        <f t="array" ref="W119">_xlfn.LET(_xlpm.x, K119:K121, IF(SUM((_xlpm.x="C1")*1)=1, 3, 1))</f>
        <v>1</v>
      </c>
      <c r="X119" s="25" cm="1">
        <f t="array" ref="X119">_xlfn.LET(_xlpm.x, L119:L121, IF(SUM((_xlpm.x="C1")*1)=1, 3, 1))</f>
        <v>1</v>
      </c>
      <c r="Y119" s="25" cm="1">
        <f t="array" ref="Y119">_xlfn.LET(_xlpm.x, M119:M121, IF(SUM((_xlpm.x="C1")*1)=1, 3, 1))</f>
        <v>1</v>
      </c>
      <c r="Z119" s="25" cm="1">
        <f t="array" ref="Z119">_xlfn.LET(_xlpm.x, N119:N121, IF(SUM((_xlpm.x="C1")*1)=1, 3, 1))</f>
        <v>3</v>
      </c>
      <c r="AA119" s="25" cm="1">
        <f t="array" ref="AA119">_xlfn.LET(_xlpm.x, O119:O121, IF(SUM((_xlpm.x="C1")*1)=1, 3, 1))</f>
        <v>3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35</v>
      </c>
      <c r="M120" s="16" t="s">
        <v>89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 cm="1">
        <f t="array" ref="W120">_xlfn.LET(_xlpm.x, K120:K122, IF(SUM((_xlpm.x="C1")*1)=1, 3, 1))</f>
        <v>1</v>
      </c>
      <c r="X120" s="25" cm="1">
        <f t="array" ref="X120">_xlfn.LET(_xlpm.x, L120:L122, IF(SUM((_xlpm.x="C1")*1)=1, 3, 1))</f>
        <v>1</v>
      </c>
      <c r="Y120" s="25" cm="1">
        <f t="array" ref="Y120">_xlfn.LET(_xlpm.x, M120:M122, IF(SUM((_xlpm.x="C1")*1)=1, 3, 1))</f>
        <v>1</v>
      </c>
      <c r="Z120" s="25" cm="1">
        <f t="array" ref="Z120">_xlfn.LET(_xlpm.x, N120:N122, IF(SUM((_xlpm.x="C1")*1)=1, 3, 1))</f>
        <v>3</v>
      </c>
      <c r="AA120" s="25" cm="1">
        <f t="array" ref="AA120">_xlfn.LET(_xlpm.x, O120:O122, IF(SUM((_xlpm.x="C1")*1)=1, 3, 1))</f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19</v>
      </c>
      <c r="M121" s="16" t="s">
        <v>104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 cm="1">
        <f t="array" ref="W121">_xlfn.LET(_xlpm.x, K121:K123, IF(SUM((_xlpm.x="C1")*1)=1, 3, 1))</f>
        <v>1</v>
      </c>
      <c r="X121" s="25" cm="1">
        <f t="array" ref="X121">_xlfn.LET(_xlpm.x, L121:L123, IF(SUM((_xlpm.x="C1")*1)=1, 3, 1))</f>
        <v>1</v>
      </c>
      <c r="Y121" s="25" cm="1">
        <f t="array" ref="Y121">_xlfn.LET(_xlpm.x, M121:M123, IF(SUM((_xlpm.x="C1")*1)=1, 3, 1))</f>
        <v>1</v>
      </c>
      <c r="Z121" s="25" cm="1">
        <f t="array" ref="Z121">_xlfn.LET(_xlpm.x, N121:N123, IF(SUM((_xlpm.x="C1")*1)=1, 3, 1))</f>
        <v>1</v>
      </c>
      <c r="AA121" s="25" cm="1">
        <f t="array" ref="AA121">_xlfn.LET(_xlpm.x, O121:O123, IF(SUM((_xlpm.x="C1")*1)=1, 3, 1))</f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89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14</v>
      </c>
      <c r="S122" s="9">
        <v>7</v>
      </c>
      <c r="T122" s="9">
        <v>7</v>
      </c>
      <c r="U122" s="9">
        <v>2</v>
      </c>
      <c r="W122" s="25" cm="1">
        <f t="array" ref="W122">_xlfn.LET(_xlpm.x, K122:K124, IF(SUM((_xlpm.x="C1")*1)=1, 3, 1))</f>
        <v>1</v>
      </c>
      <c r="X122" s="25" cm="1">
        <f t="array" ref="X122">_xlfn.LET(_xlpm.x, L122:L124, IF(SUM((_xlpm.x="C1")*1)=1, 3, 1))</f>
        <v>1</v>
      </c>
      <c r="Y122" s="25" cm="1">
        <f t="array" ref="Y122">_xlfn.LET(_xlpm.x, M122:M124, IF(SUM((_xlpm.x="C1")*1)=1, 3, 1))</f>
        <v>1</v>
      </c>
      <c r="Z122" s="25" cm="1">
        <f t="array" ref="Z122">_xlfn.LET(_xlpm.x, N122:N124, IF(SUM((_xlpm.x="C1")*1)=1, 3, 1))</f>
        <v>1</v>
      </c>
      <c r="AA122" s="25" cm="1">
        <f t="array" ref="AA122">_xlfn.LET(_xlpm.x, O122:O124, IF(SUM((_xlpm.x="C1")*1)=1, 3, 1))</f>
        <v>1</v>
      </c>
      <c r="AH122" s="5"/>
      <c r="AI122" s="5"/>
      <c r="AO122" s="5"/>
    </row>
    <row r="123" spans="10:41" x14ac:dyDescent="0.3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 cm="1">
        <f t="array" ref="W123">_xlfn.LET(_xlpm.x, K123:K125, IF(SUM((_xlpm.x="C1")*1)=1, 3, 1))</f>
        <v>1</v>
      </c>
      <c r="X123" s="25" cm="1">
        <f t="array" ref="X123">_xlfn.LET(_xlpm.x, L123:L125, IF(SUM((_xlpm.x="C1")*1)=1, 3, 1))</f>
        <v>1</v>
      </c>
      <c r="Y123" s="25" cm="1">
        <f t="array" ref="Y123">_xlfn.LET(_xlpm.x, M123:M125, IF(SUM((_xlpm.x="C1")*1)=1, 3, 1))</f>
        <v>1</v>
      </c>
      <c r="Z123" s="25" cm="1">
        <f t="array" ref="Z123">_xlfn.LET(_xlpm.x, N123:N125, IF(SUM((_xlpm.x="C1")*1)=1, 3, 1))</f>
        <v>1</v>
      </c>
      <c r="AA123" s="25" cm="1">
        <f t="array" ref="AA123">_xlfn.LET(_xlpm.x, O123:O125, IF(SUM((_xlpm.x="C1")*1)=1, 3, 1))</f>
        <v>1</v>
      </c>
      <c r="AH123" s="5"/>
      <c r="AI123" s="5"/>
      <c r="AO123" s="5"/>
    </row>
    <row r="124" spans="10:41" x14ac:dyDescent="0.3">
      <c r="J124" s="9">
        <v>120</v>
      </c>
      <c r="K124" s="16" t="s">
        <v>19</v>
      </c>
      <c r="L124" s="16" t="s">
        <v>36</v>
      </c>
      <c r="M124" s="16" t="s">
        <v>104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 cm="1">
        <f t="array" ref="W124">_xlfn.LET(_xlpm.x, K124:K126, IF(SUM((_xlpm.x="C1")*1)=1, 3, 1))</f>
        <v>1</v>
      </c>
      <c r="X124" s="25" cm="1">
        <f t="array" ref="X124">_xlfn.LET(_xlpm.x, L124:L126, IF(SUM((_xlpm.x="C1")*1)=1, 3, 1))</f>
        <v>1</v>
      </c>
      <c r="Y124" s="25" cm="1">
        <f t="array" ref="Y124">_xlfn.LET(_xlpm.x, M124:M126, IF(SUM((_xlpm.x="C1")*1)=1, 3, 1))</f>
        <v>3</v>
      </c>
      <c r="Z124" s="25" cm="1">
        <f t="array" ref="Z124">_xlfn.LET(_xlpm.x, N124:N126, IF(SUM((_xlpm.x="C1")*1)=1, 3, 1))</f>
        <v>1</v>
      </c>
      <c r="AA124" s="25" cm="1">
        <f t="array" ref="AA124">_xlfn.LET(_xlpm.x, O124:O126, IF(SUM((_xlpm.x="C1")*1)=1, 3, 1))</f>
        <v>1</v>
      </c>
      <c r="AH124" s="5"/>
      <c r="AI124" s="5"/>
      <c r="AO124" s="5"/>
    </row>
    <row r="125" spans="10:41" x14ac:dyDescent="0.3">
      <c r="J125" s="25">
        <v>121</v>
      </c>
      <c r="K125" s="16" t="s">
        <v>37</v>
      </c>
      <c r="L125" s="16" t="s">
        <v>22</v>
      </c>
      <c r="M125" s="16" t="s">
        <v>104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 cm="1">
        <f t="array" ref="W125">_xlfn.LET(_xlpm.x, K125:K127, IF(SUM((_xlpm.x="C1")*1)=1, 3, 1))</f>
        <v>1</v>
      </c>
      <c r="X125" s="25" cm="1">
        <f t="array" ref="X125">_xlfn.LET(_xlpm.x, L125:L127, IF(SUM((_xlpm.x="C1")*1)=1, 3, 1))</f>
        <v>1</v>
      </c>
      <c r="Y125" s="25" cm="1">
        <f t="array" ref="Y125">_xlfn.LET(_xlpm.x, M125:M127, IF(SUM((_xlpm.x="C1")*1)=1, 3, 1))</f>
        <v>3</v>
      </c>
      <c r="Z125" s="25" cm="1">
        <f t="array" ref="Z125">_xlfn.LET(_xlpm.x, N125:N127, IF(SUM((_xlpm.x="C1")*1)=1, 3, 1))</f>
        <v>1</v>
      </c>
      <c r="AA125" s="25" cm="1">
        <f t="array" ref="AA125">_xlfn.LET(_xlpm.x, O125:O127, IF(SUM((_xlpm.x="C1")*1)=1, 3, 1))</f>
        <v>1</v>
      </c>
      <c r="AH125" s="5"/>
      <c r="AI125" s="5"/>
      <c r="AO125" s="5"/>
    </row>
    <row r="126" spans="10:41" x14ac:dyDescent="0.3">
      <c r="J126" s="9">
        <v>122</v>
      </c>
      <c r="K126" s="16" t="s">
        <v>104</v>
      </c>
      <c r="L126" s="16" t="s">
        <v>93</v>
      </c>
      <c r="M126" s="16" t="s">
        <v>20</v>
      </c>
      <c r="N126" s="16" t="s">
        <v>88</v>
      </c>
      <c r="O126" s="16" t="s">
        <v>34</v>
      </c>
      <c r="Q126" s="9">
        <v>6</v>
      </c>
      <c r="R126" s="9">
        <v>18</v>
      </c>
      <c r="S126" s="9">
        <v>1</v>
      </c>
      <c r="T126" s="9">
        <v>13</v>
      </c>
      <c r="U126" s="9">
        <v>9</v>
      </c>
      <c r="W126" s="25" cm="1">
        <f t="array" ref="W126">_xlfn.LET(_xlpm.x, K126:K128, IF(SUM((_xlpm.x="C1")*1)=1, 3, 1))</f>
        <v>1</v>
      </c>
      <c r="X126" s="25" cm="1">
        <f t="array" ref="X126">_xlfn.LET(_xlpm.x, L126:L128, IF(SUM((_xlpm.x="C1")*1)=1, 3, 1))</f>
        <v>1</v>
      </c>
      <c r="Y126" s="25" cm="1">
        <f t="array" ref="Y126">_xlfn.LET(_xlpm.x, M126:M128, IF(SUM((_xlpm.x="C1")*1)=1, 3, 1))</f>
        <v>3</v>
      </c>
      <c r="Z126" s="25" cm="1">
        <f t="array" ref="Z126">_xlfn.LET(_xlpm.x, N126:N128, IF(SUM((_xlpm.x="C1")*1)=1, 3, 1))</f>
        <v>1</v>
      </c>
      <c r="AA126" s="25" cm="1">
        <f t="array" ref="AA126">_xlfn.LET(_xlpm.x, O126:O128, IF(SUM((_xlpm.x="C1")*1)=1, 3, 1))</f>
        <v>1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87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 cm="1">
        <f t="array" ref="W127">_xlfn.LET(_xlpm.x, K127:K129, IF(SUM((_xlpm.x="C1")*1)=1, 3, 1))</f>
        <v>1</v>
      </c>
      <c r="X127" s="25" cm="1">
        <f t="array" ref="X127">_xlfn.LET(_xlpm.x, L127:L129, IF(SUM((_xlpm.x="C1")*1)=1, 3, 1))</f>
        <v>1</v>
      </c>
      <c r="Y127" s="25" cm="1">
        <f t="array" ref="Y127">_xlfn.LET(_xlpm.x, M127:M129, IF(SUM((_xlpm.x="C1")*1)=1, 3, 1))</f>
        <v>1</v>
      </c>
      <c r="Z127" s="25" cm="1">
        <f t="array" ref="Z127">_xlfn.LET(_xlpm.x, N127:N129, IF(SUM((_xlpm.x="C1")*1)=1, 3, 1))</f>
        <v>1</v>
      </c>
      <c r="AA127" s="25" cm="1">
        <f t="array" ref="AA127">_xlfn.LET(_xlpm.x, O127:O129, IF(SUM((_xlpm.x="C1")*1)=1, 3, 1))</f>
        <v>1</v>
      </c>
      <c r="AH127" s="5"/>
      <c r="AI127" s="5"/>
      <c r="AO127" s="5"/>
    </row>
    <row r="128" spans="10:41" x14ac:dyDescent="0.3">
      <c r="J128" s="9">
        <v>124</v>
      </c>
      <c r="K128" s="16" t="s">
        <v>19</v>
      </c>
      <c r="L128" s="16" t="s">
        <v>95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 cm="1">
        <f t="array" ref="W128">_xlfn.LET(_xlpm.x, K128:K130, IF(SUM((_xlpm.x="C1")*1)=1, 3, 1))</f>
        <v>1</v>
      </c>
      <c r="X128" s="25" cm="1">
        <f t="array" ref="X128">_xlfn.LET(_xlpm.x, L128:L130, IF(SUM((_xlpm.x="C1")*1)=1, 3, 1))</f>
        <v>1</v>
      </c>
      <c r="Y128" s="25" cm="1">
        <f t="array" ref="Y128">_xlfn.LET(_xlpm.x, M128:M130, IF(SUM((_xlpm.x="C1")*1)=1, 3, 1))</f>
        <v>1</v>
      </c>
      <c r="Z128" s="25" cm="1">
        <f t="array" ref="Z128">_xlfn.LET(_xlpm.x, N128:N130, IF(SUM((_xlpm.x="C1")*1)=1, 3, 1))</f>
        <v>1</v>
      </c>
      <c r="AA128" s="25" cm="1">
        <f t="array" ref="AA128">_xlfn.LET(_xlpm.x, O128:O130, IF(SUM((_xlpm.x="C1")*1)=1, 3, 1))</f>
        <v>1</v>
      </c>
      <c r="AH128" s="5"/>
      <c r="AI128" s="5"/>
      <c r="AO128" s="5"/>
    </row>
    <row r="129" spans="10:41" x14ac:dyDescent="0.3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 cm="1">
        <f t="array" ref="W129">_xlfn.LET(_xlpm.x, K129:K131, IF(SUM((_xlpm.x="C1")*1)=1, 3, 1))</f>
        <v>1</v>
      </c>
      <c r="X129" s="25" cm="1">
        <f t="array" ref="X129">_xlfn.LET(_xlpm.x, L129:L131, IF(SUM((_xlpm.x="C1")*1)=1, 3, 1))</f>
        <v>1</v>
      </c>
      <c r="Y129" s="25" cm="1">
        <f t="array" ref="Y129">_xlfn.LET(_xlpm.x, M129:M131, IF(SUM((_xlpm.x="C1")*1)=1, 3, 1))</f>
        <v>1</v>
      </c>
      <c r="Z129" s="25" cm="1">
        <f t="array" ref="Z129">_xlfn.LET(_xlpm.x, N129:N131, IF(SUM((_xlpm.x="C1")*1)=1, 3, 1))</f>
        <v>1</v>
      </c>
      <c r="AA129" s="25" cm="1">
        <f t="array" ref="AA129">_xlfn.LET(_xlpm.x, O129:O131, IF(SUM((_xlpm.x="C1")*1)=1, 3, 1))</f>
        <v>1</v>
      </c>
      <c r="AH129" s="5"/>
      <c r="AI129" s="5"/>
      <c r="AO129" s="5"/>
    </row>
    <row r="130" spans="10:41" x14ac:dyDescent="0.3">
      <c r="J130" s="9">
        <v>126</v>
      </c>
      <c r="K130" s="16" t="s">
        <v>35</v>
      </c>
      <c r="L130" s="16" t="s">
        <v>93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 cm="1">
        <f t="array" ref="W130">_xlfn.LET(_xlpm.x, K130:K132, IF(SUM((_xlpm.x="C1")*1)=1, 3, 1))</f>
        <v>1</v>
      </c>
      <c r="X130" s="25" cm="1">
        <f t="array" ref="X130">_xlfn.LET(_xlpm.x, L130:L132, IF(SUM((_xlpm.x="C1")*1)=1, 3, 1))</f>
        <v>1</v>
      </c>
      <c r="Y130" s="25" cm="1">
        <f t="array" ref="Y130">_xlfn.LET(_xlpm.x, M130:M132, IF(SUM((_xlpm.x="C1")*1)=1, 3, 1))</f>
        <v>1</v>
      </c>
      <c r="Z130" s="25" cm="1">
        <f t="array" ref="Z130">_xlfn.LET(_xlpm.x, N130:N132, IF(SUM((_xlpm.x="C1")*1)=1, 3, 1))</f>
        <v>1</v>
      </c>
      <c r="AA130" s="25" cm="1">
        <f t="array" ref="AA130">_xlfn.LET(_xlpm.x, O130:O132, IF(SUM((_xlpm.x="C1")*1)=1, 3, 1))</f>
        <v>1</v>
      </c>
      <c r="AH130" s="5"/>
      <c r="AI130" s="5"/>
      <c r="AO130" s="5"/>
    </row>
    <row r="131" spans="10:41" x14ac:dyDescent="0.3">
      <c r="J131" s="25">
        <v>127</v>
      </c>
      <c r="K131" s="16" t="s">
        <v>104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 cm="1">
        <f t="array" ref="W131">_xlfn.LET(_xlpm.x, K131:K133, IF(SUM((_xlpm.x="C1")*1)=1, 3, 1))</f>
        <v>1</v>
      </c>
      <c r="X131" s="25" cm="1">
        <f t="array" ref="X131">_xlfn.LET(_xlpm.x, L131:L133, IF(SUM((_xlpm.x="C1")*1)=1, 3, 1))</f>
        <v>1</v>
      </c>
      <c r="Y131" s="25" cm="1">
        <f t="array" ref="Y131">_xlfn.LET(_xlpm.x, M131:M133, IF(SUM((_xlpm.x="C1")*1)=1, 3, 1))</f>
        <v>1</v>
      </c>
      <c r="Z131" s="25" cm="1">
        <f t="array" ref="Z131">_xlfn.LET(_xlpm.x, N131:N133, IF(SUM((_xlpm.x="C1")*1)=1, 3, 1))</f>
        <v>1</v>
      </c>
      <c r="AA131" s="25" cm="1">
        <f t="array" ref="AA131">_xlfn.LET(_xlpm.x, O131:O133, IF(SUM((_xlpm.x="C1")*1)=1, 3, 1))</f>
        <v>1</v>
      </c>
      <c r="AH131" s="5"/>
      <c r="AI131" s="5"/>
      <c r="AO131" s="5"/>
    </row>
    <row r="132" spans="10:41" x14ac:dyDescent="0.3">
      <c r="J132" s="9">
        <v>128</v>
      </c>
      <c r="K132" s="16" t="s">
        <v>104</v>
      </c>
      <c r="L132" s="16" t="s">
        <v>95</v>
      </c>
      <c r="M132" s="16" t="s">
        <v>37</v>
      </c>
      <c r="N132" s="16" t="s">
        <v>104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 cm="1">
        <f t="array" ref="W132">_xlfn.LET(_xlpm.x, K132:K134, IF(SUM((_xlpm.x="C1")*1)=1, 3, 1))</f>
        <v>1</v>
      </c>
      <c r="X132" s="25" cm="1">
        <f t="array" ref="X132">_xlfn.LET(_xlpm.x, L132:L134, IF(SUM((_xlpm.x="C1")*1)=1, 3, 1))</f>
        <v>1</v>
      </c>
      <c r="Y132" s="25" cm="1">
        <f t="array" ref="Y132">_xlfn.LET(_xlpm.x, M132:M134, IF(SUM((_xlpm.x="C1")*1)=1, 3, 1))</f>
        <v>1</v>
      </c>
      <c r="Z132" s="25" cm="1">
        <f t="array" ref="Z132">_xlfn.LET(_xlpm.x, N132:N134, IF(SUM((_xlpm.x="C1")*1)=1, 3, 1))</f>
        <v>1</v>
      </c>
      <c r="AA132" s="25" cm="1">
        <f t="array" ref="AA132">_xlfn.LET(_xlpm.x, O132:O134, IF(SUM((_xlpm.x="C1")*1)=1, 3, 1))</f>
        <v>1</v>
      </c>
      <c r="AH132" s="5"/>
      <c r="AI132" s="5"/>
      <c r="AO132" s="5"/>
    </row>
    <row r="133" spans="10:41" x14ac:dyDescent="0.3">
      <c r="J133" s="25">
        <v>129</v>
      </c>
      <c r="K133" s="16" t="s">
        <v>19</v>
      </c>
      <c r="L133" s="16" t="s">
        <v>95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 cm="1">
        <f t="array" ref="W133">_xlfn.LET(_xlpm.x, K133:K135, IF(SUM((_xlpm.x="C1")*1)=1, 3, 1))</f>
        <v>1</v>
      </c>
      <c r="X133" s="25" cm="1">
        <f t="array" ref="X133">_xlfn.LET(_xlpm.x, L133:L135, IF(SUM((_xlpm.x="C1")*1)=1, 3, 1))</f>
        <v>1</v>
      </c>
      <c r="Y133" s="25" cm="1">
        <f t="array" ref="Y133">_xlfn.LET(_xlpm.x, M133:M135, IF(SUM((_xlpm.x="C1")*1)=1, 3, 1))</f>
        <v>1</v>
      </c>
      <c r="Z133" s="25" cm="1">
        <f t="array" ref="Z133">_xlfn.LET(_xlpm.x, N133:N135, IF(SUM((_xlpm.x="C1")*1)=1, 3, 1))</f>
        <v>1</v>
      </c>
      <c r="AA133" s="25" cm="1">
        <f t="array" ref="AA133">_xlfn.LET(_xlpm.x, O133:O135, IF(SUM((_xlpm.x="C1")*1)=1, 3, 1))</f>
        <v>1</v>
      </c>
      <c r="AH133" s="5"/>
      <c r="AI133" s="5"/>
      <c r="AO133" s="5"/>
    </row>
    <row r="134" spans="10:41" x14ac:dyDescent="0.3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 cm="1">
        <f t="array" ref="W134">_xlfn.LET(_xlpm.x, K134:K136, IF(SUM((_xlpm.x="C1")*1)=1, 3, 1))</f>
        <v>1</v>
      </c>
      <c r="X134" s="25" cm="1">
        <f t="array" ref="X134">_xlfn.LET(_xlpm.x, L134:L136, IF(SUM((_xlpm.x="C1")*1)=1, 3, 1))</f>
        <v>1</v>
      </c>
      <c r="Y134" s="25" cm="1">
        <f t="array" ref="Y134">_xlfn.LET(_xlpm.x, M134:M136, IF(SUM((_xlpm.x="C1")*1)=1, 3, 1))</f>
        <v>1</v>
      </c>
      <c r="Z134" s="25" cm="1">
        <f t="array" ref="Z134">_xlfn.LET(_xlpm.x, N134:N136, IF(SUM((_xlpm.x="C1")*1)=1, 3, 1))</f>
        <v>1</v>
      </c>
      <c r="AA134" s="25" cm="1">
        <f t="array" ref="AA134">_xlfn.LET(_xlpm.x, O134:O136, IF(SUM((_xlpm.x="C1")*1)=1, 3, 1))</f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88</v>
      </c>
      <c r="M135" s="16" t="s">
        <v>37</v>
      </c>
      <c r="N135" s="16" t="s">
        <v>19</v>
      </c>
      <c r="O135" s="16" t="s">
        <v>104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 cm="1">
        <f t="array" ref="W135">_xlfn.LET(_xlpm.x, K135:K137, IF(SUM((_xlpm.x="C1")*1)=1, 3, 1))</f>
        <v>1</v>
      </c>
      <c r="X135" s="25" cm="1">
        <f t="array" ref="X135">_xlfn.LET(_xlpm.x, L135:L137, IF(SUM((_xlpm.x="C1")*1)=1, 3, 1))</f>
        <v>1</v>
      </c>
      <c r="Y135" s="25" cm="1">
        <f t="array" ref="Y135">_xlfn.LET(_xlpm.x, M135:M137, IF(SUM((_xlpm.x="C1")*1)=1, 3, 1))</f>
        <v>1</v>
      </c>
      <c r="Z135" s="25" cm="1">
        <f t="array" ref="Z135">_xlfn.LET(_xlpm.x, N135:N137, IF(SUM((_xlpm.x="C1")*1)=1, 3, 1))</f>
        <v>1</v>
      </c>
      <c r="AA135" s="25" cm="1">
        <f t="array" ref="AA135">_xlfn.LET(_xlpm.x, O135:O137, IF(SUM((_xlpm.x="C1")*1)=1, 3, 1))</f>
        <v>1</v>
      </c>
      <c r="AH135" s="5"/>
      <c r="AI135" s="5"/>
      <c r="AO135" s="5"/>
    </row>
    <row r="136" spans="10:41" x14ac:dyDescent="0.3">
      <c r="J136" s="9">
        <v>132</v>
      </c>
      <c r="K136" s="16" t="s">
        <v>37</v>
      </c>
      <c r="L136" s="16" t="s">
        <v>35</v>
      </c>
      <c r="M136" s="16" t="s">
        <v>90</v>
      </c>
      <c r="N136" s="16" t="s">
        <v>87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 cm="1">
        <f t="array" ref="W136">_xlfn.LET(_xlpm.x, K136:K138, IF(SUM((_xlpm.x="C1")*1)=1, 3, 1))</f>
        <v>1</v>
      </c>
      <c r="X136" s="25" cm="1">
        <f t="array" ref="X136">_xlfn.LET(_xlpm.x, L136:L138, IF(SUM((_xlpm.x="C1")*1)=1, 3, 1))</f>
        <v>1</v>
      </c>
      <c r="Y136" s="25" cm="1">
        <f t="array" ref="Y136">_xlfn.LET(_xlpm.x, M136:M138, IF(SUM((_xlpm.x="C1")*1)=1, 3, 1))</f>
        <v>1</v>
      </c>
      <c r="Z136" s="25" cm="1">
        <f t="array" ref="Z136">_xlfn.LET(_xlpm.x, N136:N138, IF(SUM((_xlpm.x="C1")*1)=1, 3, 1))</f>
        <v>1</v>
      </c>
      <c r="AA136" s="25" cm="1">
        <f t="array" ref="AA136">_xlfn.LET(_xlpm.x, O136:O138, IF(SUM((_xlpm.x="C1")*1)=1, 3, 1))</f>
        <v>1</v>
      </c>
      <c r="AH136" s="5"/>
      <c r="AI136" s="5"/>
      <c r="AO136" s="5"/>
    </row>
    <row r="137" spans="10:41" x14ac:dyDescent="0.3">
      <c r="J137" s="25">
        <v>133</v>
      </c>
      <c r="K137" s="16" t="s">
        <v>104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 cm="1">
        <f t="array" ref="W137">_xlfn.LET(_xlpm.x, K137:K139, IF(SUM((_xlpm.x="C1")*1)=1, 3, 1))</f>
        <v>1</v>
      </c>
      <c r="X137" s="25" cm="1">
        <f t="array" ref="X137">_xlfn.LET(_xlpm.x, L137:L139, IF(SUM((_xlpm.x="C1")*1)=1, 3, 1))</f>
        <v>1</v>
      </c>
      <c r="Y137" s="25" cm="1">
        <f t="array" ref="Y137">_xlfn.LET(_xlpm.x, M137:M139, IF(SUM((_xlpm.x="C1")*1)=1, 3, 1))</f>
        <v>1</v>
      </c>
      <c r="Z137" s="25" cm="1">
        <f t="array" ref="Z137">_xlfn.LET(_xlpm.x, N137:N139, IF(SUM((_xlpm.x="C1")*1)=1, 3, 1))</f>
        <v>1</v>
      </c>
      <c r="AA137" s="25" cm="1">
        <f t="array" ref="AA137">_xlfn.LET(_xlpm.x, O137:O139, IF(SUM((_xlpm.x="C1")*1)=1, 3, 1))</f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89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14</v>
      </c>
      <c r="S138" s="9">
        <v>5</v>
      </c>
      <c r="T138" s="9">
        <v>9</v>
      </c>
      <c r="U138" s="9">
        <v>3</v>
      </c>
      <c r="W138" s="25" cm="1">
        <f t="array" ref="W138">_xlfn.LET(_xlpm.x, K138:K140, IF(SUM((_xlpm.x="C1")*1)=1, 3, 1))</f>
        <v>1</v>
      </c>
      <c r="X138" s="25" cm="1">
        <f t="array" ref="X138">_xlfn.LET(_xlpm.x, L138:L140, IF(SUM((_xlpm.x="C1")*1)=1, 3, 1))</f>
        <v>1</v>
      </c>
      <c r="Y138" s="25" cm="1">
        <f t="array" ref="Y138">_xlfn.LET(_xlpm.x, M138:M140, IF(SUM((_xlpm.x="C1")*1)=1, 3, 1))</f>
        <v>1</v>
      </c>
      <c r="Z138" s="25" cm="1">
        <f t="array" ref="Z138">_xlfn.LET(_xlpm.x, N138:N140, IF(SUM((_xlpm.x="C1")*1)=1, 3, 1))</f>
        <v>1</v>
      </c>
      <c r="AA138" s="25" cm="1">
        <f t="array" ref="AA138">_xlfn.LET(_xlpm.x, O138:O140, IF(SUM((_xlpm.x="C1")*1)=1, 3, 1))</f>
        <v>1</v>
      </c>
      <c r="AH138" s="5"/>
      <c r="AI138" s="5"/>
      <c r="AO138" s="5"/>
    </row>
    <row r="139" spans="10:41" x14ac:dyDescent="0.3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93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 cm="1">
        <f t="array" ref="W139">_xlfn.LET(_xlpm.x, K139:K141, IF(SUM((_xlpm.x="C1")*1)=1, 3, 1))</f>
        <v>1</v>
      </c>
      <c r="X139" s="25" cm="1">
        <f t="array" ref="X139">_xlfn.LET(_xlpm.x, L139:L141, IF(SUM((_xlpm.x="C1")*1)=1, 3, 1))</f>
        <v>1</v>
      </c>
      <c r="Y139" s="25" cm="1">
        <f t="array" ref="Y139">_xlfn.LET(_xlpm.x, M139:M141, IF(SUM((_xlpm.x="C1")*1)=1, 3, 1))</f>
        <v>1</v>
      </c>
      <c r="Z139" s="25" cm="1">
        <f t="array" ref="Z139">_xlfn.LET(_xlpm.x, N139:N141, IF(SUM((_xlpm.x="C1")*1)=1, 3, 1))</f>
        <v>1</v>
      </c>
      <c r="AA139" s="25" cm="1">
        <f t="array" ref="AA139">_xlfn.LET(_xlpm.x, O139:O141, IF(SUM((_xlpm.x="C1")*1)=1, 3, 1))</f>
        <v>1</v>
      </c>
      <c r="AH139" s="5"/>
      <c r="AI139" s="5"/>
      <c r="AO139" s="5"/>
    </row>
    <row r="140" spans="10:41" x14ac:dyDescent="0.3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 cm="1">
        <f t="array" ref="W140">_xlfn.LET(_xlpm.x, K140:K142, IF(SUM((_xlpm.x="C1")*1)=1, 3, 1))</f>
        <v>1</v>
      </c>
      <c r="X140" s="25" cm="1">
        <f t="array" ref="X140">_xlfn.LET(_xlpm.x, L140:L142, IF(SUM((_xlpm.x="C1")*1)=1, 3, 1))</f>
        <v>1</v>
      </c>
      <c r="Y140" s="25" cm="1">
        <f t="array" ref="Y140">_xlfn.LET(_xlpm.x, M140:M142, IF(SUM((_xlpm.x="C1")*1)=1, 3, 1))</f>
        <v>1</v>
      </c>
      <c r="Z140" s="25" cm="1">
        <f t="array" ref="Z140">_xlfn.LET(_xlpm.x, N140:N142, IF(SUM((_xlpm.x="C1")*1)=1, 3, 1))</f>
        <v>1</v>
      </c>
      <c r="AA140" s="25" cm="1">
        <f t="array" ref="AA140">_xlfn.LET(_xlpm.x, O140:O142, IF(SUM((_xlpm.x="C1")*1)=1, 3, 1))</f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90</v>
      </c>
      <c r="M141" s="16" t="s">
        <v>104</v>
      </c>
      <c r="N141" s="16" t="s">
        <v>21</v>
      </c>
      <c r="O141" s="16" t="s">
        <v>34</v>
      </c>
      <c r="Q141" s="9">
        <v>8</v>
      </c>
      <c r="R141" s="9">
        <v>16</v>
      </c>
      <c r="S141" s="9">
        <v>6</v>
      </c>
      <c r="T141" s="9">
        <v>2</v>
      </c>
      <c r="U141" s="9">
        <v>9</v>
      </c>
      <c r="W141" s="25" cm="1">
        <f t="array" ref="W141">_xlfn.LET(_xlpm.x, K141:K143, IF(SUM((_xlpm.x="C1")*1)=1, 3, 1))</f>
        <v>1</v>
      </c>
      <c r="X141" s="25" cm="1">
        <f t="array" ref="X141">_xlfn.LET(_xlpm.x, L141:L143, IF(SUM((_xlpm.x="C1")*1)=1, 3, 1))</f>
        <v>1</v>
      </c>
      <c r="Y141" s="25" cm="1">
        <f t="array" ref="Y141">_xlfn.LET(_xlpm.x, M141:M143, IF(SUM((_xlpm.x="C1")*1)=1, 3, 1))</f>
        <v>1</v>
      </c>
      <c r="Z141" s="25" cm="1">
        <f t="array" ref="Z141">_xlfn.LET(_xlpm.x, N141:N143, IF(SUM((_xlpm.x="C1")*1)=1, 3, 1))</f>
        <v>1</v>
      </c>
      <c r="AA141" s="25" cm="1">
        <f t="array" ref="AA141">_xlfn.LET(_xlpm.x, O141:O143, IF(SUM((_xlpm.x="C1")*1)=1, 3, 1))</f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37</v>
      </c>
      <c r="M142" s="16" t="s">
        <v>102</v>
      </c>
      <c r="N142" s="16" t="s">
        <v>104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 cm="1">
        <f t="array" ref="W142">_xlfn.LET(_xlpm.x, K142:K144, IF(SUM((_xlpm.x="C1")*1)=1, 3, 1))</f>
        <v>1</v>
      </c>
      <c r="X142" s="25" cm="1">
        <f t="array" ref="X142">_xlfn.LET(_xlpm.x, L142:L144, IF(SUM((_xlpm.x="C1")*1)=1, 3, 1))</f>
        <v>1</v>
      </c>
      <c r="Y142" s="25" cm="1">
        <f t="array" ref="Y142">_xlfn.LET(_xlpm.x, M142:M144, IF(SUM((_xlpm.x="C1")*1)=1, 3, 1))</f>
        <v>1</v>
      </c>
      <c r="Z142" s="25" cm="1">
        <f t="array" ref="Z142">_xlfn.LET(_xlpm.x, N142:N144, IF(SUM((_xlpm.x="C1")*1)=1, 3, 1))</f>
        <v>1</v>
      </c>
      <c r="AA142" s="25" cm="1">
        <f t="array" ref="AA142">_xlfn.LET(_xlpm.x, O142:O144, IF(SUM((_xlpm.x="C1")*1)=1, 3, 1))</f>
        <v>1</v>
      </c>
      <c r="AH142" s="5"/>
      <c r="AI142" s="5"/>
      <c r="AO142" s="5"/>
    </row>
    <row r="143" spans="10:41" x14ac:dyDescent="0.3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 cm="1">
        <f t="array" ref="W143">_xlfn.LET(_xlpm.x, K143:K145, IF(SUM((_xlpm.x="C1")*1)=1, 3, 1))</f>
        <v>1</v>
      </c>
      <c r="X143" s="25" cm="1">
        <f t="array" ref="X143">_xlfn.LET(_xlpm.x, L143:L145, IF(SUM((_xlpm.x="C1")*1)=1, 3, 1))</f>
        <v>1</v>
      </c>
      <c r="Y143" s="25" cm="1">
        <f t="array" ref="Y143">_xlfn.LET(_xlpm.x, M143:M145, IF(SUM((_xlpm.x="C1")*1)=1, 3, 1))</f>
        <v>1</v>
      </c>
      <c r="Z143" s="25" cm="1">
        <f t="array" ref="Z143">_xlfn.LET(_xlpm.x, N143:N145, IF(SUM((_xlpm.x="C1")*1)=1, 3, 1))</f>
        <v>1</v>
      </c>
      <c r="AA143" s="25" cm="1">
        <f t="array" ref="AA143">_xlfn.LET(_xlpm.x, O143:O145, IF(SUM((_xlpm.x="C1")*1)=1, 3, 1))</f>
        <v>3</v>
      </c>
      <c r="AH143" s="5"/>
      <c r="AI143" s="5"/>
      <c r="AO143" s="5"/>
    </row>
    <row r="144" spans="10:41" x14ac:dyDescent="0.3">
      <c r="J144" s="9">
        <v>140</v>
      </c>
      <c r="K144" s="16" t="s">
        <v>104</v>
      </c>
      <c r="L144" s="16" t="s">
        <v>90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16</v>
      </c>
      <c r="S144" s="9">
        <v>5</v>
      </c>
      <c r="T144" s="9">
        <v>8</v>
      </c>
      <c r="U144" s="9">
        <v>7</v>
      </c>
      <c r="W144" s="25" cm="1">
        <f t="array" ref="W144">_xlfn.LET(_xlpm.x, K144:K146, IF(SUM((_xlpm.x="C1")*1)=1, 3, 1))</f>
        <v>1</v>
      </c>
      <c r="X144" s="25" cm="1">
        <f t="array" ref="X144">_xlfn.LET(_xlpm.x, L144:L146, IF(SUM((_xlpm.x="C1")*1)=1, 3, 1))</f>
        <v>1</v>
      </c>
      <c r="Y144" s="25" cm="1">
        <f t="array" ref="Y144">_xlfn.LET(_xlpm.x, M144:M146, IF(SUM((_xlpm.x="C1")*1)=1, 3, 1))</f>
        <v>1</v>
      </c>
      <c r="Z144" s="25" cm="1">
        <f t="array" ref="Z144">_xlfn.LET(_xlpm.x, N144:N146, IF(SUM((_xlpm.x="C1")*1)=1, 3, 1))</f>
        <v>1</v>
      </c>
      <c r="AA144" s="25" cm="1">
        <f t="array" ref="AA144">_xlfn.LET(_xlpm.x, O144:O146, IF(SUM((_xlpm.x="C1")*1)=1, 3, 1))</f>
        <v>3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 cm="1">
        <f t="array" ref="W145">_xlfn.LET(_xlpm.x, K145:K147, IF(SUM((_xlpm.x="C1")*1)=1, 3, 1))</f>
        <v>1</v>
      </c>
      <c r="X145" s="25" cm="1">
        <f t="array" ref="X145">_xlfn.LET(_xlpm.x, L145:L147, IF(SUM((_xlpm.x="C1")*1)=1, 3, 1))</f>
        <v>1</v>
      </c>
      <c r="Y145" s="25" cm="1">
        <f t="array" ref="Y145">_xlfn.LET(_xlpm.x, M145:M147, IF(SUM((_xlpm.x="C1")*1)=1, 3, 1))</f>
        <v>1</v>
      </c>
      <c r="Z145" s="25" cm="1">
        <f t="array" ref="Z145">_xlfn.LET(_xlpm.x, N145:N147, IF(SUM((_xlpm.x="C1")*1)=1, 3, 1))</f>
        <v>1</v>
      </c>
      <c r="AA145" s="25" cm="1">
        <f t="array" ref="AA145">_xlfn.LET(_xlpm.x, O145:O147, IF(SUM((_xlpm.x="C1")*1)=1, 3, 1))</f>
        <v>3</v>
      </c>
      <c r="AH145" s="5"/>
      <c r="AI145" s="5"/>
      <c r="AO145" s="5"/>
    </row>
    <row r="146" spans="10:41" x14ac:dyDescent="0.3">
      <c r="J146" s="9">
        <v>142</v>
      </c>
      <c r="K146" s="16" t="s">
        <v>104</v>
      </c>
      <c r="L146" s="16" t="s">
        <v>104</v>
      </c>
      <c r="M146" s="16" t="s">
        <v>19</v>
      </c>
      <c r="N146" s="16" t="s">
        <v>19</v>
      </c>
      <c r="O146" s="16" t="s">
        <v>104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 cm="1">
        <f t="array" ref="W146">_xlfn.LET(_xlpm.x, K146:K148, IF(SUM((_xlpm.x="C1")*1)=1, 3, 1))</f>
        <v>1</v>
      </c>
      <c r="X146" s="25" cm="1">
        <f t="array" ref="X146">_xlfn.LET(_xlpm.x, L146:L148, IF(SUM((_xlpm.x="C1")*1)=1, 3, 1))</f>
        <v>1</v>
      </c>
      <c r="Y146" s="25" cm="1">
        <f t="array" ref="Y146">_xlfn.LET(_xlpm.x, M146:M148, IF(SUM((_xlpm.x="C1")*1)=1, 3, 1))</f>
        <v>1</v>
      </c>
      <c r="Z146" s="25" cm="1">
        <f t="array" ref="Z146">_xlfn.LET(_xlpm.x, N146:N148, IF(SUM((_xlpm.x="C1")*1)=1, 3, 1))</f>
        <v>1</v>
      </c>
      <c r="AA146" s="25" cm="1">
        <f t="array" ref="AA146">_xlfn.LET(_xlpm.x, O146:O148, IF(SUM((_xlpm.x="C1")*1)=1, 3, 1))</f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87</v>
      </c>
      <c r="M147" s="16" t="s">
        <v>104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 cm="1">
        <f t="array" ref="W147">_xlfn.LET(_xlpm.x, K147:K149, IF(SUM((_xlpm.x="C1")*1)=1, 3, 1))</f>
        <v>1</v>
      </c>
      <c r="X147" s="25" cm="1">
        <f t="array" ref="X147">_xlfn.LET(_xlpm.x, L147:L149, IF(SUM((_xlpm.x="C1")*1)=1, 3, 1))</f>
        <v>3</v>
      </c>
      <c r="Y147" s="25" cm="1">
        <f t="array" ref="Y147">_xlfn.LET(_xlpm.x, M147:M149, IF(SUM((_xlpm.x="C1")*1)=1, 3, 1))</f>
        <v>1</v>
      </c>
      <c r="Z147" s="25" cm="1">
        <f t="array" ref="Z147">_xlfn.LET(_xlpm.x, N147:N149, IF(SUM((_xlpm.x="C1")*1)=1, 3, 1))</f>
        <v>1</v>
      </c>
      <c r="AA147" s="25" cm="1">
        <f t="array" ref="AA147">_xlfn.LET(_xlpm.x, O147:O149, IF(SUM((_xlpm.x="C1")*1)=1, 3, 1))</f>
        <v>1</v>
      </c>
      <c r="AH147" s="5"/>
      <c r="AI147" s="5"/>
      <c r="AO147" s="5"/>
    </row>
    <row r="148" spans="10:41" x14ac:dyDescent="0.3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104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 cm="1">
        <f t="array" ref="W148">_xlfn.LET(_xlpm.x, K148:K150, IF(SUM((_xlpm.x="C1")*1)=1, 3, 1))</f>
        <v>1</v>
      </c>
      <c r="X148" s="25" cm="1">
        <f t="array" ref="X148">_xlfn.LET(_xlpm.x, L148:L150, IF(SUM((_xlpm.x="C1")*1)=1, 3, 1))</f>
        <v>3</v>
      </c>
      <c r="Y148" s="25" cm="1">
        <f t="array" ref="Y148">_xlfn.LET(_xlpm.x, M148:M150, IF(SUM((_xlpm.x="C1")*1)=1, 3, 1))</f>
        <v>1</v>
      </c>
      <c r="Z148" s="25" cm="1">
        <f t="array" ref="Z148">_xlfn.LET(_xlpm.x, N148:N150, IF(SUM((_xlpm.x="C1")*1)=1, 3, 1))</f>
        <v>1</v>
      </c>
      <c r="AA148" s="25" cm="1">
        <f t="array" ref="AA148">_xlfn.LET(_xlpm.x, O148:O150, IF(SUM((_xlpm.x="C1")*1)=1, 3, 1))</f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 cm="1">
        <f t="array" ref="W149">_xlfn.LET(_xlpm.x, K149:K151, IF(SUM((_xlpm.x="C1")*1)=1, 3, 1))</f>
        <v>1</v>
      </c>
      <c r="X149" s="25" cm="1">
        <f t="array" ref="X149">_xlfn.LET(_xlpm.x, L149:L151, IF(SUM((_xlpm.x="C1")*1)=1, 3, 1))</f>
        <v>3</v>
      </c>
      <c r="Y149" s="25" cm="1">
        <f t="array" ref="Y149">_xlfn.LET(_xlpm.x, M149:M151, IF(SUM((_xlpm.x="C1")*1)=1, 3, 1))</f>
        <v>1</v>
      </c>
      <c r="Z149" s="25" cm="1">
        <f t="array" ref="Z149">_xlfn.LET(_xlpm.x, N149:N151, IF(SUM((_xlpm.x="C1")*1)=1, 3, 1))</f>
        <v>1</v>
      </c>
      <c r="AA149" s="25" cm="1">
        <f t="array" ref="AA149">_xlfn.LET(_xlpm.x, O149:O151, IF(SUM((_xlpm.x="C1")*1)=1, 3, 1))</f>
        <v>1</v>
      </c>
      <c r="AH149" s="5"/>
      <c r="AI149" s="5"/>
      <c r="AO149" s="5"/>
    </row>
    <row r="150" spans="10:41" x14ac:dyDescent="0.3">
      <c r="J150" s="9">
        <v>146</v>
      </c>
      <c r="K150" s="16" t="s">
        <v>37</v>
      </c>
      <c r="L150" s="16" t="s">
        <v>36</v>
      </c>
      <c r="M150" s="16" t="s">
        <v>37</v>
      </c>
      <c r="N150" s="16" t="s">
        <v>18</v>
      </c>
      <c r="O150" s="16" t="s">
        <v>104</v>
      </c>
      <c r="Q150" s="9">
        <v>7</v>
      </c>
      <c r="R150" s="9">
        <v>10</v>
      </c>
      <c r="S150" s="9">
        <v>7</v>
      </c>
      <c r="T150" s="9">
        <v>4</v>
      </c>
      <c r="U150" s="9">
        <v>6</v>
      </c>
      <c r="W150" s="25" cm="1">
        <f t="array" ref="W150">_xlfn.LET(_xlpm.x, K150:K152, IF(SUM((_xlpm.x="C1")*1)=1, 3, 1))</f>
        <v>1</v>
      </c>
      <c r="X150" s="25" cm="1">
        <f t="array" ref="X150">_xlfn.LET(_xlpm.x, L150:L152, IF(SUM((_xlpm.x="C1")*1)=1, 3, 1))</f>
        <v>1</v>
      </c>
      <c r="Y150" s="25" cm="1">
        <f t="array" ref="Y150">_xlfn.LET(_xlpm.x, M150:M152, IF(SUM((_xlpm.x="C1")*1)=1, 3, 1))</f>
        <v>1</v>
      </c>
      <c r="Z150" s="25" cm="1">
        <f t="array" ref="Z150">_xlfn.LET(_xlpm.x, N150:N152, IF(SUM((_xlpm.x="C1")*1)=1, 3, 1))</f>
        <v>1</v>
      </c>
      <c r="AA150" s="25" cm="1">
        <f t="array" ref="AA150">_xlfn.LET(_xlpm.x, O150:O152, IF(SUM((_xlpm.x="C1")*1)=1, 3, 1))</f>
        <v>3</v>
      </c>
      <c r="AH150" s="5"/>
      <c r="AI150" s="5"/>
      <c r="AO150" s="5"/>
    </row>
    <row r="151" spans="10:41" x14ac:dyDescent="0.3">
      <c r="J151" s="25">
        <v>147</v>
      </c>
      <c r="K151" s="16" t="s">
        <v>104</v>
      </c>
      <c r="L151" s="16" t="s">
        <v>95</v>
      </c>
      <c r="M151" s="16" t="s">
        <v>104</v>
      </c>
      <c r="N151" s="16" t="s">
        <v>18</v>
      </c>
      <c r="O151" s="16" t="s">
        <v>21</v>
      </c>
      <c r="Q151" s="9">
        <v>6</v>
      </c>
      <c r="R151" s="9">
        <v>19</v>
      </c>
      <c r="S151" s="9">
        <v>6</v>
      </c>
      <c r="T151" s="9">
        <v>4</v>
      </c>
      <c r="U151" s="9">
        <v>2</v>
      </c>
      <c r="W151" s="25" cm="1">
        <f t="array" ref="W151">_xlfn.LET(_xlpm.x, K151:K153, IF(SUM((_xlpm.x="C1")*1)=1, 3, 1))</f>
        <v>1</v>
      </c>
      <c r="X151" s="25" cm="1">
        <f t="array" ref="X151">_xlfn.LET(_xlpm.x, L151:L153, IF(SUM((_xlpm.x="C1")*1)=1, 3, 1))</f>
        <v>1</v>
      </c>
      <c r="Y151" s="25" cm="1">
        <f t="array" ref="Y151">_xlfn.LET(_xlpm.x, M151:M153, IF(SUM((_xlpm.x="C1")*1)=1, 3, 1))</f>
        <v>1</v>
      </c>
      <c r="Z151" s="25" cm="1">
        <f t="array" ref="Z151">_xlfn.LET(_xlpm.x, N151:N153, IF(SUM((_xlpm.x="C1")*1)=1, 3, 1))</f>
        <v>1</v>
      </c>
      <c r="AA151" s="25" cm="1">
        <f t="array" ref="AA151">_xlfn.LET(_xlpm.x, O151:O153, IF(SUM((_xlpm.x="C1")*1)=1, 3, 1))</f>
        <v>3</v>
      </c>
      <c r="AH151" s="5"/>
      <c r="AI151" s="5"/>
      <c r="AO151" s="5"/>
    </row>
    <row r="152" spans="10:41" x14ac:dyDescent="0.3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 cm="1">
        <f t="array" ref="W152">_xlfn.LET(_xlpm.x, K152:K154, IF(SUM((_xlpm.x="C1")*1)=1, 3, 1))</f>
        <v>1</v>
      </c>
      <c r="X152" s="25" cm="1">
        <f t="array" ref="X152">_xlfn.LET(_xlpm.x, L152:L154, IF(SUM((_xlpm.x="C1")*1)=1, 3, 1))</f>
        <v>1</v>
      </c>
      <c r="Y152" s="25" cm="1">
        <f t="array" ref="Y152">_xlfn.LET(_xlpm.x, M152:M154, IF(SUM((_xlpm.x="C1")*1)=1, 3, 1))</f>
        <v>1</v>
      </c>
      <c r="Z152" s="25" cm="1">
        <f t="array" ref="Z152">_xlfn.LET(_xlpm.x, N152:N154, IF(SUM((_xlpm.x="C1")*1)=1, 3, 1))</f>
        <v>1</v>
      </c>
      <c r="AA152" s="25" cm="1">
        <f t="array" ref="AA152">_xlfn.LET(_xlpm.x, O152:O154, IF(SUM((_xlpm.x="C1")*1)=1, 3, 1))</f>
        <v>3</v>
      </c>
      <c r="AH152" s="5"/>
      <c r="AI152" s="5"/>
      <c r="AO152" s="5"/>
    </row>
    <row r="153" spans="10:41" x14ac:dyDescent="0.3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88</v>
      </c>
      <c r="O153" s="16" t="s">
        <v>104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 cm="1">
        <f t="array" ref="W153">_xlfn.LET(_xlpm.x, K153:K155, IF(SUM((_xlpm.x="C1")*1)=1, 3, 1))</f>
        <v>1</v>
      </c>
      <c r="X153" s="25" cm="1">
        <f t="array" ref="X153">_xlfn.LET(_xlpm.x, L153:L155, IF(SUM((_xlpm.x="C1")*1)=1, 3, 1))</f>
        <v>1</v>
      </c>
      <c r="Y153" s="25" cm="1">
        <f t="array" ref="Y153">_xlfn.LET(_xlpm.x, M153:M155, IF(SUM((_xlpm.x="C1")*1)=1, 3, 1))</f>
        <v>1</v>
      </c>
      <c r="Z153" s="25" cm="1">
        <f t="array" ref="Z153">_xlfn.LET(_xlpm.x, N153:N155, IF(SUM((_xlpm.x="C1")*1)=1, 3, 1))</f>
        <v>1</v>
      </c>
      <c r="AA153" s="25" cm="1">
        <f t="array" ref="AA153">_xlfn.LET(_xlpm.x, O153:O155, IF(SUM((_xlpm.x="C1")*1)=1, 3, 1))</f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90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 cm="1">
        <f t="array" ref="W154">_xlfn.LET(_xlpm.x, K154:K156, IF(SUM((_xlpm.x="C1")*1)=1, 3, 1))</f>
        <v>1</v>
      </c>
      <c r="X154" s="25" cm="1">
        <f t="array" ref="X154">_xlfn.LET(_xlpm.x, L154:L156, IF(SUM((_xlpm.x="C1")*1)=1, 3, 1))</f>
        <v>1</v>
      </c>
      <c r="Y154" s="25" cm="1">
        <f t="array" ref="Y154">_xlfn.LET(_xlpm.x, M154:M156, IF(SUM((_xlpm.x="C1")*1)=1, 3, 1))</f>
        <v>1</v>
      </c>
      <c r="Z154" s="25" cm="1">
        <f t="array" ref="Z154">_xlfn.LET(_xlpm.x, N154:N156, IF(SUM((_xlpm.x="C1")*1)=1, 3, 1))</f>
        <v>1</v>
      </c>
      <c r="AA154" s="25" cm="1">
        <f t="array" ref="AA154">_xlfn.LET(_xlpm.x, O154:O156, IF(SUM((_xlpm.x="C1")*1)=1, 3, 1))</f>
        <v>1</v>
      </c>
      <c r="AH154" s="5"/>
      <c r="AI154" s="5"/>
      <c r="AO154" s="5"/>
    </row>
    <row r="155" spans="10:41" x14ac:dyDescent="0.3">
      <c r="J155" s="25">
        <v>151</v>
      </c>
      <c r="K155" s="16" t="s">
        <v>104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 cm="1">
        <f t="array" ref="W155">_xlfn.LET(_xlpm.x, K155:K157, IF(SUM((_xlpm.x="C1")*1)=1, 3, 1))</f>
        <v>1</v>
      </c>
      <c r="X155" s="25" cm="1">
        <f t="array" ref="X155">_xlfn.LET(_xlpm.x, L155:L157, IF(SUM((_xlpm.x="C1")*1)=1, 3, 1))</f>
        <v>1</v>
      </c>
      <c r="Y155" s="25" cm="1">
        <f t="array" ref="Y155">_xlfn.LET(_xlpm.x, M155:M157, IF(SUM((_xlpm.x="C1")*1)=1, 3, 1))</f>
        <v>1</v>
      </c>
      <c r="Z155" s="25" cm="1">
        <f t="array" ref="Z155">_xlfn.LET(_xlpm.x, N155:N157, IF(SUM((_xlpm.x="C1")*1)=1, 3, 1))</f>
        <v>1</v>
      </c>
      <c r="AA155" s="25" cm="1">
        <f t="array" ref="AA155">_xlfn.LET(_xlpm.x, O155:O157, IF(SUM((_xlpm.x="C1")*1)=1, 3, 1))</f>
        <v>1</v>
      </c>
      <c r="AH155" s="5"/>
      <c r="AI155" s="5"/>
      <c r="AO155" s="5"/>
    </row>
    <row r="156" spans="10:41" x14ac:dyDescent="0.3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104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 cm="1">
        <f t="array" ref="W156">_xlfn.LET(_xlpm.x, K156:K158, IF(SUM((_xlpm.x="C1")*1)=1, 3, 1))</f>
        <v>1</v>
      </c>
      <c r="X156" s="25" cm="1">
        <f t="array" ref="X156">_xlfn.LET(_xlpm.x, L156:L158, IF(SUM((_xlpm.x="C1")*1)=1, 3, 1))</f>
        <v>1</v>
      </c>
      <c r="Y156" s="25" cm="1">
        <f t="array" ref="Y156">_xlfn.LET(_xlpm.x, M156:M158, IF(SUM((_xlpm.x="C1")*1)=1, 3, 1))</f>
        <v>1</v>
      </c>
      <c r="Z156" s="25" cm="1">
        <f t="array" ref="Z156">_xlfn.LET(_xlpm.x, N156:N158, IF(SUM((_xlpm.x="C1")*1)=1, 3, 1))</f>
        <v>1</v>
      </c>
      <c r="AA156" s="25" cm="1">
        <f t="array" ref="AA156">_xlfn.LET(_xlpm.x, O156:O158, IF(SUM((_xlpm.x="C1")*1)=1, 3, 1))</f>
        <v>1</v>
      </c>
      <c r="AH156" s="5"/>
      <c r="AI156" s="5"/>
      <c r="AO156" s="5"/>
    </row>
    <row r="157" spans="10:41" x14ac:dyDescent="0.3">
      <c r="J157" s="25">
        <v>153</v>
      </c>
      <c r="K157" s="16" t="s">
        <v>104</v>
      </c>
      <c r="L157" s="16" t="s">
        <v>21</v>
      </c>
      <c r="M157" s="16" t="s">
        <v>19</v>
      </c>
      <c r="N157" s="16" t="s">
        <v>90</v>
      </c>
      <c r="O157" s="16" t="s">
        <v>104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 cm="1">
        <f t="array" ref="W157">_xlfn.LET(_xlpm.x, K157:K159, IF(SUM((_xlpm.x="C1")*1)=1, 3, 1))</f>
        <v>1</v>
      </c>
      <c r="X157" s="25" cm="1">
        <f t="array" ref="X157">_xlfn.LET(_xlpm.x, L157:L159, IF(SUM((_xlpm.x="C1")*1)=1, 3, 1))</f>
        <v>1</v>
      </c>
      <c r="Y157" s="25" cm="1">
        <f t="array" ref="Y157">_xlfn.LET(_xlpm.x, M157:M159, IF(SUM((_xlpm.x="C1")*1)=1, 3, 1))</f>
        <v>1</v>
      </c>
      <c r="Z157" s="25" cm="1">
        <f t="array" ref="Z157">_xlfn.LET(_xlpm.x, N157:N159, IF(SUM((_xlpm.x="C1")*1)=1, 3, 1))</f>
        <v>3</v>
      </c>
      <c r="AA157" s="25" cm="1">
        <f t="array" ref="AA157">_xlfn.LET(_xlpm.x, O157:O159, IF(SUM((_xlpm.x="C1")*1)=1, 3, 1))</f>
        <v>3</v>
      </c>
      <c r="AH157" s="5"/>
      <c r="AI157" s="5"/>
      <c r="AO157" s="5"/>
    </row>
    <row r="158" spans="10:41" x14ac:dyDescent="0.3">
      <c r="J158" s="9">
        <v>154</v>
      </c>
      <c r="K158" s="16" t="s">
        <v>35</v>
      </c>
      <c r="L158" s="16" t="s">
        <v>88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13</v>
      </c>
      <c r="S158" s="9">
        <v>8</v>
      </c>
      <c r="T158" s="9">
        <v>2</v>
      </c>
      <c r="U158" s="9">
        <v>8</v>
      </c>
      <c r="W158" s="25" cm="1">
        <f t="array" ref="W158">_xlfn.LET(_xlpm.x, K158:K160, IF(SUM((_xlpm.x="C1")*1)=1, 3, 1))</f>
        <v>3</v>
      </c>
      <c r="X158" s="25" cm="1">
        <f t="array" ref="X158">_xlfn.LET(_xlpm.x, L158:L160, IF(SUM((_xlpm.x="C1")*1)=1, 3, 1))</f>
        <v>1</v>
      </c>
      <c r="Y158" s="25" cm="1">
        <f t="array" ref="Y158">_xlfn.LET(_xlpm.x, M158:M160, IF(SUM((_xlpm.x="C1")*1)=1, 3, 1))</f>
        <v>1</v>
      </c>
      <c r="Z158" s="25" cm="1">
        <f t="array" ref="Z158">_xlfn.LET(_xlpm.x, N158:N160, IF(SUM((_xlpm.x="C1")*1)=1, 3, 1))</f>
        <v>3</v>
      </c>
      <c r="AA158" s="25" cm="1">
        <f t="array" ref="AA158">_xlfn.LET(_xlpm.x, O158:O160, IF(SUM((_xlpm.x="C1")*1)=1, 3, 1))</f>
        <v>3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 cm="1">
        <f t="array" ref="W159">_xlfn.LET(_xlpm.x, K159:K161, IF(SUM((_xlpm.x="C1")*1)=1, 3, 1))</f>
        <v>3</v>
      </c>
      <c r="X159" s="25" cm="1">
        <f t="array" ref="X159">_xlfn.LET(_xlpm.x, L159:L161, IF(SUM((_xlpm.x="C1")*1)=1, 3, 1))</f>
        <v>1</v>
      </c>
      <c r="Y159" s="25" cm="1">
        <f t="array" ref="Y159">_xlfn.LET(_xlpm.x, M159:M161, IF(SUM((_xlpm.x="C1")*1)=1, 3, 1))</f>
        <v>1</v>
      </c>
      <c r="Z159" s="25" cm="1">
        <f t="array" ref="Z159">_xlfn.LET(_xlpm.x, N159:N161, IF(SUM((_xlpm.x="C1")*1)=1, 3, 1))</f>
        <v>3</v>
      </c>
      <c r="AA159" s="25" cm="1">
        <f t="array" ref="AA159">_xlfn.LET(_xlpm.x, O159:O161, IF(SUM((_xlpm.x="C1")*1)=1, 3, 1))</f>
        <v>3</v>
      </c>
      <c r="AH159" s="5"/>
      <c r="AI159" s="5"/>
      <c r="AO159" s="5"/>
    </row>
    <row r="160" spans="10:41" x14ac:dyDescent="0.3">
      <c r="J160" s="9">
        <v>156</v>
      </c>
      <c r="K160" s="16" t="s">
        <v>20</v>
      </c>
      <c r="L160" s="16" t="s">
        <v>105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15</v>
      </c>
      <c r="S160" s="9">
        <v>7</v>
      </c>
      <c r="T160" s="9">
        <v>7</v>
      </c>
      <c r="U160" s="9">
        <v>5</v>
      </c>
      <c r="W160" s="25" cm="1">
        <f t="array" ref="W160">_xlfn.LET(_xlpm.x, K160:K162, IF(SUM((_xlpm.x="C1")*1)=1, 3, 1))</f>
        <v>3</v>
      </c>
      <c r="X160" s="25" cm="1">
        <f t="array" ref="X160">_xlfn.LET(_xlpm.x, L160:L162, IF(SUM((_xlpm.x="C1")*1)=1, 3, 1))</f>
        <v>1</v>
      </c>
      <c r="Y160" s="25" cm="1">
        <f t="array" ref="Y160">_xlfn.LET(_xlpm.x, M160:M162, IF(SUM((_xlpm.x="C1")*1)=1, 3, 1))</f>
        <v>1</v>
      </c>
      <c r="Z160" s="25" cm="1">
        <f t="array" ref="Z160">_xlfn.LET(_xlpm.x, N160:N162, IF(SUM((_xlpm.x="C1")*1)=1, 3, 1))</f>
        <v>1</v>
      </c>
      <c r="AA160" s="25" cm="1">
        <f t="array" ref="AA160">_xlfn.LET(_xlpm.x, O160:O162, IF(SUM((_xlpm.x="C1")*1)=1, 3, 1))</f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21</v>
      </c>
      <c r="M161" s="16" t="s">
        <v>104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 cm="1">
        <f t="array" ref="W161">_xlfn.LET(_xlpm.x, K161:K163, IF(SUM((_xlpm.x="C1")*1)=1, 3, 1))</f>
        <v>1</v>
      </c>
      <c r="X161" s="25" cm="1">
        <f t="array" ref="X161">_xlfn.LET(_xlpm.x, L161:L163, IF(SUM((_xlpm.x="C1")*1)=1, 3, 1))</f>
        <v>1</v>
      </c>
      <c r="Y161" s="25" cm="1">
        <f t="array" ref="Y161">_xlfn.LET(_xlpm.x, M161:M163, IF(SUM((_xlpm.x="C1")*1)=1, 3, 1))</f>
        <v>1</v>
      </c>
      <c r="Z161" s="25" cm="1">
        <f t="array" ref="Z161">_xlfn.LET(_xlpm.x, N161:N163, IF(SUM((_xlpm.x="C1")*1)=1, 3, 1))</f>
        <v>1</v>
      </c>
      <c r="AA161" s="25" cm="1">
        <f t="array" ref="AA161">_xlfn.LET(_xlpm.x, O161:O163, IF(SUM((_xlpm.x="C1")*1)=1, 3, 1))</f>
        <v>1</v>
      </c>
      <c r="AH161" s="5"/>
      <c r="AI161" s="5"/>
      <c r="AO161" s="5"/>
    </row>
    <row r="162" spans="10:41" x14ac:dyDescent="0.3">
      <c r="J162" s="9">
        <v>158</v>
      </c>
      <c r="K162" s="16" t="s">
        <v>34</v>
      </c>
      <c r="L162" s="16" t="s">
        <v>36</v>
      </c>
      <c r="M162" s="16" t="s">
        <v>104</v>
      </c>
      <c r="N162" s="16" t="s">
        <v>34</v>
      </c>
      <c r="O162" s="16" t="s">
        <v>104</v>
      </c>
      <c r="Q162" s="9">
        <v>9</v>
      </c>
      <c r="R162" s="9">
        <v>10</v>
      </c>
      <c r="S162" s="9">
        <v>6</v>
      </c>
      <c r="T162" s="9">
        <v>9</v>
      </c>
      <c r="U162" s="9">
        <v>6</v>
      </c>
      <c r="W162" s="25" cm="1">
        <f t="array" ref="W162">_xlfn.LET(_xlpm.x, K162:K164, IF(SUM((_xlpm.x="C1")*1)=1, 3, 1))</f>
        <v>1</v>
      </c>
      <c r="X162" s="25" cm="1">
        <f t="array" ref="X162">_xlfn.LET(_xlpm.x, L162:L164, IF(SUM((_xlpm.x="C1")*1)=1, 3, 1))</f>
        <v>1</v>
      </c>
      <c r="Y162" s="25" cm="1">
        <f t="array" ref="Y162">_xlfn.LET(_xlpm.x, M162:M164, IF(SUM((_xlpm.x="C1")*1)=1, 3, 1))</f>
        <v>1</v>
      </c>
      <c r="Z162" s="25" cm="1">
        <f t="array" ref="Z162">_xlfn.LET(_xlpm.x, N162:N164, IF(SUM((_xlpm.x="C1")*1)=1, 3, 1))</f>
        <v>1</v>
      </c>
      <c r="AA162" s="25" cm="1">
        <f t="array" ref="AA162">_xlfn.LET(_xlpm.x, O162:O164, IF(SUM((_xlpm.x="C1")*1)=1, 3, 1))</f>
        <v>1</v>
      </c>
      <c r="AH162" s="5"/>
      <c r="AI162" s="5"/>
      <c r="AO162" s="5"/>
    </row>
    <row r="163" spans="10:41" x14ac:dyDescent="0.3">
      <c r="J163" s="25">
        <v>159</v>
      </c>
      <c r="K163" s="16" t="s">
        <v>35</v>
      </c>
      <c r="L163" s="16" t="s">
        <v>88</v>
      </c>
      <c r="M163" s="16" t="s">
        <v>104</v>
      </c>
      <c r="N163" s="16" t="s">
        <v>34</v>
      </c>
      <c r="O163" s="16" t="s">
        <v>104</v>
      </c>
      <c r="Q163" s="9">
        <v>8</v>
      </c>
      <c r="R163" s="9">
        <v>13</v>
      </c>
      <c r="S163" s="9">
        <v>6</v>
      </c>
      <c r="T163" s="9">
        <v>9</v>
      </c>
      <c r="U163" s="9">
        <v>6</v>
      </c>
      <c r="W163" s="25" cm="1">
        <f t="array" ref="W163">_xlfn.LET(_xlpm.x, K163:K165, IF(SUM((_xlpm.x="C1")*1)=1, 3, 1))</f>
        <v>1</v>
      </c>
      <c r="X163" s="25" cm="1">
        <f t="array" ref="X163">_xlfn.LET(_xlpm.x, L163:L165, IF(SUM((_xlpm.x="C1")*1)=1, 3, 1))</f>
        <v>1</v>
      </c>
      <c r="Y163" s="25" cm="1">
        <f t="array" ref="Y163">_xlfn.LET(_xlpm.x, M163:M165, IF(SUM((_xlpm.x="C1")*1)=1, 3, 1))</f>
        <v>1</v>
      </c>
      <c r="Z163" s="25" cm="1">
        <f t="array" ref="Z163">_xlfn.LET(_xlpm.x, N163:N165, IF(SUM((_xlpm.x="C1")*1)=1, 3, 1))</f>
        <v>1</v>
      </c>
      <c r="AA163" s="25" cm="1">
        <f t="array" ref="AA163">_xlfn.LET(_xlpm.x, O163:O165, IF(SUM((_xlpm.x="C1")*1)=1, 3, 1))</f>
        <v>1</v>
      </c>
      <c r="AH163" s="5"/>
      <c r="AI163" s="5"/>
      <c r="AO163" s="5"/>
    </row>
    <row r="164" spans="10:41" x14ac:dyDescent="0.3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 cm="1">
        <f t="array" ref="W164">_xlfn.LET(_xlpm.x, K164:K166, IF(SUM((_xlpm.x="C1")*1)=1, 3, 1))</f>
        <v>1</v>
      </c>
      <c r="X164" s="25" cm="1">
        <f t="array" ref="X164">_xlfn.LET(_xlpm.x, L164:L166, IF(SUM((_xlpm.x="C1")*1)=1, 3, 1))</f>
        <v>1</v>
      </c>
      <c r="Y164" s="25" cm="1">
        <f t="array" ref="Y164">_xlfn.LET(_xlpm.x, M164:M166, IF(SUM((_xlpm.x="C1")*1)=1, 3, 1))</f>
        <v>1</v>
      </c>
      <c r="Z164" s="25" cm="1">
        <f t="array" ref="Z164">_xlfn.LET(_xlpm.x, N164:N166, IF(SUM((_xlpm.x="C1")*1)=1, 3, 1))</f>
        <v>1</v>
      </c>
      <c r="AA164" s="25" cm="1">
        <f t="array" ref="AA164">_xlfn.LET(_xlpm.x, O164:O166, IF(SUM((_xlpm.x="C1")*1)=1, 3, 1))</f>
        <v>1</v>
      </c>
      <c r="AH164" s="5"/>
      <c r="AI164" s="5"/>
      <c r="AO164" s="5"/>
    </row>
    <row r="165" spans="10:41" x14ac:dyDescent="0.3">
      <c r="J165" s="25">
        <v>161</v>
      </c>
      <c r="K165" s="16" t="s">
        <v>19</v>
      </c>
      <c r="L165" s="16" t="s">
        <v>86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 cm="1">
        <f t="array" ref="W165">_xlfn.LET(_xlpm.x, K165:K167, IF(SUM((_xlpm.x="C1")*1)=1, 3, 1))</f>
        <v>1</v>
      </c>
      <c r="X165" s="25" cm="1">
        <f t="array" ref="X165">_xlfn.LET(_xlpm.x, L165:L167, IF(SUM((_xlpm.x="C1")*1)=1, 3, 1))</f>
        <v>1</v>
      </c>
      <c r="Y165" s="25" cm="1">
        <f t="array" ref="Y165">_xlfn.LET(_xlpm.x, M165:M167, IF(SUM((_xlpm.x="C1")*1)=1, 3, 1))</f>
        <v>1</v>
      </c>
      <c r="Z165" s="25" cm="1">
        <f t="array" ref="Z165">_xlfn.LET(_xlpm.x, N165:N167, IF(SUM((_xlpm.x="C1")*1)=1, 3, 1))</f>
        <v>1</v>
      </c>
      <c r="AA165" s="25" cm="1">
        <f t="array" ref="AA165">_xlfn.LET(_xlpm.x, O165:O167, IF(SUM((_xlpm.x="C1")*1)=1, 3, 1))</f>
        <v>1</v>
      </c>
      <c r="AH165" s="5"/>
      <c r="AI165" s="5"/>
      <c r="AO165" s="5"/>
    </row>
    <row r="166" spans="10:41" x14ac:dyDescent="0.3">
      <c r="J166" s="9">
        <v>162</v>
      </c>
      <c r="K166" s="16" t="s">
        <v>104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 cm="1">
        <f t="array" ref="W166">_xlfn.LET(_xlpm.x, K166:K168, IF(SUM((_xlpm.x="C1")*1)=1, 3, 1))</f>
        <v>1</v>
      </c>
      <c r="X166" s="25" cm="1">
        <f t="array" ref="X166">_xlfn.LET(_xlpm.x, L166:L168, IF(SUM((_xlpm.x="C1")*1)=1, 3, 1))</f>
        <v>1</v>
      </c>
      <c r="Y166" s="25" cm="1">
        <f t="array" ref="Y166">_xlfn.LET(_xlpm.x, M166:M168, IF(SUM((_xlpm.x="C1")*1)=1, 3, 1))</f>
        <v>1</v>
      </c>
      <c r="Z166" s="25" cm="1">
        <f t="array" ref="Z166">_xlfn.LET(_xlpm.x, N166:N168, IF(SUM((_xlpm.x="C1")*1)=1, 3, 1))</f>
        <v>1</v>
      </c>
      <c r="AA166" s="25" cm="1">
        <f t="array" ref="AA166">_xlfn.LET(_xlpm.x, O166:O168, IF(SUM((_xlpm.x="C1")*1)=1, 3, 1))</f>
        <v>1</v>
      </c>
      <c r="AH166" s="5"/>
      <c r="AI166" s="5"/>
      <c r="AO166" s="5"/>
    </row>
    <row r="167" spans="10:41" x14ac:dyDescent="0.3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 cm="1">
        <f t="array" ref="W167">_xlfn.LET(_xlpm.x, K167:K169, IF(SUM((_xlpm.x="C1")*1)=1, 3, 1))</f>
        <v>1</v>
      </c>
      <c r="X167" s="25" cm="1">
        <f t="array" ref="X167">_xlfn.LET(_xlpm.x, L167:L169, IF(SUM((_xlpm.x="C1")*1)=1, 3, 1))</f>
        <v>1</v>
      </c>
      <c r="Y167" s="25" cm="1">
        <f t="array" ref="Y167">_xlfn.LET(_xlpm.x, M167:M169, IF(SUM((_xlpm.x="C1")*1)=1, 3, 1))</f>
        <v>1</v>
      </c>
      <c r="Z167" s="25" cm="1">
        <f t="array" ref="Z167">_xlfn.LET(_xlpm.x, N167:N169, IF(SUM((_xlpm.x="C1")*1)=1, 3, 1))</f>
        <v>1</v>
      </c>
      <c r="AA167" s="25" cm="1">
        <f t="array" ref="AA167">_xlfn.LET(_xlpm.x, O167:O169, IF(SUM((_xlpm.x="C1")*1)=1, 3, 1))</f>
        <v>1</v>
      </c>
      <c r="AH167" s="5"/>
      <c r="AI167" s="5"/>
      <c r="AO167" s="5"/>
    </row>
    <row r="168" spans="10:41" x14ac:dyDescent="0.3">
      <c r="J168" s="9">
        <v>164</v>
      </c>
      <c r="K168" s="16" t="s">
        <v>37</v>
      </c>
      <c r="L168" s="16" t="s">
        <v>88</v>
      </c>
      <c r="M168" s="16" t="s">
        <v>104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 cm="1">
        <f t="array" ref="W168">_xlfn.LET(_xlpm.x, K168:K170, IF(SUM((_xlpm.x="C1")*1)=1, 3, 1))</f>
        <v>1</v>
      </c>
      <c r="X168" s="25" cm="1">
        <f t="array" ref="X168">_xlfn.LET(_xlpm.x, L168:L170, IF(SUM((_xlpm.x="C1")*1)=1, 3, 1))</f>
        <v>1</v>
      </c>
      <c r="Y168" s="25" cm="1">
        <f t="array" ref="Y168">_xlfn.LET(_xlpm.x, M168:M170, IF(SUM((_xlpm.x="C1")*1)=1, 3, 1))</f>
        <v>1</v>
      </c>
      <c r="Z168" s="25" cm="1">
        <f t="array" ref="Z168">_xlfn.LET(_xlpm.x, N168:N170, IF(SUM((_xlpm.x="C1")*1)=1, 3, 1))</f>
        <v>1</v>
      </c>
      <c r="AA168" s="25" cm="1">
        <f t="array" ref="AA168">_xlfn.LET(_xlpm.x, O168:O170, IF(SUM((_xlpm.x="C1")*1)=1, 3, 1))</f>
        <v>1</v>
      </c>
      <c r="AH168" s="5"/>
      <c r="AI168" s="5"/>
      <c r="AO168" s="5"/>
    </row>
    <row r="169" spans="10:41" x14ac:dyDescent="0.3">
      <c r="J169" s="25">
        <v>165</v>
      </c>
      <c r="K169" s="16" t="s">
        <v>37</v>
      </c>
      <c r="L169" s="16" t="s">
        <v>34</v>
      </c>
      <c r="M169" s="16" t="s">
        <v>104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 cm="1">
        <f t="array" ref="W169">_xlfn.LET(_xlpm.x, K169:K171, IF(SUM((_xlpm.x="C1")*1)=1, 3, 1))</f>
        <v>1</v>
      </c>
      <c r="X169" s="25" cm="1">
        <f t="array" ref="X169">_xlfn.LET(_xlpm.x, L169:L171, IF(SUM((_xlpm.x="C1")*1)=1, 3, 1))</f>
        <v>1</v>
      </c>
      <c r="Y169" s="25" cm="1">
        <f t="array" ref="Y169">_xlfn.LET(_xlpm.x, M169:M171, IF(SUM((_xlpm.x="C1")*1)=1, 3, 1))</f>
        <v>1</v>
      </c>
      <c r="Z169" s="25" cm="1">
        <f t="array" ref="Z169">_xlfn.LET(_xlpm.x, N169:N171, IF(SUM((_xlpm.x="C1")*1)=1, 3, 1))</f>
        <v>1</v>
      </c>
      <c r="AA169" s="25" cm="1">
        <f t="array" ref="AA169">_xlfn.LET(_xlpm.x, O169:O171, IF(SUM((_xlpm.x="C1")*1)=1, 3, 1))</f>
        <v>1</v>
      </c>
      <c r="AH169" s="5"/>
      <c r="AI169" s="5"/>
      <c r="AO169" s="5"/>
    </row>
    <row r="170" spans="10:41" x14ac:dyDescent="0.3">
      <c r="J170" s="9">
        <v>166</v>
      </c>
      <c r="K170" s="16" t="s">
        <v>37</v>
      </c>
      <c r="L170" s="16" t="s">
        <v>21</v>
      </c>
      <c r="M170" s="16" t="s">
        <v>104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 cm="1">
        <f t="array" ref="W170">_xlfn.LET(_xlpm.x, K170:K172, IF(SUM((_xlpm.x="C1")*1)=1, 3, 1))</f>
        <v>1</v>
      </c>
      <c r="X170" s="25" cm="1">
        <f t="array" ref="X170">_xlfn.LET(_xlpm.x, L170:L172, IF(SUM((_xlpm.x="C1")*1)=1, 3, 1))</f>
        <v>1</v>
      </c>
      <c r="Y170" s="25" cm="1">
        <f t="array" ref="Y170">_xlfn.LET(_xlpm.x, M170:M172, IF(SUM((_xlpm.x="C1")*1)=1, 3, 1))</f>
        <v>1</v>
      </c>
      <c r="Z170" s="25" cm="1">
        <f t="array" ref="Z170">_xlfn.LET(_xlpm.x, N170:N172, IF(SUM((_xlpm.x="C1")*1)=1, 3, 1))</f>
        <v>1</v>
      </c>
      <c r="AA170" s="25" cm="1">
        <f t="array" ref="AA170">_xlfn.LET(_xlpm.x, O170:O172, IF(SUM((_xlpm.x="C1")*1)=1, 3, 1))</f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 cm="1">
        <f t="array" ref="W171">_xlfn.LET(_xlpm.x, K171:K173, IF(SUM((_xlpm.x="C1")*1)=1, 3, 1))</f>
        <v>1</v>
      </c>
      <c r="X171" s="25" cm="1">
        <f t="array" ref="X171">_xlfn.LET(_xlpm.x, L171:L173, IF(SUM((_xlpm.x="C1")*1)=1, 3, 1))</f>
        <v>1</v>
      </c>
      <c r="Y171" s="25" cm="1">
        <f t="array" ref="Y171">_xlfn.LET(_xlpm.x, M171:M173, IF(SUM((_xlpm.x="C1")*1)=1, 3, 1))</f>
        <v>1</v>
      </c>
      <c r="Z171" s="25" cm="1">
        <f t="array" ref="Z171">_xlfn.LET(_xlpm.x, N171:N173, IF(SUM((_xlpm.x="C1")*1)=1, 3, 1))</f>
        <v>1</v>
      </c>
      <c r="AA171" s="25" cm="1">
        <f t="array" ref="AA171">_xlfn.LET(_xlpm.x, O171:O173, IF(SUM((_xlpm.x="C1")*1)=1, 3, 1))</f>
        <v>1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87</v>
      </c>
      <c r="M172" s="16" t="s">
        <v>104</v>
      </c>
      <c r="N172" s="16" t="s">
        <v>104</v>
      </c>
      <c r="O172" s="16" t="s">
        <v>21</v>
      </c>
      <c r="Q172" s="9">
        <v>7</v>
      </c>
      <c r="R172" s="9">
        <v>12</v>
      </c>
      <c r="S172" s="9">
        <v>6</v>
      </c>
      <c r="T172" s="9">
        <v>6</v>
      </c>
      <c r="U172" s="9">
        <v>2</v>
      </c>
      <c r="W172" s="25" cm="1">
        <f t="array" ref="W172">_xlfn.LET(_xlpm.x, K172:K174, IF(SUM((_xlpm.x="C1")*1)=1, 3, 1))</f>
        <v>1</v>
      </c>
      <c r="X172" s="25" cm="1">
        <f t="array" ref="X172">_xlfn.LET(_xlpm.x, L172:L174, IF(SUM((_xlpm.x="C1")*1)=1, 3, 1))</f>
        <v>1</v>
      </c>
      <c r="Y172" s="25" cm="1">
        <f t="array" ref="Y172">_xlfn.LET(_xlpm.x, M172:M174, IF(SUM((_xlpm.x="C1")*1)=1, 3, 1))</f>
        <v>3</v>
      </c>
      <c r="Z172" s="25" cm="1">
        <f t="array" ref="Z172">_xlfn.LET(_xlpm.x, N172:N174, IF(SUM((_xlpm.x="C1")*1)=1, 3, 1))</f>
        <v>1</v>
      </c>
      <c r="AA172" s="25" cm="1">
        <f t="array" ref="AA172">_xlfn.LET(_xlpm.x, O172:O174, IF(SUM((_xlpm.x="C1")*1)=1, 3, 1))</f>
        <v>1</v>
      </c>
      <c r="AH172" s="5"/>
      <c r="AI172" s="5"/>
      <c r="AO172" s="5"/>
    </row>
    <row r="173" spans="10:41" x14ac:dyDescent="0.3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 cm="1">
        <f t="array" ref="W173">_xlfn.LET(_xlpm.x, K173:K175, IF(SUM((_xlpm.x="C1")*1)=1, 3, 1))</f>
        <v>1</v>
      </c>
      <c r="X173" s="25" cm="1">
        <f t="array" ref="X173">_xlfn.LET(_xlpm.x, L173:L175, IF(SUM((_xlpm.x="C1")*1)=1, 3, 1))</f>
        <v>1</v>
      </c>
      <c r="Y173" s="25" cm="1">
        <f t="array" ref="Y173">_xlfn.LET(_xlpm.x, M173:M175, IF(SUM((_xlpm.x="C1")*1)=1, 3, 1))</f>
        <v>3</v>
      </c>
      <c r="Z173" s="25" cm="1">
        <f t="array" ref="Z173">_xlfn.LET(_xlpm.x, N173:N175, IF(SUM((_xlpm.x="C1")*1)=1, 3, 1))</f>
        <v>1</v>
      </c>
      <c r="AA173" s="25" cm="1">
        <f t="array" ref="AA173">_xlfn.LET(_xlpm.x, O173:O175, IF(SUM((_xlpm.x="C1")*1)=1, 3, 1))</f>
        <v>1</v>
      </c>
      <c r="AH173" s="5"/>
      <c r="AI173" s="5"/>
      <c r="AO173" s="5"/>
    </row>
    <row r="174" spans="10:41" x14ac:dyDescent="0.3">
      <c r="J174" s="9">
        <v>170</v>
      </c>
      <c r="K174" s="16" t="s">
        <v>104</v>
      </c>
      <c r="L174" s="16" t="s">
        <v>37</v>
      </c>
      <c r="M174" s="16" t="s">
        <v>20</v>
      </c>
      <c r="N174" s="16" t="s">
        <v>104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 cm="1">
        <f t="array" ref="W174">_xlfn.LET(_xlpm.x, K174:K176, IF(SUM((_xlpm.x="C1")*1)=1, 3, 1))</f>
        <v>1</v>
      </c>
      <c r="X174" s="25" cm="1">
        <f t="array" ref="X174">_xlfn.LET(_xlpm.x, L174:L176, IF(SUM((_xlpm.x="C1")*1)=1, 3, 1))</f>
        <v>1</v>
      </c>
      <c r="Y174" s="25" cm="1">
        <f t="array" ref="Y174">_xlfn.LET(_xlpm.x, M174:M176, IF(SUM((_xlpm.x="C1")*1)=1, 3, 1))</f>
        <v>3</v>
      </c>
      <c r="Z174" s="25" cm="1">
        <f t="array" ref="Z174">_xlfn.LET(_xlpm.x, N174:N176, IF(SUM((_xlpm.x="C1")*1)=1, 3, 1))</f>
        <v>1</v>
      </c>
      <c r="AA174" s="25" cm="1">
        <f t="array" ref="AA174">_xlfn.LET(_xlpm.x, O174:O176, IF(SUM((_xlpm.x="C1")*1)=1, 3, 1))</f>
        <v>3</v>
      </c>
      <c r="AH174" s="5"/>
      <c r="AI174" s="5"/>
      <c r="AO174" s="5"/>
    </row>
    <row r="175" spans="10:41" x14ac:dyDescent="0.3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 cm="1">
        <f t="array" ref="W175">_xlfn.LET(_xlpm.x, K175:K177, IF(SUM((_xlpm.x="C1")*1)=1, 3, 1))</f>
        <v>1</v>
      </c>
      <c r="X175" s="25" cm="1">
        <f t="array" ref="X175">_xlfn.LET(_xlpm.x, L175:L177, IF(SUM((_xlpm.x="C1")*1)=1, 3, 1))</f>
        <v>1</v>
      </c>
      <c r="Y175" s="25" cm="1">
        <f t="array" ref="Y175">_xlfn.LET(_xlpm.x, M175:M177, IF(SUM((_xlpm.x="C1")*1)=1, 3, 1))</f>
        <v>1</v>
      </c>
      <c r="Z175" s="25" cm="1">
        <f t="array" ref="Z175">_xlfn.LET(_xlpm.x, N175:N177, IF(SUM((_xlpm.x="C1")*1)=1, 3, 1))</f>
        <v>1</v>
      </c>
      <c r="AA175" s="25" cm="1">
        <f t="array" ref="AA175">_xlfn.LET(_xlpm.x, O175:O177, IF(SUM((_xlpm.x="C1")*1)=1, 3, 1))</f>
        <v>3</v>
      </c>
      <c r="AH175" s="5"/>
      <c r="AI175" s="5"/>
      <c r="AO175" s="5"/>
    </row>
    <row r="176" spans="10:41" x14ac:dyDescent="0.3">
      <c r="J176" s="9">
        <v>172</v>
      </c>
      <c r="K176" s="16" t="s">
        <v>104</v>
      </c>
      <c r="L176" s="16" t="s">
        <v>18</v>
      </c>
      <c r="M176" s="16" t="s">
        <v>35</v>
      </c>
      <c r="N176" s="16" t="s">
        <v>89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 cm="1">
        <f t="array" ref="W176">_xlfn.LET(_xlpm.x, K176:K178, IF(SUM((_xlpm.x="C1")*1)=1, 3, 1))</f>
        <v>1</v>
      </c>
      <c r="X176" s="25" cm="1">
        <f t="array" ref="X176">_xlfn.LET(_xlpm.x, L176:L178, IF(SUM((_xlpm.x="C1")*1)=1, 3, 1))</f>
        <v>1</v>
      </c>
      <c r="Y176" s="25" cm="1">
        <f t="array" ref="Y176">_xlfn.LET(_xlpm.x, M176:M178, IF(SUM((_xlpm.x="C1")*1)=1, 3, 1))</f>
        <v>1</v>
      </c>
      <c r="Z176" s="25" cm="1">
        <f t="array" ref="Z176">_xlfn.LET(_xlpm.x, N176:N178, IF(SUM((_xlpm.x="C1")*1)=1, 3, 1))</f>
        <v>1</v>
      </c>
      <c r="AA176" s="25" cm="1">
        <f t="array" ref="AA176">_xlfn.LET(_xlpm.x, O176:O178, IF(SUM((_xlpm.x="C1")*1)=1, 3, 1))</f>
        <v>3</v>
      </c>
      <c r="AH176" s="5"/>
      <c r="AI176" s="5"/>
      <c r="AO176" s="5"/>
    </row>
    <row r="177" spans="10:41" x14ac:dyDescent="0.3">
      <c r="J177" s="25">
        <v>173</v>
      </c>
      <c r="K177" s="16" t="s">
        <v>104</v>
      </c>
      <c r="L177" s="16" t="s">
        <v>88</v>
      </c>
      <c r="M177" s="16" t="s">
        <v>19</v>
      </c>
      <c r="N177" s="16" t="s">
        <v>93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 cm="1">
        <f t="array" ref="W177">_xlfn.LET(_xlpm.x, K177:K179, IF(SUM((_xlpm.x="C1")*1)=1, 3, 1))</f>
        <v>3</v>
      </c>
      <c r="X177" s="25" cm="1">
        <f t="array" ref="X177">_xlfn.LET(_xlpm.x, L177:L179, IF(SUM((_xlpm.x="C1")*1)=1, 3, 1))</f>
        <v>1</v>
      </c>
      <c r="Y177" s="25" cm="1">
        <f t="array" ref="Y177">_xlfn.LET(_xlpm.x, M177:M179, IF(SUM((_xlpm.x="C1")*1)=1, 3, 1))</f>
        <v>1</v>
      </c>
      <c r="Z177" s="25" cm="1">
        <f t="array" ref="Z177">_xlfn.LET(_xlpm.x, N177:N179, IF(SUM((_xlpm.x="C1")*1)=1, 3, 1))</f>
        <v>1</v>
      </c>
      <c r="AA177" s="25" cm="1">
        <f t="array" ref="AA177">_xlfn.LET(_xlpm.x, O177:O179, IF(SUM((_xlpm.x="C1")*1)=1, 3, 1))</f>
        <v>1</v>
      </c>
      <c r="AH177" s="5"/>
      <c r="AI177" s="5"/>
      <c r="AO177" s="5"/>
    </row>
    <row r="178" spans="10:41" x14ac:dyDescent="0.3">
      <c r="J178" s="9">
        <v>174</v>
      </c>
      <c r="K178" s="16" t="s">
        <v>104</v>
      </c>
      <c r="L178" s="16" t="s">
        <v>21</v>
      </c>
      <c r="M178" s="16" t="s">
        <v>35</v>
      </c>
      <c r="N178" s="16" t="s">
        <v>95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 cm="1">
        <f t="array" ref="W178">_xlfn.LET(_xlpm.x, K178:K180, IF(SUM((_xlpm.x="C1")*1)=1, 3, 1))</f>
        <v>3</v>
      </c>
      <c r="X178" s="25" cm="1">
        <f t="array" ref="X178">_xlfn.LET(_xlpm.x, L178:L180, IF(SUM((_xlpm.x="C1")*1)=1, 3, 1))</f>
        <v>1</v>
      </c>
      <c r="Y178" s="25" cm="1">
        <f t="array" ref="Y178">_xlfn.LET(_xlpm.x, M178:M180, IF(SUM((_xlpm.x="C1")*1)=1, 3, 1))</f>
        <v>1</v>
      </c>
      <c r="Z178" s="25" cm="1">
        <f t="array" ref="Z178">_xlfn.LET(_xlpm.x, N178:N180, IF(SUM((_xlpm.x="C1")*1)=1, 3, 1))</f>
        <v>1</v>
      </c>
      <c r="AA178" s="25" cm="1">
        <f t="array" ref="AA178">_xlfn.LET(_xlpm.x, O178:O180, IF(SUM((_xlpm.x="C1")*1)=1, 3, 1))</f>
        <v>1</v>
      </c>
      <c r="AH178" s="5"/>
      <c r="AI178" s="5"/>
      <c r="AO178" s="5"/>
    </row>
    <row r="179" spans="10:41" x14ac:dyDescent="0.3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 cm="1">
        <f t="array" ref="W179">_xlfn.LET(_xlpm.x, K179:K181, IF(SUM((_xlpm.x="C1")*1)=1, 3, 1))</f>
        <v>3</v>
      </c>
      <c r="X179" s="25" cm="1">
        <f t="array" ref="X179">_xlfn.LET(_xlpm.x, L179:L181, IF(SUM((_xlpm.x="C1")*1)=1, 3, 1))</f>
        <v>1</v>
      </c>
      <c r="Y179" s="25" cm="1">
        <f t="array" ref="Y179">_xlfn.LET(_xlpm.x, M179:M181, IF(SUM((_xlpm.x="C1")*1)=1, 3, 1))</f>
        <v>1</v>
      </c>
      <c r="Z179" s="25" cm="1">
        <f t="array" ref="Z179">_xlfn.LET(_xlpm.x, N179:N181, IF(SUM((_xlpm.x="C1")*1)=1, 3, 1))</f>
        <v>1</v>
      </c>
      <c r="AA179" s="25" cm="1">
        <f t="array" ref="AA179">_xlfn.LET(_xlpm.x, O179:O181, IF(SUM((_xlpm.x="C1")*1)=1, 3, 1))</f>
        <v>1</v>
      </c>
      <c r="AH179" s="5"/>
      <c r="AI179" s="5"/>
      <c r="AO179" s="5"/>
    </row>
    <row r="180" spans="10:41" x14ac:dyDescent="0.3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 cm="1">
        <f t="array" ref="W180">_xlfn.LET(_xlpm.x, K180:K182, IF(SUM((_xlpm.x="C1")*1)=1, 3, 1))</f>
        <v>1</v>
      </c>
      <c r="X180" s="25" cm="1">
        <f t="array" ref="X180">_xlfn.LET(_xlpm.x, L180:L182, IF(SUM((_xlpm.x="C1")*1)=1, 3, 1))</f>
        <v>1</v>
      </c>
      <c r="Y180" s="25" cm="1">
        <f t="array" ref="Y180">_xlfn.LET(_xlpm.x, M180:M182, IF(SUM((_xlpm.x="C1")*1)=1, 3, 1))</f>
        <v>1</v>
      </c>
      <c r="Z180" s="25" cm="1">
        <f t="array" ref="Z180">_xlfn.LET(_xlpm.x, N180:N182, IF(SUM((_xlpm.x="C1")*1)=1, 3, 1))</f>
        <v>3</v>
      </c>
      <c r="AA180" s="25" cm="1">
        <f t="array" ref="AA180">_xlfn.LET(_xlpm.x, O180:O182, IF(SUM((_xlpm.x="C1")*1)=1, 3, 1))</f>
        <v>1</v>
      </c>
      <c r="AH180" s="5"/>
      <c r="AI180" s="5"/>
      <c r="AO180" s="5"/>
    </row>
    <row r="181" spans="10:41" x14ac:dyDescent="0.3">
      <c r="J181" s="25">
        <v>177</v>
      </c>
      <c r="K181" s="16" t="s">
        <v>22</v>
      </c>
      <c r="L181" s="16" t="s">
        <v>86</v>
      </c>
      <c r="M181" s="16" t="s">
        <v>37</v>
      </c>
      <c r="N181" s="16" t="s">
        <v>21</v>
      </c>
      <c r="O181" s="16" t="s">
        <v>36</v>
      </c>
      <c r="Q181" s="9">
        <v>3</v>
      </c>
      <c r="R181" s="9">
        <v>11</v>
      </c>
      <c r="S181" s="9">
        <v>7</v>
      </c>
      <c r="T181" s="9">
        <v>2</v>
      </c>
      <c r="U181" s="9">
        <v>10</v>
      </c>
      <c r="W181" s="25" cm="1">
        <f t="array" ref="W181">_xlfn.LET(_xlpm.x, K181:K183, IF(SUM((_xlpm.x="C1")*1)=1, 3, 1))</f>
        <v>1</v>
      </c>
      <c r="X181" s="25" cm="1">
        <f t="array" ref="X181">_xlfn.LET(_xlpm.x, L181:L183, IF(SUM((_xlpm.x="C1")*1)=1, 3, 1))</f>
        <v>1</v>
      </c>
      <c r="Y181" s="25" cm="1">
        <f t="array" ref="Y181">_xlfn.LET(_xlpm.x, M181:M183, IF(SUM((_xlpm.x="C1")*1)=1, 3, 1))</f>
        <v>1</v>
      </c>
      <c r="Z181" s="25" cm="1">
        <f t="array" ref="Z181">_xlfn.LET(_xlpm.x, N181:N183, IF(SUM((_xlpm.x="C1")*1)=1, 3, 1))</f>
        <v>3</v>
      </c>
      <c r="AA181" s="25" cm="1">
        <f t="array" ref="AA181">_xlfn.LET(_xlpm.x, O181:O183, IF(SUM((_xlpm.x="C1")*1)=1, 3, 1))</f>
        <v>1</v>
      </c>
      <c r="AH181" s="5"/>
      <c r="AI181" s="5"/>
      <c r="AO181" s="5"/>
    </row>
    <row r="182" spans="10:41" x14ac:dyDescent="0.3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 cm="1">
        <f t="array" ref="W182">_xlfn.LET(_xlpm.x, K182:K184, IF(SUM((_xlpm.x="C1")*1)=1, 3, 1))</f>
        <v>1</v>
      </c>
      <c r="X182" s="25" cm="1">
        <f t="array" ref="X182">_xlfn.LET(_xlpm.x, L182:L184, IF(SUM((_xlpm.x="C1")*1)=1, 3, 1))</f>
        <v>1</v>
      </c>
      <c r="Y182" s="25" cm="1">
        <f t="array" ref="Y182">_xlfn.LET(_xlpm.x, M182:M184, IF(SUM((_xlpm.x="C1")*1)=1, 3, 1))</f>
        <v>1</v>
      </c>
      <c r="Z182" s="25" cm="1">
        <f t="array" ref="Z182">_xlfn.LET(_xlpm.x, N182:N184, IF(SUM((_xlpm.x="C1")*1)=1, 3, 1))</f>
        <v>3</v>
      </c>
      <c r="AA182" s="25" cm="1">
        <f t="array" ref="AA182">_xlfn.LET(_xlpm.x, O182:O184, IF(SUM((_xlpm.x="C1")*1)=1, 3, 1))</f>
        <v>1</v>
      </c>
      <c r="AH182" s="5"/>
      <c r="AI182" s="5"/>
      <c r="AO182" s="5"/>
    </row>
    <row r="183" spans="10:41" x14ac:dyDescent="0.3">
      <c r="J183" s="25">
        <v>179</v>
      </c>
      <c r="K183" s="16" t="s">
        <v>19</v>
      </c>
      <c r="L183" s="16" t="s">
        <v>34</v>
      </c>
      <c r="M183" s="16" t="s">
        <v>104</v>
      </c>
      <c r="N183" s="16" t="s">
        <v>35</v>
      </c>
      <c r="O183" s="16" t="s">
        <v>104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 cm="1">
        <f t="array" ref="W183">_xlfn.LET(_xlpm.x, K183:K185, IF(SUM((_xlpm.x="C1")*1)=1, 3, 1))</f>
        <v>1</v>
      </c>
      <c r="X183" s="25" cm="1">
        <f t="array" ref="X183">_xlfn.LET(_xlpm.x, L183:L185, IF(SUM((_xlpm.x="C1")*1)=1, 3, 1))</f>
        <v>1</v>
      </c>
      <c r="Y183" s="25" cm="1">
        <f t="array" ref="Y183">_xlfn.LET(_xlpm.x, M183:M185, IF(SUM((_xlpm.x="C1")*1)=1, 3, 1))</f>
        <v>1</v>
      </c>
      <c r="Z183" s="25" cm="1">
        <f t="array" ref="Z183">_xlfn.LET(_xlpm.x, N183:N185, IF(SUM((_xlpm.x="C1")*1)=1, 3, 1))</f>
        <v>1</v>
      </c>
      <c r="AA183" s="25" cm="1">
        <f t="array" ref="AA183">_xlfn.LET(_xlpm.x, O183:O185, IF(SUM((_xlpm.x="C1")*1)=1, 3, 1))</f>
        <v>1</v>
      </c>
      <c r="AH183" s="5"/>
      <c r="AI183" s="5"/>
      <c r="AO183" s="5"/>
    </row>
    <row r="184" spans="10:41" x14ac:dyDescent="0.3">
      <c r="J184" s="9">
        <v>180</v>
      </c>
      <c r="K184" s="16" t="s">
        <v>19</v>
      </c>
      <c r="L184" s="16" t="s">
        <v>105</v>
      </c>
      <c r="M184" s="16" t="s">
        <v>104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 cm="1">
        <f t="array" ref="W184">_xlfn.LET(_xlpm.x, K184:K186, IF(SUM((_xlpm.x="C1")*1)=1, 3, 1))</f>
        <v>1</v>
      </c>
      <c r="X184" s="25" cm="1">
        <f t="array" ref="X184">_xlfn.LET(_xlpm.x, L184:L186, IF(SUM((_xlpm.x="C1")*1)=1, 3, 1))</f>
        <v>1</v>
      </c>
      <c r="Y184" s="25" cm="1">
        <f t="array" ref="Y184">_xlfn.LET(_xlpm.x, M184:M186, IF(SUM((_xlpm.x="C1")*1)=1, 3, 1))</f>
        <v>1</v>
      </c>
      <c r="Z184" s="25" cm="1">
        <f t="array" ref="Z184">_xlfn.LET(_xlpm.x, N184:N186, IF(SUM((_xlpm.x="C1")*1)=1, 3, 1))</f>
        <v>1</v>
      </c>
      <c r="AA184" s="25" cm="1">
        <f t="array" ref="AA184">_xlfn.LET(_xlpm.x, O184:O186, IF(SUM((_xlpm.x="C1")*1)=1, 3, 1))</f>
        <v>1</v>
      </c>
      <c r="AH184" s="5"/>
      <c r="AI184" s="5"/>
      <c r="AO184" s="5"/>
    </row>
    <row r="185" spans="10:41" x14ac:dyDescent="0.3">
      <c r="J185" s="25">
        <v>181</v>
      </c>
      <c r="K185" s="16" t="s">
        <v>35</v>
      </c>
      <c r="L185" s="16" t="s">
        <v>102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17</v>
      </c>
      <c r="S185" s="9">
        <v>5</v>
      </c>
      <c r="T185" s="9">
        <v>3</v>
      </c>
      <c r="U185" s="9">
        <v>8</v>
      </c>
      <c r="W185" s="25" cm="1">
        <f t="array" ref="W185">_xlfn.LET(_xlpm.x, K185:K187, IF(SUM((_xlpm.x="C1")*1)=1, 3, 1))</f>
        <v>1</v>
      </c>
      <c r="X185" s="25" cm="1">
        <f t="array" ref="X185">_xlfn.LET(_xlpm.x, L185:L187, IF(SUM((_xlpm.x="C1")*1)=1, 3, 1))</f>
        <v>1</v>
      </c>
      <c r="Y185" s="25" cm="1">
        <f t="array" ref="Y185">_xlfn.LET(_xlpm.x, M185:M187, IF(SUM((_xlpm.x="C1")*1)=1, 3, 1))</f>
        <v>1</v>
      </c>
      <c r="Z185" s="25" cm="1">
        <f t="array" ref="Z185">_xlfn.LET(_xlpm.x, N185:N187, IF(SUM((_xlpm.x="C1")*1)=1, 3, 1))</f>
        <v>1</v>
      </c>
      <c r="AA185" s="25" cm="1">
        <f t="array" ref="AA185">_xlfn.LET(_xlpm.x, O185:O187, IF(SUM((_xlpm.x="C1")*1)=1, 3, 1))</f>
        <v>1</v>
      </c>
      <c r="AH185" s="5"/>
      <c r="AI185" s="5"/>
      <c r="AO185" s="5"/>
    </row>
    <row r="186" spans="10:41" x14ac:dyDescent="0.3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104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 cm="1">
        <f t="array" ref="W186">_xlfn.LET(_xlpm.x, K186:K188, IF(SUM((_xlpm.x="C1")*1)=1, 3, 1))</f>
        <v>1</v>
      </c>
      <c r="X186" s="25" cm="1">
        <f t="array" ref="X186">_xlfn.LET(_xlpm.x, L186:L188, IF(SUM((_xlpm.x="C1")*1)=1, 3, 1))</f>
        <v>1</v>
      </c>
      <c r="Y186" s="25" cm="1">
        <f t="array" ref="Y186">_xlfn.LET(_xlpm.x, M186:M188, IF(SUM((_xlpm.x="C1")*1)=1, 3, 1))</f>
        <v>1</v>
      </c>
      <c r="Z186" s="25" cm="1">
        <f t="array" ref="Z186">_xlfn.LET(_xlpm.x, N186:N188, IF(SUM((_xlpm.x="C1")*1)=1, 3, 1))</f>
        <v>1</v>
      </c>
      <c r="AA186" s="25" cm="1">
        <f t="array" ref="AA186">_xlfn.LET(_xlpm.x, O186:O188, IF(SUM((_xlpm.x="C1")*1)=1, 3, 1))</f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105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 cm="1">
        <f t="array" ref="W187">_xlfn.LET(_xlpm.x, K187:K189, IF(SUM((_xlpm.x="C1")*1)=1, 3, 1))</f>
        <v>1</v>
      </c>
      <c r="X187" s="25" cm="1">
        <f t="array" ref="X187">_xlfn.LET(_xlpm.x, L187:L189, IF(SUM((_xlpm.x="C1")*1)=1, 3, 1))</f>
        <v>3</v>
      </c>
      <c r="Y187" s="25" cm="1">
        <f t="array" ref="Y187">_xlfn.LET(_xlpm.x, M187:M189, IF(SUM((_xlpm.x="C1")*1)=1, 3, 1))</f>
        <v>1</v>
      </c>
      <c r="Z187" s="25" cm="1">
        <f t="array" ref="Z187">_xlfn.LET(_xlpm.x, N187:N189, IF(SUM((_xlpm.x="C1")*1)=1, 3, 1))</f>
        <v>1</v>
      </c>
      <c r="AA187" s="25" cm="1">
        <f t="array" ref="AA187">_xlfn.LET(_xlpm.x, O187:O189, IF(SUM((_xlpm.x="C1")*1)=1, 3, 1))</f>
        <v>1</v>
      </c>
      <c r="AH187" s="5"/>
      <c r="AI187" s="5"/>
      <c r="AO187" s="5"/>
    </row>
    <row r="188" spans="10:41" x14ac:dyDescent="0.3">
      <c r="J188" s="9">
        <v>184</v>
      </c>
      <c r="K188" s="16" t="s">
        <v>18</v>
      </c>
      <c r="L188" s="16" t="s">
        <v>88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 cm="1">
        <f t="array" ref="W188">_xlfn.LET(_xlpm.x, K188:K190, IF(SUM((_xlpm.x="C1")*1)=1, 3, 1))</f>
        <v>1</v>
      </c>
      <c r="X188" s="25" cm="1">
        <f t="array" ref="X188">_xlfn.LET(_xlpm.x, L188:L190, IF(SUM((_xlpm.x="C1")*1)=1, 3, 1))</f>
        <v>3</v>
      </c>
      <c r="Y188" s="25" cm="1">
        <f t="array" ref="Y188">_xlfn.LET(_xlpm.x, M188:M190, IF(SUM((_xlpm.x="C1")*1)=1, 3, 1))</f>
        <v>1</v>
      </c>
      <c r="Z188" s="25" cm="1">
        <f t="array" ref="Z188">_xlfn.LET(_xlpm.x, N188:N190, IF(SUM((_xlpm.x="C1")*1)=1, 3, 1))</f>
        <v>3</v>
      </c>
      <c r="AA188" s="25" cm="1">
        <f t="array" ref="AA188">_xlfn.LET(_xlpm.x, O188:O190, IF(SUM((_xlpm.x="C1")*1)=1, 3, 1))</f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 cm="1">
        <f t="array" ref="W189">_xlfn.LET(_xlpm.x, K189:K191, IF(SUM((_xlpm.x="C1")*1)=1, 3, 1))</f>
        <v>1</v>
      </c>
      <c r="X189" s="25" cm="1">
        <f t="array" ref="X189">_xlfn.LET(_xlpm.x, L189:L191, IF(SUM((_xlpm.x="C1")*1)=1, 3, 1))</f>
        <v>3</v>
      </c>
      <c r="Y189" s="25" cm="1">
        <f t="array" ref="Y189">_xlfn.LET(_xlpm.x, M189:M191, IF(SUM((_xlpm.x="C1")*1)=1, 3, 1))</f>
        <v>1</v>
      </c>
      <c r="Z189" s="25" cm="1">
        <f t="array" ref="Z189">_xlfn.LET(_xlpm.x, N189:N191, IF(SUM((_xlpm.x="C1")*1)=1, 3, 1))</f>
        <v>3</v>
      </c>
      <c r="AA189" s="25" cm="1">
        <f t="array" ref="AA189">_xlfn.LET(_xlpm.x, O189:O191, IF(SUM((_xlpm.x="C1")*1)=1, 3, 1))</f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93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 cm="1">
        <f t="array" ref="W190">_xlfn.LET(_xlpm.x, K190:K192, IF(SUM((_xlpm.x="C1")*1)=1, 3, 1))</f>
        <v>1</v>
      </c>
      <c r="X190" s="25" cm="1">
        <f t="array" ref="X190">_xlfn.LET(_xlpm.x, L190:L192, IF(SUM((_xlpm.x="C1")*1)=1, 3, 1))</f>
        <v>1</v>
      </c>
      <c r="Y190" s="25" cm="1">
        <f t="array" ref="Y190">_xlfn.LET(_xlpm.x, M190:M192, IF(SUM((_xlpm.x="C1")*1)=1, 3, 1))</f>
        <v>1</v>
      </c>
      <c r="Z190" s="25" cm="1">
        <f t="array" ref="Z190">_xlfn.LET(_xlpm.x, N190:N192, IF(SUM((_xlpm.x="C1")*1)=1, 3, 1))</f>
        <v>3</v>
      </c>
      <c r="AA190" s="25" cm="1">
        <f t="array" ref="AA190">_xlfn.LET(_xlpm.x, O190:O192, IF(SUM((_xlpm.x="C1")*1)=1, 3, 1))</f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104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 cm="1">
        <f t="array" ref="W191">_xlfn.LET(_xlpm.x, K191:K193, IF(SUM((_xlpm.x="C1")*1)=1, 3, 1))</f>
        <v>1</v>
      </c>
      <c r="X191" s="25" cm="1">
        <f t="array" ref="X191">_xlfn.LET(_xlpm.x, L191:L193, IF(SUM((_xlpm.x="C1")*1)=1, 3, 1))</f>
        <v>1</v>
      </c>
      <c r="Y191" s="25" cm="1">
        <f t="array" ref="Y191">_xlfn.LET(_xlpm.x, M191:M193, IF(SUM((_xlpm.x="C1")*1)=1, 3, 1))</f>
        <v>1</v>
      </c>
      <c r="Z191" s="25" cm="1">
        <f t="array" ref="Z191">_xlfn.LET(_xlpm.x, N191:N193, IF(SUM((_xlpm.x="C1")*1)=1, 3, 1))</f>
        <v>1</v>
      </c>
      <c r="AA191" s="25" cm="1">
        <f t="array" ref="AA191">_xlfn.LET(_xlpm.x, O191:O193, IF(SUM((_xlpm.x="C1")*1)=1, 3, 1))</f>
        <v>1</v>
      </c>
      <c r="AH191" s="5"/>
      <c r="AI191" s="5"/>
      <c r="AO191" s="5"/>
    </row>
    <row r="192" spans="10:41" x14ac:dyDescent="0.3">
      <c r="J192" s="9">
        <v>188</v>
      </c>
      <c r="K192" s="16" t="s">
        <v>104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 cm="1">
        <f t="array" ref="W192">_xlfn.LET(_xlpm.x, K192:K194, IF(SUM((_xlpm.x="C1")*1)=1, 3, 1))</f>
        <v>1</v>
      </c>
      <c r="X192" s="25" cm="1">
        <f t="array" ref="X192">_xlfn.LET(_xlpm.x, L192:L194, IF(SUM((_xlpm.x="C1")*1)=1, 3, 1))</f>
        <v>1</v>
      </c>
      <c r="Y192" s="25" cm="1">
        <f t="array" ref="Y192">_xlfn.LET(_xlpm.x, M192:M194, IF(SUM((_xlpm.x="C1")*1)=1, 3, 1))</f>
        <v>1</v>
      </c>
      <c r="Z192" s="25" cm="1">
        <f t="array" ref="Z192">_xlfn.LET(_xlpm.x, N192:N194, IF(SUM((_xlpm.x="C1")*1)=1, 3, 1))</f>
        <v>1</v>
      </c>
      <c r="AA192" s="25" cm="1">
        <f t="array" ref="AA192">_xlfn.LET(_xlpm.x, O192:O194, IF(SUM((_xlpm.x="C1")*1)=1, 3, 1))</f>
        <v>1</v>
      </c>
      <c r="AH192" s="5"/>
      <c r="AI192" s="5"/>
      <c r="AO192" s="5"/>
    </row>
    <row r="193" spans="10:41" x14ac:dyDescent="0.3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 cm="1">
        <f t="array" ref="W193">_xlfn.LET(_xlpm.x, K193:K195, IF(SUM((_xlpm.x="C1")*1)=1, 3, 1))</f>
        <v>1</v>
      </c>
      <c r="X193" s="25" cm="1">
        <f t="array" ref="X193">_xlfn.LET(_xlpm.x, L193:L195, IF(SUM((_xlpm.x="C1")*1)=1, 3, 1))</f>
        <v>1</v>
      </c>
      <c r="Y193" s="25" cm="1">
        <f t="array" ref="Y193">_xlfn.LET(_xlpm.x, M193:M195, IF(SUM((_xlpm.x="C1")*1)=1, 3, 1))</f>
        <v>1</v>
      </c>
      <c r="Z193" s="25" cm="1">
        <f t="array" ref="Z193">_xlfn.LET(_xlpm.x, N193:N195, IF(SUM((_xlpm.x="C1")*1)=1, 3, 1))</f>
        <v>1</v>
      </c>
      <c r="AA193" s="25" cm="1">
        <f t="array" ref="AA193">_xlfn.LET(_xlpm.x, O193:O195, IF(SUM((_xlpm.x="C1")*1)=1, 3, 1))</f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88</v>
      </c>
      <c r="M194" s="16" t="s">
        <v>104</v>
      </c>
      <c r="N194" s="16" t="s">
        <v>19</v>
      </c>
      <c r="O194" s="16" t="s">
        <v>18</v>
      </c>
      <c r="Q194" s="9">
        <v>8</v>
      </c>
      <c r="R194" s="9">
        <v>13</v>
      </c>
      <c r="S194" s="9">
        <v>6</v>
      </c>
      <c r="T194" s="9">
        <v>5</v>
      </c>
      <c r="U194" s="9">
        <v>4</v>
      </c>
      <c r="W194" s="25" cm="1">
        <f t="array" ref="W194">_xlfn.LET(_xlpm.x, K194:K196, IF(SUM((_xlpm.x="C1")*1)=1, 3, 1))</f>
        <v>1</v>
      </c>
      <c r="X194" s="25" cm="1">
        <f t="array" ref="X194">_xlfn.LET(_xlpm.x, L194:L196, IF(SUM((_xlpm.x="C1")*1)=1, 3, 1))</f>
        <v>1</v>
      </c>
      <c r="Y194" s="25" cm="1">
        <f t="array" ref="Y194">_xlfn.LET(_xlpm.x, M194:M196, IF(SUM((_xlpm.x="C1")*1)=1, 3, 1))</f>
        <v>1</v>
      </c>
      <c r="Z194" s="25" cm="1">
        <f t="array" ref="Z194">_xlfn.LET(_xlpm.x, N194:N196, IF(SUM((_xlpm.x="C1")*1)=1, 3, 1))</f>
        <v>1</v>
      </c>
      <c r="AA194" s="25" cm="1">
        <f t="array" ref="AA194">_xlfn.LET(_xlpm.x, O194:O196, IF(SUM((_xlpm.x="C1")*1)=1, 3, 1))</f>
        <v>1</v>
      </c>
      <c r="AH194" s="5"/>
      <c r="AI194" s="5"/>
      <c r="AO194" s="5"/>
    </row>
    <row r="195" spans="10:41" x14ac:dyDescent="0.3">
      <c r="J195" s="25">
        <v>191</v>
      </c>
      <c r="K195" s="16" t="s">
        <v>34</v>
      </c>
      <c r="L195" s="16" t="s">
        <v>104</v>
      </c>
      <c r="M195" s="16" t="s">
        <v>34</v>
      </c>
      <c r="N195" s="16" t="s">
        <v>95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 cm="1">
        <f t="array" ref="W195">_xlfn.LET(_xlpm.x, K195:K197, IF(SUM((_xlpm.x="C1")*1)=1, 3, 1))</f>
        <v>1</v>
      </c>
      <c r="X195" s="25" cm="1">
        <f t="array" ref="X195">_xlfn.LET(_xlpm.x, L195:L197, IF(SUM((_xlpm.x="C1")*1)=1, 3, 1))</f>
        <v>1</v>
      </c>
      <c r="Y195" s="25" cm="1">
        <f t="array" ref="Y195">_xlfn.LET(_xlpm.x, M195:M197, IF(SUM((_xlpm.x="C1")*1)=1, 3, 1))</f>
        <v>1</v>
      </c>
      <c r="Z195" s="25" cm="1">
        <f t="array" ref="Z195">_xlfn.LET(_xlpm.x, N195:N197, IF(SUM((_xlpm.x="C1")*1)=1, 3, 1))</f>
        <v>1</v>
      </c>
      <c r="AA195" s="25" cm="1">
        <f t="array" ref="AA195">_xlfn.LET(_xlpm.x, O195:O197, IF(SUM((_xlpm.x="C1")*1)=1, 3, 1))</f>
        <v>1</v>
      </c>
      <c r="AH195" s="5"/>
      <c r="AI195" s="5"/>
      <c r="AO195" s="5"/>
    </row>
    <row r="196" spans="10:41" x14ac:dyDescent="0.3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104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 cm="1">
        <f t="array" ref="W196">_xlfn.LET(_xlpm.x, K196:K198, IF(SUM((_xlpm.x="C1")*1)=1, 3, 1))</f>
        <v>1</v>
      </c>
      <c r="X196" s="25" cm="1">
        <f t="array" ref="X196">_xlfn.LET(_xlpm.x, L196:L198, IF(SUM((_xlpm.x="C1")*1)=1, 3, 1))</f>
        <v>1</v>
      </c>
      <c r="Y196" s="25" cm="1">
        <f t="array" ref="Y196">_xlfn.LET(_xlpm.x, M196:M198, IF(SUM((_xlpm.x="C1")*1)=1, 3, 1))</f>
        <v>1</v>
      </c>
      <c r="Z196" s="25" cm="1">
        <f t="array" ref="Z196">_xlfn.LET(_xlpm.x, N196:N198, IF(SUM((_xlpm.x="C1")*1)=1, 3, 1))</f>
        <v>1</v>
      </c>
      <c r="AA196" s="25" cm="1">
        <f t="array" ref="AA196">_xlfn.LET(_xlpm.x, O196:O198, IF(SUM((_xlpm.x="C1")*1)=1, 3, 1))</f>
        <v>1</v>
      </c>
      <c r="AH196" s="5"/>
      <c r="AI196" s="5"/>
      <c r="AO196" s="5"/>
    </row>
    <row r="197" spans="10:41" x14ac:dyDescent="0.3">
      <c r="J197" s="25">
        <v>193</v>
      </c>
      <c r="K197" s="16" t="s">
        <v>35</v>
      </c>
      <c r="L197" s="16" t="s">
        <v>90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 cm="1">
        <f t="array" ref="W197">_xlfn.LET(_xlpm.x, K197:K199, IF(SUM((_xlpm.x="C1")*1)=1, 3, 1))</f>
        <v>1</v>
      </c>
      <c r="X197" s="25" cm="1">
        <f t="array" ref="X197">_xlfn.LET(_xlpm.x, L197:L199, IF(SUM((_xlpm.x="C1")*1)=1, 3, 1))</f>
        <v>1</v>
      </c>
      <c r="Y197" s="25" cm="1">
        <f t="array" ref="Y197">_xlfn.LET(_xlpm.x, M197:M199, IF(SUM((_xlpm.x="C1")*1)=1, 3, 1))</f>
        <v>1</v>
      </c>
      <c r="Z197" s="25" cm="1">
        <f t="array" ref="Z197">_xlfn.LET(_xlpm.x, N197:N199, IF(SUM((_xlpm.x="C1")*1)=1, 3, 1))</f>
        <v>1</v>
      </c>
      <c r="AA197" s="25" cm="1">
        <f t="array" ref="AA197">_xlfn.LET(_xlpm.x, O197:O199, IF(SUM((_xlpm.x="C1")*1)=1, 3, 1))</f>
        <v>1</v>
      </c>
      <c r="AH197" s="5"/>
      <c r="AI197" s="5"/>
      <c r="AO197" s="5"/>
    </row>
    <row r="198" spans="10:41" x14ac:dyDescent="0.3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 cm="1">
        <f t="array" ref="W198">_xlfn.LET(_xlpm.x, K198:K200, IF(SUM((_xlpm.x="C1")*1)=1, 3, 1))</f>
        <v>1</v>
      </c>
      <c r="X198" s="25" cm="1">
        <f t="array" ref="X198">_xlfn.LET(_xlpm.x, L198:L200, IF(SUM((_xlpm.x="C1")*1)=1, 3, 1))</f>
        <v>1</v>
      </c>
      <c r="Y198" s="25" cm="1">
        <f t="array" ref="Y198">_xlfn.LET(_xlpm.x, M198:M200, IF(SUM((_xlpm.x="C1")*1)=1, 3, 1))</f>
        <v>1</v>
      </c>
      <c r="Z198" s="25" cm="1">
        <f t="array" ref="Z198">_xlfn.LET(_xlpm.x, N198:N200, IF(SUM((_xlpm.x="C1")*1)=1, 3, 1))</f>
        <v>1</v>
      </c>
      <c r="AA198" s="25" cm="1">
        <f t="array" ref="AA198">_xlfn.LET(_xlpm.x, O198:O200, IF(SUM((_xlpm.x="C1")*1)=1, 3, 1))</f>
        <v>1</v>
      </c>
      <c r="AH198" s="5"/>
      <c r="AI198" s="5"/>
      <c r="AO198" s="5"/>
    </row>
    <row r="199" spans="10:41" x14ac:dyDescent="0.3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 cm="1">
        <f t="array" ref="W199">_xlfn.LET(_xlpm.x, K199:K201, IF(SUM((_xlpm.x="C1")*1)=1, 3, 1))</f>
        <v>1</v>
      </c>
      <c r="X199" s="25" cm="1">
        <f t="array" ref="X199">_xlfn.LET(_xlpm.x, L199:L201, IF(SUM((_xlpm.x="C1")*1)=1, 3, 1))</f>
        <v>1</v>
      </c>
      <c r="Y199" s="25" cm="1">
        <f t="array" ref="Y199">_xlfn.LET(_xlpm.x, M199:M201, IF(SUM((_xlpm.x="C1")*1)=1, 3, 1))</f>
        <v>1</v>
      </c>
      <c r="Z199" s="25" cm="1">
        <f t="array" ref="Z199">_xlfn.LET(_xlpm.x, N199:N201, IF(SUM((_xlpm.x="C1")*1)=1, 3, 1))</f>
        <v>1</v>
      </c>
      <c r="AA199" s="25" cm="1">
        <f t="array" ref="AA199">_xlfn.LET(_xlpm.x, O199:O201, IF(SUM((_xlpm.x="C1")*1)=1, 3, 1))</f>
        <v>1</v>
      </c>
      <c r="AH199" s="5"/>
      <c r="AI199" s="5"/>
      <c r="AO199" s="5"/>
    </row>
    <row r="200" spans="10:41" x14ac:dyDescent="0.3">
      <c r="J200" s="9">
        <v>196</v>
      </c>
      <c r="K200" s="16" t="s">
        <v>104</v>
      </c>
      <c r="L200" s="16" t="s">
        <v>93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 cm="1">
        <f t="array" ref="W200">_xlfn.LET(_xlpm.x, K200:K202, IF(SUM((_xlpm.x="C1")*1)=1, 3, 1))</f>
        <v>1</v>
      </c>
      <c r="X200" s="25" cm="1">
        <f t="array" ref="X200">_xlfn.LET(_xlpm.x, L200:L202, IF(SUM((_xlpm.x="C1")*1)=1, 3, 1))</f>
        <v>1</v>
      </c>
      <c r="Y200" s="25" cm="1">
        <f t="array" ref="Y200">_xlfn.LET(_xlpm.x, M200:M202, IF(SUM((_xlpm.x="C1")*1)=1, 3, 1))</f>
        <v>1</v>
      </c>
      <c r="Z200" s="25" cm="1">
        <f t="array" ref="Z200">_xlfn.LET(_xlpm.x, N200:N202, IF(SUM((_xlpm.x="C1")*1)=1, 3, 1))</f>
        <v>1</v>
      </c>
      <c r="AA200" s="25" cm="1">
        <f t="array" ref="AA200">_xlfn.LET(_xlpm.x, O200:O202, IF(SUM((_xlpm.x="C1")*1)=1, 3, 1))</f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34</v>
      </c>
      <c r="M201" s="16" t="s">
        <v>104</v>
      </c>
      <c r="N201" s="16" t="s">
        <v>34</v>
      </c>
      <c r="O201" s="16" t="s">
        <v>104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 cm="1">
        <f t="array" ref="W201">_xlfn.LET(_xlpm.x, K201:K203, IF(SUM((_xlpm.x="C1")*1)=1, 3, 1))</f>
        <v>1</v>
      </c>
      <c r="X201" s="25" cm="1">
        <f t="array" ref="X201">_xlfn.LET(_xlpm.x, L201:L203, IF(SUM((_xlpm.x="C1")*1)=1, 3, 1))</f>
        <v>1</v>
      </c>
      <c r="Y201" s="25" cm="1">
        <f t="array" ref="Y201">_xlfn.LET(_xlpm.x, M201:M203, IF(SUM((_xlpm.x="C1")*1)=1, 3, 1))</f>
        <v>1</v>
      </c>
      <c r="Z201" s="25" cm="1">
        <f t="array" ref="Z201">_xlfn.LET(_xlpm.x, N201:N203, IF(SUM((_xlpm.x="C1")*1)=1, 3, 1))</f>
        <v>1</v>
      </c>
      <c r="AA201" s="25" cm="1">
        <f t="array" ref="AA201">_xlfn.LET(_xlpm.x, O201:O203, IF(SUM((_xlpm.x="C1")*1)=1, 3, 1))</f>
        <v>1</v>
      </c>
      <c r="AH201" s="5"/>
      <c r="AI201" s="5"/>
      <c r="AO201" s="5"/>
    </row>
    <row r="202" spans="10:41" x14ac:dyDescent="0.3">
      <c r="J202" s="9">
        <v>198</v>
      </c>
      <c r="K202" s="16" t="s">
        <v>104</v>
      </c>
      <c r="L202" s="16" t="s">
        <v>19</v>
      </c>
      <c r="M202" s="16" t="s">
        <v>35</v>
      </c>
      <c r="N202" s="16" t="s">
        <v>105</v>
      </c>
      <c r="O202" s="16" t="s">
        <v>104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 cm="1">
        <f t="array" ref="W202">_xlfn.LET(_xlpm.x, K202:K204, IF(SUM((_xlpm.x="C1")*1)=1, 3, 1))</f>
        <v>1</v>
      </c>
      <c r="X202" s="25" cm="1">
        <f t="array" ref="X202">_xlfn.LET(_xlpm.x, L202:L204, IF(SUM((_xlpm.x="C1")*1)=1, 3, 1))</f>
        <v>1</v>
      </c>
      <c r="Y202" s="25" cm="1">
        <f t="array" ref="Y202">_xlfn.LET(_xlpm.x, M202:M204, IF(SUM((_xlpm.x="C1")*1)=1, 3, 1))</f>
        <v>1</v>
      </c>
      <c r="Z202" s="25" cm="1">
        <f t="array" ref="Z202">_xlfn.LET(_xlpm.x, N202:N204, IF(SUM((_xlpm.x="C1")*1)=1, 3, 1))</f>
        <v>1</v>
      </c>
      <c r="AA202" s="25" cm="1">
        <f t="array" ref="AA202">_xlfn.LET(_xlpm.x, O202:O204, IF(SUM((_xlpm.x="C1")*1)=1, 3, 1))</f>
        <v>1</v>
      </c>
      <c r="AH202" s="5"/>
      <c r="AI202" s="5"/>
      <c r="AO202" s="5"/>
    </row>
    <row r="203" spans="10:41" x14ac:dyDescent="0.3">
      <c r="J203" s="25">
        <v>199</v>
      </c>
      <c r="K203" s="16" t="s">
        <v>37</v>
      </c>
      <c r="L203" s="16" t="s">
        <v>87</v>
      </c>
      <c r="M203" s="16" t="s">
        <v>35</v>
      </c>
      <c r="N203" s="16" t="s">
        <v>87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 cm="1">
        <f t="array" ref="W203">_xlfn.LET(_xlpm.x, K203:K205, IF(SUM((_xlpm.x="C1")*1)=1, 3, 1))</f>
        <v>1</v>
      </c>
      <c r="X203" s="25" cm="1">
        <f t="array" ref="X203">_xlfn.LET(_xlpm.x, L203:L205, IF(SUM((_xlpm.x="C1")*1)=1, 3, 1))</f>
        <v>1</v>
      </c>
      <c r="Y203" s="25" cm="1">
        <f t="array" ref="Y203">_xlfn.LET(_xlpm.x, M203:M205, IF(SUM((_xlpm.x="C1")*1)=1, 3, 1))</f>
        <v>1</v>
      </c>
      <c r="Z203" s="25" cm="1">
        <f t="array" ref="Z203">_xlfn.LET(_xlpm.x, N203:N205, IF(SUM((_xlpm.x="C1")*1)=1, 3, 1))</f>
        <v>1</v>
      </c>
      <c r="AA203" s="25" cm="1">
        <f t="array" ref="AA203">_xlfn.LET(_xlpm.x, O203:O205, IF(SUM((_xlpm.x="C1")*1)=1, 3, 1))</f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17" priority="47">
      <formula>_xlfn.LET(_xlpm.x, W4, AND(NOT(_xlfn.ISFORMULA(_xlpm.x)), _xlpm.x&lt;&gt;""))</formula>
    </cfRule>
  </conditionalFormatting>
  <conditionalFormatting sqref="W5:AA203 X4:AA4">
    <cfRule type="expression" dxfId="116" priority="42">
      <formula>_xlfn.LET(_xlpm.x, W4, AND(NOT(_xlfn.ISFORMULA(_xlpm.x)), _xlpm.x&lt;&gt;""))</formula>
    </cfRule>
  </conditionalFormatting>
  <conditionalFormatting sqref="K1:O1048576">
    <cfRule type="cellIs" dxfId="115" priority="30" operator="equal">
      <formula>"C1"</formula>
    </cfRule>
    <cfRule type="cellIs" dxfId="114" priority="31" operator="between">
      <formula>"G1"</formula>
      <formula>"G5"</formula>
    </cfRule>
    <cfRule type="cellIs" dxfId="113" priority="33" operator="between">
      <formula>"M1"</formula>
      <formula>"M5"</formula>
    </cfRule>
  </conditionalFormatting>
  <conditionalFormatting sqref="C28:G28 D27:G27 C31:G46 C29:C30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{D078B51E-3844-4995-BE04-BA0353961508}</x14:id>
        </ext>
      </extLst>
    </cfRule>
  </conditionalFormatting>
  <conditionalFormatting sqref="D52:D54">
    <cfRule type="cellIs" dxfId="112" priority="11" operator="equal">
      <formula>"C1"</formula>
    </cfRule>
    <cfRule type="cellIs" dxfId="111" priority="12" operator="between">
      <formula>"G1"</formula>
      <formula>"G4"</formula>
    </cfRule>
    <cfRule type="cellIs" dxfId="110" priority="13" operator="between">
      <formula>"GA"</formula>
      <formula>"GQ"</formula>
    </cfRule>
    <cfRule type="cellIs" dxfId="109" priority="14" operator="between">
      <formula>"M1"</formula>
      <formula>"M4"</formula>
    </cfRule>
  </conditionalFormatting>
  <conditionalFormatting sqref="E52:E54">
    <cfRule type="cellIs" dxfId="108" priority="7" operator="equal">
      <formula>"C1"</formula>
    </cfRule>
    <cfRule type="cellIs" dxfId="107" priority="8" operator="between">
      <formula>"G1"</formula>
      <formula>"G4"</formula>
    </cfRule>
    <cfRule type="cellIs" dxfId="106" priority="9" operator="between">
      <formula>"GA"</formula>
      <formula>"GQ"</formula>
    </cfRule>
    <cfRule type="cellIs" dxfId="105" priority="10" operator="between">
      <formula>"M1"</formula>
      <formula>"M4"</formula>
    </cfRule>
  </conditionalFormatting>
  <conditionalFormatting sqref="F52:F54">
    <cfRule type="cellIs" dxfId="104" priority="3" operator="equal">
      <formula>"C1"</formula>
    </cfRule>
    <cfRule type="cellIs" dxfId="103" priority="4" operator="between">
      <formula>"G1"</formula>
      <formula>"G4"</formula>
    </cfRule>
    <cfRule type="cellIs" dxfId="102" priority="5" operator="between">
      <formula>"GA"</formula>
      <formula>"GQ"</formula>
    </cfRule>
    <cfRule type="cellIs" dxfId="101" priority="6" operator="between">
      <formula>"M1"</formula>
      <formula>"M4"</formula>
    </cfRule>
  </conditionalFormatting>
  <conditionalFormatting sqref="D29:F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{50A3F2C0-8997-4FBB-884E-5E9E40508366}</x14:id>
        </ext>
      </extLst>
    </cfRule>
  </conditionalFormatting>
  <conditionalFormatting sqref="W4:AA203">
    <cfRule type="expression" dxfId="10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78B51E-3844-4995-BE04-BA03539615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50A3F2C0-8997-4FBB-884E-5E9E405083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2" operator="containsText" id="{1FBE36A8-8130-44F9-A928-4449139A0D5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130" t="s">
        <v>13</v>
      </c>
      <c r="L3" s="130" t="s">
        <v>14</v>
      </c>
      <c r="M3" s="130" t="s">
        <v>15</v>
      </c>
      <c r="N3" s="130" t="s">
        <v>16</v>
      </c>
      <c r="O3" s="130" t="s">
        <v>17</v>
      </c>
      <c r="Q3" s="130" t="s">
        <v>13</v>
      </c>
      <c r="R3" s="130" t="s">
        <v>14</v>
      </c>
      <c r="S3" s="130" t="s">
        <v>15</v>
      </c>
      <c r="T3" s="130" t="s">
        <v>16</v>
      </c>
      <c r="U3" s="130" t="s">
        <v>17</v>
      </c>
      <c r="W3" s="130" t="s">
        <v>6</v>
      </c>
      <c r="X3" s="130" t="s">
        <v>14</v>
      </c>
      <c r="Y3" s="130" t="s">
        <v>15</v>
      </c>
      <c r="Z3" s="130" t="s">
        <v>16</v>
      </c>
      <c r="AA3" s="130" t="s">
        <v>17</v>
      </c>
      <c r="AO3" s="5"/>
    </row>
    <row r="4" spans="1:41" ht="15.9" customHeight="1" x14ac:dyDescent="0.3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104</v>
      </c>
      <c r="M4" s="26" t="s">
        <v>89</v>
      </c>
      <c r="N4" s="26" t="s">
        <v>102</v>
      </c>
      <c r="O4" s="26" t="s">
        <v>35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17</v>
      </c>
      <c r="U4" s="25">
        <v>8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 x14ac:dyDescent="0.3">
      <c r="A5" s="29" t="str">
        <v>C1</v>
      </c>
      <c r="B5" s="8" t="str">
        <v>Scatter</v>
      </c>
      <c r="C5" s="98">
        <f t="shared" si="0"/>
        <v>2</v>
      </c>
      <c r="D5" s="98">
        <f t="shared" si="0"/>
        <v>2</v>
      </c>
      <c r="E5" s="98">
        <f t="shared" si="0"/>
        <v>0</v>
      </c>
      <c r="F5" s="98">
        <f t="shared" si="0"/>
        <v>3</v>
      </c>
      <c r="G5" s="98">
        <f t="shared" si="0"/>
        <v>3</v>
      </c>
      <c r="H5" s="8">
        <v>1</v>
      </c>
      <c r="I5" s="86"/>
      <c r="J5" s="9">
        <v>1</v>
      </c>
      <c r="K5" s="213" t="s">
        <v>18</v>
      </c>
      <c r="L5" s="213" t="s">
        <v>105</v>
      </c>
      <c r="M5" s="213" t="s">
        <v>105</v>
      </c>
      <c r="N5" s="213" t="s">
        <v>35</v>
      </c>
      <c r="O5" s="213" t="s">
        <v>37</v>
      </c>
      <c r="Q5" s="212">
        <v>4</v>
      </c>
      <c r="R5" s="212">
        <v>15</v>
      </c>
      <c r="S5" s="212">
        <v>15</v>
      </c>
      <c r="T5" s="212">
        <v>8</v>
      </c>
      <c r="U5" s="212">
        <v>7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 x14ac:dyDescent="0.3">
      <c r="A6" s="128" t="str">
        <v>M1</v>
      </c>
      <c r="B6" s="108" t="str">
        <v>M1</v>
      </c>
      <c r="C6" s="128">
        <f t="shared" si="0"/>
        <v>3</v>
      </c>
      <c r="D6" s="128">
        <f t="shared" si="0"/>
        <v>10</v>
      </c>
      <c r="E6" s="128">
        <f t="shared" si="0"/>
        <v>0</v>
      </c>
      <c r="F6" s="128">
        <f t="shared" si="0"/>
        <v>3</v>
      </c>
      <c r="G6" s="128">
        <f t="shared" si="0"/>
        <v>9</v>
      </c>
      <c r="H6" s="108">
        <v>2</v>
      </c>
      <c r="I6" s="86"/>
      <c r="J6" s="25">
        <v>2</v>
      </c>
      <c r="K6" s="213" t="s">
        <v>104</v>
      </c>
      <c r="L6" s="213" t="s">
        <v>19</v>
      </c>
      <c r="M6" s="213" t="s">
        <v>102</v>
      </c>
      <c r="N6" s="213" t="s">
        <v>36</v>
      </c>
      <c r="O6" s="213" t="s">
        <v>35</v>
      </c>
      <c r="Q6" s="212">
        <v>6</v>
      </c>
      <c r="R6" s="212">
        <v>5</v>
      </c>
      <c r="S6" s="212">
        <v>17</v>
      </c>
      <c r="T6" s="212">
        <v>10</v>
      </c>
      <c r="U6" s="212">
        <v>8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 cm="1">
        <f t="array" ref="AK6:AO25">$AD$6:$AH$25</f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 x14ac:dyDescent="0.3">
      <c r="A7" s="128" t="str">
        <v>M2</v>
      </c>
      <c r="B7" s="108" t="str">
        <v>M2</v>
      </c>
      <c r="C7" s="128">
        <f t="shared" si="0"/>
        <v>3</v>
      </c>
      <c r="D7" s="128">
        <f t="shared" si="0"/>
        <v>12</v>
      </c>
      <c r="E7" s="128">
        <f t="shared" si="0"/>
        <v>0</v>
      </c>
      <c r="F7" s="128">
        <f t="shared" si="0"/>
        <v>3</v>
      </c>
      <c r="G7" s="128">
        <f t="shared" si="0"/>
        <v>8</v>
      </c>
      <c r="H7" s="108">
        <v>3</v>
      </c>
      <c r="I7" s="86"/>
      <c r="J7" s="9">
        <v>3</v>
      </c>
      <c r="K7" s="213" t="s">
        <v>37</v>
      </c>
      <c r="L7" s="26" t="s">
        <v>37</v>
      </c>
      <c r="M7" s="213" t="s">
        <v>89</v>
      </c>
      <c r="N7" s="213" t="s">
        <v>19</v>
      </c>
      <c r="O7" s="213" t="s">
        <v>104</v>
      </c>
      <c r="Q7" s="212">
        <v>7</v>
      </c>
      <c r="R7" s="212">
        <v>7</v>
      </c>
      <c r="S7" s="212">
        <v>14</v>
      </c>
      <c r="T7" s="212">
        <v>5</v>
      </c>
      <c r="U7" s="212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1</v>
      </c>
      <c r="AE7" s="133">
        <v>1</v>
      </c>
      <c r="AF7" s="133">
        <v>0</v>
      </c>
      <c r="AG7" s="133">
        <v>1</v>
      </c>
      <c r="AH7" s="133">
        <v>1</v>
      </c>
      <c r="AI7" s="5"/>
      <c r="AJ7" s="133" t="str">
        <v>C1</v>
      </c>
      <c r="AK7" s="211">
        <v>1</v>
      </c>
      <c r="AL7" s="211">
        <v>1</v>
      </c>
      <c r="AM7" s="211">
        <v>0</v>
      </c>
      <c r="AN7" s="211">
        <v>1</v>
      </c>
      <c r="AO7" s="211">
        <v>1</v>
      </c>
    </row>
    <row r="8" spans="1:41" ht="15.9" customHeight="1" x14ac:dyDescent="0.3">
      <c r="A8" s="128" t="str">
        <v>M3</v>
      </c>
      <c r="B8" s="108" t="str">
        <v>M3</v>
      </c>
      <c r="C8" s="128">
        <f t="shared" si="0"/>
        <v>7</v>
      </c>
      <c r="D8" s="128">
        <f t="shared" si="0"/>
        <v>13</v>
      </c>
      <c r="E8" s="128">
        <f t="shared" si="0"/>
        <v>0</v>
      </c>
      <c r="F8" s="128">
        <f t="shared" si="0"/>
        <v>7</v>
      </c>
      <c r="G8" s="128">
        <f t="shared" si="0"/>
        <v>14</v>
      </c>
      <c r="H8" s="108">
        <v>4</v>
      </c>
      <c r="I8" s="86"/>
      <c r="J8" s="25">
        <v>4</v>
      </c>
      <c r="K8" s="213" t="s">
        <v>34</v>
      </c>
      <c r="L8" s="213" t="s">
        <v>19</v>
      </c>
      <c r="M8" s="213" t="s">
        <v>90</v>
      </c>
      <c r="N8" s="213" t="s">
        <v>36</v>
      </c>
      <c r="O8" s="213" t="s">
        <v>19</v>
      </c>
      <c r="Q8" s="212">
        <v>9</v>
      </c>
      <c r="R8" s="212">
        <v>5</v>
      </c>
      <c r="S8" s="212">
        <v>16</v>
      </c>
      <c r="T8" s="212">
        <v>10</v>
      </c>
      <c r="U8" s="212">
        <v>5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8" t="str">
        <v>M1</v>
      </c>
      <c r="AD8" s="128">
        <v>3</v>
      </c>
      <c r="AE8" s="128">
        <v>10</v>
      </c>
      <c r="AF8" s="128">
        <v>0</v>
      </c>
      <c r="AG8" s="128">
        <v>3</v>
      </c>
      <c r="AH8" s="128">
        <v>9</v>
      </c>
      <c r="AI8" s="5"/>
      <c r="AJ8" s="148" t="str">
        <v>M1</v>
      </c>
      <c r="AK8" s="128">
        <v>3</v>
      </c>
      <c r="AL8" s="128">
        <v>10</v>
      </c>
      <c r="AM8" s="128">
        <v>0</v>
      </c>
      <c r="AN8" s="128">
        <v>3</v>
      </c>
      <c r="AO8" s="128">
        <v>9</v>
      </c>
    </row>
    <row r="9" spans="1:41" ht="15.9" customHeight="1" x14ac:dyDescent="0.3">
      <c r="A9" s="128" t="str">
        <v>M4</v>
      </c>
      <c r="B9" s="108" t="str">
        <v>M4</v>
      </c>
      <c r="C9" s="128">
        <f t="shared" si="0"/>
        <v>43</v>
      </c>
      <c r="D9" s="128">
        <f t="shared" si="0"/>
        <v>22</v>
      </c>
      <c r="E9" s="128">
        <f t="shared" si="0"/>
        <v>0</v>
      </c>
      <c r="F9" s="128">
        <f t="shared" si="0"/>
        <v>31</v>
      </c>
      <c r="G9" s="128">
        <f t="shared" si="0"/>
        <v>36</v>
      </c>
      <c r="H9" s="108">
        <v>5</v>
      </c>
      <c r="I9" s="86"/>
      <c r="J9" s="9">
        <v>5</v>
      </c>
      <c r="K9" s="213" t="s">
        <v>35</v>
      </c>
      <c r="L9" s="213" t="s">
        <v>37</v>
      </c>
      <c r="M9" s="213" t="s">
        <v>102</v>
      </c>
      <c r="N9" s="213" t="s">
        <v>35</v>
      </c>
      <c r="O9" s="213" t="s">
        <v>104</v>
      </c>
      <c r="Q9" s="212">
        <v>8</v>
      </c>
      <c r="R9" s="212">
        <v>7</v>
      </c>
      <c r="S9" s="212">
        <v>17</v>
      </c>
      <c r="T9" s="212">
        <v>8</v>
      </c>
      <c r="U9" s="212">
        <v>6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8" t="str">
        <v>M2</v>
      </c>
      <c r="AD9" s="128">
        <v>3</v>
      </c>
      <c r="AE9" s="128">
        <v>12</v>
      </c>
      <c r="AF9" s="128">
        <v>0</v>
      </c>
      <c r="AG9" s="128">
        <v>3</v>
      </c>
      <c r="AH9" s="128">
        <v>8</v>
      </c>
      <c r="AI9" s="5"/>
      <c r="AJ9" s="148" t="str">
        <v>M2</v>
      </c>
      <c r="AK9" s="128">
        <v>3</v>
      </c>
      <c r="AL9" s="128">
        <v>12</v>
      </c>
      <c r="AM9" s="128">
        <v>0</v>
      </c>
      <c r="AN9" s="128">
        <v>3</v>
      </c>
      <c r="AO9" s="128">
        <v>8</v>
      </c>
    </row>
    <row r="10" spans="1:41" ht="15.9" customHeight="1" x14ac:dyDescent="0.3">
      <c r="A10" s="128" t="str">
        <v>M5</v>
      </c>
      <c r="B10" s="108" t="str">
        <v>M5</v>
      </c>
      <c r="C10" s="128">
        <f t="shared" si="0"/>
        <v>42</v>
      </c>
      <c r="D10" s="128">
        <f t="shared" si="0"/>
        <v>22</v>
      </c>
      <c r="E10" s="128">
        <f t="shared" si="0"/>
        <v>0</v>
      </c>
      <c r="F10" s="128">
        <f t="shared" si="0"/>
        <v>27</v>
      </c>
      <c r="G10" s="128">
        <f t="shared" si="0"/>
        <v>34</v>
      </c>
      <c r="H10" s="108">
        <v>6</v>
      </c>
      <c r="I10" s="86"/>
      <c r="J10" s="25">
        <v>6</v>
      </c>
      <c r="K10" s="213" t="s">
        <v>18</v>
      </c>
      <c r="L10" s="213" t="s">
        <v>34</v>
      </c>
      <c r="M10" s="213" t="s">
        <v>90</v>
      </c>
      <c r="N10" s="213" t="s">
        <v>89</v>
      </c>
      <c r="O10" s="213" t="s">
        <v>19</v>
      </c>
      <c r="Q10" s="212">
        <v>4</v>
      </c>
      <c r="R10" s="212">
        <v>9</v>
      </c>
      <c r="S10" s="212">
        <v>16</v>
      </c>
      <c r="T10" s="212">
        <v>14</v>
      </c>
      <c r="U10" s="212">
        <v>5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8" t="str">
        <v>M3</v>
      </c>
      <c r="AD10" s="128">
        <v>7</v>
      </c>
      <c r="AE10" s="128">
        <v>13</v>
      </c>
      <c r="AF10" s="128">
        <v>0</v>
      </c>
      <c r="AG10" s="128">
        <v>7</v>
      </c>
      <c r="AH10" s="128">
        <v>14</v>
      </c>
      <c r="AI10" s="5"/>
      <c r="AJ10" s="148" t="str">
        <v>M3</v>
      </c>
      <c r="AK10" s="128">
        <v>7</v>
      </c>
      <c r="AL10" s="128">
        <v>13</v>
      </c>
      <c r="AM10" s="128">
        <v>0</v>
      </c>
      <c r="AN10" s="128">
        <v>7</v>
      </c>
      <c r="AO10" s="128">
        <v>14</v>
      </c>
    </row>
    <row r="11" spans="1:41" ht="15.9" customHeight="1" x14ac:dyDescent="0.3">
      <c r="A11" s="128" t="str">
        <v>A</v>
      </c>
      <c r="B11" s="108" t="str">
        <v>A</v>
      </c>
      <c r="C11" s="128">
        <f t="shared" si="0"/>
        <v>43</v>
      </c>
      <c r="D11" s="128">
        <f t="shared" si="0"/>
        <v>27</v>
      </c>
      <c r="E11" s="128">
        <f t="shared" si="0"/>
        <v>0</v>
      </c>
      <c r="F11" s="128">
        <f t="shared" si="0"/>
        <v>31</v>
      </c>
      <c r="G11" s="128">
        <f t="shared" si="0"/>
        <v>35</v>
      </c>
      <c r="H11" s="108">
        <v>7</v>
      </c>
      <c r="I11" s="86"/>
      <c r="J11" s="9">
        <v>7</v>
      </c>
      <c r="K11" s="213" t="s">
        <v>104</v>
      </c>
      <c r="L11" s="213" t="s">
        <v>93</v>
      </c>
      <c r="M11" s="213" t="s">
        <v>102</v>
      </c>
      <c r="N11" s="213" t="s">
        <v>102</v>
      </c>
      <c r="O11" s="213" t="s">
        <v>104</v>
      </c>
      <c r="Q11" s="212">
        <v>6</v>
      </c>
      <c r="R11" s="212">
        <v>18</v>
      </c>
      <c r="S11" s="212">
        <v>17</v>
      </c>
      <c r="T11" s="212">
        <v>17</v>
      </c>
      <c r="U11" s="212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8" t="str">
        <v>M4</v>
      </c>
      <c r="AD11" s="128">
        <v>43</v>
      </c>
      <c r="AE11" s="128">
        <v>22</v>
      </c>
      <c r="AF11" s="128">
        <v>0</v>
      </c>
      <c r="AG11" s="128">
        <v>31</v>
      </c>
      <c r="AH11" s="128">
        <v>36</v>
      </c>
      <c r="AI11" s="5"/>
      <c r="AJ11" s="148" t="str">
        <v>M4</v>
      </c>
      <c r="AK11" s="128">
        <v>43</v>
      </c>
      <c r="AL11" s="128">
        <v>22</v>
      </c>
      <c r="AM11" s="128">
        <v>0</v>
      </c>
      <c r="AN11" s="128">
        <v>31</v>
      </c>
      <c r="AO11" s="128">
        <v>36</v>
      </c>
    </row>
    <row r="12" spans="1:41" ht="15.9" customHeight="1" x14ac:dyDescent="0.3">
      <c r="A12" s="128" t="str">
        <v>K</v>
      </c>
      <c r="B12" s="108" t="str">
        <v>K</v>
      </c>
      <c r="C12" s="128">
        <f t="shared" si="0"/>
        <v>43</v>
      </c>
      <c r="D12" s="128">
        <f t="shared" si="0"/>
        <v>24</v>
      </c>
      <c r="E12" s="128">
        <f t="shared" si="0"/>
        <v>0</v>
      </c>
      <c r="F12" s="128">
        <f t="shared" si="0"/>
        <v>32</v>
      </c>
      <c r="G12" s="128">
        <f t="shared" si="0"/>
        <v>34</v>
      </c>
      <c r="H12" s="108">
        <v>8</v>
      </c>
      <c r="I12" s="86"/>
      <c r="J12" s="25">
        <v>8</v>
      </c>
      <c r="K12" s="213" t="s">
        <v>36</v>
      </c>
      <c r="L12" s="213" t="s">
        <v>22</v>
      </c>
      <c r="M12" s="213" t="s">
        <v>90</v>
      </c>
      <c r="N12" s="213" t="s">
        <v>37</v>
      </c>
      <c r="O12" s="213" t="s">
        <v>37</v>
      </c>
      <c r="Q12" s="212">
        <v>10</v>
      </c>
      <c r="R12" s="212">
        <v>3</v>
      </c>
      <c r="S12" s="212">
        <v>16</v>
      </c>
      <c r="T12" s="212">
        <v>7</v>
      </c>
      <c r="U12" s="212">
        <v>7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8" t="str">
        <v>M5</v>
      </c>
      <c r="AD12" s="128">
        <v>42</v>
      </c>
      <c r="AE12" s="128">
        <v>22</v>
      </c>
      <c r="AF12" s="128">
        <v>0</v>
      </c>
      <c r="AG12" s="128">
        <v>27</v>
      </c>
      <c r="AH12" s="128">
        <v>34</v>
      </c>
      <c r="AI12" s="5"/>
      <c r="AJ12" s="148" t="str">
        <v>M5</v>
      </c>
      <c r="AK12" s="128">
        <v>42</v>
      </c>
      <c r="AL12" s="128">
        <v>22</v>
      </c>
      <c r="AM12" s="128">
        <v>0</v>
      </c>
      <c r="AN12" s="128">
        <v>27</v>
      </c>
      <c r="AO12" s="128">
        <v>34</v>
      </c>
    </row>
    <row r="13" spans="1:41" ht="15.9" customHeight="1" x14ac:dyDescent="0.3">
      <c r="A13" s="128" t="str">
        <v>Q</v>
      </c>
      <c r="B13" s="108" t="str">
        <v>Q</v>
      </c>
      <c r="C13" s="128">
        <f t="shared" si="0"/>
        <v>7</v>
      </c>
      <c r="D13" s="128">
        <f t="shared" si="0"/>
        <v>12</v>
      </c>
      <c r="E13" s="128">
        <f t="shared" si="0"/>
        <v>0</v>
      </c>
      <c r="F13" s="128">
        <f t="shared" si="0"/>
        <v>6</v>
      </c>
      <c r="G13" s="128">
        <f t="shared" si="0"/>
        <v>13</v>
      </c>
      <c r="H13" s="108">
        <v>9</v>
      </c>
      <c r="I13" s="86"/>
      <c r="J13" s="9">
        <v>9</v>
      </c>
      <c r="K13" s="213" t="s">
        <v>21</v>
      </c>
      <c r="L13" s="213" t="s">
        <v>90</v>
      </c>
      <c r="M13" s="213" t="s">
        <v>105</v>
      </c>
      <c r="N13" s="213" t="s">
        <v>89</v>
      </c>
      <c r="O13" s="213" t="s">
        <v>34</v>
      </c>
      <c r="Q13" s="212">
        <v>2</v>
      </c>
      <c r="R13" s="212">
        <v>16</v>
      </c>
      <c r="S13" s="212">
        <v>15</v>
      </c>
      <c r="T13" s="212">
        <v>14</v>
      </c>
      <c r="U13" s="212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8" t="str">
        <v>A</v>
      </c>
      <c r="AD13" s="128">
        <v>43</v>
      </c>
      <c r="AE13" s="128">
        <v>27</v>
      </c>
      <c r="AF13" s="128">
        <v>0</v>
      </c>
      <c r="AG13" s="128">
        <v>31</v>
      </c>
      <c r="AH13" s="128">
        <v>35</v>
      </c>
      <c r="AI13" s="5"/>
      <c r="AJ13" s="148" t="str">
        <v>A</v>
      </c>
      <c r="AK13" s="128">
        <v>43</v>
      </c>
      <c r="AL13" s="128">
        <v>27</v>
      </c>
      <c r="AM13" s="128">
        <v>0</v>
      </c>
      <c r="AN13" s="128">
        <v>31</v>
      </c>
      <c r="AO13" s="128">
        <v>35</v>
      </c>
    </row>
    <row r="14" spans="1:41" ht="15.9" customHeight="1" x14ac:dyDescent="0.3">
      <c r="A14" s="128" t="str">
        <v>J</v>
      </c>
      <c r="B14" s="108" t="str">
        <v>J</v>
      </c>
      <c r="C14" s="128">
        <f t="shared" si="0"/>
        <v>7</v>
      </c>
      <c r="D14" s="128">
        <f t="shared" si="0"/>
        <v>8</v>
      </c>
      <c r="E14" s="128">
        <f t="shared" si="0"/>
        <v>0</v>
      </c>
      <c r="F14" s="128">
        <f t="shared" si="0"/>
        <v>7</v>
      </c>
      <c r="G14" s="128">
        <f t="shared" si="0"/>
        <v>14</v>
      </c>
      <c r="H14" s="108">
        <v>10</v>
      </c>
      <c r="I14" s="86"/>
      <c r="J14" s="25">
        <v>10</v>
      </c>
      <c r="K14" s="213" t="s">
        <v>37</v>
      </c>
      <c r="L14" s="213" t="s">
        <v>35</v>
      </c>
      <c r="M14" s="213" t="s">
        <v>90</v>
      </c>
      <c r="N14" s="213" t="s">
        <v>19</v>
      </c>
      <c r="O14" s="213" t="s">
        <v>21</v>
      </c>
      <c r="Q14" s="212">
        <v>7</v>
      </c>
      <c r="R14" s="212">
        <v>8</v>
      </c>
      <c r="S14" s="212">
        <v>16</v>
      </c>
      <c r="T14" s="212">
        <v>5</v>
      </c>
      <c r="U14" s="212">
        <v>2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8" t="str">
        <v>K</v>
      </c>
      <c r="AD14" s="128">
        <v>43</v>
      </c>
      <c r="AE14" s="128">
        <v>24</v>
      </c>
      <c r="AF14" s="128">
        <v>0</v>
      </c>
      <c r="AG14" s="128">
        <v>32</v>
      </c>
      <c r="AH14" s="128">
        <v>34</v>
      </c>
      <c r="AI14" s="5"/>
      <c r="AJ14" s="148" t="str">
        <v>K</v>
      </c>
      <c r="AK14" s="128">
        <v>43</v>
      </c>
      <c r="AL14" s="128">
        <v>24</v>
      </c>
      <c r="AM14" s="128">
        <v>0</v>
      </c>
      <c r="AN14" s="128">
        <v>32</v>
      </c>
      <c r="AO14" s="128">
        <v>34</v>
      </c>
    </row>
    <row r="15" spans="1:41" ht="15.9" customHeight="1" x14ac:dyDescent="0.3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2</v>
      </c>
      <c r="E15" s="98">
        <f t="shared" si="0"/>
        <v>3</v>
      </c>
      <c r="F15" s="98">
        <f t="shared" si="0"/>
        <v>1</v>
      </c>
      <c r="G15" s="98">
        <f t="shared" si="0"/>
        <v>0</v>
      </c>
      <c r="H15" s="8">
        <v>11</v>
      </c>
      <c r="I15" s="86"/>
      <c r="J15" s="9">
        <v>11</v>
      </c>
      <c r="K15" s="213" t="s">
        <v>104</v>
      </c>
      <c r="L15" s="213" t="s">
        <v>102</v>
      </c>
      <c r="M15" s="213" t="s">
        <v>95</v>
      </c>
      <c r="N15" s="213" t="s">
        <v>36</v>
      </c>
      <c r="O15" s="213" t="s">
        <v>34</v>
      </c>
      <c r="Q15" s="212">
        <v>6</v>
      </c>
      <c r="R15" s="212">
        <v>17</v>
      </c>
      <c r="S15" s="212">
        <v>19</v>
      </c>
      <c r="T15" s="212">
        <v>10</v>
      </c>
      <c r="U15" s="212">
        <v>9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8" t="str">
        <v>Q</v>
      </c>
      <c r="AD15" s="128">
        <v>7</v>
      </c>
      <c r="AE15" s="128">
        <v>12</v>
      </c>
      <c r="AF15" s="128">
        <v>0</v>
      </c>
      <c r="AG15" s="128">
        <v>6</v>
      </c>
      <c r="AH15" s="128">
        <v>13</v>
      </c>
      <c r="AI15" s="5"/>
      <c r="AJ15" s="148" t="str">
        <v>Q</v>
      </c>
      <c r="AK15" s="128">
        <v>7</v>
      </c>
      <c r="AL15" s="128">
        <v>12</v>
      </c>
      <c r="AM15" s="128">
        <v>0</v>
      </c>
      <c r="AN15" s="128">
        <v>6</v>
      </c>
      <c r="AO15" s="128">
        <v>13</v>
      </c>
    </row>
    <row r="16" spans="1:41" ht="15.9" customHeight="1" x14ac:dyDescent="0.3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3</v>
      </c>
      <c r="E16" s="98">
        <f t="shared" si="0"/>
        <v>3</v>
      </c>
      <c r="F16" s="98">
        <f t="shared" si="0"/>
        <v>1</v>
      </c>
      <c r="G16" s="98">
        <f t="shared" si="0"/>
        <v>0</v>
      </c>
      <c r="H16" s="8">
        <v>12</v>
      </c>
      <c r="I16" s="86"/>
      <c r="J16" s="25">
        <v>12</v>
      </c>
      <c r="K16" s="213" t="s">
        <v>36</v>
      </c>
      <c r="L16" s="213" t="s">
        <v>104</v>
      </c>
      <c r="M16" s="213" t="s">
        <v>88</v>
      </c>
      <c r="N16" s="213" t="s">
        <v>22</v>
      </c>
      <c r="O16" s="213" t="s">
        <v>18</v>
      </c>
      <c r="Q16" s="212">
        <v>10</v>
      </c>
      <c r="R16" s="212">
        <v>6</v>
      </c>
      <c r="S16" s="212">
        <v>13</v>
      </c>
      <c r="T16" s="212">
        <v>3</v>
      </c>
      <c r="U16" s="212">
        <v>4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8" t="str">
        <v>J</v>
      </c>
      <c r="AD16" s="128">
        <v>7</v>
      </c>
      <c r="AE16" s="128">
        <v>8</v>
      </c>
      <c r="AF16" s="128">
        <v>0</v>
      </c>
      <c r="AG16" s="128">
        <v>7</v>
      </c>
      <c r="AH16" s="128">
        <v>14</v>
      </c>
      <c r="AI16" s="5"/>
      <c r="AJ16" s="148" t="str">
        <v>J</v>
      </c>
      <c r="AK16" s="128">
        <v>7</v>
      </c>
      <c r="AL16" s="128">
        <v>8</v>
      </c>
      <c r="AM16" s="128">
        <v>0</v>
      </c>
      <c r="AN16" s="128">
        <v>7</v>
      </c>
      <c r="AO16" s="128">
        <v>14</v>
      </c>
    </row>
    <row r="17" spans="1:41" ht="15.9" customHeight="1" x14ac:dyDescent="0.3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3</v>
      </c>
      <c r="E17" s="98">
        <f t="shared" si="0"/>
        <v>8</v>
      </c>
      <c r="F17" s="98">
        <f t="shared" si="0"/>
        <v>2</v>
      </c>
      <c r="G17" s="98">
        <f t="shared" si="0"/>
        <v>0</v>
      </c>
      <c r="H17" s="8">
        <v>13</v>
      </c>
      <c r="I17" s="86"/>
      <c r="J17" s="9">
        <v>13</v>
      </c>
      <c r="K17" s="213" t="s">
        <v>19</v>
      </c>
      <c r="L17" s="213" t="s">
        <v>89</v>
      </c>
      <c r="M17" s="213" t="s">
        <v>90</v>
      </c>
      <c r="N17" s="213" t="s">
        <v>35</v>
      </c>
      <c r="O17" s="213" t="s">
        <v>35</v>
      </c>
      <c r="Q17" s="212">
        <v>5</v>
      </c>
      <c r="R17" s="212">
        <v>14</v>
      </c>
      <c r="S17" s="212">
        <v>16</v>
      </c>
      <c r="T17" s="212">
        <v>8</v>
      </c>
      <c r="U17" s="212">
        <v>8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3</v>
      </c>
      <c r="AF17" s="98">
        <v>3</v>
      </c>
      <c r="AG17" s="98">
        <v>2</v>
      </c>
      <c r="AH17" s="98">
        <v>0</v>
      </c>
      <c r="AI17" s="5"/>
      <c r="AJ17" s="133" t="str">
        <v>G1</v>
      </c>
      <c r="AK17" s="98">
        <v>0</v>
      </c>
      <c r="AL17" s="98">
        <v>3</v>
      </c>
      <c r="AM17" s="98">
        <v>3</v>
      </c>
      <c r="AN17" s="98">
        <v>2</v>
      </c>
      <c r="AO17" s="98">
        <v>0</v>
      </c>
    </row>
    <row r="18" spans="1:41" ht="15.9" customHeight="1" x14ac:dyDescent="0.3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8</v>
      </c>
      <c r="E18" s="98">
        <f t="shared" si="0"/>
        <v>43</v>
      </c>
      <c r="F18" s="98">
        <f t="shared" si="0"/>
        <v>11</v>
      </c>
      <c r="G18" s="98">
        <f t="shared" si="0"/>
        <v>0</v>
      </c>
      <c r="H18" s="8">
        <v>14</v>
      </c>
      <c r="I18" s="86"/>
      <c r="J18" s="25">
        <v>14</v>
      </c>
      <c r="K18" s="213" t="s">
        <v>104</v>
      </c>
      <c r="L18" s="213" t="s">
        <v>18</v>
      </c>
      <c r="M18" s="213" t="s">
        <v>89</v>
      </c>
      <c r="N18" s="213" t="s">
        <v>19</v>
      </c>
      <c r="O18" s="213" t="s">
        <v>36</v>
      </c>
      <c r="Q18" s="212">
        <v>6</v>
      </c>
      <c r="R18" s="212">
        <v>4</v>
      </c>
      <c r="S18" s="212">
        <v>14</v>
      </c>
      <c r="T18" s="212">
        <v>5</v>
      </c>
      <c r="U18" s="212">
        <v>10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4</v>
      </c>
      <c r="AF18" s="98">
        <v>1</v>
      </c>
      <c r="AG18" s="98">
        <v>2</v>
      </c>
      <c r="AH18" s="98">
        <v>0</v>
      </c>
      <c r="AI18" s="5"/>
      <c r="AJ18" s="133" t="str">
        <v>G2</v>
      </c>
      <c r="AK18" s="98">
        <v>0</v>
      </c>
      <c r="AL18" s="98">
        <v>4</v>
      </c>
      <c r="AM18" s="98">
        <v>1</v>
      </c>
      <c r="AN18" s="98">
        <v>2</v>
      </c>
      <c r="AO18" s="98">
        <v>0</v>
      </c>
    </row>
    <row r="19" spans="1:41" ht="15.9" customHeight="1" x14ac:dyDescent="0.3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8</v>
      </c>
      <c r="E19" s="98">
        <f t="shared" si="0"/>
        <v>42</v>
      </c>
      <c r="F19" s="98">
        <f t="shared" si="0"/>
        <v>12</v>
      </c>
      <c r="G19" s="98">
        <f t="shared" si="0"/>
        <v>0</v>
      </c>
      <c r="H19" s="8">
        <v>15</v>
      </c>
      <c r="I19" s="86"/>
      <c r="J19" s="9">
        <v>15</v>
      </c>
      <c r="K19" s="213" t="s">
        <v>19</v>
      </c>
      <c r="L19" s="213" t="s">
        <v>35</v>
      </c>
      <c r="M19" s="213" t="s">
        <v>90</v>
      </c>
      <c r="N19" s="213" t="s">
        <v>104</v>
      </c>
      <c r="O19" s="213" t="s">
        <v>18</v>
      </c>
      <c r="Q19" s="212">
        <v>5</v>
      </c>
      <c r="R19" s="212">
        <v>8</v>
      </c>
      <c r="S19" s="212">
        <v>16</v>
      </c>
      <c r="T19" s="212">
        <v>6</v>
      </c>
      <c r="U19" s="212">
        <v>4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4</v>
      </c>
      <c r="AF19" s="98">
        <v>8</v>
      </c>
      <c r="AG19" s="98">
        <v>3</v>
      </c>
      <c r="AH19" s="98">
        <v>0</v>
      </c>
      <c r="AI19" s="5"/>
      <c r="AJ19" s="133" t="str">
        <v>G3</v>
      </c>
      <c r="AK19" s="98">
        <v>0</v>
      </c>
      <c r="AL19" s="98">
        <v>4</v>
      </c>
      <c r="AM19" s="98">
        <v>8</v>
      </c>
      <c r="AN19" s="98">
        <v>3</v>
      </c>
      <c r="AO19" s="98">
        <v>0</v>
      </c>
    </row>
    <row r="20" spans="1:41" ht="15.9" customHeight="1" x14ac:dyDescent="0.3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10</v>
      </c>
      <c r="E20" s="98">
        <f t="shared" si="0"/>
        <v>42</v>
      </c>
      <c r="F20" s="98">
        <f t="shared" si="0"/>
        <v>10</v>
      </c>
      <c r="G20" s="98">
        <f t="shared" si="0"/>
        <v>0</v>
      </c>
      <c r="H20" s="8">
        <v>16</v>
      </c>
      <c r="I20" s="86"/>
      <c r="J20" s="25">
        <v>16</v>
      </c>
      <c r="K20" s="213" t="s">
        <v>35</v>
      </c>
      <c r="L20" s="213" t="s">
        <v>36</v>
      </c>
      <c r="M20" s="213" t="s">
        <v>89</v>
      </c>
      <c r="N20" s="213" t="s">
        <v>35</v>
      </c>
      <c r="O20" s="213" t="s">
        <v>104</v>
      </c>
      <c r="Q20" s="212">
        <v>8</v>
      </c>
      <c r="R20" s="212">
        <v>10</v>
      </c>
      <c r="S20" s="212">
        <v>14</v>
      </c>
      <c r="T20" s="212">
        <v>8</v>
      </c>
      <c r="U20" s="212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9</v>
      </c>
      <c r="AF20" s="98">
        <v>43</v>
      </c>
      <c r="AG20" s="98">
        <v>12</v>
      </c>
      <c r="AH20" s="98">
        <v>0</v>
      </c>
      <c r="AI20" s="5"/>
      <c r="AJ20" s="133" t="str">
        <v>G4</v>
      </c>
      <c r="AK20" s="98">
        <v>0</v>
      </c>
      <c r="AL20" s="98">
        <v>9</v>
      </c>
      <c r="AM20" s="98">
        <v>43</v>
      </c>
      <c r="AN20" s="98">
        <v>12</v>
      </c>
      <c r="AO20" s="98">
        <v>0</v>
      </c>
    </row>
    <row r="21" spans="1:41" ht="15.9" customHeight="1" x14ac:dyDescent="0.3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9</v>
      </c>
      <c r="E21" s="98">
        <f t="shared" si="0"/>
        <v>44</v>
      </c>
      <c r="F21" s="98">
        <f t="shared" si="0"/>
        <v>10</v>
      </c>
      <c r="G21" s="98">
        <f t="shared" si="0"/>
        <v>0</v>
      </c>
      <c r="H21" s="8">
        <v>17</v>
      </c>
      <c r="I21" s="86"/>
      <c r="J21" s="9">
        <v>17</v>
      </c>
      <c r="K21" s="213" t="s">
        <v>37</v>
      </c>
      <c r="L21" s="213" t="s">
        <v>104</v>
      </c>
      <c r="M21" s="213" t="s">
        <v>90</v>
      </c>
      <c r="N21" s="213" t="s">
        <v>105</v>
      </c>
      <c r="O21" s="213" t="s">
        <v>37</v>
      </c>
      <c r="Q21" s="212">
        <v>7</v>
      </c>
      <c r="R21" s="212">
        <v>6</v>
      </c>
      <c r="S21" s="212">
        <v>16</v>
      </c>
      <c r="T21" s="212">
        <v>15</v>
      </c>
      <c r="U21" s="212">
        <v>7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9</v>
      </c>
      <c r="AF21" s="98">
        <v>42</v>
      </c>
      <c r="AG21" s="98">
        <v>13</v>
      </c>
      <c r="AH21" s="98">
        <v>0</v>
      </c>
      <c r="AI21" s="5"/>
      <c r="AJ21" s="133" t="str">
        <v>G5</v>
      </c>
      <c r="AK21" s="98">
        <v>0</v>
      </c>
      <c r="AL21" s="98">
        <v>9</v>
      </c>
      <c r="AM21" s="98">
        <v>42</v>
      </c>
      <c r="AN21" s="98">
        <v>13</v>
      </c>
      <c r="AO21" s="98">
        <v>0</v>
      </c>
    </row>
    <row r="22" spans="1:41" ht="15.9" customHeight="1" x14ac:dyDescent="0.3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3</v>
      </c>
      <c r="E22" s="98">
        <f t="shared" si="0"/>
        <v>6</v>
      </c>
      <c r="F22" s="98">
        <f t="shared" si="0"/>
        <v>1</v>
      </c>
      <c r="G22" s="98">
        <f t="shared" si="0"/>
        <v>0</v>
      </c>
      <c r="H22" s="8">
        <v>18</v>
      </c>
      <c r="I22" s="86"/>
      <c r="J22" s="25">
        <v>18</v>
      </c>
      <c r="K22" s="213" t="s">
        <v>34</v>
      </c>
      <c r="L22" s="213" t="s">
        <v>89</v>
      </c>
      <c r="M22" s="213" t="s">
        <v>102</v>
      </c>
      <c r="N22" s="213" t="s">
        <v>37</v>
      </c>
      <c r="O22" s="213" t="s">
        <v>19</v>
      </c>
      <c r="Q22" s="212">
        <v>9</v>
      </c>
      <c r="R22" s="212">
        <v>14</v>
      </c>
      <c r="S22" s="212">
        <v>17</v>
      </c>
      <c r="T22" s="212">
        <v>7</v>
      </c>
      <c r="U22" s="212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11</v>
      </c>
      <c r="AF22" s="98">
        <v>42</v>
      </c>
      <c r="AG22" s="98">
        <v>11</v>
      </c>
      <c r="AH22" s="98">
        <v>0</v>
      </c>
      <c r="AI22" s="5"/>
      <c r="AJ22" s="133" t="str">
        <v>GA</v>
      </c>
      <c r="AK22" s="98">
        <v>0</v>
      </c>
      <c r="AL22" s="98">
        <v>11</v>
      </c>
      <c r="AM22" s="98">
        <v>42</v>
      </c>
      <c r="AN22" s="98">
        <v>11</v>
      </c>
      <c r="AO22" s="98">
        <v>0</v>
      </c>
    </row>
    <row r="23" spans="1:41" ht="15.9" customHeight="1" x14ac:dyDescent="0.3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2</v>
      </c>
      <c r="E23" s="98">
        <f t="shared" si="0"/>
        <v>9</v>
      </c>
      <c r="F23" s="98">
        <f t="shared" si="0"/>
        <v>2</v>
      </c>
      <c r="G23" s="98">
        <f t="shared" si="0"/>
        <v>0</v>
      </c>
      <c r="H23" s="8">
        <v>19</v>
      </c>
      <c r="I23" s="86"/>
      <c r="J23" s="9">
        <v>19</v>
      </c>
      <c r="K23" s="213" t="s">
        <v>22</v>
      </c>
      <c r="L23" s="213" t="s">
        <v>36</v>
      </c>
      <c r="M23" s="213" t="s">
        <v>89</v>
      </c>
      <c r="N23" s="213" t="s">
        <v>35</v>
      </c>
      <c r="O23" s="213" t="s">
        <v>34</v>
      </c>
      <c r="Q23" s="212">
        <v>3</v>
      </c>
      <c r="R23" s="212">
        <v>10</v>
      </c>
      <c r="S23" s="212">
        <v>14</v>
      </c>
      <c r="T23" s="212">
        <v>8</v>
      </c>
      <c r="U23" s="212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10</v>
      </c>
      <c r="AF23" s="98">
        <v>44</v>
      </c>
      <c r="AG23" s="98">
        <v>11</v>
      </c>
      <c r="AH23" s="98">
        <v>0</v>
      </c>
      <c r="AI23" s="5"/>
      <c r="AJ23" s="133" t="str">
        <v>GK</v>
      </c>
      <c r="AK23" s="98">
        <v>0</v>
      </c>
      <c r="AL23" s="98">
        <v>10</v>
      </c>
      <c r="AM23" s="98">
        <v>44</v>
      </c>
      <c r="AN23" s="98">
        <v>11</v>
      </c>
      <c r="AO23" s="98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213" t="s">
        <v>20</v>
      </c>
      <c r="L24" s="213" t="s">
        <v>22</v>
      </c>
      <c r="M24" s="213" t="s">
        <v>90</v>
      </c>
      <c r="N24" s="213" t="s">
        <v>104</v>
      </c>
      <c r="O24" s="213" t="s">
        <v>37</v>
      </c>
      <c r="Q24" s="212">
        <v>1</v>
      </c>
      <c r="R24" s="212">
        <v>3</v>
      </c>
      <c r="S24" s="212">
        <v>16</v>
      </c>
      <c r="T24" s="212">
        <v>6</v>
      </c>
      <c r="U24" s="212">
        <v>7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4</v>
      </c>
      <c r="AF24" s="98">
        <v>6</v>
      </c>
      <c r="AG24" s="98">
        <v>2</v>
      </c>
      <c r="AH24" s="98">
        <v>0</v>
      </c>
      <c r="AI24" s="5"/>
      <c r="AJ24" s="133" t="str">
        <v>GQ</v>
      </c>
      <c r="AK24" s="98">
        <v>0</v>
      </c>
      <c r="AL24" s="98">
        <v>4</v>
      </c>
      <c r="AM24" s="98">
        <v>6</v>
      </c>
      <c r="AN24" s="98">
        <v>2</v>
      </c>
      <c r="AO24" s="98">
        <v>0</v>
      </c>
    </row>
    <row r="25" spans="1:41" ht="16.5" customHeight="1" x14ac:dyDescent="0.3">
      <c r="I25" s="86"/>
      <c r="J25" s="9">
        <v>21</v>
      </c>
      <c r="K25" s="213" t="s">
        <v>35</v>
      </c>
      <c r="L25" s="213" t="s">
        <v>37</v>
      </c>
      <c r="M25" s="213" t="s">
        <v>102</v>
      </c>
      <c r="N25" s="213" t="s">
        <v>37</v>
      </c>
      <c r="O25" s="213" t="s">
        <v>34</v>
      </c>
      <c r="Q25" s="212">
        <v>8</v>
      </c>
      <c r="R25" s="212">
        <v>7</v>
      </c>
      <c r="S25" s="212">
        <v>17</v>
      </c>
      <c r="T25" s="212">
        <v>7</v>
      </c>
      <c r="U25" s="212">
        <v>9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3</v>
      </c>
      <c r="AF25" s="98">
        <v>9</v>
      </c>
      <c r="AG25" s="98">
        <v>3</v>
      </c>
      <c r="AH25" s="98">
        <v>0</v>
      </c>
      <c r="AI25" s="5"/>
      <c r="AJ25" s="133" t="str">
        <v>GJ</v>
      </c>
      <c r="AK25" s="98">
        <v>0</v>
      </c>
      <c r="AL25" s="98">
        <v>3</v>
      </c>
      <c r="AM25" s="98">
        <v>9</v>
      </c>
      <c r="AN25" s="98">
        <v>3</v>
      </c>
      <c r="AO25" s="98">
        <v>0</v>
      </c>
    </row>
    <row r="26" spans="1:41" ht="16.5" customHeight="1" x14ac:dyDescent="0.3">
      <c r="B26" s="5" t="s">
        <v>210</v>
      </c>
      <c r="C26" s="5">
        <f>SUM(C4:C14)/C24</f>
        <v>1</v>
      </c>
      <c r="D26" s="171">
        <f t="shared" ref="D26:G26" si="1">SUM(D4:D14)/D24</f>
        <v>0.76</v>
      </c>
      <c r="E26" s="171">
        <f t="shared" si="1"/>
        <v>0</v>
      </c>
      <c r="F26" s="171">
        <f t="shared" si="1"/>
        <v>0.75</v>
      </c>
      <c r="G26" s="5">
        <f t="shared" si="1"/>
        <v>1</v>
      </c>
      <c r="I26" s="86"/>
      <c r="J26" s="25">
        <v>22</v>
      </c>
      <c r="K26" s="213" t="s">
        <v>104</v>
      </c>
      <c r="L26" s="213" t="s">
        <v>104</v>
      </c>
      <c r="M26" s="213" t="s">
        <v>95</v>
      </c>
      <c r="N26" s="213" t="s">
        <v>22</v>
      </c>
      <c r="O26" s="213" t="s">
        <v>35</v>
      </c>
      <c r="Q26" s="212">
        <v>6</v>
      </c>
      <c r="R26" s="212">
        <v>6</v>
      </c>
      <c r="S26" s="212">
        <v>19</v>
      </c>
      <c r="T26" s="212">
        <v>3</v>
      </c>
      <c r="U26" s="212">
        <v>8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199</v>
      </c>
      <c r="AE26" s="109">
        <f>SUM(AE6:AE25)</f>
        <v>208</v>
      </c>
      <c r="AF26" s="109">
        <f>SUM(AF6:AF25)</f>
        <v>198</v>
      </c>
      <c r="AG26" s="109">
        <f>SUM(AG6:AG25)</f>
        <v>207</v>
      </c>
      <c r="AH26" s="109">
        <f>SUM(AH6:AH25)</f>
        <v>198</v>
      </c>
      <c r="AI26" s="5"/>
      <c r="AK26" s="109">
        <f>SUM(AK6:AK25)</f>
        <v>199</v>
      </c>
      <c r="AL26" s="109">
        <f>SUM(AL6:AL25)</f>
        <v>208</v>
      </c>
      <c r="AM26" s="109">
        <f>SUM(AM6:AM25)</f>
        <v>198</v>
      </c>
      <c r="AN26" s="109">
        <f>SUM(AN6:AN25)</f>
        <v>207</v>
      </c>
      <c r="AO26" s="109">
        <f>SUM(AO6:AO25)</f>
        <v>198</v>
      </c>
    </row>
    <row r="27" spans="1:41" ht="16.5" customHeight="1" x14ac:dyDescent="0.3">
      <c r="B27" s="5" t="s">
        <v>314</v>
      </c>
      <c r="C27" s="5">
        <f>SUM(C15:C23)/C24</f>
        <v>0</v>
      </c>
      <c r="D27" s="171">
        <f t="shared" ref="D27:G27" si="2">SUM(D15:D23)/D24</f>
        <v>0.24</v>
      </c>
      <c r="E27" s="171">
        <f t="shared" si="2"/>
        <v>1</v>
      </c>
      <c r="F27" s="171">
        <f t="shared" si="2"/>
        <v>0.25</v>
      </c>
      <c r="G27" s="5">
        <f t="shared" si="2"/>
        <v>0</v>
      </c>
      <c r="I27" s="86"/>
      <c r="J27" s="9">
        <v>23</v>
      </c>
      <c r="K27" s="213" t="s">
        <v>37</v>
      </c>
      <c r="L27" s="213" t="s">
        <v>34</v>
      </c>
      <c r="M27" s="213" t="s">
        <v>102</v>
      </c>
      <c r="N27" s="213" t="s">
        <v>89</v>
      </c>
      <c r="O27" s="213" t="s">
        <v>22</v>
      </c>
      <c r="Q27" s="212">
        <v>7</v>
      </c>
      <c r="R27" s="212">
        <v>9</v>
      </c>
      <c r="S27" s="212">
        <v>17</v>
      </c>
      <c r="T27" s="212">
        <v>14</v>
      </c>
      <c r="U27" s="212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6"/>
      <c r="J28" s="25">
        <v>24</v>
      </c>
      <c r="K28" s="213" t="s">
        <v>104</v>
      </c>
      <c r="L28" s="213" t="s">
        <v>37</v>
      </c>
      <c r="M28" s="213" t="s">
        <v>90</v>
      </c>
      <c r="N28" s="213" t="s">
        <v>35</v>
      </c>
      <c r="O28" s="213" t="s">
        <v>37</v>
      </c>
      <c r="Q28" s="212">
        <v>6</v>
      </c>
      <c r="R28" s="212">
        <v>7</v>
      </c>
      <c r="S28" s="212">
        <v>16</v>
      </c>
      <c r="T28" s="212">
        <v>8</v>
      </c>
      <c r="U28" s="212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 x14ac:dyDescent="0.3">
      <c r="I29" s="86"/>
      <c r="J29" s="9">
        <v>25</v>
      </c>
      <c r="K29" s="213" t="s">
        <v>34</v>
      </c>
      <c r="L29" s="213" t="s">
        <v>19</v>
      </c>
      <c r="M29" s="213" t="s">
        <v>89</v>
      </c>
      <c r="N29" s="213" t="s">
        <v>37</v>
      </c>
      <c r="O29" s="213" t="s">
        <v>18</v>
      </c>
      <c r="Q29" s="212">
        <v>9</v>
      </c>
      <c r="R29" s="212">
        <v>5</v>
      </c>
      <c r="S29" s="212">
        <v>14</v>
      </c>
      <c r="T29" s="212">
        <v>7</v>
      </c>
      <c r="U29" s="212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 x14ac:dyDescent="0.3">
      <c r="I30" s="86"/>
      <c r="J30" s="25">
        <v>26</v>
      </c>
      <c r="K30" s="213" t="s">
        <v>37</v>
      </c>
      <c r="L30" s="213" t="s">
        <v>37</v>
      </c>
      <c r="M30" s="213" t="s">
        <v>95</v>
      </c>
      <c r="N30" s="213" t="s">
        <v>89</v>
      </c>
      <c r="O30" s="213" t="s">
        <v>21</v>
      </c>
      <c r="Q30" s="212">
        <v>7</v>
      </c>
      <c r="R30" s="212">
        <v>7</v>
      </c>
      <c r="S30" s="212">
        <v>19</v>
      </c>
      <c r="T30" s="212">
        <v>14</v>
      </c>
      <c r="U30" s="212">
        <v>2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 cm="1">
        <f t="array" ref="AD30:AH49">$AD$6:$AH$25</f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 cm="1">
        <f t="array" ref="AK30:AO49">$AD$6:$AH$25</f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 x14ac:dyDescent="0.3">
      <c r="I31" s="86"/>
      <c r="J31" s="9">
        <v>27</v>
      </c>
      <c r="K31" s="213" t="s">
        <v>104</v>
      </c>
      <c r="L31" s="213" t="s">
        <v>22</v>
      </c>
      <c r="M31" s="213" t="s">
        <v>102</v>
      </c>
      <c r="N31" s="213" t="s">
        <v>90</v>
      </c>
      <c r="O31" s="213" t="s">
        <v>36</v>
      </c>
      <c r="Q31" s="212">
        <v>6</v>
      </c>
      <c r="R31" s="212">
        <v>3</v>
      </c>
      <c r="S31" s="212">
        <v>17</v>
      </c>
      <c r="T31" s="212">
        <v>16</v>
      </c>
      <c r="U31" s="212">
        <v>10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211">
        <v>1</v>
      </c>
      <c r="AE31" s="211">
        <v>1</v>
      </c>
      <c r="AF31" s="211">
        <v>0</v>
      </c>
      <c r="AG31" s="211">
        <v>1</v>
      </c>
      <c r="AH31" s="211">
        <v>1</v>
      </c>
      <c r="AI31" s="5"/>
      <c r="AJ31" s="133" t="str">
        <v>C1</v>
      </c>
      <c r="AK31" s="211">
        <v>1</v>
      </c>
      <c r="AL31" s="211">
        <v>1</v>
      </c>
      <c r="AM31" s="211">
        <v>0</v>
      </c>
      <c r="AN31" s="211">
        <v>1</v>
      </c>
      <c r="AO31" s="211">
        <v>1</v>
      </c>
    </row>
    <row r="32" spans="1:41" ht="16.5" customHeight="1" x14ac:dyDescent="0.3">
      <c r="J32" s="25">
        <v>28</v>
      </c>
      <c r="K32" s="213" t="s">
        <v>35</v>
      </c>
      <c r="L32" s="213" t="s">
        <v>37</v>
      </c>
      <c r="M32" s="213" t="s">
        <v>90</v>
      </c>
      <c r="N32" s="213" t="s">
        <v>104</v>
      </c>
      <c r="O32" s="213" t="s">
        <v>37</v>
      </c>
      <c r="Q32" s="212">
        <v>8</v>
      </c>
      <c r="R32" s="212">
        <v>7</v>
      </c>
      <c r="S32" s="212">
        <v>16</v>
      </c>
      <c r="T32" s="212">
        <v>6</v>
      </c>
      <c r="U32" s="212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8" t="str">
        <v>M1</v>
      </c>
      <c r="AD32" s="128">
        <v>3</v>
      </c>
      <c r="AE32" s="128">
        <v>10</v>
      </c>
      <c r="AF32" s="128">
        <v>0</v>
      </c>
      <c r="AG32" s="128">
        <v>3</v>
      </c>
      <c r="AH32" s="128">
        <v>9</v>
      </c>
      <c r="AI32" s="5"/>
      <c r="AJ32" s="148" t="str">
        <v>M1</v>
      </c>
      <c r="AK32" s="128">
        <v>3</v>
      </c>
      <c r="AL32" s="128">
        <v>10</v>
      </c>
      <c r="AM32" s="128">
        <v>0</v>
      </c>
      <c r="AN32" s="128">
        <v>3</v>
      </c>
      <c r="AO32" s="128">
        <v>9</v>
      </c>
    </row>
    <row r="33" spans="10:41" ht="16.5" customHeight="1" x14ac:dyDescent="0.3">
      <c r="J33" s="9">
        <v>29</v>
      </c>
      <c r="K33" s="213" t="s">
        <v>19</v>
      </c>
      <c r="L33" s="213" t="s">
        <v>35</v>
      </c>
      <c r="M33" s="213" t="s">
        <v>102</v>
      </c>
      <c r="N33" s="213" t="s">
        <v>105</v>
      </c>
      <c r="O33" s="213" t="s">
        <v>21</v>
      </c>
      <c r="Q33" s="212">
        <v>5</v>
      </c>
      <c r="R33" s="212">
        <v>8</v>
      </c>
      <c r="S33" s="212">
        <v>17</v>
      </c>
      <c r="T33" s="212">
        <v>15</v>
      </c>
      <c r="U33" s="212">
        <v>2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8" t="str">
        <v>M2</v>
      </c>
      <c r="AD33" s="128">
        <v>3</v>
      </c>
      <c r="AE33" s="128">
        <v>12</v>
      </c>
      <c r="AF33" s="128">
        <v>0</v>
      </c>
      <c r="AG33" s="128">
        <v>3</v>
      </c>
      <c r="AH33" s="128">
        <v>8</v>
      </c>
      <c r="AI33" s="5"/>
      <c r="AJ33" s="148" t="str">
        <v>M2</v>
      </c>
      <c r="AK33" s="128">
        <v>3</v>
      </c>
      <c r="AL33" s="128">
        <v>12</v>
      </c>
      <c r="AM33" s="128">
        <v>0</v>
      </c>
      <c r="AN33" s="128">
        <v>3</v>
      </c>
      <c r="AO33" s="128">
        <v>8</v>
      </c>
    </row>
    <row r="34" spans="10:41" ht="16.5" customHeight="1" x14ac:dyDescent="0.3">
      <c r="J34" s="25">
        <v>30</v>
      </c>
      <c r="K34" s="213" t="s">
        <v>36</v>
      </c>
      <c r="L34" s="213" t="s">
        <v>90</v>
      </c>
      <c r="M34" s="213" t="s">
        <v>90</v>
      </c>
      <c r="N34" s="213" t="s">
        <v>35</v>
      </c>
      <c r="O34" s="213" t="s">
        <v>19</v>
      </c>
      <c r="Q34" s="212">
        <v>10</v>
      </c>
      <c r="R34" s="212">
        <v>16</v>
      </c>
      <c r="S34" s="212">
        <v>16</v>
      </c>
      <c r="T34" s="212">
        <v>8</v>
      </c>
      <c r="U34" s="212">
        <v>5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8" t="str">
        <v>M3</v>
      </c>
      <c r="AD34" s="128">
        <v>7</v>
      </c>
      <c r="AE34" s="128">
        <v>13</v>
      </c>
      <c r="AF34" s="128">
        <v>0</v>
      </c>
      <c r="AG34" s="128">
        <v>7</v>
      </c>
      <c r="AH34" s="128">
        <v>14</v>
      </c>
      <c r="AI34" s="5"/>
      <c r="AJ34" s="148" t="str">
        <v>M3</v>
      </c>
      <c r="AK34" s="128">
        <v>7</v>
      </c>
      <c r="AL34" s="128">
        <v>13</v>
      </c>
      <c r="AM34" s="128">
        <v>0</v>
      </c>
      <c r="AN34" s="128">
        <v>7</v>
      </c>
      <c r="AO34" s="128">
        <v>14</v>
      </c>
    </row>
    <row r="35" spans="10:41" ht="16.5" customHeight="1" x14ac:dyDescent="0.3">
      <c r="J35" s="9">
        <v>31</v>
      </c>
      <c r="K35" s="213" t="s">
        <v>19</v>
      </c>
      <c r="L35" s="213" t="s">
        <v>104</v>
      </c>
      <c r="M35" s="213" t="s">
        <v>102</v>
      </c>
      <c r="N35" s="213" t="s">
        <v>104</v>
      </c>
      <c r="O35" s="213" t="s">
        <v>35</v>
      </c>
      <c r="Q35" s="212">
        <v>5</v>
      </c>
      <c r="R35" s="212">
        <v>6</v>
      </c>
      <c r="S35" s="212">
        <v>17</v>
      </c>
      <c r="T35" s="212">
        <v>6</v>
      </c>
      <c r="U35" s="212">
        <v>8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8" t="str">
        <v>M4</v>
      </c>
      <c r="AD35" s="128">
        <v>43</v>
      </c>
      <c r="AE35" s="128">
        <v>22</v>
      </c>
      <c r="AF35" s="128">
        <v>0</v>
      </c>
      <c r="AG35" s="128">
        <v>31</v>
      </c>
      <c r="AH35" s="128">
        <v>36</v>
      </c>
      <c r="AI35" s="5"/>
      <c r="AJ35" s="148" t="str">
        <v>M4</v>
      </c>
      <c r="AK35" s="128">
        <v>43</v>
      </c>
      <c r="AL35" s="128">
        <v>22</v>
      </c>
      <c r="AM35" s="128">
        <v>0</v>
      </c>
      <c r="AN35" s="128">
        <v>31</v>
      </c>
      <c r="AO35" s="128">
        <v>36</v>
      </c>
    </row>
    <row r="36" spans="10:41" ht="16.5" customHeight="1" x14ac:dyDescent="0.3">
      <c r="J36" s="25">
        <v>32</v>
      </c>
      <c r="K36" s="213" t="s">
        <v>104</v>
      </c>
      <c r="L36" s="213" t="s">
        <v>18</v>
      </c>
      <c r="M36" s="213" t="s">
        <v>88</v>
      </c>
      <c r="N36" s="213" t="s">
        <v>105</v>
      </c>
      <c r="O36" s="213" t="s">
        <v>18</v>
      </c>
      <c r="Q36" s="212">
        <v>6</v>
      </c>
      <c r="R36" s="212">
        <v>4</v>
      </c>
      <c r="S36" s="212">
        <v>13</v>
      </c>
      <c r="T36" s="212">
        <v>15</v>
      </c>
      <c r="U36" s="212">
        <v>4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8" t="str">
        <v>M5</v>
      </c>
      <c r="AD36" s="128">
        <v>42</v>
      </c>
      <c r="AE36" s="128">
        <v>22</v>
      </c>
      <c r="AF36" s="128">
        <v>0</v>
      </c>
      <c r="AG36" s="128">
        <v>27</v>
      </c>
      <c r="AH36" s="128">
        <v>34</v>
      </c>
      <c r="AI36" s="5"/>
      <c r="AJ36" s="148" t="str">
        <v>M5</v>
      </c>
      <c r="AK36" s="128">
        <v>42</v>
      </c>
      <c r="AL36" s="128">
        <v>22</v>
      </c>
      <c r="AM36" s="128">
        <v>0</v>
      </c>
      <c r="AN36" s="128">
        <v>27</v>
      </c>
      <c r="AO36" s="128">
        <v>34</v>
      </c>
    </row>
    <row r="37" spans="10:41" ht="16.5" customHeight="1" x14ac:dyDescent="0.3">
      <c r="J37" s="9">
        <v>33</v>
      </c>
      <c r="K37" s="213" t="s">
        <v>35</v>
      </c>
      <c r="L37" s="213" t="s">
        <v>93</v>
      </c>
      <c r="M37" s="213" t="s">
        <v>90</v>
      </c>
      <c r="N37" s="213" t="s">
        <v>37</v>
      </c>
      <c r="O37" s="213" t="s">
        <v>21</v>
      </c>
      <c r="Q37" s="212">
        <v>8</v>
      </c>
      <c r="R37" s="212">
        <v>18</v>
      </c>
      <c r="S37" s="212">
        <v>16</v>
      </c>
      <c r="T37" s="212">
        <v>7</v>
      </c>
      <c r="U37" s="212">
        <v>2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8" t="str">
        <v>A</v>
      </c>
      <c r="AD37" s="128">
        <v>43</v>
      </c>
      <c r="AE37" s="128">
        <v>27</v>
      </c>
      <c r="AF37" s="128">
        <v>0</v>
      </c>
      <c r="AG37" s="128">
        <v>31</v>
      </c>
      <c r="AH37" s="128">
        <v>35</v>
      </c>
      <c r="AI37" s="5"/>
      <c r="AJ37" s="148" t="str">
        <v>A</v>
      </c>
      <c r="AK37" s="128">
        <v>43</v>
      </c>
      <c r="AL37" s="128">
        <v>27</v>
      </c>
      <c r="AM37" s="128">
        <v>0</v>
      </c>
      <c r="AN37" s="128">
        <v>31</v>
      </c>
      <c r="AO37" s="128">
        <v>35</v>
      </c>
    </row>
    <row r="38" spans="10:41" ht="16.5" customHeight="1" x14ac:dyDescent="0.3">
      <c r="J38" s="25">
        <v>34</v>
      </c>
      <c r="K38" s="213" t="s">
        <v>37</v>
      </c>
      <c r="L38" s="213" t="s">
        <v>19</v>
      </c>
      <c r="M38" s="213" t="s">
        <v>93</v>
      </c>
      <c r="N38" s="213" t="s">
        <v>102</v>
      </c>
      <c r="O38" s="213" t="s">
        <v>104</v>
      </c>
      <c r="Q38" s="212">
        <v>7</v>
      </c>
      <c r="R38" s="212">
        <v>5</v>
      </c>
      <c r="S38" s="212">
        <v>18</v>
      </c>
      <c r="T38" s="212">
        <v>17</v>
      </c>
      <c r="U38" s="212">
        <v>6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8" t="str">
        <v>K</v>
      </c>
      <c r="AD38" s="128">
        <v>43</v>
      </c>
      <c r="AE38" s="128">
        <v>24</v>
      </c>
      <c r="AF38" s="128">
        <v>0</v>
      </c>
      <c r="AG38" s="128">
        <v>32</v>
      </c>
      <c r="AH38" s="128">
        <v>34</v>
      </c>
      <c r="AI38" s="5"/>
      <c r="AJ38" s="148" t="str">
        <v>K</v>
      </c>
      <c r="AK38" s="128">
        <v>43</v>
      </c>
      <c r="AL38" s="128">
        <v>24</v>
      </c>
      <c r="AM38" s="128">
        <v>0</v>
      </c>
      <c r="AN38" s="128">
        <v>32</v>
      </c>
      <c r="AO38" s="128">
        <v>34</v>
      </c>
    </row>
    <row r="39" spans="10:41" ht="16.5" customHeight="1" x14ac:dyDescent="0.3">
      <c r="J39" s="9">
        <v>35</v>
      </c>
      <c r="K39" s="213" t="s">
        <v>104</v>
      </c>
      <c r="L39" s="213" t="s">
        <v>18</v>
      </c>
      <c r="M39" s="213" t="s">
        <v>105</v>
      </c>
      <c r="N39" s="213" t="s">
        <v>18</v>
      </c>
      <c r="O39" s="213" t="s">
        <v>19</v>
      </c>
      <c r="Q39" s="212">
        <v>6</v>
      </c>
      <c r="R39" s="212">
        <v>4</v>
      </c>
      <c r="S39" s="212">
        <v>15</v>
      </c>
      <c r="T39" s="212">
        <v>4</v>
      </c>
      <c r="U39" s="212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8" t="str">
        <v>Q</v>
      </c>
      <c r="AD39" s="128">
        <v>7</v>
      </c>
      <c r="AE39" s="128">
        <v>12</v>
      </c>
      <c r="AF39" s="128">
        <v>0</v>
      </c>
      <c r="AG39" s="128">
        <v>6</v>
      </c>
      <c r="AH39" s="128">
        <v>13</v>
      </c>
      <c r="AI39" s="5"/>
      <c r="AJ39" s="148" t="str">
        <v>Q</v>
      </c>
      <c r="AK39" s="128">
        <v>7</v>
      </c>
      <c r="AL39" s="128">
        <v>12</v>
      </c>
      <c r="AM39" s="128">
        <v>0</v>
      </c>
      <c r="AN39" s="128">
        <v>6</v>
      </c>
      <c r="AO39" s="128">
        <v>13</v>
      </c>
    </row>
    <row r="40" spans="10:41" ht="16.5" customHeight="1" x14ac:dyDescent="0.3">
      <c r="J40" s="25">
        <v>36</v>
      </c>
      <c r="K40" s="213" t="s">
        <v>19</v>
      </c>
      <c r="L40" s="213" t="s">
        <v>19</v>
      </c>
      <c r="M40" s="213" t="s">
        <v>90</v>
      </c>
      <c r="N40" s="213" t="s">
        <v>35</v>
      </c>
      <c r="O40" s="213" t="s">
        <v>37</v>
      </c>
      <c r="Q40" s="212">
        <v>5</v>
      </c>
      <c r="R40" s="212">
        <v>5</v>
      </c>
      <c r="S40" s="212">
        <v>16</v>
      </c>
      <c r="T40" s="212">
        <v>8</v>
      </c>
      <c r="U40" s="212">
        <v>7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8" t="str">
        <v>J</v>
      </c>
      <c r="AD40" s="128">
        <v>7</v>
      </c>
      <c r="AE40" s="128">
        <v>8</v>
      </c>
      <c r="AF40" s="128">
        <v>0</v>
      </c>
      <c r="AG40" s="128">
        <v>7</v>
      </c>
      <c r="AH40" s="128">
        <v>14</v>
      </c>
      <c r="AI40" s="5"/>
      <c r="AJ40" s="148" t="str">
        <v>J</v>
      </c>
      <c r="AK40" s="128">
        <v>7</v>
      </c>
      <c r="AL40" s="128">
        <v>8</v>
      </c>
      <c r="AM40" s="128">
        <v>0</v>
      </c>
      <c r="AN40" s="128">
        <v>7</v>
      </c>
      <c r="AO40" s="128">
        <v>14</v>
      </c>
    </row>
    <row r="41" spans="10:41" ht="16.5" customHeight="1" x14ac:dyDescent="0.3">
      <c r="J41" s="9">
        <v>37</v>
      </c>
      <c r="K41" s="213" t="s">
        <v>104</v>
      </c>
      <c r="L41" s="213" t="s">
        <v>104</v>
      </c>
      <c r="M41" s="213" t="s">
        <v>95</v>
      </c>
      <c r="N41" s="213" t="s">
        <v>86</v>
      </c>
      <c r="O41" s="213" t="s">
        <v>104</v>
      </c>
      <c r="Q41" s="212">
        <v>6</v>
      </c>
      <c r="R41" s="212">
        <v>6</v>
      </c>
      <c r="S41" s="212">
        <v>19</v>
      </c>
      <c r="T41" s="212">
        <v>11</v>
      </c>
      <c r="U41" s="212">
        <v>6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3</v>
      </c>
      <c r="AF41" s="98">
        <v>3</v>
      </c>
      <c r="AG41" s="98">
        <v>2</v>
      </c>
      <c r="AH41" s="98">
        <v>0</v>
      </c>
      <c r="AI41" s="5"/>
      <c r="AJ41" s="133" t="str">
        <v>G1</v>
      </c>
      <c r="AK41" s="98">
        <v>0</v>
      </c>
      <c r="AL41" s="98">
        <v>3</v>
      </c>
      <c r="AM41" s="98">
        <v>3</v>
      </c>
      <c r="AN41" s="98">
        <v>2</v>
      </c>
      <c r="AO41" s="98">
        <v>0</v>
      </c>
    </row>
    <row r="42" spans="10:41" ht="16.5" customHeight="1" x14ac:dyDescent="0.3">
      <c r="J42" s="25">
        <v>38</v>
      </c>
      <c r="K42" s="213" t="s">
        <v>35</v>
      </c>
      <c r="L42" s="213" t="s">
        <v>37</v>
      </c>
      <c r="M42" s="213" t="s">
        <v>89</v>
      </c>
      <c r="N42" s="213" t="s">
        <v>35</v>
      </c>
      <c r="O42" s="213" t="s">
        <v>35</v>
      </c>
      <c r="Q42" s="212">
        <v>8</v>
      </c>
      <c r="R42" s="212">
        <v>7</v>
      </c>
      <c r="S42" s="212">
        <v>14</v>
      </c>
      <c r="T42" s="212">
        <v>8</v>
      </c>
      <c r="U42" s="212">
        <v>8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4</v>
      </c>
      <c r="AF42" s="98">
        <v>1</v>
      </c>
      <c r="AG42" s="98">
        <v>2</v>
      </c>
      <c r="AH42" s="98">
        <v>0</v>
      </c>
      <c r="AI42" s="5"/>
      <c r="AJ42" s="133" t="str">
        <v>G2</v>
      </c>
      <c r="AK42" s="98">
        <v>0</v>
      </c>
      <c r="AL42" s="98">
        <v>4</v>
      </c>
      <c r="AM42" s="98">
        <v>1</v>
      </c>
      <c r="AN42" s="98">
        <v>2</v>
      </c>
      <c r="AO42" s="98">
        <v>0</v>
      </c>
    </row>
    <row r="43" spans="10:41" ht="16.5" customHeight="1" x14ac:dyDescent="0.3">
      <c r="J43" s="9">
        <v>39</v>
      </c>
      <c r="K43" s="213" t="s">
        <v>37</v>
      </c>
      <c r="L43" s="213" t="s">
        <v>104</v>
      </c>
      <c r="M43" s="213" t="s">
        <v>90</v>
      </c>
      <c r="N43" s="213" t="s">
        <v>19</v>
      </c>
      <c r="O43" s="213" t="s">
        <v>37</v>
      </c>
      <c r="Q43" s="212">
        <v>7</v>
      </c>
      <c r="R43" s="212">
        <v>6</v>
      </c>
      <c r="S43" s="212">
        <v>16</v>
      </c>
      <c r="T43" s="212">
        <v>5</v>
      </c>
      <c r="U43" s="212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4</v>
      </c>
      <c r="AF43" s="98">
        <v>8</v>
      </c>
      <c r="AG43" s="98">
        <v>3</v>
      </c>
      <c r="AH43" s="98">
        <v>0</v>
      </c>
      <c r="AI43" s="5"/>
      <c r="AJ43" s="133" t="str">
        <v>G3</v>
      </c>
      <c r="AK43" s="98">
        <v>0</v>
      </c>
      <c r="AL43" s="98">
        <v>4</v>
      </c>
      <c r="AM43" s="98">
        <v>8</v>
      </c>
      <c r="AN43" s="98">
        <v>3</v>
      </c>
      <c r="AO43" s="98">
        <v>0</v>
      </c>
    </row>
    <row r="44" spans="10:41" ht="16.5" customHeight="1" x14ac:dyDescent="0.3">
      <c r="J44" s="25">
        <v>40</v>
      </c>
      <c r="K44" s="213" t="s">
        <v>36</v>
      </c>
      <c r="L44" s="213" t="s">
        <v>34</v>
      </c>
      <c r="M44" s="213" t="s">
        <v>89</v>
      </c>
      <c r="N44" s="213" t="s">
        <v>35</v>
      </c>
      <c r="O44" s="213" t="s">
        <v>35</v>
      </c>
      <c r="Q44" s="212">
        <v>10</v>
      </c>
      <c r="R44" s="212">
        <v>9</v>
      </c>
      <c r="S44" s="212">
        <v>14</v>
      </c>
      <c r="T44" s="212">
        <v>8</v>
      </c>
      <c r="U44" s="212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9</v>
      </c>
      <c r="AF44" s="98">
        <v>43</v>
      </c>
      <c r="AG44" s="98">
        <v>12</v>
      </c>
      <c r="AH44" s="98">
        <v>0</v>
      </c>
      <c r="AI44" s="5"/>
      <c r="AJ44" s="133" t="str">
        <v>G4</v>
      </c>
      <c r="AK44" s="98">
        <v>0</v>
      </c>
      <c r="AL44" s="98">
        <v>9</v>
      </c>
      <c r="AM44" s="98">
        <v>43</v>
      </c>
      <c r="AN44" s="98">
        <v>12</v>
      </c>
      <c r="AO44" s="98">
        <v>0</v>
      </c>
    </row>
    <row r="45" spans="10:41" ht="16.5" customHeight="1" x14ac:dyDescent="0.3">
      <c r="J45" s="9">
        <v>41</v>
      </c>
      <c r="K45" s="213" t="s">
        <v>37</v>
      </c>
      <c r="L45" s="213" t="s">
        <v>104</v>
      </c>
      <c r="M45" s="213" t="s">
        <v>105</v>
      </c>
      <c r="N45" s="213" t="s">
        <v>104</v>
      </c>
      <c r="O45" s="213" t="s">
        <v>21</v>
      </c>
      <c r="Q45" s="212">
        <v>7</v>
      </c>
      <c r="R45" s="212">
        <v>6</v>
      </c>
      <c r="S45" s="212">
        <v>15</v>
      </c>
      <c r="T45" s="212">
        <v>6</v>
      </c>
      <c r="U45" s="212">
        <v>2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9</v>
      </c>
      <c r="AF45" s="98">
        <v>42</v>
      </c>
      <c r="AG45" s="98">
        <v>13</v>
      </c>
      <c r="AH45" s="98">
        <v>0</v>
      </c>
      <c r="AI45" s="5"/>
      <c r="AJ45" s="133" t="str">
        <v>G5</v>
      </c>
      <c r="AK45" s="98">
        <v>0</v>
      </c>
      <c r="AL45" s="98">
        <v>9</v>
      </c>
      <c r="AM45" s="98">
        <v>42</v>
      </c>
      <c r="AN45" s="98">
        <v>13</v>
      </c>
      <c r="AO45" s="98">
        <v>0</v>
      </c>
    </row>
    <row r="46" spans="10:41" ht="16.5" customHeight="1" x14ac:dyDescent="0.3">
      <c r="J46" s="25">
        <v>42</v>
      </c>
      <c r="K46" s="213" t="s">
        <v>35</v>
      </c>
      <c r="L46" s="213" t="s">
        <v>22</v>
      </c>
      <c r="M46" s="213" t="s">
        <v>90</v>
      </c>
      <c r="N46" s="213" t="s">
        <v>35</v>
      </c>
      <c r="O46" s="213" t="s">
        <v>19</v>
      </c>
      <c r="Q46" s="212">
        <v>8</v>
      </c>
      <c r="R46" s="212">
        <v>3</v>
      </c>
      <c r="S46" s="212">
        <v>16</v>
      </c>
      <c r="T46" s="212">
        <v>8</v>
      </c>
      <c r="U46" s="212">
        <v>5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11</v>
      </c>
      <c r="AF46" s="98">
        <v>42</v>
      </c>
      <c r="AG46" s="98">
        <v>11</v>
      </c>
      <c r="AH46" s="98">
        <v>0</v>
      </c>
      <c r="AI46" s="5"/>
      <c r="AJ46" s="133" t="str">
        <v>GA</v>
      </c>
      <c r="AK46" s="98">
        <v>0</v>
      </c>
      <c r="AL46" s="98">
        <v>11</v>
      </c>
      <c r="AM46" s="98">
        <v>42</v>
      </c>
      <c r="AN46" s="98">
        <v>11</v>
      </c>
      <c r="AO46" s="98">
        <v>0</v>
      </c>
    </row>
    <row r="47" spans="10:41" ht="16.5" customHeight="1" x14ac:dyDescent="0.3">
      <c r="J47" s="9">
        <v>43</v>
      </c>
      <c r="K47" s="213" t="s">
        <v>104</v>
      </c>
      <c r="L47" s="213" t="s">
        <v>18</v>
      </c>
      <c r="M47" s="213" t="s">
        <v>105</v>
      </c>
      <c r="N47" s="213" t="s">
        <v>19</v>
      </c>
      <c r="O47" s="213" t="s">
        <v>35</v>
      </c>
      <c r="Q47" s="212">
        <v>6</v>
      </c>
      <c r="R47" s="212">
        <v>4</v>
      </c>
      <c r="S47" s="212">
        <v>15</v>
      </c>
      <c r="T47" s="212">
        <v>5</v>
      </c>
      <c r="U47" s="212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10</v>
      </c>
      <c r="AF47" s="98">
        <v>44</v>
      </c>
      <c r="AG47" s="98">
        <v>11</v>
      </c>
      <c r="AH47" s="98">
        <v>0</v>
      </c>
      <c r="AI47" s="5"/>
      <c r="AJ47" s="133" t="str">
        <v>GK</v>
      </c>
      <c r="AK47" s="98">
        <v>0</v>
      </c>
      <c r="AL47" s="98">
        <v>10</v>
      </c>
      <c r="AM47" s="98">
        <v>44</v>
      </c>
      <c r="AN47" s="98">
        <v>11</v>
      </c>
      <c r="AO47" s="98">
        <v>0</v>
      </c>
    </row>
    <row r="48" spans="10:41" ht="16.5" customHeight="1" x14ac:dyDescent="0.3">
      <c r="J48" s="25">
        <v>44</v>
      </c>
      <c r="K48" s="213" t="s">
        <v>22</v>
      </c>
      <c r="L48" s="213" t="s">
        <v>37</v>
      </c>
      <c r="M48" s="213" t="s">
        <v>102</v>
      </c>
      <c r="N48" s="213" t="s">
        <v>37</v>
      </c>
      <c r="O48" s="213" t="s">
        <v>104</v>
      </c>
      <c r="Q48" s="212">
        <v>3</v>
      </c>
      <c r="R48" s="212">
        <v>7</v>
      </c>
      <c r="S48" s="212">
        <v>17</v>
      </c>
      <c r="T48" s="212">
        <v>7</v>
      </c>
      <c r="U48" s="212">
        <v>6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4</v>
      </c>
      <c r="AF48" s="98">
        <v>6</v>
      </c>
      <c r="AG48" s="98">
        <v>2</v>
      </c>
      <c r="AH48" s="98">
        <v>0</v>
      </c>
      <c r="AI48" s="5"/>
      <c r="AJ48" s="133" t="str">
        <v>GQ</v>
      </c>
      <c r="AK48" s="98">
        <v>0</v>
      </c>
      <c r="AL48" s="98">
        <v>4</v>
      </c>
      <c r="AM48" s="98">
        <v>6</v>
      </c>
      <c r="AN48" s="98">
        <v>2</v>
      </c>
      <c r="AO48" s="98">
        <v>0</v>
      </c>
    </row>
    <row r="49" spans="10:41" ht="16.5" customHeight="1" x14ac:dyDescent="0.3">
      <c r="J49" s="9">
        <v>45</v>
      </c>
      <c r="K49" s="213" t="s">
        <v>37</v>
      </c>
      <c r="L49" s="213" t="s">
        <v>104</v>
      </c>
      <c r="M49" s="213" t="s">
        <v>90</v>
      </c>
      <c r="N49" s="213" t="s">
        <v>105</v>
      </c>
      <c r="O49" s="213" t="s">
        <v>18</v>
      </c>
      <c r="Q49" s="212">
        <v>7</v>
      </c>
      <c r="R49" s="212">
        <v>6</v>
      </c>
      <c r="S49" s="212">
        <v>16</v>
      </c>
      <c r="T49" s="212">
        <v>15</v>
      </c>
      <c r="U49" s="212">
        <v>4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3</v>
      </c>
      <c r="AF49" s="98">
        <v>9</v>
      </c>
      <c r="AG49" s="98">
        <v>3</v>
      </c>
      <c r="AH49" s="98">
        <v>0</v>
      </c>
      <c r="AI49" s="5"/>
      <c r="AJ49" s="133" t="str">
        <v>GJ</v>
      </c>
      <c r="AK49" s="98">
        <v>0</v>
      </c>
      <c r="AL49" s="98">
        <v>3</v>
      </c>
      <c r="AM49" s="98">
        <v>9</v>
      </c>
      <c r="AN49" s="98">
        <v>3</v>
      </c>
      <c r="AO49" s="98">
        <v>0</v>
      </c>
    </row>
    <row r="50" spans="10:41" ht="16.5" customHeight="1" x14ac:dyDescent="0.3">
      <c r="J50" s="25">
        <v>46</v>
      </c>
      <c r="K50" s="213" t="s">
        <v>104</v>
      </c>
      <c r="L50" s="213" t="s">
        <v>105</v>
      </c>
      <c r="M50" s="213" t="s">
        <v>105</v>
      </c>
      <c r="N50" s="213" t="s">
        <v>37</v>
      </c>
      <c r="O50" s="213" t="s">
        <v>37</v>
      </c>
      <c r="Q50" s="212">
        <v>6</v>
      </c>
      <c r="R50" s="212">
        <v>15</v>
      </c>
      <c r="S50" s="212">
        <v>15</v>
      </c>
      <c r="T50" s="212">
        <v>7</v>
      </c>
      <c r="U50" s="212">
        <v>7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199</v>
      </c>
      <c r="AE50" s="109">
        <f>SUM(AE30:AE49)</f>
        <v>208</v>
      </c>
      <c r="AF50" s="109">
        <f>SUM(AF30:AF49)</f>
        <v>198</v>
      </c>
      <c r="AG50" s="109">
        <f>SUM(AG30:AG49)</f>
        <v>207</v>
      </c>
      <c r="AH50" s="109">
        <f>SUM(AH30:AH49)</f>
        <v>198</v>
      </c>
      <c r="AI50" s="5"/>
      <c r="AK50" s="109">
        <f>SUM(AK30:AK49)</f>
        <v>199</v>
      </c>
      <c r="AL50" s="109">
        <f>SUM(AL30:AL49)</f>
        <v>208</v>
      </c>
      <c r="AM50" s="109">
        <f>SUM(AM30:AM49)</f>
        <v>198</v>
      </c>
      <c r="AN50" s="109">
        <f>SUM(AN30:AN49)</f>
        <v>207</v>
      </c>
      <c r="AO50" s="109">
        <f>SUM(AO30:AO49)</f>
        <v>198</v>
      </c>
    </row>
    <row r="51" spans="10:41" ht="16.5" customHeight="1" x14ac:dyDescent="0.3">
      <c r="J51" s="9">
        <v>47</v>
      </c>
      <c r="K51" s="213" t="s">
        <v>35</v>
      </c>
      <c r="L51" s="213" t="s">
        <v>35</v>
      </c>
      <c r="M51" s="213" t="s">
        <v>90</v>
      </c>
      <c r="N51" s="213" t="s">
        <v>18</v>
      </c>
      <c r="O51" s="213" t="s">
        <v>36</v>
      </c>
      <c r="Q51" s="212">
        <v>8</v>
      </c>
      <c r="R51" s="212">
        <v>8</v>
      </c>
      <c r="S51" s="212">
        <v>16</v>
      </c>
      <c r="T51" s="212">
        <v>4</v>
      </c>
      <c r="U51" s="212">
        <v>10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213" t="s">
        <v>19</v>
      </c>
      <c r="L52" s="213" t="s">
        <v>104</v>
      </c>
      <c r="M52" s="213" t="s">
        <v>102</v>
      </c>
      <c r="N52" s="213" t="s">
        <v>102</v>
      </c>
      <c r="O52" s="213" t="s">
        <v>21</v>
      </c>
      <c r="Q52" s="212">
        <v>5</v>
      </c>
      <c r="R52" s="212">
        <v>6</v>
      </c>
      <c r="S52" s="212">
        <v>17</v>
      </c>
      <c r="T52" s="212">
        <v>17</v>
      </c>
      <c r="U52" s="212">
        <v>2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 x14ac:dyDescent="0.3">
      <c r="J53" s="9">
        <v>49</v>
      </c>
      <c r="K53" s="213" t="s">
        <v>104</v>
      </c>
      <c r="L53" s="213" t="s">
        <v>35</v>
      </c>
      <c r="M53" s="213" t="s">
        <v>89</v>
      </c>
      <c r="N53" s="213" t="s">
        <v>35</v>
      </c>
      <c r="O53" s="213" t="s">
        <v>37</v>
      </c>
      <c r="Q53" s="212">
        <v>6</v>
      </c>
      <c r="R53" s="212">
        <v>8</v>
      </c>
      <c r="S53" s="212">
        <v>14</v>
      </c>
      <c r="T53" s="212">
        <v>8</v>
      </c>
      <c r="U53" s="212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 x14ac:dyDescent="0.3">
      <c r="J54" s="25">
        <v>50</v>
      </c>
      <c r="K54" s="213" t="s">
        <v>37</v>
      </c>
      <c r="L54" s="213" t="s">
        <v>37</v>
      </c>
      <c r="M54" s="213" t="s">
        <v>90</v>
      </c>
      <c r="N54" s="213" t="s">
        <v>19</v>
      </c>
      <c r="O54" s="213" t="s">
        <v>35</v>
      </c>
      <c r="Q54" s="212">
        <v>7</v>
      </c>
      <c r="R54" s="212">
        <v>7</v>
      </c>
      <c r="S54" s="212">
        <v>16</v>
      </c>
      <c r="T54" s="212">
        <v>5</v>
      </c>
      <c r="U54" s="212">
        <v>8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 cm="1">
        <f t="array" ref="AD54:AH73">$AD$6:$AH$25</f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 cm="1">
        <f t="array" ref="AK54:AO73">$AD$6:$AH$25</f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 x14ac:dyDescent="0.3">
      <c r="J55" s="9">
        <v>51</v>
      </c>
      <c r="K55" s="213" t="s">
        <v>19</v>
      </c>
      <c r="L55" s="213" t="s">
        <v>22</v>
      </c>
      <c r="M55" s="213" t="s">
        <v>102</v>
      </c>
      <c r="N55" s="213" t="s">
        <v>89</v>
      </c>
      <c r="O55" s="213" t="s">
        <v>37</v>
      </c>
      <c r="Q55" s="212">
        <v>5</v>
      </c>
      <c r="R55" s="212">
        <v>3</v>
      </c>
      <c r="S55" s="212">
        <v>17</v>
      </c>
      <c r="T55" s="212">
        <v>14</v>
      </c>
      <c r="U55" s="212">
        <v>7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211">
        <v>1</v>
      </c>
      <c r="AE55" s="211">
        <v>1</v>
      </c>
      <c r="AF55" s="211">
        <v>0</v>
      </c>
      <c r="AG55" s="211">
        <v>1</v>
      </c>
      <c r="AH55" s="211">
        <v>1</v>
      </c>
      <c r="AI55" s="5"/>
      <c r="AJ55" s="133" t="str">
        <v>C1</v>
      </c>
      <c r="AK55" s="211">
        <v>1</v>
      </c>
      <c r="AL55" s="211">
        <v>1</v>
      </c>
      <c r="AM55" s="211">
        <v>0</v>
      </c>
      <c r="AN55" s="211">
        <v>1</v>
      </c>
      <c r="AO55" s="211">
        <v>1</v>
      </c>
    </row>
    <row r="56" spans="10:41" ht="16.5" customHeight="1" x14ac:dyDescent="0.3">
      <c r="J56" s="25">
        <v>52</v>
      </c>
      <c r="K56" s="213" t="s">
        <v>35</v>
      </c>
      <c r="L56" s="213" t="s">
        <v>37</v>
      </c>
      <c r="M56" s="213" t="s">
        <v>89</v>
      </c>
      <c r="N56" s="213" t="s">
        <v>104</v>
      </c>
      <c r="O56" s="213" t="s">
        <v>35</v>
      </c>
      <c r="Q56" s="212">
        <v>8</v>
      </c>
      <c r="R56" s="212">
        <v>7</v>
      </c>
      <c r="S56" s="212">
        <v>14</v>
      </c>
      <c r="T56" s="212">
        <v>6</v>
      </c>
      <c r="U56" s="212">
        <v>8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8" t="str">
        <v>M1</v>
      </c>
      <c r="AD56" s="128">
        <v>3</v>
      </c>
      <c r="AE56" s="128">
        <v>10</v>
      </c>
      <c r="AF56" s="128">
        <v>0</v>
      </c>
      <c r="AG56" s="128">
        <v>3</v>
      </c>
      <c r="AH56" s="128">
        <v>9</v>
      </c>
      <c r="AI56" s="5"/>
      <c r="AJ56" s="148" t="str">
        <v>M1</v>
      </c>
      <c r="AK56" s="128">
        <v>3</v>
      </c>
      <c r="AL56" s="128">
        <v>10</v>
      </c>
      <c r="AM56" s="128">
        <v>0</v>
      </c>
      <c r="AN56" s="128">
        <v>3</v>
      </c>
      <c r="AO56" s="128">
        <v>9</v>
      </c>
    </row>
    <row r="57" spans="10:41" ht="16.5" customHeight="1" x14ac:dyDescent="0.3">
      <c r="J57" s="9">
        <v>53</v>
      </c>
      <c r="K57" s="213" t="s">
        <v>37</v>
      </c>
      <c r="L57" s="213" t="s">
        <v>89</v>
      </c>
      <c r="M57" s="213" t="s">
        <v>87</v>
      </c>
      <c r="N57" s="213" t="s">
        <v>18</v>
      </c>
      <c r="O57" s="213" t="s">
        <v>19</v>
      </c>
      <c r="Q57" s="212">
        <v>7</v>
      </c>
      <c r="R57" s="212">
        <v>14</v>
      </c>
      <c r="S57" s="212">
        <v>12</v>
      </c>
      <c r="T57" s="212">
        <v>4</v>
      </c>
      <c r="U57" s="212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8" t="str">
        <v>M2</v>
      </c>
      <c r="AD57" s="128">
        <v>3</v>
      </c>
      <c r="AE57" s="128">
        <v>12</v>
      </c>
      <c r="AF57" s="128">
        <v>0</v>
      </c>
      <c r="AG57" s="128">
        <v>3</v>
      </c>
      <c r="AH57" s="128">
        <v>8</v>
      </c>
      <c r="AI57" s="5"/>
      <c r="AJ57" s="148" t="str">
        <v>M2</v>
      </c>
      <c r="AK57" s="128">
        <v>3</v>
      </c>
      <c r="AL57" s="128">
        <v>12</v>
      </c>
      <c r="AM57" s="128">
        <v>0</v>
      </c>
      <c r="AN57" s="128">
        <v>3</v>
      </c>
      <c r="AO57" s="128">
        <v>8</v>
      </c>
    </row>
    <row r="58" spans="10:41" ht="16.5" customHeight="1" x14ac:dyDescent="0.3">
      <c r="J58" s="25">
        <v>54</v>
      </c>
      <c r="K58" s="213" t="s">
        <v>19</v>
      </c>
      <c r="L58" s="213" t="s">
        <v>34</v>
      </c>
      <c r="M58" s="213" t="s">
        <v>102</v>
      </c>
      <c r="N58" s="213" t="s">
        <v>35</v>
      </c>
      <c r="O58" s="213" t="s">
        <v>37</v>
      </c>
      <c r="Q58" s="212">
        <v>5</v>
      </c>
      <c r="R58" s="212">
        <v>9</v>
      </c>
      <c r="S58" s="212">
        <v>17</v>
      </c>
      <c r="T58" s="212">
        <v>8</v>
      </c>
      <c r="U58" s="212">
        <v>7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8" t="str">
        <v>M3</v>
      </c>
      <c r="AD58" s="128">
        <v>7</v>
      </c>
      <c r="AE58" s="128">
        <v>13</v>
      </c>
      <c r="AF58" s="128">
        <v>0</v>
      </c>
      <c r="AG58" s="128">
        <v>7</v>
      </c>
      <c r="AH58" s="128">
        <v>14</v>
      </c>
      <c r="AI58" s="5"/>
      <c r="AJ58" s="148" t="str">
        <v>M3</v>
      </c>
      <c r="AK58" s="128">
        <v>7</v>
      </c>
      <c r="AL58" s="128">
        <v>13</v>
      </c>
      <c r="AM58" s="128">
        <v>0</v>
      </c>
      <c r="AN58" s="128">
        <v>7</v>
      </c>
      <c r="AO58" s="128">
        <v>14</v>
      </c>
    </row>
    <row r="59" spans="10:41" ht="16.5" customHeight="1" x14ac:dyDescent="0.3">
      <c r="J59" s="9">
        <v>55</v>
      </c>
      <c r="K59" s="213" t="s">
        <v>37</v>
      </c>
      <c r="L59" s="213" t="s">
        <v>18</v>
      </c>
      <c r="M59" s="213" t="s">
        <v>89</v>
      </c>
      <c r="N59" s="213" t="s">
        <v>34</v>
      </c>
      <c r="O59" s="213" t="s">
        <v>35</v>
      </c>
      <c r="Q59" s="212">
        <v>7</v>
      </c>
      <c r="R59" s="212">
        <v>4</v>
      </c>
      <c r="S59" s="212">
        <v>14</v>
      </c>
      <c r="T59" s="212">
        <v>9</v>
      </c>
      <c r="U59" s="212">
        <v>8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8" t="str">
        <v>M4</v>
      </c>
      <c r="AD59" s="128">
        <v>43</v>
      </c>
      <c r="AE59" s="128">
        <v>22</v>
      </c>
      <c r="AF59" s="128">
        <v>0</v>
      </c>
      <c r="AG59" s="128">
        <v>31</v>
      </c>
      <c r="AH59" s="128">
        <v>36</v>
      </c>
      <c r="AI59" s="5"/>
      <c r="AJ59" s="148" t="str">
        <v>M4</v>
      </c>
      <c r="AK59" s="128">
        <v>43</v>
      </c>
      <c r="AL59" s="128">
        <v>22</v>
      </c>
      <c r="AM59" s="128">
        <v>0</v>
      </c>
      <c r="AN59" s="128">
        <v>31</v>
      </c>
      <c r="AO59" s="128">
        <v>36</v>
      </c>
    </row>
    <row r="60" spans="10:41" ht="16.5" customHeight="1" x14ac:dyDescent="0.3">
      <c r="J60" s="25">
        <v>56</v>
      </c>
      <c r="K60" s="213" t="s">
        <v>18</v>
      </c>
      <c r="L60" s="213" t="s">
        <v>22</v>
      </c>
      <c r="M60" s="213" t="s">
        <v>93</v>
      </c>
      <c r="N60" s="213" t="s">
        <v>104</v>
      </c>
      <c r="O60" s="213" t="s">
        <v>104</v>
      </c>
      <c r="Q60" s="212">
        <v>4</v>
      </c>
      <c r="R60" s="212">
        <v>3</v>
      </c>
      <c r="S60" s="212">
        <v>18</v>
      </c>
      <c r="T60" s="212">
        <v>6</v>
      </c>
      <c r="U60" s="212">
        <v>6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8" t="str">
        <v>M5</v>
      </c>
      <c r="AD60" s="128">
        <v>42</v>
      </c>
      <c r="AE60" s="128">
        <v>22</v>
      </c>
      <c r="AF60" s="128">
        <v>0</v>
      </c>
      <c r="AG60" s="128">
        <v>27</v>
      </c>
      <c r="AH60" s="128">
        <v>34</v>
      </c>
      <c r="AI60" s="5"/>
      <c r="AJ60" s="148" t="str">
        <v>M5</v>
      </c>
      <c r="AK60" s="128">
        <v>42</v>
      </c>
      <c r="AL60" s="128">
        <v>22</v>
      </c>
      <c r="AM60" s="128">
        <v>0</v>
      </c>
      <c r="AN60" s="128">
        <v>27</v>
      </c>
      <c r="AO60" s="128">
        <v>34</v>
      </c>
    </row>
    <row r="61" spans="10:41" x14ac:dyDescent="0.3">
      <c r="J61" s="9">
        <v>57</v>
      </c>
      <c r="K61" s="213" t="s">
        <v>19</v>
      </c>
      <c r="L61" s="213" t="s">
        <v>35</v>
      </c>
      <c r="M61" s="213" t="s">
        <v>89</v>
      </c>
      <c r="N61" s="213" t="s">
        <v>89</v>
      </c>
      <c r="O61" s="213" t="s">
        <v>35</v>
      </c>
      <c r="Q61" s="212">
        <v>5</v>
      </c>
      <c r="R61" s="212">
        <v>8</v>
      </c>
      <c r="S61" s="212">
        <v>14</v>
      </c>
      <c r="T61" s="212">
        <v>14</v>
      </c>
      <c r="U61" s="212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8" t="str">
        <v>A</v>
      </c>
      <c r="AD61" s="128">
        <v>43</v>
      </c>
      <c r="AE61" s="128">
        <v>27</v>
      </c>
      <c r="AF61" s="128">
        <v>0</v>
      </c>
      <c r="AG61" s="128">
        <v>31</v>
      </c>
      <c r="AH61" s="128">
        <v>35</v>
      </c>
      <c r="AI61" s="5"/>
      <c r="AJ61" s="148" t="str">
        <v>A</v>
      </c>
      <c r="AK61" s="128">
        <v>43</v>
      </c>
      <c r="AL61" s="128">
        <v>27</v>
      </c>
      <c r="AM61" s="128">
        <v>0</v>
      </c>
      <c r="AN61" s="128">
        <v>31</v>
      </c>
      <c r="AO61" s="128">
        <v>35</v>
      </c>
    </row>
    <row r="62" spans="10:41" x14ac:dyDescent="0.3">
      <c r="J62" s="25">
        <v>58</v>
      </c>
      <c r="K62" s="213" t="s">
        <v>104</v>
      </c>
      <c r="L62" s="213" t="s">
        <v>20</v>
      </c>
      <c r="M62" s="213" t="s">
        <v>105</v>
      </c>
      <c r="N62" s="213" t="s">
        <v>34</v>
      </c>
      <c r="O62" s="213" t="s">
        <v>19</v>
      </c>
      <c r="Q62" s="212">
        <v>6</v>
      </c>
      <c r="R62" s="212">
        <v>1</v>
      </c>
      <c r="S62" s="212">
        <v>15</v>
      </c>
      <c r="T62" s="212">
        <v>9</v>
      </c>
      <c r="U62" s="212">
        <v>5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8" t="str">
        <v>K</v>
      </c>
      <c r="AD62" s="128">
        <v>43</v>
      </c>
      <c r="AE62" s="128">
        <v>24</v>
      </c>
      <c r="AF62" s="128">
        <v>0</v>
      </c>
      <c r="AG62" s="128">
        <v>32</v>
      </c>
      <c r="AH62" s="128">
        <v>34</v>
      </c>
      <c r="AI62" s="5"/>
      <c r="AJ62" s="148" t="str">
        <v>K</v>
      </c>
      <c r="AK62" s="128">
        <v>43</v>
      </c>
      <c r="AL62" s="128">
        <v>24</v>
      </c>
      <c r="AM62" s="128">
        <v>0</v>
      </c>
      <c r="AN62" s="128">
        <v>32</v>
      </c>
      <c r="AO62" s="128">
        <v>34</v>
      </c>
    </row>
    <row r="63" spans="10:41" ht="16.5" customHeight="1" x14ac:dyDescent="0.3">
      <c r="J63" s="9">
        <v>59</v>
      </c>
      <c r="K63" s="213" t="s">
        <v>20</v>
      </c>
      <c r="L63" s="213" t="s">
        <v>22</v>
      </c>
      <c r="M63" s="213" t="s">
        <v>89</v>
      </c>
      <c r="N63" s="213" t="s">
        <v>21</v>
      </c>
      <c r="O63" s="213" t="s">
        <v>37</v>
      </c>
      <c r="Q63" s="212">
        <v>1</v>
      </c>
      <c r="R63" s="212">
        <v>3</v>
      </c>
      <c r="S63" s="212">
        <v>14</v>
      </c>
      <c r="T63" s="212">
        <v>2</v>
      </c>
      <c r="U63" s="212">
        <v>7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8" t="str">
        <v>Q</v>
      </c>
      <c r="AD63" s="128">
        <v>7</v>
      </c>
      <c r="AE63" s="128">
        <v>12</v>
      </c>
      <c r="AF63" s="128">
        <v>0</v>
      </c>
      <c r="AG63" s="128">
        <v>6</v>
      </c>
      <c r="AH63" s="128">
        <v>13</v>
      </c>
      <c r="AI63" s="5"/>
      <c r="AJ63" s="148" t="str">
        <v>Q</v>
      </c>
      <c r="AK63" s="128">
        <v>7</v>
      </c>
      <c r="AL63" s="128">
        <v>12</v>
      </c>
      <c r="AM63" s="128">
        <v>0</v>
      </c>
      <c r="AN63" s="128">
        <v>6</v>
      </c>
      <c r="AO63" s="128">
        <v>13</v>
      </c>
    </row>
    <row r="64" spans="10:41" ht="16.5" customHeight="1" x14ac:dyDescent="0.3">
      <c r="J64" s="25">
        <v>60</v>
      </c>
      <c r="K64" s="213" t="s">
        <v>35</v>
      </c>
      <c r="L64" s="213" t="s">
        <v>36</v>
      </c>
      <c r="M64" s="213" t="s">
        <v>102</v>
      </c>
      <c r="N64" s="213" t="s">
        <v>34</v>
      </c>
      <c r="O64" s="213" t="s">
        <v>19</v>
      </c>
      <c r="Q64" s="212">
        <v>8</v>
      </c>
      <c r="R64" s="212">
        <v>10</v>
      </c>
      <c r="S64" s="212">
        <v>17</v>
      </c>
      <c r="T64" s="212">
        <v>9</v>
      </c>
      <c r="U64" s="212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8" t="str">
        <v>J</v>
      </c>
      <c r="AD64" s="128">
        <v>7</v>
      </c>
      <c r="AE64" s="128">
        <v>8</v>
      </c>
      <c r="AF64" s="128">
        <v>0</v>
      </c>
      <c r="AG64" s="128">
        <v>7</v>
      </c>
      <c r="AH64" s="128">
        <v>14</v>
      </c>
      <c r="AI64" s="5"/>
      <c r="AJ64" s="148" t="str">
        <v>J</v>
      </c>
      <c r="AK64" s="128">
        <v>7</v>
      </c>
      <c r="AL64" s="128">
        <v>8</v>
      </c>
      <c r="AM64" s="128">
        <v>0</v>
      </c>
      <c r="AN64" s="128">
        <v>7</v>
      </c>
      <c r="AO64" s="128">
        <v>14</v>
      </c>
    </row>
    <row r="65" spans="10:41" ht="16.5" customHeight="1" x14ac:dyDescent="0.3">
      <c r="J65" s="9">
        <v>61</v>
      </c>
      <c r="K65" s="213" t="s">
        <v>104</v>
      </c>
      <c r="L65" s="213" t="s">
        <v>37</v>
      </c>
      <c r="M65" s="213" t="s">
        <v>90</v>
      </c>
      <c r="N65" s="213" t="s">
        <v>90</v>
      </c>
      <c r="O65" s="213" t="s">
        <v>18</v>
      </c>
      <c r="Q65" s="212">
        <v>6</v>
      </c>
      <c r="R65" s="212">
        <v>7</v>
      </c>
      <c r="S65" s="212">
        <v>16</v>
      </c>
      <c r="T65" s="212">
        <v>16</v>
      </c>
      <c r="U65" s="212">
        <v>4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3</v>
      </c>
      <c r="AF65" s="98">
        <v>3</v>
      </c>
      <c r="AG65" s="98">
        <v>2</v>
      </c>
      <c r="AH65" s="98">
        <v>0</v>
      </c>
      <c r="AI65" s="5"/>
      <c r="AJ65" s="133" t="str">
        <v>G1</v>
      </c>
      <c r="AK65" s="98">
        <v>0</v>
      </c>
      <c r="AL65" s="98">
        <v>3</v>
      </c>
      <c r="AM65" s="98">
        <v>3</v>
      </c>
      <c r="AN65" s="98">
        <v>2</v>
      </c>
      <c r="AO65" s="98">
        <v>0</v>
      </c>
    </row>
    <row r="66" spans="10:41" ht="16.5" customHeight="1" x14ac:dyDescent="0.3">
      <c r="J66" s="25">
        <v>62</v>
      </c>
      <c r="K66" s="213" t="s">
        <v>35</v>
      </c>
      <c r="L66" s="213" t="s">
        <v>89</v>
      </c>
      <c r="M66" s="213" t="s">
        <v>89</v>
      </c>
      <c r="N66" s="213" t="s">
        <v>104</v>
      </c>
      <c r="O66" s="213" t="s">
        <v>36</v>
      </c>
      <c r="Q66" s="212">
        <v>8</v>
      </c>
      <c r="R66" s="212">
        <v>14</v>
      </c>
      <c r="S66" s="212">
        <v>14</v>
      </c>
      <c r="T66" s="212">
        <v>6</v>
      </c>
      <c r="U66" s="212">
        <v>10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4</v>
      </c>
      <c r="AF66" s="98">
        <v>1</v>
      </c>
      <c r="AG66" s="98">
        <v>2</v>
      </c>
      <c r="AH66" s="98">
        <v>0</v>
      </c>
      <c r="AI66" s="5"/>
      <c r="AJ66" s="133" t="str">
        <v>G2</v>
      </c>
      <c r="AK66" s="98">
        <v>0</v>
      </c>
      <c r="AL66" s="98">
        <v>4</v>
      </c>
      <c r="AM66" s="98">
        <v>1</v>
      </c>
      <c r="AN66" s="98">
        <v>2</v>
      </c>
      <c r="AO66" s="98">
        <v>0</v>
      </c>
    </row>
    <row r="67" spans="10:41" ht="16.5" customHeight="1" x14ac:dyDescent="0.3">
      <c r="J67" s="9">
        <v>63</v>
      </c>
      <c r="K67" s="213" t="s">
        <v>37</v>
      </c>
      <c r="L67" s="213" t="s">
        <v>19</v>
      </c>
      <c r="M67" s="213" t="s">
        <v>102</v>
      </c>
      <c r="N67" s="213" t="s">
        <v>19</v>
      </c>
      <c r="O67" s="213" t="s">
        <v>37</v>
      </c>
      <c r="Q67" s="212">
        <v>7</v>
      </c>
      <c r="R67" s="212">
        <v>5</v>
      </c>
      <c r="S67" s="212">
        <v>17</v>
      </c>
      <c r="T67" s="212">
        <v>5</v>
      </c>
      <c r="U67" s="212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4</v>
      </c>
      <c r="AF67" s="98">
        <v>8</v>
      </c>
      <c r="AG67" s="98">
        <v>3</v>
      </c>
      <c r="AH67" s="98">
        <v>0</v>
      </c>
      <c r="AI67" s="5"/>
      <c r="AJ67" s="133" t="str">
        <v>G3</v>
      </c>
      <c r="AK67" s="98">
        <v>0</v>
      </c>
      <c r="AL67" s="98">
        <v>4</v>
      </c>
      <c r="AM67" s="98">
        <v>8</v>
      </c>
      <c r="AN67" s="98">
        <v>3</v>
      </c>
      <c r="AO67" s="98">
        <v>0</v>
      </c>
    </row>
    <row r="68" spans="10:41" ht="16.5" customHeight="1" x14ac:dyDescent="0.3">
      <c r="J68" s="25">
        <v>64</v>
      </c>
      <c r="K68" s="213" t="s">
        <v>35</v>
      </c>
      <c r="L68" s="213" t="s">
        <v>37</v>
      </c>
      <c r="M68" s="213" t="s">
        <v>87</v>
      </c>
      <c r="N68" s="213" t="s">
        <v>21</v>
      </c>
      <c r="O68" s="213" t="s">
        <v>18</v>
      </c>
      <c r="Q68" s="212">
        <v>8</v>
      </c>
      <c r="R68" s="212">
        <v>7</v>
      </c>
      <c r="S68" s="212">
        <v>12</v>
      </c>
      <c r="T68" s="212">
        <v>2</v>
      </c>
      <c r="U68" s="212">
        <v>4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9</v>
      </c>
      <c r="AF68" s="98">
        <v>43</v>
      </c>
      <c r="AG68" s="98">
        <v>12</v>
      </c>
      <c r="AH68" s="98">
        <v>0</v>
      </c>
      <c r="AI68" s="5"/>
      <c r="AJ68" s="133" t="str">
        <v>G4</v>
      </c>
      <c r="AK68" s="98">
        <v>0</v>
      </c>
      <c r="AL68" s="98">
        <v>9</v>
      </c>
      <c r="AM68" s="98">
        <v>43</v>
      </c>
      <c r="AN68" s="98">
        <v>12</v>
      </c>
      <c r="AO68" s="98">
        <v>0</v>
      </c>
    </row>
    <row r="69" spans="10:41" ht="16.5" customHeight="1" x14ac:dyDescent="0.3">
      <c r="J69" s="9">
        <v>65</v>
      </c>
      <c r="K69" s="213" t="s">
        <v>104</v>
      </c>
      <c r="L69" s="213" t="s">
        <v>34</v>
      </c>
      <c r="M69" s="213" t="s">
        <v>89</v>
      </c>
      <c r="N69" s="213" t="s">
        <v>35</v>
      </c>
      <c r="O69" s="213" t="s">
        <v>22</v>
      </c>
      <c r="Q69" s="212">
        <v>6</v>
      </c>
      <c r="R69" s="212">
        <v>9</v>
      </c>
      <c r="S69" s="212">
        <v>14</v>
      </c>
      <c r="T69" s="212">
        <v>8</v>
      </c>
      <c r="U69" s="212">
        <v>3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9</v>
      </c>
      <c r="AF69" s="98">
        <v>42</v>
      </c>
      <c r="AG69" s="98">
        <v>13</v>
      </c>
      <c r="AH69" s="98">
        <v>0</v>
      </c>
      <c r="AI69" s="5"/>
      <c r="AJ69" s="133" t="str">
        <v>G5</v>
      </c>
      <c r="AK69" s="98">
        <v>0</v>
      </c>
      <c r="AL69" s="98">
        <v>9</v>
      </c>
      <c r="AM69" s="98">
        <v>42</v>
      </c>
      <c r="AN69" s="98">
        <v>13</v>
      </c>
      <c r="AO69" s="98">
        <v>0</v>
      </c>
    </row>
    <row r="70" spans="10:41" ht="16.5" customHeight="1" x14ac:dyDescent="0.3">
      <c r="J70" s="25">
        <v>66</v>
      </c>
      <c r="K70" s="213" t="s">
        <v>35</v>
      </c>
      <c r="L70" s="213" t="s">
        <v>35</v>
      </c>
      <c r="M70" s="213" t="s">
        <v>105</v>
      </c>
      <c r="N70" s="213" t="s">
        <v>104</v>
      </c>
      <c r="O70" s="213" t="s">
        <v>19</v>
      </c>
      <c r="Q70" s="212">
        <v>8</v>
      </c>
      <c r="R70" s="212">
        <v>8</v>
      </c>
      <c r="S70" s="212">
        <v>15</v>
      </c>
      <c r="T70" s="212">
        <v>6</v>
      </c>
      <c r="U70" s="212">
        <v>5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11</v>
      </c>
      <c r="AF70" s="98">
        <v>42</v>
      </c>
      <c r="AG70" s="98">
        <v>11</v>
      </c>
      <c r="AH70" s="98">
        <v>0</v>
      </c>
      <c r="AI70" s="5"/>
      <c r="AJ70" s="133" t="str">
        <v>GA</v>
      </c>
      <c r="AK70" s="98">
        <v>0</v>
      </c>
      <c r="AL70" s="98">
        <v>11</v>
      </c>
      <c r="AM70" s="98">
        <v>42</v>
      </c>
      <c r="AN70" s="98">
        <v>11</v>
      </c>
      <c r="AO70" s="98">
        <v>0</v>
      </c>
    </row>
    <row r="71" spans="10:41" ht="16.5" customHeight="1" x14ac:dyDescent="0.3">
      <c r="J71" s="9">
        <v>67</v>
      </c>
      <c r="K71" s="213" t="s">
        <v>19</v>
      </c>
      <c r="L71" s="213" t="s">
        <v>19</v>
      </c>
      <c r="M71" s="213" t="s">
        <v>93</v>
      </c>
      <c r="N71" s="213" t="s">
        <v>19</v>
      </c>
      <c r="O71" s="213" t="s">
        <v>18</v>
      </c>
      <c r="Q71" s="212">
        <v>5</v>
      </c>
      <c r="R71" s="212">
        <v>5</v>
      </c>
      <c r="S71" s="212">
        <v>18</v>
      </c>
      <c r="T71" s="212">
        <v>5</v>
      </c>
      <c r="U71" s="212">
        <v>4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10</v>
      </c>
      <c r="AF71" s="98">
        <v>44</v>
      </c>
      <c r="AG71" s="98">
        <v>11</v>
      </c>
      <c r="AH71" s="98">
        <v>0</v>
      </c>
      <c r="AI71" s="5"/>
      <c r="AJ71" s="133" t="str">
        <v>GK</v>
      </c>
      <c r="AK71" s="98">
        <v>0</v>
      </c>
      <c r="AL71" s="98">
        <v>10</v>
      </c>
      <c r="AM71" s="98">
        <v>44</v>
      </c>
      <c r="AN71" s="98">
        <v>11</v>
      </c>
      <c r="AO71" s="98">
        <v>0</v>
      </c>
    </row>
    <row r="72" spans="10:41" ht="16.5" customHeight="1" x14ac:dyDescent="0.3">
      <c r="J72" s="25">
        <v>68</v>
      </c>
      <c r="K72" s="213" t="s">
        <v>35</v>
      </c>
      <c r="L72" s="213" t="s">
        <v>21</v>
      </c>
      <c r="M72" s="213" t="s">
        <v>90</v>
      </c>
      <c r="N72" s="213" t="s">
        <v>90</v>
      </c>
      <c r="O72" s="213" t="s">
        <v>22</v>
      </c>
      <c r="Q72" s="212">
        <v>8</v>
      </c>
      <c r="R72" s="212">
        <v>2</v>
      </c>
      <c r="S72" s="212">
        <v>16</v>
      </c>
      <c r="T72" s="212">
        <v>16</v>
      </c>
      <c r="U72" s="212">
        <v>3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4</v>
      </c>
      <c r="AF72" s="98">
        <v>6</v>
      </c>
      <c r="AG72" s="98">
        <v>2</v>
      </c>
      <c r="AH72" s="98">
        <v>0</v>
      </c>
      <c r="AI72" s="5"/>
      <c r="AJ72" s="133" t="str">
        <v>GQ</v>
      </c>
      <c r="AK72" s="98">
        <v>0</v>
      </c>
      <c r="AL72" s="98">
        <v>4</v>
      </c>
      <c r="AM72" s="98">
        <v>6</v>
      </c>
      <c r="AN72" s="98">
        <v>2</v>
      </c>
      <c r="AO72" s="98">
        <v>0</v>
      </c>
    </row>
    <row r="73" spans="10:41" ht="16.5" customHeight="1" x14ac:dyDescent="0.3">
      <c r="J73" s="9">
        <v>69</v>
      </c>
      <c r="K73" s="213" t="s">
        <v>104</v>
      </c>
      <c r="L73" s="213" t="s">
        <v>34</v>
      </c>
      <c r="M73" s="213" t="s">
        <v>102</v>
      </c>
      <c r="N73" s="213" t="s">
        <v>36</v>
      </c>
      <c r="O73" s="213" t="s">
        <v>104</v>
      </c>
      <c r="Q73" s="212">
        <v>6</v>
      </c>
      <c r="R73" s="212">
        <v>9</v>
      </c>
      <c r="S73" s="212">
        <v>17</v>
      </c>
      <c r="T73" s="212">
        <v>10</v>
      </c>
      <c r="U73" s="212">
        <v>6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3</v>
      </c>
      <c r="AF73" s="98">
        <v>9</v>
      </c>
      <c r="AG73" s="98">
        <v>3</v>
      </c>
      <c r="AH73" s="98">
        <v>0</v>
      </c>
      <c r="AI73" s="5"/>
      <c r="AJ73" s="133" t="str">
        <v>GJ</v>
      </c>
      <c r="AK73" s="98">
        <v>0</v>
      </c>
      <c r="AL73" s="98">
        <v>3</v>
      </c>
      <c r="AM73" s="98">
        <v>9</v>
      </c>
      <c r="AN73" s="98">
        <v>3</v>
      </c>
      <c r="AO73" s="98">
        <v>0</v>
      </c>
    </row>
    <row r="74" spans="10:41" ht="16.5" customHeight="1" x14ac:dyDescent="0.3">
      <c r="J74" s="25">
        <v>70</v>
      </c>
      <c r="K74" s="213" t="s">
        <v>35</v>
      </c>
      <c r="L74" s="213" t="s">
        <v>19</v>
      </c>
      <c r="M74" s="213" t="s">
        <v>105</v>
      </c>
      <c r="N74" s="213" t="s">
        <v>37</v>
      </c>
      <c r="O74" s="213" t="s">
        <v>19</v>
      </c>
      <c r="Q74" s="212">
        <v>8</v>
      </c>
      <c r="R74" s="212">
        <v>5</v>
      </c>
      <c r="S74" s="212">
        <v>15</v>
      </c>
      <c r="T74" s="212">
        <v>7</v>
      </c>
      <c r="U74" s="212">
        <v>5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199</v>
      </c>
      <c r="AE74" s="109">
        <f>SUM(AE54:AE73)</f>
        <v>208</v>
      </c>
      <c r="AF74" s="109">
        <f>SUM(AF54:AF73)</f>
        <v>198</v>
      </c>
      <c r="AG74" s="109">
        <f>SUM(AG54:AG73)</f>
        <v>207</v>
      </c>
      <c r="AH74" s="109">
        <f>SUM(AH54:AH73)</f>
        <v>198</v>
      </c>
      <c r="AI74" s="5"/>
      <c r="AK74" s="109">
        <f>SUM(AK54:AK73)</f>
        <v>199</v>
      </c>
      <c r="AL74" s="109">
        <f>SUM(AL54:AL73)</f>
        <v>208</v>
      </c>
      <c r="AM74" s="109">
        <f>SUM(AM54:AM73)</f>
        <v>198</v>
      </c>
      <c r="AN74" s="109">
        <f>SUM(AN54:AN73)</f>
        <v>207</v>
      </c>
      <c r="AO74" s="109">
        <f>SUM(AO54:AO73)</f>
        <v>198</v>
      </c>
    </row>
    <row r="75" spans="10:41" ht="16.5" customHeight="1" x14ac:dyDescent="0.3">
      <c r="J75" s="9">
        <v>71</v>
      </c>
      <c r="K75" s="213" t="s">
        <v>36</v>
      </c>
      <c r="L75" s="213" t="s">
        <v>90</v>
      </c>
      <c r="M75" s="213" t="s">
        <v>90</v>
      </c>
      <c r="N75" s="213" t="s">
        <v>104</v>
      </c>
      <c r="O75" s="213" t="s">
        <v>34</v>
      </c>
      <c r="Q75" s="212">
        <v>10</v>
      </c>
      <c r="R75" s="212">
        <v>16</v>
      </c>
      <c r="S75" s="212">
        <v>16</v>
      </c>
      <c r="T75" s="212">
        <v>6</v>
      </c>
      <c r="U75" s="212">
        <v>9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213" t="s">
        <v>37</v>
      </c>
      <c r="L76" s="213" t="s">
        <v>37</v>
      </c>
      <c r="M76" s="213" t="s">
        <v>105</v>
      </c>
      <c r="N76" s="213" t="s">
        <v>35</v>
      </c>
      <c r="O76" s="213" t="s">
        <v>104</v>
      </c>
      <c r="Q76" s="212">
        <v>7</v>
      </c>
      <c r="R76" s="212">
        <v>7</v>
      </c>
      <c r="S76" s="212">
        <v>15</v>
      </c>
      <c r="T76" s="212">
        <v>8</v>
      </c>
      <c r="U76" s="212">
        <v>6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213" t="s">
        <v>104</v>
      </c>
      <c r="L77" s="213" t="s">
        <v>36</v>
      </c>
      <c r="M77" s="213" t="s">
        <v>86</v>
      </c>
      <c r="N77" s="213" t="s">
        <v>88</v>
      </c>
      <c r="O77" s="213" t="s">
        <v>19</v>
      </c>
      <c r="Q77" s="212">
        <v>6</v>
      </c>
      <c r="R77" s="212">
        <v>10</v>
      </c>
      <c r="S77" s="212">
        <v>11</v>
      </c>
      <c r="T77" s="212">
        <v>13</v>
      </c>
      <c r="U77" s="212">
        <v>5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213" t="s">
        <v>37</v>
      </c>
      <c r="L78" s="213" t="s">
        <v>19</v>
      </c>
      <c r="M78" s="213" t="s">
        <v>105</v>
      </c>
      <c r="N78" s="213" t="s">
        <v>35</v>
      </c>
      <c r="O78" s="213" t="s">
        <v>37</v>
      </c>
      <c r="Q78" s="212">
        <v>7</v>
      </c>
      <c r="R78" s="212">
        <v>5</v>
      </c>
      <c r="S78" s="212">
        <v>15</v>
      </c>
      <c r="T78" s="212">
        <v>8</v>
      </c>
      <c r="U78" s="212">
        <v>7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213" t="s">
        <v>35</v>
      </c>
      <c r="L79" s="213" t="s">
        <v>22</v>
      </c>
      <c r="M79" s="213" t="s">
        <v>89</v>
      </c>
      <c r="N79" s="213" t="s">
        <v>19</v>
      </c>
      <c r="O79" s="213" t="s">
        <v>19</v>
      </c>
      <c r="Q79" s="212">
        <v>8</v>
      </c>
      <c r="R79" s="212">
        <v>3</v>
      </c>
      <c r="S79" s="212">
        <v>14</v>
      </c>
      <c r="T79" s="212">
        <v>5</v>
      </c>
      <c r="U79" s="212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213" t="s">
        <v>37</v>
      </c>
      <c r="L80" s="213" t="s">
        <v>37</v>
      </c>
      <c r="M80" s="213" t="s">
        <v>90</v>
      </c>
      <c r="N80" s="213" t="s">
        <v>37</v>
      </c>
      <c r="O80" s="213" t="s">
        <v>104</v>
      </c>
      <c r="Q80" s="212">
        <v>7</v>
      </c>
      <c r="R80" s="212">
        <v>7</v>
      </c>
      <c r="S80" s="212">
        <v>16</v>
      </c>
      <c r="T80" s="212">
        <v>7</v>
      </c>
      <c r="U80" s="212">
        <v>6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213" t="s">
        <v>35</v>
      </c>
      <c r="L81" s="213" t="s">
        <v>19</v>
      </c>
      <c r="M81" s="213" t="s">
        <v>89</v>
      </c>
      <c r="N81" s="213" t="s">
        <v>19</v>
      </c>
      <c r="O81" s="213" t="s">
        <v>37</v>
      </c>
      <c r="Q81" s="212">
        <v>8</v>
      </c>
      <c r="R81" s="212">
        <v>5</v>
      </c>
      <c r="S81" s="212">
        <v>14</v>
      </c>
      <c r="T81" s="212">
        <v>5</v>
      </c>
      <c r="U81" s="212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213" t="s">
        <v>37</v>
      </c>
      <c r="L82" s="213" t="s">
        <v>88</v>
      </c>
      <c r="M82" s="213" t="s">
        <v>90</v>
      </c>
      <c r="N82" s="213" t="s">
        <v>90</v>
      </c>
      <c r="O82" s="213" t="s">
        <v>36</v>
      </c>
      <c r="Q82" s="212">
        <v>7</v>
      </c>
      <c r="R82" s="212">
        <v>13</v>
      </c>
      <c r="S82" s="212">
        <v>16</v>
      </c>
      <c r="T82" s="212">
        <v>16</v>
      </c>
      <c r="U82" s="212">
        <v>10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213" t="s">
        <v>19</v>
      </c>
      <c r="L83" s="213" t="s">
        <v>104</v>
      </c>
      <c r="M83" s="213" t="s">
        <v>95</v>
      </c>
      <c r="N83" s="213" t="s">
        <v>19</v>
      </c>
      <c r="O83" s="213" t="s">
        <v>21</v>
      </c>
      <c r="Q83" s="212">
        <v>5</v>
      </c>
      <c r="R83" s="212">
        <v>6</v>
      </c>
      <c r="S83" s="212">
        <v>19</v>
      </c>
      <c r="T83" s="212">
        <v>5</v>
      </c>
      <c r="U83" s="212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213" t="s">
        <v>18</v>
      </c>
      <c r="L84" s="213" t="s">
        <v>95</v>
      </c>
      <c r="M84" s="213" t="s">
        <v>105</v>
      </c>
      <c r="N84" s="213" t="s">
        <v>35</v>
      </c>
      <c r="O84" s="213" t="s">
        <v>18</v>
      </c>
      <c r="Q84" s="212">
        <v>4</v>
      </c>
      <c r="R84" s="212">
        <v>19</v>
      </c>
      <c r="S84" s="212">
        <v>15</v>
      </c>
      <c r="T84" s="212">
        <v>8</v>
      </c>
      <c r="U84" s="212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213" t="s">
        <v>36</v>
      </c>
      <c r="L85" s="213" t="s">
        <v>89</v>
      </c>
      <c r="M85" s="213" t="s">
        <v>102</v>
      </c>
      <c r="N85" s="213" t="s">
        <v>90</v>
      </c>
      <c r="O85" s="213" t="s">
        <v>37</v>
      </c>
      <c r="Q85" s="212">
        <v>10</v>
      </c>
      <c r="R85" s="212">
        <v>14</v>
      </c>
      <c r="S85" s="212">
        <v>17</v>
      </c>
      <c r="T85" s="212">
        <v>16</v>
      </c>
      <c r="U85" s="212">
        <v>7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213" t="s">
        <v>19</v>
      </c>
      <c r="L86" s="213" t="s">
        <v>35</v>
      </c>
      <c r="M86" s="213" t="s">
        <v>95</v>
      </c>
      <c r="N86" s="213" t="s">
        <v>36</v>
      </c>
      <c r="O86" s="213" t="s">
        <v>35</v>
      </c>
      <c r="Q86" s="212">
        <v>5</v>
      </c>
      <c r="R86" s="212">
        <v>8</v>
      </c>
      <c r="S86" s="212">
        <v>19</v>
      </c>
      <c r="T86" s="212">
        <v>10</v>
      </c>
      <c r="U86" s="212">
        <v>8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213" t="s">
        <v>37</v>
      </c>
      <c r="L87" s="213" t="s">
        <v>19</v>
      </c>
      <c r="M87" s="213" t="s">
        <v>88</v>
      </c>
      <c r="N87" s="213" t="s">
        <v>104</v>
      </c>
      <c r="O87" s="213" t="s">
        <v>104</v>
      </c>
      <c r="Q87" s="212">
        <v>7</v>
      </c>
      <c r="R87" s="212">
        <v>5</v>
      </c>
      <c r="S87" s="212">
        <v>13</v>
      </c>
      <c r="T87" s="212">
        <v>6</v>
      </c>
      <c r="U87" s="212">
        <v>6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213" t="s">
        <v>35</v>
      </c>
      <c r="L88" s="213" t="s">
        <v>37</v>
      </c>
      <c r="M88" s="213" t="s">
        <v>105</v>
      </c>
      <c r="N88" s="213" t="s">
        <v>19</v>
      </c>
      <c r="O88" s="213" t="s">
        <v>19</v>
      </c>
      <c r="Q88" s="212">
        <v>8</v>
      </c>
      <c r="R88" s="212">
        <v>7</v>
      </c>
      <c r="S88" s="212">
        <v>15</v>
      </c>
      <c r="T88" s="212">
        <v>5</v>
      </c>
      <c r="U88" s="212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213" t="s">
        <v>19</v>
      </c>
      <c r="L89" s="213" t="s">
        <v>35</v>
      </c>
      <c r="M89" s="213" t="s">
        <v>102</v>
      </c>
      <c r="N89" s="213" t="s">
        <v>20</v>
      </c>
      <c r="O89" s="213" t="s">
        <v>36</v>
      </c>
      <c r="Q89" s="212">
        <v>5</v>
      </c>
      <c r="R89" s="212">
        <v>8</v>
      </c>
      <c r="S89" s="212">
        <v>17</v>
      </c>
      <c r="T89" s="212">
        <v>1</v>
      </c>
      <c r="U89" s="212">
        <v>10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213" t="s">
        <v>37</v>
      </c>
      <c r="L90" s="213" t="s">
        <v>34</v>
      </c>
      <c r="M90" s="213" t="s">
        <v>105</v>
      </c>
      <c r="N90" s="213" t="s">
        <v>19</v>
      </c>
      <c r="O90" s="213" t="s">
        <v>37</v>
      </c>
      <c r="Q90" s="212">
        <v>7</v>
      </c>
      <c r="R90" s="212">
        <v>9</v>
      </c>
      <c r="S90" s="212">
        <v>15</v>
      </c>
      <c r="T90" s="212">
        <v>5</v>
      </c>
      <c r="U90" s="212">
        <v>7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213" t="s">
        <v>104</v>
      </c>
      <c r="L91" s="213" t="s">
        <v>21</v>
      </c>
      <c r="M91" s="213" t="s">
        <v>86</v>
      </c>
      <c r="N91" s="213" t="s">
        <v>35</v>
      </c>
      <c r="O91" s="213" t="s">
        <v>35</v>
      </c>
      <c r="Q91" s="212">
        <v>6</v>
      </c>
      <c r="R91" s="212">
        <v>2</v>
      </c>
      <c r="S91" s="212">
        <v>11</v>
      </c>
      <c r="T91" s="212">
        <v>8</v>
      </c>
      <c r="U91" s="212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213" t="s">
        <v>19</v>
      </c>
      <c r="L92" s="213" t="s">
        <v>19</v>
      </c>
      <c r="M92" s="213" t="s">
        <v>102</v>
      </c>
      <c r="N92" s="213" t="s">
        <v>37</v>
      </c>
      <c r="O92" s="213" t="s">
        <v>34</v>
      </c>
      <c r="Q92" s="212">
        <v>5</v>
      </c>
      <c r="R92" s="212">
        <v>5</v>
      </c>
      <c r="S92" s="212">
        <v>17</v>
      </c>
      <c r="T92" s="212">
        <v>7</v>
      </c>
      <c r="U92" s="212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213" t="s">
        <v>36</v>
      </c>
      <c r="L93" s="213" t="s">
        <v>104</v>
      </c>
      <c r="M93" s="213" t="s">
        <v>89</v>
      </c>
      <c r="N93" s="213" t="s">
        <v>104</v>
      </c>
      <c r="O93" s="213" t="s">
        <v>35</v>
      </c>
      <c r="Q93" s="212">
        <v>10</v>
      </c>
      <c r="R93" s="212">
        <v>6</v>
      </c>
      <c r="S93" s="212">
        <v>14</v>
      </c>
      <c r="T93" s="212">
        <v>6</v>
      </c>
      <c r="U93" s="212">
        <v>8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213" t="s">
        <v>35</v>
      </c>
      <c r="L94" s="213" t="s">
        <v>87</v>
      </c>
      <c r="M94" s="213" t="s">
        <v>102</v>
      </c>
      <c r="N94" s="213" t="s">
        <v>90</v>
      </c>
      <c r="O94" s="213" t="s">
        <v>20</v>
      </c>
      <c r="Q94" s="212">
        <v>8</v>
      </c>
      <c r="R94" s="212">
        <v>12</v>
      </c>
      <c r="S94" s="212">
        <v>17</v>
      </c>
      <c r="T94" s="212">
        <v>16</v>
      </c>
      <c r="U94" s="212">
        <v>1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213" t="s">
        <v>104</v>
      </c>
      <c r="L95" s="213" t="s">
        <v>102</v>
      </c>
      <c r="M95" s="213" t="s">
        <v>86</v>
      </c>
      <c r="N95" s="213" t="s">
        <v>105</v>
      </c>
      <c r="O95" s="213" t="s">
        <v>35</v>
      </c>
      <c r="Q95" s="212">
        <v>6</v>
      </c>
      <c r="R95" s="212">
        <v>17</v>
      </c>
      <c r="S95" s="212">
        <v>11</v>
      </c>
      <c r="T95" s="212">
        <v>15</v>
      </c>
      <c r="U95" s="212">
        <v>8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213" t="s">
        <v>19</v>
      </c>
      <c r="L96" s="213" t="s">
        <v>104</v>
      </c>
      <c r="M96" s="213" t="s">
        <v>93</v>
      </c>
      <c r="N96" s="213" t="s">
        <v>20</v>
      </c>
      <c r="O96" s="213" t="s">
        <v>19</v>
      </c>
      <c r="Q96" s="212">
        <v>5</v>
      </c>
      <c r="R96" s="212">
        <v>6</v>
      </c>
      <c r="S96" s="212">
        <v>18</v>
      </c>
      <c r="T96" s="212">
        <v>1</v>
      </c>
      <c r="U96" s="212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213" t="s">
        <v>37</v>
      </c>
      <c r="L97" s="213" t="s">
        <v>102</v>
      </c>
      <c r="M97" s="213" t="s">
        <v>105</v>
      </c>
      <c r="N97" s="213" t="s">
        <v>35</v>
      </c>
      <c r="O97" s="213" t="s">
        <v>36</v>
      </c>
      <c r="Q97" s="212">
        <v>7</v>
      </c>
      <c r="R97" s="212">
        <v>17</v>
      </c>
      <c r="S97" s="212">
        <v>15</v>
      </c>
      <c r="T97" s="212">
        <v>8</v>
      </c>
      <c r="U97" s="212">
        <v>10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213" t="s">
        <v>35</v>
      </c>
      <c r="L98" s="213" t="s">
        <v>21</v>
      </c>
      <c r="M98" s="213" t="s">
        <v>89</v>
      </c>
      <c r="N98" s="213" t="s">
        <v>37</v>
      </c>
      <c r="O98" s="213" t="s">
        <v>19</v>
      </c>
      <c r="Q98" s="212">
        <v>8</v>
      </c>
      <c r="R98" s="212">
        <v>2</v>
      </c>
      <c r="S98" s="212">
        <v>14</v>
      </c>
      <c r="T98" s="212">
        <v>7</v>
      </c>
      <c r="U98" s="212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213" t="s">
        <v>104</v>
      </c>
      <c r="L99" s="213" t="s">
        <v>19</v>
      </c>
      <c r="M99" s="213" t="s">
        <v>105</v>
      </c>
      <c r="N99" s="213" t="s">
        <v>105</v>
      </c>
      <c r="O99" s="213" t="s">
        <v>104</v>
      </c>
      <c r="Q99" s="212">
        <v>6</v>
      </c>
      <c r="R99" s="212">
        <v>5</v>
      </c>
      <c r="S99" s="212">
        <v>15</v>
      </c>
      <c r="T99" s="212">
        <v>15</v>
      </c>
      <c r="U99" s="212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213" t="s">
        <v>19</v>
      </c>
      <c r="L100" s="213" t="s">
        <v>35</v>
      </c>
      <c r="M100" s="213" t="s">
        <v>102</v>
      </c>
      <c r="N100" s="213" t="s">
        <v>35</v>
      </c>
      <c r="O100" s="213" t="s">
        <v>35</v>
      </c>
      <c r="Q100" s="212">
        <v>5</v>
      </c>
      <c r="R100" s="212">
        <v>8</v>
      </c>
      <c r="S100" s="212">
        <v>17</v>
      </c>
      <c r="T100" s="212">
        <v>8</v>
      </c>
      <c r="U100" s="212">
        <v>8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213" t="s">
        <v>37</v>
      </c>
      <c r="L101" s="213" t="s">
        <v>102</v>
      </c>
      <c r="M101" s="213" t="s">
        <v>89</v>
      </c>
      <c r="N101" s="213" t="s">
        <v>102</v>
      </c>
      <c r="O101" s="213" t="s">
        <v>34</v>
      </c>
      <c r="Q101" s="212">
        <v>7</v>
      </c>
      <c r="R101" s="212">
        <v>17</v>
      </c>
      <c r="S101" s="212">
        <v>14</v>
      </c>
      <c r="T101" s="212">
        <v>17</v>
      </c>
      <c r="U101" s="212">
        <v>9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213" t="s">
        <v>21</v>
      </c>
      <c r="L102" s="213" t="s">
        <v>35</v>
      </c>
      <c r="M102" s="213" t="s">
        <v>90</v>
      </c>
      <c r="N102" s="213" t="s">
        <v>34</v>
      </c>
      <c r="O102" s="213" t="s">
        <v>21</v>
      </c>
      <c r="Q102" s="212">
        <v>2</v>
      </c>
      <c r="R102" s="212">
        <v>8</v>
      </c>
      <c r="S102" s="212">
        <v>16</v>
      </c>
      <c r="T102" s="212">
        <v>9</v>
      </c>
      <c r="U102" s="212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213" t="s">
        <v>37</v>
      </c>
      <c r="L103" s="213" t="s">
        <v>21</v>
      </c>
      <c r="M103" s="213" t="s">
        <v>89</v>
      </c>
      <c r="N103" s="213" t="s">
        <v>37</v>
      </c>
      <c r="O103" s="213" t="s">
        <v>35</v>
      </c>
      <c r="Q103" s="212">
        <v>7</v>
      </c>
      <c r="R103" s="212">
        <v>2</v>
      </c>
      <c r="S103" s="212">
        <v>14</v>
      </c>
      <c r="T103" s="212">
        <v>7</v>
      </c>
      <c r="U103" s="212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213" t="s">
        <v>19</v>
      </c>
      <c r="L104" s="213" t="s">
        <v>35</v>
      </c>
      <c r="M104" s="213" t="s">
        <v>102</v>
      </c>
      <c r="N104" s="213" t="s">
        <v>90</v>
      </c>
      <c r="O104" s="213" t="s">
        <v>104</v>
      </c>
      <c r="Q104" s="212">
        <v>5</v>
      </c>
      <c r="R104" s="212">
        <v>8</v>
      </c>
      <c r="S104" s="212">
        <v>17</v>
      </c>
      <c r="T104" s="212">
        <v>16</v>
      </c>
      <c r="U104" s="212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213" t="s">
        <v>104</v>
      </c>
      <c r="L105" s="213" t="s">
        <v>20</v>
      </c>
      <c r="M105" s="213" t="s">
        <v>89</v>
      </c>
      <c r="N105" s="213" t="s">
        <v>105</v>
      </c>
      <c r="O105" s="213" t="s">
        <v>35</v>
      </c>
      <c r="Q105" s="212">
        <v>6</v>
      </c>
      <c r="R105" s="212">
        <v>1</v>
      </c>
      <c r="S105" s="212">
        <v>14</v>
      </c>
      <c r="T105" s="212">
        <v>15</v>
      </c>
      <c r="U105" s="212">
        <v>8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213" t="s">
        <v>19</v>
      </c>
      <c r="L106" s="213" t="s">
        <v>37</v>
      </c>
      <c r="M106" s="213" t="s">
        <v>105</v>
      </c>
      <c r="N106" s="213" t="s">
        <v>18</v>
      </c>
      <c r="O106" s="213" t="s">
        <v>19</v>
      </c>
      <c r="Q106" s="212">
        <v>5</v>
      </c>
      <c r="R106" s="212">
        <v>7</v>
      </c>
      <c r="S106" s="212">
        <v>15</v>
      </c>
      <c r="T106" s="212">
        <v>4</v>
      </c>
      <c r="U106" s="212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213" t="s">
        <v>37</v>
      </c>
      <c r="L107" s="213" t="s">
        <v>102</v>
      </c>
      <c r="M107" s="213" t="s">
        <v>89</v>
      </c>
      <c r="N107" s="213" t="s">
        <v>90</v>
      </c>
      <c r="O107" s="213" t="s">
        <v>34</v>
      </c>
      <c r="Q107" s="212">
        <v>7</v>
      </c>
      <c r="R107" s="212">
        <v>17</v>
      </c>
      <c r="S107" s="212">
        <v>14</v>
      </c>
      <c r="T107" s="212">
        <v>16</v>
      </c>
      <c r="U107" s="212">
        <v>9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213" t="s">
        <v>104</v>
      </c>
      <c r="L108" s="213" t="s">
        <v>37</v>
      </c>
      <c r="M108" s="213" t="s">
        <v>105</v>
      </c>
      <c r="N108" s="213" t="s">
        <v>19</v>
      </c>
      <c r="O108" s="213" t="s">
        <v>35</v>
      </c>
      <c r="Q108" s="212">
        <v>6</v>
      </c>
      <c r="R108" s="212">
        <v>7</v>
      </c>
      <c r="S108" s="212">
        <v>15</v>
      </c>
      <c r="T108" s="212">
        <v>5</v>
      </c>
      <c r="U108" s="212">
        <v>8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213" t="s">
        <v>37</v>
      </c>
      <c r="L109" s="213" t="s">
        <v>35</v>
      </c>
      <c r="M109" s="213" t="s">
        <v>88</v>
      </c>
      <c r="N109" s="213" t="s">
        <v>35</v>
      </c>
      <c r="O109" s="213" t="s">
        <v>37</v>
      </c>
      <c r="Q109" s="212">
        <v>7</v>
      </c>
      <c r="R109" s="212">
        <v>8</v>
      </c>
      <c r="S109" s="212">
        <v>13</v>
      </c>
      <c r="T109" s="212">
        <v>8</v>
      </c>
      <c r="U109" s="212">
        <v>7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213" t="s">
        <v>19</v>
      </c>
      <c r="L110" s="213" t="s">
        <v>36</v>
      </c>
      <c r="M110" s="213" t="s">
        <v>89</v>
      </c>
      <c r="N110" s="213" t="s">
        <v>19</v>
      </c>
      <c r="O110" s="213" t="s">
        <v>35</v>
      </c>
      <c r="Q110" s="212">
        <v>5</v>
      </c>
      <c r="R110" s="212">
        <v>10</v>
      </c>
      <c r="S110" s="212">
        <v>14</v>
      </c>
      <c r="T110" s="212">
        <v>5</v>
      </c>
      <c r="U110" s="212">
        <v>8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213" t="s">
        <v>37</v>
      </c>
      <c r="L111" s="213" t="s">
        <v>37</v>
      </c>
      <c r="M111" s="213" t="s">
        <v>102</v>
      </c>
      <c r="N111" s="213" t="s">
        <v>105</v>
      </c>
      <c r="O111" s="213" t="s">
        <v>104</v>
      </c>
      <c r="Q111" s="212">
        <v>7</v>
      </c>
      <c r="R111" s="212">
        <v>7</v>
      </c>
      <c r="S111" s="212">
        <v>17</v>
      </c>
      <c r="T111" s="212">
        <v>15</v>
      </c>
      <c r="U111" s="212">
        <v>6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213" t="s">
        <v>19</v>
      </c>
      <c r="L112" s="213" t="s">
        <v>21</v>
      </c>
      <c r="M112" s="213" t="s">
        <v>90</v>
      </c>
      <c r="N112" s="213" t="s">
        <v>22</v>
      </c>
      <c r="O112" s="213" t="s">
        <v>37</v>
      </c>
      <c r="Q112" s="212">
        <v>5</v>
      </c>
      <c r="R112" s="212">
        <v>2</v>
      </c>
      <c r="S112" s="212">
        <v>16</v>
      </c>
      <c r="T112" s="212">
        <v>3</v>
      </c>
      <c r="U112" s="212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213" t="s">
        <v>34</v>
      </c>
      <c r="L113" s="213" t="s">
        <v>35</v>
      </c>
      <c r="M113" s="213" t="s">
        <v>105</v>
      </c>
      <c r="N113" s="213" t="s">
        <v>37</v>
      </c>
      <c r="O113" s="213" t="s">
        <v>22</v>
      </c>
      <c r="Q113" s="212">
        <v>9</v>
      </c>
      <c r="R113" s="212">
        <v>8</v>
      </c>
      <c r="S113" s="212">
        <v>15</v>
      </c>
      <c r="T113" s="212">
        <v>7</v>
      </c>
      <c r="U113" s="212">
        <v>3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213" t="s">
        <v>37</v>
      </c>
      <c r="L114" s="213" t="s">
        <v>102</v>
      </c>
      <c r="M114" s="213" t="s">
        <v>89</v>
      </c>
      <c r="N114" s="213" t="s">
        <v>19</v>
      </c>
      <c r="O114" s="213" t="s">
        <v>35</v>
      </c>
      <c r="Q114" s="212">
        <v>7</v>
      </c>
      <c r="R114" s="212">
        <v>17</v>
      </c>
      <c r="S114" s="212">
        <v>14</v>
      </c>
      <c r="T114" s="212">
        <v>5</v>
      </c>
      <c r="U114" s="212">
        <v>8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213" t="s">
        <v>19</v>
      </c>
      <c r="L115" s="213" t="s">
        <v>21</v>
      </c>
      <c r="M115" s="213" t="s">
        <v>90</v>
      </c>
      <c r="N115" s="213" t="s">
        <v>21</v>
      </c>
      <c r="O115" s="213" t="s">
        <v>19</v>
      </c>
      <c r="Q115" s="212">
        <v>5</v>
      </c>
      <c r="R115" s="212">
        <v>2</v>
      </c>
      <c r="S115" s="212">
        <v>16</v>
      </c>
      <c r="T115" s="212">
        <v>2</v>
      </c>
      <c r="U115" s="212">
        <v>5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213" t="s">
        <v>37</v>
      </c>
      <c r="L116" s="213" t="s">
        <v>37</v>
      </c>
      <c r="M116" s="213" t="s">
        <v>89</v>
      </c>
      <c r="N116" s="213" t="s">
        <v>35</v>
      </c>
      <c r="O116" s="213" t="s">
        <v>34</v>
      </c>
      <c r="Q116" s="212">
        <v>7</v>
      </c>
      <c r="R116" s="212">
        <v>7</v>
      </c>
      <c r="S116" s="212">
        <v>14</v>
      </c>
      <c r="T116" s="212">
        <v>8</v>
      </c>
      <c r="U116" s="212">
        <v>9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213" t="s">
        <v>19</v>
      </c>
      <c r="L117" s="213" t="s">
        <v>89</v>
      </c>
      <c r="M117" s="213" t="s">
        <v>102</v>
      </c>
      <c r="N117" s="213" t="s">
        <v>104</v>
      </c>
      <c r="O117" s="213" t="s">
        <v>20</v>
      </c>
      <c r="Q117" s="212">
        <v>5</v>
      </c>
      <c r="R117" s="212">
        <v>14</v>
      </c>
      <c r="S117" s="212">
        <v>17</v>
      </c>
      <c r="T117" s="212">
        <v>6</v>
      </c>
      <c r="U117" s="212">
        <v>1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213" t="s">
        <v>37</v>
      </c>
      <c r="L118" s="213" t="s">
        <v>105</v>
      </c>
      <c r="M118" s="213" t="s">
        <v>90</v>
      </c>
      <c r="N118" s="213" t="s">
        <v>19</v>
      </c>
      <c r="O118" s="213" t="s">
        <v>22</v>
      </c>
      <c r="Q118" s="212">
        <v>7</v>
      </c>
      <c r="R118" s="212">
        <v>15</v>
      </c>
      <c r="S118" s="212">
        <v>16</v>
      </c>
      <c r="T118" s="212">
        <v>5</v>
      </c>
      <c r="U118" s="212">
        <v>3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213" t="s">
        <v>19</v>
      </c>
      <c r="L119" s="213" t="s">
        <v>90</v>
      </c>
      <c r="M119" s="213" t="s">
        <v>89</v>
      </c>
      <c r="N119" s="213" t="s">
        <v>34</v>
      </c>
      <c r="O119" s="213" t="s">
        <v>19</v>
      </c>
      <c r="Q119" s="212">
        <v>5</v>
      </c>
      <c r="R119" s="212">
        <v>16</v>
      </c>
      <c r="S119" s="212">
        <v>14</v>
      </c>
      <c r="T119" s="212">
        <v>9</v>
      </c>
      <c r="U119" s="212">
        <v>5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213" t="s">
        <v>37</v>
      </c>
      <c r="L120" s="213" t="s">
        <v>18</v>
      </c>
      <c r="M120" s="213" t="s">
        <v>105</v>
      </c>
      <c r="N120" s="213" t="s">
        <v>35</v>
      </c>
      <c r="O120" s="213" t="s">
        <v>104</v>
      </c>
      <c r="Q120" s="212">
        <v>7</v>
      </c>
      <c r="R120" s="212">
        <v>4</v>
      </c>
      <c r="S120" s="212">
        <v>15</v>
      </c>
      <c r="T120" s="212">
        <v>8</v>
      </c>
      <c r="U120" s="212">
        <v>6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213" t="s">
        <v>35</v>
      </c>
      <c r="L121" s="213" t="s">
        <v>104</v>
      </c>
      <c r="M121" s="213" t="s">
        <v>102</v>
      </c>
      <c r="N121" s="213" t="s">
        <v>37</v>
      </c>
      <c r="O121" s="213" t="s">
        <v>18</v>
      </c>
      <c r="Q121" s="212">
        <v>8</v>
      </c>
      <c r="R121" s="212">
        <v>6</v>
      </c>
      <c r="S121" s="212">
        <v>17</v>
      </c>
      <c r="T121" s="212">
        <v>7</v>
      </c>
      <c r="U121" s="212">
        <v>4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213" t="s">
        <v>104</v>
      </c>
      <c r="L122" s="213" t="s">
        <v>18</v>
      </c>
      <c r="M122" s="213" t="s">
        <v>89</v>
      </c>
      <c r="N122" s="213" t="s">
        <v>19</v>
      </c>
      <c r="O122" s="213" t="s">
        <v>37</v>
      </c>
      <c r="Q122" s="212">
        <v>6</v>
      </c>
      <c r="R122" s="212">
        <v>4</v>
      </c>
      <c r="S122" s="212">
        <v>14</v>
      </c>
      <c r="T122" s="212">
        <v>5</v>
      </c>
      <c r="U122" s="212">
        <v>7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213" t="s">
        <v>37</v>
      </c>
      <c r="L123" s="213" t="s">
        <v>86</v>
      </c>
      <c r="M123" s="213" t="s">
        <v>102</v>
      </c>
      <c r="N123" s="213" t="s">
        <v>37</v>
      </c>
      <c r="O123" s="213" t="s">
        <v>35</v>
      </c>
      <c r="Q123" s="212">
        <v>7</v>
      </c>
      <c r="R123" s="212">
        <v>11</v>
      </c>
      <c r="S123" s="212">
        <v>17</v>
      </c>
      <c r="T123" s="212">
        <v>7</v>
      </c>
      <c r="U123" s="212">
        <v>8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213" t="s">
        <v>35</v>
      </c>
      <c r="L124" s="213" t="s">
        <v>19</v>
      </c>
      <c r="M124" s="213" t="s">
        <v>105</v>
      </c>
      <c r="N124" s="213" t="s">
        <v>90</v>
      </c>
      <c r="O124" s="213" t="s">
        <v>104</v>
      </c>
      <c r="Q124" s="212">
        <v>8</v>
      </c>
      <c r="R124" s="212">
        <v>5</v>
      </c>
      <c r="S124" s="212">
        <v>15</v>
      </c>
      <c r="T124" s="212">
        <v>16</v>
      </c>
      <c r="U124" s="212">
        <v>6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213" t="s">
        <v>19</v>
      </c>
      <c r="L125" s="213" t="s">
        <v>104</v>
      </c>
      <c r="M125" s="213" t="s">
        <v>87</v>
      </c>
      <c r="N125" s="213" t="s">
        <v>104</v>
      </c>
      <c r="O125" s="213" t="s">
        <v>20</v>
      </c>
      <c r="Q125" s="212">
        <v>5</v>
      </c>
      <c r="R125" s="212">
        <v>6</v>
      </c>
      <c r="S125" s="212">
        <v>12</v>
      </c>
      <c r="T125" s="212">
        <v>6</v>
      </c>
      <c r="U125" s="212">
        <v>1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213" t="s">
        <v>37</v>
      </c>
      <c r="L126" s="213" t="s">
        <v>37</v>
      </c>
      <c r="M126" s="213" t="s">
        <v>105</v>
      </c>
      <c r="N126" s="213" t="s">
        <v>35</v>
      </c>
      <c r="O126" s="213" t="s">
        <v>35</v>
      </c>
      <c r="Q126" s="212">
        <v>7</v>
      </c>
      <c r="R126" s="212">
        <v>7</v>
      </c>
      <c r="S126" s="212">
        <v>15</v>
      </c>
      <c r="T126" s="212">
        <v>8</v>
      </c>
      <c r="U126" s="212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213" t="s">
        <v>104</v>
      </c>
      <c r="L127" s="213" t="s">
        <v>88</v>
      </c>
      <c r="M127" s="213" t="s">
        <v>90</v>
      </c>
      <c r="N127" s="213" t="s">
        <v>104</v>
      </c>
      <c r="O127" s="213" t="s">
        <v>37</v>
      </c>
      <c r="Q127" s="212">
        <v>6</v>
      </c>
      <c r="R127" s="212">
        <v>13</v>
      </c>
      <c r="S127" s="212">
        <v>16</v>
      </c>
      <c r="T127" s="212">
        <v>6</v>
      </c>
      <c r="U127" s="212">
        <v>7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213" t="s">
        <v>18</v>
      </c>
      <c r="L128" s="213" t="s">
        <v>35</v>
      </c>
      <c r="M128" s="213" t="s">
        <v>105</v>
      </c>
      <c r="N128" s="213" t="s">
        <v>37</v>
      </c>
      <c r="O128" s="213" t="s">
        <v>36</v>
      </c>
      <c r="Q128" s="212">
        <v>4</v>
      </c>
      <c r="R128" s="212">
        <v>8</v>
      </c>
      <c r="S128" s="212">
        <v>15</v>
      </c>
      <c r="T128" s="212">
        <v>7</v>
      </c>
      <c r="U128" s="212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213" t="s">
        <v>19</v>
      </c>
      <c r="L129" s="213" t="s">
        <v>19</v>
      </c>
      <c r="M129" s="213" t="s">
        <v>89</v>
      </c>
      <c r="N129" s="213" t="s">
        <v>35</v>
      </c>
      <c r="O129" s="213" t="s">
        <v>104</v>
      </c>
      <c r="Q129" s="212">
        <v>5</v>
      </c>
      <c r="R129" s="212">
        <v>5</v>
      </c>
      <c r="S129" s="212">
        <v>14</v>
      </c>
      <c r="T129" s="212">
        <v>8</v>
      </c>
      <c r="U129" s="212">
        <v>6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213" t="s">
        <v>35</v>
      </c>
      <c r="L130" s="213" t="s">
        <v>105</v>
      </c>
      <c r="M130" s="213" t="s">
        <v>88</v>
      </c>
      <c r="N130" s="213" t="s">
        <v>37</v>
      </c>
      <c r="O130" s="213" t="s">
        <v>19</v>
      </c>
      <c r="Q130" s="212">
        <v>8</v>
      </c>
      <c r="R130" s="212">
        <v>15</v>
      </c>
      <c r="S130" s="212">
        <v>13</v>
      </c>
      <c r="T130" s="212">
        <v>7</v>
      </c>
      <c r="U130" s="212">
        <v>5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213" t="s">
        <v>104</v>
      </c>
      <c r="L131" s="213" t="s">
        <v>18</v>
      </c>
      <c r="M131" s="213" t="s">
        <v>90</v>
      </c>
      <c r="N131" s="213" t="s">
        <v>19</v>
      </c>
      <c r="O131" s="213" t="s">
        <v>22</v>
      </c>
      <c r="Q131" s="212">
        <v>6</v>
      </c>
      <c r="R131" s="212">
        <v>4</v>
      </c>
      <c r="S131" s="212">
        <v>16</v>
      </c>
      <c r="T131" s="212">
        <v>5</v>
      </c>
      <c r="U131" s="212">
        <v>3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213" t="s">
        <v>35</v>
      </c>
      <c r="L132" s="213" t="s">
        <v>87</v>
      </c>
      <c r="M132" s="213" t="s">
        <v>95</v>
      </c>
      <c r="N132" s="213" t="s">
        <v>37</v>
      </c>
      <c r="O132" s="213" t="s">
        <v>104</v>
      </c>
      <c r="Q132" s="212">
        <v>8</v>
      </c>
      <c r="R132" s="212">
        <v>12</v>
      </c>
      <c r="S132" s="212">
        <v>19</v>
      </c>
      <c r="T132" s="212">
        <v>7</v>
      </c>
      <c r="U132" s="212">
        <v>6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213" t="s">
        <v>37</v>
      </c>
      <c r="L133" s="213" t="s">
        <v>35</v>
      </c>
      <c r="M133" s="213" t="s">
        <v>102</v>
      </c>
      <c r="N133" s="213" t="s">
        <v>35</v>
      </c>
      <c r="O133" s="213" t="s">
        <v>19</v>
      </c>
      <c r="Q133" s="212">
        <v>7</v>
      </c>
      <c r="R133" s="212">
        <v>8</v>
      </c>
      <c r="S133" s="212">
        <v>17</v>
      </c>
      <c r="T133" s="212">
        <v>8</v>
      </c>
      <c r="U133" s="212">
        <v>5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213" t="s">
        <v>22</v>
      </c>
      <c r="L134" s="213" t="s">
        <v>37</v>
      </c>
      <c r="M134" s="213" t="s">
        <v>89</v>
      </c>
      <c r="N134" s="213" t="s">
        <v>37</v>
      </c>
      <c r="O134" s="213" t="s">
        <v>22</v>
      </c>
      <c r="Q134" s="212">
        <v>3</v>
      </c>
      <c r="R134" s="212">
        <v>7</v>
      </c>
      <c r="S134" s="212">
        <v>14</v>
      </c>
      <c r="T134" s="212">
        <v>7</v>
      </c>
      <c r="U134" s="212">
        <v>3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213" t="s">
        <v>35</v>
      </c>
      <c r="L135" s="213" t="s">
        <v>18</v>
      </c>
      <c r="M135" s="213" t="s">
        <v>93</v>
      </c>
      <c r="N135" s="213" t="s">
        <v>35</v>
      </c>
      <c r="O135" s="213" t="s">
        <v>104</v>
      </c>
      <c r="Q135" s="212">
        <v>8</v>
      </c>
      <c r="R135" s="212">
        <v>4</v>
      </c>
      <c r="S135" s="212">
        <v>18</v>
      </c>
      <c r="T135" s="212">
        <v>8</v>
      </c>
      <c r="U135" s="212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213" t="s">
        <v>104</v>
      </c>
      <c r="L136" s="213" t="s">
        <v>105</v>
      </c>
      <c r="M136" s="213" t="s">
        <v>105</v>
      </c>
      <c r="N136" s="213" t="s">
        <v>19</v>
      </c>
      <c r="O136" s="213" t="s">
        <v>19</v>
      </c>
      <c r="Q136" s="212">
        <v>6</v>
      </c>
      <c r="R136" s="212">
        <v>15</v>
      </c>
      <c r="S136" s="212">
        <v>15</v>
      </c>
      <c r="T136" s="212">
        <v>5</v>
      </c>
      <c r="U136" s="212">
        <v>5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213" t="s">
        <v>19</v>
      </c>
      <c r="L137" s="213" t="s">
        <v>21</v>
      </c>
      <c r="M137" s="213" t="s">
        <v>90</v>
      </c>
      <c r="N137" s="213" t="s">
        <v>35</v>
      </c>
      <c r="O137" s="213" t="s">
        <v>37</v>
      </c>
      <c r="Q137" s="212">
        <v>5</v>
      </c>
      <c r="R137" s="212">
        <v>2</v>
      </c>
      <c r="S137" s="212">
        <v>16</v>
      </c>
      <c r="T137" s="212">
        <v>8</v>
      </c>
      <c r="U137" s="212">
        <v>7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213" t="s">
        <v>35</v>
      </c>
      <c r="L138" s="213" t="s">
        <v>104</v>
      </c>
      <c r="M138" s="213" t="s">
        <v>102</v>
      </c>
      <c r="N138" s="213" t="s">
        <v>37</v>
      </c>
      <c r="O138" s="213" t="s">
        <v>18</v>
      </c>
      <c r="Q138" s="212">
        <v>8</v>
      </c>
      <c r="R138" s="212">
        <v>6</v>
      </c>
      <c r="S138" s="212">
        <v>17</v>
      </c>
      <c r="T138" s="212">
        <v>7</v>
      </c>
      <c r="U138" s="212">
        <v>4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213" t="s">
        <v>104</v>
      </c>
      <c r="L139" s="213" t="s">
        <v>86</v>
      </c>
      <c r="M139" s="213" t="s">
        <v>90</v>
      </c>
      <c r="N139" s="213" t="s">
        <v>104</v>
      </c>
      <c r="O139" s="213" t="s">
        <v>19</v>
      </c>
      <c r="Q139" s="212">
        <v>6</v>
      </c>
      <c r="R139" s="212">
        <v>11</v>
      </c>
      <c r="S139" s="212">
        <v>16</v>
      </c>
      <c r="T139" s="212">
        <v>6</v>
      </c>
      <c r="U139" s="212">
        <v>5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213" t="s">
        <v>35</v>
      </c>
      <c r="L140" s="213" t="s">
        <v>93</v>
      </c>
      <c r="M140" s="213" t="s">
        <v>89</v>
      </c>
      <c r="N140" s="213" t="s">
        <v>19</v>
      </c>
      <c r="O140" s="213" t="s">
        <v>36</v>
      </c>
      <c r="Q140" s="212">
        <v>8</v>
      </c>
      <c r="R140" s="212">
        <v>18</v>
      </c>
      <c r="S140" s="212">
        <v>14</v>
      </c>
      <c r="T140" s="212">
        <v>5</v>
      </c>
      <c r="U140" s="212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213" t="s">
        <v>104</v>
      </c>
      <c r="L141" s="213" t="s">
        <v>19</v>
      </c>
      <c r="M141" s="213" t="s">
        <v>105</v>
      </c>
      <c r="N141" s="213" t="s">
        <v>102</v>
      </c>
      <c r="O141" s="213" t="s">
        <v>37</v>
      </c>
      <c r="Q141" s="212">
        <v>6</v>
      </c>
      <c r="R141" s="212">
        <v>5</v>
      </c>
      <c r="S141" s="212">
        <v>15</v>
      </c>
      <c r="T141" s="212">
        <v>17</v>
      </c>
      <c r="U141" s="212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213" t="s">
        <v>35</v>
      </c>
      <c r="L142" s="213" t="s">
        <v>21</v>
      </c>
      <c r="M142" s="213" t="s">
        <v>102</v>
      </c>
      <c r="N142" s="213" t="s">
        <v>37</v>
      </c>
      <c r="O142" s="213" t="s">
        <v>104</v>
      </c>
      <c r="Q142" s="212">
        <v>8</v>
      </c>
      <c r="R142" s="212">
        <v>2</v>
      </c>
      <c r="S142" s="212">
        <v>17</v>
      </c>
      <c r="T142" s="212">
        <v>7</v>
      </c>
      <c r="U142" s="212">
        <v>6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213" t="s">
        <v>19</v>
      </c>
      <c r="L143" s="213" t="s">
        <v>37</v>
      </c>
      <c r="M143" s="213" t="s">
        <v>105</v>
      </c>
      <c r="N143" s="213" t="s">
        <v>104</v>
      </c>
      <c r="O143" s="213" t="s">
        <v>37</v>
      </c>
      <c r="Q143" s="212">
        <v>5</v>
      </c>
      <c r="R143" s="212">
        <v>7</v>
      </c>
      <c r="S143" s="212">
        <v>15</v>
      </c>
      <c r="T143" s="212">
        <v>6</v>
      </c>
      <c r="U143" s="212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213" t="s">
        <v>104</v>
      </c>
      <c r="L144" s="213" t="s">
        <v>35</v>
      </c>
      <c r="M144" s="213" t="s">
        <v>93</v>
      </c>
      <c r="N144" s="213" t="s">
        <v>105</v>
      </c>
      <c r="O144" s="213" t="s">
        <v>104</v>
      </c>
      <c r="Q144" s="212">
        <v>6</v>
      </c>
      <c r="R144" s="212">
        <v>8</v>
      </c>
      <c r="S144" s="212">
        <v>18</v>
      </c>
      <c r="T144" s="212">
        <v>15</v>
      </c>
      <c r="U144" s="212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213" t="s">
        <v>37</v>
      </c>
      <c r="L145" s="213" t="s">
        <v>19</v>
      </c>
      <c r="M145" s="213" t="s">
        <v>102</v>
      </c>
      <c r="N145" s="213" t="s">
        <v>37</v>
      </c>
      <c r="O145" s="213" t="s">
        <v>18</v>
      </c>
      <c r="Q145" s="212">
        <v>7</v>
      </c>
      <c r="R145" s="212">
        <v>5</v>
      </c>
      <c r="S145" s="212">
        <v>17</v>
      </c>
      <c r="T145" s="212">
        <v>7</v>
      </c>
      <c r="U145" s="212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213" t="s">
        <v>104</v>
      </c>
      <c r="L146" s="213" t="s">
        <v>95</v>
      </c>
      <c r="M146" s="213" t="s">
        <v>89</v>
      </c>
      <c r="N146" s="213" t="s">
        <v>34</v>
      </c>
      <c r="O146" s="213" t="s">
        <v>104</v>
      </c>
      <c r="Q146" s="212">
        <v>6</v>
      </c>
      <c r="R146" s="212">
        <v>19</v>
      </c>
      <c r="S146" s="212">
        <v>14</v>
      </c>
      <c r="T146" s="212">
        <v>9</v>
      </c>
      <c r="U146" s="212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213" t="s">
        <v>19</v>
      </c>
      <c r="L147" s="213" t="s">
        <v>104</v>
      </c>
      <c r="M147" s="213" t="s">
        <v>105</v>
      </c>
      <c r="N147" s="213" t="s">
        <v>37</v>
      </c>
      <c r="O147" s="213" t="s">
        <v>19</v>
      </c>
      <c r="Q147" s="212">
        <v>5</v>
      </c>
      <c r="R147" s="212">
        <v>6</v>
      </c>
      <c r="S147" s="212">
        <v>15</v>
      </c>
      <c r="T147" s="212">
        <v>7</v>
      </c>
      <c r="U147" s="212">
        <v>5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213" t="s">
        <v>104</v>
      </c>
      <c r="L148" s="213" t="s">
        <v>22</v>
      </c>
      <c r="M148" s="213" t="s">
        <v>90</v>
      </c>
      <c r="N148" s="213" t="s">
        <v>19</v>
      </c>
      <c r="O148" s="213" t="s">
        <v>104</v>
      </c>
      <c r="Q148" s="212">
        <v>6</v>
      </c>
      <c r="R148" s="212">
        <v>3</v>
      </c>
      <c r="S148" s="212">
        <v>16</v>
      </c>
      <c r="T148" s="212">
        <v>5</v>
      </c>
      <c r="U148" s="212">
        <v>6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213" t="s">
        <v>35</v>
      </c>
      <c r="L149" s="213" t="s">
        <v>102</v>
      </c>
      <c r="M149" s="213" t="s">
        <v>102</v>
      </c>
      <c r="N149" s="213" t="s">
        <v>37</v>
      </c>
      <c r="O149" s="213" t="s">
        <v>19</v>
      </c>
      <c r="Q149" s="212">
        <v>8</v>
      </c>
      <c r="R149" s="212">
        <v>17</v>
      </c>
      <c r="S149" s="212">
        <v>17</v>
      </c>
      <c r="T149" s="212">
        <v>7</v>
      </c>
      <c r="U149" s="212">
        <v>5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213" t="s">
        <v>104</v>
      </c>
      <c r="L150" s="213" t="s">
        <v>35</v>
      </c>
      <c r="M150" s="213" t="s">
        <v>89</v>
      </c>
      <c r="N150" s="213" t="s">
        <v>104</v>
      </c>
      <c r="O150" s="213" t="s">
        <v>34</v>
      </c>
      <c r="Q150" s="212">
        <v>6</v>
      </c>
      <c r="R150" s="212">
        <v>8</v>
      </c>
      <c r="S150" s="212">
        <v>14</v>
      </c>
      <c r="T150" s="212">
        <v>6</v>
      </c>
      <c r="U150" s="212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213" t="s">
        <v>37</v>
      </c>
      <c r="L151" s="213" t="s">
        <v>104</v>
      </c>
      <c r="M151" s="213" t="s">
        <v>105</v>
      </c>
      <c r="N151" s="213" t="s">
        <v>37</v>
      </c>
      <c r="O151" s="213" t="s">
        <v>37</v>
      </c>
      <c r="Q151" s="212">
        <v>7</v>
      </c>
      <c r="R151" s="212">
        <v>6</v>
      </c>
      <c r="S151" s="212">
        <v>15</v>
      </c>
      <c r="T151" s="212">
        <v>7</v>
      </c>
      <c r="U151" s="212">
        <v>7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213" t="s">
        <v>19</v>
      </c>
      <c r="L152" s="213" t="s">
        <v>102</v>
      </c>
      <c r="M152" s="213" t="s">
        <v>88</v>
      </c>
      <c r="N152" s="213" t="s">
        <v>19</v>
      </c>
      <c r="O152" s="213" t="s">
        <v>104</v>
      </c>
      <c r="Q152" s="212">
        <v>5</v>
      </c>
      <c r="R152" s="212">
        <v>17</v>
      </c>
      <c r="S152" s="212">
        <v>13</v>
      </c>
      <c r="T152" s="212">
        <v>5</v>
      </c>
      <c r="U152" s="212">
        <v>6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213" t="s">
        <v>104</v>
      </c>
      <c r="L153" s="213" t="s">
        <v>18</v>
      </c>
      <c r="M153" s="213" t="s">
        <v>89</v>
      </c>
      <c r="N153" s="213" t="s">
        <v>104</v>
      </c>
      <c r="O153" s="213" t="s">
        <v>34</v>
      </c>
      <c r="Q153" s="212">
        <v>6</v>
      </c>
      <c r="R153" s="212">
        <v>4</v>
      </c>
      <c r="S153" s="212">
        <v>14</v>
      </c>
      <c r="T153" s="212">
        <v>6</v>
      </c>
      <c r="U153" s="212">
        <v>9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213" t="s">
        <v>19</v>
      </c>
      <c r="L154" s="213" t="s">
        <v>36</v>
      </c>
      <c r="M154" s="213" t="s">
        <v>105</v>
      </c>
      <c r="N154" s="213" t="s">
        <v>37</v>
      </c>
      <c r="O154" s="213" t="s">
        <v>35</v>
      </c>
      <c r="Q154" s="212">
        <v>5</v>
      </c>
      <c r="R154" s="212">
        <v>10</v>
      </c>
      <c r="S154" s="212">
        <v>15</v>
      </c>
      <c r="T154" s="212">
        <v>7</v>
      </c>
      <c r="U154" s="212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213" t="s">
        <v>21</v>
      </c>
      <c r="L155" s="213" t="s">
        <v>104</v>
      </c>
      <c r="M155" s="213" t="s">
        <v>102</v>
      </c>
      <c r="N155" s="213" t="s">
        <v>19</v>
      </c>
      <c r="O155" s="213" t="s">
        <v>21</v>
      </c>
      <c r="Q155" s="212">
        <v>2</v>
      </c>
      <c r="R155" s="212">
        <v>6</v>
      </c>
      <c r="S155" s="212">
        <v>17</v>
      </c>
      <c r="T155" s="212">
        <v>5</v>
      </c>
      <c r="U155" s="212">
        <v>2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213" t="s">
        <v>35</v>
      </c>
      <c r="L156" s="213" t="s">
        <v>90</v>
      </c>
      <c r="M156" s="213" t="s">
        <v>95</v>
      </c>
      <c r="N156" s="213" t="s">
        <v>89</v>
      </c>
      <c r="O156" s="213" t="s">
        <v>37</v>
      </c>
      <c r="Q156" s="212">
        <v>8</v>
      </c>
      <c r="R156" s="212">
        <v>16</v>
      </c>
      <c r="S156" s="212">
        <v>19</v>
      </c>
      <c r="T156" s="212">
        <v>14</v>
      </c>
      <c r="U156" s="212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213" t="s">
        <v>37</v>
      </c>
      <c r="L157" s="213" t="s">
        <v>35</v>
      </c>
      <c r="M157" s="213" t="s">
        <v>105</v>
      </c>
      <c r="N157" s="213" t="s">
        <v>104</v>
      </c>
      <c r="O157" s="213" t="s">
        <v>35</v>
      </c>
      <c r="Q157" s="212">
        <v>7</v>
      </c>
      <c r="R157" s="212">
        <v>8</v>
      </c>
      <c r="S157" s="212">
        <v>15</v>
      </c>
      <c r="T157" s="212">
        <v>6</v>
      </c>
      <c r="U157" s="212">
        <v>8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213" t="s">
        <v>35</v>
      </c>
      <c r="L158" s="213" t="s">
        <v>36</v>
      </c>
      <c r="M158" s="213" t="s">
        <v>102</v>
      </c>
      <c r="N158" s="213" t="s">
        <v>37</v>
      </c>
      <c r="O158" s="213" t="s">
        <v>19</v>
      </c>
      <c r="Q158" s="212">
        <v>8</v>
      </c>
      <c r="R158" s="212">
        <v>10</v>
      </c>
      <c r="S158" s="212">
        <v>17</v>
      </c>
      <c r="T158" s="212">
        <v>7</v>
      </c>
      <c r="U158" s="212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213" t="s">
        <v>19</v>
      </c>
      <c r="L159" s="213" t="s">
        <v>104</v>
      </c>
      <c r="M159" s="213" t="s">
        <v>88</v>
      </c>
      <c r="N159" s="213" t="s">
        <v>102</v>
      </c>
      <c r="O159" s="213" t="s">
        <v>37</v>
      </c>
      <c r="Q159" s="212">
        <v>5</v>
      </c>
      <c r="R159" s="212">
        <v>6</v>
      </c>
      <c r="S159" s="212">
        <v>13</v>
      </c>
      <c r="T159" s="212">
        <v>17</v>
      </c>
      <c r="U159" s="212">
        <v>7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213" t="s">
        <v>37</v>
      </c>
      <c r="L160" s="213" t="s">
        <v>35</v>
      </c>
      <c r="M160" s="213" t="s">
        <v>105</v>
      </c>
      <c r="N160" s="213" t="s">
        <v>95</v>
      </c>
      <c r="O160" s="213" t="s">
        <v>35</v>
      </c>
      <c r="Q160" s="212">
        <v>7</v>
      </c>
      <c r="R160" s="212">
        <v>8</v>
      </c>
      <c r="S160" s="212">
        <v>15</v>
      </c>
      <c r="T160" s="212">
        <v>19</v>
      </c>
      <c r="U160" s="212">
        <v>8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213" t="s">
        <v>35</v>
      </c>
      <c r="L161" s="213" t="s">
        <v>21</v>
      </c>
      <c r="M161" s="213" t="s">
        <v>102</v>
      </c>
      <c r="N161" s="213" t="s">
        <v>87</v>
      </c>
      <c r="O161" s="213" t="s">
        <v>104</v>
      </c>
      <c r="Q161" s="212">
        <v>8</v>
      </c>
      <c r="R161" s="212">
        <v>2</v>
      </c>
      <c r="S161" s="212">
        <v>17</v>
      </c>
      <c r="T161" s="212">
        <v>12</v>
      </c>
      <c r="U161" s="212">
        <v>6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213" t="s">
        <v>19</v>
      </c>
      <c r="L162" s="213" t="s">
        <v>18</v>
      </c>
      <c r="M162" s="213" t="s">
        <v>105</v>
      </c>
      <c r="N162" s="213" t="s">
        <v>105</v>
      </c>
      <c r="O162" s="213" t="s">
        <v>35</v>
      </c>
      <c r="Q162" s="212">
        <v>5</v>
      </c>
      <c r="R162" s="212">
        <v>4</v>
      </c>
      <c r="S162" s="212">
        <v>15</v>
      </c>
      <c r="T162" s="212">
        <v>15</v>
      </c>
      <c r="U162" s="212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213" t="s">
        <v>35</v>
      </c>
      <c r="L163" s="213" t="s">
        <v>22</v>
      </c>
      <c r="M163" s="213" t="s">
        <v>90</v>
      </c>
      <c r="N163" s="213" t="s">
        <v>95</v>
      </c>
      <c r="O163" s="213" t="s">
        <v>37</v>
      </c>
      <c r="Q163" s="212">
        <v>8</v>
      </c>
      <c r="R163" s="212">
        <v>3</v>
      </c>
      <c r="S163" s="212">
        <v>16</v>
      </c>
      <c r="T163" s="212">
        <v>19</v>
      </c>
      <c r="U163" s="212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213" t="s">
        <v>34</v>
      </c>
      <c r="L164" s="213" t="s">
        <v>37</v>
      </c>
      <c r="M164" s="213" t="s">
        <v>102</v>
      </c>
      <c r="N164" s="213" t="s">
        <v>37</v>
      </c>
      <c r="O164" s="213" t="s">
        <v>18</v>
      </c>
      <c r="Q164" s="212">
        <v>9</v>
      </c>
      <c r="R164" s="212">
        <v>7</v>
      </c>
      <c r="S164" s="212">
        <v>17</v>
      </c>
      <c r="T164" s="212">
        <v>7</v>
      </c>
      <c r="U164" s="212">
        <v>4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213" t="s">
        <v>19</v>
      </c>
      <c r="L165" s="213" t="s">
        <v>35</v>
      </c>
      <c r="M165" s="213" t="s">
        <v>105</v>
      </c>
      <c r="N165" s="213" t="s">
        <v>105</v>
      </c>
      <c r="O165" s="213" t="s">
        <v>104</v>
      </c>
      <c r="Q165" s="212">
        <v>5</v>
      </c>
      <c r="R165" s="212">
        <v>8</v>
      </c>
      <c r="S165" s="212">
        <v>15</v>
      </c>
      <c r="T165" s="212">
        <v>15</v>
      </c>
      <c r="U165" s="212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213" t="s">
        <v>34</v>
      </c>
      <c r="L166" s="213" t="s">
        <v>88</v>
      </c>
      <c r="M166" s="213" t="s">
        <v>102</v>
      </c>
      <c r="N166" s="213" t="s">
        <v>104</v>
      </c>
      <c r="O166" s="213" t="s">
        <v>37</v>
      </c>
      <c r="Q166" s="212">
        <v>9</v>
      </c>
      <c r="R166" s="212">
        <v>13</v>
      </c>
      <c r="S166" s="212">
        <v>17</v>
      </c>
      <c r="T166" s="212">
        <v>6</v>
      </c>
      <c r="U166" s="212">
        <v>7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213" t="s">
        <v>104</v>
      </c>
      <c r="L167" s="213" t="s">
        <v>22</v>
      </c>
      <c r="M167" s="213" t="s">
        <v>89</v>
      </c>
      <c r="N167" s="213" t="s">
        <v>19</v>
      </c>
      <c r="O167" s="213" t="s">
        <v>36</v>
      </c>
      <c r="Q167" s="212">
        <v>6</v>
      </c>
      <c r="R167" s="212">
        <v>3</v>
      </c>
      <c r="S167" s="212">
        <v>14</v>
      </c>
      <c r="T167" s="212">
        <v>5</v>
      </c>
      <c r="U167" s="212">
        <v>10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213" t="s">
        <v>19</v>
      </c>
      <c r="L168" s="213" t="s">
        <v>19</v>
      </c>
      <c r="M168" s="213" t="s">
        <v>105</v>
      </c>
      <c r="N168" s="213" t="s">
        <v>37</v>
      </c>
      <c r="O168" s="213" t="s">
        <v>19</v>
      </c>
      <c r="Q168" s="212">
        <v>5</v>
      </c>
      <c r="R168" s="212">
        <v>5</v>
      </c>
      <c r="S168" s="212">
        <v>15</v>
      </c>
      <c r="T168" s="212">
        <v>7</v>
      </c>
      <c r="U168" s="212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213" t="s">
        <v>35</v>
      </c>
      <c r="L169" s="213" t="s">
        <v>22</v>
      </c>
      <c r="M169" s="213" t="s">
        <v>102</v>
      </c>
      <c r="N169" s="213" t="s">
        <v>35</v>
      </c>
      <c r="O169" s="213" t="s">
        <v>36</v>
      </c>
      <c r="Q169" s="212">
        <v>8</v>
      </c>
      <c r="R169" s="212">
        <v>3</v>
      </c>
      <c r="S169" s="212">
        <v>17</v>
      </c>
      <c r="T169" s="212">
        <v>8</v>
      </c>
      <c r="U169" s="212">
        <v>10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213" t="s">
        <v>34</v>
      </c>
      <c r="L170" s="213" t="s">
        <v>104</v>
      </c>
      <c r="M170" s="213" t="s">
        <v>90</v>
      </c>
      <c r="N170" s="213" t="s">
        <v>37</v>
      </c>
      <c r="O170" s="213" t="s">
        <v>37</v>
      </c>
      <c r="Q170" s="212">
        <v>9</v>
      </c>
      <c r="R170" s="212">
        <v>6</v>
      </c>
      <c r="S170" s="212">
        <v>16</v>
      </c>
      <c r="T170" s="212">
        <v>7</v>
      </c>
      <c r="U170" s="212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213" t="s">
        <v>104</v>
      </c>
      <c r="L171" s="213" t="s">
        <v>90</v>
      </c>
      <c r="M171" s="213" t="s">
        <v>105</v>
      </c>
      <c r="N171" s="213" t="s">
        <v>102</v>
      </c>
      <c r="O171" s="213" t="s">
        <v>35</v>
      </c>
      <c r="Q171" s="212">
        <v>6</v>
      </c>
      <c r="R171" s="212">
        <v>16</v>
      </c>
      <c r="S171" s="212">
        <v>15</v>
      </c>
      <c r="T171" s="212">
        <v>17</v>
      </c>
      <c r="U171" s="212">
        <v>8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213" t="s">
        <v>37</v>
      </c>
      <c r="L172" s="213" t="s">
        <v>34</v>
      </c>
      <c r="M172" s="213" t="s">
        <v>102</v>
      </c>
      <c r="N172" s="213" t="s">
        <v>20</v>
      </c>
      <c r="O172" s="213" t="s">
        <v>34</v>
      </c>
      <c r="Q172" s="212">
        <v>7</v>
      </c>
      <c r="R172" s="212">
        <v>9</v>
      </c>
      <c r="S172" s="212">
        <v>17</v>
      </c>
      <c r="T172" s="212">
        <v>1</v>
      </c>
      <c r="U172" s="212">
        <v>9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213" t="s">
        <v>35</v>
      </c>
      <c r="L173" s="213" t="s">
        <v>21</v>
      </c>
      <c r="M173" s="213" t="s">
        <v>90</v>
      </c>
      <c r="N173" s="213" t="s">
        <v>89</v>
      </c>
      <c r="O173" s="213" t="s">
        <v>19</v>
      </c>
      <c r="Q173" s="212">
        <v>8</v>
      </c>
      <c r="R173" s="212">
        <v>2</v>
      </c>
      <c r="S173" s="212">
        <v>16</v>
      </c>
      <c r="T173" s="212">
        <v>14</v>
      </c>
      <c r="U173" s="212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213" t="s">
        <v>37</v>
      </c>
      <c r="L174" s="213" t="s">
        <v>105</v>
      </c>
      <c r="M174" s="213" t="s">
        <v>89</v>
      </c>
      <c r="N174" s="213" t="s">
        <v>19</v>
      </c>
      <c r="O174" s="213" t="s">
        <v>37</v>
      </c>
      <c r="Q174" s="212">
        <v>7</v>
      </c>
      <c r="R174" s="212">
        <v>15</v>
      </c>
      <c r="S174" s="212">
        <v>14</v>
      </c>
      <c r="T174" s="212">
        <v>5</v>
      </c>
      <c r="U174" s="212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213" t="s">
        <v>35</v>
      </c>
      <c r="L175" s="213" t="s">
        <v>34</v>
      </c>
      <c r="M175" s="213" t="s">
        <v>90</v>
      </c>
      <c r="N175" s="213" t="s">
        <v>88</v>
      </c>
      <c r="O175" s="213" t="s">
        <v>22</v>
      </c>
      <c r="Q175" s="212">
        <v>8</v>
      </c>
      <c r="R175" s="212">
        <v>9</v>
      </c>
      <c r="S175" s="212">
        <v>16</v>
      </c>
      <c r="T175" s="212">
        <v>13</v>
      </c>
      <c r="U175" s="212">
        <v>3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213" t="s">
        <v>18</v>
      </c>
      <c r="L176" s="213" t="s">
        <v>19</v>
      </c>
      <c r="M176" s="213" t="s">
        <v>95</v>
      </c>
      <c r="N176" s="213" t="s">
        <v>93</v>
      </c>
      <c r="O176" s="213" t="s">
        <v>19</v>
      </c>
      <c r="Q176" s="212">
        <v>4</v>
      </c>
      <c r="R176" s="212">
        <v>5</v>
      </c>
      <c r="S176" s="212">
        <v>19</v>
      </c>
      <c r="T176" s="212">
        <v>18</v>
      </c>
      <c r="U176" s="212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213" t="s">
        <v>19</v>
      </c>
      <c r="L177" s="213" t="s">
        <v>90</v>
      </c>
      <c r="M177" s="213" t="s">
        <v>102</v>
      </c>
      <c r="N177" s="213" t="s">
        <v>35</v>
      </c>
      <c r="O177" s="213" t="s">
        <v>104</v>
      </c>
      <c r="Q177" s="212">
        <v>5</v>
      </c>
      <c r="R177" s="212">
        <v>16</v>
      </c>
      <c r="S177" s="212">
        <v>17</v>
      </c>
      <c r="T177" s="212">
        <v>8</v>
      </c>
      <c r="U177" s="212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213" t="s">
        <v>35</v>
      </c>
      <c r="L178" s="213" t="s">
        <v>105</v>
      </c>
      <c r="M178" s="213" t="s">
        <v>105</v>
      </c>
      <c r="N178" s="213" t="s">
        <v>102</v>
      </c>
      <c r="O178" s="213" t="s">
        <v>37</v>
      </c>
      <c r="Q178" s="212">
        <v>8</v>
      </c>
      <c r="R178" s="212">
        <v>15</v>
      </c>
      <c r="S178" s="212">
        <v>15</v>
      </c>
      <c r="T178" s="212">
        <v>17</v>
      </c>
      <c r="U178" s="212">
        <v>7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213" t="s">
        <v>37</v>
      </c>
      <c r="L179" s="213" t="s">
        <v>37</v>
      </c>
      <c r="M179" s="213" t="s">
        <v>90</v>
      </c>
      <c r="N179" s="213" t="s">
        <v>18</v>
      </c>
      <c r="O179" s="213" t="s">
        <v>19</v>
      </c>
      <c r="Q179" s="212">
        <v>7</v>
      </c>
      <c r="R179" s="212">
        <v>7</v>
      </c>
      <c r="S179" s="212">
        <v>16</v>
      </c>
      <c r="T179" s="212">
        <v>4</v>
      </c>
      <c r="U179" s="212">
        <v>5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213" t="s">
        <v>104</v>
      </c>
      <c r="L180" s="213" t="s">
        <v>34</v>
      </c>
      <c r="M180" s="213" t="s">
        <v>105</v>
      </c>
      <c r="N180" s="213" t="s">
        <v>19</v>
      </c>
      <c r="O180" s="213" t="s">
        <v>37</v>
      </c>
      <c r="Q180" s="212">
        <v>6</v>
      </c>
      <c r="R180" s="212">
        <v>9</v>
      </c>
      <c r="S180" s="212">
        <v>15</v>
      </c>
      <c r="T180" s="212">
        <v>5</v>
      </c>
      <c r="U180" s="212">
        <v>7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213" t="s">
        <v>19</v>
      </c>
      <c r="L181" s="213" t="s">
        <v>35</v>
      </c>
      <c r="M181" s="213" t="s">
        <v>89</v>
      </c>
      <c r="N181" s="213" t="s">
        <v>104</v>
      </c>
      <c r="O181" s="213" t="s">
        <v>19</v>
      </c>
      <c r="Q181" s="212">
        <v>5</v>
      </c>
      <c r="R181" s="212">
        <v>8</v>
      </c>
      <c r="S181" s="212">
        <v>14</v>
      </c>
      <c r="T181" s="212">
        <v>6</v>
      </c>
      <c r="U181" s="212">
        <v>5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213" t="s">
        <v>35</v>
      </c>
      <c r="L182" s="213" t="s">
        <v>37</v>
      </c>
      <c r="M182" s="213" t="s">
        <v>90</v>
      </c>
      <c r="N182" s="213" t="s">
        <v>102</v>
      </c>
      <c r="O182" s="213" t="s">
        <v>35</v>
      </c>
      <c r="Q182" s="212">
        <v>8</v>
      </c>
      <c r="R182" s="212">
        <v>7</v>
      </c>
      <c r="S182" s="212">
        <v>16</v>
      </c>
      <c r="T182" s="212">
        <v>17</v>
      </c>
      <c r="U182" s="212">
        <v>8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213" t="s">
        <v>104</v>
      </c>
      <c r="L183" s="213" t="s">
        <v>104</v>
      </c>
      <c r="M183" s="213" t="s">
        <v>89</v>
      </c>
      <c r="N183" s="213" t="s">
        <v>104</v>
      </c>
      <c r="O183" s="213" t="s">
        <v>104</v>
      </c>
      <c r="Q183" s="212">
        <v>6</v>
      </c>
      <c r="R183" s="212">
        <v>6</v>
      </c>
      <c r="S183" s="212">
        <v>14</v>
      </c>
      <c r="T183" s="212">
        <v>6</v>
      </c>
      <c r="U183" s="212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213" t="s">
        <v>19</v>
      </c>
      <c r="L184" s="213" t="s">
        <v>37</v>
      </c>
      <c r="M184" s="213" t="s">
        <v>90</v>
      </c>
      <c r="N184" s="213" t="s">
        <v>35</v>
      </c>
      <c r="O184" s="213" t="s">
        <v>36</v>
      </c>
      <c r="Q184" s="212">
        <v>5</v>
      </c>
      <c r="R184" s="212">
        <v>7</v>
      </c>
      <c r="S184" s="212">
        <v>16</v>
      </c>
      <c r="T184" s="212">
        <v>8</v>
      </c>
      <c r="U184" s="212">
        <v>10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213" t="s">
        <v>37</v>
      </c>
      <c r="L185" s="213" t="s">
        <v>89</v>
      </c>
      <c r="M185" s="213" t="s">
        <v>105</v>
      </c>
      <c r="N185" s="213" t="s">
        <v>105</v>
      </c>
      <c r="O185" s="213" t="s">
        <v>19</v>
      </c>
      <c r="Q185" s="212">
        <v>7</v>
      </c>
      <c r="R185" s="212">
        <v>14</v>
      </c>
      <c r="S185" s="212">
        <v>15</v>
      </c>
      <c r="T185" s="212">
        <v>15</v>
      </c>
      <c r="U185" s="212">
        <v>5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213" t="s">
        <v>104</v>
      </c>
      <c r="L186" s="213" t="s">
        <v>35</v>
      </c>
      <c r="M186" s="213" t="s">
        <v>90</v>
      </c>
      <c r="N186" s="213" t="s">
        <v>19</v>
      </c>
      <c r="O186" s="213" t="s">
        <v>35</v>
      </c>
      <c r="Q186" s="212">
        <v>6</v>
      </c>
      <c r="R186" s="212">
        <v>8</v>
      </c>
      <c r="S186" s="212">
        <v>16</v>
      </c>
      <c r="T186" s="212">
        <v>5</v>
      </c>
      <c r="U186" s="212">
        <v>8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213" t="s">
        <v>35</v>
      </c>
      <c r="L187" s="213" t="s">
        <v>37</v>
      </c>
      <c r="M187" s="213" t="s">
        <v>89</v>
      </c>
      <c r="N187" s="213" t="s">
        <v>36</v>
      </c>
      <c r="O187" s="213" t="s">
        <v>37</v>
      </c>
      <c r="Q187" s="212">
        <v>8</v>
      </c>
      <c r="R187" s="212">
        <v>7</v>
      </c>
      <c r="S187" s="212">
        <v>14</v>
      </c>
      <c r="T187" s="212">
        <v>10</v>
      </c>
      <c r="U187" s="212">
        <v>7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213" t="s">
        <v>19</v>
      </c>
      <c r="L188" s="213" t="s">
        <v>89</v>
      </c>
      <c r="M188" s="213" t="s">
        <v>105</v>
      </c>
      <c r="N188" s="213" t="s">
        <v>104</v>
      </c>
      <c r="O188" s="213" t="s">
        <v>35</v>
      </c>
      <c r="Q188" s="212">
        <v>5</v>
      </c>
      <c r="R188" s="212">
        <v>14</v>
      </c>
      <c r="S188" s="212">
        <v>15</v>
      </c>
      <c r="T188" s="212">
        <v>6</v>
      </c>
      <c r="U188" s="212">
        <v>8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213" t="s">
        <v>18</v>
      </c>
      <c r="L189" s="213" t="s">
        <v>90</v>
      </c>
      <c r="M189" s="213" t="s">
        <v>102</v>
      </c>
      <c r="N189" s="213" t="s">
        <v>19</v>
      </c>
      <c r="O189" s="213" t="s">
        <v>104</v>
      </c>
      <c r="Q189" s="212">
        <v>4</v>
      </c>
      <c r="R189" s="212">
        <v>16</v>
      </c>
      <c r="S189" s="212">
        <v>17</v>
      </c>
      <c r="T189" s="212">
        <v>5</v>
      </c>
      <c r="U189" s="212">
        <v>6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213" t="s">
        <v>19</v>
      </c>
      <c r="L190" s="213" t="s">
        <v>105</v>
      </c>
      <c r="M190" s="213" t="s">
        <v>105</v>
      </c>
      <c r="N190" s="213" t="s">
        <v>37</v>
      </c>
      <c r="O190" s="213" t="s">
        <v>19</v>
      </c>
      <c r="Q190" s="212">
        <v>5</v>
      </c>
      <c r="R190" s="212">
        <v>15</v>
      </c>
      <c r="S190" s="212">
        <v>15</v>
      </c>
      <c r="T190" s="212">
        <v>7</v>
      </c>
      <c r="U190" s="212">
        <v>5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213" t="s">
        <v>104</v>
      </c>
      <c r="L191" s="213" t="s">
        <v>19</v>
      </c>
      <c r="M191" s="213" t="s">
        <v>89</v>
      </c>
      <c r="N191" s="213" t="s">
        <v>89</v>
      </c>
      <c r="O191" s="213" t="s">
        <v>34</v>
      </c>
      <c r="Q191" s="212">
        <v>6</v>
      </c>
      <c r="R191" s="212">
        <v>5</v>
      </c>
      <c r="S191" s="212">
        <v>14</v>
      </c>
      <c r="T191" s="212">
        <v>14</v>
      </c>
      <c r="U191" s="212">
        <v>9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213" t="s">
        <v>19</v>
      </c>
      <c r="L192" s="213" t="s">
        <v>18</v>
      </c>
      <c r="M192" s="213" t="s">
        <v>102</v>
      </c>
      <c r="N192" s="213" t="s">
        <v>104</v>
      </c>
      <c r="O192" s="213" t="s">
        <v>19</v>
      </c>
      <c r="Q192" s="212">
        <v>5</v>
      </c>
      <c r="R192" s="212">
        <v>4</v>
      </c>
      <c r="S192" s="212">
        <v>17</v>
      </c>
      <c r="T192" s="212">
        <v>6</v>
      </c>
      <c r="U192" s="212">
        <v>5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213" t="s">
        <v>104</v>
      </c>
      <c r="L193" s="213" t="s">
        <v>35</v>
      </c>
      <c r="M193" s="213" t="s">
        <v>90</v>
      </c>
      <c r="N193" s="213" t="s">
        <v>18</v>
      </c>
      <c r="O193" s="213" t="s">
        <v>104</v>
      </c>
      <c r="Q193" s="212">
        <v>6</v>
      </c>
      <c r="R193" s="212">
        <v>8</v>
      </c>
      <c r="S193" s="212">
        <v>16</v>
      </c>
      <c r="T193" s="212">
        <v>4</v>
      </c>
      <c r="U193" s="212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213" t="s">
        <v>35</v>
      </c>
      <c r="L194" s="213" t="s">
        <v>90</v>
      </c>
      <c r="M194" s="213" t="s">
        <v>105</v>
      </c>
      <c r="N194" s="213" t="s">
        <v>90</v>
      </c>
      <c r="O194" s="213" t="s">
        <v>36</v>
      </c>
      <c r="Q194" s="212">
        <v>8</v>
      </c>
      <c r="R194" s="212">
        <v>16</v>
      </c>
      <c r="S194" s="212">
        <v>15</v>
      </c>
      <c r="T194" s="212">
        <v>16</v>
      </c>
      <c r="U194" s="212">
        <v>10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213" t="s">
        <v>37</v>
      </c>
      <c r="L195" s="213" t="s">
        <v>19</v>
      </c>
      <c r="M195" s="213" t="s">
        <v>90</v>
      </c>
      <c r="N195" s="213" t="s">
        <v>104</v>
      </c>
      <c r="O195" s="213" t="s">
        <v>35</v>
      </c>
      <c r="Q195" s="212">
        <v>7</v>
      </c>
      <c r="R195" s="212">
        <v>5</v>
      </c>
      <c r="S195" s="212">
        <v>16</v>
      </c>
      <c r="T195" s="212">
        <v>6</v>
      </c>
      <c r="U195" s="212">
        <v>8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213" t="s">
        <v>35</v>
      </c>
      <c r="L196" s="213" t="s">
        <v>102</v>
      </c>
      <c r="M196" s="213" t="s">
        <v>102</v>
      </c>
      <c r="N196" s="213" t="s">
        <v>89</v>
      </c>
      <c r="O196" s="213" t="s">
        <v>19</v>
      </c>
      <c r="Q196" s="212">
        <v>8</v>
      </c>
      <c r="R196" s="212">
        <v>17</v>
      </c>
      <c r="S196" s="212">
        <v>17</v>
      </c>
      <c r="T196" s="212">
        <v>14</v>
      </c>
      <c r="U196" s="212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213" t="s">
        <v>19</v>
      </c>
      <c r="L197" s="213" t="s">
        <v>34</v>
      </c>
      <c r="M197" s="213" t="s">
        <v>89</v>
      </c>
      <c r="N197" s="213" t="s">
        <v>18</v>
      </c>
      <c r="O197" s="213" t="s">
        <v>104</v>
      </c>
      <c r="Q197" s="212">
        <v>5</v>
      </c>
      <c r="R197" s="212">
        <v>9</v>
      </c>
      <c r="S197" s="212">
        <v>14</v>
      </c>
      <c r="T197" s="212">
        <v>4</v>
      </c>
      <c r="U197" s="212">
        <v>6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213" t="s">
        <v>35</v>
      </c>
      <c r="L198" s="213" t="s">
        <v>36</v>
      </c>
      <c r="M198" s="213" t="s">
        <v>102</v>
      </c>
      <c r="N198" s="213" t="s">
        <v>19</v>
      </c>
      <c r="O198" s="213" t="s">
        <v>35</v>
      </c>
      <c r="Q198" s="212">
        <v>8</v>
      </c>
      <c r="R198" s="212">
        <v>10</v>
      </c>
      <c r="S198" s="212">
        <v>17</v>
      </c>
      <c r="T198" s="212">
        <v>5</v>
      </c>
      <c r="U198" s="212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213" t="s">
        <v>104</v>
      </c>
      <c r="L199" s="213" t="s">
        <v>90</v>
      </c>
      <c r="M199" s="213" t="s">
        <v>88</v>
      </c>
      <c r="N199" s="213" t="s">
        <v>104</v>
      </c>
      <c r="O199" s="213" t="s">
        <v>18</v>
      </c>
      <c r="Q199" s="212">
        <v>6</v>
      </c>
      <c r="R199" s="212">
        <v>16</v>
      </c>
      <c r="S199" s="212">
        <v>13</v>
      </c>
      <c r="T199" s="212">
        <v>6</v>
      </c>
      <c r="U199" s="212">
        <v>4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213" t="s">
        <v>19</v>
      </c>
      <c r="L200" s="213" t="s">
        <v>34</v>
      </c>
      <c r="M200" s="213" t="s">
        <v>102</v>
      </c>
      <c r="N200" s="213" t="s">
        <v>36</v>
      </c>
      <c r="O200" s="213" t="s">
        <v>104</v>
      </c>
      <c r="Q200" s="212">
        <v>5</v>
      </c>
      <c r="R200" s="212">
        <v>9</v>
      </c>
      <c r="S200" s="212">
        <v>17</v>
      </c>
      <c r="T200" s="212">
        <v>10</v>
      </c>
      <c r="U200" s="212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213" t="s">
        <v>37</v>
      </c>
      <c r="L201" s="213" t="s">
        <v>87</v>
      </c>
      <c r="M201" s="213" t="s">
        <v>89</v>
      </c>
      <c r="N201" s="213" t="s">
        <v>35</v>
      </c>
      <c r="O201" s="213" t="s">
        <v>36</v>
      </c>
      <c r="Q201" s="212">
        <v>7</v>
      </c>
      <c r="R201" s="212">
        <v>12</v>
      </c>
      <c r="S201" s="212">
        <v>14</v>
      </c>
      <c r="T201" s="212">
        <v>8</v>
      </c>
      <c r="U201" s="212">
        <v>10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213" t="s">
        <v>35</v>
      </c>
      <c r="L202" s="213" t="s">
        <v>18</v>
      </c>
      <c r="M202" s="213" t="s">
        <v>105</v>
      </c>
      <c r="N202" s="213" t="s">
        <v>89</v>
      </c>
      <c r="O202" s="213" t="s">
        <v>104</v>
      </c>
      <c r="Q202" s="212">
        <v>8</v>
      </c>
      <c r="R202" s="212">
        <v>4</v>
      </c>
      <c r="S202" s="212">
        <v>15</v>
      </c>
      <c r="T202" s="212">
        <v>14</v>
      </c>
      <c r="U202" s="212">
        <v>6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213" t="s">
        <v>19</v>
      </c>
      <c r="L203" s="213" t="s">
        <v>19</v>
      </c>
      <c r="M203" s="213" t="s">
        <v>89</v>
      </c>
      <c r="N203" s="213" t="s">
        <v>19</v>
      </c>
      <c r="O203" s="213" t="s">
        <v>19</v>
      </c>
      <c r="Q203" s="212">
        <v>5</v>
      </c>
      <c r="R203" s="212">
        <v>5</v>
      </c>
      <c r="S203" s="212">
        <v>14</v>
      </c>
      <c r="T203" s="212">
        <v>5</v>
      </c>
      <c r="U203" s="212">
        <v>5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213"/>
      <c r="L204" s="213"/>
      <c r="M204" s="213"/>
      <c r="N204" s="213"/>
      <c r="O204" s="213"/>
      <c r="Q204" s="212" t="str">
        <v/>
      </c>
      <c r="R204" s="212" t="str">
        <v/>
      </c>
      <c r="S204" s="212" t="str">
        <v/>
      </c>
      <c r="T204" s="212" t="str">
        <v/>
      </c>
      <c r="U204" s="212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213"/>
      <c r="L205" s="213"/>
      <c r="M205" s="213"/>
      <c r="N205" s="213"/>
      <c r="O205" s="213"/>
      <c r="Q205" s="212" t="str">
        <v/>
      </c>
      <c r="R205" s="212" t="str">
        <v/>
      </c>
      <c r="S205" s="212" t="str">
        <v/>
      </c>
      <c r="T205" s="212" t="str">
        <v/>
      </c>
      <c r="U205" s="212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213"/>
      <c r="L206" s="213"/>
      <c r="M206" s="213"/>
      <c r="N206" s="213"/>
      <c r="O206" s="213"/>
      <c r="Q206" s="212" t="str">
        <v/>
      </c>
      <c r="R206" s="212" t="str">
        <v/>
      </c>
      <c r="S206" s="212" t="str">
        <v/>
      </c>
      <c r="T206" s="212" t="str">
        <v/>
      </c>
      <c r="U206" s="212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213"/>
      <c r="L207" s="213"/>
      <c r="M207" s="213"/>
      <c r="N207" s="213"/>
      <c r="O207" s="213"/>
      <c r="Q207" s="212" t="str">
        <v/>
      </c>
      <c r="R207" s="212" t="str">
        <v/>
      </c>
      <c r="S207" s="212" t="str">
        <v/>
      </c>
      <c r="T207" s="212" t="str">
        <v/>
      </c>
      <c r="U207" s="212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213"/>
      <c r="L208" s="213"/>
      <c r="M208" s="213"/>
      <c r="N208" s="213"/>
      <c r="O208" s="213"/>
      <c r="Q208" s="212" t="str">
        <v/>
      </c>
      <c r="R208" s="212" t="str">
        <v/>
      </c>
      <c r="S208" s="212" t="str">
        <v/>
      </c>
      <c r="T208" s="212" t="str">
        <v/>
      </c>
      <c r="U208" s="212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213"/>
      <c r="L209" s="213"/>
      <c r="M209" s="213"/>
      <c r="N209" s="213"/>
      <c r="O209" s="213"/>
      <c r="Q209" s="212" t="str">
        <v/>
      </c>
      <c r="R209" s="212" t="str">
        <v/>
      </c>
      <c r="S209" s="212" t="str">
        <v/>
      </c>
      <c r="T209" s="212" t="str">
        <v/>
      </c>
      <c r="U209" s="212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213"/>
      <c r="L210" s="213"/>
      <c r="M210" s="213"/>
      <c r="N210" s="213"/>
      <c r="O210" s="213"/>
      <c r="Q210" s="212" t="str">
        <v/>
      </c>
      <c r="R210" s="212" t="str">
        <v/>
      </c>
      <c r="S210" s="212" t="str">
        <v/>
      </c>
      <c r="T210" s="212" t="str">
        <v/>
      </c>
      <c r="U210" s="212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213"/>
      <c r="L211" s="213"/>
      <c r="M211" s="213"/>
      <c r="N211" s="213"/>
      <c r="O211" s="213"/>
      <c r="Q211" s="212" t="str">
        <v/>
      </c>
      <c r="R211" s="212" t="str">
        <v/>
      </c>
      <c r="S211" s="212" t="str">
        <v/>
      </c>
      <c r="T211" s="212" t="str">
        <v/>
      </c>
      <c r="U211" s="212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211"/>
      <c r="L212" s="211"/>
      <c r="M212" s="211"/>
      <c r="N212" s="211"/>
      <c r="O212" s="211"/>
      <c r="Q212" s="212" t="str">
        <v/>
      </c>
      <c r="R212" s="212" t="str">
        <v/>
      </c>
      <c r="S212" s="212" t="str">
        <v/>
      </c>
      <c r="T212" s="212" t="str">
        <v/>
      </c>
      <c r="U212" s="212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211"/>
      <c r="L213" s="211"/>
      <c r="M213" s="211"/>
      <c r="N213" s="211"/>
      <c r="O213" s="211"/>
      <c r="Q213" s="212" t="str">
        <v/>
      </c>
      <c r="R213" s="212" t="str">
        <v/>
      </c>
      <c r="S213" s="212" t="str">
        <v/>
      </c>
      <c r="T213" s="212" t="str">
        <v/>
      </c>
      <c r="U213" s="212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211"/>
      <c r="L214" s="211"/>
      <c r="M214" s="211"/>
      <c r="N214" s="211"/>
      <c r="O214" s="211"/>
      <c r="Q214" s="212" t="str">
        <v/>
      </c>
      <c r="R214" s="212" t="str">
        <v/>
      </c>
      <c r="S214" s="212" t="str">
        <v/>
      </c>
      <c r="T214" s="212" t="str">
        <v/>
      </c>
      <c r="U214" s="212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211"/>
      <c r="L215" s="211"/>
      <c r="M215" s="211"/>
      <c r="N215" s="211"/>
      <c r="O215" s="211"/>
      <c r="Q215" s="212" t="str">
        <v/>
      </c>
      <c r="R215" s="212" t="str">
        <v/>
      </c>
      <c r="S215" s="212" t="str">
        <v/>
      </c>
      <c r="T215" s="212" t="str">
        <v/>
      </c>
      <c r="U215" s="212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211"/>
      <c r="L216" s="211"/>
      <c r="M216" s="211"/>
      <c r="N216" s="211"/>
      <c r="O216" s="211"/>
      <c r="Q216" s="212" t="str">
        <v/>
      </c>
      <c r="R216" s="212" t="str">
        <v/>
      </c>
      <c r="S216" s="212" t="str">
        <v/>
      </c>
      <c r="T216" s="212" t="str">
        <v/>
      </c>
      <c r="U216" s="212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211"/>
      <c r="L217" s="211"/>
      <c r="M217" s="211"/>
      <c r="N217" s="211"/>
      <c r="O217" s="211"/>
      <c r="Q217" s="212" t="str">
        <v/>
      </c>
      <c r="R217" s="212" t="str">
        <v/>
      </c>
      <c r="S217" s="212" t="str">
        <v/>
      </c>
      <c r="T217" s="212" t="str">
        <v/>
      </c>
      <c r="U217" s="212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211"/>
      <c r="L218" s="211"/>
      <c r="M218" s="211"/>
      <c r="N218" s="211"/>
      <c r="O218" s="211"/>
      <c r="Q218" s="212" t="str">
        <v/>
      </c>
      <c r="R218" s="212" t="str">
        <v/>
      </c>
      <c r="S218" s="212" t="str">
        <v/>
      </c>
      <c r="T218" s="212" t="str">
        <v/>
      </c>
      <c r="U218" s="212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211"/>
      <c r="L219" s="211"/>
      <c r="M219" s="211"/>
      <c r="N219" s="211"/>
      <c r="O219" s="211"/>
      <c r="Q219" s="212" t="str">
        <v/>
      </c>
      <c r="R219" s="212" t="str">
        <v/>
      </c>
      <c r="S219" s="212" t="str">
        <v/>
      </c>
      <c r="T219" s="212" t="str">
        <v/>
      </c>
      <c r="U219" s="212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211"/>
      <c r="L220" s="211"/>
      <c r="M220" s="211"/>
      <c r="N220" s="211"/>
      <c r="O220" s="211"/>
      <c r="Q220" s="212" t="str">
        <v/>
      </c>
      <c r="R220" s="212" t="str">
        <v/>
      </c>
      <c r="S220" s="212" t="str">
        <v/>
      </c>
      <c r="T220" s="212" t="str">
        <v/>
      </c>
      <c r="U220" s="212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211"/>
      <c r="L221" s="211"/>
      <c r="M221" s="211"/>
      <c r="N221" s="211"/>
      <c r="O221" s="211"/>
      <c r="Q221" s="212" t="str">
        <v/>
      </c>
      <c r="R221" s="212" t="str">
        <v/>
      </c>
      <c r="S221" s="212" t="str">
        <v/>
      </c>
      <c r="T221" s="212" t="str">
        <v/>
      </c>
      <c r="U221" s="212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211"/>
      <c r="L222" s="211"/>
      <c r="M222" s="211"/>
      <c r="N222" s="211"/>
      <c r="O222" s="211"/>
      <c r="Q222" s="212" t="str">
        <v/>
      </c>
      <c r="R222" s="212" t="str">
        <v/>
      </c>
      <c r="S222" s="212" t="str">
        <v/>
      </c>
      <c r="T222" s="212" t="str">
        <v/>
      </c>
      <c r="U222" s="212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211"/>
      <c r="L223" s="211"/>
      <c r="M223" s="211"/>
      <c r="N223" s="211"/>
      <c r="O223" s="211"/>
      <c r="Q223" s="212" t="str">
        <v/>
      </c>
      <c r="R223" s="212" t="str">
        <v/>
      </c>
      <c r="S223" s="212" t="str">
        <v/>
      </c>
      <c r="T223" s="212" t="str">
        <v/>
      </c>
      <c r="U223" s="212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211"/>
      <c r="L224" s="211"/>
      <c r="M224" s="211"/>
      <c r="N224" s="211"/>
      <c r="O224" s="211"/>
      <c r="Q224" s="212" t="str">
        <v/>
      </c>
      <c r="R224" s="212" t="str">
        <v/>
      </c>
      <c r="S224" s="212" t="str">
        <v/>
      </c>
      <c r="T224" s="212" t="str">
        <v/>
      </c>
      <c r="U224" s="212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211"/>
      <c r="L225" s="211"/>
      <c r="M225" s="211"/>
      <c r="N225" s="211"/>
      <c r="O225" s="211"/>
      <c r="Q225" s="212" t="str">
        <v/>
      </c>
      <c r="R225" s="212" t="str">
        <v/>
      </c>
      <c r="S225" s="212" t="str">
        <v/>
      </c>
      <c r="T225" s="212" t="str">
        <v/>
      </c>
      <c r="U225" s="212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211"/>
      <c r="L226" s="211"/>
      <c r="M226" s="211"/>
      <c r="N226" s="211"/>
      <c r="O226" s="211"/>
      <c r="Q226" s="212" t="str">
        <v/>
      </c>
      <c r="R226" s="212" t="str">
        <v/>
      </c>
      <c r="S226" s="212" t="str">
        <v/>
      </c>
      <c r="T226" s="212" t="str">
        <v/>
      </c>
      <c r="U226" s="212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211"/>
      <c r="L227" s="211"/>
      <c r="M227" s="211"/>
      <c r="N227" s="211"/>
      <c r="O227" s="211"/>
      <c r="Q227" s="212" t="str">
        <v/>
      </c>
      <c r="R227" s="212" t="str">
        <v/>
      </c>
      <c r="S227" s="212" t="str">
        <v/>
      </c>
      <c r="T227" s="212" t="str">
        <v/>
      </c>
      <c r="U227" s="212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211"/>
      <c r="L228" s="211"/>
      <c r="M228" s="211"/>
      <c r="N228" s="211"/>
      <c r="O228" s="211"/>
      <c r="Q228" s="212" t="str">
        <v/>
      </c>
      <c r="R228" s="212" t="str">
        <v/>
      </c>
      <c r="S228" s="212" t="str">
        <v/>
      </c>
      <c r="T228" s="212" t="str">
        <v/>
      </c>
      <c r="U228" s="212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211"/>
      <c r="L229" s="211"/>
      <c r="M229" s="211"/>
      <c r="N229" s="211"/>
      <c r="O229" s="211"/>
      <c r="Q229" s="212" t="str">
        <v/>
      </c>
      <c r="R229" s="212" t="str">
        <v/>
      </c>
      <c r="S229" s="212" t="str">
        <v/>
      </c>
      <c r="T229" s="212" t="str">
        <v/>
      </c>
      <c r="U229" s="212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211"/>
      <c r="L230" s="211"/>
      <c r="M230" s="211"/>
      <c r="N230" s="211"/>
      <c r="O230" s="211"/>
      <c r="Q230" s="212" t="str">
        <v/>
      </c>
      <c r="R230" s="212" t="str">
        <v/>
      </c>
      <c r="S230" s="212" t="str">
        <v/>
      </c>
      <c r="T230" s="212" t="str">
        <v/>
      </c>
      <c r="U230" s="212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211"/>
      <c r="L231" s="211"/>
      <c r="M231" s="211"/>
      <c r="N231" s="211"/>
      <c r="O231" s="211"/>
      <c r="Q231" s="212" t="str">
        <v/>
      </c>
      <c r="R231" s="212" t="str">
        <v/>
      </c>
      <c r="S231" s="212" t="str">
        <v/>
      </c>
      <c r="T231" s="212" t="str">
        <v/>
      </c>
      <c r="U231" s="212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211"/>
      <c r="L232" s="211"/>
      <c r="M232" s="211"/>
      <c r="N232" s="211"/>
      <c r="O232" s="211"/>
      <c r="Q232" s="212" t="str">
        <v/>
      </c>
      <c r="R232" s="212" t="str">
        <v/>
      </c>
      <c r="S232" s="212" t="str">
        <v/>
      </c>
      <c r="T232" s="212" t="str">
        <v/>
      </c>
      <c r="U232" s="212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211"/>
      <c r="L233" s="211"/>
      <c r="M233" s="211"/>
      <c r="N233" s="211"/>
      <c r="O233" s="211"/>
      <c r="Q233" s="212" t="str">
        <v/>
      </c>
      <c r="R233" s="212" t="str">
        <v/>
      </c>
      <c r="S233" s="212" t="str">
        <v/>
      </c>
      <c r="T233" s="212" t="str">
        <v/>
      </c>
      <c r="U233" s="212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211"/>
      <c r="L234" s="211"/>
      <c r="M234" s="211"/>
      <c r="N234" s="211"/>
      <c r="O234" s="211"/>
      <c r="Q234" s="212" t="str">
        <v/>
      </c>
      <c r="R234" s="212" t="str">
        <v/>
      </c>
      <c r="S234" s="212" t="str">
        <v/>
      </c>
      <c r="T234" s="212" t="str">
        <v/>
      </c>
      <c r="U234" s="212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211"/>
      <c r="L235" s="211"/>
      <c r="M235" s="211"/>
      <c r="N235" s="211"/>
      <c r="O235" s="211"/>
      <c r="Q235" s="212" t="str">
        <v/>
      </c>
      <c r="R235" s="212" t="str">
        <v/>
      </c>
      <c r="S235" s="212" t="str">
        <v/>
      </c>
      <c r="T235" s="212" t="str">
        <v/>
      </c>
      <c r="U235" s="212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211"/>
      <c r="L236" s="211"/>
      <c r="M236" s="211"/>
      <c r="N236" s="211"/>
      <c r="O236" s="211"/>
      <c r="Q236" s="212" t="str">
        <v/>
      </c>
      <c r="R236" s="212" t="str">
        <v/>
      </c>
      <c r="S236" s="212" t="str">
        <v/>
      </c>
      <c r="T236" s="212" t="str">
        <v/>
      </c>
      <c r="U236" s="212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211"/>
      <c r="L237" s="211"/>
      <c r="M237" s="211"/>
      <c r="N237" s="211"/>
      <c r="O237" s="211"/>
      <c r="Q237" s="212" t="str">
        <v/>
      </c>
      <c r="R237" s="212" t="str">
        <v/>
      </c>
      <c r="S237" s="212" t="str">
        <v/>
      </c>
      <c r="T237" s="212" t="str">
        <v/>
      </c>
      <c r="U237" s="212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211"/>
      <c r="L238" s="211"/>
      <c r="M238" s="211"/>
      <c r="N238" s="211"/>
      <c r="O238" s="211"/>
      <c r="Q238" s="212" t="str">
        <v/>
      </c>
      <c r="R238" s="212" t="str">
        <v/>
      </c>
      <c r="S238" s="212" t="str">
        <v/>
      </c>
      <c r="T238" s="212" t="str">
        <v/>
      </c>
      <c r="U238" s="212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211"/>
      <c r="L239" s="211"/>
      <c r="M239" s="211"/>
      <c r="N239" s="211"/>
      <c r="O239" s="211"/>
      <c r="Q239" s="212" t="str">
        <v/>
      </c>
      <c r="R239" s="212" t="str">
        <v/>
      </c>
      <c r="S239" s="212" t="str">
        <v/>
      </c>
      <c r="T239" s="212" t="str">
        <v/>
      </c>
      <c r="U239" s="212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211"/>
      <c r="L240" s="211"/>
      <c r="M240" s="211"/>
      <c r="N240" s="211"/>
      <c r="O240" s="211"/>
      <c r="Q240" s="212" t="str">
        <v/>
      </c>
      <c r="R240" s="212" t="str">
        <v/>
      </c>
      <c r="S240" s="212" t="str">
        <v/>
      </c>
      <c r="T240" s="212" t="str">
        <v/>
      </c>
      <c r="U240" s="212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211"/>
      <c r="L241" s="211"/>
      <c r="M241" s="211"/>
      <c r="N241" s="211"/>
      <c r="O241" s="211"/>
      <c r="Q241" s="212" t="str">
        <v/>
      </c>
      <c r="R241" s="212" t="str">
        <v/>
      </c>
      <c r="S241" s="212" t="str">
        <v/>
      </c>
      <c r="T241" s="212" t="str">
        <v/>
      </c>
      <c r="U241" s="212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211"/>
      <c r="L242" s="211"/>
      <c r="M242" s="211"/>
      <c r="N242" s="211"/>
      <c r="O242" s="211"/>
      <c r="Q242" s="212" t="str">
        <v/>
      </c>
      <c r="R242" s="212" t="str">
        <v/>
      </c>
      <c r="S242" s="212" t="str">
        <v/>
      </c>
      <c r="T242" s="212" t="str">
        <v/>
      </c>
      <c r="U242" s="212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211"/>
      <c r="L243" s="211"/>
      <c r="M243" s="211"/>
      <c r="N243" s="211"/>
      <c r="O243" s="211"/>
      <c r="Q243" s="212" t="str">
        <v/>
      </c>
      <c r="R243" s="212" t="str">
        <v/>
      </c>
      <c r="S243" s="212" t="str">
        <v/>
      </c>
      <c r="T243" s="212" t="str">
        <v/>
      </c>
      <c r="U243" s="212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211"/>
      <c r="L244" s="211"/>
      <c r="M244" s="211"/>
      <c r="N244" s="211"/>
      <c r="O244" s="211"/>
      <c r="Q244" s="212" t="str">
        <v/>
      </c>
      <c r="R244" s="212" t="str">
        <v/>
      </c>
      <c r="S244" s="212" t="str">
        <v/>
      </c>
      <c r="T244" s="212" t="str">
        <v/>
      </c>
      <c r="U244" s="212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211"/>
      <c r="L245" s="211"/>
      <c r="M245" s="211"/>
      <c r="N245" s="211"/>
      <c r="O245" s="211"/>
      <c r="Q245" s="212" t="str">
        <v/>
      </c>
      <c r="R245" s="212" t="str">
        <v/>
      </c>
      <c r="S245" s="212" t="str">
        <v/>
      </c>
      <c r="T245" s="212" t="str">
        <v/>
      </c>
      <c r="U245" s="212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211"/>
      <c r="L246" s="211"/>
      <c r="M246" s="211"/>
      <c r="N246" s="211"/>
      <c r="O246" s="211"/>
      <c r="Q246" s="212" t="str">
        <v/>
      </c>
      <c r="R246" s="212" t="str">
        <v/>
      </c>
      <c r="S246" s="212" t="str">
        <v/>
      </c>
      <c r="T246" s="212" t="str">
        <v/>
      </c>
      <c r="U246" s="212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211"/>
      <c r="L247" s="211"/>
      <c r="M247" s="211"/>
      <c r="N247" s="211"/>
      <c r="O247" s="211"/>
      <c r="Q247" s="212" t="str">
        <v/>
      </c>
      <c r="R247" s="212" t="str">
        <v/>
      </c>
      <c r="S247" s="212" t="str">
        <v/>
      </c>
      <c r="T247" s="212" t="str">
        <v/>
      </c>
      <c r="U247" s="212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211"/>
      <c r="L248" s="211"/>
      <c r="M248" s="211"/>
      <c r="N248" s="211"/>
      <c r="O248" s="211"/>
      <c r="Q248" s="212" t="str">
        <v/>
      </c>
      <c r="R248" s="212" t="str">
        <v/>
      </c>
      <c r="S248" s="212" t="str">
        <v/>
      </c>
      <c r="T248" s="212" t="str">
        <v/>
      </c>
      <c r="U248" s="212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211"/>
      <c r="L249" s="211"/>
      <c r="M249" s="211"/>
      <c r="N249" s="211"/>
      <c r="O249" s="211"/>
      <c r="Q249" s="212" t="str">
        <v/>
      </c>
      <c r="R249" s="212" t="str">
        <v/>
      </c>
      <c r="S249" s="212" t="str">
        <v/>
      </c>
      <c r="T249" s="212" t="str">
        <v/>
      </c>
      <c r="U249" s="212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211"/>
      <c r="L250" s="211"/>
      <c r="M250" s="211"/>
      <c r="N250" s="211"/>
      <c r="O250" s="211"/>
      <c r="Q250" s="212" t="str">
        <v/>
      </c>
      <c r="R250" s="212" t="str">
        <v/>
      </c>
      <c r="S250" s="212" t="str">
        <v/>
      </c>
      <c r="T250" s="212" t="str">
        <v/>
      </c>
      <c r="U250" s="212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211"/>
      <c r="L251" s="211"/>
      <c r="M251" s="211"/>
      <c r="N251" s="211"/>
      <c r="O251" s="211"/>
      <c r="Q251" s="212" t="str">
        <v/>
      </c>
      <c r="R251" s="212" t="str">
        <v/>
      </c>
      <c r="S251" s="212" t="str">
        <v/>
      </c>
      <c r="T251" s="212" t="str">
        <v/>
      </c>
      <c r="U251" s="212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211"/>
      <c r="L252" s="211"/>
      <c r="M252" s="211"/>
      <c r="N252" s="211"/>
      <c r="O252" s="211"/>
      <c r="Q252" s="212" t="str">
        <v/>
      </c>
      <c r="R252" s="212" t="str">
        <v/>
      </c>
      <c r="S252" s="212" t="str">
        <v/>
      </c>
      <c r="T252" s="212" t="str">
        <v/>
      </c>
      <c r="U252" s="212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211"/>
      <c r="L253" s="211"/>
      <c r="M253" s="211"/>
      <c r="N253" s="211"/>
      <c r="O253" s="211"/>
      <c r="Q253" s="212" t="str">
        <v/>
      </c>
      <c r="R253" s="212" t="str">
        <v/>
      </c>
      <c r="S253" s="212" t="str">
        <v/>
      </c>
      <c r="T253" s="212" t="str">
        <v/>
      </c>
      <c r="U253" s="212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211"/>
      <c r="L254" s="211"/>
      <c r="M254" s="211"/>
      <c r="N254" s="211"/>
      <c r="O254" s="211"/>
      <c r="Q254" s="212" t="str">
        <v/>
      </c>
      <c r="R254" s="212" t="str">
        <v/>
      </c>
      <c r="S254" s="212" t="str">
        <v/>
      </c>
      <c r="T254" s="212" t="str">
        <v/>
      </c>
      <c r="U254" s="212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211"/>
      <c r="L255" s="211"/>
      <c r="M255" s="211"/>
      <c r="N255" s="211"/>
      <c r="O255" s="211"/>
      <c r="Q255" s="212" t="str">
        <v/>
      </c>
      <c r="R255" s="212" t="str">
        <v/>
      </c>
      <c r="S255" s="212" t="str">
        <v/>
      </c>
      <c r="T255" s="212" t="str">
        <v/>
      </c>
      <c r="U255" s="212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211"/>
      <c r="L256" s="211"/>
      <c r="M256" s="211"/>
      <c r="N256" s="211"/>
      <c r="O256" s="211"/>
      <c r="Q256" s="212" t="str">
        <v/>
      </c>
      <c r="R256" s="212" t="str">
        <v/>
      </c>
      <c r="S256" s="212" t="str">
        <v/>
      </c>
      <c r="T256" s="212" t="str">
        <v/>
      </c>
      <c r="U256" s="212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211"/>
      <c r="L257" s="211"/>
      <c r="M257" s="211"/>
      <c r="N257" s="211"/>
      <c r="O257" s="211"/>
      <c r="Q257" s="212" t="str">
        <v/>
      </c>
      <c r="R257" s="212" t="str">
        <v/>
      </c>
      <c r="S257" s="212" t="str">
        <v/>
      </c>
      <c r="T257" s="212" t="str">
        <v/>
      </c>
      <c r="U257" s="212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211"/>
      <c r="L258" s="211"/>
      <c r="M258" s="211"/>
      <c r="N258" s="211"/>
      <c r="O258" s="211"/>
      <c r="Q258" s="212" t="str">
        <v/>
      </c>
      <c r="R258" s="212" t="str">
        <v/>
      </c>
      <c r="S258" s="212" t="str">
        <v/>
      </c>
      <c r="T258" s="212" t="str">
        <v/>
      </c>
      <c r="U258" s="212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211"/>
      <c r="L259" s="211"/>
      <c r="M259" s="211"/>
      <c r="N259" s="211"/>
      <c r="O259" s="211"/>
      <c r="Q259" s="212" t="str">
        <v/>
      </c>
      <c r="R259" s="212" t="str">
        <v/>
      </c>
      <c r="S259" s="212" t="str">
        <v/>
      </c>
      <c r="T259" s="212" t="str">
        <v/>
      </c>
      <c r="U259" s="212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211"/>
      <c r="L260" s="211"/>
      <c r="M260" s="211"/>
      <c r="N260" s="211"/>
      <c r="O260" s="211"/>
      <c r="Q260" s="212" t="str">
        <v/>
      </c>
      <c r="R260" s="212" t="str">
        <v/>
      </c>
      <c r="S260" s="212" t="str">
        <v/>
      </c>
      <c r="T260" s="212" t="str">
        <v/>
      </c>
      <c r="U260" s="212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211"/>
      <c r="L261" s="211"/>
      <c r="M261" s="211"/>
      <c r="N261" s="211"/>
      <c r="O261" s="211"/>
      <c r="Q261" s="212" t="str">
        <v/>
      </c>
      <c r="R261" s="212" t="str">
        <v/>
      </c>
      <c r="S261" s="212" t="str">
        <v/>
      </c>
      <c r="T261" s="212" t="str">
        <v/>
      </c>
      <c r="U261" s="212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211"/>
      <c r="L262" s="211"/>
      <c r="M262" s="211"/>
      <c r="N262" s="211"/>
      <c r="O262" s="211"/>
      <c r="Q262" s="212" t="str">
        <v/>
      </c>
      <c r="R262" s="212" t="str">
        <v/>
      </c>
      <c r="S262" s="212" t="str">
        <v/>
      </c>
      <c r="T262" s="212" t="str">
        <v/>
      </c>
      <c r="U262" s="212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211"/>
      <c r="L263" s="211"/>
      <c r="M263" s="211"/>
      <c r="N263" s="211"/>
      <c r="O263" s="211"/>
      <c r="Q263" s="212" t="str">
        <v/>
      </c>
      <c r="R263" s="212" t="str">
        <v/>
      </c>
      <c r="S263" s="212" t="str">
        <v/>
      </c>
      <c r="T263" s="212" t="str">
        <v/>
      </c>
      <c r="U263" s="212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211"/>
      <c r="L264" s="211"/>
      <c r="M264" s="211"/>
      <c r="N264" s="211"/>
      <c r="O264" s="211"/>
      <c r="Q264" s="212" t="str">
        <v/>
      </c>
      <c r="R264" s="212" t="str">
        <v/>
      </c>
      <c r="S264" s="212" t="str">
        <v/>
      </c>
      <c r="T264" s="212" t="str">
        <v/>
      </c>
      <c r="U264" s="212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211"/>
      <c r="L265" s="211"/>
      <c r="M265" s="211"/>
      <c r="N265" s="211"/>
      <c r="O265" s="211"/>
      <c r="Q265" s="212" t="str">
        <v/>
      </c>
      <c r="R265" s="212" t="str">
        <v/>
      </c>
      <c r="S265" s="212" t="str">
        <v/>
      </c>
      <c r="T265" s="212" t="str">
        <v/>
      </c>
      <c r="U265" s="212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211"/>
      <c r="L266" s="211"/>
      <c r="M266" s="211"/>
      <c r="N266" s="211"/>
      <c r="O266" s="211"/>
      <c r="Q266" s="212" t="str">
        <v/>
      </c>
      <c r="R266" s="212" t="str">
        <v/>
      </c>
      <c r="S266" s="212" t="str">
        <v/>
      </c>
      <c r="T266" s="212" t="str">
        <v/>
      </c>
      <c r="U266" s="212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211"/>
      <c r="L267" s="211"/>
      <c r="M267" s="211"/>
      <c r="N267" s="211"/>
      <c r="O267" s="211"/>
      <c r="Q267" s="212" t="str">
        <v/>
      </c>
      <c r="R267" s="212" t="str">
        <v/>
      </c>
      <c r="S267" s="212" t="str">
        <v/>
      </c>
      <c r="T267" s="212" t="str">
        <v/>
      </c>
      <c r="U267" s="212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211"/>
      <c r="L268" s="211"/>
      <c r="M268" s="211"/>
      <c r="N268" s="211"/>
      <c r="O268" s="211"/>
      <c r="Q268" s="212" t="str">
        <v/>
      </c>
      <c r="R268" s="212" t="str">
        <v/>
      </c>
      <c r="S268" s="212" t="str">
        <v/>
      </c>
      <c r="T268" s="212" t="str">
        <v/>
      </c>
      <c r="U268" s="212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211"/>
      <c r="L269" s="211"/>
      <c r="M269" s="211"/>
      <c r="N269" s="211"/>
      <c r="O269" s="211"/>
      <c r="Q269" s="212" t="str">
        <v/>
      </c>
      <c r="R269" s="212" t="str">
        <v/>
      </c>
      <c r="S269" s="212" t="str">
        <v/>
      </c>
      <c r="T269" s="212" t="str">
        <v/>
      </c>
      <c r="U269" s="212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211"/>
      <c r="L270" s="211"/>
      <c r="M270" s="211"/>
      <c r="N270" s="211"/>
      <c r="O270" s="211"/>
      <c r="Q270" s="212" t="str">
        <v/>
      </c>
      <c r="R270" s="212" t="str">
        <v/>
      </c>
      <c r="S270" s="212" t="str">
        <v/>
      </c>
      <c r="T270" s="212" t="str">
        <v/>
      </c>
      <c r="U270" s="212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211"/>
      <c r="L271" s="211"/>
      <c r="M271" s="211"/>
      <c r="N271" s="211"/>
      <c r="O271" s="211"/>
      <c r="Q271" s="212" t="str">
        <v/>
      </c>
      <c r="R271" s="212" t="str">
        <v/>
      </c>
      <c r="S271" s="212" t="str">
        <v/>
      </c>
      <c r="T271" s="212" t="str">
        <v/>
      </c>
      <c r="U271" s="212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211"/>
      <c r="L272" s="211"/>
      <c r="M272" s="211"/>
      <c r="N272" s="211"/>
      <c r="O272" s="211"/>
      <c r="Q272" s="212" t="str">
        <v/>
      </c>
      <c r="R272" s="212" t="str">
        <v/>
      </c>
      <c r="S272" s="212" t="str">
        <v/>
      </c>
      <c r="T272" s="212" t="str">
        <v/>
      </c>
      <c r="U272" s="212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211"/>
      <c r="L273" s="211"/>
      <c r="M273" s="211"/>
      <c r="N273" s="211"/>
      <c r="O273" s="211"/>
      <c r="Q273" s="212" t="str">
        <v/>
      </c>
      <c r="R273" s="212" t="str">
        <v/>
      </c>
      <c r="S273" s="212" t="str">
        <v/>
      </c>
      <c r="T273" s="212" t="str">
        <v/>
      </c>
      <c r="U273" s="212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211"/>
      <c r="L274" s="211"/>
      <c r="M274" s="211"/>
      <c r="N274" s="211"/>
      <c r="O274" s="211"/>
      <c r="Q274" s="212" t="str">
        <v/>
      </c>
      <c r="R274" s="212" t="str">
        <v/>
      </c>
      <c r="S274" s="212" t="str">
        <v/>
      </c>
      <c r="T274" s="212" t="str">
        <v/>
      </c>
      <c r="U274" s="212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211"/>
      <c r="L275" s="211"/>
      <c r="M275" s="211"/>
      <c r="N275" s="211"/>
      <c r="O275" s="211"/>
      <c r="Q275" s="212" t="str">
        <v/>
      </c>
      <c r="R275" s="212" t="str">
        <v/>
      </c>
      <c r="S275" s="212" t="str">
        <v/>
      </c>
      <c r="T275" s="212" t="str">
        <v/>
      </c>
      <c r="U275" s="212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211"/>
      <c r="L276" s="211"/>
      <c r="M276" s="211"/>
      <c r="N276" s="211"/>
      <c r="O276" s="211"/>
      <c r="Q276" s="212" t="str">
        <v/>
      </c>
      <c r="R276" s="212" t="str">
        <v/>
      </c>
      <c r="S276" s="212" t="str">
        <v/>
      </c>
      <c r="T276" s="212" t="str">
        <v/>
      </c>
      <c r="U276" s="212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211"/>
      <c r="L277" s="211"/>
      <c r="M277" s="211"/>
      <c r="N277" s="211"/>
      <c r="O277" s="211"/>
      <c r="Q277" s="212" t="str">
        <v/>
      </c>
      <c r="R277" s="212" t="str">
        <v/>
      </c>
      <c r="S277" s="212" t="str">
        <v/>
      </c>
      <c r="T277" s="212" t="str">
        <v/>
      </c>
      <c r="U277" s="212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211"/>
      <c r="L278" s="211"/>
      <c r="M278" s="211"/>
      <c r="N278" s="211"/>
      <c r="O278" s="211"/>
      <c r="Q278" s="212" t="str">
        <v/>
      </c>
      <c r="R278" s="212" t="str">
        <v/>
      </c>
      <c r="S278" s="212" t="str">
        <v/>
      </c>
      <c r="T278" s="212" t="str">
        <v/>
      </c>
      <c r="U278" s="212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211"/>
      <c r="L279" s="211"/>
      <c r="M279" s="211"/>
      <c r="N279" s="211"/>
      <c r="O279" s="211"/>
      <c r="Q279" s="212" t="str">
        <v/>
      </c>
      <c r="R279" s="212" t="str">
        <v/>
      </c>
      <c r="S279" s="212" t="str">
        <v/>
      </c>
      <c r="T279" s="212" t="str">
        <v/>
      </c>
      <c r="U279" s="212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211"/>
      <c r="L280" s="211"/>
      <c r="M280" s="211"/>
      <c r="N280" s="211"/>
      <c r="O280" s="211"/>
      <c r="Q280" s="212" t="str">
        <v/>
      </c>
      <c r="R280" s="212" t="str">
        <v/>
      </c>
      <c r="S280" s="212" t="str">
        <v/>
      </c>
      <c r="T280" s="212" t="str">
        <v/>
      </c>
      <c r="U280" s="212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211"/>
      <c r="L281" s="211"/>
      <c r="M281" s="211"/>
      <c r="N281" s="211"/>
      <c r="O281" s="211"/>
      <c r="Q281" s="212" t="str">
        <v/>
      </c>
      <c r="R281" s="212" t="str">
        <v/>
      </c>
      <c r="S281" s="212" t="str">
        <v/>
      </c>
      <c r="T281" s="212" t="str">
        <v/>
      </c>
      <c r="U281" s="212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211"/>
      <c r="L282" s="211"/>
      <c r="M282" s="211"/>
      <c r="N282" s="211"/>
      <c r="O282" s="211"/>
      <c r="Q282" s="212" t="str">
        <v/>
      </c>
      <c r="R282" s="212" t="str">
        <v/>
      </c>
      <c r="S282" s="212" t="str">
        <v/>
      </c>
      <c r="T282" s="212" t="str">
        <v/>
      </c>
      <c r="U282" s="212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211"/>
      <c r="L283" s="211"/>
      <c r="M283" s="211"/>
      <c r="N283" s="211"/>
      <c r="O283" s="211"/>
      <c r="Q283" s="212" t="str">
        <v/>
      </c>
      <c r="R283" s="212" t="str">
        <v/>
      </c>
      <c r="S283" s="212" t="str">
        <v/>
      </c>
      <c r="T283" s="212" t="str">
        <v/>
      </c>
      <c r="U283" s="212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211"/>
      <c r="L284" s="211"/>
      <c r="M284" s="211"/>
      <c r="N284" s="211"/>
      <c r="O284" s="211"/>
      <c r="Q284" s="212" t="str">
        <v/>
      </c>
      <c r="R284" s="212" t="str">
        <v/>
      </c>
      <c r="S284" s="212" t="str">
        <v/>
      </c>
      <c r="T284" s="212" t="str">
        <v/>
      </c>
      <c r="U284" s="212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211"/>
      <c r="L285" s="211"/>
      <c r="M285" s="211"/>
      <c r="N285" s="211"/>
      <c r="O285" s="211"/>
      <c r="Q285" s="212" t="str">
        <v/>
      </c>
      <c r="R285" s="212" t="str">
        <v/>
      </c>
      <c r="S285" s="212" t="str">
        <v/>
      </c>
      <c r="T285" s="212" t="str">
        <v/>
      </c>
      <c r="U285" s="212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211"/>
      <c r="L286" s="211"/>
      <c r="M286" s="211"/>
      <c r="N286" s="211"/>
      <c r="O286" s="211"/>
      <c r="Q286" s="212" t="str">
        <v/>
      </c>
      <c r="R286" s="212" t="str">
        <v/>
      </c>
      <c r="S286" s="212" t="str">
        <v/>
      </c>
      <c r="T286" s="212" t="str">
        <v/>
      </c>
      <c r="U286" s="212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211"/>
      <c r="L287" s="211"/>
      <c r="M287" s="211"/>
      <c r="N287" s="211"/>
      <c r="O287" s="211"/>
      <c r="Q287" s="212" t="str">
        <v/>
      </c>
      <c r="R287" s="212" t="str">
        <v/>
      </c>
      <c r="S287" s="212" t="str">
        <v/>
      </c>
      <c r="T287" s="212" t="str">
        <v/>
      </c>
      <c r="U287" s="212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211"/>
      <c r="L288" s="211"/>
      <c r="M288" s="211"/>
      <c r="N288" s="211"/>
      <c r="O288" s="211"/>
      <c r="Q288" s="212" t="str">
        <v/>
      </c>
      <c r="R288" s="212" t="str">
        <v/>
      </c>
      <c r="S288" s="212" t="str">
        <v/>
      </c>
      <c r="T288" s="212" t="str">
        <v/>
      </c>
      <c r="U288" s="212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211"/>
      <c r="L289" s="211"/>
      <c r="M289" s="211"/>
      <c r="N289" s="211"/>
      <c r="O289" s="211"/>
      <c r="Q289" s="212" t="str">
        <v/>
      </c>
      <c r="R289" s="212" t="str">
        <v/>
      </c>
      <c r="S289" s="212" t="str">
        <v/>
      </c>
      <c r="T289" s="212" t="str">
        <v/>
      </c>
      <c r="U289" s="212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211"/>
      <c r="L290" s="211"/>
      <c r="M290" s="211"/>
      <c r="N290" s="211"/>
      <c r="O290" s="211"/>
      <c r="Q290" s="212" t="str">
        <v/>
      </c>
      <c r="R290" s="212" t="str">
        <v/>
      </c>
      <c r="S290" s="212" t="str">
        <v/>
      </c>
      <c r="T290" s="212" t="str">
        <v/>
      </c>
      <c r="U290" s="212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211"/>
      <c r="L291" s="211"/>
      <c r="M291" s="211"/>
      <c r="N291" s="211"/>
      <c r="O291" s="211"/>
      <c r="Q291" s="212" t="str">
        <v/>
      </c>
      <c r="R291" s="212" t="str">
        <v/>
      </c>
      <c r="S291" s="212" t="str">
        <v/>
      </c>
      <c r="T291" s="212" t="str">
        <v/>
      </c>
      <c r="U291" s="212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211"/>
      <c r="L292" s="211"/>
      <c r="M292" s="211"/>
      <c r="N292" s="211"/>
      <c r="O292" s="211"/>
      <c r="Q292" s="212" t="str">
        <v/>
      </c>
      <c r="R292" s="212" t="str">
        <v/>
      </c>
      <c r="S292" s="212" t="str">
        <v/>
      </c>
      <c r="T292" s="212" t="str">
        <v/>
      </c>
      <c r="U292" s="212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211"/>
      <c r="L293" s="211"/>
      <c r="M293" s="211"/>
      <c r="N293" s="211"/>
      <c r="O293" s="211"/>
      <c r="Q293" s="212" t="str">
        <v/>
      </c>
      <c r="R293" s="212" t="str">
        <v/>
      </c>
      <c r="S293" s="212" t="str">
        <v/>
      </c>
      <c r="T293" s="212" t="str">
        <v/>
      </c>
      <c r="U293" s="212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211"/>
      <c r="L294" s="211"/>
      <c r="M294" s="211"/>
      <c r="N294" s="211"/>
      <c r="O294" s="211"/>
      <c r="Q294" s="212" t="str">
        <v/>
      </c>
      <c r="R294" s="212" t="str">
        <v/>
      </c>
      <c r="S294" s="212" t="str">
        <v/>
      </c>
      <c r="T294" s="212" t="str">
        <v/>
      </c>
      <c r="U294" s="212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211"/>
      <c r="L295" s="211"/>
      <c r="M295" s="211"/>
      <c r="N295" s="211"/>
      <c r="O295" s="211"/>
      <c r="Q295" s="212" t="str">
        <v/>
      </c>
      <c r="R295" s="212" t="str">
        <v/>
      </c>
      <c r="S295" s="212" t="str">
        <v/>
      </c>
      <c r="T295" s="212" t="str">
        <v/>
      </c>
      <c r="U295" s="212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211"/>
      <c r="L296" s="211"/>
      <c r="M296" s="211"/>
      <c r="N296" s="211"/>
      <c r="O296" s="211"/>
      <c r="Q296" s="212" t="str">
        <v/>
      </c>
      <c r="R296" s="212" t="str">
        <v/>
      </c>
      <c r="S296" s="212" t="str">
        <v/>
      </c>
      <c r="T296" s="212" t="str">
        <v/>
      </c>
      <c r="U296" s="212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211"/>
      <c r="L297" s="211"/>
      <c r="M297" s="211"/>
      <c r="N297" s="211"/>
      <c r="O297" s="211"/>
      <c r="Q297" s="212" t="str">
        <v/>
      </c>
      <c r="R297" s="212" t="str">
        <v/>
      </c>
      <c r="S297" s="212" t="str">
        <v/>
      </c>
      <c r="T297" s="212" t="str">
        <v/>
      </c>
      <c r="U297" s="212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211"/>
      <c r="L298" s="211"/>
      <c r="M298" s="211"/>
      <c r="N298" s="211"/>
      <c r="O298" s="211"/>
      <c r="Q298" s="212" t="str">
        <v/>
      </c>
      <c r="R298" s="212" t="str">
        <v/>
      </c>
      <c r="S298" s="212" t="str">
        <v/>
      </c>
      <c r="T298" s="212" t="str">
        <v/>
      </c>
      <c r="U298" s="212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211"/>
      <c r="L299" s="211"/>
      <c r="M299" s="211"/>
      <c r="N299" s="211"/>
      <c r="O299" s="211"/>
      <c r="Q299" s="212" t="str">
        <v/>
      </c>
      <c r="R299" s="212" t="str">
        <v/>
      </c>
      <c r="S299" s="212" t="str">
        <v/>
      </c>
      <c r="T299" s="212" t="str">
        <v/>
      </c>
      <c r="U299" s="212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211"/>
      <c r="L300" s="211"/>
      <c r="M300" s="211"/>
      <c r="N300" s="211"/>
      <c r="O300" s="211"/>
      <c r="Q300" s="212" t="str">
        <v/>
      </c>
      <c r="R300" s="212" t="str">
        <v/>
      </c>
      <c r="S300" s="212" t="str">
        <v/>
      </c>
      <c r="T300" s="212" t="str">
        <v/>
      </c>
      <c r="U300" s="212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211"/>
      <c r="L301" s="211"/>
      <c r="M301" s="211"/>
      <c r="N301" s="211"/>
      <c r="O301" s="211"/>
      <c r="Q301" s="212" t="str">
        <v/>
      </c>
      <c r="R301" s="212" t="str">
        <v/>
      </c>
      <c r="S301" s="212" t="str">
        <v/>
      </c>
      <c r="T301" s="212" t="str">
        <v/>
      </c>
      <c r="U301" s="212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211"/>
      <c r="L302" s="211"/>
      <c r="M302" s="211"/>
      <c r="N302" s="211"/>
      <c r="O302" s="211"/>
      <c r="Q302" s="212" t="str">
        <v/>
      </c>
      <c r="R302" s="212" t="str">
        <v/>
      </c>
      <c r="S302" s="212" t="str">
        <v/>
      </c>
      <c r="T302" s="212" t="str">
        <v/>
      </c>
      <c r="U302" s="212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211"/>
      <c r="L303" s="211"/>
      <c r="M303" s="211"/>
      <c r="N303" s="211"/>
      <c r="O303" s="211"/>
      <c r="Q303" s="212" t="str">
        <v/>
      </c>
      <c r="R303" s="212" t="str">
        <v/>
      </c>
      <c r="S303" s="212" t="str">
        <v/>
      </c>
      <c r="T303" s="212" t="str">
        <v/>
      </c>
      <c r="U303" s="212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211"/>
      <c r="L304" s="211"/>
      <c r="M304" s="211"/>
      <c r="N304" s="211"/>
      <c r="O304" s="211"/>
      <c r="Q304" s="212" t="str">
        <v/>
      </c>
      <c r="R304" s="212" t="str">
        <v/>
      </c>
      <c r="S304" s="212" t="str">
        <v/>
      </c>
      <c r="T304" s="212" t="str">
        <v/>
      </c>
      <c r="U304" s="212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D52:D54">
    <cfRule type="cellIs" dxfId="98" priority="22" operator="equal">
      <formula>"C1"</formula>
    </cfRule>
    <cfRule type="cellIs" dxfId="97" priority="23" operator="between">
      <formula>"G1"</formula>
      <formula>"G4"</formula>
    </cfRule>
    <cfRule type="cellIs" dxfId="96" priority="24" operator="between">
      <formula>"GA"</formula>
      <formula>"GQ"</formula>
    </cfRule>
    <cfRule type="cellIs" dxfId="95" priority="25" operator="between">
      <formula>"M1"</formula>
      <formula>"M4"</formula>
    </cfRule>
  </conditionalFormatting>
  <conditionalFormatting sqref="E52:E54">
    <cfRule type="cellIs" dxfId="94" priority="18" operator="equal">
      <formula>"C1"</formula>
    </cfRule>
    <cfRule type="cellIs" dxfId="93" priority="19" operator="between">
      <formula>"G1"</formula>
      <formula>"G4"</formula>
    </cfRule>
    <cfRule type="cellIs" dxfId="92" priority="20" operator="between">
      <formula>"GA"</formula>
      <formula>"GQ"</formula>
    </cfRule>
    <cfRule type="cellIs" dxfId="91" priority="21" operator="between">
      <formula>"M1"</formula>
      <formula>"M4"</formula>
    </cfRule>
  </conditionalFormatting>
  <conditionalFormatting sqref="F52:F54">
    <cfRule type="cellIs" dxfId="90" priority="14" operator="equal">
      <formula>"C1"</formula>
    </cfRule>
    <cfRule type="cellIs" dxfId="89" priority="15" operator="between">
      <formula>"G1"</formula>
      <formula>"G4"</formula>
    </cfRule>
    <cfRule type="cellIs" dxfId="88" priority="16" operator="between">
      <formula>"GA"</formula>
      <formula>"GQ"</formula>
    </cfRule>
    <cfRule type="cellIs" dxfId="87" priority="17" operator="between">
      <formula>"M1"</formula>
      <formula>"M4"</formula>
    </cfRule>
  </conditionalFormatting>
  <conditionalFormatting sqref="C28:G28 D27:G27 C31:G46 C29:C30 G29:G30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{DF92903A-1506-41C5-BF4F-D8F252C54B09}</x14:id>
        </ext>
      </extLst>
    </cfRule>
  </conditionalFormatting>
  <conditionalFormatting sqref="D29:F30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{31AA54AA-4DBD-43DA-A742-F7B1BB0B4D18}</x14:id>
        </ext>
      </extLst>
    </cfRule>
  </conditionalFormatting>
  <conditionalFormatting sqref="W5:AA304 X4:AA4">
    <cfRule type="expression" dxfId="86" priority="6">
      <formula>_xlfn.LET(_xlpm.x, W4, AND(NOT(_xlfn.ISFORMULA(_xlpm.x)), _xlpm.x&lt;&gt;""))</formula>
    </cfRule>
  </conditionalFormatting>
  <conditionalFormatting sqref="W4:AA203">
    <cfRule type="expression" dxfId="85" priority="5">
      <formula>_xlfn.LET(_xlpm.x, W4, AND(NOT(_xlfn.ISFORMULA(_xlpm.x)), _xlpm.x&lt;&gt;""))</formula>
    </cfRule>
  </conditionalFormatting>
  <conditionalFormatting sqref="K1:O1048576">
    <cfRule type="cellIs" dxfId="84" priority="1" operator="equal">
      <formula>"C1"</formula>
    </cfRule>
    <cfRule type="cellIs" dxfId="83" priority="2" operator="between">
      <formula>"G1"</formula>
      <formula>"G5"</formula>
    </cfRule>
    <cfRule type="cellIs" dxfId="82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2903A-1506-41C5-BF4F-D8F252C54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AA54AA-4DBD-43DA-A742-F7B1BB0B4D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3F7253CE-B2CE-420C-92DE-7291C669AF3F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130" t="s">
        <v>13</v>
      </c>
      <c r="L3" s="130" t="s">
        <v>14</v>
      </c>
      <c r="M3" s="130" t="s">
        <v>15</v>
      </c>
      <c r="N3" s="130" t="s">
        <v>16</v>
      </c>
      <c r="O3" s="130" t="s">
        <v>17</v>
      </c>
      <c r="Q3" s="130" t="s">
        <v>13</v>
      </c>
      <c r="R3" s="130" t="s">
        <v>14</v>
      </c>
      <c r="S3" s="130" t="s">
        <v>15</v>
      </c>
      <c r="T3" s="130" t="s">
        <v>16</v>
      </c>
      <c r="U3" s="130" t="s">
        <v>17</v>
      </c>
      <c r="W3" s="130" t="s">
        <v>6</v>
      </c>
      <c r="X3" s="130" t="s">
        <v>14</v>
      </c>
      <c r="Y3" s="130" t="s">
        <v>15</v>
      </c>
      <c r="Z3" s="130" t="s">
        <v>16</v>
      </c>
      <c r="AA3" s="130" t="s">
        <v>17</v>
      </c>
      <c r="AO3" s="5"/>
    </row>
    <row r="4" spans="1:41" ht="15.9" customHeight="1" x14ac:dyDescent="0.3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104</v>
      </c>
      <c r="M4" s="26" t="s">
        <v>89</v>
      </c>
      <c r="N4" s="26" t="s">
        <v>104</v>
      </c>
      <c r="O4" s="26" t="s">
        <v>37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6</v>
      </c>
      <c r="U4" s="25">
        <v>7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 x14ac:dyDescent="0.3">
      <c r="A5" s="29" t="str">
        <v>C1</v>
      </c>
      <c r="B5" s="8" t="str">
        <v>Scatter</v>
      </c>
      <c r="C5" s="98">
        <f t="shared" si="0"/>
        <v>3</v>
      </c>
      <c r="D5" s="98">
        <f t="shared" si="0"/>
        <v>3</v>
      </c>
      <c r="E5" s="98">
        <f t="shared" si="0"/>
        <v>0</v>
      </c>
      <c r="F5" s="98">
        <f t="shared" si="0"/>
        <v>5</v>
      </c>
      <c r="G5" s="98">
        <f t="shared" si="0"/>
        <v>5</v>
      </c>
      <c r="H5" s="8">
        <v>1</v>
      </c>
      <c r="I5" s="86"/>
      <c r="J5" s="9">
        <v>1</v>
      </c>
      <c r="K5" s="213" t="s">
        <v>104</v>
      </c>
      <c r="L5" s="213" t="s">
        <v>95</v>
      </c>
      <c r="M5" s="213" t="s">
        <v>102</v>
      </c>
      <c r="N5" s="213" t="s">
        <v>19</v>
      </c>
      <c r="O5" s="213" t="s">
        <v>22</v>
      </c>
      <c r="Q5" s="212">
        <v>6</v>
      </c>
      <c r="R5" s="212">
        <v>19</v>
      </c>
      <c r="S5" s="212">
        <v>17</v>
      </c>
      <c r="T5" s="212">
        <v>5</v>
      </c>
      <c r="U5" s="212">
        <v>3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 x14ac:dyDescent="0.3">
      <c r="A6" s="128" t="str">
        <v>M1</v>
      </c>
      <c r="B6" s="108" t="str">
        <v>M1</v>
      </c>
      <c r="C6" s="128">
        <f t="shared" si="0"/>
        <v>3</v>
      </c>
      <c r="D6" s="128">
        <f t="shared" si="0"/>
        <v>10</v>
      </c>
      <c r="E6" s="128">
        <f t="shared" si="0"/>
        <v>0</v>
      </c>
      <c r="F6" s="128">
        <f t="shared" si="0"/>
        <v>3</v>
      </c>
      <c r="G6" s="128">
        <f t="shared" si="0"/>
        <v>9</v>
      </c>
      <c r="H6" s="108">
        <v>2</v>
      </c>
      <c r="I6" s="86"/>
      <c r="J6" s="25">
        <v>2</v>
      </c>
      <c r="K6" s="213" t="s">
        <v>37</v>
      </c>
      <c r="L6" s="213" t="s">
        <v>90</v>
      </c>
      <c r="M6" s="213" t="s">
        <v>89</v>
      </c>
      <c r="N6" s="213" t="s">
        <v>36</v>
      </c>
      <c r="O6" s="213" t="s">
        <v>19</v>
      </c>
      <c r="Q6" s="212">
        <v>7</v>
      </c>
      <c r="R6" s="212">
        <v>16</v>
      </c>
      <c r="S6" s="212">
        <v>14</v>
      </c>
      <c r="T6" s="212">
        <v>10</v>
      </c>
      <c r="U6" s="212">
        <v>5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 cm="1">
        <f t="array" ref="AK6:AO25">$AD$6:$AH$25</f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 x14ac:dyDescent="0.3">
      <c r="A7" s="128" t="str">
        <v>M2</v>
      </c>
      <c r="B7" s="108" t="str">
        <v>M2</v>
      </c>
      <c r="C7" s="128">
        <f t="shared" si="0"/>
        <v>3</v>
      </c>
      <c r="D7" s="128">
        <f t="shared" si="0"/>
        <v>12</v>
      </c>
      <c r="E7" s="128">
        <f t="shared" si="0"/>
        <v>0</v>
      </c>
      <c r="F7" s="128">
        <f t="shared" si="0"/>
        <v>3</v>
      </c>
      <c r="G7" s="128">
        <f t="shared" si="0"/>
        <v>8</v>
      </c>
      <c r="H7" s="108">
        <v>3</v>
      </c>
      <c r="I7" s="86"/>
      <c r="J7" s="9">
        <v>3</v>
      </c>
      <c r="K7" s="213" t="s">
        <v>35</v>
      </c>
      <c r="L7" s="26" t="s">
        <v>104</v>
      </c>
      <c r="M7" s="213" t="s">
        <v>105</v>
      </c>
      <c r="N7" s="213" t="s">
        <v>37</v>
      </c>
      <c r="O7" s="213" t="s">
        <v>104</v>
      </c>
      <c r="Q7" s="212">
        <v>8</v>
      </c>
      <c r="R7" s="212">
        <v>6</v>
      </c>
      <c r="S7" s="212">
        <v>15</v>
      </c>
      <c r="T7" s="212">
        <v>7</v>
      </c>
      <c r="U7" s="212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1</v>
      </c>
      <c r="AE7" s="133">
        <v>1</v>
      </c>
      <c r="AF7" s="133">
        <v>0</v>
      </c>
      <c r="AG7" s="133">
        <v>1</v>
      </c>
      <c r="AH7" s="133">
        <v>1</v>
      </c>
      <c r="AI7" s="5"/>
      <c r="AJ7" s="133" t="str">
        <v>C1</v>
      </c>
      <c r="AK7" s="211">
        <v>1</v>
      </c>
      <c r="AL7" s="211">
        <v>1</v>
      </c>
      <c r="AM7" s="211">
        <v>0</v>
      </c>
      <c r="AN7" s="211">
        <v>1</v>
      </c>
      <c r="AO7" s="211">
        <v>1</v>
      </c>
    </row>
    <row r="8" spans="1:41" ht="15.9" customHeight="1" x14ac:dyDescent="0.3">
      <c r="A8" s="128" t="str">
        <v>M3</v>
      </c>
      <c r="B8" s="108" t="str">
        <v>M3</v>
      </c>
      <c r="C8" s="128">
        <f t="shared" si="0"/>
        <v>7</v>
      </c>
      <c r="D8" s="128">
        <f t="shared" si="0"/>
        <v>13</v>
      </c>
      <c r="E8" s="128">
        <f t="shared" si="0"/>
        <v>0</v>
      </c>
      <c r="F8" s="128">
        <f t="shared" si="0"/>
        <v>7</v>
      </c>
      <c r="G8" s="128">
        <f t="shared" si="0"/>
        <v>14</v>
      </c>
      <c r="H8" s="108">
        <v>4</v>
      </c>
      <c r="I8" s="86"/>
      <c r="J8" s="25">
        <v>4</v>
      </c>
      <c r="K8" s="213" t="s">
        <v>104</v>
      </c>
      <c r="L8" s="213" t="s">
        <v>105</v>
      </c>
      <c r="M8" s="213" t="s">
        <v>90</v>
      </c>
      <c r="N8" s="213" t="s">
        <v>35</v>
      </c>
      <c r="O8" s="213" t="s">
        <v>18</v>
      </c>
      <c r="Q8" s="212">
        <v>6</v>
      </c>
      <c r="R8" s="212">
        <v>15</v>
      </c>
      <c r="S8" s="212">
        <v>16</v>
      </c>
      <c r="T8" s="212">
        <v>8</v>
      </c>
      <c r="U8" s="212">
        <v>4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8" t="str">
        <v>M1</v>
      </c>
      <c r="AD8" s="128">
        <v>3</v>
      </c>
      <c r="AE8" s="128">
        <v>10</v>
      </c>
      <c r="AF8" s="128">
        <v>0</v>
      </c>
      <c r="AG8" s="128">
        <v>3</v>
      </c>
      <c r="AH8" s="128">
        <v>9</v>
      </c>
      <c r="AI8" s="5"/>
      <c r="AJ8" s="148" t="str">
        <v>M1</v>
      </c>
      <c r="AK8" s="128">
        <v>3</v>
      </c>
      <c r="AL8" s="128">
        <v>10</v>
      </c>
      <c r="AM8" s="128">
        <v>0</v>
      </c>
      <c r="AN8" s="128">
        <v>3</v>
      </c>
      <c r="AO8" s="128">
        <v>9</v>
      </c>
    </row>
    <row r="9" spans="1:41" ht="15.9" customHeight="1" x14ac:dyDescent="0.3">
      <c r="A9" s="128" t="str">
        <v>M4</v>
      </c>
      <c r="B9" s="108" t="str">
        <v>M4</v>
      </c>
      <c r="C9" s="128">
        <f t="shared" si="0"/>
        <v>43</v>
      </c>
      <c r="D9" s="128">
        <f t="shared" si="0"/>
        <v>23</v>
      </c>
      <c r="E9" s="128">
        <f t="shared" si="0"/>
        <v>0</v>
      </c>
      <c r="F9" s="128">
        <f t="shared" si="0"/>
        <v>33</v>
      </c>
      <c r="G9" s="128">
        <f t="shared" si="0"/>
        <v>35</v>
      </c>
      <c r="H9" s="108">
        <v>5</v>
      </c>
      <c r="I9" s="86"/>
      <c r="J9" s="9">
        <v>5</v>
      </c>
      <c r="K9" s="213" t="s">
        <v>20</v>
      </c>
      <c r="L9" s="213" t="s">
        <v>35</v>
      </c>
      <c r="M9" s="213" t="s">
        <v>89</v>
      </c>
      <c r="N9" s="213" t="s">
        <v>105</v>
      </c>
      <c r="O9" s="213" t="s">
        <v>21</v>
      </c>
      <c r="Q9" s="212">
        <v>1</v>
      </c>
      <c r="R9" s="212">
        <v>8</v>
      </c>
      <c r="S9" s="212">
        <v>14</v>
      </c>
      <c r="T9" s="212">
        <v>15</v>
      </c>
      <c r="U9" s="212">
        <v>2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8" t="str">
        <v>M2</v>
      </c>
      <c r="AD9" s="128">
        <v>3</v>
      </c>
      <c r="AE9" s="128">
        <v>12</v>
      </c>
      <c r="AF9" s="128">
        <v>0</v>
      </c>
      <c r="AG9" s="128">
        <v>3</v>
      </c>
      <c r="AH9" s="128">
        <v>8</v>
      </c>
      <c r="AI9" s="5"/>
      <c r="AJ9" s="148" t="str">
        <v>M2</v>
      </c>
      <c r="AK9" s="128">
        <v>3</v>
      </c>
      <c r="AL9" s="128">
        <v>12</v>
      </c>
      <c r="AM9" s="128">
        <v>0</v>
      </c>
      <c r="AN9" s="128">
        <v>3</v>
      </c>
      <c r="AO9" s="128">
        <v>8</v>
      </c>
    </row>
    <row r="10" spans="1:41" ht="15.9" customHeight="1" x14ac:dyDescent="0.3">
      <c r="A10" s="128" t="str">
        <v>M5</v>
      </c>
      <c r="B10" s="108" t="str">
        <v>M5</v>
      </c>
      <c r="C10" s="128">
        <f t="shared" si="0"/>
        <v>42</v>
      </c>
      <c r="D10" s="128">
        <f t="shared" si="0"/>
        <v>23</v>
      </c>
      <c r="E10" s="128">
        <f t="shared" si="0"/>
        <v>0</v>
      </c>
      <c r="F10" s="128">
        <f t="shared" si="0"/>
        <v>33</v>
      </c>
      <c r="G10" s="128">
        <f t="shared" si="0"/>
        <v>34</v>
      </c>
      <c r="H10" s="108">
        <v>6</v>
      </c>
      <c r="I10" s="86"/>
      <c r="J10" s="25">
        <v>6</v>
      </c>
      <c r="K10" s="213" t="s">
        <v>37</v>
      </c>
      <c r="L10" s="213" t="s">
        <v>21</v>
      </c>
      <c r="M10" s="213" t="s">
        <v>105</v>
      </c>
      <c r="N10" s="213" t="s">
        <v>19</v>
      </c>
      <c r="O10" s="213" t="s">
        <v>35</v>
      </c>
      <c r="Q10" s="212">
        <v>7</v>
      </c>
      <c r="R10" s="212">
        <v>2</v>
      </c>
      <c r="S10" s="212">
        <v>15</v>
      </c>
      <c r="T10" s="212">
        <v>5</v>
      </c>
      <c r="U10" s="212">
        <v>8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8" t="str">
        <v>M3</v>
      </c>
      <c r="AD10" s="128">
        <v>7</v>
      </c>
      <c r="AE10" s="128">
        <v>13</v>
      </c>
      <c r="AF10" s="128">
        <v>0</v>
      </c>
      <c r="AG10" s="128">
        <v>7</v>
      </c>
      <c r="AH10" s="128">
        <v>14</v>
      </c>
      <c r="AI10" s="5"/>
      <c r="AJ10" s="148" t="str">
        <v>M3</v>
      </c>
      <c r="AK10" s="128">
        <v>7</v>
      </c>
      <c r="AL10" s="128">
        <v>13</v>
      </c>
      <c r="AM10" s="128">
        <v>0</v>
      </c>
      <c r="AN10" s="128">
        <v>7</v>
      </c>
      <c r="AO10" s="128">
        <v>14</v>
      </c>
    </row>
    <row r="11" spans="1:41" ht="15.9" customHeight="1" x14ac:dyDescent="0.3">
      <c r="A11" s="128" t="str">
        <v>A</v>
      </c>
      <c r="B11" s="108" t="str">
        <v>A</v>
      </c>
      <c r="C11" s="128">
        <f t="shared" si="0"/>
        <v>43</v>
      </c>
      <c r="D11" s="128">
        <f t="shared" si="0"/>
        <v>27</v>
      </c>
      <c r="E11" s="128">
        <f t="shared" si="0"/>
        <v>0</v>
      </c>
      <c r="F11" s="128">
        <f t="shared" si="0"/>
        <v>33</v>
      </c>
      <c r="G11" s="128">
        <f t="shared" si="0"/>
        <v>34</v>
      </c>
      <c r="H11" s="108">
        <v>7</v>
      </c>
      <c r="I11" s="86"/>
      <c r="J11" s="9">
        <v>7</v>
      </c>
      <c r="K11" s="213" t="s">
        <v>35</v>
      </c>
      <c r="L11" s="213" t="s">
        <v>89</v>
      </c>
      <c r="M11" s="213" t="s">
        <v>102</v>
      </c>
      <c r="N11" s="213" t="s">
        <v>22</v>
      </c>
      <c r="O11" s="213" t="s">
        <v>37</v>
      </c>
      <c r="Q11" s="212">
        <v>8</v>
      </c>
      <c r="R11" s="212">
        <v>14</v>
      </c>
      <c r="S11" s="212">
        <v>17</v>
      </c>
      <c r="T11" s="212">
        <v>3</v>
      </c>
      <c r="U11" s="212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8" t="str">
        <v>M4</v>
      </c>
      <c r="AD11" s="128">
        <v>43</v>
      </c>
      <c r="AE11" s="128">
        <v>22</v>
      </c>
      <c r="AF11" s="128">
        <v>0</v>
      </c>
      <c r="AG11" s="128">
        <v>31</v>
      </c>
      <c r="AH11" s="128">
        <v>36</v>
      </c>
      <c r="AI11" s="5"/>
      <c r="AJ11" s="148" t="str">
        <v>M4</v>
      </c>
      <c r="AK11" s="128">
        <v>43</v>
      </c>
      <c r="AL11" s="128">
        <v>22</v>
      </c>
      <c r="AM11" s="128">
        <v>0</v>
      </c>
      <c r="AN11" s="128">
        <v>31</v>
      </c>
      <c r="AO11" s="128">
        <v>36</v>
      </c>
    </row>
    <row r="12" spans="1:41" ht="15.9" customHeight="1" x14ac:dyDescent="0.3">
      <c r="A12" s="128" t="str">
        <v>K</v>
      </c>
      <c r="B12" s="108" t="str">
        <v>K</v>
      </c>
      <c r="C12" s="128">
        <f t="shared" si="0"/>
        <v>43</v>
      </c>
      <c r="D12" s="128">
        <f t="shared" si="0"/>
        <v>25</v>
      </c>
      <c r="E12" s="128">
        <f t="shared" si="0"/>
        <v>0</v>
      </c>
      <c r="F12" s="128">
        <f t="shared" si="0"/>
        <v>34</v>
      </c>
      <c r="G12" s="128">
        <f t="shared" si="0"/>
        <v>34</v>
      </c>
      <c r="H12" s="108">
        <v>8</v>
      </c>
      <c r="I12" s="86"/>
      <c r="J12" s="25">
        <v>8</v>
      </c>
      <c r="K12" s="213" t="s">
        <v>37</v>
      </c>
      <c r="L12" s="213" t="s">
        <v>35</v>
      </c>
      <c r="M12" s="213" t="s">
        <v>88</v>
      </c>
      <c r="N12" s="213" t="s">
        <v>105</v>
      </c>
      <c r="O12" s="213" t="s">
        <v>36</v>
      </c>
      <c r="Q12" s="212">
        <v>7</v>
      </c>
      <c r="R12" s="212">
        <v>8</v>
      </c>
      <c r="S12" s="212">
        <v>13</v>
      </c>
      <c r="T12" s="212">
        <v>15</v>
      </c>
      <c r="U12" s="212">
        <v>10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8" t="str">
        <v>M5</v>
      </c>
      <c r="AD12" s="128">
        <v>42</v>
      </c>
      <c r="AE12" s="128">
        <v>22</v>
      </c>
      <c r="AF12" s="128">
        <v>0</v>
      </c>
      <c r="AG12" s="128">
        <v>27</v>
      </c>
      <c r="AH12" s="128">
        <v>34</v>
      </c>
      <c r="AI12" s="5"/>
      <c r="AJ12" s="148" t="str">
        <v>M5</v>
      </c>
      <c r="AK12" s="128">
        <v>42</v>
      </c>
      <c r="AL12" s="128">
        <v>22</v>
      </c>
      <c r="AM12" s="128">
        <v>0</v>
      </c>
      <c r="AN12" s="128">
        <v>27</v>
      </c>
      <c r="AO12" s="128">
        <v>34</v>
      </c>
    </row>
    <row r="13" spans="1:41" ht="15.9" customHeight="1" x14ac:dyDescent="0.3">
      <c r="A13" s="128" t="str">
        <v>Q</v>
      </c>
      <c r="B13" s="108" t="str">
        <v>Q</v>
      </c>
      <c r="C13" s="128">
        <f t="shared" si="0"/>
        <v>7</v>
      </c>
      <c r="D13" s="128">
        <f t="shared" si="0"/>
        <v>12</v>
      </c>
      <c r="E13" s="128">
        <f t="shared" si="0"/>
        <v>0</v>
      </c>
      <c r="F13" s="128">
        <f t="shared" si="0"/>
        <v>6</v>
      </c>
      <c r="G13" s="128">
        <f t="shared" si="0"/>
        <v>13</v>
      </c>
      <c r="H13" s="108">
        <v>9</v>
      </c>
      <c r="I13" s="86"/>
      <c r="J13" s="9">
        <v>9</v>
      </c>
      <c r="K13" s="213" t="s">
        <v>36</v>
      </c>
      <c r="L13" s="213" t="s">
        <v>21</v>
      </c>
      <c r="M13" s="213" t="s">
        <v>105</v>
      </c>
      <c r="N13" s="213" t="s">
        <v>93</v>
      </c>
      <c r="O13" s="213" t="s">
        <v>18</v>
      </c>
      <c r="Q13" s="212">
        <v>10</v>
      </c>
      <c r="R13" s="212">
        <v>2</v>
      </c>
      <c r="S13" s="212">
        <v>15</v>
      </c>
      <c r="T13" s="212">
        <v>18</v>
      </c>
      <c r="U13" s="212">
        <v>4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8" t="str">
        <v>A</v>
      </c>
      <c r="AD13" s="128">
        <v>43</v>
      </c>
      <c r="AE13" s="128">
        <v>27</v>
      </c>
      <c r="AF13" s="128">
        <v>0</v>
      </c>
      <c r="AG13" s="128">
        <v>31</v>
      </c>
      <c r="AH13" s="128">
        <v>35</v>
      </c>
      <c r="AI13" s="5"/>
      <c r="AJ13" s="148" t="str">
        <v>A</v>
      </c>
      <c r="AK13" s="128">
        <v>43</v>
      </c>
      <c r="AL13" s="128">
        <v>27</v>
      </c>
      <c r="AM13" s="128">
        <v>0</v>
      </c>
      <c r="AN13" s="128">
        <v>31</v>
      </c>
      <c r="AO13" s="128">
        <v>35</v>
      </c>
    </row>
    <row r="14" spans="1:41" ht="15.9" customHeight="1" x14ac:dyDescent="0.3">
      <c r="A14" s="128" t="str">
        <v>J</v>
      </c>
      <c r="B14" s="108" t="str">
        <v>J</v>
      </c>
      <c r="C14" s="128">
        <f t="shared" si="0"/>
        <v>6</v>
      </c>
      <c r="D14" s="128">
        <f t="shared" si="0"/>
        <v>8</v>
      </c>
      <c r="E14" s="128">
        <f t="shared" si="0"/>
        <v>0</v>
      </c>
      <c r="F14" s="128">
        <f t="shared" si="0"/>
        <v>7</v>
      </c>
      <c r="G14" s="128">
        <f t="shared" si="0"/>
        <v>14</v>
      </c>
      <c r="H14" s="108">
        <v>10</v>
      </c>
      <c r="I14" s="86"/>
      <c r="J14" s="25">
        <v>10</v>
      </c>
      <c r="K14" s="213" t="s">
        <v>19</v>
      </c>
      <c r="L14" s="213" t="s">
        <v>104</v>
      </c>
      <c r="M14" s="213" t="s">
        <v>90</v>
      </c>
      <c r="N14" s="213" t="s">
        <v>105</v>
      </c>
      <c r="O14" s="213" t="s">
        <v>36</v>
      </c>
      <c r="Q14" s="212">
        <v>5</v>
      </c>
      <c r="R14" s="212">
        <v>6</v>
      </c>
      <c r="S14" s="212">
        <v>16</v>
      </c>
      <c r="T14" s="212">
        <v>15</v>
      </c>
      <c r="U14" s="212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8" t="str">
        <v>K</v>
      </c>
      <c r="AD14" s="128">
        <v>43</v>
      </c>
      <c r="AE14" s="128">
        <v>24</v>
      </c>
      <c r="AF14" s="128">
        <v>0</v>
      </c>
      <c r="AG14" s="128">
        <v>32</v>
      </c>
      <c r="AH14" s="128">
        <v>34</v>
      </c>
      <c r="AI14" s="5"/>
      <c r="AJ14" s="148" t="str">
        <v>K</v>
      </c>
      <c r="AK14" s="128">
        <v>43</v>
      </c>
      <c r="AL14" s="128">
        <v>24</v>
      </c>
      <c r="AM14" s="128">
        <v>0</v>
      </c>
      <c r="AN14" s="128">
        <v>32</v>
      </c>
      <c r="AO14" s="128">
        <v>34</v>
      </c>
    </row>
    <row r="15" spans="1:41" ht="15.9" customHeight="1" x14ac:dyDescent="0.3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2</v>
      </c>
      <c r="E15" s="98">
        <f t="shared" si="0"/>
        <v>3</v>
      </c>
      <c r="F15" s="98">
        <f t="shared" si="0"/>
        <v>1</v>
      </c>
      <c r="G15" s="98">
        <f t="shared" si="0"/>
        <v>0</v>
      </c>
      <c r="H15" s="8">
        <v>11</v>
      </c>
      <c r="I15" s="86"/>
      <c r="J15" s="9">
        <v>11</v>
      </c>
      <c r="K15" s="213" t="s">
        <v>35</v>
      </c>
      <c r="L15" s="213" t="s">
        <v>19</v>
      </c>
      <c r="M15" s="213" t="s">
        <v>89</v>
      </c>
      <c r="N15" s="213" t="s">
        <v>89</v>
      </c>
      <c r="O15" s="213" t="s">
        <v>35</v>
      </c>
      <c r="Q15" s="212">
        <v>8</v>
      </c>
      <c r="R15" s="212">
        <v>5</v>
      </c>
      <c r="S15" s="212">
        <v>14</v>
      </c>
      <c r="T15" s="212">
        <v>14</v>
      </c>
      <c r="U15" s="212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8" t="str">
        <v>Q</v>
      </c>
      <c r="AD15" s="128">
        <v>7</v>
      </c>
      <c r="AE15" s="128">
        <v>12</v>
      </c>
      <c r="AF15" s="128">
        <v>0</v>
      </c>
      <c r="AG15" s="128">
        <v>6</v>
      </c>
      <c r="AH15" s="128">
        <v>13</v>
      </c>
      <c r="AI15" s="5"/>
      <c r="AJ15" s="148" t="str">
        <v>Q</v>
      </c>
      <c r="AK15" s="128">
        <v>7</v>
      </c>
      <c r="AL15" s="128">
        <v>12</v>
      </c>
      <c r="AM15" s="128">
        <v>0</v>
      </c>
      <c r="AN15" s="128">
        <v>6</v>
      </c>
      <c r="AO15" s="128">
        <v>13</v>
      </c>
    </row>
    <row r="16" spans="1:41" ht="15.9" customHeight="1" x14ac:dyDescent="0.3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3</v>
      </c>
      <c r="E16" s="98">
        <f t="shared" si="0"/>
        <v>4</v>
      </c>
      <c r="F16" s="98">
        <f t="shared" si="0"/>
        <v>1</v>
      </c>
      <c r="G16" s="98">
        <f t="shared" si="0"/>
        <v>0</v>
      </c>
      <c r="H16" s="8">
        <v>12</v>
      </c>
      <c r="I16" s="86"/>
      <c r="J16" s="25">
        <v>12</v>
      </c>
      <c r="K16" s="213" t="s">
        <v>19</v>
      </c>
      <c r="L16" s="213" t="s">
        <v>22</v>
      </c>
      <c r="M16" s="213" t="s">
        <v>102</v>
      </c>
      <c r="N16" s="213" t="s">
        <v>19</v>
      </c>
      <c r="O16" s="213" t="s">
        <v>37</v>
      </c>
      <c r="Q16" s="212">
        <v>5</v>
      </c>
      <c r="R16" s="212">
        <v>3</v>
      </c>
      <c r="S16" s="212">
        <v>17</v>
      </c>
      <c r="T16" s="212">
        <v>5</v>
      </c>
      <c r="U16" s="212">
        <v>7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8" t="str">
        <v>J</v>
      </c>
      <c r="AD16" s="128">
        <v>7</v>
      </c>
      <c r="AE16" s="128">
        <v>8</v>
      </c>
      <c r="AF16" s="128">
        <v>0</v>
      </c>
      <c r="AG16" s="128">
        <v>7</v>
      </c>
      <c r="AH16" s="128">
        <v>14</v>
      </c>
      <c r="AI16" s="5"/>
      <c r="AJ16" s="148" t="str">
        <v>J</v>
      </c>
      <c r="AK16" s="128">
        <v>7</v>
      </c>
      <c r="AL16" s="128">
        <v>8</v>
      </c>
      <c r="AM16" s="128">
        <v>0</v>
      </c>
      <c r="AN16" s="128">
        <v>7</v>
      </c>
      <c r="AO16" s="128">
        <v>14</v>
      </c>
    </row>
    <row r="17" spans="1:41" ht="15.9" customHeight="1" x14ac:dyDescent="0.3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3</v>
      </c>
      <c r="E17" s="98">
        <f t="shared" si="0"/>
        <v>8</v>
      </c>
      <c r="F17" s="98">
        <f t="shared" si="0"/>
        <v>2</v>
      </c>
      <c r="G17" s="98">
        <f t="shared" si="0"/>
        <v>0</v>
      </c>
      <c r="H17" s="8">
        <v>13</v>
      </c>
      <c r="I17" s="86"/>
      <c r="J17" s="9">
        <v>13</v>
      </c>
      <c r="K17" s="213" t="s">
        <v>104</v>
      </c>
      <c r="L17" s="213" t="s">
        <v>35</v>
      </c>
      <c r="M17" s="213" t="s">
        <v>89</v>
      </c>
      <c r="N17" s="213" t="s">
        <v>34</v>
      </c>
      <c r="O17" s="213" t="s">
        <v>19</v>
      </c>
      <c r="Q17" s="212">
        <v>6</v>
      </c>
      <c r="R17" s="212">
        <v>8</v>
      </c>
      <c r="S17" s="212">
        <v>14</v>
      </c>
      <c r="T17" s="212">
        <v>9</v>
      </c>
      <c r="U17" s="212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3</v>
      </c>
      <c r="AF17" s="98">
        <v>3</v>
      </c>
      <c r="AG17" s="98">
        <v>2</v>
      </c>
      <c r="AH17" s="98">
        <v>0</v>
      </c>
      <c r="AI17" s="5"/>
      <c r="AJ17" s="133" t="str">
        <v>G1</v>
      </c>
      <c r="AK17" s="98">
        <v>0</v>
      </c>
      <c r="AL17" s="98">
        <v>3</v>
      </c>
      <c r="AM17" s="98">
        <v>3</v>
      </c>
      <c r="AN17" s="98">
        <v>2</v>
      </c>
      <c r="AO17" s="98">
        <v>0</v>
      </c>
    </row>
    <row r="18" spans="1:41" ht="15.9" customHeight="1" x14ac:dyDescent="0.3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7</v>
      </c>
      <c r="E18" s="98">
        <f t="shared" si="0"/>
        <v>43</v>
      </c>
      <c r="F18" s="98">
        <f t="shared" si="0"/>
        <v>8</v>
      </c>
      <c r="G18" s="98">
        <f t="shared" si="0"/>
        <v>0</v>
      </c>
      <c r="H18" s="8">
        <v>14</v>
      </c>
      <c r="I18" s="86"/>
      <c r="J18" s="25">
        <v>14</v>
      </c>
      <c r="K18" s="213" t="s">
        <v>37</v>
      </c>
      <c r="L18" s="213" t="s">
        <v>37</v>
      </c>
      <c r="M18" s="213" t="s">
        <v>90</v>
      </c>
      <c r="N18" s="213" t="s">
        <v>37</v>
      </c>
      <c r="O18" s="213" t="s">
        <v>104</v>
      </c>
      <c r="Q18" s="212">
        <v>7</v>
      </c>
      <c r="R18" s="212">
        <v>7</v>
      </c>
      <c r="S18" s="212">
        <v>16</v>
      </c>
      <c r="T18" s="212">
        <v>7</v>
      </c>
      <c r="U18" s="212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4</v>
      </c>
      <c r="AF18" s="98">
        <v>1</v>
      </c>
      <c r="AG18" s="98">
        <v>2</v>
      </c>
      <c r="AH18" s="98">
        <v>0</v>
      </c>
      <c r="AI18" s="5"/>
      <c r="AJ18" s="133" t="str">
        <v>G2</v>
      </c>
      <c r="AK18" s="98">
        <v>0</v>
      </c>
      <c r="AL18" s="98">
        <v>4</v>
      </c>
      <c r="AM18" s="98">
        <v>1</v>
      </c>
      <c r="AN18" s="98">
        <v>2</v>
      </c>
      <c r="AO18" s="98">
        <v>0</v>
      </c>
    </row>
    <row r="19" spans="1:41" ht="15.9" customHeight="1" x14ac:dyDescent="0.3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7</v>
      </c>
      <c r="E19" s="98">
        <f t="shared" si="0"/>
        <v>42</v>
      </c>
      <c r="F19" s="98">
        <f t="shared" si="0"/>
        <v>9</v>
      </c>
      <c r="G19" s="98">
        <f t="shared" si="0"/>
        <v>0</v>
      </c>
      <c r="H19" s="8">
        <v>15</v>
      </c>
      <c r="I19" s="86"/>
      <c r="J19" s="9">
        <v>15</v>
      </c>
      <c r="K19" s="213" t="s">
        <v>35</v>
      </c>
      <c r="L19" s="213" t="s">
        <v>35</v>
      </c>
      <c r="M19" s="213" t="s">
        <v>89</v>
      </c>
      <c r="N19" s="213" t="s">
        <v>104</v>
      </c>
      <c r="O19" s="213" t="s">
        <v>37</v>
      </c>
      <c r="Q19" s="212">
        <v>8</v>
      </c>
      <c r="R19" s="212">
        <v>8</v>
      </c>
      <c r="S19" s="212">
        <v>14</v>
      </c>
      <c r="T19" s="212">
        <v>6</v>
      </c>
      <c r="U19" s="212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4</v>
      </c>
      <c r="AF19" s="98">
        <v>8</v>
      </c>
      <c r="AG19" s="98">
        <v>3</v>
      </c>
      <c r="AH19" s="98">
        <v>0</v>
      </c>
      <c r="AI19" s="5"/>
      <c r="AJ19" s="133" t="str">
        <v>G3</v>
      </c>
      <c r="AK19" s="98">
        <v>0</v>
      </c>
      <c r="AL19" s="98">
        <v>4</v>
      </c>
      <c r="AM19" s="98">
        <v>8</v>
      </c>
      <c r="AN19" s="98">
        <v>3</v>
      </c>
      <c r="AO19" s="98">
        <v>0</v>
      </c>
    </row>
    <row r="20" spans="1:41" ht="15.9" customHeight="1" x14ac:dyDescent="0.3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10</v>
      </c>
      <c r="E20" s="98">
        <f t="shared" si="0"/>
        <v>42</v>
      </c>
      <c r="F20" s="98">
        <f t="shared" si="0"/>
        <v>6</v>
      </c>
      <c r="G20" s="98">
        <f t="shared" si="0"/>
        <v>0</v>
      </c>
      <c r="H20" s="8">
        <v>16</v>
      </c>
      <c r="I20" s="86"/>
      <c r="J20" s="25">
        <v>16</v>
      </c>
      <c r="K20" s="213" t="s">
        <v>19</v>
      </c>
      <c r="L20" s="213" t="s">
        <v>90</v>
      </c>
      <c r="M20" s="213" t="s">
        <v>88</v>
      </c>
      <c r="N20" s="213" t="s">
        <v>35</v>
      </c>
      <c r="O20" s="213" t="s">
        <v>104</v>
      </c>
      <c r="Q20" s="212">
        <v>5</v>
      </c>
      <c r="R20" s="212">
        <v>16</v>
      </c>
      <c r="S20" s="212">
        <v>13</v>
      </c>
      <c r="T20" s="212">
        <v>8</v>
      </c>
      <c r="U20" s="212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9</v>
      </c>
      <c r="AF20" s="98">
        <v>43</v>
      </c>
      <c r="AG20" s="98">
        <v>12</v>
      </c>
      <c r="AH20" s="98">
        <v>0</v>
      </c>
      <c r="AI20" s="5"/>
      <c r="AJ20" s="133" t="str">
        <v>G4</v>
      </c>
      <c r="AK20" s="98">
        <v>0</v>
      </c>
      <c r="AL20" s="98">
        <v>9</v>
      </c>
      <c r="AM20" s="98">
        <v>43</v>
      </c>
      <c r="AN20" s="98">
        <v>12</v>
      </c>
      <c r="AO20" s="98">
        <v>0</v>
      </c>
    </row>
    <row r="21" spans="1:41" ht="15.9" customHeight="1" x14ac:dyDescent="0.3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7</v>
      </c>
      <c r="E21" s="98">
        <f t="shared" si="0"/>
        <v>43</v>
      </c>
      <c r="F21" s="98">
        <f t="shared" si="0"/>
        <v>6</v>
      </c>
      <c r="G21" s="98">
        <f t="shared" si="0"/>
        <v>0</v>
      </c>
      <c r="H21" s="8">
        <v>17</v>
      </c>
      <c r="I21" s="86"/>
      <c r="J21" s="9">
        <v>17</v>
      </c>
      <c r="K21" s="213" t="s">
        <v>35</v>
      </c>
      <c r="L21" s="213" t="s">
        <v>35</v>
      </c>
      <c r="M21" s="213" t="s">
        <v>90</v>
      </c>
      <c r="N21" s="213" t="s">
        <v>37</v>
      </c>
      <c r="O21" s="213" t="s">
        <v>36</v>
      </c>
      <c r="Q21" s="212">
        <v>8</v>
      </c>
      <c r="R21" s="212">
        <v>8</v>
      </c>
      <c r="S21" s="212">
        <v>16</v>
      </c>
      <c r="T21" s="212">
        <v>7</v>
      </c>
      <c r="U21" s="212">
        <v>10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9</v>
      </c>
      <c r="AF21" s="98">
        <v>42</v>
      </c>
      <c r="AG21" s="98">
        <v>13</v>
      </c>
      <c r="AH21" s="98">
        <v>0</v>
      </c>
      <c r="AI21" s="5"/>
      <c r="AJ21" s="133" t="str">
        <v>G5</v>
      </c>
      <c r="AK21" s="98">
        <v>0</v>
      </c>
      <c r="AL21" s="98">
        <v>9</v>
      </c>
      <c r="AM21" s="98">
        <v>42</v>
      </c>
      <c r="AN21" s="98">
        <v>13</v>
      </c>
      <c r="AO21" s="98">
        <v>0</v>
      </c>
    </row>
    <row r="22" spans="1:41" ht="15.9" customHeight="1" x14ac:dyDescent="0.3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3</v>
      </c>
      <c r="E22" s="98">
        <f t="shared" si="0"/>
        <v>6</v>
      </c>
      <c r="F22" s="98">
        <f t="shared" si="0"/>
        <v>1</v>
      </c>
      <c r="G22" s="98">
        <f t="shared" si="0"/>
        <v>0</v>
      </c>
      <c r="H22" s="8">
        <v>18</v>
      </c>
      <c r="I22" s="86"/>
      <c r="J22" s="25">
        <v>18</v>
      </c>
      <c r="K22" s="213" t="s">
        <v>37</v>
      </c>
      <c r="L22" s="213" t="s">
        <v>19</v>
      </c>
      <c r="M22" s="213" t="s">
        <v>89</v>
      </c>
      <c r="N22" s="213" t="s">
        <v>104</v>
      </c>
      <c r="O22" s="213" t="s">
        <v>20</v>
      </c>
      <c r="Q22" s="212">
        <v>7</v>
      </c>
      <c r="R22" s="212">
        <v>5</v>
      </c>
      <c r="S22" s="212">
        <v>14</v>
      </c>
      <c r="T22" s="212">
        <v>6</v>
      </c>
      <c r="U22" s="212">
        <v>1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11</v>
      </c>
      <c r="AF22" s="98">
        <v>42</v>
      </c>
      <c r="AG22" s="98">
        <v>11</v>
      </c>
      <c r="AH22" s="98">
        <v>0</v>
      </c>
      <c r="AI22" s="5"/>
      <c r="AJ22" s="133" t="str">
        <v>GA</v>
      </c>
      <c r="AK22" s="98">
        <v>0</v>
      </c>
      <c r="AL22" s="98">
        <v>11</v>
      </c>
      <c r="AM22" s="98">
        <v>42</v>
      </c>
      <c r="AN22" s="98">
        <v>11</v>
      </c>
      <c r="AO22" s="98">
        <v>0</v>
      </c>
    </row>
    <row r="23" spans="1:41" ht="15.9" customHeight="1" x14ac:dyDescent="0.3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2</v>
      </c>
      <c r="E23" s="98">
        <f t="shared" si="0"/>
        <v>9</v>
      </c>
      <c r="F23" s="98">
        <f t="shared" si="0"/>
        <v>2</v>
      </c>
      <c r="G23" s="98">
        <f t="shared" si="0"/>
        <v>0</v>
      </c>
      <c r="H23" s="8">
        <v>19</v>
      </c>
      <c r="I23" s="86"/>
      <c r="J23" s="9">
        <v>19</v>
      </c>
      <c r="K23" s="213" t="s">
        <v>18</v>
      </c>
      <c r="L23" s="213" t="s">
        <v>104</v>
      </c>
      <c r="M23" s="213" t="s">
        <v>93</v>
      </c>
      <c r="N23" s="213" t="s">
        <v>35</v>
      </c>
      <c r="O23" s="213" t="s">
        <v>34</v>
      </c>
      <c r="Q23" s="212">
        <v>4</v>
      </c>
      <c r="R23" s="212">
        <v>6</v>
      </c>
      <c r="S23" s="212">
        <v>18</v>
      </c>
      <c r="T23" s="212">
        <v>8</v>
      </c>
      <c r="U23" s="212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10</v>
      </c>
      <c r="AF23" s="98">
        <v>44</v>
      </c>
      <c r="AG23" s="98">
        <v>11</v>
      </c>
      <c r="AH23" s="98">
        <v>0</v>
      </c>
      <c r="AI23" s="5"/>
      <c r="AJ23" s="133" t="str">
        <v>GK</v>
      </c>
      <c r="AK23" s="98">
        <v>0</v>
      </c>
      <c r="AL23" s="98">
        <v>10</v>
      </c>
      <c r="AM23" s="98">
        <v>44</v>
      </c>
      <c r="AN23" s="98">
        <v>11</v>
      </c>
      <c r="AO23" s="98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213" t="s">
        <v>37</v>
      </c>
      <c r="L24" s="213" t="s">
        <v>37</v>
      </c>
      <c r="M24" s="213" t="s">
        <v>105</v>
      </c>
      <c r="N24" s="213" t="s">
        <v>87</v>
      </c>
      <c r="O24" s="213" t="s">
        <v>35</v>
      </c>
      <c r="Q24" s="212">
        <v>7</v>
      </c>
      <c r="R24" s="212">
        <v>7</v>
      </c>
      <c r="S24" s="212">
        <v>15</v>
      </c>
      <c r="T24" s="212">
        <v>12</v>
      </c>
      <c r="U24" s="212">
        <v>8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4</v>
      </c>
      <c r="AF24" s="98">
        <v>6</v>
      </c>
      <c r="AG24" s="98">
        <v>2</v>
      </c>
      <c r="AH24" s="98">
        <v>0</v>
      </c>
      <c r="AI24" s="5"/>
      <c r="AJ24" s="133" t="str">
        <v>GQ</v>
      </c>
      <c r="AK24" s="98">
        <v>0</v>
      </c>
      <c r="AL24" s="98">
        <v>4</v>
      </c>
      <c r="AM24" s="98">
        <v>6</v>
      </c>
      <c r="AN24" s="98">
        <v>2</v>
      </c>
      <c r="AO24" s="98">
        <v>0</v>
      </c>
    </row>
    <row r="25" spans="1:41" ht="16.5" customHeight="1" x14ac:dyDescent="0.3">
      <c r="I25" s="86"/>
      <c r="J25" s="9">
        <v>21</v>
      </c>
      <c r="K25" s="213" t="s">
        <v>104</v>
      </c>
      <c r="L25" s="213" t="s">
        <v>87</v>
      </c>
      <c r="M25" s="213" t="s">
        <v>90</v>
      </c>
      <c r="N25" s="213" t="s">
        <v>104</v>
      </c>
      <c r="O25" s="213" t="s">
        <v>104</v>
      </c>
      <c r="Q25" s="212">
        <v>6</v>
      </c>
      <c r="R25" s="212">
        <v>12</v>
      </c>
      <c r="S25" s="212">
        <v>16</v>
      </c>
      <c r="T25" s="212">
        <v>6</v>
      </c>
      <c r="U25" s="212">
        <v>6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3</v>
      </c>
      <c r="AF25" s="98">
        <v>9</v>
      </c>
      <c r="AG25" s="98">
        <v>3</v>
      </c>
      <c r="AH25" s="98">
        <v>0</v>
      </c>
      <c r="AI25" s="5"/>
      <c r="AJ25" s="133" t="str">
        <v>GJ</v>
      </c>
      <c r="AK25" s="98">
        <v>0</v>
      </c>
      <c r="AL25" s="98">
        <v>3</v>
      </c>
      <c r="AM25" s="98">
        <v>9</v>
      </c>
      <c r="AN25" s="98">
        <v>3</v>
      </c>
      <c r="AO25" s="98">
        <v>0</v>
      </c>
    </row>
    <row r="26" spans="1:41" ht="16.5" customHeight="1" x14ac:dyDescent="0.3">
      <c r="B26" s="5" t="s">
        <v>210</v>
      </c>
      <c r="C26" s="5">
        <f>SUM(C4:C14)/C24</f>
        <v>1</v>
      </c>
      <c r="D26" s="171">
        <f t="shared" ref="D26:G26" si="1">SUM(D4:D14)/D24</f>
        <v>0.78</v>
      </c>
      <c r="E26" s="171">
        <f t="shared" si="1"/>
        <v>0</v>
      </c>
      <c r="F26" s="171">
        <f t="shared" si="1"/>
        <v>0.82</v>
      </c>
      <c r="G26" s="5">
        <f t="shared" si="1"/>
        <v>1</v>
      </c>
      <c r="I26" s="86"/>
      <c r="J26" s="25">
        <v>22</v>
      </c>
      <c r="K26" s="213" t="s">
        <v>19</v>
      </c>
      <c r="L26" s="213" t="s">
        <v>35</v>
      </c>
      <c r="M26" s="213" t="s">
        <v>89</v>
      </c>
      <c r="N26" s="213" t="s">
        <v>35</v>
      </c>
      <c r="O26" s="213" t="s">
        <v>19</v>
      </c>
      <c r="Q26" s="212">
        <v>5</v>
      </c>
      <c r="R26" s="212">
        <v>8</v>
      </c>
      <c r="S26" s="212">
        <v>14</v>
      </c>
      <c r="T26" s="212">
        <v>8</v>
      </c>
      <c r="U26" s="212">
        <v>5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199</v>
      </c>
      <c r="AE26" s="109">
        <f>SUM(AE6:AE25)</f>
        <v>208</v>
      </c>
      <c r="AF26" s="109">
        <f>SUM(AF6:AF25)</f>
        <v>198</v>
      </c>
      <c r="AG26" s="109">
        <f>SUM(AG6:AG25)</f>
        <v>207</v>
      </c>
      <c r="AH26" s="109">
        <f>SUM(AH6:AH25)</f>
        <v>198</v>
      </c>
      <c r="AI26" s="5"/>
      <c r="AK26" s="109">
        <f>SUM(AK6:AK25)</f>
        <v>199</v>
      </c>
      <c r="AL26" s="109">
        <f>SUM(AL6:AL25)</f>
        <v>208</v>
      </c>
      <c r="AM26" s="109">
        <f>SUM(AM6:AM25)</f>
        <v>198</v>
      </c>
      <c r="AN26" s="109">
        <f>SUM(AN6:AN25)</f>
        <v>207</v>
      </c>
      <c r="AO26" s="109">
        <f>SUM(AO6:AO25)</f>
        <v>198</v>
      </c>
    </row>
    <row r="27" spans="1:41" ht="16.5" customHeight="1" x14ac:dyDescent="0.3">
      <c r="B27" s="5" t="s">
        <v>314</v>
      </c>
      <c r="C27" s="5">
        <f>SUM(C15:C23)/C24</f>
        <v>0</v>
      </c>
      <c r="D27" s="171">
        <f t="shared" ref="D27:G27" si="2">SUM(D15:D23)/D24</f>
        <v>0.22</v>
      </c>
      <c r="E27" s="171">
        <f t="shared" si="2"/>
        <v>1</v>
      </c>
      <c r="F27" s="171">
        <f t="shared" si="2"/>
        <v>0.18</v>
      </c>
      <c r="G27" s="5">
        <f t="shared" si="2"/>
        <v>0</v>
      </c>
      <c r="I27" s="86"/>
      <c r="J27" s="9">
        <v>23</v>
      </c>
      <c r="K27" s="213" t="s">
        <v>104</v>
      </c>
      <c r="L27" s="213" t="s">
        <v>104</v>
      </c>
      <c r="M27" s="213" t="s">
        <v>105</v>
      </c>
      <c r="N27" s="213" t="s">
        <v>102</v>
      </c>
      <c r="O27" s="213" t="s">
        <v>37</v>
      </c>
      <c r="Q27" s="212">
        <v>6</v>
      </c>
      <c r="R27" s="212">
        <v>6</v>
      </c>
      <c r="S27" s="212">
        <v>15</v>
      </c>
      <c r="T27" s="212">
        <v>17</v>
      </c>
      <c r="U27" s="212">
        <v>7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6"/>
      <c r="J28" s="25">
        <v>24</v>
      </c>
      <c r="K28" s="213" t="s">
        <v>37</v>
      </c>
      <c r="L28" s="213" t="s">
        <v>18</v>
      </c>
      <c r="M28" s="213" t="s">
        <v>90</v>
      </c>
      <c r="N28" s="213" t="s">
        <v>35</v>
      </c>
      <c r="O28" s="213" t="s">
        <v>21</v>
      </c>
      <c r="Q28" s="212">
        <v>7</v>
      </c>
      <c r="R28" s="212">
        <v>4</v>
      </c>
      <c r="S28" s="212">
        <v>16</v>
      </c>
      <c r="T28" s="212">
        <v>8</v>
      </c>
      <c r="U28" s="212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 x14ac:dyDescent="0.3">
      <c r="I29" s="86"/>
      <c r="J29" s="9">
        <v>25</v>
      </c>
      <c r="K29" s="213" t="s">
        <v>35</v>
      </c>
      <c r="L29" s="213" t="s">
        <v>104</v>
      </c>
      <c r="M29" s="213" t="s">
        <v>89</v>
      </c>
      <c r="N29" s="213" t="s">
        <v>37</v>
      </c>
      <c r="O29" s="213" t="s">
        <v>37</v>
      </c>
      <c r="Q29" s="212">
        <v>8</v>
      </c>
      <c r="R29" s="212">
        <v>6</v>
      </c>
      <c r="S29" s="212">
        <v>14</v>
      </c>
      <c r="T29" s="212">
        <v>7</v>
      </c>
      <c r="U29" s="212">
        <v>7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 x14ac:dyDescent="0.3">
      <c r="I30" s="86"/>
      <c r="J30" s="25">
        <v>26</v>
      </c>
      <c r="K30" s="213" t="s">
        <v>19</v>
      </c>
      <c r="L30" s="213" t="s">
        <v>35</v>
      </c>
      <c r="M30" s="213" t="s">
        <v>105</v>
      </c>
      <c r="N30" s="213" t="s">
        <v>35</v>
      </c>
      <c r="O30" s="213" t="s">
        <v>19</v>
      </c>
      <c r="Q30" s="212">
        <v>5</v>
      </c>
      <c r="R30" s="212">
        <v>8</v>
      </c>
      <c r="S30" s="212">
        <v>15</v>
      </c>
      <c r="T30" s="212">
        <v>8</v>
      </c>
      <c r="U30" s="212">
        <v>5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 cm="1">
        <f t="array" ref="AD30:AH49">$AD$6:$AH$25</f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 cm="1">
        <f t="array" ref="AK30:AO49">$AD$6:$AH$25</f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 x14ac:dyDescent="0.3">
      <c r="I31" s="86"/>
      <c r="J31" s="9">
        <v>27</v>
      </c>
      <c r="K31" s="213" t="s">
        <v>104</v>
      </c>
      <c r="L31" s="213" t="s">
        <v>37</v>
      </c>
      <c r="M31" s="213" t="s">
        <v>90</v>
      </c>
      <c r="N31" s="213" t="s">
        <v>37</v>
      </c>
      <c r="O31" s="213" t="s">
        <v>37</v>
      </c>
      <c r="Q31" s="212">
        <v>6</v>
      </c>
      <c r="R31" s="212">
        <v>7</v>
      </c>
      <c r="S31" s="212">
        <v>16</v>
      </c>
      <c r="T31" s="212">
        <v>7</v>
      </c>
      <c r="U31" s="212">
        <v>7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211">
        <v>1</v>
      </c>
      <c r="AE31" s="211">
        <v>1</v>
      </c>
      <c r="AF31" s="211">
        <v>0</v>
      </c>
      <c r="AG31" s="211">
        <v>1</v>
      </c>
      <c r="AH31" s="211">
        <v>1</v>
      </c>
      <c r="AI31" s="5"/>
      <c r="AJ31" s="133" t="str">
        <v>C1</v>
      </c>
      <c r="AK31" s="211">
        <v>1</v>
      </c>
      <c r="AL31" s="211">
        <v>1</v>
      </c>
      <c r="AM31" s="211">
        <v>0</v>
      </c>
      <c r="AN31" s="211">
        <v>1</v>
      </c>
      <c r="AO31" s="211">
        <v>1</v>
      </c>
    </row>
    <row r="32" spans="1:41" ht="16.5" customHeight="1" x14ac:dyDescent="0.3">
      <c r="J32" s="25">
        <v>28</v>
      </c>
      <c r="K32" s="213" t="s">
        <v>35</v>
      </c>
      <c r="L32" s="213" t="s">
        <v>34</v>
      </c>
      <c r="M32" s="213" t="s">
        <v>95</v>
      </c>
      <c r="N32" s="213" t="s">
        <v>104</v>
      </c>
      <c r="O32" s="213" t="s">
        <v>18</v>
      </c>
      <c r="Q32" s="212">
        <v>8</v>
      </c>
      <c r="R32" s="212">
        <v>9</v>
      </c>
      <c r="S32" s="212">
        <v>19</v>
      </c>
      <c r="T32" s="212">
        <v>6</v>
      </c>
      <c r="U32" s="212">
        <v>4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8" t="str">
        <v>M1</v>
      </c>
      <c r="AD32" s="128">
        <v>3</v>
      </c>
      <c r="AE32" s="128">
        <v>10</v>
      </c>
      <c r="AF32" s="128">
        <v>0</v>
      </c>
      <c r="AG32" s="128">
        <v>3</v>
      </c>
      <c r="AH32" s="128">
        <v>9</v>
      </c>
      <c r="AI32" s="5"/>
      <c r="AJ32" s="148" t="str">
        <v>M1</v>
      </c>
      <c r="AK32" s="128">
        <v>3</v>
      </c>
      <c r="AL32" s="128">
        <v>10</v>
      </c>
      <c r="AM32" s="128">
        <v>0</v>
      </c>
      <c r="AN32" s="128">
        <v>3</v>
      </c>
      <c r="AO32" s="128">
        <v>9</v>
      </c>
    </row>
    <row r="33" spans="10:41" ht="16.5" customHeight="1" x14ac:dyDescent="0.3">
      <c r="J33" s="9">
        <v>29</v>
      </c>
      <c r="K33" s="213" t="s">
        <v>19</v>
      </c>
      <c r="L33" s="213" t="s">
        <v>18</v>
      </c>
      <c r="M33" s="213" t="s">
        <v>90</v>
      </c>
      <c r="N33" s="213" t="s">
        <v>90</v>
      </c>
      <c r="O33" s="213" t="s">
        <v>35</v>
      </c>
      <c r="Q33" s="212">
        <v>5</v>
      </c>
      <c r="R33" s="212">
        <v>4</v>
      </c>
      <c r="S33" s="212">
        <v>16</v>
      </c>
      <c r="T33" s="212">
        <v>16</v>
      </c>
      <c r="U33" s="212">
        <v>8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8" t="str">
        <v>M2</v>
      </c>
      <c r="AD33" s="128">
        <v>3</v>
      </c>
      <c r="AE33" s="128">
        <v>12</v>
      </c>
      <c r="AF33" s="128">
        <v>0</v>
      </c>
      <c r="AG33" s="128">
        <v>3</v>
      </c>
      <c r="AH33" s="128">
        <v>8</v>
      </c>
      <c r="AI33" s="5"/>
      <c r="AJ33" s="148" t="str">
        <v>M2</v>
      </c>
      <c r="AK33" s="128">
        <v>3</v>
      </c>
      <c r="AL33" s="128">
        <v>12</v>
      </c>
      <c r="AM33" s="128">
        <v>0</v>
      </c>
      <c r="AN33" s="128">
        <v>3</v>
      </c>
      <c r="AO33" s="128">
        <v>8</v>
      </c>
    </row>
    <row r="34" spans="10:41" ht="16.5" customHeight="1" x14ac:dyDescent="0.3">
      <c r="J34" s="25">
        <v>30</v>
      </c>
      <c r="K34" s="213" t="s">
        <v>37</v>
      </c>
      <c r="L34" s="213" t="s">
        <v>34</v>
      </c>
      <c r="M34" s="213" t="s">
        <v>88</v>
      </c>
      <c r="N34" s="213" t="s">
        <v>19</v>
      </c>
      <c r="O34" s="213" t="s">
        <v>104</v>
      </c>
      <c r="Q34" s="212">
        <v>7</v>
      </c>
      <c r="R34" s="212">
        <v>9</v>
      </c>
      <c r="S34" s="212">
        <v>13</v>
      </c>
      <c r="T34" s="212">
        <v>5</v>
      </c>
      <c r="U34" s="212">
        <v>6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8" t="str">
        <v>M3</v>
      </c>
      <c r="AD34" s="128">
        <v>7</v>
      </c>
      <c r="AE34" s="128">
        <v>13</v>
      </c>
      <c r="AF34" s="128">
        <v>0</v>
      </c>
      <c r="AG34" s="128">
        <v>7</v>
      </c>
      <c r="AH34" s="128">
        <v>14</v>
      </c>
      <c r="AI34" s="5"/>
      <c r="AJ34" s="148" t="str">
        <v>M3</v>
      </c>
      <c r="AK34" s="128">
        <v>7</v>
      </c>
      <c r="AL34" s="128">
        <v>13</v>
      </c>
      <c r="AM34" s="128">
        <v>0</v>
      </c>
      <c r="AN34" s="128">
        <v>7</v>
      </c>
      <c r="AO34" s="128">
        <v>14</v>
      </c>
    </row>
    <row r="35" spans="10:41" ht="16.5" customHeight="1" x14ac:dyDescent="0.3">
      <c r="J35" s="9">
        <v>31</v>
      </c>
      <c r="K35" s="213" t="s">
        <v>35</v>
      </c>
      <c r="L35" s="213" t="s">
        <v>102</v>
      </c>
      <c r="M35" s="213" t="s">
        <v>105</v>
      </c>
      <c r="N35" s="213" t="s">
        <v>105</v>
      </c>
      <c r="O35" s="213" t="s">
        <v>37</v>
      </c>
      <c r="Q35" s="212">
        <v>8</v>
      </c>
      <c r="R35" s="212">
        <v>17</v>
      </c>
      <c r="S35" s="212">
        <v>15</v>
      </c>
      <c r="T35" s="212">
        <v>15</v>
      </c>
      <c r="U35" s="212">
        <v>7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8" t="str">
        <v>M4</v>
      </c>
      <c r="AD35" s="128">
        <v>43</v>
      </c>
      <c r="AE35" s="128">
        <v>22</v>
      </c>
      <c r="AF35" s="128">
        <v>0</v>
      </c>
      <c r="AG35" s="128">
        <v>31</v>
      </c>
      <c r="AH35" s="128">
        <v>36</v>
      </c>
      <c r="AI35" s="5"/>
      <c r="AJ35" s="148" t="str">
        <v>M4</v>
      </c>
      <c r="AK35" s="128">
        <v>43</v>
      </c>
      <c r="AL35" s="128">
        <v>22</v>
      </c>
      <c r="AM35" s="128">
        <v>0</v>
      </c>
      <c r="AN35" s="128">
        <v>31</v>
      </c>
      <c r="AO35" s="128">
        <v>36</v>
      </c>
    </row>
    <row r="36" spans="10:41" ht="16.5" customHeight="1" x14ac:dyDescent="0.3">
      <c r="J36" s="25">
        <v>32</v>
      </c>
      <c r="K36" s="213" t="s">
        <v>37</v>
      </c>
      <c r="L36" s="213" t="s">
        <v>37</v>
      </c>
      <c r="M36" s="213" t="s">
        <v>102</v>
      </c>
      <c r="N36" s="213" t="s">
        <v>35</v>
      </c>
      <c r="O36" s="213" t="s">
        <v>34</v>
      </c>
      <c r="Q36" s="212">
        <v>7</v>
      </c>
      <c r="R36" s="212">
        <v>7</v>
      </c>
      <c r="S36" s="212">
        <v>17</v>
      </c>
      <c r="T36" s="212">
        <v>8</v>
      </c>
      <c r="U36" s="212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8" t="str">
        <v>M5</v>
      </c>
      <c r="AD36" s="128">
        <v>42</v>
      </c>
      <c r="AE36" s="128">
        <v>22</v>
      </c>
      <c r="AF36" s="128">
        <v>0</v>
      </c>
      <c r="AG36" s="128">
        <v>27</v>
      </c>
      <c r="AH36" s="128">
        <v>34</v>
      </c>
      <c r="AI36" s="5"/>
      <c r="AJ36" s="148" t="str">
        <v>M5</v>
      </c>
      <c r="AK36" s="128">
        <v>42</v>
      </c>
      <c r="AL36" s="128">
        <v>22</v>
      </c>
      <c r="AM36" s="128">
        <v>0</v>
      </c>
      <c r="AN36" s="128">
        <v>27</v>
      </c>
      <c r="AO36" s="128">
        <v>34</v>
      </c>
    </row>
    <row r="37" spans="10:41" ht="16.5" customHeight="1" x14ac:dyDescent="0.3">
      <c r="J37" s="9">
        <v>33</v>
      </c>
      <c r="K37" s="213" t="s">
        <v>104</v>
      </c>
      <c r="L37" s="213" t="s">
        <v>19</v>
      </c>
      <c r="M37" s="213" t="s">
        <v>90</v>
      </c>
      <c r="N37" s="213" t="s">
        <v>19</v>
      </c>
      <c r="O37" s="213" t="s">
        <v>36</v>
      </c>
      <c r="Q37" s="212">
        <v>6</v>
      </c>
      <c r="R37" s="212">
        <v>5</v>
      </c>
      <c r="S37" s="212">
        <v>16</v>
      </c>
      <c r="T37" s="212">
        <v>5</v>
      </c>
      <c r="U37" s="212">
        <v>10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8" t="str">
        <v>A</v>
      </c>
      <c r="AD37" s="128">
        <v>43</v>
      </c>
      <c r="AE37" s="128">
        <v>27</v>
      </c>
      <c r="AF37" s="128">
        <v>0</v>
      </c>
      <c r="AG37" s="128">
        <v>31</v>
      </c>
      <c r="AH37" s="128">
        <v>35</v>
      </c>
      <c r="AI37" s="5"/>
      <c r="AJ37" s="148" t="str">
        <v>A</v>
      </c>
      <c r="AK37" s="128">
        <v>43</v>
      </c>
      <c r="AL37" s="128">
        <v>27</v>
      </c>
      <c r="AM37" s="128">
        <v>0</v>
      </c>
      <c r="AN37" s="128">
        <v>31</v>
      </c>
      <c r="AO37" s="128">
        <v>35</v>
      </c>
    </row>
    <row r="38" spans="10:41" ht="16.5" customHeight="1" x14ac:dyDescent="0.3">
      <c r="J38" s="25">
        <v>34</v>
      </c>
      <c r="K38" s="213" t="s">
        <v>19</v>
      </c>
      <c r="L38" s="213" t="s">
        <v>18</v>
      </c>
      <c r="M38" s="213" t="s">
        <v>105</v>
      </c>
      <c r="N38" s="213" t="s">
        <v>37</v>
      </c>
      <c r="O38" s="213" t="s">
        <v>37</v>
      </c>
      <c r="Q38" s="212">
        <v>5</v>
      </c>
      <c r="R38" s="212">
        <v>4</v>
      </c>
      <c r="S38" s="212">
        <v>15</v>
      </c>
      <c r="T38" s="212">
        <v>7</v>
      </c>
      <c r="U38" s="212">
        <v>7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8" t="str">
        <v>K</v>
      </c>
      <c r="AD38" s="128">
        <v>43</v>
      </c>
      <c r="AE38" s="128">
        <v>24</v>
      </c>
      <c r="AF38" s="128">
        <v>0</v>
      </c>
      <c r="AG38" s="128">
        <v>32</v>
      </c>
      <c r="AH38" s="128">
        <v>34</v>
      </c>
      <c r="AI38" s="5"/>
      <c r="AJ38" s="148" t="str">
        <v>K</v>
      </c>
      <c r="AK38" s="128">
        <v>43</v>
      </c>
      <c r="AL38" s="128">
        <v>24</v>
      </c>
      <c r="AM38" s="128">
        <v>0</v>
      </c>
      <c r="AN38" s="128">
        <v>32</v>
      </c>
      <c r="AO38" s="128">
        <v>34</v>
      </c>
    </row>
    <row r="39" spans="10:41" ht="16.5" customHeight="1" x14ac:dyDescent="0.3">
      <c r="J39" s="9">
        <v>35</v>
      </c>
      <c r="K39" s="213" t="s">
        <v>35</v>
      </c>
      <c r="L39" s="213" t="s">
        <v>22</v>
      </c>
      <c r="M39" s="213" t="s">
        <v>90</v>
      </c>
      <c r="N39" s="213" t="s">
        <v>102</v>
      </c>
      <c r="O39" s="213" t="s">
        <v>19</v>
      </c>
      <c r="Q39" s="212">
        <v>8</v>
      </c>
      <c r="R39" s="212">
        <v>3</v>
      </c>
      <c r="S39" s="212">
        <v>16</v>
      </c>
      <c r="T39" s="212">
        <v>17</v>
      </c>
      <c r="U39" s="212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8" t="str">
        <v>Q</v>
      </c>
      <c r="AD39" s="128">
        <v>7</v>
      </c>
      <c r="AE39" s="128">
        <v>12</v>
      </c>
      <c r="AF39" s="128">
        <v>0</v>
      </c>
      <c r="AG39" s="128">
        <v>6</v>
      </c>
      <c r="AH39" s="128">
        <v>13</v>
      </c>
      <c r="AI39" s="5"/>
      <c r="AJ39" s="148" t="str">
        <v>Q</v>
      </c>
      <c r="AK39" s="128">
        <v>7</v>
      </c>
      <c r="AL39" s="128">
        <v>12</v>
      </c>
      <c r="AM39" s="128">
        <v>0</v>
      </c>
      <c r="AN39" s="128">
        <v>6</v>
      </c>
      <c r="AO39" s="128">
        <v>13</v>
      </c>
    </row>
    <row r="40" spans="10:41" ht="16.5" customHeight="1" x14ac:dyDescent="0.3">
      <c r="J40" s="25">
        <v>36</v>
      </c>
      <c r="K40" s="213" t="s">
        <v>104</v>
      </c>
      <c r="L40" s="213" t="s">
        <v>20</v>
      </c>
      <c r="M40" s="213" t="s">
        <v>102</v>
      </c>
      <c r="N40" s="213" t="s">
        <v>36</v>
      </c>
      <c r="O40" s="213" t="s">
        <v>104</v>
      </c>
      <c r="Q40" s="212">
        <v>6</v>
      </c>
      <c r="R40" s="212">
        <v>1</v>
      </c>
      <c r="S40" s="212">
        <v>17</v>
      </c>
      <c r="T40" s="212">
        <v>10</v>
      </c>
      <c r="U40" s="212">
        <v>6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8" t="str">
        <v>J</v>
      </c>
      <c r="AD40" s="128">
        <v>7</v>
      </c>
      <c r="AE40" s="128">
        <v>8</v>
      </c>
      <c r="AF40" s="128">
        <v>0</v>
      </c>
      <c r="AG40" s="128">
        <v>7</v>
      </c>
      <c r="AH40" s="128">
        <v>14</v>
      </c>
      <c r="AI40" s="5"/>
      <c r="AJ40" s="148" t="str">
        <v>J</v>
      </c>
      <c r="AK40" s="128">
        <v>7</v>
      </c>
      <c r="AL40" s="128">
        <v>8</v>
      </c>
      <c r="AM40" s="128">
        <v>0</v>
      </c>
      <c r="AN40" s="128">
        <v>7</v>
      </c>
      <c r="AO40" s="128">
        <v>14</v>
      </c>
    </row>
    <row r="41" spans="10:41" ht="16.5" customHeight="1" x14ac:dyDescent="0.3">
      <c r="J41" s="9">
        <v>37</v>
      </c>
      <c r="K41" s="213" t="s">
        <v>35</v>
      </c>
      <c r="L41" s="213" t="s">
        <v>105</v>
      </c>
      <c r="M41" s="213" t="s">
        <v>105</v>
      </c>
      <c r="N41" s="213" t="s">
        <v>104</v>
      </c>
      <c r="O41" s="213" t="s">
        <v>18</v>
      </c>
      <c r="Q41" s="212">
        <v>8</v>
      </c>
      <c r="R41" s="212">
        <v>15</v>
      </c>
      <c r="S41" s="212">
        <v>15</v>
      </c>
      <c r="T41" s="212">
        <v>6</v>
      </c>
      <c r="U41" s="212">
        <v>4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3</v>
      </c>
      <c r="AF41" s="98">
        <v>3</v>
      </c>
      <c r="AG41" s="98">
        <v>2</v>
      </c>
      <c r="AH41" s="98">
        <v>0</v>
      </c>
      <c r="AI41" s="5"/>
      <c r="AJ41" s="133" t="str">
        <v>G1</v>
      </c>
      <c r="AK41" s="98">
        <v>0</v>
      </c>
      <c r="AL41" s="98">
        <v>3</v>
      </c>
      <c r="AM41" s="98">
        <v>3</v>
      </c>
      <c r="AN41" s="98">
        <v>2</v>
      </c>
      <c r="AO41" s="98">
        <v>0</v>
      </c>
    </row>
    <row r="42" spans="10:41" ht="16.5" customHeight="1" x14ac:dyDescent="0.3">
      <c r="J42" s="25">
        <v>38</v>
      </c>
      <c r="K42" s="213" t="s">
        <v>19</v>
      </c>
      <c r="L42" s="213" t="s">
        <v>19</v>
      </c>
      <c r="M42" s="213" t="s">
        <v>95</v>
      </c>
      <c r="N42" s="213" t="s">
        <v>18</v>
      </c>
      <c r="O42" s="213" t="s">
        <v>34</v>
      </c>
      <c r="Q42" s="212">
        <v>5</v>
      </c>
      <c r="R42" s="212">
        <v>5</v>
      </c>
      <c r="S42" s="212">
        <v>19</v>
      </c>
      <c r="T42" s="212">
        <v>4</v>
      </c>
      <c r="U42" s="212">
        <v>9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4</v>
      </c>
      <c r="AF42" s="98">
        <v>1</v>
      </c>
      <c r="AG42" s="98">
        <v>2</v>
      </c>
      <c r="AH42" s="98">
        <v>0</v>
      </c>
      <c r="AI42" s="5"/>
      <c r="AJ42" s="133" t="str">
        <v>G2</v>
      </c>
      <c r="AK42" s="98">
        <v>0</v>
      </c>
      <c r="AL42" s="98">
        <v>4</v>
      </c>
      <c r="AM42" s="98">
        <v>1</v>
      </c>
      <c r="AN42" s="98">
        <v>2</v>
      </c>
      <c r="AO42" s="98">
        <v>0</v>
      </c>
    </row>
    <row r="43" spans="10:41" ht="16.5" customHeight="1" x14ac:dyDescent="0.3">
      <c r="J43" s="9">
        <v>39</v>
      </c>
      <c r="K43" s="213" t="s">
        <v>35</v>
      </c>
      <c r="L43" s="213" t="s">
        <v>104</v>
      </c>
      <c r="M43" s="213" t="s">
        <v>86</v>
      </c>
      <c r="N43" s="213" t="s">
        <v>104</v>
      </c>
      <c r="O43" s="213" t="s">
        <v>37</v>
      </c>
      <c r="Q43" s="212">
        <v>8</v>
      </c>
      <c r="R43" s="212">
        <v>6</v>
      </c>
      <c r="S43" s="212">
        <v>11</v>
      </c>
      <c r="T43" s="212">
        <v>6</v>
      </c>
      <c r="U43" s="212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4</v>
      </c>
      <c r="AF43" s="98">
        <v>8</v>
      </c>
      <c r="AG43" s="98">
        <v>3</v>
      </c>
      <c r="AH43" s="98">
        <v>0</v>
      </c>
      <c r="AI43" s="5"/>
      <c r="AJ43" s="133" t="str">
        <v>G3</v>
      </c>
      <c r="AK43" s="98">
        <v>0</v>
      </c>
      <c r="AL43" s="98">
        <v>4</v>
      </c>
      <c r="AM43" s="98">
        <v>8</v>
      </c>
      <c r="AN43" s="98">
        <v>3</v>
      </c>
      <c r="AO43" s="98">
        <v>0</v>
      </c>
    </row>
    <row r="44" spans="10:41" ht="16.5" customHeight="1" x14ac:dyDescent="0.3">
      <c r="J44" s="25">
        <v>40</v>
      </c>
      <c r="K44" s="213" t="s">
        <v>104</v>
      </c>
      <c r="L44" s="213" t="s">
        <v>36</v>
      </c>
      <c r="M44" s="213" t="s">
        <v>89</v>
      </c>
      <c r="N44" s="213" t="s">
        <v>35</v>
      </c>
      <c r="O44" s="213" t="s">
        <v>34</v>
      </c>
      <c r="Q44" s="212">
        <v>6</v>
      </c>
      <c r="R44" s="212">
        <v>10</v>
      </c>
      <c r="S44" s="212">
        <v>14</v>
      </c>
      <c r="T44" s="212">
        <v>8</v>
      </c>
      <c r="U44" s="212">
        <v>9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9</v>
      </c>
      <c r="AF44" s="98">
        <v>43</v>
      </c>
      <c r="AG44" s="98">
        <v>12</v>
      </c>
      <c r="AH44" s="98">
        <v>0</v>
      </c>
      <c r="AI44" s="5"/>
      <c r="AJ44" s="133" t="str">
        <v>G4</v>
      </c>
      <c r="AK44" s="98">
        <v>0</v>
      </c>
      <c r="AL44" s="98">
        <v>9</v>
      </c>
      <c r="AM44" s="98">
        <v>43</v>
      </c>
      <c r="AN44" s="98">
        <v>12</v>
      </c>
      <c r="AO44" s="98">
        <v>0</v>
      </c>
    </row>
    <row r="45" spans="10:41" ht="16.5" customHeight="1" x14ac:dyDescent="0.3">
      <c r="J45" s="9">
        <v>41</v>
      </c>
      <c r="K45" s="213" t="s">
        <v>37</v>
      </c>
      <c r="L45" s="213" t="s">
        <v>22</v>
      </c>
      <c r="M45" s="213" t="s">
        <v>90</v>
      </c>
      <c r="N45" s="213" t="s">
        <v>19</v>
      </c>
      <c r="O45" s="213" t="s">
        <v>19</v>
      </c>
      <c r="Q45" s="212">
        <v>7</v>
      </c>
      <c r="R45" s="212">
        <v>3</v>
      </c>
      <c r="S45" s="212">
        <v>16</v>
      </c>
      <c r="T45" s="212">
        <v>5</v>
      </c>
      <c r="U45" s="212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9</v>
      </c>
      <c r="AF45" s="98">
        <v>42</v>
      </c>
      <c r="AG45" s="98">
        <v>13</v>
      </c>
      <c r="AH45" s="98">
        <v>0</v>
      </c>
      <c r="AI45" s="5"/>
      <c r="AJ45" s="133" t="str">
        <v>G5</v>
      </c>
      <c r="AK45" s="98">
        <v>0</v>
      </c>
      <c r="AL45" s="98">
        <v>9</v>
      </c>
      <c r="AM45" s="98">
        <v>42</v>
      </c>
      <c r="AN45" s="98">
        <v>13</v>
      </c>
      <c r="AO45" s="98">
        <v>0</v>
      </c>
    </row>
    <row r="46" spans="10:41" ht="16.5" customHeight="1" x14ac:dyDescent="0.3">
      <c r="J46" s="25">
        <v>42</v>
      </c>
      <c r="K46" s="213" t="s">
        <v>19</v>
      </c>
      <c r="L46" s="213" t="s">
        <v>37</v>
      </c>
      <c r="M46" s="213" t="s">
        <v>102</v>
      </c>
      <c r="N46" s="213" t="s">
        <v>104</v>
      </c>
      <c r="O46" s="213" t="s">
        <v>35</v>
      </c>
      <c r="Q46" s="212">
        <v>5</v>
      </c>
      <c r="R46" s="212">
        <v>7</v>
      </c>
      <c r="S46" s="212">
        <v>17</v>
      </c>
      <c r="T46" s="212">
        <v>6</v>
      </c>
      <c r="U46" s="212">
        <v>8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11</v>
      </c>
      <c r="AF46" s="98">
        <v>42</v>
      </c>
      <c r="AG46" s="98">
        <v>11</v>
      </c>
      <c r="AH46" s="98">
        <v>0</v>
      </c>
      <c r="AI46" s="5"/>
      <c r="AJ46" s="133" t="str">
        <v>GA</v>
      </c>
      <c r="AK46" s="98">
        <v>0</v>
      </c>
      <c r="AL46" s="98">
        <v>11</v>
      </c>
      <c r="AM46" s="98">
        <v>42</v>
      </c>
      <c r="AN46" s="98">
        <v>11</v>
      </c>
      <c r="AO46" s="98">
        <v>0</v>
      </c>
    </row>
    <row r="47" spans="10:41" ht="16.5" customHeight="1" x14ac:dyDescent="0.3">
      <c r="J47" s="9">
        <v>43</v>
      </c>
      <c r="K47" s="213" t="s">
        <v>35</v>
      </c>
      <c r="L47" s="213" t="s">
        <v>36</v>
      </c>
      <c r="M47" s="213" t="s">
        <v>90</v>
      </c>
      <c r="N47" s="213" t="s">
        <v>36</v>
      </c>
      <c r="O47" s="213" t="s">
        <v>19</v>
      </c>
      <c r="Q47" s="212">
        <v>8</v>
      </c>
      <c r="R47" s="212">
        <v>10</v>
      </c>
      <c r="S47" s="212">
        <v>16</v>
      </c>
      <c r="T47" s="212">
        <v>10</v>
      </c>
      <c r="U47" s="212">
        <v>5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10</v>
      </c>
      <c r="AF47" s="98">
        <v>44</v>
      </c>
      <c r="AG47" s="98">
        <v>11</v>
      </c>
      <c r="AH47" s="98">
        <v>0</v>
      </c>
      <c r="AI47" s="5"/>
      <c r="AJ47" s="133" t="str">
        <v>GK</v>
      </c>
      <c r="AK47" s="98">
        <v>0</v>
      </c>
      <c r="AL47" s="98">
        <v>10</v>
      </c>
      <c r="AM47" s="98">
        <v>44</v>
      </c>
      <c r="AN47" s="98">
        <v>11</v>
      </c>
      <c r="AO47" s="98">
        <v>0</v>
      </c>
    </row>
    <row r="48" spans="10:41" ht="16.5" customHeight="1" x14ac:dyDescent="0.3">
      <c r="J48" s="25">
        <v>44</v>
      </c>
      <c r="K48" s="213" t="s">
        <v>37</v>
      </c>
      <c r="L48" s="213" t="s">
        <v>104</v>
      </c>
      <c r="M48" s="213" t="s">
        <v>105</v>
      </c>
      <c r="N48" s="213" t="s">
        <v>35</v>
      </c>
      <c r="O48" s="213" t="s">
        <v>35</v>
      </c>
      <c r="Q48" s="212">
        <v>7</v>
      </c>
      <c r="R48" s="212">
        <v>6</v>
      </c>
      <c r="S48" s="212">
        <v>15</v>
      </c>
      <c r="T48" s="212">
        <v>8</v>
      </c>
      <c r="U48" s="212">
        <v>8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4</v>
      </c>
      <c r="AF48" s="98">
        <v>6</v>
      </c>
      <c r="AG48" s="98">
        <v>2</v>
      </c>
      <c r="AH48" s="98">
        <v>0</v>
      </c>
      <c r="AI48" s="5"/>
      <c r="AJ48" s="133" t="str">
        <v>GQ</v>
      </c>
      <c r="AK48" s="98">
        <v>0</v>
      </c>
      <c r="AL48" s="98">
        <v>4</v>
      </c>
      <c r="AM48" s="98">
        <v>6</v>
      </c>
      <c r="AN48" s="98">
        <v>2</v>
      </c>
      <c r="AO48" s="98">
        <v>0</v>
      </c>
    </row>
    <row r="49" spans="10:41" ht="16.5" customHeight="1" x14ac:dyDescent="0.3">
      <c r="J49" s="9">
        <v>45</v>
      </c>
      <c r="K49" s="213" t="s">
        <v>104</v>
      </c>
      <c r="L49" s="213" t="s">
        <v>19</v>
      </c>
      <c r="M49" s="213" t="s">
        <v>89</v>
      </c>
      <c r="N49" s="213" t="s">
        <v>104</v>
      </c>
      <c r="O49" s="213" t="s">
        <v>36</v>
      </c>
      <c r="Q49" s="212">
        <v>6</v>
      </c>
      <c r="R49" s="212">
        <v>5</v>
      </c>
      <c r="S49" s="212">
        <v>14</v>
      </c>
      <c r="T49" s="212">
        <v>6</v>
      </c>
      <c r="U49" s="212">
        <v>10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3</v>
      </c>
      <c r="AF49" s="98">
        <v>9</v>
      </c>
      <c r="AG49" s="98">
        <v>3</v>
      </c>
      <c r="AH49" s="98">
        <v>0</v>
      </c>
      <c r="AI49" s="5"/>
      <c r="AJ49" s="133" t="str">
        <v>GJ</v>
      </c>
      <c r="AK49" s="98">
        <v>0</v>
      </c>
      <c r="AL49" s="98">
        <v>3</v>
      </c>
      <c r="AM49" s="98">
        <v>9</v>
      </c>
      <c r="AN49" s="98">
        <v>3</v>
      </c>
      <c r="AO49" s="98">
        <v>0</v>
      </c>
    </row>
    <row r="50" spans="10:41" ht="16.5" customHeight="1" x14ac:dyDescent="0.3">
      <c r="J50" s="25">
        <v>46</v>
      </c>
      <c r="K50" s="213" t="s">
        <v>35</v>
      </c>
      <c r="L50" s="213" t="s">
        <v>34</v>
      </c>
      <c r="M50" s="213" t="s">
        <v>95</v>
      </c>
      <c r="N50" s="213" t="s">
        <v>90</v>
      </c>
      <c r="O50" s="213" t="s">
        <v>19</v>
      </c>
      <c r="Q50" s="212">
        <v>8</v>
      </c>
      <c r="R50" s="212">
        <v>9</v>
      </c>
      <c r="S50" s="212">
        <v>19</v>
      </c>
      <c r="T50" s="212">
        <v>16</v>
      </c>
      <c r="U50" s="212">
        <v>5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199</v>
      </c>
      <c r="AE50" s="109">
        <f>SUM(AE30:AE49)</f>
        <v>208</v>
      </c>
      <c r="AF50" s="109">
        <f>SUM(AF30:AF49)</f>
        <v>198</v>
      </c>
      <c r="AG50" s="109">
        <f>SUM(AG30:AG49)</f>
        <v>207</v>
      </c>
      <c r="AH50" s="109">
        <f>SUM(AH30:AH49)</f>
        <v>198</v>
      </c>
      <c r="AI50" s="5"/>
      <c r="AK50" s="109">
        <f>SUM(AK30:AK49)</f>
        <v>199</v>
      </c>
      <c r="AL50" s="109">
        <f>SUM(AL30:AL49)</f>
        <v>208</v>
      </c>
      <c r="AM50" s="109">
        <f>SUM(AM30:AM49)</f>
        <v>198</v>
      </c>
      <c r="AN50" s="109">
        <f>SUM(AN30:AN49)</f>
        <v>207</v>
      </c>
      <c r="AO50" s="109">
        <f>SUM(AO30:AO49)</f>
        <v>198</v>
      </c>
    </row>
    <row r="51" spans="10:41" ht="16.5" customHeight="1" x14ac:dyDescent="0.3">
      <c r="J51" s="9">
        <v>47</v>
      </c>
      <c r="K51" s="213" t="s">
        <v>19</v>
      </c>
      <c r="L51" s="213" t="s">
        <v>104</v>
      </c>
      <c r="M51" s="213" t="s">
        <v>90</v>
      </c>
      <c r="N51" s="213" t="s">
        <v>35</v>
      </c>
      <c r="O51" s="213" t="s">
        <v>104</v>
      </c>
      <c r="Q51" s="212">
        <v>5</v>
      </c>
      <c r="R51" s="212">
        <v>6</v>
      </c>
      <c r="S51" s="212">
        <v>16</v>
      </c>
      <c r="T51" s="212">
        <v>8</v>
      </c>
      <c r="U51" s="212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213" t="s">
        <v>36</v>
      </c>
      <c r="L52" s="213" t="s">
        <v>22</v>
      </c>
      <c r="M52" s="213" t="s">
        <v>102</v>
      </c>
      <c r="N52" s="213" t="s">
        <v>89</v>
      </c>
      <c r="O52" s="213" t="s">
        <v>18</v>
      </c>
      <c r="Q52" s="212">
        <v>10</v>
      </c>
      <c r="R52" s="212">
        <v>3</v>
      </c>
      <c r="S52" s="212">
        <v>17</v>
      </c>
      <c r="T52" s="212">
        <v>14</v>
      </c>
      <c r="U52" s="212">
        <v>4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 x14ac:dyDescent="0.3">
      <c r="J53" s="9">
        <v>49</v>
      </c>
      <c r="K53" s="213" t="s">
        <v>35</v>
      </c>
      <c r="L53" s="213" t="s">
        <v>37</v>
      </c>
      <c r="M53" s="213" t="s">
        <v>105</v>
      </c>
      <c r="N53" s="213" t="s">
        <v>105</v>
      </c>
      <c r="O53" s="213" t="s">
        <v>37</v>
      </c>
      <c r="Q53" s="212">
        <v>8</v>
      </c>
      <c r="R53" s="212">
        <v>7</v>
      </c>
      <c r="S53" s="212">
        <v>15</v>
      </c>
      <c r="T53" s="212">
        <v>15</v>
      </c>
      <c r="U53" s="212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 x14ac:dyDescent="0.3">
      <c r="J54" s="25">
        <v>50</v>
      </c>
      <c r="K54" s="213" t="s">
        <v>34</v>
      </c>
      <c r="L54" s="213" t="s">
        <v>105</v>
      </c>
      <c r="M54" s="213" t="s">
        <v>88</v>
      </c>
      <c r="N54" s="213" t="s">
        <v>102</v>
      </c>
      <c r="O54" s="213" t="s">
        <v>21</v>
      </c>
      <c r="Q54" s="212">
        <v>9</v>
      </c>
      <c r="R54" s="212">
        <v>15</v>
      </c>
      <c r="S54" s="212">
        <v>13</v>
      </c>
      <c r="T54" s="212">
        <v>17</v>
      </c>
      <c r="U54" s="212">
        <v>2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 cm="1">
        <f t="array" ref="AD54:AH73">$AD$6:$AH$25</f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 cm="1">
        <f t="array" ref="AK54:AO73">$AD$6:$AH$25</f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 x14ac:dyDescent="0.3">
      <c r="J55" s="9">
        <v>51</v>
      </c>
      <c r="K55" s="213" t="s">
        <v>19</v>
      </c>
      <c r="L55" s="213" t="s">
        <v>22</v>
      </c>
      <c r="M55" s="213" t="s">
        <v>89</v>
      </c>
      <c r="N55" s="213" t="s">
        <v>104</v>
      </c>
      <c r="O55" s="213" t="s">
        <v>104</v>
      </c>
      <c r="Q55" s="212">
        <v>5</v>
      </c>
      <c r="R55" s="212">
        <v>3</v>
      </c>
      <c r="S55" s="212">
        <v>14</v>
      </c>
      <c r="T55" s="212">
        <v>6</v>
      </c>
      <c r="U55" s="212">
        <v>6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211">
        <v>1</v>
      </c>
      <c r="AE55" s="211">
        <v>1</v>
      </c>
      <c r="AF55" s="211">
        <v>0</v>
      </c>
      <c r="AG55" s="211">
        <v>1</v>
      </c>
      <c r="AH55" s="211">
        <v>1</v>
      </c>
      <c r="AI55" s="5"/>
      <c r="AJ55" s="133" t="str">
        <v>C1</v>
      </c>
      <c r="AK55" s="211">
        <v>1</v>
      </c>
      <c r="AL55" s="211">
        <v>1</v>
      </c>
      <c r="AM55" s="211">
        <v>0</v>
      </c>
      <c r="AN55" s="211">
        <v>1</v>
      </c>
      <c r="AO55" s="211">
        <v>1</v>
      </c>
    </row>
    <row r="56" spans="10:41" ht="16.5" customHeight="1" x14ac:dyDescent="0.3">
      <c r="J56" s="25">
        <v>52</v>
      </c>
      <c r="K56" s="213" t="s">
        <v>35</v>
      </c>
      <c r="L56" s="213" t="s">
        <v>19</v>
      </c>
      <c r="M56" s="213" t="s">
        <v>88</v>
      </c>
      <c r="N56" s="213" t="s">
        <v>35</v>
      </c>
      <c r="O56" s="213" t="s">
        <v>37</v>
      </c>
      <c r="Q56" s="212">
        <v>8</v>
      </c>
      <c r="R56" s="212">
        <v>5</v>
      </c>
      <c r="S56" s="212">
        <v>13</v>
      </c>
      <c r="T56" s="212">
        <v>8</v>
      </c>
      <c r="U56" s="212">
        <v>7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8" t="str">
        <v>M1</v>
      </c>
      <c r="AD56" s="128">
        <v>3</v>
      </c>
      <c r="AE56" s="128">
        <v>10</v>
      </c>
      <c r="AF56" s="128">
        <v>0</v>
      </c>
      <c r="AG56" s="128">
        <v>3</v>
      </c>
      <c r="AH56" s="128">
        <v>9</v>
      </c>
      <c r="AI56" s="5"/>
      <c r="AJ56" s="148" t="str">
        <v>M1</v>
      </c>
      <c r="AK56" s="128">
        <v>3</v>
      </c>
      <c r="AL56" s="128">
        <v>10</v>
      </c>
      <c r="AM56" s="128">
        <v>0</v>
      </c>
      <c r="AN56" s="128">
        <v>3</v>
      </c>
      <c r="AO56" s="128">
        <v>9</v>
      </c>
    </row>
    <row r="57" spans="10:41" ht="16.5" customHeight="1" x14ac:dyDescent="0.3">
      <c r="J57" s="9">
        <v>53</v>
      </c>
      <c r="K57" s="213" t="s">
        <v>21</v>
      </c>
      <c r="L57" s="213" t="s">
        <v>86</v>
      </c>
      <c r="M57" s="213" t="s">
        <v>102</v>
      </c>
      <c r="N57" s="213" t="s">
        <v>90</v>
      </c>
      <c r="O57" s="213" t="s">
        <v>19</v>
      </c>
      <c r="Q57" s="212">
        <v>2</v>
      </c>
      <c r="R57" s="212">
        <v>11</v>
      </c>
      <c r="S57" s="212">
        <v>17</v>
      </c>
      <c r="T57" s="212">
        <v>16</v>
      </c>
      <c r="U57" s="212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8" t="str">
        <v>M2</v>
      </c>
      <c r="AD57" s="128">
        <v>3</v>
      </c>
      <c r="AE57" s="128">
        <v>12</v>
      </c>
      <c r="AF57" s="128">
        <v>0</v>
      </c>
      <c r="AG57" s="128">
        <v>3</v>
      </c>
      <c r="AH57" s="128">
        <v>8</v>
      </c>
      <c r="AI57" s="5"/>
      <c r="AJ57" s="148" t="str">
        <v>M2</v>
      </c>
      <c r="AK57" s="128">
        <v>3</v>
      </c>
      <c r="AL57" s="128">
        <v>12</v>
      </c>
      <c r="AM57" s="128">
        <v>0</v>
      </c>
      <c r="AN57" s="128">
        <v>3</v>
      </c>
      <c r="AO57" s="128">
        <v>8</v>
      </c>
    </row>
    <row r="58" spans="10:41" ht="16.5" customHeight="1" x14ac:dyDescent="0.3">
      <c r="J58" s="25">
        <v>54</v>
      </c>
      <c r="K58" s="213" t="s">
        <v>35</v>
      </c>
      <c r="L58" s="213" t="s">
        <v>20</v>
      </c>
      <c r="M58" s="213" t="s">
        <v>89</v>
      </c>
      <c r="N58" s="213" t="s">
        <v>102</v>
      </c>
      <c r="O58" s="213" t="s">
        <v>35</v>
      </c>
      <c r="Q58" s="212">
        <v>8</v>
      </c>
      <c r="R58" s="212">
        <v>1</v>
      </c>
      <c r="S58" s="212">
        <v>14</v>
      </c>
      <c r="T58" s="212">
        <v>17</v>
      </c>
      <c r="U58" s="212">
        <v>8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8" t="str">
        <v>M3</v>
      </c>
      <c r="AD58" s="128">
        <v>7</v>
      </c>
      <c r="AE58" s="128">
        <v>13</v>
      </c>
      <c r="AF58" s="128">
        <v>0</v>
      </c>
      <c r="AG58" s="128">
        <v>7</v>
      </c>
      <c r="AH58" s="128">
        <v>14</v>
      </c>
      <c r="AI58" s="5"/>
      <c r="AJ58" s="148" t="str">
        <v>M3</v>
      </c>
      <c r="AK58" s="128">
        <v>7</v>
      </c>
      <c r="AL58" s="128">
        <v>13</v>
      </c>
      <c r="AM58" s="128">
        <v>0</v>
      </c>
      <c r="AN58" s="128">
        <v>7</v>
      </c>
      <c r="AO58" s="128">
        <v>14</v>
      </c>
    </row>
    <row r="59" spans="10:41" ht="16.5" customHeight="1" x14ac:dyDescent="0.3">
      <c r="J59" s="9">
        <v>55</v>
      </c>
      <c r="K59" s="213" t="s">
        <v>104</v>
      </c>
      <c r="L59" s="213" t="s">
        <v>90</v>
      </c>
      <c r="M59" s="213" t="s">
        <v>105</v>
      </c>
      <c r="N59" s="213" t="s">
        <v>35</v>
      </c>
      <c r="O59" s="213" t="s">
        <v>34</v>
      </c>
      <c r="Q59" s="212">
        <v>6</v>
      </c>
      <c r="R59" s="212">
        <v>16</v>
      </c>
      <c r="S59" s="212">
        <v>15</v>
      </c>
      <c r="T59" s="212">
        <v>8</v>
      </c>
      <c r="U59" s="212">
        <v>9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8" t="str">
        <v>M4</v>
      </c>
      <c r="AD59" s="128">
        <v>43</v>
      </c>
      <c r="AE59" s="128">
        <v>22</v>
      </c>
      <c r="AF59" s="128">
        <v>0</v>
      </c>
      <c r="AG59" s="128">
        <v>31</v>
      </c>
      <c r="AH59" s="128">
        <v>36</v>
      </c>
      <c r="AI59" s="5"/>
      <c r="AJ59" s="148" t="str">
        <v>M4</v>
      </c>
      <c r="AK59" s="128">
        <v>43</v>
      </c>
      <c r="AL59" s="128">
        <v>22</v>
      </c>
      <c r="AM59" s="128">
        <v>0</v>
      </c>
      <c r="AN59" s="128">
        <v>31</v>
      </c>
      <c r="AO59" s="128">
        <v>36</v>
      </c>
    </row>
    <row r="60" spans="10:41" ht="16.5" customHeight="1" x14ac:dyDescent="0.3">
      <c r="J60" s="25">
        <v>56</v>
      </c>
      <c r="K60" s="213" t="s">
        <v>18</v>
      </c>
      <c r="L60" s="213" t="s">
        <v>19</v>
      </c>
      <c r="M60" s="213" t="s">
        <v>102</v>
      </c>
      <c r="N60" s="213" t="s">
        <v>104</v>
      </c>
      <c r="O60" s="213" t="s">
        <v>35</v>
      </c>
      <c r="Q60" s="212">
        <v>4</v>
      </c>
      <c r="R60" s="212">
        <v>5</v>
      </c>
      <c r="S60" s="212">
        <v>17</v>
      </c>
      <c r="T60" s="212">
        <v>6</v>
      </c>
      <c r="U60" s="212">
        <v>8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8" t="str">
        <v>M5</v>
      </c>
      <c r="AD60" s="128">
        <v>42</v>
      </c>
      <c r="AE60" s="128">
        <v>22</v>
      </c>
      <c r="AF60" s="128">
        <v>0</v>
      </c>
      <c r="AG60" s="128">
        <v>27</v>
      </c>
      <c r="AH60" s="128">
        <v>34</v>
      </c>
      <c r="AI60" s="5"/>
      <c r="AJ60" s="148" t="str">
        <v>M5</v>
      </c>
      <c r="AK60" s="128">
        <v>42</v>
      </c>
      <c r="AL60" s="128">
        <v>22</v>
      </c>
      <c r="AM60" s="128">
        <v>0</v>
      </c>
      <c r="AN60" s="128">
        <v>27</v>
      </c>
      <c r="AO60" s="128">
        <v>34</v>
      </c>
    </row>
    <row r="61" spans="10:41" x14ac:dyDescent="0.3">
      <c r="J61" s="9">
        <v>57</v>
      </c>
      <c r="K61" s="213" t="s">
        <v>35</v>
      </c>
      <c r="L61" s="213" t="s">
        <v>104</v>
      </c>
      <c r="M61" s="213" t="s">
        <v>105</v>
      </c>
      <c r="N61" s="213" t="s">
        <v>21</v>
      </c>
      <c r="O61" s="213" t="s">
        <v>18</v>
      </c>
      <c r="Q61" s="212">
        <v>8</v>
      </c>
      <c r="R61" s="212">
        <v>6</v>
      </c>
      <c r="S61" s="212">
        <v>15</v>
      </c>
      <c r="T61" s="212">
        <v>2</v>
      </c>
      <c r="U61" s="212">
        <v>4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8" t="str">
        <v>A</v>
      </c>
      <c r="AD61" s="128">
        <v>43</v>
      </c>
      <c r="AE61" s="128">
        <v>27</v>
      </c>
      <c r="AF61" s="128">
        <v>0</v>
      </c>
      <c r="AG61" s="128">
        <v>31</v>
      </c>
      <c r="AH61" s="128">
        <v>35</v>
      </c>
      <c r="AI61" s="5"/>
      <c r="AJ61" s="148" t="str">
        <v>A</v>
      </c>
      <c r="AK61" s="128">
        <v>43</v>
      </c>
      <c r="AL61" s="128">
        <v>27</v>
      </c>
      <c r="AM61" s="128">
        <v>0</v>
      </c>
      <c r="AN61" s="128">
        <v>31</v>
      </c>
      <c r="AO61" s="128">
        <v>35</v>
      </c>
    </row>
    <row r="62" spans="10:41" x14ac:dyDescent="0.3">
      <c r="J62" s="25">
        <v>58</v>
      </c>
      <c r="K62" s="213" t="s">
        <v>104</v>
      </c>
      <c r="L62" s="213" t="s">
        <v>89</v>
      </c>
      <c r="M62" s="213" t="s">
        <v>90</v>
      </c>
      <c r="N62" s="213" t="s">
        <v>89</v>
      </c>
      <c r="O62" s="213" t="s">
        <v>36</v>
      </c>
      <c r="Q62" s="212">
        <v>6</v>
      </c>
      <c r="R62" s="212">
        <v>14</v>
      </c>
      <c r="S62" s="212">
        <v>16</v>
      </c>
      <c r="T62" s="212">
        <v>14</v>
      </c>
      <c r="U62" s="212">
        <v>10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8" t="str">
        <v>K</v>
      </c>
      <c r="AD62" s="128">
        <v>43</v>
      </c>
      <c r="AE62" s="128">
        <v>24</v>
      </c>
      <c r="AF62" s="128">
        <v>0</v>
      </c>
      <c r="AG62" s="128">
        <v>32</v>
      </c>
      <c r="AH62" s="128">
        <v>34</v>
      </c>
      <c r="AI62" s="5"/>
      <c r="AJ62" s="148" t="str">
        <v>K</v>
      </c>
      <c r="AK62" s="128">
        <v>43</v>
      </c>
      <c r="AL62" s="128">
        <v>24</v>
      </c>
      <c r="AM62" s="128">
        <v>0</v>
      </c>
      <c r="AN62" s="128">
        <v>32</v>
      </c>
      <c r="AO62" s="128">
        <v>34</v>
      </c>
    </row>
    <row r="63" spans="10:41" ht="16.5" customHeight="1" x14ac:dyDescent="0.3">
      <c r="J63" s="9">
        <v>59</v>
      </c>
      <c r="K63" s="213" t="s">
        <v>35</v>
      </c>
      <c r="L63" s="213" t="s">
        <v>21</v>
      </c>
      <c r="M63" s="213" t="s">
        <v>105</v>
      </c>
      <c r="N63" s="213" t="s">
        <v>35</v>
      </c>
      <c r="O63" s="213" t="s">
        <v>18</v>
      </c>
      <c r="Q63" s="212">
        <v>8</v>
      </c>
      <c r="R63" s="212">
        <v>2</v>
      </c>
      <c r="S63" s="212">
        <v>15</v>
      </c>
      <c r="T63" s="212">
        <v>8</v>
      </c>
      <c r="U63" s="212">
        <v>4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8" t="str">
        <v>Q</v>
      </c>
      <c r="AD63" s="128">
        <v>7</v>
      </c>
      <c r="AE63" s="128">
        <v>12</v>
      </c>
      <c r="AF63" s="128">
        <v>0</v>
      </c>
      <c r="AG63" s="128">
        <v>6</v>
      </c>
      <c r="AH63" s="128">
        <v>13</v>
      </c>
      <c r="AI63" s="5"/>
      <c r="AJ63" s="148" t="str">
        <v>Q</v>
      </c>
      <c r="AK63" s="128">
        <v>7</v>
      </c>
      <c r="AL63" s="128">
        <v>12</v>
      </c>
      <c r="AM63" s="128">
        <v>0</v>
      </c>
      <c r="AN63" s="128">
        <v>6</v>
      </c>
      <c r="AO63" s="128">
        <v>13</v>
      </c>
    </row>
    <row r="64" spans="10:41" ht="16.5" customHeight="1" x14ac:dyDescent="0.3">
      <c r="J64" s="25">
        <v>60</v>
      </c>
      <c r="K64" s="213" t="s">
        <v>19</v>
      </c>
      <c r="L64" s="213" t="s">
        <v>87</v>
      </c>
      <c r="M64" s="213" t="s">
        <v>102</v>
      </c>
      <c r="N64" s="213" t="s">
        <v>104</v>
      </c>
      <c r="O64" s="213" t="s">
        <v>37</v>
      </c>
      <c r="Q64" s="212">
        <v>5</v>
      </c>
      <c r="R64" s="212">
        <v>12</v>
      </c>
      <c r="S64" s="212">
        <v>17</v>
      </c>
      <c r="T64" s="212">
        <v>6</v>
      </c>
      <c r="U64" s="212">
        <v>7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8" t="str">
        <v>J</v>
      </c>
      <c r="AD64" s="128">
        <v>7</v>
      </c>
      <c r="AE64" s="128">
        <v>8</v>
      </c>
      <c r="AF64" s="128">
        <v>0</v>
      </c>
      <c r="AG64" s="128">
        <v>7</v>
      </c>
      <c r="AH64" s="128">
        <v>14</v>
      </c>
      <c r="AI64" s="5"/>
      <c r="AJ64" s="148" t="str">
        <v>J</v>
      </c>
      <c r="AK64" s="128">
        <v>7</v>
      </c>
      <c r="AL64" s="128">
        <v>8</v>
      </c>
      <c r="AM64" s="128">
        <v>0</v>
      </c>
      <c r="AN64" s="128">
        <v>7</v>
      </c>
      <c r="AO64" s="128">
        <v>14</v>
      </c>
    </row>
    <row r="65" spans="10:41" ht="16.5" customHeight="1" x14ac:dyDescent="0.3">
      <c r="J65" s="9">
        <v>61</v>
      </c>
      <c r="K65" s="213" t="s">
        <v>104</v>
      </c>
      <c r="L65" s="213" t="s">
        <v>104</v>
      </c>
      <c r="M65" s="213" t="s">
        <v>88</v>
      </c>
      <c r="N65" s="213" t="s">
        <v>19</v>
      </c>
      <c r="O65" s="213" t="s">
        <v>35</v>
      </c>
      <c r="Q65" s="212">
        <v>6</v>
      </c>
      <c r="R65" s="212">
        <v>6</v>
      </c>
      <c r="S65" s="212">
        <v>13</v>
      </c>
      <c r="T65" s="212">
        <v>5</v>
      </c>
      <c r="U65" s="212">
        <v>8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3</v>
      </c>
      <c r="AF65" s="98">
        <v>3</v>
      </c>
      <c r="AG65" s="98">
        <v>2</v>
      </c>
      <c r="AH65" s="98">
        <v>0</v>
      </c>
      <c r="AI65" s="5"/>
      <c r="AJ65" s="133" t="str">
        <v>G1</v>
      </c>
      <c r="AK65" s="98">
        <v>0</v>
      </c>
      <c r="AL65" s="98">
        <v>3</v>
      </c>
      <c r="AM65" s="98">
        <v>3</v>
      </c>
      <c r="AN65" s="98">
        <v>2</v>
      </c>
      <c r="AO65" s="98">
        <v>0</v>
      </c>
    </row>
    <row r="66" spans="10:41" ht="16.5" customHeight="1" x14ac:dyDescent="0.3">
      <c r="J66" s="25">
        <v>62</v>
      </c>
      <c r="K66" s="213" t="s">
        <v>37</v>
      </c>
      <c r="L66" s="213" t="s">
        <v>93</v>
      </c>
      <c r="M66" s="213" t="s">
        <v>102</v>
      </c>
      <c r="N66" s="213" t="s">
        <v>104</v>
      </c>
      <c r="O66" s="213" t="s">
        <v>104</v>
      </c>
      <c r="Q66" s="212">
        <v>7</v>
      </c>
      <c r="R66" s="212">
        <v>18</v>
      </c>
      <c r="S66" s="212">
        <v>17</v>
      </c>
      <c r="T66" s="212">
        <v>6</v>
      </c>
      <c r="U66" s="212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4</v>
      </c>
      <c r="AF66" s="98">
        <v>1</v>
      </c>
      <c r="AG66" s="98">
        <v>2</v>
      </c>
      <c r="AH66" s="98">
        <v>0</v>
      </c>
      <c r="AI66" s="5"/>
      <c r="AJ66" s="133" t="str">
        <v>G2</v>
      </c>
      <c r="AK66" s="98">
        <v>0</v>
      </c>
      <c r="AL66" s="98">
        <v>4</v>
      </c>
      <c r="AM66" s="98">
        <v>1</v>
      </c>
      <c r="AN66" s="98">
        <v>2</v>
      </c>
      <c r="AO66" s="98">
        <v>0</v>
      </c>
    </row>
    <row r="67" spans="10:41" ht="16.5" customHeight="1" x14ac:dyDescent="0.3">
      <c r="J67" s="9">
        <v>63</v>
      </c>
      <c r="K67" s="213" t="s">
        <v>19</v>
      </c>
      <c r="L67" s="213" t="s">
        <v>18</v>
      </c>
      <c r="M67" s="213" t="s">
        <v>90</v>
      </c>
      <c r="N67" s="213" t="s">
        <v>35</v>
      </c>
      <c r="O67" s="213" t="s">
        <v>35</v>
      </c>
      <c r="Q67" s="212">
        <v>5</v>
      </c>
      <c r="R67" s="212">
        <v>4</v>
      </c>
      <c r="S67" s="212">
        <v>16</v>
      </c>
      <c r="T67" s="212">
        <v>8</v>
      </c>
      <c r="U67" s="212">
        <v>8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4</v>
      </c>
      <c r="AF67" s="98">
        <v>8</v>
      </c>
      <c r="AG67" s="98">
        <v>3</v>
      </c>
      <c r="AH67" s="98">
        <v>0</v>
      </c>
      <c r="AI67" s="5"/>
      <c r="AJ67" s="133" t="str">
        <v>G3</v>
      </c>
      <c r="AK67" s="98">
        <v>0</v>
      </c>
      <c r="AL67" s="98">
        <v>4</v>
      </c>
      <c r="AM67" s="98">
        <v>8</v>
      </c>
      <c r="AN67" s="98">
        <v>3</v>
      </c>
      <c r="AO67" s="98">
        <v>0</v>
      </c>
    </row>
    <row r="68" spans="10:41" ht="16.5" customHeight="1" x14ac:dyDescent="0.3">
      <c r="J68" s="25">
        <v>64</v>
      </c>
      <c r="K68" s="213" t="s">
        <v>37</v>
      </c>
      <c r="L68" s="213" t="s">
        <v>37</v>
      </c>
      <c r="M68" s="213" t="s">
        <v>89</v>
      </c>
      <c r="N68" s="213" t="s">
        <v>19</v>
      </c>
      <c r="O68" s="213" t="s">
        <v>19</v>
      </c>
      <c r="Q68" s="212">
        <v>7</v>
      </c>
      <c r="R68" s="212">
        <v>7</v>
      </c>
      <c r="S68" s="212">
        <v>14</v>
      </c>
      <c r="T68" s="212">
        <v>5</v>
      </c>
      <c r="U68" s="212">
        <v>5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9</v>
      </c>
      <c r="AF68" s="98">
        <v>43</v>
      </c>
      <c r="AG68" s="98">
        <v>12</v>
      </c>
      <c r="AH68" s="98">
        <v>0</v>
      </c>
      <c r="AI68" s="5"/>
      <c r="AJ68" s="133" t="str">
        <v>G4</v>
      </c>
      <c r="AK68" s="98">
        <v>0</v>
      </c>
      <c r="AL68" s="98">
        <v>9</v>
      </c>
      <c r="AM68" s="98">
        <v>43</v>
      </c>
      <c r="AN68" s="98">
        <v>12</v>
      </c>
      <c r="AO68" s="98">
        <v>0</v>
      </c>
    </row>
    <row r="69" spans="10:41" ht="16.5" customHeight="1" x14ac:dyDescent="0.3">
      <c r="J69" s="9">
        <v>65</v>
      </c>
      <c r="K69" s="213" t="s">
        <v>35</v>
      </c>
      <c r="L69" s="213" t="s">
        <v>18</v>
      </c>
      <c r="M69" s="213" t="s">
        <v>105</v>
      </c>
      <c r="N69" s="213" t="s">
        <v>104</v>
      </c>
      <c r="O69" s="213" t="s">
        <v>104</v>
      </c>
      <c r="Q69" s="212">
        <v>8</v>
      </c>
      <c r="R69" s="212">
        <v>4</v>
      </c>
      <c r="S69" s="212">
        <v>15</v>
      </c>
      <c r="T69" s="212">
        <v>6</v>
      </c>
      <c r="U69" s="212">
        <v>6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9</v>
      </c>
      <c r="AF69" s="98">
        <v>42</v>
      </c>
      <c r="AG69" s="98">
        <v>13</v>
      </c>
      <c r="AH69" s="98">
        <v>0</v>
      </c>
      <c r="AI69" s="5"/>
      <c r="AJ69" s="133" t="str">
        <v>G5</v>
      </c>
      <c r="AK69" s="98">
        <v>0</v>
      </c>
      <c r="AL69" s="98">
        <v>9</v>
      </c>
      <c r="AM69" s="98">
        <v>42</v>
      </c>
      <c r="AN69" s="98">
        <v>13</v>
      </c>
      <c r="AO69" s="98">
        <v>0</v>
      </c>
    </row>
    <row r="70" spans="10:41" ht="16.5" customHeight="1" x14ac:dyDescent="0.3">
      <c r="J70" s="25">
        <v>66</v>
      </c>
      <c r="K70" s="213" t="s">
        <v>37</v>
      </c>
      <c r="L70" s="213" t="s">
        <v>102</v>
      </c>
      <c r="M70" s="213" t="s">
        <v>102</v>
      </c>
      <c r="N70" s="213" t="s">
        <v>20</v>
      </c>
      <c r="O70" s="213" t="s">
        <v>36</v>
      </c>
      <c r="Q70" s="212">
        <v>7</v>
      </c>
      <c r="R70" s="212">
        <v>17</v>
      </c>
      <c r="S70" s="212">
        <v>17</v>
      </c>
      <c r="T70" s="212">
        <v>1</v>
      </c>
      <c r="U70" s="212">
        <v>10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11</v>
      </c>
      <c r="AF70" s="98">
        <v>42</v>
      </c>
      <c r="AG70" s="98">
        <v>11</v>
      </c>
      <c r="AH70" s="98">
        <v>0</v>
      </c>
      <c r="AI70" s="5"/>
      <c r="AJ70" s="133" t="str">
        <v>GA</v>
      </c>
      <c r="AK70" s="98">
        <v>0</v>
      </c>
      <c r="AL70" s="98">
        <v>11</v>
      </c>
      <c r="AM70" s="98">
        <v>42</v>
      </c>
      <c r="AN70" s="98">
        <v>11</v>
      </c>
      <c r="AO70" s="98">
        <v>0</v>
      </c>
    </row>
    <row r="71" spans="10:41" ht="16.5" customHeight="1" x14ac:dyDescent="0.3">
      <c r="J71" s="9">
        <v>67</v>
      </c>
      <c r="K71" s="213" t="s">
        <v>104</v>
      </c>
      <c r="L71" s="213" t="s">
        <v>19</v>
      </c>
      <c r="M71" s="213" t="s">
        <v>89</v>
      </c>
      <c r="N71" s="213" t="s">
        <v>19</v>
      </c>
      <c r="O71" s="213" t="s">
        <v>35</v>
      </c>
      <c r="Q71" s="212">
        <v>6</v>
      </c>
      <c r="R71" s="212">
        <v>5</v>
      </c>
      <c r="S71" s="212">
        <v>14</v>
      </c>
      <c r="T71" s="212">
        <v>5</v>
      </c>
      <c r="U71" s="212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10</v>
      </c>
      <c r="AF71" s="98">
        <v>44</v>
      </c>
      <c r="AG71" s="98">
        <v>11</v>
      </c>
      <c r="AH71" s="98">
        <v>0</v>
      </c>
      <c r="AI71" s="5"/>
      <c r="AJ71" s="133" t="str">
        <v>GK</v>
      </c>
      <c r="AK71" s="98">
        <v>0</v>
      </c>
      <c r="AL71" s="98">
        <v>10</v>
      </c>
      <c r="AM71" s="98">
        <v>44</v>
      </c>
      <c r="AN71" s="98">
        <v>11</v>
      </c>
      <c r="AO71" s="98">
        <v>0</v>
      </c>
    </row>
    <row r="72" spans="10:41" ht="16.5" customHeight="1" x14ac:dyDescent="0.3">
      <c r="J72" s="25">
        <v>68</v>
      </c>
      <c r="K72" s="213" t="s">
        <v>19</v>
      </c>
      <c r="L72" s="213" t="s">
        <v>34</v>
      </c>
      <c r="M72" s="213" t="s">
        <v>102</v>
      </c>
      <c r="N72" s="213" t="s">
        <v>104</v>
      </c>
      <c r="O72" s="213" t="s">
        <v>36</v>
      </c>
      <c r="Q72" s="212">
        <v>5</v>
      </c>
      <c r="R72" s="212">
        <v>9</v>
      </c>
      <c r="S72" s="212">
        <v>17</v>
      </c>
      <c r="T72" s="212">
        <v>6</v>
      </c>
      <c r="U72" s="212">
        <v>10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4</v>
      </c>
      <c r="AF72" s="98">
        <v>6</v>
      </c>
      <c r="AG72" s="98">
        <v>2</v>
      </c>
      <c r="AH72" s="98">
        <v>0</v>
      </c>
      <c r="AI72" s="5"/>
      <c r="AJ72" s="133" t="str">
        <v>GQ</v>
      </c>
      <c r="AK72" s="98">
        <v>0</v>
      </c>
      <c r="AL72" s="98">
        <v>4</v>
      </c>
      <c r="AM72" s="98">
        <v>6</v>
      </c>
      <c r="AN72" s="98">
        <v>2</v>
      </c>
      <c r="AO72" s="98">
        <v>0</v>
      </c>
    </row>
    <row r="73" spans="10:41" ht="16.5" customHeight="1" x14ac:dyDescent="0.3">
      <c r="J73" s="9">
        <v>69</v>
      </c>
      <c r="K73" s="213" t="s">
        <v>35</v>
      </c>
      <c r="L73" s="213" t="s">
        <v>19</v>
      </c>
      <c r="M73" s="213" t="s">
        <v>105</v>
      </c>
      <c r="N73" s="213" t="s">
        <v>35</v>
      </c>
      <c r="O73" s="213" t="s">
        <v>19</v>
      </c>
      <c r="Q73" s="212">
        <v>8</v>
      </c>
      <c r="R73" s="212">
        <v>5</v>
      </c>
      <c r="S73" s="212">
        <v>15</v>
      </c>
      <c r="T73" s="212">
        <v>8</v>
      </c>
      <c r="U73" s="212">
        <v>5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3</v>
      </c>
      <c r="AF73" s="98">
        <v>9</v>
      </c>
      <c r="AG73" s="98">
        <v>3</v>
      </c>
      <c r="AH73" s="98">
        <v>0</v>
      </c>
      <c r="AI73" s="5"/>
      <c r="AJ73" s="133" t="str">
        <v>GJ</v>
      </c>
      <c r="AK73" s="98">
        <v>0</v>
      </c>
      <c r="AL73" s="98">
        <v>3</v>
      </c>
      <c r="AM73" s="98">
        <v>9</v>
      </c>
      <c r="AN73" s="98">
        <v>3</v>
      </c>
      <c r="AO73" s="98">
        <v>0</v>
      </c>
    </row>
    <row r="74" spans="10:41" ht="16.5" customHeight="1" x14ac:dyDescent="0.3">
      <c r="J74" s="25">
        <v>70</v>
      </c>
      <c r="K74" s="213" t="s">
        <v>19</v>
      </c>
      <c r="L74" s="213" t="s">
        <v>104</v>
      </c>
      <c r="M74" s="213" t="s">
        <v>102</v>
      </c>
      <c r="N74" s="213" t="s">
        <v>104</v>
      </c>
      <c r="O74" s="213" t="s">
        <v>21</v>
      </c>
      <c r="Q74" s="212">
        <v>5</v>
      </c>
      <c r="R74" s="212">
        <v>6</v>
      </c>
      <c r="S74" s="212">
        <v>17</v>
      </c>
      <c r="T74" s="212">
        <v>6</v>
      </c>
      <c r="U74" s="212">
        <v>2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199</v>
      </c>
      <c r="AE74" s="109">
        <f>SUM(AE54:AE73)</f>
        <v>208</v>
      </c>
      <c r="AF74" s="109">
        <f>SUM(AF54:AF73)</f>
        <v>198</v>
      </c>
      <c r="AG74" s="109">
        <f>SUM(AG54:AG73)</f>
        <v>207</v>
      </c>
      <c r="AH74" s="109">
        <f>SUM(AH54:AH73)</f>
        <v>198</v>
      </c>
      <c r="AI74" s="5"/>
      <c r="AK74" s="109">
        <f>SUM(AK54:AK73)</f>
        <v>199</v>
      </c>
      <c r="AL74" s="109">
        <f>SUM(AL54:AL73)</f>
        <v>208</v>
      </c>
      <c r="AM74" s="109">
        <f>SUM(AM54:AM73)</f>
        <v>198</v>
      </c>
      <c r="AN74" s="109">
        <f>SUM(AN54:AN73)</f>
        <v>207</v>
      </c>
      <c r="AO74" s="109">
        <f>SUM(AO54:AO73)</f>
        <v>198</v>
      </c>
    </row>
    <row r="75" spans="10:41" ht="16.5" customHeight="1" x14ac:dyDescent="0.3">
      <c r="J75" s="9">
        <v>71</v>
      </c>
      <c r="K75" s="213" t="s">
        <v>35</v>
      </c>
      <c r="L75" s="213" t="s">
        <v>18</v>
      </c>
      <c r="M75" s="213" t="s">
        <v>88</v>
      </c>
      <c r="N75" s="213" t="s">
        <v>19</v>
      </c>
      <c r="O75" s="213" t="s">
        <v>22</v>
      </c>
      <c r="Q75" s="212">
        <v>8</v>
      </c>
      <c r="R75" s="212">
        <v>4</v>
      </c>
      <c r="S75" s="212">
        <v>13</v>
      </c>
      <c r="T75" s="212">
        <v>5</v>
      </c>
      <c r="U75" s="212">
        <v>3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213" t="s">
        <v>21</v>
      </c>
      <c r="L76" s="213" t="s">
        <v>102</v>
      </c>
      <c r="M76" s="213" t="s">
        <v>102</v>
      </c>
      <c r="N76" s="213" t="s">
        <v>35</v>
      </c>
      <c r="O76" s="213" t="s">
        <v>37</v>
      </c>
      <c r="Q76" s="212">
        <v>2</v>
      </c>
      <c r="R76" s="212">
        <v>17</v>
      </c>
      <c r="S76" s="212">
        <v>17</v>
      </c>
      <c r="T76" s="212">
        <v>8</v>
      </c>
      <c r="U76" s="212">
        <v>7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213" t="s">
        <v>34</v>
      </c>
      <c r="L77" s="213" t="s">
        <v>18</v>
      </c>
      <c r="M77" s="213" t="s">
        <v>86</v>
      </c>
      <c r="N77" s="213" t="s">
        <v>104</v>
      </c>
      <c r="O77" s="213" t="s">
        <v>20</v>
      </c>
      <c r="Q77" s="212">
        <v>9</v>
      </c>
      <c r="R77" s="212">
        <v>4</v>
      </c>
      <c r="S77" s="212">
        <v>11</v>
      </c>
      <c r="T77" s="212">
        <v>6</v>
      </c>
      <c r="U77" s="212">
        <v>1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213" t="s">
        <v>104</v>
      </c>
      <c r="L78" s="213" t="s">
        <v>21</v>
      </c>
      <c r="M78" s="213" t="s">
        <v>89</v>
      </c>
      <c r="N78" s="213" t="s">
        <v>37</v>
      </c>
      <c r="O78" s="213" t="s">
        <v>34</v>
      </c>
      <c r="Q78" s="212">
        <v>6</v>
      </c>
      <c r="R78" s="212">
        <v>2</v>
      </c>
      <c r="S78" s="212">
        <v>14</v>
      </c>
      <c r="T78" s="212">
        <v>7</v>
      </c>
      <c r="U78" s="212">
        <v>9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213" t="s">
        <v>35</v>
      </c>
      <c r="L79" s="213" t="s">
        <v>19</v>
      </c>
      <c r="M79" s="213" t="s">
        <v>90</v>
      </c>
      <c r="N79" s="213" t="s">
        <v>35</v>
      </c>
      <c r="O79" s="213" t="s">
        <v>104</v>
      </c>
      <c r="Q79" s="212">
        <v>8</v>
      </c>
      <c r="R79" s="212">
        <v>5</v>
      </c>
      <c r="S79" s="212">
        <v>16</v>
      </c>
      <c r="T79" s="212">
        <v>8</v>
      </c>
      <c r="U79" s="212">
        <v>6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213" t="s">
        <v>37</v>
      </c>
      <c r="L80" s="213" t="s">
        <v>104</v>
      </c>
      <c r="M80" s="213" t="s">
        <v>88</v>
      </c>
      <c r="N80" s="213" t="s">
        <v>19</v>
      </c>
      <c r="O80" s="213" t="s">
        <v>19</v>
      </c>
      <c r="Q80" s="212">
        <v>7</v>
      </c>
      <c r="R80" s="212">
        <v>6</v>
      </c>
      <c r="S80" s="212">
        <v>13</v>
      </c>
      <c r="T80" s="212">
        <v>5</v>
      </c>
      <c r="U80" s="212">
        <v>5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213" t="s">
        <v>104</v>
      </c>
      <c r="L81" s="213" t="s">
        <v>37</v>
      </c>
      <c r="M81" s="213" t="s">
        <v>89</v>
      </c>
      <c r="N81" s="213" t="s">
        <v>18</v>
      </c>
      <c r="O81" s="213" t="s">
        <v>37</v>
      </c>
      <c r="Q81" s="212">
        <v>6</v>
      </c>
      <c r="R81" s="212">
        <v>7</v>
      </c>
      <c r="S81" s="212">
        <v>14</v>
      </c>
      <c r="T81" s="212">
        <v>4</v>
      </c>
      <c r="U81" s="212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213" t="s">
        <v>37</v>
      </c>
      <c r="L82" s="213" t="s">
        <v>93</v>
      </c>
      <c r="M82" s="213" t="s">
        <v>90</v>
      </c>
      <c r="N82" s="213" t="s">
        <v>19</v>
      </c>
      <c r="O82" s="213" t="s">
        <v>35</v>
      </c>
      <c r="Q82" s="212">
        <v>7</v>
      </c>
      <c r="R82" s="212">
        <v>18</v>
      </c>
      <c r="S82" s="212">
        <v>16</v>
      </c>
      <c r="T82" s="212">
        <v>5</v>
      </c>
      <c r="U82" s="212">
        <v>8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213" t="s">
        <v>104</v>
      </c>
      <c r="L83" s="213" t="s">
        <v>19</v>
      </c>
      <c r="M83" s="213" t="s">
        <v>89</v>
      </c>
      <c r="N83" s="213" t="s">
        <v>35</v>
      </c>
      <c r="O83" s="213" t="s">
        <v>21</v>
      </c>
      <c r="Q83" s="212">
        <v>6</v>
      </c>
      <c r="R83" s="212">
        <v>5</v>
      </c>
      <c r="S83" s="212">
        <v>14</v>
      </c>
      <c r="T83" s="212">
        <v>8</v>
      </c>
      <c r="U83" s="212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213" t="s">
        <v>35</v>
      </c>
      <c r="L84" s="213" t="s">
        <v>34</v>
      </c>
      <c r="M84" s="213" t="s">
        <v>102</v>
      </c>
      <c r="N84" s="213" t="s">
        <v>19</v>
      </c>
      <c r="O84" s="213" t="s">
        <v>35</v>
      </c>
      <c r="Q84" s="212">
        <v>8</v>
      </c>
      <c r="R84" s="212">
        <v>9</v>
      </c>
      <c r="S84" s="212">
        <v>17</v>
      </c>
      <c r="T84" s="212">
        <v>5</v>
      </c>
      <c r="U84" s="212">
        <v>8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213" t="s">
        <v>19</v>
      </c>
      <c r="L85" s="213" t="s">
        <v>104</v>
      </c>
      <c r="M85" s="213" t="s">
        <v>105</v>
      </c>
      <c r="N85" s="213" t="s">
        <v>35</v>
      </c>
      <c r="O85" s="213" t="s">
        <v>18</v>
      </c>
      <c r="Q85" s="212">
        <v>5</v>
      </c>
      <c r="R85" s="212">
        <v>6</v>
      </c>
      <c r="S85" s="212">
        <v>15</v>
      </c>
      <c r="T85" s="212">
        <v>8</v>
      </c>
      <c r="U85" s="212">
        <v>4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213" t="s">
        <v>35</v>
      </c>
      <c r="L86" s="213" t="s">
        <v>37</v>
      </c>
      <c r="M86" s="213" t="s">
        <v>89</v>
      </c>
      <c r="N86" s="213" t="s">
        <v>19</v>
      </c>
      <c r="O86" s="213" t="s">
        <v>19</v>
      </c>
      <c r="Q86" s="212">
        <v>8</v>
      </c>
      <c r="R86" s="212">
        <v>7</v>
      </c>
      <c r="S86" s="212">
        <v>14</v>
      </c>
      <c r="T86" s="212">
        <v>5</v>
      </c>
      <c r="U86" s="212">
        <v>5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213" t="s">
        <v>104</v>
      </c>
      <c r="L87" s="213" t="s">
        <v>105</v>
      </c>
      <c r="M87" s="213" t="s">
        <v>105</v>
      </c>
      <c r="N87" s="213" t="s">
        <v>105</v>
      </c>
      <c r="O87" s="213" t="s">
        <v>37</v>
      </c>
      <c r="Q87" s="212">
        <v>6</v>
      </c>
      <c r="R87" s="212">
        <v>15</v>
      </c>
      <c r="S87" s="212">
        <v>15</v>
      </c>
      <c r="T87" s="212">
        <v>15</v>
      </c>
      <c r="U87" s="212">
        <v>7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213" t="s">
        <v>19</v>
      </c>
      <c r="L88" s="213" t="s">
        <v>37</v>
      </c>
      <c r="M88" s="213" t="s">
        <v>102</v>
      </c>
      <c r="N88" s="213" t="s">
        <v>35</v>
      </c>
      <c r="O88" s="213" t="s">
        <v>19</v>
      </c>
      <c r="Q88" s="212">
        <v>5</v>
      </c>
      <c r="R88" s="212">
        <v>7</v>
      </c>
      <c r="S88" s="212">
        <v>17</v>
      </c>
      <c r="T88" s="212">
        <v>8</v>
      </c>
      <c r="U88" s="212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213" t="s">
        <v>18</v>
      </c>
      <c r="L89" s="213" t="s">
        <v>18</v>
      </c>
      <c r="M89" s="213" t="s">
        <v>89</v>
      </c>
      <c r="N89" s="213" t="s">
        <v>19</v>
      </c>
      <c r="O89" s="213" t="s">
        <v>35</v>
      </c>
      <c r="Q89" s="212">
        <v>4</v>
      </c>
      <c r="R89" s="212">
        <v>4</v>
      </c>
      <c r="S89" s="212">
        <v>14</v>
      </c>
      <c r="T89" s="212">
        <v>5</v>
      </c>
      <c r="U89" s="212">
        <v>8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213" t="s">
        <v>19</v>
      </c>
      <c r="L90" s="213" t="s">
        <v>35</v>
      </c>
      <c r="M90" s="213" t="s">
        <v>105</v>
      </c>
      <c r="N90" s="213" t="s">
        <v>37</v>
      </c>
      <c r="O90" s="213" t="s">
        <v>36</v>
      </c>
      <c r="Q90" s="212">
        <v>5</v>
      </c>
      <c r="R90" s="212">
        <v>8</v>
      </c>
      <c r="S90" s="212">
        <v>15</v>
      </c>
      <c r="T90" s="212">
        <v>7</v>
      </c>
      <c r="U90" s="212">
        <v>10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213" t="s">
        <v>104</v>
      </c>
      <c r="L91" s="213" t="s">
        <v>104</v>
      </c>
      <c r="M91" s="213" t="s">
        <v>89</v>
      </c>
      <c r="N91" s="213" t="s">
        <v>104</v>
      </c>
      <c r="O91" s="213" t="s">
        <v>35</v>
      </c>
      <c r="Q91" s="212">
        <v>6</v>
      </c>
      <c r="R91" s="212">
        <v>6</v>
      </c>
      <c r="S91" s="212">
        <v>14</v>
      </c>
      <c r="T91" s="212">
        <v>6</v>
      </c>
      <c r="U91" s="212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213" t="s">
        <v>19</v>
      </c>
      <c r="L92" s="213" t="s">
        <v>89</v>
      </c>
      <c r="M92" s="213" t="s">
        <v>87</v>
      </c>
      <c r="N92" s="213" t="s">
        <v>90</v>
      </c>
      <c r="O92" s="213" t="s">
        <v>19</v>
      </c>
      <c r="Q92" s="212">
        <v>5</v>
      </c>
      <c r="R92" s="212">
        <v>14</v>
      </c>
      <c r="S92" s="212">
        <v>12</v>
      </c>
      <c r="T92" s="212">
        <v>16</v>
      </c>
      <c r="U92" s="212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213" t="s">
        <v>35</v>
      </c>
      <c r="L93" s="213" t="s">
        <v>37</v>
      </c>
      <c r="M93" s="213" t="s">
        <v>90</v>
      </c>
      <c r="N93" s="213" t="s">
        <v>20</v>
      </c>
      <c r="O93" s="213" t="s">
        <v>104</v>
      </c>
      <c r="Q93" s="212">
        <v>8</v>
      </c>
      <c r="R93" s="212">
        <v>7</v>
      </c>
      <c r="S93" s="212">
        <v>16</v>
      </c>
      <c r="T93" s="212">
        <v>1</v>
      </c>
      <c r="U93" s="212">
        <v>6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213" t="s">
        <v>104</v>
      </c>
      <c r="L94" s="213" t="s">
        <v>35</v>
      </c>
      <c r="M94" s="213" t="s">
        <v>102</v>
      </c>
      <c r="N94" s="213" t="s">
        <v>104</v>
      </c>
      <c r="O94" s="213" t="s">
        <v>35</v>
      </c>
      <c r="Q94" s="212">
        <v>6</v>
      </c>
      <c r="R94" s="212">
        <v>8</v>
      </c>
      <c r="S94" s="212">
        <v>17</v>
      </c>
      <c r="T94" s="212">
        <v>6</v>
      </c>
      <c r="U94" s="212">
        <v>8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213" t="s">
        <v>37</v>
      </c>
      <c r="L95" s="213" t="s">
        <v>36</v>
      </c>
      <c r="M95" s="213" t="s">
        <v>90</v>
      </c>
      <c r="N95" s="213" t="s">
        <v>19</v>
      </c>
      <c r="O95" s="213" t="s">
        <v>36</v>
      </c>
      <c r="Q95" s="212">
        <v>7</v>
      </c>
      <c r="R95" s="212">
        <v>10</v>
      </c>
      <c r="S95" s="212">
        <v>16</v>
      </c>
      <c r="T95" s="212">
        <v>5</v>
      </c>
      <c r="U95" s="212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213" t="s">
        <v>104</v>
      </c>
      <c r="L96" s="213" t="s">
        <v>104</v>
      </c>
      <c r="M96" s="213" t="s">
        <v>102</v>
      </c>
      <c r="N96" s="213" t="s">
        <v>36</v>
      </c>
      <c r="O96" s="213" t="s">
        <v>19</v>
      </c>
      <c r="Q96" s="212">
        <v>6</v>
      </c>
      <c r="R96" s="212">
        <v>6</v>
      </c>
      <c r="S96" s="212">
        <v>17</v>
      </c>
      <c r="T96" s="212">
        <v>10</v>
      </c>
      <c r="U96" s="212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213" t="s">
        <v>37</v>
      </c>
      <c r="L97" s="213" t="s">
        <v>34</v>
      </c>
      <c r="M97" s="213" t="s">
        <v>89</v>
      </c>
      <c r="N97" s="213" t="s">
        <v>37</v>
      </c>
      <c r="O97" s="213" t="s">
        <v>37</v>
      </c>
      <c r="Q97" s="212">
        <v>7</v>
      </c>
      <c r="R97" s="212">
        <v>9</v>
      </c>
      <c r="S97" s="212">
        <v>14</v>
      </c>
      <c r="T97" s="212">
        <v>7</v>
      </c>
      <c r="U97" s="212">
        <v>7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213" t="s">
        <v>35</v>
      </c>
      <c r="L98" s="213" t="s">
        <v>93</v>
      </c>
      <c r="M98" s="213" t="s">
        <v>90</v>
      </c>
      <c r="N98" s="213" t="s">
        <v>35</v>
      </c>
      <c r="O98" s="213" t="s">
        <v>19</v>
      </c>
      <c r="Q98" s="212">
        <v>8</v>
      </c>
      <c r="R98" s="212">
        <v>18</v>
      </c>
      <c r="S98" s="212">
        <v>16</v>
      </c>
      <c r="T98" s="212">
        <v>8</v>
      </c>
      <c r="U98" s="212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213" t="s">
        <v>37</v>
      </c>
      <c r="L99" s="213" t="s">
        <v>21</v>
      </c>
      <c r="M99" s="213" t="s">
        <v>102</v>
      </c>
      <c r="N99" s="213" t="s">
        <v>89</v>
      </c>
      <c r="O99" s="213" t="s">
        <v>104</v>
      </c>
      <c r="Q99" s="212">
        <v>7</v>
      </c>
      <c r="R99" s="212">
        <v>2</v>
      </c>
      <c r="S99" s="212">
        <v>17</v>
      </c>
      <c r="T99" s="212">
        <v>14</v>
      </c>
      <c r="U99" s="212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213" t="s">
        <v>19</v>
      </c>
      <c r="L100" s="213" t="s">
        <v>36</v>
      </c>
      <c r="M100" s="213" t="s">
        <v>105</v>
      </c>
      <c r="N100" s="213" t="s">
        <v>95</v>
      </c>
      <c r="O100" s="213" t="s">
        <v>18</v>
      </c>
      <c r="Q100" s="212">
        <v>5</v>
      </c>
      <c r="R100" s="212">
        <v>10</v>
      </c>
      <c r="S100" s="212">
        <v>15</v>
      </c>
      <c r="T100" s="212">
        <v>19</v>
      </c>
      <c r="U100" s="212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213" t="s">
        <v>104</v>
      </c>
      <c r="L101" s="213" t="s">
        <v>34</v>
      </c>
      <c r="M101" s="213" t="s">
        <v>102</v>
      </c>
      <c r="N101" s="213" t="s">
        <v>37</v>
      </c>
      <c r="O101" s="213" t="s">
        <v>104</v>
      </c>
      <c r="Q101" s="212">
        <v>6</v>
      </c>
      <c r="R101" s="212">
        <v>9</v>
      </c>
      <c r="S101" s="212">
        <v>17</v>
      </c>
      <c r="T101" s="212">
        <v>7</v>
      </c>
      <c r="U101" s="212">
        <v>6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213" t="s">
        <v>35</v>
      </c>
      <c r="L102" s="213" t="s">
        <v>37</v>
      </c>
      <c r="M102" s="213" t="s">
        <v>105</v>
      </c>
      <c r="N102" s="213" t="s">
        <v>95</v>
      </c>
      <c r="O102" s="213" t="s">
        <v>35</v>
      </c>
      <c r="Q102" s="212">
        <v>8</v>
      </c>
      <c r="R102" s="212">
        <v>7</v>
      </c>
      <c r="S102" s="212">
        <v>15</v>
      </c>
      <c r="T102" s="212">
        <v>19</v>
      </c>
      <c r="U102" s="212">
        <v>8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213" t="s">
        <v>37</v>
      </c>
      <c r="L103" s="213" t="s">
        <v>88</v>
      </c>
      <c r="M103" s="213" t="s">
        <v>102</v>
      </c>
      <c r="N103" s="213" t="s">
        <v>35</v>
      </c>
      <c r="O103" s="213" t="s">
        <v>18</v>
      </c>
      <c r="Q103" s="212">
        <v>7</v>
      </c>
      <c r="R103" s="212">
        <v>13</v>
      </c>
      <c r="S103" s="212">
        <v>17</v>
      </c>
      <c r="T103" s="212">
        <v>8</v>
      </c>
      <c r="U103" s="212">
        <v>4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213" t="s">
        <v>19</v>
      </c>
      <c r="L104" s="213" t="s">
        <v>90</v>
      </c>
      <c r="M104" s="213" t="s">
        <v>89</v>
      </c>
      <c r="N104" s="213" t="s">
        <v>89</v>
      </c>
      <c r="O104" s="213" t="s">
        <v>104</v>
      </c>
      <c r="Q104" s="212">
        <v>5</v>
      </c>
      <c r="R104" s="212">
        <v>16</v>
      </c>
      <c r="S104" s="212">
        <v>14</v>
      </c>
      <c r="T104" s="212">
        <v>14</v>
      </c>
      <c r="U104" s="212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213" t="s">
        <v>36</v>
      </c>
      <c r="L105" s="213" t="s">
        <v>36</v>
      </c>
      <c r="M105" s="213" t="s">
        <v>105</v>
      </c>
      <c r="N105" s="213" t="s">
        <v>104</v>
      </c>
      <c r="O105" s="213" t="s">
        <v>21</v>
      </c>
      <c r="Q105" s="212">
        <v>10</v>
      </c>
      <c r="R105" s="212">
        <v>10</v>
      </c>
      <c r="S105" s="212">
        <v>15</v>
      </c>
      <c r="T105" s="212">
        <v>6</v>
      </c>
      <c r="U105" s="212">
        <v>2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213" t="s">
        <v>104</v>
      </c>
      <c r="L106" s="213" t="s">
        <v>37</v>
      </c>
      <c r="M106" s="213" t="s">
        <v>93</v>
      </c>
      <c r="N106" s="213" t="s">
        <v>18</v>
      </c>
      <c r="O106" s="213" t="s">
        <v>18</v>
      </c>
      <c r="Q106" s="212">
        <v>6</v>
      </c>
      <c r="R106" s="212">
        <v>7</v>
      </c>
      <c r="S106" s="212">
        <v>18</v>
      </c>
      <c r="T106" s="212">
        <v>4</v>
      </c>
      <c r="U106" s="212">
        <v>4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213" t="s">
        <v>19</v>
      </c>
      <c r="L107" s="213" t="s">
        <v>90</v>
      </c>
      <c r="M107" s="213" t="s">
        <v>102</v>
      </c>
      <c r="N107" s="213" t="s">
        <v>105</v>
      </c>
      <c r="O107" s="213" t="s">
        <v>104</v>
      </c>
      <c r="Q107" s="212">
        <v>5</v>
      </c>
      <c r="R107" s="212">
        <v>16</v>
      </c>
      <c r="S107" s="212">
        <v>17</v>
      </c>
      <c r="T107" s="212">
        <v>15</v>
      </c>
      <c r="U107" s="212">
        <v>6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213" t="s">
        <v>37</v>
      </c>
      <c r="L108" s="213" t="s">
        <v>37</v>
      </c>
      <c r="M108" s="213" t="s">
        <v>105</v>
      </c>
      <c r="N108" s="213" t="s">
        <v>19</v>
      </c>
      <c r="O108" s="213" t="s">
        <v>37</v>
      </c>
      <c r="Q108" s="212">
        <v>7</v>
      </c>
      <c r="R108" s="212">
        <v>7</v>
      </c>
      <c r="S108" s="212">
        <v>15</v>
      </c>
      <c r="T108" s="212">
        <v>5</v>
      </c>
      <c r="U108" s="212">
        <v>7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213" t="s">
        <v>19</v>
      </c>
      <c r="L109" s="213" t="s">
        <v>90</v>
      </c>
      <c r="M109" s="213" t="s">
        <v>102</v>
      </c>
      <c r="N109" s="213" t="s">
        <v>35</v>
      </c>
      <c r="O109" s="213" t="s">
        <v>34</v>
      </c>
      <c r="Q109" s="212">
        <v>5</v>
      </c>
      <c r="R109" s="212">
        <v>16</v>
      </c>
      <c r="S109" s="212">
        <v>17</v>
      </c>
      <c r="T109" s="212">
        <v>8</v>
      </c>
      <c r="U109" s="212">
        <v>9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213" t="s">
        <v>37</v>
      </c>
      <c r="L110" s="213" t="s">
        <v>95</v>
      </c>
      <c r="M110" s="213" t="s">
        <v>89</v>
      </c>
      <c r="N110" s="213" t="s">
        <v>19</v>
      </c>
      <c r="O110" s="213" t="s">
        <v>37</v>
      </c>
      <c r="Q110" s="212">
        <v>7</v>
      </c>
      <c r="R110" s="212">
        <v>19</v>
      </c>
      <c r="S110" s="212">
        <v>14</v>
      </c>
      <c r="T110" s="212">
        <v>5</v>
      </c>
      <c r="U110" s="212">
        <v>7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213" t="s">
        <v>35</v>
      </c>
      <c r="L111" s="213" t="s">
        <v>22</v>
      </c>
      <c r="M111" s="213" t="s">
        <v>90</v>
      </c>
      <c r="N111" s="213" t="s">
        <v>37</v>
      </c>
      <c r="O111" s="213" t="s">
        <v>21</v>
      </c>
      <c r="Q111" s="212">
        <v>8</v>
      </c>
      <c r="R111" s="212">
        <v>3</v>
      </c>
      <c r="S111" s="212">
        <v>16</v>
      </c>
      <c r="T111" s="212">
        <v>7</v>
      </c>
      <c r="U111" s="212">
        <v>2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213" t="s">
        <v>19</v>
      </c>
      <c r="L112" s="213" t="s">
        <v>86</v>
      </c>
      <c r="M112" s="213" t="s">
        <v>105</v>
      </c>
      <c r="N112" s="213" t="s">
        <v>104</v>
      </c>
      <c r="O112" s="213" t="s">
        <v>37</v>
      </c>
      <c r="Q112" s="212">
        <v>5</v>
      </c>
      <c r="R112" s="212">
        <v>11</v>
      </c>
      <c r="S112" s="212">
        <v>15</v>
      </c>
      <c r="T112" s="212">
        <v>6</v>
      </c>
      <c r="U112" s="212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213" t="s">
        <v>104</v>
      </c>
      <c r="L113" s="213" t="s">
        <v>18</v>
      </c>
      <c r="M113" s="213" t="s">
        <v>95</v>
      </c>
      <c r="N113" s="213" t="s">
        <v>34</v>
      </c>
      <c r="O113" s="213" t="s">
        <v>19</v>
      </c>
      <c r="Q113" s="212">
        <v>6</v>
      </c>
      <c r="R113" s="212">
        <v>4</v>
      </c>
      <c r="S113" s="212">
        <v>19</v>
      </c>
      <c r="T113" s="212">
        <v>9</v>
      </c>
      <c r="U113" s="212">
        <v>5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213" t="s">
        <v>19</v>
      </c>
      <c r="L114" s="213" t="s">
        <v>37</v>
      </c>
      <c r="M114" s="213" t="s">
        <v>90</v>
      </c>
      <c r="N114" s="213" t="s">
        <v>19</v>
      </c>
      <c r="O114" s="213" t="s">
        <v>104</v>
      </c>
      <c r="Q114" s="212">
        <v>5</v>
      </c>
      <c r="R114" s="212">
        <v>7</v>
      </c>
      <c r="S114" s="212">
        <v>16</v>
      </c>
      <c r="T114" s="212">
        <v>5</v>
      </c>
      <c r="U114" s="212">
        <v>6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213" t="s">
        <v>20</v>
      </c>
      <c r="L115" s="213" t="s">
        <v>18</v>
      </c>
      <c r="M115" s="213" t="s">
        <v>105</v>
      </c>
      <c r="N115" s="213" t="s">
        <v>37</v>
      </c>
      <c r="O115" s="213" t="s">
        <v>35</v>
      </c>
      <c r="Q115" s="212">
        <v>1</v>
      </c>
      <c r="R115" s="212">
        <v>4</v>
      </c>
      <c r="S115" s="212">
        <v>15</v>
      </c>
      <c r="T115" s="212">
        <v>7</v>
      </c>
      <c r="U115" s="212">
        <v>8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213" t="s">
        <v>104</v>
      </c>
      <c r="L116" s="213" t="s">
        <v>90</v>
      </c>
      <c r="M116" s="213" t="s">
        <v>87</v>
      </c>
      <c r="N116" s="213" t="s">
        <v>19</v>
      </c>
      <c r="O116" s="213" t="s">
        <v>37</v>
      </c>
      <c r="Q116" s="212">
        <v>6</v>
      </c>
      <c r="R116" s="212">
        <v>16</v>
      </c>
      <c r="S116" s="212">
        <v>12</v>
      </c>
      <c r="T116" s="212">
        <v>5</v>
      </c>
      <c r="U116" s="212">
        <v>7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213" t="s">
        <v>34</v>
      </c>
      <c r="L117" s="213" t="s">
        <v>22</v>
      </c>
      <c r="M117" s="213" t="s">
        <v>89</v>
      </c>
      <c r="N117" s="213" t="s">
        <v>35</v>
      </c>
      <c r="O117" s="213" t="s">
        <v>104</v>
      </c>
      <c r="Q117" s="212">
        <v>9</v>
      </c>
      <c r="R117" s="212">
        <v>3</v>
      </c>
      <c r="S117" s="212">
        <v>14</v>
      </c>
      <c r="T117" s="212">
        <v>8</v>
      </c>
      <c r="U117" s="212">
        <v>6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213" t="s">
        <v>35</v>
      </c>
      <c r="L118" s="213" t="s">
        <v>19</v>
      </c>
      <c r="M118" s="213" t="s">
        <v>90</v>
      </c>
      <c r="N118" s="213" t="s">
        <v>18</v>
      </c>
      <c r="O118" s="213" t="s">
        <v>19</v>
      </c>
      <c r="Q118" s="212">
        <v>8</v>
      </c>
      <c r="R118" s="212">
        <v>5</v>
      </c>
      <c r="S118" s="212">
        <v>16</v>
      </c>
      <c r="T118" s="212">
        <v>4</v>
      </c>
      <c r="U118" s="212">
        <v>5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213" t="s">
        <v>37</v>
      </c>
      <c r="L119" s="213" t="s">
        <v>22</v>
      </c>
      <c r="M119" s="213" t="s">
        <v>89</v>
      </c>
      <c r="N119" s="213" t="s">
        <v>37</v>
      </c>
      <c r="O119" s="213" t="s">
        <v>104</v>
      </c>
      <c r="Q119" s="212">
        <v>7</v>
      </c>
      <c r="R119" s="212">
        <v>3</v>
      </c>
      <c r="S119" s="212">
        <v>14</v>
      </c>
      <c r="T119" s="212">
        <v>7</v>
      </c>
      <c r="U119" s="212">
        <v>6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213" t="s">
        <v>36</v>
      </c>
      <c r="L120" s="213" t="s">
        <v>90</v>
      </c>
      <c r="M120" s="213" t="s">
        <v>105</v>
      </c>
      <c r="N120" s="213" t="s">
        <v>22</v>
      </c>
      <c r="O120" s="213" t="s">
        <v>35</v>
      </c>
      <c r="Q120" s="212">
        <v>10</v>
      </c>
      <c r="R120" s="212">
        <v>16</v>
      </c>
      <c r="S120" s="212">
        <v>15</v>
      </c>
      <c r="T120" s="212">
        <v>3</v>
      </c>
      <c r="U120" s="212">
        <v>8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213" t="s">
        <v>37</v>
      </c>
      <c r="L121" s="213" t="s">
        <v>18</v>
      </c>
      <c r="M121" s="213" t="s">
        <v>90</v>
      </c>
      <c r="N121" s="213" t="s">
        <v>37</v>
      </c>
      <c r="O121" s="213" t="s">
        <v>104</v>
      </c>
      <c r="Q121" s="212">
        <v>7</v>
      </c>
      <c r="R121" s="212">
        <v>4</v>
      </c>
      <c r="S121" s="212">
        <v>16</v>
      </c>
      <c r="T121" s="212">
        <v>7</v>
      </c>
      <c r="U121" s="212">
        <v>6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213" t="s">
        <v>34</v>
      </c>
      <c r="L122" s="213" t="s">
        <v>105</v>
      </c>
      <c r="M122" s="213" t="s">
        <v>102</v>
      </c>
      <c r="N122" s="213" t="s">
        <v>104</v>
      </c>
      <c r="O122" s="213" t="s">
        <v>22</v>
      </c>
      <c r="Q122" s="212">
        <v>9</v>
      </c>
      <c r="R122" s="212">
        <v>15</v>
      </c>
      <c r="S122" s="212">
        <v>17</v>
      </c>
      <c r="T122" s="212">
        <v>6</v>
      </c>
      <c r="U122" s="212">
        <v>3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213" t="s">
        <v>104</v>
      </c>
      <c r="L123" s="213" t="s">
        <v>104</v>
      </c>
      <c r="M123" s="213" t="s">
        <v>90</v>
      </c>
      <c r="N123" s="213" t="s">
        <v>19</v>
      </c>
      <c r="O123" s="213" t="s">
        <v>19</v>
      </c>
      <c r="Q123" s="212">
        <v>6</v>
      </c>
      <c r="R123" s="212">
        <v>6</v>
      </c>
      <c r="S123" s="212">
        <v>16</v>
      </c>
      <c r="T123" s="212">
        <v>5</v>
      </c>
      <c r="U123" s="212">
        <v>5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213" t="s">
        <v>35</v>
      </c>
      <c r="L124" s="213" t="s">
        <v>22</v>
      </c>
      <c r="M124" s="213" t="s">
        <v>89</v>
      </c>
      <c r="N124" s="213" t="s">
        <v>35</v>
      </c>
      <c r="O124" s="213" t="s">
        <v>35</v>
      </c>
      <c r="Q124" s="212">
        <v>8</v>
      </c>
      <c r="R124" s="212">
        <v>3</v>
      </c>
      <c r="S124" s="212">
        <v>14</v>
      </c>
      <c r="T124" s="212">
        <v>8</v>
      </c>
      <c r="U124" s="212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213" t="s">
        <v>19</v>
      </c>
      <c r="L125" s="213" t="s">
        <v>36</v>
      </c>
      <c r="M125" s="213" t="s">
        <v>90</v>
      </c>
      <c r="N125" s="213" t="s">
        <v>37</v>
      </c>
      <c r="O125" s="213" t="s">
        <v>37</v>
      </c>
      <c r="Q125" s="212">
        <v>5</v>
      </c>
      <c r="R125" s="212">
        <v>10</v>
      </c>
      <c r="S125" s="212">
        <v>16</v>
      </c>
      <c r="T125" s="212">
        <v>7</v>
      </c>
      <c r="U125" s="212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213" t="s">
        <v>104</v>
      </c>
      <c r="L126" s="213" t="s">
        <v>35</v>
      </c>
      <c r="M126" s="213" t="s">
        <v>102</v>
      </c>
      <c r="N126" s="213" t="s">
        <v>19</v>
      </c>
      <c r="O126" s="213" t="s">
        <v>35</v>
      </c>
      <c r="Q126" s="212">
        <v>6</v>
      </c>
      <c r="R126" s="212">
        <v>8</v>
      </c>
      <c r="S126" s="212">
        <v>17</v>
      </c>
      <c r="T126" s="212">
        <v>5</v>
      </c>
      <c r="U126" s="212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213" t="s">
        <v>34</v>
      </c>
      <c r="L127" s="213" t="s">
        <v>89</v>
      </c>
      <c r="M127" s="213" t="s">
        <v>89</v>
      </c>
      <c r="N127" s="213" t="s">
        <v>86</v>
      </c>
      <c r="O127" s="213" t="s">
        <v>19</v>
      </c>
      <c r="Q127" s="212">
        <v>9</v>
      </c>
      <c r="R127" s="212">
        <v>14</v>
      </c>
      <c r="S127" s="212">
        <v>14</v>
      </c>
      <c r="T127" s="212">
        <v>11</v>
      </c>
      <c r="U127" s="212">
        <v>5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213" t="s">
        <v>104</v>
      </c>
      <c r="L128" s="213" t="s">
        <v>90</v>
      </c>
      <c r="M128" s="213" t="s">
        <v>105</v>
      </c>
      <c r="N128" s="213" t="s">
        <v>37</v>
      </c>
      <c r="O128" s="213" t="s">
        <v>36</v>
      </c>
      <c r="Q128" s="212">
        <v>6</v>
      </c>
      <c r="R128" s="212">
        <v>16</v>
      </c>
      <c r="S128" s="212">
        <v>15</v>
      </c>
      <c r="T128" s="212">
        <v>7</v>
      </c>
      <c r="U128" s="212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213" t="s">
        <v>36</v>
      </c>
      <c r="L129" s="213" t="s">
        <v>35</v>
      </c>
      <c r="M129" s="213" t="s">
        <v>90</v>
      </c>
      <c r="N129" s="213" t="s">
        <v>36</v>
      </c>
      <c r="O129" s="213" t="s">
        <v>19</v>
      </c>
      <c r="Q129" s="212">
        <v>10</v>
      </c>
      <c r="R129" s="212">
        <v>8</v>
      </c>
      <c r="S129" s="212">
        <v>16</v>
      </c>
      <c r="T129" s="212">
        <v>10</v>
      </c>
      <c r="U129" s="212">
        <v>5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213" t="s">
        <v>19</v>
      </c>
      <c r="L130" s="213" t="s">
        <v>89</v>
      </c>
      <c r="M130" s="213" t="s">
        <v>93</v>
      </c>
      <c r="N130" s="213" t="s">
        <v>18</v>
      </c>
      <c r="O130" s="213" t="s">
        <v>35</v>
      </c>
      <c r="Q130" s="212">
        <v>5</v>
      </c>
      <c r="R130" s="212">
        <v>14</v>
      </c>
      <c r="S130" s="212">
        <v>18</v>
      </c>
      <c r="T130" s="212">
        <v>4</v>
      </c>
      <c r="U130" s="212">
        <v>8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213" t="s">
        <v>104</v>
      </c>
      <c r="L131" s="213" t="s">
        <v>35</v>
      </c>
      <c r="M131" s="213" t="s">
        <v>89</v>
      </c>
      <c r="N131" s="213" t="s">
        <v>104</v>
      </c>
      <c r="O131" s="213" t="s">
        <v>19</v>
      </c>
      <c r="Q131" s="212">
        <v>6</v>
      </c>
      <c r="R131" s="212">
        <v>8</v>
      </c>
      <c r="S131" s="212">
        <v>14</v>
      </c>
      <c r="T131" s="212">
        <v>6</v>
      </c>
      <c r="U131" s="212">
        <v>5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213" t="s">
        <v>18</v>
      </c>
      <c r="L132" s="213" t="s">
        <v>104</v>
      </c>
      <c r="M132" s="213" t="s">
        <v>105</v>
      </c>
      <c r="N132" s="213" t="s">
        <v>37</v>
      </c>
      <c r="O132" s="213" t="s">
        <v>35</v>
      </c>
      <c r="Q132" s="212">
        <v>4</v>
      </c>
      <c r="R132" s="212">
        <v>6</v>
      </c>
      <c r="S132" s="212">
        <v>15</v>
      </c>
      <c r="T132" s="212">
        <v>7</v>
      </c>
      <c r="U132" s="212">
        <v>8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213" t="s">
        <v>37</v>
      </c>
      <c r="L133" s="213" t="s">
        <v>19</v>
      </c>
      <c r="M133" s="213" t="s">
        <v>90</v>
      </c>
      <c r="N133" s="213" t="s">
        <v>35</v>
      </c>
      <c r="O133" s="213" t="s">
        <v>34</v>
      </c>
      <c r="Q133" s="212">
        <v>7</v>
      </c>
      <c r="R133" s="212">
        <v>5</v>
      </c>
      <c r="S133" s="212">
        <v>16</v>
      </c>
      <c r="T133" s="212">
        <v>8</v>
      </c>
      <c r="U133" s="212">
        <v>9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213" t="s">
        <v>104</v>
      </c>
      <c r="L134" s="213" t="s">
        <v>35</v>
      </c>
      <c r="M134" s="213" t="s">
        <v>93</v>
      </c>
      <c r="N134" s="213" t="s">
        <v>21</v>
      </c>
      <c r="O134" s="213" t="s">
        <v>21</v>
      </c>
      <c r="Q134" s="212">
        <v>6</v>
      </c>
      <c r="R134" s="212">
        <v>8</v>
      </c>
      <c r="S134" s="212">
        <v>18</v>
      </c>
      <c r="T134" s="212">
        <v>2</v>
      </c>
      <c r="U134" s="212">
        <v>2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213" t="s">
        <v>37</v>
      </c>
      <c r="L135" s="213" t="s">
        <v>88</v>
      </c>
      <c r="M135" s="213" t="s">
        <v>89</v>
      </c>
      <c r="N135" s="213" t="s">
        <v>89</v>
      </c>
      <c r="O135" s="213" t="s">
        <v>22</v>
      </c>
      <c r="Q135" s="212">
        <v>7</v>
      </c>
      <c r="R135" s="212">
        <v>13</v>
      </c>
      <c r="S135" s="212">
        <v>14</v>
      </c>
      <c r="T135" s="212">
        <v>14</v>
      </c>
      <c r="U135" s="212">
        <v>3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213" t="s">
        <v>35</v>
      </c>
      <c r="L136" s="213" t="s">
        <v>102</v>
      </c>
      <c r="M136" s="213" t="s">
        <v>90</v>
      </c>
      <c r="N136" s="213" t="s">
        <v>37</v>
      </c>
      <c r="O136" s="213" t="s">
        <v>35</v>
      </c>
      <c r="Q136" s="212">
        <v>8</v>
      </c>
      <c r="R136" s="212">
        <v>17</v>
      </c>
      <c r="S136" s="212">
        <v>16</v>
      </c>
      <c r="T136" s="212">
        <v>7</v>
      </c>
      <c r="U136" s="212">
        <v>8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213" t="s">
        <v>19</v>
      </c>
      <c r="L137" s="213" t="s">
        <v>36</v>
      </c>
      <c r="M137" s="213" t="s">
        <v>105</v>
      </c>
      <c r="N137" s="213" t="s">
        <v>104</v>
      </c>
      <c r="O137" s="213" t="s">
        <v>19</v>
      </c>
      <c r="Q137" s="212">
        <v>5</v>
      </c>
      <c r="R137" s="212">
        <v>10</v>
      </c>
      <c r="S137" s="212">
        <v>15</v>
      </c>
      <c r="T137" s="212">
        <v>6</v>
      </c>
      <c r="U137" s="212">
        <v>5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213" t="s">
        <v>37</v>
      </c>
      <c r="L138" s="213" t="s">
        <v>35</v>
      </c>
      <c r="M138" s="213" t="s">
        <v>89</v>
      </c>
      <c r="N138" s="213" t="s">
        <v>37</v>
      </c>
      <c r="O138" s="213" t="s">
        <v>34</v>
      </c>
      <c r="Q138" s="212">
        <v>7</v>
      </c>
      <c r="R138" s="212">
        <v>8</v>
      </c>
      <c r="S138" s="212">
        <v>14</v>
      </c>
      <c r="T138" s="212">
        <v>7</v>
      </c>
      <c r="U138" s="212">
        <v>9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213" t="s">
        <v>19</v>
      </c>
      <c r="L139" s="213" t="s">
        <v>34</v>
      </c>
      <c r="M139" s="213" t="s">
        <v>105</v>
      </c>
      <c r="N139" s="213" t="s">
        <v>35</v>
      </c>
      <c r="O139" s="213" t="s">
        <v>37</v>
      </c>
      <c r="Q139" s="212">
        <v>5</v>
      </c>
      <c r="R139" s="212">
        <v>9</v>
      </c>
      <c r="S139" s="212">
        <v>15</v>
      </c>
      <c r="T139" s="212">
        <v>8</v>
      </c>
      <c r="U139" s="212">
        <v>7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213" t="s">
        <v>104</v>
      </c>
      <c r="L140" s="213" t="s">
        <v>22</v>
      </c>
      <c r="M140" s="213" t="s">
        <v>102</v>
      </c>
      <c r="N140" s="213" t="s">
        <v>105</v>
      </c>
      <c r="O140" s="213" t="s">
        <v>22</v>
      </c>
      <c r="Q140" s="212">
        <v>6</v>
      </c>
      <c r="R140" s="212">
        <v>3</v>
      </c>
      <c r="S140" s="212">
        <v>17</v>
      </c>
      <c r="T140" s="212">
        <v>15</v>
      </c>
      <c r="U140" s="212">
        <v>3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213" t="s">
        <v>19</v>
      </c>
      <c r="L141" s="213" t="s">
        <v>89</v>
      </c>
      <c r="M141" s="213" t="s">
        <v>90</v>
      </c>
      <c r="N141" s="213" t="s">
        <v>35</v>
      </c>
      <c r="O141" s="213" t="s">
        <v>37</v>
      </c>
      <c r="Q141" s="212">
        <v>5</v>
      </c>
      <c r="R141" s="212">
        <v>14</v>
      </c>
      <c r="S141" s="212">
        <v>16</v>
      </c>
      <c r="T141" s="212">
        <v>8</v>
      </c>
      <c r="U141" s="212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213" t="s">
        <v>37</v>
      </c>
      <c r="L142" s="213" t="s">
        <v>102</v>
      </c>
      <c r="M142" s="213" t="s">
        <v>102</v>
      </c>
      <c r="N142" s="213" t="s">
        <v>37</v>
      </c>
      <c r="O142" s="213" t="s">
        <v>35</v>
      </c>
      <c r="Q142" s="212">
        <v>7</v>
      </c>
      <c r="R142" s="212">
        <v>17</v>
      </c>
      <c r="S142" s="212">
        <v>17</v>
      </c>
      <c r="T142" s="212">
        <v>7</v>
      </c>
      <c r="U142" s="212">
        <v>8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213" t="s">
        <v>35</v>
      </c>
      <c r="L143" s="213" t="s">
        <v>37</v>
      </c>
      <c r="M143" s="213" t="s">
        <v>86</v>
      </c>
      <c r="N143" s="213" t="s">
        <v>35</v>
      </c>
      <c r="O143" s="213" t="s">
        <v>19</v>
      </c>
      <c r="Q143" s="212">
        <v>8</v>
      </c>
      <c r="R143" s="212">
        <v>7</v>
      </c>
      <c r="S143" s="212">
        <v>11</v>
      </c>
      <c r="T143" s="212">
        <v>8</v>
      </c>
      <c r="U143" s="212">
        <v>5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213" t="s">
        <v>104</v>
      </c>
      <c r="L144" s="213" t="s">
        <v>34</v>
      </c>
      <c r="M144" s="213" t="s">
        <v>105</v>
      </c>
      <c r="N144" s="213" t="s">
        <v>34</v>
      </c>
      <c r="O144" s="213" t="s">
        <v>34</v>
      </c>
      <c r="Q144" s="212">
        <v>6</v>
      </c>
      <c r="R144" s="212">
        <v>9</v>
      </c>
      <c r="S144" s="212">
        <v>15</v>
      </c>
      <c r="T144" s="212">
        <v>9</v>
      </c>
      <c r="U144" s="212">
        <v>9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213" t="s">
        <v>19</v>
      </c>
      <c r="L145" s="213" t="s">
        <v>20</v>
      </c>
      <c r="M145" s="213" t="s">
        <v>90</v>
      </c>
      <c r="N145" s="213" t="s">
        <v>19</v>
      </c>
      <c r="O145" s="213" t="s">
        <v>36</v>
      </c>
      <c r="Q145" s="212">
        <v>5</v>
      </c>
      <c r="R145" s="212">
        <v>1</v>
      </c>
      <c r="S145" s="212">
        <v>16</v>
      </c>
      <c r="T145" s="212">
        <v>5</v>
      </c>
      <c r="U145" s="212">
        <v>10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213" t="s">
        <v>35</v>
      </c>
      <c r="L146" s="213" t="s">
        <v>22</v>
      </c>
      <c r="M146" s="213" t="s">
        <v>95</v>
      </c>
      <c r="N146" s="213" t="s">
        <v>37</v>
      </c>
      <c r="O146" s="213" t="s">
        <v>20</v>
      </c>
      <c r="Q146" s="212">
        <v>8</v>
      </c>
      <c r="R146" s="212">
        <v>3</v>
      </c>
      <c r="S146" s="212">
        <v>19</v>
      </c>
      <c r="T146" s="212">
        <v>7</v>
      </c>
      <c r="U146" s="212">
        <v>1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213" t="s">
        <v>37</v>
      </c>
      <c r="L147" s="213" t="s">
        <v>19</v>
      </c>
      <c r="M147" s="213" t="s">
        <v>105</v>
      </c>
      <c r="N147" s="213" t="s">
        <v>105</v>
      </c>
      <c r="O147" s="213" t="s">
        <v>104</v>
      </c>
      <c r="Q147" s="212">
        <v>7</v>
      </c>
      <c r="R147" s="212">
        <v>5</v>
      </c>
      <c r="S147" s="212">
        <v>15</v>
      </c>
      <c r="T147" s="212">
        <v>15</v>
      </c>
      <c r="U147" s="212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213" t="s">
        <v>104</v>
      </c>
      <c r="L148" s="213" t="s">
        <v>34</v>
      </c>
      <c r="M148" s="213" t="s">
        <v>89</v>
      </c>
      <c r="N148" s="213" t="s">
        <v>37</v>
      </c>
      <c r="O148" s="213" t="s">
        <v>35</v>
      </c>
      <c r="Q148" s="212">
        <v>6</v>
      </c>
      <c r="R148" s="212">
        <v>9</v>
      </c>
      <c r="S148" s="212">
        <v>14</v>
      </c>
      <c r="T148" s="212">
        <v>7</v>
      </c>
      <c r="U148" s="212">
        <v>8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213" t="s">
        <v>37</v>
      </c>
      <c r="L149" s="213" t="s">
        <v>21</v>
      </c>
      <c r="M149" s="213" t="s">
        <v>102</v>
      </c>
      <c r="N149" s="213" t="s">
        <v>88</v>
      </c>
      <c r="O149" s="213" t="s">
        <v>104</v>
      </c>
      <c r="Q149" s="212">
        <v>7</v>
      </c>
      <c r="R149" s="212">
        <v>2</v>
      </c>
      <c r="S149" s="212">
        <v>17</v>
      </c>
      <c r="T149" s="212">
        <v>13</v>
      </c>
      <c r="U149" s="212">
        <v>6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213" t="s">
        <v>19</v>
      </c>
      <c r="L150" s="213" t="s">
        <v>89</v>
      </c>
      <c r="M150" s="213" t="s">
        <v>90</v>
      </c>
      <c r="N150" s="213" t="s">
        <v>104</v>
      </c>
      <c r="O150" s="213" t="s">
        <v>36</v>
      </c>
      <c r="Q150" s="212">
        <v>5</v>
      </c>
      <c r="R150" s="212">
        <v>14</v>
      </c>
      <c r="S150" s="212">
        <v>16</v>
      </c>
      <c r="T150" s="212">
        <v>6</v>
      </c>
      <c r="U150" s="212">
        <v>10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213" t="s">
        <v>104</v>
      </c>
      <c r="L151" s="213" t="s">
        <v>21</v>
      </c>
      <c r="M151" s="213" t="s">
        <v>102</v>
      </c>
      <c r="N151" s="213" t="s">
        <v>37</v>
      </c>
      <c r="O151" s="213" t="s">
        <v>19</v>
      </c>
      <c r="Q151" s="212">
        <v>6</v>
      </c>
      <c r="R151" s="212">
        <v>2</v>
      </c>
      <c r="S151" s="212">
        <v>17</v>
      </c>
      <c r="T151" s="212">
        <v>7</v>
      </c>
      <c r="U151" s="212">
        <v>5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213" t="s">
        <v>19</v>
      </c>
      <c r="L152" s="213" t="s">
        <v>37</v>
      </c>
      <c r="M152" s="213" t="s">
        <v>105</v>
      </c>
      <c r="N152" s="213" t="s">
        <v>104</v>
      </c>
      <c r="O152" s="213" t="s">
        <v>35</v>
      </c>
      <c r="Q152" s="212">
        <v>5</v>
      </c>
      <c r="R152" s="212">
        <v>7</v>
      </c>
      <c r="S152" s="212">
        <v>15</v>
      </c>
      <c r="T152" s="212">
        <v>6</v>
      </c>
      <c r="U152" s="212">
        <v>8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213" t="s">
        <v>104</v>
      </c>
      <c r="L153" s="213" t="s">
        <v>35</v>
      </c>
      <c r="M153" s="213" t="s">
        <v>89</v>
      </c>
      <c r="N153" s="213" t="s">
        <v>37</v>
      </c>
      <c r="O153" s="213" t="s">
        <v>104</v>
      </c>
      <c r="Q153" s="212">
        <v>6</v>
      </c>
      <c r="R153" s="212">
        <v>8</v>
      </c>
      <c r="S153" s="212">
        <v>14</v>
      </c>
      <c r="T153" s="212">
        <v>7</v>
      </c>
      <c r="U153" s="212">
        <v>6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213" t="s">
        <v>35</v>
      </c>
      <c r="L154" s="213" t="s">
        <v>37</v>
      </c>
      <c r="M154" s="213" t="s">
        <v>95</v>
      </c>
      <c r="N154" s="213" t="s">
        <v>104</v>
      </c>
      <c r="O154" s="213" t="s">
        <v>35</v>
      </c>
      <c r="Q154" s="212">
        <v>8</v>
      </c>
      <c r="R154" s="212">
        <v>7</v>
      </c>
      <c r="S154" s="212">
        <v>19</v>
      </c>
      <c r="T154" s="212">
        <v>6</v>
      </c>
      <c r="U154" s="212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213" t="s">
        <v>19</v>
      </c>
      <c r="L155" s="213" t="s">
        <v>19</v>
      </c>
      <c r="M155" s="213" t="s">
        <v>89</v>
      </c>
      <c r="N155" s="213" t="s">
        <v>34</v>
      </c>
      <c r="O155" s="213" t="s">
        <v>19</v>
      </c>
      <c r="Q155" s="212">
        <v>5</v>
      </c>
      <c r="R155" s="212">
        <v>5</v>
      </c>
      <c r="S155" s="212">
        <v>14</v>
      </c>
      <c r="T155" s="212">
        <v>9</v>
      </c>
      <c r="U155" s="212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213" t="s">
        <v>22</v>
      </c>
      <c r="L156" s="213" t="s">
        <v>35</v>
      </c>
      <c r="M156" s="213" t="s">
        <v>90</v>
      </c>
      <c r="N156" s="213" t="s">
        <v>20</v>
      </c>
      <c r="O156" s="213" t="s">
        <v>37</v>
      </c>
      <c r="Q156" s="212">
        <v>3</v>
      </c>
      <c r="R156" s="212">
        <v>8</v>
      </c>
      <c r="S156" s="212">
        <v>16</v>
      </c>
      <c r="T156" s="212">
        <v>1</v>
      </c>
      <c r="U156" s="212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213" t="s">
        <v>35</v>
      </c>
      <c r="L157" s="213" t="s">
        <v>87</v>
      </c>
      <c r="M157" s="213" t="s">
        <v>102</v>
      </c>
      <c r="N157" s="213" t="s">
        <v>102</v>
      </c>
      <c r="O157" s="213" t="s">
        <v>34</v>
      </c>
      <c r="Q157" s="212">
        <v>8</v>
      </c>
      <c r="R157" s="212">
        <v>12</v>
      </c>
      <c r="S157" s="212">
        <v>17</v>
      </c>
      <c r="T157" s="212">
        <v>17</v>
      </c>
      <c r="U157" s="212">
        <v>9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213" t="s">
        <v>22</v>
      </c>
      <c r="L158" s="213" t="s">
        <v>36</v>
      </c>
      <c r="M158" s="213" t="s">
        <v>90</v>
      </c>
      <c r="N158" s="213" t="s">
        <v>37</v>
      </c>
      <c r="O158" s="213" t="s">
        <v>19</v>
      </c>
      <c r="Q158" s="212">
        <v>3</v>
      </c>
      <c r="R158" s="212">
        <v>10</v>
      </c>
      <c r="S158" s="212">
        <v>16</v>
      </c>
      <c r="T158" s="212">
        <v>7</v>
      </c>
      <c r="U158" s="212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213" t="s">
        <v>35</v>
      </c>
      <c r="L159" s="213" t="s">
        <v>104</v>
      </c>
      <c r="M159" s="213" t="s">
        <v>102</v>
      </c>
      <c r="N159" s="213" t="s">
        <v>104</v>
      </c>
      <c r="O159" s="213" t="s">
        <v>104</v>
      </c>
      <c r="Q159" s="212">
        <v>8</v>
      </c>
      <c r="R159" s="212">
        <v>6</v>
      </c>
      <c r="S159" s="212">
        <v>17</v>
      </c>
      <c r="T159" s="212">
        <v>6</v>
      </c>
      <c r="U159" s="212">
        <v>6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213" t="s">
        <v>37</v>
      </c>
      <c r="L160" s="213" t="s">
        <v>19</v>
      </c>
      <c r="M160" s="213" t="s">
        <v>87</v>
      </c>
      <c r="N160" s="213" t="s">
        <v>19</v>
      </c>
      <c r="O160" s="213" t="s">
        <v>18</v>
      </c>
      <c r="Q160" s="212">
        <v>7</v>
      </c>
      <c r="R160" s="212">
        <v>5</v>
      </c>
      <c r="S160" s="212">
        <v>12</v>
      </c>
      <c r="T160" s="212">
        <v>5</v>
      </c>
      <c r="U160" s="212">
        <v>4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213" t="s">
        <v>19</v>
      </c>
      <c r="L161" s="213" t="s">
        <v>37</v>
      </c>
      <c r="M161" s="213" t="s">
        <v>89</v>
      </c>
      <c r="N161" s="213" t="s">
        <v>36</v>
      </c>
      <c r="O161" s="213" t="s">
        <v>22</v>
      </c>
      <c r="Q161" s="212">
        <v>5</v>
      </c>
      <c r="R161" s="212">
        <v>7</v>
      </c>
      <c r="S161" s="212">
        <v>14</v>
      </c>
      <c r="T161" s="212">
        <v>10</v>
      </c>
      <c r="U161" s="212">
        <v>3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213" t="s">
        <v>104</v>
      </c>
      <c r="L162" s="213" t="s">
        <v>105</v>
      </c>
      <c r="M162" s="213" t="s">
        <v>105</v>
      </c>
      <c r="N162" s="213" t="s">
        <v>19</v>
      </c>
      <c r="O162" s="213" t="s">
        <v>35</v>
      </c>
      <c r="Q162" s="212">
        <v>6</v>
      </c>
      <c r="R162" s="212">
        <v>15</v>
      </c>
      <c r="S162" s="212">
        <v>15</v>
      </c>
      <c r="T162" s="212">
        <v>5</v>
      </c>
      <c r="U162" s="212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213" t="s">
        <v>20</v>
      </c>
      <c r="L163" s="213" t="s">
        <v>19</v>
      </c>
      <c r="M163" s="213" t="s">
        <v>102</v>
      </c>
      <c r="N163" s="213" t="s">
        <v>37</v>
      </c>
      <c r="O163" s="213" t="s">
        <v>104</v>
      </c>
      <c r="Q163" s="212">
        <v>1</v>
      </c>
      <c r="R163" s="212">
        <v>5</v>
      </c>
      <c r="S163" s="212">
        <v>17</v>
      </c>
      <c r="T163" s="212">
        <v>7</v>
      </c>
      <c r="U163" s="212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213" t="s">
        <v>19</v>
      </c>
      <c r="L164" s="213" t="s">
        <v>88</v>
      </c>
      <c r="M164" s="213" t="s">
        <v>93</v>
      </c>
      <c r="N164" s="213" t="s">
        <v>34</v>
      </c>
      <c r="O164" s="213" t="s">
        <v>35</v>
      </c>
      <c r="Q164" s="212">
        <v>5</v>
      </c>
      <c r="R164" s="212">
        <v>13</v>
      </c>
      <c r="S164" s="212">
        <v>18</v>
      </c>
      <c r="T164" s="212">
        <v>9</v>
      </c>
      <c r="U164" s="212">
        <v>8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213" t="s">
        <v>37</v>
      </c>
      <c r="L165" s="213" t="s">
        <v>35</v>
      </c>
      <c r="M165" s="213" t="s">
        <v>89</v>
      </c>
      <c r="N165" s="213" t="s">
        <v>22</v>
      </c>
      <c r="O165" s="213" t="s">
        <v>104</v>
      </c>
      <c r="Q165" s="212">
        <v>7</v>
      </c>
      <c r="R165" s="212">
        <v>8</v>
      </c>
      <c r="S165" s="212">
        <v>14</v>
      </c>
      <c r="T165" s="212">
        <v>3</v>
      </c>
      <c r="U165" s="212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213" t="s">
        <v>19</v>
      </c>
      <c r="L166" s="213" t="s">
        <v>105</v>
      </c>
      <c r="M166" s="213" t="s">
        <v>102</v>
      </c>
      <c r="N166" s="213" t="s">
        <v>34</v>
      </c>
      <c r="O166" s="213" t="s">
        <v>19</v>
      </c>
      <c r="Q166" s="212">
        <v>5</v>
      </c>
      <c r="R166" s="212">
        <v>15</v>
      </c>
      <c r="S166" s="212">
        <v>17</v>
      </c>
      <c r="T166" s="212">
        <v>9</v>
      </c>
      <c r="U166" s="212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213" t="s">
        <v>37</v>
      </c>
      <c r="L167" s="213" t="s">
        <v>37</v>
      </c>
      <c r="M167" s="213" t="s">
        <v>90</v>
      </c>
      <c r="N167" s="213" t="s">
        <v>21</v>
      </c>
      <c r="O167" s="213" t="s">
        <v>18</v>
      </c>
      <c r="Q167" s="212">
        <v>7</v>
      </c>
      <c r="R167" s="212">
        <v>7</v>
      </c>
      <c r="S167" s="212">
        <v>16</v>
      </c>
      <c r="T167" s="212">
        <v>2</v>
      </c>
      <c r="U167" s="212">
        <v>4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213" t="s">
        <v>104</v>
      </c>
      <c r="L168" s="213" t="s">
        <v>35</v>
      </c>
      <c r="M168" s="213" t="s">
        <v>89</v>
      </c>
      <c r="N168" s="213" t="s">
        <v>89</v>
      </c>
      <c r="O168" s="213" t="s">
        <v>104</v>
      </c>
      <c r="Q168" s="212">
        <v>6</v>
      </c>
      <c r="R168" s="212">
        <v>8</v>
      </c>
      <c r="S168" s="212">
        <v>14</v>
      </c>
      <c r="T168" s="212">
        <v>14</v>
      </c>
      <c r="U168" s="212">
        <v>6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213" t="s">
        <v>35</v>
      </c>
      <c r="L169" s="213" t="s">
        <v>37</v>
      </c>
      <c r="M169" s="213" t="s">
        <v>90</v>
      </c>
      <c r="N169" s="213" t="s">
        <v>35</v>
      </c>
      <c r="O169" s="213" t="s">
        <v>22</v>
      </c>
      <c r="Q169" s="212">
        <v>8</v>
      </c>
      <c r="R169" s="212">
        <v>7</v>
      </c>
      <c r="S169" s="212">
        <v>16</v>
      </c>
      <c r="T169" s="212">
        <v>8</v>
      </c>
      <c r="U169" s="212">
        <v>3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213" t="s">
        <v>18</v>
      </c>
      <c r="L170" s="213" t="s">
        <v>18</v>
      </c>
      <c r="M170" s="213" t="s">
        <v>105</v>
      </c>
      <c r="N170" s="213" t="s">
        <v>37</v>
      </c>
      <c r="O170" s="213" t="s">
        <v>37</v>
      </c>
      <c r="Q170" s="212">
        <v>4</v>
      </c>
      <c r="R170" s="212">
        <v>4</v>
      </c>
      <c r="S170" s="212">
        <v>15</v>
      </c>
      <c r="T170" s="212">
        <v>7</v>
      </c>
      <c r="U170" s="212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213" t="s">
        <v>37</v>
      </c>
      <c r="L171" s="213" t="s">
        <v>37</v>
      </c>
      <c r="M171" s="213" t="s">
        <v>102</v>
      </c>
      <c r="N171" s="213" t="s">
        <v>35</v>
      </c>
      <c r="O171" s="213" t="s">
        <v>104</v>
      </c>
      <c r="Q171" s="212">
        <v>7</v>
      </c>
      <c r="R171" s="212">
        <v>7</v>
      </c>
      <c r="S171" s="212">
        <v>17</v>
      </c>
      <c r="T171" s="212">
        <v>8</v>
      </c>
      <c r="U171" s="212">
        <v>6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213" t="s">
        <v>35</v>
      </c>
      <c r="L172" s="213" t="s">
        <v>19</v>
      </c>
      <c r="M172" s="213" t="s">
        <v>87</v>
      </c>
      <c r="N172" s="213" t="s">
        <v>104</v>
      </c>
      <c r="O172" s="213" t="s">
        <v>35</v>
      </c>
      <c r="Q172" s="212">
        <v>8</v>
      </c>
      <c r="R172" s="212">
        <v>5</v>
      </c>
      <c r="S172" s="212">
        <v>12</v>
      </c>
      <c r="T172" s="212">
        <v>6</v>
      </c>
      <c r="U172" s="212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213" t="s">
        <v>36</v>
      </c>
      <c r="L173" s="213" t="s">
        <v>37</v>
      </c>
      <c r="M173" s="213" t="s">
        <v>102</v>
      </c>
      <c r="N173" s="213" t="s">
        <v>35</v>
      </c>
      <c r="O173" s="213" t="s">
        <v>104</v>
      </c>
      <c r="Q173" s="212">
        <v>10</v>
      </c>
      <c r="R173" s="212">
        <v>7</v>
      </c>
      <c r="S173" s="212">
        <v>17</v>
      </c>
      <c r="T173" s="212">
        <v>8</v>
      </c>
      <c r="U173" s="212">
        <v>6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213" t="s">
        <v>19</v>
      </c>
      <c r="L174" s="213" t="s">
        <v>104</v>
      </c>
      <c r="M174" s="213" t="s">
        <v>89</v>
      </c>
      <c r="N174" s="213" t="s">
        <v>18</v>
      </c>
      <c r="O174" s="213" t="s">
        <v>20</v>
      </c>
      <c r="Q174" s="212">
        <v>5</v>
      </c>
      <c r="R174" s="212">
        <v>6</v>
      </c>
      <c r="S174" s="212">
        <v>14</v>
      </c>
      <c r="T174" s="212">
        <v>4</v>
      </c>
      <c r="U174" s="212">
        <v>1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213" t="s">
        <v>37</v>
      </c>
      <c r="L175" s="213" t="s">
        <v>34</v>
      </c>
      <c r="M175" s="213" t="s">
        <v>105</v>
      </c>
      <c r="N175" s="213" t="s">
        <v>19</v>
      </c>
      <c r="O175" s="213" t="s">
        <v>104</v>
      </c>
      <c r="Q175" s="212">
        <v>7</v>
      </c>
      <c r="R175" s="212">
        <v>9</v>
      </c>
      <c r="S175" s="212">
        <v>15</v>
      </c>
      <c r="T175" s="212">
        <v>5</v>
      </c>
      <c r="U175" s="212">
        <v>6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213" t="s">
        <v>19</v>
      </c>
      <c r="L176" s="213" t="s">
        <v>35</v>
      </c>
      <c r="M176" s="213" t="s">
        <v>95</v>
      </c>
      <c r="N176" s="213" t="s">
        <v>104</v>
      </c>
      <c r="O176" s="213" t="s">
        <v>19</v>
      </c>
      <c r="Q176" s="212">
        <v>5</v>
      </c>
      <c r="R176" s="212">
        <v>8</v>
      </c>
      <c r="S176" s="212">
        <v>19</v>
      </c>
      <c r="T176" s="212">
        <v>6</v>
      </c>
      <c r="U176" s="212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213" t="s">
        <v>37</v>
      </c>
      <c r="L177" s="213" t="s">
        <v>21</v>
      </c>
      <c r="M177" s="213" t="s">
        <v>102</v>
      </c>
      <c r="N177" s="213" t="s">
        <v>35</v>
      </c>
      <c r="O177" s="213" t="s">
        <v>104</v>
      </c>
      <c r="Q177" s="212">
        <v>7</v>
      </c>
      <c r="R177" s="212">
        <v>2</v>
      </c>
      <c r="S177" s="212">
        <v>17</v>
      </c>
      <c r="T177" s="212">
        <v>8</v>
      </c>
      <c r="U177" s="212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213" t="s">
        <v>34</v>
      </c>
      <c r="L178" s="213" t="s">
        <v>19</v>
      </c>
      <c r="M178" s="213" t="s">
        <v>90</v>
      </c>
      <c r="N178" s="213" t="s">
        <v>104</v>
      </c>
      <c r="O178" s="213" t="s">
        <v>19</v>
      </c>
      <c r="Q178" s="212">
        <v>9</v>
      </c>
      <c r="R178" s="212">
        <v>5</v>
      </c>
      <c r="S178" s="212">
        <v>16</v>
      </c>
      <c r="T178" s="212">
        <v>6</v>
      </c>
      <c r="U178" s="212">
        <v>5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213" t="s">
        <v>37</v>
      </c>
      <c r="L179" s="213" t="s">
        <v>35</v>
      </c>
      <c r="M179" s="213" t="s">
        <v>102</v>
      </c>
      <c r="N179" s="213" t="s">
        <v>20</v>
      </c>
      <c r="O179" s="213" t="s">
        <v>34</v>
      </c>
      <c r="Q179" s="212">
        <v>7</v>
      </c>
      <c r="R179" s="212">
        <v>8</v>
      </c>
      <c r="S179" s="212">
        <v>17</v>
      </c>
      <c r="T179" s="212">
        <v>1</v>
      </c>
      <c r="U179" s="212">
        <v>9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213" t="s">
        <v>22</v>
      </c>
      <c r="L180" s="213" t="s">
        <v>21</v>
      </c>
      <c r="M180" s="213" t="s">
        <v>90</v>
      </c>
      <c r="N180" s="213" t="s">
        <v>19</v>
      </c>
      <c r="O180" s="213" t="s">
        <v>19</v>
      </c>
      <c r="Q180" s="212">
        <v>3</v>
      </c>
      <c r="R180" s="212">
        <v>2</v>
      </c>
      <c r="S180" s="212">
        <v>16</v>
      </c>
      <c r="T180" s="212">
        <v>5</v>
      </c>
      <c r="U180" s="212">
        <v>5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213" t="s">
        <v>35</v>
      </c>
      <c r="L181" s="213" t="s">
        <v>19</v>
      </c>
      <c r="M181" s="213" t="s">
        <v>105</v>
      </c>
      <c r="N181" s="213" t="s">
        <v>102</v>
      </c>
      <c r="O181" s="213" t="s">
        <v>37</v>
      </c>
      <c r="Q181" s="212">
        <v>8</v>
      </c>
      <c r="R181" s="212">
        <v>5</v>
      </c>
      <c r="S181" s="212">
        <v>15</v>
      </c>
      <c r="T181" s="212">
        <v>17</v>
      </c>
      <c r="U181" s="212">
        <v>7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213" t="s">
        <v>19</v>
      </c>
      <c r="L182" s="213" t="s">
        <v>102</v>
      </c>
      <c r="M182" s="213" t="s">
        <v>89</v>
      </c>
      <c r="N182" s="213" t="s">
        <v>35</v>
      </c>
      <c r="O182" s="213" t="s">
        <v>18</v>
      </c>
      <c r="Q182" s="212">
        <v>5</v>
      </c>
      <c r="R182" s="212">
        <v>17</v>
      </c>
      <c r="S182" s="212">
        <v>14</v>
      </c>
      <c r="T182" s="212">
        <v>8</v>
      </c>
      <c r="U182" s="212">
        <v>4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213" t="s">
        <v>37</v>
      </c>
      <c r="L183" s="213" t="s">
        <v>104</v>
      </c>
      <c r="M183" s="213" t="s">
        <v>105</v>
      </c>
      <c r="N183" s="213" t="s">
        <v>37</v>
      </c>
      <c r="O183" s="213" t="s">
        <v>34</v>
      </c>
      <c r="Q183" s="212">
        <v>7</v>
      </c>
      <c r="R183" s="212">
        <v>6</v>
      </c>
      <c r="S183" s="212">
        <v>15</v>
      </c>
      <c r="T183" s="212">
        <v>7</v>
      </c>
      <c r="U183" s="212">
        <v>9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213" t="s">
        <v>35</v>
      </c>
      <c r="L184" s="213" t="s">
        <v>37</v>
      </c>
      <c r="M184" s="213" t="s">
        <v>102</v>
      </c>
      <c r="N184" s="213" t="s">
        <v>104</v>
      </c>
      <c r="O184" s="213" t="s">
        <v>37</v>
      </c>
      <c r="Q184" s="212">
        <v>8</v>
      </c>
      <c r="R184" s="212">
        <v>7</v>
      </c>
      <c r="S184" s="212">
        <v>17</v>
      </c>
      <c r="T184" s="212">
        <v>6</v>
      </c>
      <c r="U184" s="212">
        <v>7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213" t="s">
        <v>19</v>
      </c>
      <c r="L185" s="213" t="s">
        <v>19</v>
      </c>
      <c r="M185" s="213" t="s">
        <v>95</v>
      </c>
      <c r="N185" s="213" t="s">
        <v>19</v>
      </c>
      <c r="O185" s="213" t="s">
        <v>35</v>
      </c>
      <c r="Q185" s="212">
        <v>5</v>
      </c>
      <c r="R185" s="212">
        <v>5</v>
      </c>
      <c r="S185" s="212">
        <v>19</v>
      </c>
      <c r="T185" s="212">
        <v>5</v>
      </c>
      <c r="U185" s="212">
        <v>8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213" t="s">
        <v>21</v>
      </c>
      <c r="L186" s="213" t="s">
        <v>21</v>
      </c>
      <c r="M186" s="213" t="s">
        <v>102</v>
      </c>
      <c r="N186" s="213" t="s">
        <v>37</v>
      </c>
      <c r="O186" s="213" t="s">
        <v>20</v>
      </c>
      <c r="Q186" s="212">
        <v>2</v>
      </c>
      <c r="R186" s="212">
        <v>2</v>
      </c>
      <c r="S186" s="212">
        <v>17</v>
      </c>
      <c r="T186" s="212">
        <v>7</v>
      </c>
      <c r="U186" s="212">
        <v>1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213" t="s">
        <v>37</v>
      </c>
      <c r="L187" s="213" t="s">
        <v>37</v>
      </c>
      <c r="M187" s="213" t="s">
        <v>89</v>
      </c>
      <c r="N187" s="213" t="s">
        <v>19</v>
      </c>
      <c r="O187" s="213" t="s">
        <v>104</v>
      </c>
      <c r="Q187" s="212">
        <v>7</v>
      </c>
      <c r="R187" s="212">
        <v>7</v>
      </c>
      <c r="S187" s="212">
        <v>14</v>
      </c>
      <c r="T187" s="212">
        <v>5</v>
      </c>
      <c r="U187" s="212">
        <v>6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213" t="s">
        <v>35</v>
      </c>
      <c r="L188" s="213" t="s">
        <v>104</v>
      </c>
      <c r="M188" s="213" t="s">
        <v>105</v>
      </c>
      <c r="N188" s="213" t="s">
        <v>104</v>
      </c>
      <c r="O188" s="213" t="s">
        <v>22</v>
      </c>
      <c r="Q188" s="212">
        <v>8</v>
      </c>
      <c r="R188" s="212">
        <v>6</v>
      </c>
      <c r="S188" s="212">
        <v>15</v>
      </c>
      <c r="T188" s="212">
        <v>6</v>
      </c>
      <c r="U188" s="212">
        <v>3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213" t="s">
        <v>104</v>
      </c>
      <c r="L189" s="213" t="s">
        <v>19</v>
      </c>
      <c r="M189" s="213" t="s">
        <v>89</v>
      </c>
      <c r="N189" s="213" t="s">
        <v>37</v>
      </c>
      <c r="O189" s="213" t="s">
        <v>35</v>
      </c>
      <c r="Q189" s="212">
        <v>6</v>
      </c>
      <c r="R189" s="212">
        <v>5</v>
      </c>
      <c r="S189" s="212">
        <v>14</v>
      </c>
      <c r="T189" s="212">
        <v>7</v>
      </c>
      <c r="U189" s="212">
        <v>8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213" t="s">
        <v>37</v>
      </c>
      <c r="L190" s="213" t="s">
        <v>102</v>
      </c>
      <c r="M190" s="213" t="s">
        <v>102</v>
      </c>
      <c r="N190" s="213" t="s">
        <v>19</v>
      </c>
      <c r="O190" s="213" t="s">
        <v>37</v>
      </c>
      <c r="Q190" s="212">
        <v>7</v>
      </c>
      <c r="R190" s="212">
        <v>17</v>
      </c>
      <c r="S190" s="212">
        <v>17</v>
      </c>
      <c r="T190" s="212">
        <v>5</v>
      </c>
      <c r="U190" s="212">
        <v>7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213" t="s">
        <v>19</v>
      </c>
      <c r="L191" s="213" t="s">
        <v>37</v>
      </c>
      <c r="M191" s="213" t="s">
        <v>90</v>
      </c>
      <c r="N191" s="213" t="s">
        <v>37</v>
      </c>
      <c r="O191" s="213" t="s">
        <v>21</v>
      </c>
      <c r="Q191" s="212">
        <v>5</v>
      </c>
      <c r="R191" s="212">
        <v>7</v>
      </c>
      <c r="S191" s="212">
        <v>16</v>
      </c>
      <c r="T191" s="212">
        <v>7</v>
      </c>
      <c r="U191" s="212">
        <v>2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213" t="s">
        <v>104</v>
      </c>
      <c r="L192" s="213" t="s">
        <v>35</v>
      </c>
      <c r="M192" s="213" t="s">
        <v>105</v>
      </c>
      <c r="N192" s="213" t="s">
        <v>19</v>
      </c>
      <c r="O192" s="213" t="s">
        <v>37</v>
      </c>
      <c r="Q192" s="212">
        <v>6</v>
      </c>
      <c r="R192" s="212">
        <v>8</v>
      </c>
      <c r="S192" s="212">
        <v>15</v>
      </c>
      <c r="T192" s="212">
        <v>5</v>
      </c>
      <c r="U192" s="212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213" t="s">
        <v>37</v>
      </c>
      <c r="L193" s="213" t="s">
        <v>90</v>
      </c>
      <c r="M193" s="213" t="s">
        <v>102</v>
      </c>
      <c r="N193" s="213" t="s">
        <v>36</v>
      </c>
      <c r="O193" s="213" t="s">
        <v>36</v>
      </c>
      <c r="Q193" s="212">
        <v>7</v>
      </c>
      <c r="R193" s="212">
        <v>16</v>
      </c>
      <c r="S193" s="212">
        <v>17</v>
      </c>
      <c r="T193" s="212">
        <v>10</v>
      </c>
      <c r="U193" s="212">
        <v>10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213" t="s">
        <v>104</v>
      </c>
      <c r="L194" s="213" t="s">
        <v>37</v>
      </c>
      <c r="M194" s="213" t="s">
        <v>90</v>
      </c>
      <c r="N194" s="213" t="s">
        <v>20</v>
      </c>
      <c r="O194" s="213" t="s">
        <v>104</v>
      </c>
      <c r="Q194" s="212">
        <v>6</v>
      </c>
      <c r="R194" s="212">
        <v>7</v>
      </c>
      <c r="S194" s="212">
        <v>16</v>
      </c>
      <c r="T194" s="212">
        <v>1</v>
      </c>
      <c r="U194" s="212">
        <v>6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213" t="s">
        <v>35</v>
      </c>
      <c r="L195" s="213" t="s">
        <v>35</v>
      </c>
      <c r="M195" s="213" t="s">
        <v>93</v>
      </c>
      <c r="N195" s="213" t="s">
        <v>18</v>
      </c>
      <c r="O195" s="213" t="s">
        <v>19</v>
      </c>
      <c r="Q195" s="212">
        <v>8</v>
      </c>
      <c r="R195" s="212">
        <v>8</v>
      </c>
      <c r="S195" s="212">
        <v>18</v>
      </c>
      <c r="T195" s="212">
        <v>4</v>
      </c>
      <c r="U195" s="212">
        <v>5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213" t="s">
        <v>37</v>
      </c>
      <c r="L196" s="213" t="s">
        <v>34</v>
      </c>
      <c r="M196" s="213" t="s">
        <v>105</v>
      </c>
      <c r="N196" s="213" t="s">
        <v>89</v>
      </c>
      <c r="O196" s="213" t="s">
        <v>37</v>
      </c>
      <c r="Q196" s="212">
        <v>7</v>
      </c>
      <c r="R196" s="212">
        <v>9</v>
      </c>
      <c r="S196" s="212">
        <v>15</v>
      </c>
      <c r="T196" s="212">
        <v>14</v>
      </c>
      <c r="U196" s="212">
        <v>7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213" t="s">
        <v>104</v>
      </c>
      <c r="L197" s="213" t="s">
        <v>35</v>
      </c>
      <c r="M197" s="213" t="s">
        <v>89</v>
      </c>
      <c r="N197" s="213" t="s">
        <v>37</v>
      </c>
      <c r="O197" s="213" t="s">
        <v>19</v>
      </c>
      <c r="Q197" s="212">
        <v>6</v>
      </c>
      <c r="R197" s="212">
        <v>8</v>
      </c>
      <c r="S197" s="212">
        <v>14</v>
      </c>
      <c r="T197" s="212">
        <v>7</v>
      </c>
      <c r="U197" s="212">
        <v>5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213" t="s">
        <v>34</v>
      </c>
      <c r="L198" s="213" t="s">
        <v>19</v>
      </c>
      <c r="M198" s="213" t="s">
        <v>90</v>
      </c>
      <c r="N198" s="213" t="s">
        <v>88</v>
      </c>
      <c r="O198" s="213" t="s">
        <v>35</v>
      </c>
      <c r="Q198" s="212">
        <v>9</v>
      </c>
      <c r="R198" s="212">
        <v>5</v>
      </c>
      <c r="S198" s="212">
        <v>16</v>
      </c>
      <c r="T198" s="212">
        <v>13</v>
      </c>
      <c r="U198" s="212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213" t="s">
        <v>18</v>
      </c>
      <c r="L199" s="213" t="s">
        <v>18</v>
      </c>
      <c r="M199" s="213" t="s">
        <v>89</v>
      </c>
      <c r="N199" s="213" t="s">
        <v>19</v>
      </c>
      <c r="O199" s="213" t="s">
        <v>37</v>
      </c>
      <c r="Q199" s="212">
        <v>4</v>
      </c>
      <c r="R199" s="212">
        <v>4</v>
      </c>
      <c r="S199" s="212">
        <v>14</v>
      </c>
      <c r="T199" s="212">
        <v>5</v>
      </c>
      <c r="U199" s="212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213" t="s">
        <v>104</v>
      </c>
      <c r="L200" s="213" t="s">
        <v>22</v>
      </c>
      <c r="M200" s="213" t="s">
        <v>105</v>
      </c>
      <c r="N200" s="213" t="s">
        <v>90</v>
      </c>
      <c r="O200" s="213" t="s">
        <v>104</v>
      </c>
      <c r="Q200" s="212">
        <v>6</v>
      </c>
      <c r="R200" s="212">
        <v>3</v>
      </c>
      <c r="S200" s="212">
        <v>15</v>
      </c>
      <c r="T200" s="212">
        <v>16</v>
      </c>
      <c r="U200" s="212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213" t="s">
        <v>19</v>
      </c>
      <c r="L201" s="213" t="s">
        <v>35</v>
      </c>
      <c r="M201" s="213" t="s">
        <v>95</v>
      </c>
      <c r="N201" s="213" t="s">
        <v>19</v>
      </c>
      <c r="O201" s="213" t="s">
        <v>37</v>
      </c>
      <c r="Q201" s="212">
        <v>5</v>
      </c>
      <c r="R201" s="212">
        <v>8</v>
      </c>
      <c r="S201" s="212">
        <v>19</v>
      </c>
      <c r="T201" s="212">
        <v>5</v>
      </c>
      <c r="U201" s="212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213" t="s">
        <v>35</v>
      </c>
      <c r="L202" s="213" t="s">
        <v>104</v>
      </c>
      <c r="M202" s="213" t="s">
        <v>90</v>
      </c>
      <c r="N202" s="213" t="s">
        <v>90</v>
      </c>
      <c r="O202" s="213" t="s">
        <v>19</v>
      </c>
      <c r="Q202" s="212">
        <v>8</v>
      </c>
      <c r="R202" s="212">
        <v>6</v>
      </c>
      <c r="S202" s="212">
        <v>16</v>
      </c>
      <c r="T202" s="212">
        <v>16</v>
      </c>
      <c r="U202" s="212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213" t="s">
        <v>18</v>
      </c>
      <c r="L203" s="213" t="s">
        <v>35</v>
      </c>
      <c r="M203" s="213" t="s">
        <v>102</v>
      </c>
      <c r="N203" s="213" t="s">
        <v>37</v>
      </c>
      <c r="O203" s="213" t="s">
        <v>37</v>
      </c>
      <c r="Q203" s="212">
        <v>4</v>
      </c>
      <c r="R203" s="212">
        <v>8</v>
      </c>
      <c r="S203" s="212">
        <v>17</v>
      </c>
      <c r="T203" s="212">
        <v>7</v>
      </c>
      <c r="U203" s="212">
        <v>7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213"/>
      <c r="L204" s="213"/>
      <c r="M204" s="213"/>
      <c r="N204" s="213"/>
      <c r="O204" s="213"/>
      <c r="Q204" s="212" t="str">
        <v/>
      </c>
      <c r="R204" s="212" t="str">
        <v/>
      </c>
      <c r="S204" s="212" t="str">
        <v/>
      </c>
      <c r="T204" s="212" t="str">
        <v/>
      </c>
      <c r="U204" s="212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213"/>
      <c r="L205" s="213"/>
      <c r="M205" s="213"/>
      <c r="N205" s="213"/>
      <c r="O205" s="213"/>
      <c r="Q205" s="212" t="str">
        <v/>
      </c>
      <c r="R205" s="212" t="str">
        <v/>
      </c>
      <c r="S205" s="212" t="str">
        <v/>
      </c>
      <c r="T205" s="212" t="str">
        <v/>
      </c>
      <c r="U205" s="212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213"/>
      <c r="L206" s="213"/>
      <c r="M206" s="213"/>
      <c r="N206" s="213"/>
      <c r="O206" s="213"/>
      <c r="Q206" s="212" t="str">
        <v/>
      </c>
      <c r="R206" s="212" t="str">
        <v/>
      </c>
      <c r="S206" s="212" t="str">
        <v/>
      </c>
      <c r="T206" s="212" t="str">
        <v/>
      </c>
      <c r="U206" s="212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213"/>
      <c r="L207" s="213"/>
      <c r="M207" s="213"/>
      <c r="N207" s="213"/>
      <c r="O207" s="213"/>
      <c r="Q207" s="212" t="str">
        <v/>
      </c>
      <c r="R207" s="212" t="str">
        <v/>
      </c>
      <c r="S207" s="212" t="str">
        <v/>
      </c>
      <c r="T207" s="212" t="str">
        <v/>
      </c>
      <c r="U207" s="212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213"/>
      <c r="L208" s="213"/>
      <c r="M208" s="213"/>
      <c r="N208" s="213"/>
      <c r="O208" s="213"/>
      <c r="Q208" s="212" t="str">
        <v/>
      </c>
      <c r="R208" s="212" t="str">
        <v/>
      </c>
      <c r="S208" s="212" t="str">
        <v/>
      </c>
      <c r="T208" s="212" t="str">
        <v/>
      </c>
      <c r="U208" s="212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213"/>
      <c r="L209" s="213"/>
      <c r="M209" s="213"/>
      <c r="N209" s="213"/>
      <c r="O209" s="213"/>
      <c r="Q209" s="212" t="str">
        <v/>
      </c>
      <c r="R209" s="212" t="str">
        <v/>
      </c>
      <c r="S209" s="212" t="str">
        <v/>
      </c>
      <c r="T209" s="212" t="str">
        <v/>
      </c>
      <c r="U209" s="212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213"/>
      <c r="L210" s="213"/>
      <c r="M210" s="213"/>
      <c r="N210" s="213"/>
      <c r="O210" s="213"/>
      <c r="Q210" s="212" t="str">
        <v/>
      </c>
      <c r="R210" s="212" t="str">
        <v/>
      </c>
      <c r="S210" s="212" t="str">
        <v/>
      </c>
      <c r="T210" s="212" t="str">
        <v/>
      </c>
      <c r="U210" s="212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213"/>
      <c r="L211" s="213"/>
      <c r="M211" s="213"/>
      <c r="N211" s="213"/>
      <c r="O211" s="213"/>
      <c r="Q211" s="212" t="str">
        <v/>
      </c>
      <c r="R211" s="212" t="str">
        <v/>
      </c>
      <c r="S211" s="212" t="str">
        <v/>
      </c>
      <c r="T211" s="212" t="str">
        <v/>
      </c>
      <c r="U211" s="212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211"/>
      <c r="L212" s="211"/>
      <c r="M212" s="211"/>
      <c r="N212" s="211"/>
      <c r="O212" s="211"/>
      <c r="Q212" s="212" t="str">
        <v/>
      </c>
      <c r="R212" s="212" t="str">
        <v/>
      </c>
      <c r="S212" s="212" t="str">
        <v/>
      </c>
      <c r="T212" s="212" t="str">
        <v/>
      </c>
      <c r="U212" s="212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211"/>
      <c r="L213" s="211"/>
      <c r="M213" s="211"/>
      <c r="N213" s="211"/>
      <c r="O213" s="211"/>
      <c r="Q213" s="212" t="str">
        <v/>
      </c>
      <c r="R213" s="212" t="str">
        <v/>
      </c>
      <c r="S213" s="212" t="str">
        <v/>
      </c>
      <c r="T213" s="212" t="str">
        <v/>
      </c>
      <c r="U213" s="212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211"/>
      <c r="L214" s="211"/>
      <c r="M214" s="211"/>
      <c r="N214" s="211"/>
      <c r="O214" s="211"/>
      <c r="Q214" s="212" t="str">
        <v/>
      </c>
      <c r="R214" s="212" t="str">
        <v/>
      </c>
      <c r="S214" s="212" t="str">
        <v/>
      </c>
      <c r="T214" s="212" t="str">
        <v/>
      </c>
      <c r="U214" s="212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211"/>
      <c r="L215" s="211"/>
      <c r="M215" s="211"/>
      <c r="N215" s="211"/>
      <c r="O215" s="211"/>
      <c r="Q215" s="212" t="str">
        <v/>
      </c>
      <c r="R215" s="212" t="str">
        <v/>
      </c>
      <c r="S215" s="212" t="str">
        <v/>
      </c>
      <c r="T215" s="212" t="str">
        <v/>
      </c>
      <c r="U215" s="212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211"/>
      <c r="L216" s="211"/>
      <c r="M216" s="211"/>
      <c r="N216" s="211"/>
      <c r="O216" s="211"/>
      <c r="Q216" s="212" t="str">
        <v/>
      </c>
      <c r="R216" s="212" t="str">
        <v/>
      </c>
      <c r="S216" s="212" t="str">
        <v/>
      </c>
      <c r="T216" s="212" t="str">
        <v/>
      </c>
      <c r="U216" s="212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211"/>
      <c r="L217" s="211"/>
      <c r="M217" s="211"/>
      <c r="N217" s="211"/>
      <c r="O217" s="211"/>
      <c r="Q217" s="212" t="str">
        <v/>
      </c>
      <c r="R217" s="212" t="str">
        <v/>
      </c>
      <c r="S217" s="212" t="str">
        <v/>
      </c>
      <c r="T217" s="212" t="str">
        <v/>
      </c>
      <c r="U217" s="212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211"/>
      <c r="L218" s="211"/>
      <c r="M218" s="211"/>
      <c r="N218" s="211"/>
      <c r="O218" s="211"/>
      <c r="Q218" s="212" t="str">
        <v/>
      </c>
      <c r="R218" s="212" t="str">
        <v/>
      </c>
      <c r="S218" s="212" t="str">
        <v/>
      </c>
      <c r="T218" s="212" t="str">
        <v/>
      </c>
      <c r="U218" s="212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211"/>
      <c r="L219" s="211"/>
      <c r="M219" s="211"/>
      <c r="N219" s="211"/>
      <c r="O219" s="211"/>
      <c r="Q219" s="212" t="str">
        <v/>
      </c>
      <c r="R219" s="212" t="str">
        <v/>
      </c>
      <c r="S219" s="212" t="str">
        <v/>
      </c>
      <c r="T219" s="212" t="str">
        <v/>
      </c>
      <c r="U219" s="212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211"/>
      <c r="L220" s="211"/>
      <c r="M220" s="211"/>
      <c r="N220" s="211"/>
      <c r="O220" s="211"/>
      <c r="Q220" s="212" t="str">
        <v/>
      </c>
      <c r="R220" s="212" t="str">
        <v/>
      </c>
      <c r="S220" s="212" t="str">
        <v/>
      </c>
      <c r="T220" s="212" t="str">
        <v/>
      </c>
      <c r="U220" s="212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211"/>
      <c r="L221" s="211"/>
      <c r="M221" s="211"/>
      <c r="N221" s="211"/>
      <c r="O221" s="211"/>
      <c r="Q221" s="212" t="str">
        <v/>
      </c>
      <c r="R221" s="212" t="str">
        <v/>
      </c>
      <c r="S221" s="212" t="str">
        <v/>
      </c>
      <c r="T221" s="212" t="str">
        <v/>
      </c>
      <c r="U221" s="212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211"/>
      <c r="L222" s="211"/>
      <c r="M222" s="211"/>
      <c r="N222" s="211"/>
      <c r="O222" s="211"/>
      <c r="Q222" s="212" t="str">
        <v/>
      </c>
      <c r="R222" s="212" t="str">
        <v/>
      </c>
      <c r="S222" s="212" t="str">
        <v/>
      </c>
      <c r="T222" s="212" t="str">
        <v/>
      </c>
      <c r="U222" s="212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211"/>
      <c r="L223" s="211"/>
      <c r="M223" s="211"/>
      <c r="N223" s="211"/>
      <c r="O223" s="211"/>
      <c r="Q223" s="212" t="str">
        <v/>
      </c>
      <c r="R223" s="212" t="str">
        <v/>
      </c>
      <c r="S223" s="212" t="str">
        <v/>
      </c>
      <c r="T223" s="212" t="str">
        <v/>
      </c>
      <c r="U223" s="212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211"/>
      <c r="L224" s="211"/>
      <c r="M224" s="211"/>
      <c r="N224" s="211"/>
      <c r="O224" s="211"/>
      <c r="Q224" s="212" t="str">
        <v/>
      </c>
      <c r="R224" s="212" t="str">
        <v/>
      </c>
      <c r="S224" s="212" t="str">
        <v/>
      </c>
      <c r="T224" s="212" t="str">
        <v/>
      </c>
      <c r="U224" s="212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211"/>
      <c r="L225" s="211"/>
      <c r="M225" s="211"/>
      <c r="N225" s="211"/>
      <c r="O225" s="211"/>
      <c r="Q225" s="212" t="str">
        <v/>
      </c>
      <c r="R225" s="212" t="str">
        <v/>
      </c>
      <c r="S225" s="212" t="str">
        <v/>
      </c>
      <c r="T225" s="212" t="str">
        <v/>
      </c>
      <c r="U225" s="212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211"/>
      <c r="L226" s="211"/>
      <c r="M226" s="211"/>
      <c r="N226" s="211"/>
      <c r="O226" s="211"/>
      <c r="Q226" s="212" t="str">
        <v/>
      </c>
      <c r="R226" s="212" t="str">
        <v/>
      </c>
      <c r="S226" s="212" t="str">
        <v/>
      </c>
      <c r="T226" s="212" t="str">
        <v/>
      </c>
      <c r="U226" s="212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211"/>
      <c r="L227" s="211"/>
      <c r="M227" s="211"/>
      <c r="N227" s="211"/>
      <c r="O227" s="211"/>
      <c r="Q227" s="212" t="str">
        <v/>
      </c>
      <c r="R227" s="212" t="str">
        <v/>
      </c>
      <c r="S227" s="212" t="str">
        <v/>
      </c>
      <c r="T227" s="212" t="str">
        <v/>
      </c>
      <c r="U227" s="212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211"/>
      <c r="L228" s="211"/>
      <c r="M228" s="211"/>
      <c r="N228" s="211"/>
      <c r="O228" s="211"/>
      <c r="Q228" s="212" t="str">
        <v/>
      </c>
      <c r="R228" s="212" t="str">
        <v/>
      </c>
      <c r="S228" s="212" t="str">
        <v/>
      </c>
      <c r="T228" s="212" t="str">
        <v/>
      </c>
      <c r="U228" s="212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211"/>
      <c r="L229" s="211"/>
      <c r="M229" s="211"/>
      <c r="N229" s="211"/>
      <c r="O229" s="211"/>
      <c r="Q229" s="212" t="str">
        <v/>
      </c>
      <c r="R229" s="212" t="str">
        <v/>
      </c>
      <c r="S229" s="212" t="str">
        <v/>
      </c>
      <c r="T229" s="212" t="str">
        <v/>
      </c>
      <c r="U229" s="212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211"/>
      <c r="L230" s="211"/>
      <c r="M230" s="211"/>
      <c r="N230" s="211"/>
      <c r="O230" s="211"/>
      <c r="Q230" s="212" t="str">
        <v/>
      </c>
      <c r="R230" s="212" t="str">
        <v/>
      </c>
      <c r="S230" s="212" t="str">
        <v/>
      </c>
      <c r="T230" s="212" t="str">
        <v/>
      </c>
      <c r="U230" s="212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211"/>
      <c r="L231" s="211"/>
      <c r="M231" s="211"/>
      <c r="N231" s="211"/>
      <c r="O231" s="211"/>
      <c r="Q231" s="212" t="str">
        <v/>
      </c>
      <c r="R231" s="212" t="str">
        <v/>
      </c>
      <c r="S231" s="212" t="str">
        <v/>
      </c>
      <c r="T231" s="212" t="str">
        <v/>
      </c>
      <c r="U231" s="212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211"/>
      <c r="L232" s="211"/>
      <c r="M232" s="211"/>
      <c r="N232" s="211"/>
      <c r="O232" s="211"/>
      <c r="Q232" s="212" t="str">
        <v/>
      </c>
      <c r="R232" s="212" t="str">
        <v/>
      </c>
      <c r="S232" s="212" t="str">
        <v/>
      </c>
      <c r="T232" s="212" t="str">
        <v/>
      </c>
      <c r="U232" s="212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211"/>
      <c r="L233" s="211"/>
      <c r="M233" s="211"/>
      <c r="N233" s="211"/>
      <c r="O233" s="211"/>
      <c r="Q233" s="212" t="str">
        <v/>
      </c>
      <c r="R233" s="212" t="str">
        <v/>
      </c>
      <c r="S233" s="212" t="str">
        <v/>
      </c>
      <c r="T233" s="212" t="str">
        <v/>
      </c>
      <c r="U233" s="212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211"/>
      <c r="L234" s="211"/>
      <c r="M234" s="211"/>
      <c r="N234" s="211"/>
      <c r="O234" s="211"/>
      <c r="Q234" s="212" t="str">
        <v/>
      </c>
      <c r="R234" s="212" t="str">
        <v/>
      </c>
      <c r="S234" s="212" t="str">
        <v/>
      </c>
      <c r="T234" s="212" t="str">
        <v/>
      </c>
      <c r="U234" s="212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211"/>
      <c r="L235" s="211"/>
      <c r="M235" s="211"/>
      <c r="N235" s="211"/>
      <c r="O235" s="211"/>
      <c r="Q235" s="212" t="str">
        <v/>
      </c>
      <c r="R235" s="212" t="str">
        <v/>
      </c>
      <c r="S235" s="212" t="str">
        <v/>
      </c>
      <c r="T235" s="212" t="str">
        <v/>
      </c>
      <c r="U235" s="212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211"/>
      <c r="L236" s="211"/>
      <c r="M236" s="211"/>
      <c r="N236" s="211"/>
      <c r="O236" s="211"/>
      <c r="Q236" s="212" t="str">
        <v/>
      </c>
      <c r="R236" s="212" t="str">
        <v/>
      </c>
      <c r="S236" s="212" t="str">
        <v/>
      </c>
      <c r="T236" s="212" t="str">
        <v/>
      </c>
      <c r="U236" s="212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211"/>
      <c r="L237" s="211"/>
      <c r="M237" s="211"/>
      <c r="N237" s="211"/>
      <c r="O237" s="211"/>
      <c r="Q237" s="212" t="str">
        <v/>
      </c>
      <c r="R237" s="212" t="str">
        <v/>
      </c>
      <c r="S237" s="212" t="str">
        <v/>
      </c>
      <c r="T237" s="212" t="str">
        <v/>
      </c>
      <c r="U237" s="212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211"/>
      <c r="L238" s="211"/>
      <c r="M238" s="211"/>
      <c r="N238" s="211"/>
      <c r="O238" s="211"/>
      <c r="Q238" s="212" t="str">
        <v/>
      </c>
      <c r="R238" s="212" t="str">
        <v/>
      </c>
      <c r="S238" s="212" t="str">
        <v/>
      </c>
      <c r="T238" s="212" t="str">
        <v/>
      </c>
      <c r="U238" s="212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211"/>
      <c r="L239" s="211"/>
      <c r="M239" s="211"/>
      <c r="N239" s="211"/>
      <c r="O239" s="211"/>
      <c r="Q239" s="212" t="str">
        <v/>
      </c>
      <c r="R239" s="212" t="str">
        <v/>
      </c>
      <c r="S239" s="212" t="str">
        <v/>
      </c>
      <c r="T239" s="212" t="str">
        <v/>
      </c>
      <c r="U239" s="212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211"/>
      <c r="L240" s="211"/>
      <c r="M240" s="211"/>
      <c r="N240" s="211"/>
      <c r="O240" s="211"/>
      <c r="Q240" s="212" t="str">
        <v/>
      </c>
      <c r="R240" s="212" t="str">
        <v/>
      </c>
      <c r="S240" s="212" t="str">
        <v/>
      </c>
      <c r="T240" s="212" t="str">
        <v/>
      </c>
      <c r="U240" s="212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211"/>
      <c r="L241" s="211"/>
      <c r="M241" s="211"/>
      <c r="N241" s="211"/>
      <c r="O241" s="211"/>
      <c r="Q241" s="212" t="str">
        <v/>
      </c>
      <c r="R241" s="212" t="str">
        <v/>
      </c>
      <c r="S241" s="212" t="str">
        <v/>
      </c>
      <c r="T241" s="212" t="str">
        <v/>
      </c>
      <c r="U241" s="212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211"/>
      <c r="L242" s="211"/>
      <c r="M242" s="211"/>
      <c r="N242" s="211"/>
      <c r="O242" s="211"/>
      <c r="Q242" s="212" t="str">
        <v/>
      </c>
      <c r="R242" s="212" t="str">
        <v/>
      </c>
      <c r="S242" s="212" t="str">
        <v/>
      </c>
      <c r="T242" s="212" t="str">
        <v/>
      </c>
      <c r="U242" s="212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211"/>
      <c r="L243" s="211"/>
      <c r="M243" s="211"/>
      <c r="N243" s="211"/>
      <c r="O243" s="211"/>
      <c r="Q243" s="212" t="str">
        <v/>
      </c>
      <c r="R243" s="212" t="str">
        <v/>
      </c>
      <c r="S243" s="212" t="str">
        <v/>
      </c>
      <c r="T243" s="212" t="str">
        <v/>
      </c>
      <c r="U243" s="212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211"/>
      <c r="L244" s="211"/>
      <c r="M244" s="211"/>
      <c r="N244" s="211"/>
      <c r="O244" s="211"/>
      <c r="Q244" s="212" t="str">
        <v/>
      </c>
      <c r="R244" s="212" t="str">
        <v/>
      </c>
      <c r="S244" s="212" t="str">
        <v/>
      </c>
      <c r="T244" s="212" t="str">
        <v/>
      </c>
      <c r="U244" s="212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211"/>
      <c r="L245" s="211"/>
      <c r="M245" s="211"/>
      <c r="N245" s="211"/>
      <c r="O245" s="211"/>
      <c r="Q245" s="212" t="str">
        <v/>
      </c>
      <c r="R245" s="212" t="str">
        <v/>
      </c>
      <c r="S245" s="212" t="str">
        <v/>
      </c>
      <c r="T245" s="212" t="str">
        <v/>
      </c>
      <c r="U245" s="212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211"/>
      <c r="L246" s="211"/>
      <c r="M246" s="211"/>
      <c r="N246" s="211"/>
      <c r="O246" s="211"/>
      <c r="Q246" s="212" t="str">
        <v/>
      </c>
      <c r="R246" s="212" t="str">
        <v/>
      </c>
      <c r="S246" s="212" t="str">
        <v/>
      </c>
      <c r="T246" s="212" t="str">
        <v/>
      </c>
      <c r="U246" s="212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211"/>
      <c r="L247" s="211"/>
      <c r="M247" s="211"/>
      <c r="N247" s="211"/>
      <c r="O247" s="211"/>
      <c r="Q247" s="212" t="str">
        <v/>
      </c>
      <c r="R247" s="212" t="str">
        <v/>
      </c>
      <c r="S247" s="212" t="str">
        <v/>
      </c>
      <c r="T247" s="212" t="str">
        <v/>
      </c>
      <c r="U247" s="212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211"/>
      <c r="L248" s="211"/>
      <c r="M248" s="211"/>
      <c r="N248" s="211"/>
      <c r="O248" s="211"/>
      <c r="Q248" s="212" t="str">
        <v/>
      </c>
      <c r="R248" s="212" t="str">
        <v/>
      </c>
      <c r="S248" s="212" t="str">
        <v/>
      </c>
      <c r="T248" s="212" t="str">
        <v/>
      </c>
      <c r="U248" s="212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211"/>
      <c r="L249" s="211"/>
      <c r="M249" s="211"/>
      <c r="N249" s="211"/>
      <c r="O249" s="211"/>
      <c r="Q249" s="212" t="str">
        <v/>
      </c>
      <c r="R249" s="212" t="str">
        <v/>
      </c>
      <c r="S249" s="212" t="str">
        <v/>
      </c>
      <c r="T249" s="212" t="str">
        <v/>
      </c>
      <c r="U249" s="212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211"/>
      <c r="L250" s="211"/>
      <c r="M250" s="211"/>
      <c r="N250" s="211"/>
      <c r="O250" s="211"/>
      <c r="Q250" s="212" t="str">
        <v/>
      </c>
      <c r="R250" s="212" t="str">
        <v/>
      </c>
      <c r="S250" s="212" t="str">
        <v/>
      </c>
      <c r="T250" s="212" t="str">
        <v/>
      </c>
      <c r="U250" s="212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211"/>
      <c r="L251" s="211"/>
      <c r="M251" s="211"/>
      <c r="N251" s="211"/>
      <c r="O251" s="211"/>
      <c r="Q251" s="212" t="str">
        <v/>
      </c>
      <c r="R251" s="212" t="str">
        <v/>
      </c>
      <c r="S251" s="212" t="str">
        <v/>
      </c>
      <c r="T251" s="212" t="str">
        <v/>
      </c>
      <c r="U251" s="212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211"/>
      <c r="L252" s="211"/>
      <c r="M252" s="211"/>
      <c r="N252" s="211"/>
      <c r="O252" s="211"/>
      <c r="Q252" s="212" t="str">
        <v/>
      </c>
      <c r="R252" s="212" t="str">
        <v/>
      </c>
      <c r="S252" s="212" t="str">
        <v/>
      </c>
      <c r="T252" s="212" t="str">
        <v/>
      </c>
      <c r="U252" s="212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211"/>
      <c r="L253" s="211"/>
      <c r="M253" s="211"/>
      <c r="N253" s="211"/>
      <c r="O253" s="211"/>
      <c r="Q253" s="212" t="str">
        <v/>
      </c>
      <c r="R253" s="212" t="str">
        <v/>
      </c>
      <c r="S253" s="212" t="str">
        <v/>
      </c>
      <c r="T253" s="212" t="str">
        <v/>
      </c>
      <c r="U253" s="212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211"/>
      <c r="L254" s="211"/>
      <c r="M254" s="211"/>
      <c r="N254" s="211"/>
      <c r="O254" s="211"/>
      <c r="Q254" s="212" t="str">
        <v/>
      </c>
      <c r="R254" s="212" t="str">
        <v/>
      </c>
      <c r="S254" s="212" t="str">
        <v/>
      </c>
      <c r="T254" s="212" t="str">
        <v/>
      </c>
      <c r="U254" s="212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211"/>
      <c r="L255" s="211"/>
      <c r="M255" s="211"/>
      <c r="N255" s="211"/>
      <c r="O255" s="211"/>
      <c r="Q255" s="212" t="str">
        <v/>
      </c>
      <c r="R255" s="212" t="str">
        <v/>
      </c>
      <c r="S255" s="212" t="str">
        <v/>
      </c>
      <c r="T255" s="212" t="str">
        <v/>
      </c>
      <c r="U255" s="212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211"/>
      <c r="L256" s="211"/>
      <c r="M256" s="211"/>
      <c r="N256" s="211"/>
      <c r="O256" s="211"/>
      <c r="Q256" s="212" t="str">
        <v/>
      </c>
      <c r="R256" s="212" t="str">
        <v/>
      </c>
      <c r="S256" s="212" t="str">
        <v/>
      </c>
      <c r="T256" s="212" t="str">
        <v/>
      </c>
      <c r="U256" s="212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211"/>
      <c r="L257" s="211"/>
      <c r="M257" s="211"/>
      <c r="N257" s="211"/>
      <c r="O257" s="211"/>
      <c r="Q257" s="212" t="str">
        <v/>
      </c>
      <c r="R257" s="212" t="str">
        <v/>
      </c>
      <c r="S257" s="212" t="str">
        <v/>
      </c>
      <c r="T257" s="212" t="str">
        <v/>
      </c>
      <c r="U257" s="212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211"/>
      <c r="L258" s="211"/>
      <c r="M258" s="211"/>
      <c r="N258" s="211"/>
      <c r="O258" s="211"/>
      <c r="Q258" s="212" t="str">
        <v/>
      </c>
      <c r="R258" s="212" t="str">
        <v/>
      </c>
      <c r="S258" s="212" t="str">
        <v/>
      </c>
      <c r="T258" s="212" t="str">
        <v/>
      </c>
      <c r="U258" s="212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211"/>
      <c r="L259" s="211"/>
      <c r="M259" s="211"/>
      <c r="N259" s="211"/>
      <c r="O259" s="211"/>
      <c r="Q259" s="212" t="str">
        <v/>
      </c>
      <c r="R259" s="212" t="str">
        <v/>
      </c>
      <c r="S259" s="212" t="str">
        <v/>
      </c>
      <c r="T259" s="212" t="str">
        <v/>
      </c>
      <c r="U259" s="212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211"/>
      <c r="L260" s="211"/>
      <c r="M260" s="211"/>
      <c r="N260" s="211"/>
      <c r="O260" s="211"/>
      <c r="Q260" s="212" t="str">
        <v/>
      </c>
      <c r="R260" s="212" t="str">
        <v/>
      </c>
      <c r="S260" s="212" t="str">
        <v/>
      </c>
      <c r="T260" s="212" t="str">
        <v/>
      </c>
      <c r="U260" s="212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211"/>
      <c r="L261" s="211"/>
      <c r="M261" s="211"/>
      <c r="N261" s="211"/>
      <c r="O261" s="211"/>
      <c r="Q261" s="212" t="str">
        <v/>
      </c>
      <c r="R261" s="212" t="str">
        <v/>
      </c>
      <c r="S261" s="212" t="str">
        <v/>
      </c>
      <c r="T261" s="212" t="str">
        <v/>
      </c>
      <c r="U261" s="212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211"/>
      <c r="L262" s="211"/>
      <c r="M262" s="211"/>
      <c r="N262" s="211"/>
      <c r="O262" s="211"/>
      <c r="Q262" s="212" t="str">
        <v/>
      </c>
      <c r="R262" s="212" t="str">
        <v/>
      </c>
      <c r="S262" s="212" t="str">
        <v/>
      </c>
      <c r="T262" s="212" t="str">
        <v/>
      </c>
      <c r="U262" s="212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211"/>
      <c r="L263" s="211"/>
      <c r="M263" s="211"/>
      <c r="N263" s="211"/>
      <c r="O263" s="211"/>
      <c r="Q263" s="212" t="str">
        <v/>
      </c>
      <c r="R263" s="212" t="str">
        <v/>
      </c>
      <c r="S263" s="212" t="str">
        <v/>
      </c>
      <c r="T263" s="212" t="str">
        <v/>
      </c>
      <c r="U263" s="212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211"/>
      <c r="L264" s="211"/>
      <c r="M264" s="211"/>
      <c r="N264" s="211"/>
      <c r="O264" s="211"/>
      <c r="Q264" s="212" t="str">
        <v/>
      </c>
      <c r="R264" s="212" t="str">
        <v/>
      </c>
      <c r="S264" s="212" t="str">
        <v/>
      </c>
      <c r="T264" s="212" t="str">
        <v/>
      </c>
      <c r="U264" s="212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211"/>
      <c r="L265" s="211"/>
      <c r="M265" s="211"/>
      <c r="N265" s="211"/>
      <c r="O265" s="211"/>
      <c r="Q265" s="212" t="str">
        <v/>
      </c>
      <c r="R265" s="212" t="str">
        <v/>
      </c>
      <c r="S265" s="212" t="str">
        <v/>
      </c>
      <c r="T265" s="212" t="str">
        <v/>
      </c>
      <c r="U265" s="212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211"/>
      <c r="L266" s="211"/>
      <c r="M266" s="211"/>
      <c r="N266" s="211"/>
      <c r="O266" s="211"/>
      <c r="Q266" s="212" t="str">
        <v/>
      </c>
      <c r="R266" s="212" t="str">
        <v/>
      </c>
      <c r="S266" s="212" t="str">
        <v/>
      </c>
      <c r="T266" s="212" t="str">
        <v/>
      </c>
      <c r="U266" s="212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211"/>
      <c r="L267" s="211"/>
      <c r="M267" s="211"/>
      <c r="N267" s="211"/>
      <c r="O267" s="211"/>
      <c r="Q267" s="212" t="str">
        <v/>
      </c>
      <c r="R267" s="212" t="str">
        <v/>
      </c>
      <c r="S267" s="212" t="str">
        <v/>
      </c>
      <c r="T267" s="212" t="str">
        <v/>
      </c>
      <c r="U267" s="212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211"/>
      <c r="L268" s="211"/>
      <c r="M268" s="211"/>
      <c r="N268" s="211"/>
      <c r="O268" s="211"/>
      <c r="Q268" s="212" t="str">
        <v/>
      </c>
      <c r="R268" s="212" t="str">
        <v/>
      </c>
      <c r="S268" s="212" t="str">
        <v/>
      </c>
      <c r="T268" s="212" t="str">
        <v/>
      </c>
      <c r="U268" s="212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211"/>
      <c r="L269" s="211"/>
      <c r="M269" s="211"/>
      <c r="N269" s="211"/>
      <c r="O269" s="211"/>
      <c r="Q269" s="212" t="str">
        <v/>
      </c>
      <c r="R269" s="212" t="str">
        <v/>
      </c>
      <c r="S269" s="212" t="str">
        <v/>
      </c>
      <c r="T269" s="212" t="str">
        <v/>
      </c>
      <c r="U269" s="212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211"/>
      <c r="L270" s="211"/>
      <c r="M270" s="211"/>
      <c r="N270" s="211"/>
      <c r="O270" s="211"/>
      <c r="Q270" s="212" t="str">
        <v/>
      </c>
      <c r="R270" s="212" t="str">
        <v/>
      </c>
      <c r="S270" s="212" t="str">
        <v/>
      </c>
      <c r="T270" s="212" t="str">
        <v/>
      </c>
      <c r="U270" s="212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211"/>
      <c r="L271" s="211"/>
      <c r="M271" s="211"/>
      <c r="N271" s="211"/>
      <c r="O271" s="211"/>
      <c r="Q271" s="212" t="str">
        <v/>
      </c>
      <c r="R271" s="212" t="str">
        <v/>
      </c>
      <c r="S271" s="212" t="str">
        <v/>
      </c>
      <c r="T271" s="212" t="str">
        <v/>
      </c>
      <c r="U271" s="212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211"/>
      <c r="L272" s="211"/>
      <c r="M272" s="211"/>
      <c r="N272" s="211"/>
      <c r="O272" s="211"/>
      <c r="Q272" s="212" t="str">
        <v/>
      </c>
      <c r="R272" s="212" t="str">
        <v/>
      </c>
      <c r="S272" s="212" t="str">
        <v/>
      </c>
      <c r="T272" s="212" t="str">
        <v/>
      </c>
      <c r="U272" s="212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211"/>
      <c r="L273" s="211"/>
      <c r="M273" s="211"/>
      <c r="N273" s="211"/>
      <c r="O273" s="211"/>
      <c r="Q273" s="212" t="str">
        <v/>
      </c>
      <c r="R273" s="212" t="str">
        <v/>
      </c>
      <c r="S273" s="212" t="str">
        <v/>
      </c>
      <c r="T273" s="212" t="str">
        <v/>
      </c>
      <c r="U273" s="212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211"/>
      <c r="L274" s="211"/>
      <c r="M274" s="211"/>
      <c r="N274" s="211"/>
      <c r="O274" s="211"/>
      <c r="Q274" s="212" t="str">
        <v/>
      </c>
      <c r="R274" s="212" t="str">
        <v/>
      </c>
      <c r="S274" s="212" t="str">
        <v/>
      </c>
      <c r="T274" s="212" t="str">
        <v/>
      </c>
      <c r="U274" s="212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211"/>
      <c r="L275" s="211"/>
      <c r="M275" s="211"/>
      <c r="N275" s="211"/>
      <c r="O275" s="211"/>
      <c r="Q275" s="212" t="str">
        <v/>
      </c>
      <c r="R275" s="212" t="str">
        <v/>
      </c>
      <c r="S275" s="212" t="str">
        <v/>
      </c>
      <c r="T275" s="212" t="str">
        <v/>
      </c>
      <c r="U275" s="212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211"/>
      <c r="L276" s="211"/>
      <c r="M276" s="211"/>
      <c r="N276" s="211"/>
      <c r="O276" s="211"/>
      <c r="Q276" s="212" t="str">
        <v/>
      </c>
      <c r="R276" s="212" t="str">
        <v/>
      </c>
      <c r="S276" s="212" t="str">
        <v/>
      </c>
      <c r="T276" s="212" t="str">
        <v/>
      </c>
      <c r="U276" s="212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211"/>
      <c r="L277" s="211"/>
      <c r="M277" s="211"/>
      <c r="N277" s="211"/>
      <c r="O277" s="211"/>
      <c r="Q277" s="212" t="str">
        <v/>
      </c>
      <c r="R277" s="212" t="str">
        <v/>
      </c>
      <c r="S277" s="212" t="str">
        <v/>
      </c>
      <c r="T277" s="212" t="str">
        <v/>
      </c>
      <c r="U277" s="212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211"/>
      <c r="L278" s="211"/>
      <c r="M278" s="211"/>
      <c r="N278" s="211"/>
      <c r="O278" s="211"/>
      <c r="Q278" s="212" t="str">
        <v/>
      </c>
      <c r="R278" s="212" t="str">
        <v/>
      </c>
      <c r="S278" s="212" t="str">
        <v/>
      </c>
      <c r="T278" s="212" t="str">
        <v/>
      </c>
      <c r="U278" s="212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211"/>
      <c r="L279" s="211"/>
      <c r="M279" s="211"/>
      <c r="N279" s="211"/>
      <c r="O279" s="211"/>
      <c r="Q279" s="212" t="str">
        <v/>
      </c>
      <c r="R279" s="212" t="str">
        <v/>
      </c>
      <c r="S279" s="212" t="str">
        <v/>
      </c>
      <c r="T279" s="212" t="str">
        <v/>
      </c>
      <c r="U279" s="212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211"/>
      <c r="L280" s="211"/>
      <c r="M280" s="211"/>
      <c r="N280" s="211"/>
      <c r="O280" s="211"/>
      <c r="Q280" s="212" t="str">
        <v/>
      </c>
      <c r="R280" s="212" t="str">
        <v/>
      </c>
      <c r="S280" s="212" t="str">
        <v/>
      </c>
      <c r="T280" s="212" t="str">
        <v/>
      </c>
      <c r="U280" s="212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211"/>
      <c r="L281" s="211"/>
      <c r="M281" s="211"/>
      <c r="N281" s="211"/>
      <c r="O281" s="211"/>
      <c r="Q281" s="212" t="str">
        <v/>
      </c>
      <c r="R281" s="212" t="str">
        <v/>
      </c>
      <c r="S281" s="212" t="str">
        <v/>
      </c>
      <c r="T281" s="212" t="str">
        <v/>
      </c>
      <c r="U281" s="212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211"/>
      <c r="L282" s="211"/>
      <c r="M282" s="211"/>
      <c r="N282" s="211"/>
      <c r="O282" s="211"/>
      <c r="Q282" s="212" t="str">
        <v/>
      </c>
      <c r="R282" s="212" t="str">
        <v/>
      </c>
      <c r="S282" s="212" t="str">
        <v/>
      </c>
      <c r="T282" s="212" t="str">
        <v/>
      </c>
      <c r="U282" s="212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211"/>
      <c r="L283" s="211"/>
      <c r="M283" s="211"/>
      <c r="N283" s="211"/>
      <c r="O283" s="211"/>
      <c r="Q283" s="212" t="str">
        <v/>
      </c>
      <c r="R283" s="212" t="str">
        <v/>
      </c>
      <c r="S283" s="212" t="str">
        <v/>
      </c>
      <c r="T283" s="212" t="str">
        <v/>
      </c>
      <c r="U283" s="212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211"/>
      <c r="L284" s="211"/>
      <c r="M284" s="211"/>
      <c r="N284" s="211"/>
      <c r="O284" s="211"/>
      <c r="Q284" s="212" t="str">
        <v/>
      </c>
      <c r="R284" s="212" t="str">
        <v/>
      </c>
      <c r="S284" s="212" t="str">
        <v/>
      </c>
      <c r="T284" s="212" t="str">
        <v/>
      </c>
      <c r="U284" s="212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211"/>
      <c r="L285" s="211"/>
      <c r="M285" s="211"/>
      <c r="N285" s="211"/>
      <c r="O285" s="211"/>
      <c r="Q285" s="212" t="str">
        <v/>
      </c>
      <c r="R285" s="212" t="str">
        <v/>
      </c>
      <c r="S285" s="212" t="str">
        <v/>
      </c>
      <c r="T285" s="212" t="str">
        <v/>
      </c>
      <c r="U285" s="212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211"/>
      <c r="L286" s="211"/>
      <c r="M286" s="211"/>
      <c r="N286" s="211"/>
      <c r="O286" s="211"/>
      <c r="Q286" s="212" t="str">
        <v/>
      </c>
      <c r="R286" s="212" t="str">
        <v/>
      </c>
      <c r="S286" s="212" t="str">
        <v/>
      </c>
      <c r="T286" s="212" t="str">
        <v/>
      </c>
      <c r="U286" s="212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211"/>
      <c r="L287" s="211"/>
      <c r="M287" s="211"/>
      <c r="N287" s="211"/>
      <c r="O287" s="211"/>
      <c r="Q287" s="212" t="str">
        <v/>
      </c>
      <c r="R287" s="212" t="str">
        <v/>
      </c>
      <c r="S287" s="212" t="str">
        <v/>
      </c>
      <c r="T287" s="212" t="str">
        <v/>
      </c>
      <c r="U287" s="212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211"/>
      <c r="L288" s="211"/>
      <c r="M288" s="211"/>
      <c r="N288" s="211"/>
      <c r="O288" s="211"/>
      <c r="Q288" s="212" t="str">
        <v/>
      </c>
      <c r="R288" s="212" t="str">
        <v/>
      </c>
      <c r="S288" s="212" t="str">
        <v/>
      </c>
      <c r="T288" s="212" t="str">
        <v/>
      </c>
      <c r="U288" s="212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211"/>
      <c r="L289" s="211"/>
      <c r="M289" s="211"/>
      <c r="N289" s="211"/>
      <c r="O289" s="211"/>
      <c r="Q289" s="212" t="str">
        <v/>
      </c>
      <c r="R289" s="212" t="str">
        <v/>
      </c>
      <c r="S289" s="212" t="str">
        <v/>
      </c>
      <c r="T289" s="212" t="str">
        <v/>
      </c>
      <c r="U289" s="212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211"/>
      <c r="L290" s="211"/>
      <c r="M290" s="211"/>
      <c r="N290" s="211"/>
      <c r="O290" s="211"/>
      <c r="Q290" s="212" t="str">
        <v/>
      </c>
      <c r="R290" s="212" t="str">
        <v/>
      </c>
      <c r="S290" s="212" t="str">
        <v/>
      </c>
      <c r="T290" s="212" t="str">
        <v/>
      </c>
      <c r="U290" s="212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211"/>
      <c r="L291" s="211"/>
      <c r="M291" s="211"/>
      <c r="N291" s="211"/>
      <c r="O291" s="211"/>
      <c r="Q291" s="212" t="str">
        <v/>
      </c>
      <c r="R291" s="212" t="str">
        <v/>
      </c>
      <c r="S291" s="212" t="str">
        <v/>
      </c>
      <c r="T291" s="212" t="str">
        <v/>
      </c>
      <c r="U291" s="212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211"/>
      <c r="L292" s="211"/>
      <c r="M292" s="211"/>
      <c r="N292" s="211"/>
      <c r="O292" s="211"/>
      <c r="Q292" s="212" t="str">
        <v/>
      </c>
      <c r="R292" s="212" t="str">
        <v/>
      </c>
      <c r="S292" s="212" t="str">
        <v/>
      </c>
      <c r="T292" s="212" t="str">
        <v/>
      </c>
      <c r="U292" s="212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211"/>
      <c r="L293" s="211"/>
      <c r="M293" s="211"/>
      <c r="N293" s="211"/>
      <c r="O293" s="211"/>
      <c r="Q293" s="212" t="str">
        <v/>
      </c>
      <c r="R293" s="212" t="str">
        <v/>
      </c>
      <c r="S293" s="212" t="str">
        <v/>
      </c>
      <c r="T293" s="212" t="str">
        <v/>
      </c>
      <c r="U293" s="212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211"/>
      <c r="L294" s="211"/>
      <c r="M294" s="211"/>
      <c r="N294" s="211"/>
      <c r="O294" s="211"/>
      <c r="Q294" s="212" t="str">
        <v/>
      </c>
      <c r="R294" s="212" t="str">
        <v/>
      </c>
      <c r="S294" s="212" t="str">
        <v/>
      </c>
      <c r="T294" s="212" t="str">
        <v/>
      </c>
      <c r="U294" s="212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211"/>
      <c r="L295" s="211"/>
      <c r="M295" s="211"/>
      <c r="N295" s="211"/>
      <c r="O295" s="211"/>
      <c r="Q295" s="212" t="str">
        <v/>
      </c>
      <c r="R295" s="212" t="str">
        <v/>
      </c>
      <c r="S295" s="212" t="str">
        <v/>
      </c>
      <c r="T295" s="212" t="str">
        <v/>
      </c>
      <c r="U295" s="212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211"/>
      <c r="L296" s="211"/>
      <c r="M296" s="211"/>
      <c r="N296" s="211"/>
      <c r="O296" s="211"/>
      <c r="Q296" s="212" t="str">
        <v/>
      </c>
      <c r="R296" s="212" t="str">
        <v/>
      </c>
      <c r="S296" s="212" t="str">
        <v/>
      </c>
      <c r="T296" s="212" t="str">
        <v/>
      </c>
      <c r="U296" s="212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211"/>
      <c r="L297" s="211"/>
      <c r="M297" s="211"/>
      <c r="N297" s="211"/>
      <c r="O297" s="211"/>
      <c r="Q297" s="212" t="str">
        <v/>
      </c>
      <c r="R297" s="212" t="str">
        <v/>
      </c>
      <c r="S297" s="212" t="str">
        <v/>
      </c>
      <c r="T297" s="212" t="str">
        <v/>
      </c>
      <c r="U297" s="212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211"/>
      <c r="L298" s="211"/>
      <c r="M298" s="211"/>
      <c r="N298" s="211"/>
      <c r="O298" s="211"/>
      <c r="Q298" s="212" t="str">
        <v/>
      </c>
      <c r="R298" s="212" t="str">
        <v/>
      </c>
      <c r="S298" s="212" t="str">
        <v/>
      </c>
      <c r="T298" s="212" t="str">
        <v/>
      </c>
      <c r="U298" s="212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211"/>
      <c r="L299" s="211"/>
      <c r="M299" s="211"/>
      <c r="N299" s="211"/>
      <c r="O299" s="211"/>
      <c r="Q299" s="212" t="str">
        <v/>
      </c>
      <c r="R299" s="212" t="str">
        <v/>
      </c>
      <c r="S299" s="212" t="str">
        <v/>
      </c>
      <c r="T299" s="212" t="str">
        <v/>
      </c>
      <c r="U299" s="212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211"/>
      <c r="L300" s="211"/>
      <c r="M300" s="211"/>
      <c r="N300" s="211"/>
      <c r="O300" s="211"/>
      <c r="Q300" s="212" t="str">
        <v/>
      </c>
      <c r="R300" s="212" t="str">
        <v/>
      </c>
      <c r="S300" s="212" t="str">
        <v/>
      </c>
      <c r="T300" s="212" t="str">
        <v/>
      </c>
      <c r="U300" s="212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211"/>
      <c r="L301" s="211"/>
      <c r="M301" s="211"/>
      <c r="N301" s="211"/>
      <c r="O301" s="211"/>
      <c r="Q301" s="212" t="str">
        <v/>
      </c>
      <c r="R301" s="212" t="str">
        <v/>
      </c>
      <c r="S301" s="212" t="str">
        <v/>
      </c>
      <c r="T301" s="212" t="str">
        <v/>
      </c>
      <c r="U301" s="212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211"/>
      <c r="L302" s="211"/>
      <c r="M302" s="211"/>
      <c r="N302" s="211"/>
      <c r="O302" s="211"/>
      <c r="Q302" s="212" t="str">
        <v/>
      </c>
      <c r="R302" s="212" t="str">
        <v/>
      </c>
      <c r="S302" s="212" t="str">
        <v/>
      </c>
      <c r="T302" s="212" t="str">
        <v/>
      </c>
      <c r="U302" s="212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211"/>
      <c r="L303" s="211"/>
      <c r="M303" s="211"/>
      <c r="N303" s="211"/>
      <c r="O303" s="211"/>
      <c r="Q303" s="212" t="str">
        <v/>
      </c>
      <c r="R303" s="212" t="str">
        <v/>
      </c>
      <c r="S303" s="212" t="str">
        <v/>
      </c>
      <c r="T303" s="212" t="str">
        <v/>
      </c>
      <c r="U303" s="212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211"/>
      <c r="L304" s="211"/>
      <c r="M304" s="211"/>
      <c r="N304" s="211"/>
      <c r="O304" s="211"/>
      <c r="Q304" s="212" t="str">
        <v/>
      </c>
      <c r="R304" s="212" t="str">
        <v/>
      </c>
      <c r="S304" s="212" t="str">
        <v/>
      </c>
      <c r="T304" s="212" t="str">
        <v/>
      </c>
      <c r="U304" s="212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D52:D54">
    <cfRule type="cellIs" dxfId="80" priority="22" operator="equal">
      <formula>"C1"</formula>
    </cfRule>
    <cfRule type="cellIs" dxfId="79" priority="23" operator="between">
      <formula>"G1"</formula>
      <formula>"G4"</formula>
    </cfRule>
    <cfRule type="cellIs" dxfId="78" priority="24" operator="between">
      <formula>"GA"</formula>
      <formula>"GQ"</formula>
    </cfRule>
    <cfRule type="cellIs" dxfId="77" priority="25" operator="between">
      <formula>"M1"</formula>
      <formula>"M4"</formula>
    </cfRule>
  </conditionalFormatting>
  <conditionalFormatting sqref="E52:E54">
    <cfRule type="cellIs" dxfId="76" priority="18" operator="equal">
      <formula>"C1"</formula>
    </cfRule>
    <cfRule type="cellIs" dxfId="75" priority="19" operator="between">
      <formula>"G1"</formula>
      <formula>"G4"</formula>
    </cfRule>
    <cfRule type="cellIs" dxfId="74" priority="20" operator="between">
      <formula>"GA"</formula>
      <formula>"GQ"</formula>
    </cfRule>
    <cfRule type="cellIs" dxfId="73" priority="21" operator="between">
      <formula>"M1"</formula>
      <formula>"M4"</formula>
    </cfRule>
  </conditionalFormatting>
  <conditionalFormatting sqref="F52:F54">
    <cfRule type="cellIs" dxfId="72" priority="14" operator="equal">
      <formula>"C1"</formula>
    </cfRule>
    <cfRule type="cellIs" dxfId="71" priority="15" operator="between">
      <formula>"G1"</formula>
      <formula>"G4"</formula>
    </cfRule>
    <cfRule type="cellIs" dxfId="70" priority="16" operator="between">
      <formula>"GA"</formula>
      <formula>"GQ"</formula>
    </cfRule>
    <cfRule type="cellIs" dxfId="69" priority="17" operator="between">
      <formula>"M1"</formula>
      <formula>"M4"</formula>
    </cfRule>
  </conditionalFormatting>
  <conditionalFormatting sqref="C28:G28 D27:G27 C31:G46 C29:C30 G29:G30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{AF24A4CC-2208-40AA-8A1B-06328FF9B097}</x14:id>
        </ext>
      </extLst>
    </cfRule>
  </conditionalFormatting>
  <conditionalFormatting sqref="D29:F30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{668B989A-80FD-4E32-9780-2D27EE29E6D4}</x14:id>
        </ext>
      </extLst>
    </cfRule>
  </conditionalFormatting>
  <conditionalFormatting sqref="W5:AA304 X4:AA4">
    <cfRule type="expression" dxfId="68" priority="6">
      <formula>_xlfn.LET(_xlpm.x, W4, AND(NOT(_xlfn.ISFORMULA(_xlpm.x)), _xlpm.x&lt;&gt;""))</formula>
    </cfRule>
  </conditionalFormatting>
  <conditionalFormatting sqref="W4:AA203">
    <cfRule type="expression" dxfId="67" priority="5">
      <formula>_xlfn.LET(_xlpm.x, W4, AND(NOT(_xlfn.ISFORMULA(_xlpm.x)), _xlpm.x&lt;&gt;""))</formula>
    </cfRule>
  </conditionalFormatting>
  <conditionalFormatting sqref="K1:O1048576">
    <cfRule type="cellIs" dxfId="66" priority="1" operator="equal">
      <formula>"C1"</formula>
    </cfRule>
    <cfRule type="cellIs" dxfId="65" priority="2" operator="between">
      <formula>"G1"</formula>
      <formula>"G5"</formula>
    </cfRule>
    <cfRule type="cellIs" dxfId="64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24A4CC-2208-40AA-8A1B-06328FF9B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668B989A-80FD-4E32-9780-2D27EE29E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D247836B-33B5-4512-BC97-7994052BEA44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130" t="s">
        <v>13</v>
      </c>
      <c r="L3" s="130" t="s">
        <v>14</v>
      </c>
      <c r="M3" s="130" t="s">
        <v>15</v>
      </c>
      <c r="N3" s="130" t="s">
        <v>16</v>
      </c>
      <c r="O3" s="130" t="s">
        <v>17</v>
      </c>
      <c r="Q3" s="130" t="s">
        <v>13</v>
      </c>
      <c r="R3" s="130" t="s">
        <v>14</v>
      </c>
      <c r="S3" s="130" t="s">
        <v>15</v>
      </c>
      <c r="T3" s="130" t="s">
        <v>16</v>
      </c>
      <c r="U3" s="130" t="s">
        <v>17</v>
      </c>
      <c r="W3" s="130" t="s">
        <v>6</v>
      </c>
      <c r="X3" s="130" t="s">
        <v>14</v>
      </c>
      <c r="Y3" s="130" t="s">
        <v>15</v>
      </c>
      <c r="Z3" s="130" t="s">
        <v>16</v>
      </c>
      <c r="AA3" s="130" t="s">
        <v>17</v>
      </c>
      <c r="AO3" s="5"/>
    </row>
    <row r="4" spans="1:41" ht="15.9" customHeight="1" x14ac:dyDescent="0.3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34</v>
      </c>
      <c r="L4" s="26" t="s">
        <v>104</v>
      </c>
      <c r="M4" s="26" t="s">
        <v>105</v>
      </c>
      <c r="N4" s="26" t="s">
        <v>35</v>
      </c>
      <c r="O4" s="26" t="s">
        <v>21</v>
      </c>
      <c r="Q4" s="25" cm="1">
        <f t="array" ref="Q4:U304">_xlfn.LET(_xlpm.x, K4:O304, IF(_xlpm.x="", "", _xlfn.XLOOKUP(_xlpm.x, $A$4:$A$23,_xlfn.ANCHORARRAY( H4))))</f>
        <v>9</v>
      </c>
      <c r="R4" s="25">
        <v>6</v>
      </c>
      <c r="S4" s="25">
        <v>15</v>
      </c>
      <c r="T4" s="25">
        <v>8</v>
      </c>
      <c r="U4" s="25">
        <v>2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 x14ac:dyDescent="0.3">
      <c r="A5" s="29" t="str">
        <v>C1</v>
      </c>
      <c r="B5" s="8" t="str">
        <v>Scatter</v>
      </c>
      <c r="C5" s="98">
        <f t="shared" si="0"/>
        <v>5</v>
      </c>
      <c r="D5" s="98">
        <f t="shared" si="0"/>
        <v>5</v>
      </c>
      <c r="E5" s="98">
        <f t="shared" si="0"/>
        <v>0</v>
      </c>
      <c r="F5" s="98">
        <f t="shared" si="0"/>
        <v>8</v>
      </c>
      <c r="G5" s="98">
        <f t="shared" si="0"/>
        <v>8</v>
      </c>
      <c r="H5" s="8">
        <v>1</v>
      </c>
      <c r="I5" s="86"/>
      <c r="J5" s="9">
        <v>1</v>
      </c>
      <c r="K5" s="213" t="s">
        <v>104</v>
      </c>
      <c r="L5" s="213" t="s">
        <v>21</v>
      </c>
      <c r="M5" s="213" t="s">
        <v>89</v>
      </c>
      <c r="N5" s="213" t="s">
        <v>34</v>
      </c>
      <c r="O5" s="213" t="s">
        <v>36</v>
      </c>
      <c r="Q5" s="212">
        <v>6</v>
      </c>
      <c r="R5" s="212">
        <v>2</v>
      </c>
      <c r="S5" s="212">
        <v>14</v>
      </c>
      <c r="T5" s="212">
        <v>9</v>
      </c>
      <c r="U5" s="212">
        <v>10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 x14ac:dyDescent="0.3">
      <c r="A6" s="128" t="str">
        <v>M1</v>
      </c>
      <c r="B6" s="108" t="str">
        <v>M1</v>
      </c>
      <c r="C6" s="128">
        <f t="shared" si="0"/>
        <v>3</v>
      </c>
      <c r="D6" s="128">
        <f t="shared" si="0"/>
        <v>10</v>
      </c>
      <c r="E6" s="128">
        <f t="shared" si="0"/>
        <v>0</v>
      </c>
      <c r="F6" s="128">
        <f t="shared" si="0"/>
        <v>3</v>
      </c>
      <c r="G6" s="128">
        <f t="shared" si="0"/>
        <v>9</v>
      </c>
      <c r="H6" s="108">
        <v>2</v>
      </c>
      <c r="I6" s="86"/>
      <c r="J6" s="25">
        <v>2</v>
      </c>
      <c r="K6" s="213" t="s">
        <v>19</v>
      </c>
      <c r="L6" s="213" t="s">
        <v>104</v>
      </c>
      <c r="M6" s="213" t="s">
        <v>105</v>
      </c>
      <c r="N6" s="213" t="s">
        <v>35</v>
      </c>
      <c r="O6" s="213" t="s">
        <v>104</v>
      </c>
      <c r="Q6" s="212">
        <v>5</v>
      </c>
      <c r="R6" s="212">
        <v>6</v>
      </c>
      <c r="S6" s="212">
        <v>15</v>
      </c>
      <c r="T6" s="212">
        <v>8</v>
      </c>
      <c r="U6" s="212">
        <v>6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 cm="1">
        <f t="array" ref="AK6:AO25">$AD$6:$AH$25</f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 x14ac:dyDescent="0.3">
      <c r="A7" s="128" t="str">
        <v>M2</v>
      </c>
      <c r="B7" s="108" t="str">
        <v>M2</v>
      </c>
      <c r="C7" s="128">
        <f t="shared" si="0"/>
        <v>3</v>
      </c>
      <c r="D7" s="128">
        <f t="shared" si="0"/>
        <v>13</v>
      </c>
      <c r="E7" s="128">
        <f t="shared" si="0"/>
        <v>0</v>
      </c>
      <c r="F7" s="128">
        <f t="shared" si="0"/>
        <v>3</v>
      </c>
      <c r="G7" s="128">
        <f t="shared" si="0"/>
        <v>8</v>
      </c>
      <c r="H7" s="108">
        <v>3</v>
      </c>
      <c r="I7" s="86"/>
      <c r="J7" s="9">
        <v>3</v>
      </c>
      <c r="K7" s="213" t="s">
        <v>35</v>
      </c>
      <c r="L7" s="26" t="s">
        <v>22</v>
      </c>
      <c r="M7" s="213" t="s">
        <v>90</v>
      </c>
      <c r="N7" s="213" t="s">
        <v>36</v>
      </c>
      <c r="O7" s="213" t="s">
        <v>21</v>
      </c>
      <c r="Q7" s="212">
        <v>8</v>
      </c>
      <c r="R7" s="212">
        <v>3</v>
      </c>
      <c r="S7" s="212">
        <v>16</v>
      </c>
      <c r="T7" s="212">
        <v>10</v>
      </c>
      <c r="U7" s="212">
        <v>2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1</v>
      </c>
      <c r="AE7" s="133">
        <v>1</v>
      </c>
      <c r="AF7" s="133">
        <v>0</v>
      </c>
      <c r="AG7" s="133">
        <v>1</v>
      </c>
      <c r="AH7" s="133">
        <v>1</v>
      </c>
      <c r="AI7" s="5"/>
      <c r="AJ7" s="133" t="str">
        <v>C1</v>
      </c>
      <c r="AK7" s="211">
        <v>1</v>
      </c>
      <c r="AL7" s="211">
        <v>1</v>
      </c>
      <c r="AM7" s="211">
        <v>0</v>
      </c>
      <c r="AN7" s="211">
        <v>1</v>
      </c>
      <c r="AO7" s="211">
        <v>1</v>
      </c>
    </row>
    <row r="8" spans="1:41" ht="15.9" customHeight="1" x14ac:dyDescent="0.3">
      <c r="A8" s="128" t="str">
        <v>M3</v>
      </c>
      <c r="B8" s="108" t="str">
        <v>M3</v>
      </c>
      <c r="C8" s="128">
        <f t="shared" si="0"/>
        <v>7</v>
      </c>
      <c r="D8" s="128">
        <f t="shared" si="0"/>
        <v>14</v>
      </c>
      <c r="E8" s="128">
        <f t="shared" si="0"/>
        <v>0</v>
      </c>
      <c r="F8" s="128">
        <f t="shared" si="0"/>
        <v>7</v>
      </c>
      <c r="G8" s="128">
        <f t="shared" si="0"/>
        <v>14</v>
      </c>
      <c r="H8" s="108">
        <v>4</v>
      </c>
      <c r="I8" s="86"/>
      <c r="J8" s="25">
        <v>4</v>
      </c>
      <c r="K8" s="213" t="s">
        <v>104</v>
      </c>
      <c r="L8" s="213" t="s">
        <v>37</v>
      </c>
      <c r="M8" s="213" t="s">
        <v>102</v>
      </c>
      <c r="N8" s="213" t="s">
        <v>19</v>
      </c>
      <c r="O8" s="213" t="s">
        <v>37</v>
      </c>
      <c r="Q8" s="212">
        <v>6</v>
      </c>
      <c r="R8" s="212">
        <v>7</v>
      </c>
      <c r="S8" s="212">
        <v>17</v>
      </c>
      <c r="T8" s="212">
        <v>5</v>
      </c>
      <c r="U8" s="212">
        <v>7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8" t="str">
        <v>M1</v>
      </c>
      <c r="AD8" s="128">
        <v>3</v>
      </c>
      <c r="AE8" s="128">
        <v>10</v>
      </c>
      <c r="AF8" s="128">
        <v>0</v>
      </c>
      <c r="AG8" s="128">
        <v>3</v>
      </c>
      <c r="AH8" s="128">
        <v>9</v>
      </c>
      <c r="AI8" s="5"/>
      <c r="AJ8" s="148" t="str">
        <v>M1</v>
      </c>
      <c r="AK8" s="128">
        <v>3</v>
      </c>
      <c r="AL8" s="128">
        <v>10</v>
      </c>
      <c r="AM8" s="128">
        <v>0</v>
      </c>
      <c r="AN8" s="128">
        <v>3</v>
      </c>
      <c r="AO8" s="128">
        <v>9</v>
      </c>
    </row>
    <row r="9" spans="1:41" ht="15.9" customHeight="1" x14ac:dyDescent="0.3">
      <c r="A9" s="128" t="str">
        <v>M4</v>
      </c>
      <c r="B9" s="108" t="str">
        <v>M4</v>
      </c>
      <c r="C9" s="128">
        <f t="shared" si="0"/>
        <v>42</v>
      </c>
      <c r="D9" s="128">
        <f t="shared" si="0"/>
        <v>25</v>
      </c>
      <c r="E9" s="128">
        <f t="shared" si="0"/>
        <v>0</v>
      </c>
      <c r="F9" s="128">
        <f t="shared" si="0"/>
        <v>33</v>
      </c>
      <c r="G9" s="128">
        <f t="shared" si="0"/>
        <v>34</v>
      </c>
      <c r="H9" s="108">
        <v>5</v>
      </c>
      <c r="I9" s="86"/>
      <c r="J9" s="9">
        <v>5</v>
      </c>
      <c r="K9" s="213" t="s">
        <v>19</v>
      </c>
      <c r="L9" s="213" t="s">
        <v>34</v>
      </c>
      <c r="M9" s="213" t="s">
        <v>87</v>
      </c>
      <c r="N9" s="213" t="s">
        <v>105</v>
      </c>
      <c r="O9" s="213" t="s">
        <v>18</v>
      </c>
      <c r="Q9" s="212">
        <v>5</v>
      </c>
      <c r="R9" s="212">
        <v>9</v>
      </c>
      <c r="S9" s="212">
        <v>12</v>
      </c>
      <c r="T9" s="212">
        <v>15</v>
      </c>
      <c r="U9" s="212">
        <v>4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8" t="str">
        <v>M2</v>
      </c>
      <c r="AD9" s="128">
        <v>3</v>
      </c>
      <c r="AE9" s="128">
        <v>12</v>
      </c>
      <c r="AF9" s="128">
        <v>0</v>
      </c>
      <c r="AG9" s="128">
        <v>3</v>
      </c>
      <c r="AH9" s="128">
        <v>8</v>
      </c>
      <c r="AI9" s="5"/>
      <c r="AJ9" s="148" t="str">
        <v>M2</v>
      </c>
      <c r="AK9" s="128">
        <v>3</v>
      </c>
      <c r="AL9" s="128">
        <v>12</v>
      </c>
      <c r="AM9" s="128">
        <v>0</v>
      </c>
      <c r="AN9" s="128">
        <v>3</v>
      </c>
      <c r="AO9" s="128">
        <v>8</v>
      </c>
    </row>
    <row r="10" spans="1:41" ht="15.9" customHeight="1" x14ac:dyDescent="0.3">
      <c r="A10" s="128" t="str">
        <v>M5</v>
      </c>
      <c r="B10" s="108" t="str">
        <v>M5</v>
      </c>
      <c r="C10" s="128">
        <f t="shared" si="0"/>
        <v>42</v>
      </c>
      <c r="D10" s="128">
        <f t="shared" si="0"/>
        <v>25</v>
      </c>
      <c r="E10" s="128">
        <f t="shared" si="0"/>
        <v>0</v>
      </c>
      <c r="F10" s="128">
        <f t="shared" si="0"/>
        <v>34</v>
      </c>
      <c r="G10" s="128">
        <f t="shared" si="0"/>
        <v>34</v>
      </c>
      <c r="H10" s="108">
        <v>6</v>
      </c>
      <c r="I10" s="86"/>
      <c r="J10" s="25">
        <v>6</v>
      </c>
      <c r="K10" s="213" t="s">
        <v>37</v>
      </c>
      <c r="L10" s="213" t="s">
        <v>95</v>
      </c>
      <c r="M10" s="213" t="s">
        <v>102</v>
      </c>
      <c r="N10" s="213" t="s">
        <v>37</v>
      </c>
      <c r="O10" s="213" t="s">
        <v>36</v>
      </c>
      <c r="Q10" s="212">
        <v>7</v>
      </c>
      <c r="R10" s="212">
        <v>19</v>
      </c>
      <c r="S10" s="212">
        <v>17</v>
      </c>
      <c r="T10" s="212">
        <v>7</v>
      </c>
      <c r="U10" s="212">
        <v>10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8" t="str">
        <v>M3</v>
      </c>
      <c r="AD10" s="128">
        <v>7</v>
      </c>
      <c r="AE10" s="128">
        <v>13</v>
      </c>
      <c r="AF10" s="128">
        <v>0</v>
      </c>
      <c r="AG10" s="128">
        <v>7</v>
      </c>
      <c r="AH10" s="128">
        <v>14</v>
      </c>
      <c r="AI10" s="5"/>
      <c r="AJ10" s="148" t="str">
        <v>M3</v>
      </c>
      <c r="AK10" s="128">
        <v>7</v>
      </c>
      <c r="AL10" s="128">
        <v>13</v>
      </c>
      <c r="AM10" s="128">
        <v>0</v>
      </c>
      <c r="AN10" s="128">
        <v>7</v>
      </c>
      <c r="AO10" s="128">
        <v>14</v>
      </c>
    </row>
    <row r="11" spans="1:41" ht="15.9" customHeight="1" x14ac:dyDescent="0.3">
      <c r="A11" s="128" t="str">
        <v>A</v>
      </c>
      <c r="B11" s="108" t="str">
        <v>A</v>
      </c>
      <c r="C11" s="128">
        <f t="shared" si="0"/>
        <v>42</v>
      </c>
      <c r="D11" s="128">
        <f t="shared" si="0"/>
        <v>29</v>
      </c>
      <c r="E11" s="128">
        <f t="shared" si="0"/>
        <v>0</v>
      </c>
      <c r="F11" s="128">
        <f t="shared" si="0"/>
        <v>33</v>
      </c>
      <c r="G11" s="128">
        <f t="shared" si="0"/>
        <v>33</v>
      </c>
      <c r="H11" s="108">
        <v>7</v>
      </c>
      <c r="I11" s="86"/>
      <c r="J11" s="9">
        <v>7</v>
      </c>
      <c r="K11" s="213" t="s">
        <v>19</v>
      </c>
      <c r="L11" s="213" t="s">
        <v>19</v>
      </c>
      <c r="M11" s="213" t="s">
        <v>105</v>
      </c>
      <c r="N11" s="213" t="s">
        <v>104</v>
      </c>
      <c r="O11" s="213" t="s">
        <v>37</v>
      </c>
      <c r="Q11" s="212">
        <v>5</v>
      </c>
      <c r="R11" s="212">
        <v>5</v>
      </c>
      <c r="S11" s="212">
        <v>15</v>
      </c>
      <c r="T11" s="212">
        <v>6</v>
      </c>
      <c r="U11" s="212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8" t="str">
        <v>M4</v>
      </c>
      <c r="AD11" s="128">
        <v>43</v>
      </c>
      <c r="AE11" s="128">
        <v>22</v>
      </c>
      <c r="AF11" s="128">
        <v>0</v>
      </c>
      <c r="AG11" s="128">
        <v>31</v>
      </c>
      <c r="AH11" s="128">
        <v>36</v>
      </c>
      <c r="AI11" s="5"/>
      <c r="AJ11" s="148" t="str">
        <v>M4</v>
      </c>
      <c r="AK11" s="128">
        <v>43</v>
      </c>
      <c r="AL11" s="128">
        <v>22</v>
      </c>
      <c r="AM11" s="128">
        <v>0</v>
      </c>
      <c r="AN11" s="128">
        <v>31</v>
      </c>
      <c r="AO11" s="128">
        <v>36</v>
      </c>
    </row>
    <row r="12" spans="1:41" ht="15.9" customHeight="1" x14ac:dyDescent="0.3">
      <c r="A12" s="128" t="str">
        <v>K</v>
      </c>
      <c r="B12" s="108" t="str">
        <v>K</v>
      </c>
      <c r="C12" s="128">
        <f t="shared" si="0"/>
        <v>43</v>
      </c>
      <c r="D12" s="128">
        <f t="shared" si="0"/>
        <v>26</v>
      </c>
      <c r="E12" s="128">
        <f t="shared" si="0"/>
        <v>0</v>
      </c>
      <c r="F12" s="128">
        <f t="shared" si="0"/>
        <v>34</v>
      </c>
      <c r="G12" s="128">
        <f t="shared" si="0"/>
        <v>33</v>
      </c>
      <c r="H12" s="108">
        <v>8</v>
      </c>
      <c r="I12" s="86"/>
      <c r="J12" s="25">
        <v>8</v>
      </c>
      <c r="K12" s="213" t="s">
        <v>104</v>
      </c>
      <c r="L12" s="213" t="s">
        <v>36</v>
      </c>
      <c r="M12" s="213" t="s">
        <v>88</v>
      </c>
      <c r="N12" s="213" t="s">
        <v>36</v>
      </c>
      <c r="O12" s="213" t="s">
        <v>18</v>
      </c>
      <c r="Q12" s="212">
        <v>6</v>
      </c>
      <c r="R12" s="212">
        <v>10</v>
      </c>
      <c r="S12" s="212">
        <v>13</v>
      </c>
      <c r="T12" s="212">
        <v>10</v>
      </c>
      <c r="U12" s="212">
        <v>4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8" t="str">
        <v>M5</v>
      </c>
      <c r="AD12" s="128">
        <v>42</v>
      </c>
      <c r="AE12" s="128">
        <v>22</v>
      </c>
      <c r="AF12" s="128">
        <v>0</v>
      </c>
      <c r="AG12" s="128">
        <v>27</v>
      </c>
      <c r="AH12" s="128">
        <v>34</v>
      </c>
      <c r="AI12" s="5"/>
      <c r="AJ12" s="148" t="str">
        <v>M5</v>
      </c>
      <c r="AK12" s="128">
        <v>42</v>
      </c>
      <c r="AL12" s="128">
        <v>22</v>
      </c>
      <c r="AM12" s="128">
        <v>0</v>
      </c>
      <c r="AN12" s="128">
        <v>27</v>
      </c>
      <c r="AO12" s="128">
        <v>34</v>
      </c>
    </row>
    <row r="13" spans="1:41" ht="15.9" customHeight="1" x14ac:dyDescent="0.3">
      <c r="A13" s="128" t="str">
        <v>Q</v>
      </c>
      <c r="B13" s="108" t="str">
        <v>Q</v>
      </c>
      <c r="C13" s="128">
        <f t="shared" si="0"/>
        <v>7</v>
      </c>
      <c r="D13" s="128">
        <f t="shared" si="0"/>
        <v>13</v>
      </c>
      <c r="E13" s="128">
        <f t="shared" si="0"/>
        <v>0</v>
      </c>
      <c r="F13" s="128">
        <f t="shared" si="0"/>
        <v>6</v>
      </c>
      <c r="G13" s="128">
        <f t="shared" si="0"/>
        <v>13</v>
      </c>
      <c r="H13" s="108">
        <v>9</v>
      </c>
      <c r="I13" s="86"/>
      <c r="J13" s="9">
        <v>9</v>
      </c>
      <c r="K13" s="213" t="s">
        <v>21</v>
      </c>
      <c r="L13" s="213" t="s">
        <v>90</v>
      </c>
      <c r="M13" s="213" t="s">
        <v>90</v>
      </c>
      <c r="N13" s="213" t="s">
        <v>104</v>
      </c>
      <c r="O13" s="213" t="s">
        <v>19</v>
      </c>
      <c r="Q13" s="212">
        <v>2</v>
      </c>
      <c r="R13" s="212">
        <v>16</v>
      </c>
      <c r="S13" s="212">
        <v>16</v>
      </c>
      <c r="T13" s="212">
        <v>6</v>
      </c>
      <c r="U13" s="212">
        <v>5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8" t="str">
        <v>A</v>
      </c>
      <c r="AD13" s="128">
        <v>43</v>
      </c>
      <c r="AE13" s="128">
        <v>27</v>
      </c>
      <c r="AF13" s="128">
        <v>0</v>
      </c>
      <c r="AG13" s="128">
        <v>31</v>
      </c>
      <c r="AH13" s="128">
        <v>35</v>
      </c>
      <c r="AI13" s="5"/>
      <c r="AJ13" s="148" t="str">
        <v>A</v>
      </c>
      <c r="AK13" s="128">
        <v>43</v>
      </c>
      <c r="AL13" s="128">
        <v>27</v>
      </c>
      <c r="AM13" s="128">
        <v>0</v>
      </c>
      <c r="AN13" s="128">
        <v>31</v>
      </c>
      <c r="AO13" s="128">
        <v>35</v>
      </c>
    </row>
    <row r="14" spans="1:41" ht="15.9" customHeight="1" x14ac:dyDescent="0.3">
      <c r="A14" s="128" t="str">
        <v>J</v>
      </c>
      <c r="B14" s="108" t="str">
        <v>J</v>
      </c>
      <c r="C14" s="128">
        <f t="shared" si="0"/>
        <v>6</v>
      </c>
      <c r="D14" s="128">
        <f t="shared" si="0"/>
        <v>8</v>
      </c>
      <c r="E14" s="128">
        <f t="shared" si="0"/>
        <v>0</v>
      </c>
      <c r="F14" s="128">
        <f t="shared" si="0"/>
        <v>7</v>
      </c>
      <c r="G14" s="128">
        <f t="shared" si="0"/>
        <v>14</v>
      </c>
      <c r="H14" s="108">
        <v>10</v>
      </c>
      <c r="I14" s="86"/>
      <c r="J14" s="25">
        <v>10</v>
      </c>
      <c r="K14" s="213" t="s">
        <v>19</v>
      </c>
      <c r="L14" s="213" t="s">
        <v>20</v>
      </c>
      <c r="M14" s="213" t="s">
        <v>102</v>
      </c>
      <c r="N14" s="213" t="s">
        <v>19</v>
      </c>
      <c r="O14" s="213" t="s">
        <v>36</v>
      </c>
      <c r="Q14" s="212">
        <v>5</v>
      </c>
      <c r="R14" s="212">
        <v>1</v>
      </c>
      <c r="S14" s="212">
        <v>17</v>
      </c>
      <c r="T14" s="212">
        <v>5</v>
      </c>
      <c r="U14" s="212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8" t="str">
        <v>K</v>
      </c>
      <c r="AD14" s="128">
        <v>43</v>
      </c>
      <c r="AE14" s="128">
        <v>24</v>
      </c>
      <c r="AF14" s="128">
        <v>0</v>
      </c>
      <c r="AG14" s="128">
        <v>32</v>
      </c>
      <c r="AH14" s="128">
        <v>34</v>
      </c>
      <c r="AI14" s="5"/>
      <c r="AJ14" s="148" t="str">
        <v>K</v>
      </c>
      <c r="AK14" s="128">
        <v>43</v>
      </c>
      <c r="AL14" s="128">
        <v>24</v>
      </c>
      <c r="AM14" s="128">
        <v>0</v>
      </c>
      <c r="AN14" s="128">
        <v>32</v>
      </c>
      <c r="AO14" s="128">
        <v>34</v>
      </c>
    </row>
    <row r="15" spans="1:41" ht="15.9" customHeight="1" x14ac:dyDescent="0.3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2</v>
      </c>
      <c r="E15" s="98">
        <f t="shared" si="0"/>
        <v>3</v>
      </c>
      <c r="F15" s="98">
        <f t="shared" si="0"/>
        <v>1</v>
      </c>
      <c r="G15" s="98">
        <f t="shared" si="0"/>
        <v>0</v>
      </c>
      <c r="H15" s="8">
        <v>11</v>
      </c>
      <c r="I15" s="86"/>
      <c r="J15" s="9">
        <v>11</v>
      </c>
      <c r="K15" s="213" t="s">
        <v>104</v>
      </c>
      <c r="L15" s="213" t="s">
        <v>22</v>
      </c>
      <c r="M15" s="213" t="s">
        <v>90</v>
      </c>
      <c r="N15" s="213" t="s">
        <v>20</v>
      </c>
      <c r="O15" s="213" t="s">
        <v>19</v>
      </c>
      <c r="Q15" s="212">
        <v>6</v>
      </c>
      <c r="R15" s="212">
        <v>3</v>
      </c>
      <c r="S15" s="212">
        <v>16</v>
      </c>
      <c r="T15" s="212">
        <v>1</v>
      </c>
      <c r="U15" s="212">
        <v>5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8" t="str">
        <v>Q</v>
      </c>
      <c r="AD15" s="128">
        <v>7</v>
      </c>
      <c r="AE15" s="128">
        <v>12</v>
      </c>
      <c r="AF15" s="128">
        <v>0</v>
      </c>
      <c r="AG15" s="128">
        <v>6</v>
      </c>
      <c r="AH15" s="128">
        <v>13</v>
      </c>
      <c r="AI15" s="5"/>
      <c r="AJ15" s="148" t="str">
        <v>Q</v>
      </c>
      <c r="AK15" s="128">
        <v>7</v>
      </c>
      <c r="AL15" s="128">
        <v>12</v>
      </c>
      <c r="AM15" s="128">
        <v>0</v>
      </c>
      <c r="AN15" s="128">
        <v>6</v>
      </c>
      <c r="AO15" s="128">
        <v>13</v>
      </c>
    </row>
    <row r="16" spans="1:41" ht="15.9" customHeight="1" x14ac:dyDescent="0.3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2</v>
      </c>
      <c r="E16" s="98">
        <f t="shared" si="0"/>
        <v>6</v>
      </c>
      <c r="F16" s="98">
        <f t="shared" si="0"/>
        <v>1</v>
      </c>
      <c r="G16" s="98">
        <f t="shared" si="0"/>
        <v>0</v>
      </c>
      <c r="H16" s="8">
        <v>12</v>
      </c>
      <c r="I16" s="86"/>
      <c r="J16" s="25">
        <v>12</v>
      </c>
      <c r="K16" s="213" t="s">
        <v>35</v>
      </c>
      <c r="L16" s="213" t="s">
        <v>104</v>
      </c>
      <c r="M16" s="213" t="s">
        <v>102</v>
      </c>
      <c r="N16" s="213" t="s">
        <v>105</v>
      </c>
      <c r="O16" s="213" t="s">
        <v>34</v>
      </c>
      <c r="Q16" s="212">
        <v>8</v>
      </c>
      <c r="R16" s="212">
        <v>6</v>
      </c>
      <c r="S16" s="212">
        <v>17</v>
      </c>
      <c r="T16" s="212">
        <v>15</v>
      </c>
      <c r="U16" s="212">
        <v>9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8" t="str">
        <v>J</v>
      </c>
      <c r="AD16" s="128">
        <v>7</v>
      </c>
      <c r="AE16" s="128">
        <v>8</v>
      </c>
      <c r="AF16" s="128">
        <v>0</v>
      </c>
      <c r="AG16" s="128">
        <v>7</v>
      </c>
      <c r="AH16" s="128">
        <v>14</v>
      </c>
      <c r="AI16" s="5"/>
      <c r="AJ16" s="148" t="str">
        <v>J</v>
      </c>
      <c r="AK16" s="128">
        <v>7</v>
      </c>
      <c r="AL16" s="128">
        <v>8</v>
      </c>
      <c r="AM16" s="128">
        <v>0</v>
      </c>
      <c r="AN16" s="128">
        <v>7</v>
      </c>
      <c r="AO16" s="128">
        <v>14</v>
      </c>
    </row>
    <row r="17" spans="1:41" ht="15.9" customHeight="1" x14ac:dyDescent="0.3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2</v>
      </c>
      <c r="E17" s="98">
        <f t="shared" si="0"/>
        <v>8</v>
      </c>
      <c r="F17" s="98">
        <f t="shared" si="0"/>
        <v>2</v>
      </c>
      <c r="G17" s="98">
        <f t="shared" si="0"/>
        <v>0</v>
      </c>
      <c r="H17" s="8">
        <v>13</v>
      </c>
      <c r="I17" s="86"/>
      <c r="J17" s="9">
        <v>13</v>
      </c>
      <c r="K17" s="213" t="s">
        <v>37</v>
      </c>
      <c r="L17" s="213" t="s">
        <v>35</v>
      </c>
      <c r="M17" s="213" t="s">
        <v>105</v>
      </c>
      <c r="N17" s="213" t="s">
        <v>37</v>
      </c>
      <c r="O17" s="213" t="s">
        <v>19</v>
      </c>
      <c r="Q17" s="212">
        <v>7</v>
      </c>
      <c r="R17" s="212">
        <v>8</v>
      </c>
      <c r="S17" s="212">
        <v>15</v>
      </c>
      <c r="T17" s="212">
        <v>7</v>
      </c>
      <c r="U17" s="212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3</v>
      </c>
      <c r="AF17" s="98">
        <v>3</v>
      </c>
      <c r="AG17" s="98">
        <v>2</v>
      </c>
      <c r="AH17" s="98">
        <v>0</v>
      </c>
      <c r="AI17" s="5"/>
      <c r="AJ17" s="133" t="str">
        <v>G1</v>
      </c>
      <c r="AK17" s="98">
        <v>0</v>
      </c>
      <c r="AL17" s="98">
        <v>3</v>
      </c>
      <c r="AM17" s="98">
        <v>3</v>
      </c>
      <c r="AN17" s="98">
        <v>2</v>
      </c>
      <c r="AO17" s="98">
        <v>0</v>
      </c>
    </row>
    <row r="18" spans="1:41" ht="15.9" customHeight="1" x14ac:dyDescent="0.3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5</v>
      </c>
      <c r="E18" s="98">
        <f t="shared" si="0"/>
        <v>42</v>
      </c>
      <c r="F18" s="98">
        <f t="shared" si="0"/>
        <v>7</v>
      </c>
      <c r="G18" s="98">
        <f t="shared" si="0"/>
        <v>0</v>
      </c>
      <c r="H18" s="8">
        <v>14</v>
      </c>
      <c r="I18" s="86"/>
      <c r="J18" s="25">
        <v>14</v>
      </c>
      <c r="K18" s="213" t="s">
        <v>34</v>
      </c>
      <c r="L18" s="213" t="s">
        <v>22</v>
      </c>
      <c r="M18" s="213" t="s">
        <v>89</v>
      </c>
      <c r="N18" s="213" t="s">
        <v>105</v>
      </c>
      <c r="O18" s="213" t="s">
        <v>104</v>
      </c>
      <c r="Q18" s="212">
        <v>9</v>
      </c>
      <c r="R18" s="212">
        <v>3</v>
      </c>
      <c r="S18" s="212">
        <v>14</v>
      </c>
      <c r="T18" s="212">
        <v>15</v>
      </c>
      <c r="U18" s="212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4</v>
      </c>
      <c r="AF18" s="98">
        <v>1</v>
      </c>
      <c r="AG18" s="98">
        <v>2</v>
      </c>
      <c r="AH18" s="98">
        <v>0</v>
      </c>
      <c r="AI18" s="5"/>
      <c r="AJ18" s="133" t="str">
        <v>G2</v>
      </c>
      <c r="AK18" s="98">
        <v>0</v>
      </c>
      <c r="AL18" s="98">
        <v>4</v>
      </c>
      <c r="AM18" s="98">
        <v>1</v>
      </c>
      <c r="AN18" s="98">
        <v>2</v>
      </c>
      <c r="AO18" s="98">
        <v>0</v>
      </c>
    </row>
    <row r="19" spans="1:41" ht="15.9" customHeight="1" x14ac:dyDescent="0.3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5</v>
      </c>
      <c r="E19" s="98">
        <f t="shared" si="0"/>
        <v>42</v>
      </c>
      <c r="F19" s="98">
        <f t="shared" si="0"/>
        <v>6</v>
      </c>
      <c r="G19" s="98">
        <f t="shared" si="0"/>
        <v>0</v>
      </c>
      <c r="H19" s="8">
        <v>15</v>
      </c>
      <c r="I19" s="86"/>
      <c r="J19" s="9">
        <v>15</v>
      </c>
      <c r="K19" s="213" t="s">
        <v>37</v>
      </c>
      <c r="L19" s="213" t="s">
        <v>102</v>
      </c>
      <c r="M19" s="213" t="s">
        <v>102</v>
      </c>
      <c r="N19" s="213" t="s">
        <v>87</v>
      </c>
      <c r="O19" s="213" t="s">
        <v>34</v>
      </c>
      <c r="Q19" s="212">
        <v>7</v>
      </c>
      <c r="R19" s="212">
        <v>17</v>
      </c>
      <c r="S19" s="212">
        <v>17</v>
      </c>
      <c r="T19" s="212">
        <v>12</v>
      </c>
      <c r="U19" s="212">
        <v>9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4</v>
      </c>
      <c r="AF19" s="98">
        <v>8</v>
      </c>
      <c r="AG19" s="98">
        <v>3</v>
      </c>
      <c r="AH19" s="98">
        <v>0</v>
      </c>
      <c r="AI19" s="5"/>
      <c r="AJ19" s="133" t="str">
        <v>G3</v>
      </c>
      <c r="AK19" s="98">
        <v>0</v>
      </c>
      <c r="AL19" s="98">
        <v>4</v>
      </c>
      <c r="AM19" s="98">
        <v>8</v>
      </c>
      <c r="AN19" s="98">
        <v>3</v>
      </c>
      <c r="AO19" s="98">
        <v>0</v>
      </c>
    </row>
    <row r="20" spans="1:41" ht="15.9" customHeight="1" x14ac:dyDescent="0.3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7</v>
      </c>
      <c r="E20" s="98">
        <f t="shared" si="0"/>
        <v>42</v>
      </c>
      <c r="F20" s="98">
        <f t="shared" si="0"/>
        <v>6</v>
      </c>
      <c r="G20" s="98">
        <f t="shared" si="0"/>
        <v>0</v>
      </c>
      <c r="H20" s="8">
        <v>16</v>
      </c>
      <c r="I20" s="86"/>
      <c r="J20" s="25">
        <v>16</v>
      </c>
      <c r="K20" s="213" t="s">
        <v>19</v>
      </c>
      <c r="L20" s="213" t="s">
        <v>18</v>
      </c>
      <c r="M20" s="213" t="s">
        <v>90</v>
      </c>
      <c r="N20" s="213" t="s">
        <v>104</v>
      </c>
      <c r="O20" s="213" t="s">
        <v>35</v>
      </c>
      <c r="Q20" s="212">
        <v>5</v>
      </c>
      <c r="R20" s="212">
        <v>4</v>
      </c>
      <c r="S20" s="212">
        <v>16</v>
      </c>
      <c r="T20" s="212">
        <v>6</v>
      </c>
      <c r="U20" s="212">
        <v>8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9</v>
      </c>
      <c r="AF20" s="98">
        <v>43</v>
      </c>
      <c r="AG20" s="98">
        <v>12</v>
      </c>
      <c r="AH20" s="98">
        <v>0</v>
      </c>
      <c r="AI20" s="5"/>
      <c r="AJ20" s="133" t="str">
        <v>G4</v>
      </c>
      <c r="AK20" s="98">
        <v>0</v>
      </c>
      <c r="AL20" s="98">
        <v>9</v>
      </c>
      <c r="AM20" s="98">
        <v>43</v>
      </c>
      <c r="AN20" s="98">
        <v>12</v>
      </c>
      <c r="AO20" s="98">
        <v>0</v>
      </c>
    </row>
    <row r="21" spans="1:41" ht="15.9" customHeight="1" x14ac:dyDescent="0.3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5</v>
      </c>
      <c r="E21" s="98">
        <f t="shared" si="0"/>
        <v>42</v>
      </c>
      <c r="F21" s="98">
        <f t="shared" si="0"/>
        <v>6</v>
      </c>
      <c r="G21" s="98">
        <f t="shared" si="0"/>
        <v>0</v>
      </c>
      <c r="H21" s="8">
        <v>17</v>
      </c>
      <c r="I21" s="86"/>
      <c r="J21" s="9">
        <v>17</v>
      </c>
      <c r="K21" s="213" t="s">
        <v>22</v>
      </c>
      <c r="L21" s="213" t="s">
        <v>36</v>
      </c>
      <c r="M21" s="213" t="s">
        <v>102</v>
      </c>
      <c r="N21" s="213" t="s">
        <v>19</v>
      </c>
      <c r="O21" s="213" t="s">
        <v>21</v>
      </c>
      <c r="Q21" s="212">
        <v>3</v>
      </c>
      <c r="R21" s="212">
        <v>10</v>
      </c>
      <c r="S21" s="212">
        <v>17</v>
      </c>
      <c r="T21" s="212">
        <v>5</v>
      </c>
      <c r="U21" s="212">
        <v>2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9</v>
      </c>
      <c r="AF21" s="98">
        <v>42</v>
      </c>
      <c r="AG21" s="98">
        <v>13</v>
      </c>
      <c r="AH21" s="98">
        <v>0</v>
      </c>
      <c r="AI21" s="5"/>
      <c r="AJ21" s="133" t="str">
        <v>G5</v>
      </c>
      <c r="AK21" s="98">
        <v>0</v>
      </c>
      <c r="AL21" s="98">
        <v>9</v>
      </c>
      <c r="AM21" s="98">
        <v>42</v>
      </c>
      <c r="AN21" s="98">
        <v>13</v>
      </c>
      <c r="AO21" s="98">
        <v>0</v>
      </c>
    </row>
    <row r="22" spans="1:41" ht="15.9" customHeight="1" x14ac:dyDescent="0.3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2</v>
      </c>
      <c r="E22" s="98">
        <f t="shared" si="0"/>
        <v>6</v>
      </c>
      <c r="F22" s="98">
        <f t="shared" si="0"/>
        <v>1</v>
      </c>
      <c r="G22" s="98">
        <f t="shared" si="0"/>
        <v>0</v>
      </c>
      <c r="H22" s="8">
        <v>18</v>
      </c>
      <c r="I22" s="86"/>
      <c r="J22" s="25">
        <v>18</v>
      </c>
      <c r="K22" s="213" t="s">
        <v>35</v>
      </c>
      <c r="L22" s="213" t="s">
        <v>18</v>
      </c>
      <c r="M22" s="213" t="s">
        <v>89</v>
      </c>
      <c r="N22" s="213" t="s">
        <v>104</v>
      </c>
      <c r="O22" s="213" t="s">
        <v>19</v>
      </c>
      <c r="Q22" s="212">
        <v>8</v>
      </c>
      <c r="R22" s="212">
        <v>4</v>
      </c>
      <c r="S22" s="212">
        <v>14</v>
      </c>
      <c r="T22" s="212">
        <v>6</v>
      </c>
      <c r="U22" s="212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11</v>
      </c>
      <c r="AF22" s="98">
        <v>42</v>
      </c>
      <c r="AG22" s="98">
        <v>11</v>
      </c>
      <c r="AH22" s="98">
        <v>0</v>
      </c>
      <c r="AI22" s="5"/>
      <c r="AJ22" s="133" t="str">
        <v>GA</v>
      </c>
      <c r="AK22" s="98">
        <v>0</v>
      </c>
      <c r="AL22" s="98">
        <v>11</v>
      </c>
      <c r="AM22" s="98">
        <v>42</v>
      </c>
      <c r="AN22" s="98">
        <v>11</v>
      </c>
      <c r="AO22" s="98">
        <v>0</v>
      </c>
    </row>
    <row r="23" spans="1:41" ht="15.9" customHeight="1" x14ac:dyDescent="0.3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2</v>
      </c>
      <c r="E23" s="98">
        <f t="shared" si="0"/>
        <v>9</v>
      </c>
      <c r="F23" s="98">
        <f t="shared" si="0"/>
        <v>2</v>
      </c>
      <c r="G23" s="98">
        <f t="shared" si="0"/>
        <v>0</v>
      </c>
      <c r="H23" s="8">
        <v>19</v>
      </c>
      <c r="I23" s="86"/>
      <c r="J23" s="9">
        <v>19</v>
      </c>
      <c r="K23" s="213" t="s">
        <v>19</v>
      </c>
      <c r="L23" s="213" t="s">
        <v>19</v>
      </c>
      <c r="M23" s="213" t="s">
        <v>88</v>
      </c>
      <c r="N23" s="213" t="s">
        <v>19</v>
      </c>
      <c r="O23" s="213" t="s">
        <v>104</v>
      </c>
      <c r="Q23" s="212">
        <v>5</v>
      </c>
      <c r="R23" s="212">
        <v>5</v>
      </c>
      <c r="S23" s="212">
        <v>13</v>
      </c>
      <c r="T23" s="212">
        <v>5</v>
      </c>
      <c r="U23" s="212">
        <v>6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10</v>
      </c>
      <c r="AF23" s="98">
        <v>44</v>
      </c>
      <c r="AG23" s="98">
        <v>11</v>
      </c>
      <c r="AH23" s="98">
        <v>0</v>
      </c>
      <c r="AI23" s="5"/>
      <c r="AJ23" s="133" t="str">
        <v>GK</v>
      </c>
      <c r="AK23" s="98">
        <v>0</v>
      </c>
      <c r="AL23" s="98">
        <v>10</v>
      </c>
      <c r="AM23" s="98">
        <v>44</v>
      </c>
      <c r="AN23" s="98">
        <v>11</v>
      </c>
      <c r="AO23" s="98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213" t="s">
        <v>35</v>
      </c>
      <c r="L24" s="213" t="s">
        <v>37</v>
      </c>
      <c r="M24" s="213" t="s">
        <v>90</v>
      </c>
      <c r="N24" s="213" t="s">
        <v>20</v>
      </c>
      <c r="O24" s="213" t="s">
        <v>36</v>
      </c>
      <c r="Q24" s="212">
        <v>8</v>
      </c>
      <c r="R24" s="212">
        <v>7</v>
      </c>
      <c r="S24" s="212">
        <v>16</v>
      </c>
      <c r="T24" s="212">
        <v>1</v>
      </c>
      <c r="U24" s="212">
        <v>10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4</v>
      </c>
      <c r="AF24" s="98">
        <v>6</v>
      </c>
      <c r="AG24" s="98">
        <v>2</v>
      </c>
      <c r="AH24" s="98">
        <v>0</v>
      </c>
      <c r="AI24" s="5"/>
      <c r="AJ24" s="133" t="str">
        <v>GQ</v>
      </c>
      <c r="AK24" s="98">
        <v>0</v>
      </c>
      <c r="AL24" s="98">
        <v>4</v>
      </c>
      <c r="AM24" s="98">
        <v>6</v>
      </c>
      <c r="AN24" s="98">
        <v>2</v>
      </c>
      <c r="AO24" s="98">
        <v>0</v>
      </c>
    </row>
    <row r="25" spans="1:41" ht="16.5" customHeight="1" x14ac:dyDescent="0.3">
      <c r="I25" s="86"/>
      <c r="J25" s="9">
        <v>21</v>
      </c>
      <c r="K25" s="213" t="s">
        <v>19</v>
      </c>
      <c r="L25" s="213" t="s">
        <v>21</v>
      </c>
      <c r="M25" s="213" t="s">
        <v>105</v>
      </c>
      <c r="N25" s="213" t="s">
        <v>37</v>
      </c>
      <c r="O25" s="213" t="s">
        <v>37</v>
      </c>
      <c r="Q25" s="212">
        <v>5</v>
      </c>
      <c r="R25" s="212">
        <v>2</v>
      </c>
      <c r="S25" s="212">
        <v>15</v>
      </c>
      <c r="T25" s="212">
        <v>7</v>
      </c>
      <c r="U25" s="212">
        <v>7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3</v>
      </c>
      <c r="AF25" s="98">
        <v>9</v>
      </c>
      <c r="AG25" s="98">
        <v>3</v>
      </c>
      <c r="AH25" s="98">
        <v>0</v>
      </c>
      <c r="AI25" s="5"/>
      <c r="AJ25" s="133" t="str">
        <v>GJ</v>
      </c>
      <c r="AK25" s="98">
        <v>0</v>
      </c>
      <c r="AL25" s="98">
        <v>3</v>
      </c>
      <c r="AM25" s="98">
        <v>9</v>
      </c>
      <c r="AN25" s="98">
        <v>3</v>
      </c>
      <c r="AO25" s="98">
        <v>0</v>
      </c>
    </row>
    <row r="26" spans="1:41" ht="16.5" customHeight="1" x14ac:dyDescent="0.3">
      <c r="B26" s="5" t="s">
        <v>210</v>
      </c>
      <c r="C26" s="5">
        <f>SUM(C4:C14)/C24</f>
        <v>1</v>
      </c>
      <c r="D26" s="171">
        <f t="shared" ref="D26:G26" si="1">SUM(D4:D14)/D24</f>
        <v>0.84</v>
      </c>
      <c r="E26" s="171">
        <f t="shared" si="1"/>
        <v>0</v>
      </c>
      <c r="F26" s="171">
        <f t="shared" si="1"/>
        <v>0.84</v>
      </c>
      <c r="G26" s="5">
        <f t="shared" si="1"/>
        <v>1</v>
      </c>
      <c r="I26" s="86"/>
      <c r="J26" s="25">
        <v>22</v>
      </c>
      <c r="K26" s="213" t="s">
        <v>104</v>
      </c>
      <c r="L26" s="213" t="s">
        <v>36</v>
      </c>
      <c r="M26" s="213" t="s">
        <v>86</v>
      </c>
      <c r="N26" s="213" t="s">
        <v>104</v>
      </c>
      <c r="O26" s="213" t="s">
        <v>104</v>
      </c>
      <c r="Q26" s="212">
        <v>6</v>
      </c>
      <c r="R26" s="212">
        <v>10</v>
      </c>
      <c r="S26" s="212">
        <v>11</v>
      </c>
      <c r="T26" s="212">
        <v>6</v>
      </c>
      <c r="U26" s="212">
        <v>6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199</v>
      </c>
      <c r="AE26" s="109">
        <f>SUM(AE6:AE25)</f>
        <v>208</v>
      </c>
      <c r="AF26" s="109">
        <f>SUM(AF6:AF25)</f>
        <v>198</v>
      </c>
      <c r="AG26" s="109">
        <f>SUM(AG6:AG25)</f>
        <v>207</v>
      </c>
      <c r="AH26" s="109">
        <f>SUM(AH6:AH25)</f>
        <v>198</v>
      </c>
      <c r="AI26" s="5"/>
      <c r="AK26" s="109">
        <f>SUM(AK6:AK25)</f>
        <v>199</v>
      </c>
      <c r="AL26" s="109">
        <f>SUM(AL6:AL25)</f>
        <v>208</v>
      </c>
      <c r="AM26" s="109">
        <f>SUM(AM6:AM25)</f>
        <v>198</v>
      </c>
      <c r="AN26" s="109">
        <f>SUM(AN6:AN25)</f>
        <v>207</v>
      </c>
      <c r="AO26" s="109">
        <f>SUM(AO6:AO25)</f>
        <v>198</v>
      </c>
    </row>
    <row r="27" spans="1:41" ht="16.5" customHeight="1" x14ac:dyDescent="0.3">
      <c r="B27" s="5" t="s">
        <v>314</v>
      </c>
      <c r="C27" s="5">
        <f>SUM(C15:C23)/C24</f>
        <v>0</v>
      </c>
      <c r="D27" s="171">
        <f t="shared" ref="D27:G27" si="2">SUM(D15:D23)/D24</f>
        <v>0.16</v>
      </c>
      <c r="E27" s="171">
        <f t="shared" si="2"/>
        <v>1</v>
      </c>
      <c r="F27" s="171">
        <f t="shared" si="2"/>
        <v>0.16</v>
      </c>
      <c r="G27" s="5">
        <f t="shared" si="2"/>
        <v>0</v>
      </c>
      <c r="I27" s="86"/>
      <c r="J27" s="9">
        <v>23</v>
      </c>
      <c r="K27" s="213" t="s">
        <v>19</v>
      </c>
      <c r="L27" s="213" t="s">
        <v>19</v>
      </c>
      <c r="M27" s="213" t="s">
        <v>105</v>
      </c>
      <c r="N27" s="213" t="s">
        <v>35</v>
      </c>
      <c r="O27" s="213" t="s">
        <v>20</v>
      </c>
      <c r="Q27" s="212">
        <v>5</v>
      </c>
      <c r="R27" s="212">
        <v>5</v>
      </c>
      <c r="S27" s="212">
        <v>15</v>
      </c>
      <c r="T27" s="212">
        <v>8</v>
      </c>
      <c r="U27" s="212">
        <v>1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6"/>
      <c r="J28" s="25">
        <v>24</v>
      </c>
      <c r="K28" s="213" t="s">
        <v>18</v>
      </c>
      <c r="L28" s="213" t="s">
        <v>22</v>
      </c>
      <c r="M28" s="213" t="s">
        <v>89</v>
      </c>
      <c r="N28" s="213" t="s">
        <v>18</v>
      </c>
      <c r="O28" s="213" t="s">
        <v>37</v>
      </c>
      <c r="Q28" s="212">
        <v>4</v>
      </c>
      <c r="R28" s="212">
        <v>3</v>
      </c>
      <c r="S28" s="212">
        <v>14</v>
      </c>
      <c r="T28" s="212">
        <v>4</v>
      </c>
      <c r="U28" s="212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 x14ac:dyDescent="0.3">
      <c r="I29" s="86"/>
      <c r="J29" s="9">
        <v>25</v>
      </c>
      <c r="K29" s="213" t="s">
        <v>37</v>
      </c>
      <c r="L29" s="213" t="s">
        <v>35</v>
      </c>
      <c r="M29" s="213" t="s">
        <v>105</v>
      </c>
      <c r="N29" s="213" t="s">
        <v>37</v>
      </c>
      <c r="O29" s="213" t="s">
        <v>19</v>
      </c>
      <c r="Q29" s="212">
        <v>7</v>
      </c>
      <c r="R29" s="212">
        <v>8</v>
      </c>
      <c r="S29" s="212">
        <v>15</v>
      </c>
      <c r="T29" s="212">
        <v>7</v>
      </c>
      <c r="U29" s="212">
        <v>5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 x14ac:dyDescent="0.3">
      <c r="I30" s="86"/>
      <c r="J30" s="25">
        <v>26</v>
      </c>
      <c r="K30" s="213" t="s">
        <v>19</v>
      </c>
      <c r="L30" s="213" t="s">
        <v>90</v>
      </c>
      <c r="M30" s="213" t="s">
        <v>90</v>
      </c>
      <c r="N30" s="213" t="s">
        <v>104</v>
      </c>
      <c r="O30" s="213" t="s">
        <v>35</v>
      </c>
      <c r="Q30" s="212">
        <v>5</v>
      </c>
      <c r="R30" s="212">
        <v>16</v>
      </c>
      <c r="S30" s="212">
        <v>16</v>
      </c>
      <c r="T30" s="212">
        <v>6</v>
      </c>
      <c r="U30" s="212">
        <v>8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 cm="1">
        <f t="array" ref="AD30:AH49">$AD$6:$AH$25</f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 cm="1">
        <f t="array" ref="AK30:AO49">$AD$6:$AH$25</f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 x14ac:dyDescent="0.3">
      <c r="I31" s="86"/>
      <c r="J31" s="9">
        <v>27</v>
      </c>
      <c r="K31" s="213" t="s">
        <v>37</v>
      </c>
      <c r="L31" s="213" t="s">
        <v>21</v>
      </c>
      <c r="M31" s="213" t="s">
        <v>89</v>
      </c>
      <c r="N31" s="213" t="s">
        <v>35</v>
      </c>
      <c r="O31" s="213" t="s">
        <v>18</v>
      </c>
      <c r="Q31" s="212">
        <v>7</v>
      </c>
      <c r="R31" s="212">
        <v>2</v>
      </c>
      <c r="S31" s="212">
        <v>14</v>
      </c>
      <c r="T31" s="212">
        <v>8</v>
      </c>
      <c r="U31" s="212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211">
        <v>1</v>
      </c>
      <c r="AE31" s="211">
        <v>1</v>
      </c>
      <c r="AF31" s="211">
        <v>0</v>
      </c>
      <c r="AG31" s="211">
        <v>1</v>
      </c>
      <c r="AH31" s="211">
        <v>1</v>
      </c>
      <c r="AI31" s="5"/>
      <c r="AJ31" s="133" t="str">
        <v>C1</v>
      </c>
      <c r="AK31" s="211">
        <v>1</v>
      </c>
      <c r="AL31" s="211">
        <v>1</v>
      </c>
      <c r="AM31" s="211">
        <v>0</v>
      </c>
      <c r="AN31" s="211">
        <v>1</v>
      </c>
      <c r="AO31" s="211">
        <v>1</v>
      </c>
    </row>
    <row r="32" spans="1:41" ht="16.5" customHeight="1" x14ac:dyDescent="0.3">
      <c r="J32" s="25">
        <v>28</v>
      </c>
      <c r="K32" s="213" t="s">
        <v>19</v>
      </c>
      <c r="L32" s="213" t="s">
        <v>37</v>
      </c>
      <c r="M32" s="213" t="s">
        <v>88</v>
      </c>
      <c r="N32" s="213" t="s">
        <v>104</v>
      </c>
      <c r="O32" s="213" t="s">
        <v>37</v>
      </c>
      <c r="Q32" s="212">
        <v>5</v>
      </c>
      <c r="R32" s="212">
        <v>7</v>
      </c>
      <c r="S32" s="212">
        <v>13</v>
      </c>
      <c r="T32" s="212">
        <v>6</v>
      </c>
      <c r="U32" s="212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8" t="str">
        <v>M1</v>
      </c>
      <c r="AD32" s="128">
        <v>3</v>
      </c>
      <c r="AE32" s="128">
        <v>10</v>
      </c>
      <c r="AF32" s="128">
        <v>0</v>
      </c>
      <c r="AG32" s="128">
        <v>3</v>
      </c>
      <c r="AH32" s="128">
        <v>9</v>
      </c>
      <c r="AI32" s="5"/>
      <c r="AJ32" s="148" t="str">
        <v>M1</v>
      </c>
      <c r="AK32" s="128">
        <v>3</v>
      </c>
      <c r="AL32" s="128">
        <v>10</v>
      </c>
      <c r="AM32" s="128">
        <v>0</v>
      </c>
      <c r="AN32" s="128">
        <v>3</v>
      </c>
      <c r="AO32" s="128">
        <v>9</v>
      </c>
    </row>
    <row r="33" spans="10:41" ht="16.5" customHeight="1" x14ac:dyDescent="0.3">
      <c r="J33" s="9">
        <v>29</v>
      </c>
      <c r="K33" s="213" t="s">
        <v>104</v>
      </c>
      <c r="L33" s="213" t="s">
        <v>35</v>
      </c>
      <c r="M33" s="213" t="s">
        <v>90</v>
      </c>
      <c r="N33" s="213" t="s">
        <v>93</v>
      </c>
      <c r="O33" s="213" t="s">
        <v>19</v>
      </c>
      <c r="Q33" s="212">
        <v>6</v>
      </c>
      <c r="R33" s="212">
        <v>8</v>
      </c>
      <c r="S33" s="212">
        <v>16</v>
      </c>
      <c r="T33" s="212">
        <v>18</v>
      </c>
      <c r="U33" s="212">
        <v>5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8" t="str">
        <v>M2</v>
      </c>
      <c r="AD33" s="128">
        <v>3</v>
      </c>
      <c r="AE33" s="128">
        <v>12</v>
      </c>
      <c r="AF33" s="128">
        <v>0</v>
      </c>
      <c r="AG33" s="128">
        <v>3</v>
      </c>
      <c r="AH33" s="128">
        <v>8</v>
      </c>
      <c r="AI33" s="5"/>
      <c r="AJ33" s="148" t="str">
        <v>M2</v>
      </c>
      <c r="AK33" s="128">
        <v>3</v>
      </c>
      <c r="AL33" s="128">
        <v>12</v>
      </c>
      <c r="AM33" s="128">
        <v>0</v>
      </c>
      <c r="AN33" s="128">
        <v>3</v>
      </c>
      <c r="AO33" s="128">
        <v>8</v>
      </c>
    </row>
    <row r="34" spans="10:41" ht="16.5" customHeight="1" x14ac:dyDescent="0.3">
      <c r="J34" s="25">
        <v>30</v>
      </c>
      <c r="K34" s="213" t="s">
        <v>19</v>
      </c>
      <c r="L34" s="213" t="s">
        <v>21</v>
      </c>
      <c r="M34" s="213" t="s">
        <v>89</v>
      </c>
      <c r="N34" s="213" t="s">
        <v>19</v>
      </c>
      <c r="O34" s="213" t="s">
        <v>37</v>
      </c>
      <c r="Q34" s="212">
        <v>5</v>
      </c>
      <c r="R34" s="212">
        <v>2</v>
      </c>
      <c r="S34" s="212">
        <v>14</v>
      </c>
      <c r="T34" s="212">
        <v>5</v>
      </c>
      <c r="U34" s="212">
        <v>7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8" t="str">
        <v>M3</v>
      </c>
      <c r="AD34" s="128">
        <v>7</v>
      </c>
      <c r="AE34" s="128">
        <v>13</v>
      </c>
      <c r="AF34" s="128">
        <v>0</v>
      </c>
      <c r="AG34" s="128">
        <v>7</v>
      </c>
      <c r="AH34" s="128">
        <v>14</v>
      </c>
      <c r="AI34" s="5"/>
      <c r="AJ34" s="148" t="str">
        <v>M3</v>
      </c>
      <c r="AK34" s="128">
        <v>7</v>
      </c>
      <c r="AL34" s="128">
        <v>13</v>
      </c>
      <c r="AM34" s="128">
        <v>0</v>
      </c>
      <c r="AN34" s="128">
        <v>7</v>
      </c>
      <c r="AO34" s="128">
        <v>14</v>
      </c>
    </row>
    <row r="35" spans="10:41" ht="16.5" customHeight="1" x14ac:dyDescent="0.3">
      <c r="J35" s="9">
        <v>31</v>
      </c>
      <c r="K35" s="213" t="s">
        <v>104</v>
      </c>
      <c r="L35" s="213" t="s">
        <v>90</v>
      </c>
      <c r="M35" s="213" t="s">
        <v>93</v>
      </c>
      <c r="N35" s="213" t="s">
        <v>89</v>
      </c>
      <c r="O35" s="213" t="s">
        <v>22</v>
      </c>
      <c r="Q35" s="212">
        <v>6</v>
      </c>
      <c r="R35" s="212">
        <v>16</v>
      </c>
      <c r="S35" s="212">
        <v>18</v>
      </c>
      <c r="T35" s="212">
        <v>14</v>
      </c>
      <c r="U35" s="212">
        <v>3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8" t="str">
        <v>M4</v>
      </c>
      <c r="AD35" s="128">
        <v>43</v>
      </c>
      <c r="AE35" s="128">
        <v>22</v>
      </c>
      <c r="AF35" s="128">
        <v>0</v>
      </c>
      <c r="AG35" s="128">
        <v>31</v>
      </c>
      <c r="AH35" s="128">
        <v>36</v>
      </c>
      <c r="AI35" s="5"/>
      <c r="AJ35" s="148" t="str">
        <v>M4</v>
      </c>
      <c r="AK35" s="128">
        <v>43</v>
      </c>
      <c r="AL35" s="128">
        <v>22</v>
      </c>
      <c r="AM35" s="128">
        <v>0</v>
      </c>
      <c r="AN35" s="128">
        <v>31</v>
      </c>
      <c r="AO35" s="128">
        <v>36</v>
      </c>
    </row>
    <row r="36" spans="10:41" ht="16.5" customHeight="1" x14ac:dyDescent="0.3">
      <c r="J36" s="25">
        <v>32</v>
      </c>
      <c r="K36" s="213" t="s">
        <v>20</v>
      </c>
      <c r="L36" s="213" t="s">
        <v>19</v>
      </c>
      <c r="M36" s="213" t="s">
        <v>89</v>
      </c>
      <c r="N36" s="213" t="s">
        <v>34</v>
      </c>
      <c r="O36" s="213" t="s">
        <v>104</v>
      </c>
      <c r="Q36" s="212">
        <v>1</v>
      </c>
      <c r="R36" s="212">
        <v>5</v>
      </c>
      <c r="S36" s="212">
        <v>14</v>
      </c>
      <c r="T36" s="212">
        <v>9</v>
      </c>
      <c r="U36" s="212">
        <v>6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8" t="str">
        <v>M5</v>
      </c>
      <c r="AD36" s="128">
        <v>42</v>
      </c>
      <c r="AE36" s="128">
        <v>22</v>
      </c>
      <c r="AF36" s="128">
        <v>0</v>
      </c>
      <c r="AG36" s="128">
        <v>27</v>
      </c>
      <c r="AH36" s="128">
        <v>34</v>
      </c>
      <c r="AI36" s="5"/>
      <c r="AJ36" s="148" t="str">
        <v>M5</v>
      </c>
      <c r="AK36" s="128">
        <v>42</v>
      </c>
      <c r="AL36" s="128">
        <v>22</v>
      </c>
      <c r="AM36" s="128">
        <v>0</v>
      </c>
      <c r="AN36" s="128">
        <v>27</v>
      </c>
      <c r="AO36" s="128">
        <v>34</v>
      </c>
    </row>
    <row r="37" spans="10:41" ht="16.5" customHeight="1" x14ac:dyDescent="0.3">
      <c r="J37" s="9">
        <v>33</v>
      </c>
      <c r="K37" s="213" t="s">
        <v>35</v>
      </c>
      <c r="L37" s="213" t="s">
        <v>35</v>
      </c>
      <c r="M37" s="213" t="s">
        <v>102</v>
      </c>
      <c r="N37" s="213" t="s">
        <v>19</v>
      </c>
      <c r="O37" s="213" t="s">
        <v>18</v>
      </c>
      <c r="Q37" s="212">
        <v>8</v>
      </c>
      <c r="R37" s="212">
        <v>8</v>
      </c>
      <c r="S37" s="212">
        <v>17</v>
      </c>
      <c r="T37" s="212">
        <v>5</v>
      </c>
      <c r="U37" s="212">
        <v>4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8" t="str">
        <v>A</v>
      </c>
      <c r="AD37" s="128">
        <v>43</v>
      </c>
      <c r="AE37" s="128">
        <v>27</v>
      </c>
      <c r="AF37" s="128">
        <v>0</v>
      </c>
      <c r="AG37" s="128">
        <v>31</v>
      </c>
      <c r="AH37" s="128">
        <v>35</v>
      </c>
      <c r="AI37" s="5"/>
      <c r="AJ37" s="148" t="str">
        <v>A</v>
      </c>
      <c r="AK37" s="128">
        <v>43</v>
      </c>
      <c r="AL37" s="128">
        <v>27</v>
      </c>
      <c r="AM37" s="128">
        <v>0</v>
      </c>
      <c r="AN37" s="128">
        <v>31</v>
      </c>
      <c r="AO37" s="128">
        <v>35</v>
      </c>
    </row>
    <row r="38" spans="10:41" ht="16.5" customHeight="1" x14ac:dyDescent="0.3">
      <c r="J38" s="25">
        <v>34</v>
      </c>
      <c r="K38" s="213" t="s">
        <v>19</v>
      </c>
      <c r="L38" s="213" t="s">
        <v>19</v>
      </c>
      <c r="M38" s="213" t="s">
        <v>89</v>
      </c>
      <c r="N38" s="213" t="s">
        <v>86</v>
      </c>
      <c r="O38" s="213" t="s">
        <v>35</v>
      </c>
      <c r="Q38" s="212">
        <v>5</v>
      </c>
      <c r="R38" s="212">
        <v>5</v>
      </c>
      <c r="S38" s="212">
        <v>14</v>
      </c>
      <c r="T38" s="212">
        <v>11</v>
      </c>
      <c r="U38" s="212">
        <v>8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8" t="str">
        <v>K</v>
      </c>
      <c r="AD38" s="128">
        <v>43</v>
      </c>
      <c r="AE38" s="128">
        <v>24</v>
      </c>
      <c r="AF38" s="128">
        <v>0</v>
      </c>
      <c r="AG38" s="128">
        <v>32</v>
      </c>
      <c r="AH38" s="128">
        <v>34</v>
      </c>
      <c r="AI38" s="5"/>
      <c r="AJ38" s="148" t="str">
        <v>K</v>
      </c>
      <c r="AK38" s="128">
        <v>43</v>
      </c>
      <c r="AL38" s="128">
        <v>24</v>
      </c>
      <c r="AM38" s="128">
        <v>0</v>
      </c>
      <c r="AN38" s="128">
        <v>32</v>
      </c>
      <c r="AO38" s="128">
        <v>34</v>
      </c>
    </row>
    <row r="39" spans="10:41" ht="16.5" customHeight="1" x14ac:dyDescent="0.3">
      <c r="J39" s="9">
        <v>35</v>
      </c>
      <c r="K39" s="213" t="s">
        <v>35</v>
      </c>
      <c r="L39" s="213" t="s">
        <v>37</v>
      </c>
      <c r="M39" s="213" t="s">
        <v>90</v>
      </c>
      <c r="N39" s="213" t="s">
        <v>35</v>
      </c>
      <c r="O39" s="213" t="s">
        <v>21</v>
      </c>
      <c r="Q39" s="212">
        <v>8</v>
      </c>
      <c r="R39" s="212">
        <v>7</v>
      </c>
      <c r="S39" s="212">
        <v>16</v>
      </c>
      <c r="T39" s="212">
        <v>8</v>
      </c>
      <c r="U39" s="212">
        <v>2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8" t="str">
        <v>Q</v>
      </c>
      <c r="AD39" s="128">
        <v>7</v>
      </c>
      <c r="AE39" s="128">
        <v>12</v>
      </c>
      <c r="AF39" s="128">
        <v>0</v>
      </c>
      <c r="AG39" s="128">
        <v>6</v>
      </c>
      <c r="AH39" s="128">
        <v>13</v>
      </c>
      <c r="AI39" s="5"/>
      <c r="AJ39" s="148" t="str">
        <v>Q</v>
      </c>
      <c r="AK39" s="128">
        <v>7</v>
      </c>
      <c r="AL39" s="128">
        <v>12</v>
      </c>
      <c r="AM39" s="128">
        <v>0</v>
      </c>
      <c r="AN39" s="128">
        <v>6</v>
      </c>
      <c r="AO39" s="128">
        <v>13</v>
      </c>
    </row>
    <row r="40" spans="10:41" ht="16.5" customHeight="1" x14ac:dyDescent="0.3">
      <c r="J40" s="25">
        <v>36</v>
      </c>
      <c r="K40" s="213" t="s">
        <v>37</v>
      </c>
      <c r="L40" s="213" t="s">
        <v>35</v>
      </c>
      <c r="M40" s="213" t="s">
        <v>87</v>
      </c>
      <c r="N40" s="213" t="s">
        <v>104</v>
      </c>
      <c r="O40" s="213" t="s">
        <v>35</v>
      </c>
      <c r="Q40" s="212">
        <v>7</v>
      </c>
      <c r="R40" s="212">
        <v>8</v>
      </c>
      <c r="S40" s="212">
        <v>12</v>
      </c>
      <c r="T40" s="212">
        <v>6</v>
      </c>
      <c r="U40" s="212">
        <v>8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8" t="str">
        <v>J</v>
      </c>
      <c r="AD40" s="128">
        <v>7</v>
      </c>
      <c r="AE40" s="128">
        <v>8</v>
      </c>
      <c r="AF40" s="128">
        <v>0</v>
      </c>
      <c r="AG40" s="128">
        <v>7</v>
      </c>
      <c r="AH40" s="128">
        <v>14</v>
      </c>
      <c r="AI40" s="5"/>
      <c r="AJ40" s="148" t="str">
        <v>J</v>
      </c>
      <c r="AK40" s="128">
        <v>7</v>
      </c>
      <c r="AL40" s="128">
        <v>8</v>
      </c>
      <c r="AM40" s="128">
        <v>0</v>
      </c>
      <c r="AN40" s="128">
        <v>7</v>
      </c>
      <c r="AO40" s="128">
        <v>14</v>
      </c>
    </row>
    <row r="41" spans="10:41" ht="16.5" customHeight="1" x14ac:dyDescent="0.3">
      <c r="J41" s="9">
        <v>37</v>
      </c>
      <c r="K41" s="213" t="s">
        <v>19</v>
      </c>
      <c r="L41" s="213" t="s">
        <v>22</v>
      </c>
      <c r="M41" s="213" t="s">
        <v>89</v>
      </c>
      <c r="N41" s="213" t="s">
        <v>35</v>
      </c>
      <c r="O41" s="213" t="s">
        <v>19</v>
      </c>
      <c r="Q41" s="212">
        <v>5</v>
      </c>
      <c r="R41" s="212">
        <v>3</v>
      </c>
      <c r="S41" s="212">
        <v>14</v>
      </c>
      <c r="T41" s="212">
        <v>8</v>
      </c>
      <c r="U41" s="212">
        <v>5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3</v>
      </c>
      <c r="AF41" s="98">
        <v>3</v>
      </c>
      <c r="AG41" s="98">
        <v>2</v>
      </c>
      <c r="AH41" s="98">
        <v>0</v>
      </c>
      <c r="AI41" s="5"/>
      <c r="AJ41" s="133" t="str">
        <v>G1</v>
      </c>
      <c r="AK41" s="98">
        <v>0</v>
      </c>
      <c r="AL41" s="98">
        <v>3</v>
      </c>
      <c r="AM41" s="98">
        <v>3</v>
      </c>
      <c r="AN41" s="98">
        <v>2</v>
      </c>
      <c r="AO41" s="98">
        <v>0</v>
      </c>
    </row>
    <row r="42" spans="10:41" ht="16.5" customHeight="1" x14ac:dyDescent="0.3">
      <c r="J42" s="25">
        <v>38</v>
      </c>
      <c r="K42" s="213" t="s">
        <v>22</v>
      </c>
      <c r="L42" s="213" t="s">
        <v>18</v>
      </c>
      <c r="M42" s="213" t="s">
        <v>90</v>
      </c>
      <c r="N42" s="213" t="s">
        <v>18</v>
      </c>
      <c r="O42" s="213" t="s">
        <v>37</v>
      </c>
      <c r="Q42" s="212">
        <v>3</v>
      </c>
      <c r="R42" s="212">
        <v>4</v>
      </c>
      <c r="S42" s="212">
        <v>16</v>
      </c>
      <c r="T42" s="212">
        <v>4</v>
      </c>
      <c r="U42" s="212">
        <v>7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4</v>
      </c>
      <c r="AF42" s="98">
        <v>1</v>
      </c>
      <c r="AG42" s="98">
        <v>2</v>
      </c>
      <c r="AH42" s="98">
        <v>0</v>
      </c>
      <c r="AI42" s="5"/>
      <c r="AJ42" s="133" t="str">
        <v>G2</v>
      </c>
      <c r="AK42" s="98">
        <v>0</v>
      </c>
      <c r="AL42" s="98">
        <v>4</v>
      </c>
      <c r="AM42" s="98">
        <v>1</v>
      </c>
      <c r="AN42" s="98">
        <v>2</v>
      </c>
      <c r="AO42" s="98">
        <v>0</v>
      </c>
    </row>
    <row r="43" spans="10:41" ht="16.5" customHeight="1" x14ac:dyDescent="0.3">
      <c r="J43" s="9">
        <v>39</v>
      </c>
      <c r="K43" s="213" t="s">
        <v>35</v>
      </c>
      <c r="L43" s="213" t="s">
        <v>35</v>
      </c>
      <c r="M43" s="213" t="s">
        <v>95</v>
      </c>
      <c r="N43" s="213" t="s">
        <v>36</v>
      </c>
      <c r="O43" s="213" t="s">
        <v>19</v>
      </c>
      <c r="Q43" s="212">
        <v>8</v>
      </c>
      <c r="R43" s="212">
        <v>8</v>
      </c>
      <c r="S43" s="212">
        <v>19</v>
      </c>
      <c r="T43" s="212">
        <v>10</v>
      </c>
      <c r="U43" s="212">
        <v>5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4</v>
      </c>
      <c r="AF43" s="98">
        <v>8</v>
      </c>
      <c r="AG43" s="98">
        <v>3</v>
      </c>
      <c r="AH43" s="98">
        <v>0</v>
      </c>
      <c r="AI43" s="5"/>
      <c r="AJ43" s="133" t="str">
        <v>G3</v>
      </c>
      <c r="AK43" s="98">
        <v>0</v>
      </c>
      <c r="AL43" s="98">
        <v>4</v>
      </c>
      <c r="AM43" s="98">
        <v>8</v>
      </c>
      <c r="AN43" s="98">
        <v>3</v>
      </c>
      <c r="AO43" s="98">
        <v>0</v>
      </c>
    </row>
    <row r="44" spans="10:41" ht="16.5" customHeight="1" x14ac:dyDescent="0.3">
      <c r="J44" s="25">
        <v>40</v>
      </c>
      <c r="K44" s="213" t="s">
        <v>19</v>
      </c>
      <c r="L44" s="213" t="s">
        <v>19</v>
      </c>
      <c r="M44" s="213" t="s">
        <v>102</v>
      </c>
      <c r="N44" s="213" t="s">
        <v>37</v>
      </c>
      <c r="O44" s="213" t="s">
        <v>35</v>
      </c>
      <c r="Q44" s="212">
        <v>5</v>
      </c>
      <c r="R44" s="212">
        <v>5</v>
      </c>
      <c r="S44" s="212">
        <v>17</v>
      </c>
      <c r="T44" s="212">
        <v>7</v>
      </c>
      <c r="U44" s="212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9</v>
      </c>
      <c r="AF44" s="98">
        <v>43</v>
      </c>
      <c r="AG44" s="98">
        <v>12</v>
      </c>
      <c r="AH44" s="98">
        <v>0</v>
      </c>
      <c r="AI44" s="5"/>
      <c r="AJ44" s="133" t="str">
        <v>G4</v>
      </c>
      <c r="AK44" s="98">
        <v>0</v>
      </c>
      <c r="AL44" s="98">
        <v>9</v>
      </c>
      <c r="AM44" s="98">
        <v>43</v>
      </c>
      <c r="AN44" s="98">
        <v>12</v>
      </c>
      <c r="AO44" s="98">
        <v>0</v>
      </c>
    </row>
    <row r="45" spans="10:41" ht="16.5" customHeight="1" x14ac:dyDescent="0.3">
      <c r="J45" s="9">
        <v>41</v>
      </c>
      <c r="K45" s="213" t="s">
        <v>35</v>
      </c>
      <c r="L45" s="213" t="s">
        <v>35</v>
      </c>
      <c r="M45" s="213" t="s">
        <v>95</v>
      </c>
      <c r="N45" s="213" t="s">
        <v>18</v>
      </c>
      <c r="O45" s="213" t="s">
        <v>19</v>
      </c>
      <c r="Q45" s="212">
        <v>8</v>
      </c>
      <c r="R45" s="212">
        <v>8</v>
      </c>
      <c r="S45" s="212">
        <v>19</v>
      </c>
      <c r="T45" s="212">
        <v>4</v>
      </c>
      <c r="U45" s="212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9</v>
      </c>
      <c r="AF45" s="98">
        <v>42</v>
      </c>
      <c r="AG45" s="98">
        <v>13</v>
      </c>
      <c r="AH45" s="98">
        <v>0</v>
      </c>
      <c r="AI45" s="5"/>
      <c r="AJ45" s="133" t="str">
        <v>G5</v>
      </c>
      <c r="AK45" s="98">
        <v>0</v>
      </c>
      <c r="AL45" s="98">
        <v>9</v>
      </c>
      <c r="AM45" s="98">
        <v>42</v>
      </c>
      <c r="AN45" s="98">
        <v>13</v>
      </c>
      <c r="AO45" s="98">
        <v>0</v>
      </c>
    </row>
    <row r="46" spans="10:41" ht="16.5" customHeight="1" x14ac:dyDescent="0.3">
      <c r="J46" s="25">
        <v>42</v>
      </c>
      <c r="K46" s="213" t="s">
        <v>19</v>
      </c>
      <c r="L46" s="213" t="s">
        <v>104</v>
      </c>
      <c r="M46" s="213" t="s">
        <v>89</v>
      </c>
      <c r="N46" s="213" t="s">
        <v>35</v>
      </c>
      <c r="O46" s="213" t="s">
        <v>37</v>
      </c>
      <c r="Q46" s="212">
        <v>5</v>
      </c>
      <c r="R46" s="212">
        <v>6</v>
      </c>
      <c r="S46" s="212">
        <v>14</v>
      </c>
      <c r="T46" s="212">
        <v>8</v>
      </c>
      <c r="U46" s="212">
        <v>7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11</v>
      </c>
      <c r="AF46" s="98">
        <v>42</v>
      </c>
      <c r="AG46" s="98">
        <v>11</v>
      </c>
      <c r="AH46" s="98">
        <v>0</v>
      </c>
      <c r="AI46" s="5"/>
      <c r="AJ46" s="133" t="str">
        <v>GA</v>
      </c>
      <c r="AK46" s="98">
        <v>0</v>
      </c>
      <c r="AL46" s="98">
        <v>11</v>
      </c>
      <c r="AM46" s="98">
        <v>42</v>
      </c>
      <c r="AN46" s="98">
        <v>11</v>
      </c>
      <c r="AO46" s="98">
        <v>0</v>
      </c>
    </row>
    <row r="47" spans="10:41" ht="16.5" customHeight="1" x14ac:dyDescent="0.3">
      <c r="J47" s="9">
        <v>43</v>
      </c>
      <c r="K47" s="213" t="s">
        <v>18</v>
      </c>
      <c r="L47" s="213" t="s">
        <v>35</v>
      </c>
      <c r="M47" s="213" t="s">
        <v>102</v>
      </c>
      <c r="N47" s="213" t="s">
        <v>37</v>
      </c>
      <c r="O47" s="213" t="s">
        <v>104</v>
      </c>
      <c r="Q47" s="212">
        <v>4</v>
      </c>
      <c r="R47" s="212">
        <v>8</v>
      </c>
      <c r="S47" s="212">
        <v>17</v>
      </c>
      <c r="T47" s="212">
        <v>7</v>
      </c>
      <c r="U47" s="212">
        <v>6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10</v>
      </c>
      <c r="AF47" s="98">
        <v>44</v>
      </c>
      <c r="AG47" s="98">
        <v>11</v>
      </c>
      <c r="AH47" s="98">
        <v>0</v>
      </c>
      <c r="AI47" s="5"/>
      <c r="AJ47" s="133" t="str">
        <v>GK</v>
      </c>
      <c r="AK47" s="98">
        <v>0</v>
      </c>
      <c r="AL47" s="98">
        <v>10</v>
      </c>
      <c r="AM47" s="98">
        <v>44</v>
      </c>
      <c r="AN47" s="98">
        <v>11</v>
      </c>
      <c r="AO47" s="98">
        <v>0</v>
      </c>
    </row>
    <row r="48" spans="10:41" ht="16.5" customHeight="1" x14ac:dyDescent="0.3">
      <c r="J48" s="25">
        <v>44</v>
      </c>
      <c r="K48" s="213" t="s">
        <v>37</v>
      </c>
      <c r="L48" s="213" t="s">
        <v>37</v>
      </c>
      <c r="M48" s="213" t="s">
        <v>89</v>
      </c>
      <c r="N48" s="213" t="s">
        <v>104</v>
      </c>
      <c r="O48" s="213" t="s">
        <v>18</v>
      </c>
      <c r="Q48" s="212">
        <v>7</v>
      </c>
      <c r="R48" s="212">
        <v>7</v>
      </c>
      <c r="S48" s="212">
        <v>14</v>
      </c>
      <c r="T48" s="212">
        <v>6</v>
      </c>
      <c r="U48" s="212">
        <v>4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4</v>
      </c>
      <c r="AF48" s="98">
        <v>6</v>
      </c>
      <c r="AG48" s="98">
        <v>2</v>
      </c>
      <c r="AH48" s="98">
        <v>0</v>
      </c>
      <c r="AI48" s="5"/>
      <c r="AJ48" s="133" t="str">
        <v>GQ</v>
      </c>
      <c r="AK48" s="98">
        <v>0</v>
      </c>
      <c r="AL48" s="98">
        <v>4</v>
      </c>
      <c r="AM48" s="98">
        <v>6</v>
      </c>
      <c r="AN48" s="98">
        <v>2</v>
      </c>
      <c r="AO48" s="98">
        <v>0</v>
      </c>
    </row>
    <row r="49" spans="10:41" ht="16.5" customHeight="1" x14ac:dyDescent="0.3">
      <c r="J49" s="9">
        <v>45</v>
      </c>
      <c r="K49" s="213" t="s">
        <v>104</v>
      </c>
      <c r="L49" s="213" t="s">
        <v>89</v>
      </c>
      <c r="M49" s="213" t="s">
        <v>102</v>
      </c>
      <c r="N49" s="213" t="s">
        <v>90</v>
      </c>
      <c r="O49" s="213" t="s">
        <v>19</v>
      </c>
      <c r="Q49" s="212">
        <v>6</v>
      </c>
      <c r="R49" s="212">
        <v>14</v>
      </c>
      <c r="S49" s="212">
        <v>17</v>
      </c>
      <c r="T49" s="212">
        <v>16</v>
      </c>
      <c r="U49" s="212">
        <v>5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3</v>
      </c>
      <c r="AF49" s="98">
        <v>9</v>
      </c>
      <c r="AG49" s="98">
        <v>3</v>
      </c>
      <c r="AH49" s="98">
        <v>0</v>
      </c>
      <c r="AI49" s="5"/>
      <c r="AJ49" s="133" t="str">
        <v>GJ</v>
      </c>
      <c r="AK49" s="98">
        <v>0</v>
      </c>
      <c r="AL49" s="98">
        <v>3</v>
      </c>
      <c r="AM49" s="98">
        <v>9</v>
      </c>
      <c r="AN49" s="98">
        <v>3</v>
      </c>
      <c r="AO49" s="98">
        <v>0</v>
      </c>
    </row>
    <row r="50" spans="10:41" ht="16.5" customHeight="1" x14ac:dyDescent="0.3">
      <c r="J50" s="25">
        <v>46</v>
      </c>
      <c r="K50" s="213" t="s">
        <v>19</v>
      </c>
      <c r="L50" s="213" t="s">
        <v>37</v>
      </c>
      <c r="M50" s="213" t="s">
        <v>89</v>
      </c>
      <c r="N50" s="213" t="s">
        <v>37</v>
      </c>
      <c r="O50" s="213" t="s">
        <v>20</v>
      </c>
      <c r="Q50" s="212">
        <v>5</v>
      </c>
      <c r="R50" s="212">
        <v>7</v>
      </c>
      <c r="S50" s="212">
        <v>14</v>
      </c>
      <c r="T50" s="212">
        <v>7</v>
      </c>
      <c r="U50" s="212">
        <v>1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199</v>
      </c>
      <c r="AE50" s="109">
        <f>SUM(AE30:AE49)</f>
        <v>208</v>
      </c>
      <c r="AF50" s="109">
        <f>SUM(AF30:AF49)</f>
        <v>198</v>
      </c>
      <c r="AG50" s="109">
        <f>SUM(AG30:AG49)</f>
        <v>207</v>
      </c>
      <c r="AH50" s="109">
        <f>SUM(AH30:AH49)</f>
        <v>198</v>
      </c>
      <c r="AI50" s="5"/>
      <c r="AK50" s="109">
        <f>SUM(AK30:AK49)</f>
        <v>199</v>
      </c>
      <c r="AL50" s="109">
        <f>SUM(AL30:AL49)</f>
        <v>208</v>
      </c>
      <c r="AM50" s="109">
        <f>SUM(AM30:AM49)</f>
        <v>198</v>
      </c>
      <c r="AN50" s="109">
        <f>SUM(AN30:AN49)</f>
        <v>207</v>
      </c>
      <c r="AO50" s="109">
        <f>SUM(AO30:AO49)</f>
        <v>198</v>
      </c>
    </row>
    <row r="51" spans="10:41" ht="16.5" customHeight="1" x14ac:dyDescent="0.3">
      <c r="J51" s="9">
        <v>47</v>
      </c>
      <c r="K51" s="213" t="s">
        <v>37</v>
      </c>
      <c r="L51" s="213" t="s">
        <v>34</v>
      </c>
      <c r="M51" s="213" t="s">
        <v>93</v>
      </c>
      <c r="N51" s="213" t="s">
        <v>104</v>
      </c>
      <c r="O51" s="213" t="s">
        <v>19</v>
      </c>
      <c r="Q51" s="212">
        <v>7</v>
      </c>
      <c r="R51" s="212">
        <v>9</v>
      </c>
      <c r="S51" s="212">
        <v>18</v>
      </c>
      <c r="T51" s="212">
        <v>6</v>
      </c>
      <c r="U51" s="212">
        <v>5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213" t="s">
        <v>34</v>
      </c>
      <c r="L52" s="213" t="s">
        <v>35</v>
      </c>
      <c r="M52" s="213" t="s">
        <v>102</v>
      </c>
      <c r="N52" s="213" t="s">
        <v>35</v>
      </c>
      <c r="O52" s="213" t="s">
        <v>37</v>
      </c>
      <c r="Q52" s="212">
        <v>9</v>
      </c>
      <c r="R52" s="212">
        <v>8</v>
      </c>
      <c r="S52" s="212">
        <v>17</v>
      </c>
      <c r="T52" s="212">
        <v>8</v>
      </c>
      <c r="U52" s="212">
        <v>7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 x14ac:dyDescent="0.3">
      <c r="J53" s="9">
        <v>49</v>
      </c>
      <c r="K53" s="213" t="s">
        <v>35</v>
      </c>
      <c r="L53" s="213" t="s">
        <v>87</v>
      </c>
      <c r="M53" s="213" t="s">
        <v>105</v>
      </c>
      <c r="N53" s="213" t="s">
        <v>37</v>
      </c>
      <c r="O53" s="213" t="s">
        <v>21</v>
      </c>
      <c r="Q53" s="212">
        <v>8</v>
      </c>
      <c r="R53" s="212">
        <v>12</v>
      </c>
      <c r="S53" s="212">
        <v>15</v>
      </c>
      <c r="T53" s="212">
        <v>7</v>
      </c>
      <c r="U53" s="212">
        <v>2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 x14ac:dyDescent="0.3">
      <c r="J54" s="25">
        <v>50</v>
      </c>
      <c r="K54" s="213" t="s">
        <v>104</v>
      </c>
      <c r="L54" s="213" t="s">
        <v>19</v>
      </c>
      <c r="M54" s="213" t="s">
        <v>86</v>
      </c>
      <c r="N54" s="213" t="s">
        <v>20</v>
      </c>
      <c r="O54" s="213" t="s">
        <v>18</v>
      </c>
      <c r="Q54" s="212">
        <v>6</v>
      </c>
      <c r="R54" s="212">
        <v>5</v>
      </c>
      <c r="S54" s="212">
        <v>11</v>
      </c>
      <c r="T54" s="212">
        <v>1</v>
      </c>
      <c r="U54" s="212">
        <v>4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 cm="1">
        <f t="array" ref="AD54:AH73">$AD$6:$AH$25</f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 cm="1">
        <f t="array" ref="AK54:AO73">$AD$6:$AH$25</f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 x14ac:dyDescent="0.3">
      <c r="J55" s="9">
        <v>51</v>
      </c>
      <c r="K55" s="213" t="s">
        <v>35</v>
      </c>
      <c r="L55" s="213" t="s">
        <v>104</v>
      </c>
      <c r="M55" s="213" t="s">
        <v>89</v>
      </c>
      <c r="N55" s="213" t="s">
        <v>35</v>
      </c>
      <c r="O55" s="213" t="s">
        <v>22</v>
      </c>
      <c r="Q55" s="212">
        <v>8</v>
      </c>
      <c r="R55" s="212">
        <v>6</v>
      </c>
      <c r="S55" s="212">
        <v>14</v>
      </c>
      <c r="T55" s="212">
        <v>8</v>
      </c>
      <c r="U55" s="212">
        <v>3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211">
        <v>1</v>
      </c>
      <c r="AE55" s="211">
        <v>1</v>
      </c>
      <c r="AF55" s="211">
        <v>0</v>
      </c>
      <c r="AG55" s="211">
        <v>1</v>
      </c>
      <c r="AH55" s="211">
        <v>1</v>
      </c>
      <c r="AI55" s="5"/>
      <c r="AJ55" s="133" t="str">
        <v>C1</v>
      </c>
      <c r="AK55" s="211">
        <v>1</v>
      </c>
      <c r="AL55" s="211">
        <v>1</v>
      </c>
      <c r="AM55" s="211">
        <v>0</v>
      </c>
      <c r="AN55" s="211">
        <v>1</v>
      </c>
      <c r="AO55" s="211">
        <v>1</v>
      </c>
    </row>
    <row r="56" spans="10:41" ht="16.5" customHeight="1" x14ac:dyDescent="0.3">
      <c r="J56" s="25">
        <v>52</v>
      </c>
      <c r="K56" s="213" t="s">
        <v>104</v>
      </c>
      <c r="L56" s="213" t="s">
        <v>21</v>
      </c>
      <c r="M56" s="213" t="s">
        <v>90</v>
      </c>
      <c r="N56" s="213" t="s">
        <v>19</v>
      </c>
      <c r="O56" s="213" t="s">
        <v>36</v>
      </c>
      <c r="Q56" s="212">
        <v>6</v>
      </c>
      <c r="R56" s="212">
        <v>2</v>
      </c>
      <c r="S56" s="212">
        <v>16</v>
      </c>
      <c r="T56" s="212">
        <v>5</v>
      </c>
      <c r="U56" s="212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8" t="str">
        <v>M1</v>
      </c>
      <c r="AD56" s="128">
        <v>3</v>
      </c>
      <c r="AE56" s="128">
        <v>10</v>
      </c>
      <c r="AF56" s="128">
        <v>0</v>
      </c>
      <c r="AG56" s="128">
        <v>3</v>
      </c>
      <c r="AH56" s="128">
        <v>9</v>
      </c>
      <c r="AI56" s="5"/>
      <c r="AJ56" s="148" t="str">
        <v>M1</v>
      </c>
      <c r="AK56" s="128">
        <v>3</v>
      </c>
      <c r="AL56" s="128">
        <v>10</v>
      </c>
      <c r="AM56" s="128">
        <v>0</v>
      </c>
      <c r="AN56" s="128">
        <v>3</v>
      </c>
      <c r="AO56" s="128">
        <v>9</v>
      </c>
    </row>
    <row r="57" spans="10:41" ht="16.5" customHeight="1" x14ac:dyDescent="0.3">
      <c r="J57" s="9">
        <v>53</v>
      </c>
      <c r="K57" s="213" t="s">
        <v>20</v>
      </c>
      <c r="L57" s="213" t="s">
        <v>37</v>
      </c>
      <c r="M57" s="213" t="s">
        <v>89</v>
      </c>
      <c r="N57" s="213" t="s">
        <v>104</v>
      </c>
      <c r="O57" s="213" t="s">
        <v>104</v>
      </c>
      <c r="Q57" s="212">
        <v>1</v>
      </c>
      <c r="R57" s="212">
        <v>7</v>
      </c>
      <c r="S57" s="212">
        <v>14</v>
      </c>
      <c r="T57" s="212">
        <v>6</v>
      </c>
      <c r="U57" s="212">
        <v>6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8" t="str">
        <v>M2</v>
      </c>
      <c r="AD57" s="128">
        <v>3</v>
      </c>
      <c r="AE57" s="128">
        <v>12</v>
      </c>
      <c r="AF57" s="128">
        <v>0</v>
      </c>
      <c r="AG57" s="128">
        <v>3</v>
      </c>
      <c r="AH57" s="128">
        <v>8</v>
      </c>
      <c r="AI57" s="5"/>
      <c r="AJ57" s="148" t="str">
        <v>M2</v>
      </c>
      <c r="AK57" s="128">
        <v>3</v>
      </c>
      <c r="AL57" s="128">
        <v>12</v>
      </c>
      <c r="AM57" s="128">
        <v>0</v>
      </c>
      <c r="AN57" s="128">
        <v>3</v>
      </c>
      <c r="AO57" s="128">
        <v>8</v>
      </c>
    </row>
    <row r="58" spans="10:41" ht="16.5" customHeight="1" x14ac:dyDescent="0.3">
      <c r="J58" s="25">
        <v>54</v>
      </c>
      <c r="K58" s="213" t="s">
        <v>104</v>
      </c>
      <c r="L58" s="213" t="s">
        <v>36</v>
      </c>
      <c r="M58" s="213" t="s">
        <v>105</v>
      </c>
      <c r="N58" s="213" t="s">
        <v>18</v>
      </c>
      <c r="O58" s="213" t="s">
        <v>22</v>
      </c>
      <c r="Q58" s="212">
        <v>6</v>
      </c>
      <c r="R58" s="212">
        <v>10</v>
      </c>
      <c r="S58" s="212">
        <v>15</v>
      </c>
      <c r="T58" s="212">
        <v>4</v>
      </c>
      <c r="U58" s="212">
        <v>3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8" t="str">
        <v>M3</v>
      </c>
      <c r="AD58" s="128">
        <v>7</v>
      </c>
      <c r="AE58" s="128">
        <v>13</v>
      </c>
      <c r="AF58" s="128">
        <v>0</v>
      </c>
      <c r="AG58" s="128">
        <v>7</v>
      </c>
      <c r="AH58" s="128">
        <v>14</v>
      </c>
      <c r="AI58" s="5"/>
      <c r="AJ58" s="148" t="str">
        <v>M3</v>
      </c>
      <c r="AK58" s="128">
        <v>7</v>
      </c>
      <c r="AL58" s="128">
        <v>13</v>
      </c>
      <c r="AM58" s="128">
        <v>0</v>
      </c>
      <c r="AN58" s="128">
        <v>7</v>
      </c>
      <c r="AO58" s="128">
        <v>14</v>
      </c>
    </row>
    <row r="59" spans="10:41" ht="16.5" customHeight="1" x14ac:dyDescent="0.3">
      <c r="J59" s="9">
        <v>55</v>
      </c>
      <c r="K59" s="213" t="s">
        <v>37</v>
      </c>
      <c r="L59" s="213" t="s">
        <v>18</v>
      </c>
      <c r="M59" s="213" t="s">
        <v>93</v>
      </c>
      <c r="N59" s="213" t="s">
        <v>89</v>
      </c>
      <c r="O59" s="213" t="s">
        <v>21</v>
      </c>
      <c r="Q59" s="212">
        <v>7</v>
      </c>
      <c r="R59" s="212">
        <v>4</v>
      </c>
      <c r="S59" s="212">
        <v>18</v>
      </c>
      <c r="T59" s="212">
        <v>14</v>
      </c>
      <c r="U59" s="212">
        <v>2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8" t="str">
        <v>M4</v>
      </c>
      <c r="AD59" s="128">
        <v>43</v>
      </c>
      <c r="AE59" s="128">
        <v>22</v>
      </c>
      <c r="AF59" s="128">
        <v>0</v>
      </c>
      <c r="AG59" s="128">
        <v>31</v>
      </c>
      <c r="AH59" s="128">
        <v>36</v>
      </c>
      <c r="AI59" s="5"/>
      <c r="AJ59" s="148" t="str">
        <v>M4</v>
      </c>
      <c r="AK59" s="128">
        <v>43</v>
      </c>
      <c r="AL59" s="128">
        <v>22</v>
      </c>
      <c r="AM59" s="128">
        <v>0</v>
      </c>
      <c r="AN59" s="128">
        <v>31</v>
      </c>
      <c r="AO59" s="128">
        <v>36</v>
      </c>
    </row>
    <row r="60" spans="10:41" ht="16.5" customHeight="1" x14ac:dyDescent="0.3">
      <c r="J60" s="25">
        <v>56</v>
      </c>
      <c r="K60" s="213" t="s">
        <v>104</v>
      </c>
      <c r="L60" s="213" t="s">
        <v>105</v>
      </c>
      <c r="M60" s="213" t="s">
        <v>90</v>
      </c>
      <c r="N60" s="213" t="s">
        <v>37</v>
      </c>
      <c r="O60" s="213" t="s">
        <v>37</v>
      </c>
      <c r="Q60" s="212">
        <v>6</v>
      </c>
      <c r="R60" s="212">
        <v>15</v>
      </c>
      <c r="S60" s="212">
        <v>16</v>
      </c>
      <c r="T60" s="212">
        <v>7</v>
      </c>
      <c r="U60" s="212">
        <v>7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8" t="str">
        <v>M5</v>
      </c>
      <c r="AD60" s="128">
        <v>42</v>
      </c>
      <c r="AE60" s="128">
        <v>22</v>
      </c>
      <c r="AF60" s="128">
        <v>0</v>
      </c>
      <c r="AG60" s="128">
        <v>27</v>
      </c>
      <c r="AH60" s="128">
        <v>34</v>
      </c>
      <c r="AI60" s="5"/>
      <c r="AJ60" s="148" t="str">
        <v>M5</v>
      </c>
      <c r="AK60" s="128">
        <v>42</v>
      </c>
      <c r="AL60" s="128">
        <v>22</v>
      </c>
      <c r="AM60" s="128">
        <v>0</v>
      </c>
      <c r="AN60" s="128">
        <v>27</v>
      </c>
      <c r="AO60" s="128">
        <v>34</v>
      </c>
    </row>
    <row r="61" spans="10:41" x14ac:dyDescent="0.3">
      <c r="J61" s="9">
        <v>57</v>
      </c>
      <c r="K61" s="213" t="s">
        <v>19</v>
      </c>
      <c r="L61" s="213" t="s">
        <v>19</v>
      </c>
      <c r="M61" s="213" t="s">
        <v>105</v>
      </c>
      <c r="N61" s="213" t="s">
        <v>104</v>
      </c>
      <c r="O61" s="213" t="s">
        <v>35</v>
      </c>
      <c r="Q61" s="212">
        <v>5</v>
      </c>
      <c r="R61" s="212">
        <v>5</v>
      </c>
      <c r="S61" s="212">
        <v>15</v>
      </c>
      <c r="T61" s="212">
        <v>6</v>
      </c>
      <c r="U61" s="212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8" t="str">
        <v>A</v>
      </c>
      <c r="AD61" s="128">
        <v>43</v>
      </c>
      <c r="AE61" s="128">
        <v>27</v>
      </c>
      <c r="AF61" s="128">
        <v>0</v>
      </c>
      <c r="AG61" s="128">
        <v>31</v>
      </c>
      <c r="AH61" s="128">
        <v>35</v>
      </c>
      <c r="AI61" s="5"/>
      <c r="AJ61" s="148" t="str">
        <v>A</v>
      </c>
      <c r="AK61" s="128">
        <v>43</v>
      </c>
      <c r="AL61" s="128">
        <v>27</v>
      </c>
      <c r="AM61" s="128">
        <v>0</v>
      </c>
      <c r="AN61" s="128">
        <v>31</v>
      </c>
      <c r="AO61" s="128">
        <v>35</v>
      </c>
    </row>
    <row r="62" spans="10:41" x14ac:dyDescent="0.3">
      <c r="J62" s="25">
        <v>58</v>
      </c>
      <c r="K62" s="213" t="s">
        <v>104</v>
      </c>
      <c r="L62" s="213" t="s">
        <v>35</v>
      </c>
      <c r="M62" s="213" t="s">
        <v>102</v>
      </c>
      <c r="N62" s="213" t="s">
        <v>19</v>
      </c>
      <c r="O62" s="213" t="s">
        <v>37</v>
      </c>
      <c r="Q62" s="212">
        <v>6</v>
      </c>
      <c r="R62" s="212">
        <v>8</v>
      </c>
      <c r="S62" s="212">
        <v>17</v>
      </c>
      <c r="T62" s="212">
        <v>5</v>
      </c>
      <c r="U62" s="212">
        <v>7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8" t="str">
        <v>K</v>
      </c>
      <c r="AD62" s="128">
        <v>43</v>
      </c>
      <c r="AE62" s="128">
        <v>24</v>
      </c>
      <c r="AF62" s="128">
        <v>0</v>
      </c>
      <c r="AG62" s="128">
        <v>32</v>
      </c>
      <c r="AH62" s="128">
        <v>34</v>
      </c>
      <c r="AI62" s="5"/>
      <c r="AJ62" s="148" t="str">
        <v>K</v>
      </c>
      <c r="AK62" s="128">
        <v>43</v>
      </c>
      <c r="AL62" s="128">
        <v>24</v>
      </c>
      <c r="AM62" s="128">
        <v>0</v>
      </c>
      <c r="AN62" s="128">
        <v>32</v>
      </c>
      <c r="AO62" s="128">
        <v>34</v>
      </c>
    </row>
    <row r="63" spans="10:41" ht="16.5" customHeight="1" x14ac:dyDescent="0.3">
      <c r="J63" s="9">
        <v>59</v>
      </c>
      <c r="K63" s="213" t="s">
        <v>37</v>
      </c>
      <c r="L63" s="213" t="s">
        <v>18</v>
      </c>
      <c r="M63" s="213" t="s">
        <v>89</v>
      </c>
      <c r="N63" s="213" t="s">
        <v>35</v>
      </c>
      <c r="O63" s="213" t="s">
        <v>35</v>
      </c>
      <c r="Q63" s="212">
        <v>7</v>
      </c>
      <c r="R63" s="212">
        <v>4</v>
      </c>
      <c r="S63" s="212">
        <v>14</v>
      </c>
      <c r="T63" s="212">
        <v>8</v>
      </c>
      <c r="U63" s="212">
        <v>8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8" t="str">
        <v>Q</v>
      </c>
      <c r="AD63" s="128">
        <v>7</v>
      </c>
      <c r="AE63" s="128">
        <v>12</v>
      </c>
      <c r="AF63" s="128">
        <v>0</v>
      </c>
      <c r="AG63" s="128">
        <v>6</v>
      </c>
      <c r="AH63" s="128">
        <v>13</v>
      </c>
      <c r="AI63" s="5"/>
      <c r="AJ63" s="148" t="str">
        <v>Q</v>
      </c>
      <c r="AK63" s="128">
        <v>7</v>
      </c>
      <c r="AL63" s="128">
        <v>12</v>
      </c>
      <c r="AM63" s="128">
        <v>0</v>
      </c>
      <c r="AN63" s="128">
        <v>6</v>
      </c>
      <c r="AO63" s="128">
        <v>13</v>
      </c>
    </row>
    <row r="64" spans="10:41" ht="16.5" customHeight="1" x14ac:dyDescent="0.3">
      <c r="J64" s="25">
        <v>60</v>
      </c>
      <c r="K64" s="213" t="s">
        <v>35</v>
      </c>
      <c r="L64" s="213" t="s">
        <v>35</v>
      </c>
      <c r="M64" s="213" t="s">
        <v>105</v>
      </c>
      <c r="N64" s="213" t="s">
        <v>90</v>
      </c>
      <c r="O64" s="213" t="s">
        <v>19</v>
      </c>
      <c r="Q64" s="212">
        <v>8</v>
      </c>
      <c r="R64" s="212">
        <v>8</v>
      </c>
      <c r="S64" s="212">
        <v>15</v>
      </c>
      <c r="T64" s="212">
        <v>16</v>
      </c>
      <c r="U64" s="212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8" t="str">
        <v>J</v>
      </c>
      <c r="AD64" s="128">
        <v>7</v>
      </c>
      <c r="AE64" s="128">
        <v>8</v>
      </c>
      <c r="AF64" s="128">
        <v>0</v>
      </c>
      <c r="AG64" s="128">
        <v>7</v>
      </c>
      <c r="AH64" s="128">
        <v>14</v>
      </c>
      <c r="AI64" s="5"/>
      <c r="AJ64" s="148" t="str">
        <v>J</v>
      </c>
      <c r="AK64" s="128">
        <v>7</v>
      </c>
      <c r="AL64" s="128">
        <v>8</v>
      </c>
      <c r="AM64" s="128">
        <v>0</v>
      </c>
      <c r="AN64" s="128">
        <v>7</v>
      </c>
      <c r="AO64" s="128">
        <v>14</v>
      </c>
    </row>
    <row r="65" spans="10:41" ht="16.5" customHeight="1" x14ac:dyDescent="0.3">
      <c r="J65" s="9">
        <v>61</v>
      </c>
      <c r="K65" s="213" t="s">
        <v>37</v>
      </c>
      <c r="L65" s="213" t="s">
        <v>90</v>
      </c>
      <c r="M65" s="213" t="s">
        <v>89</v>
      </c>
      <c r="N65" s="213" t="s">
        <v>22</v>
      </c>
      <c r="O65" s="213" t="s">
        <v>20</v>
      </c>
      <c r="Q65" s="212">
        <v>7</v>
      </c>
      <c r="R65" s="212">
        <v>16</v>
      </c>
      <c r="S65" s="212">
        <v>14</v>
      </c>
      <c r="T65" s="212">
        <v>3</v>
      </c>
      <c r="U65" s="212">
        <v>1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3</v>
      </c>
      <c r="AF65" s="98">
        <v>3</v>
      </c>
      <c r="AG65" s="98">
        <v>2</v>
      </c>
      <c r="AH65" s="98">
        <v>0</v>
      </c>
      <c r="AI65" s="5"/>
      <c r="AJ65" s="133" t="str">
        <v>G1</v>
      </c>
      <c r="AK65" s="98">
        <v>0</v>
      </c>
      <c r="AL65" s="98">
        <v>3</v>
      </c>
      <c r="AM65" s="98">
        <v>3</v>
      </c>
      <c r="AN65" s="98">
        <v>2</v>
      </c>
      <c r="AO65" s="98">
        <v>0</v>
      </c>
    </row>
    <row r="66" spans="10:41" ht="16.5" customHeight="1" x14ac:dyDescent="0.3">
      <c r="J66" s="25">
        <v>62</v>
      </c>
      <c r="K66" s="213" t="s">
        <v>35</v>
      </c>
      <c r="L66" s="213" t="s">
        <v>19</v>
      </c>
      <c r="M66" s="213" t="s">
        <v>105</v>
      </c>
      <c r="N66" s="213" t="s">
        <v>37</v>
      </c>
      <c r="O66" s="213" t="s">
        <v>104</v>
      </c>
      <c r="Q66" s="212">
        <v>8</v>
      </c>
      <c r="R66" s="212">
        <v>5</v>
      </c>
      <c r="S66" s="212">
        <v>15</v>
      </c>
      <c r="T66" s="212">
        <v>7</v>
      </c>
      <c r="U66" s="212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4</v>
      </c>
      <c r="AF66" s="98">
        <v>1</v>
      </c>
      <c r="AG66" s="98">
        <v>2</v>
      </c>
      <c r="AH66" s="98">
        <v>0</v>
      </c>
      <c r="AI66" s="5"/>
      <c r="AJ66" s="133" t="str">
        <v>G2</v>
      </c>
      <c r="AK66" s="98">
        <v>0</v>
      </c>
      <c r="AL66" s="98">
        <v>4</v>
      </c>
      <c r="AM66" s="98">
        <v>1</v>
      </c>
      <c r="AN66" s="98">
        <v>2</v>
      </c>
      <c r="AO66" s="98">
        <v>0</v>
      </c>
    </row>
    <row r="67" spans="10:41" ht="16.5" customHeight="1" x14ac:dyDescent="0.3">
      <c r="J67" s="9">
        <v>63</v>
      </c>
      <c r="K67" s="213" t="s">
        <v>37</v>
      </c>
      <c r="L67" s="213" t="s">
        <v>20</v>
      </c>
      <c r="M67" s="213" t="s">
        <v>90</v>
      </c>
      <c r="N67" s="213" t="s">
        <v>19</v>
      </c>
      <c r="O67" s="213" t="s">
        <v>37</v>
      </c>
      <c r="Q67" s="212">
        <v>7</v>
      </c>
      <c r="R67" s="212">
        <v>1</v>
      </c>
      <c r="S67" s="212">
        <v>16</v>
      </c>
      <c r="T67" s="212">
        <v>5</v>
      </c>
      <c r="U67" s="212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4</v>
      </c>
      <c r="AF67" s="98">
        <v>8</v>
      </c>
      <c r="AG67" s="98">
        <v>3</v>
      </c>
      <c r="AH67" s="98">
        <v>0</v>
      </c>
      <c r="AI67" s="5"/>
      <c r="AJ67" s="133" t="str">
        <v>G3</v>
      </c>
      <c r="AK67" s="98">
        <v>0</v>
      </c>
      <c r="AL67" s="98">
        <v>4</v>
      </c>
      <c r="AM67" s="98">
        <v>8</v>
      </c>
      <c r="AN67" s="98">
        <v>3</v>
      </c>
      <c r="AO67" s="98">
        <v>0</v>
      </c>
    </row>
    <row r="68" spans="10:41" ht="16.5" customHeight="1" x14ac:dyDescent="0.3">
      <c r="J68" s="25">
        <v>64</v>
      </c>
      <c r="K68" s="213" t="s">
        <v>18</v>
      </c>
      <c r="L68" s="213" t="s">
        <v>34</v>
      </c>
      <c r="M68" s="213" t="s">
        <v>105</v>
      </c>
      <c r="N68" s="213" t="s">
        <v>37</v>
      </c>
      <c r="O68" s="213" t="s">
        <v>104</v>
      </c>
      <c r="Q68" s="212">
        <v>4</v>
      </c>
      <c r="R68" s="212">
        <v>9</v>
      </c>
      <c r="S68" s="212">
        <v>15</v>
      </c>
      <c r="T68" s="212">
        <v>7</v>
      </c>
      <c r="U68" s="212">
        <v>6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9</v>
      </c>
      <c r="AF68" s="98">
        <v>43</v>
      </c>
      <c r="AG68" s="98">
        <v>12</v>
      </c>
      <c r="AH68" s="98">
        <v>0</v>
      </c>
      <c r="AI68" s="5"/>
      <c r="AJ68" s="133" t="str">
        <v>G4</v>
      </c>
      <c r="AK68" s="98">
        <v>0</v>
      </c>
      <c r="AL68" s="98">
        <v>9</v>
      </c>
      <c r="AM68" s="98">
        <v>43</v>
      </c>
      <c r="AN68" s="98">
        <v>12</v>
      </c>
      <c r="AO68" s="98">
        <v>0</v>
      </c>
    </row>
    <row r="69" spans="10:41" ht="16.5" customHeight="1" x14ac:dyDescent="0.3">
      <c r="J69" s="9">
        <v>65</v>
      </c>
      <c r="K69" s="213" t="s">
        <v>19</v>
      </c>
      <c r="L69" s="213" t="s">
        <v>18</v>
      </c>
      <c r="M69" s="213" t="s">
        <v>89</v>
      </c>
      <c r="N69" s="213" t="s">
        <v>19</v>
      </c>
      <c r="O69" s="213" t="s">
        <v>37</v>
      </c>
      <c r="Q69" s="212">
        <v>5</v>
      </c>
      <c r="R69" s="212">
        <v>4</v>
      </c>
      <c r="S69" s="212">
        <v>14</v>
      </c>
      <c r="T69" s="212">
        <v>5</v>
      </c>
      <c r="U69" s="212">
        <v>7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9</v>
      </c>
      <c r="AF69" s="98">
        <v>42</v>
      </c>
      <c r="AG69" s="98">
        <v>13</v>
      </c>
      <c r="AH69" s="98">
        <v>0</v>
      </c>
      <c r="AI69" s="5"/>
      <c r="AJ69" s="133" t="str">
        <v>G5</v>
      </c>
      <c r="AK69" s="98">
        <v>0</v>
      </c>
      <c r="AL69" s="98">
        <v>9</v>
      </c>
      <c r="AM69" s="98">
        <v>42</v>
      </c>
      <c r="AN69" s="98">
        <v>13</v>
      </c>
      <c r="AO69" s="98">
        <v>0</v>
      </c>
    </row>
    <row r="70" spans="10:41" ht="16.5" customHeight="1" x14ac:dyDescent="0.3">
      <c r="J70" s="25">
        <v>66</v>
      </c>
      <c r="K70" s="213" t="s">
        <v>104</v>
      </c>
      <c r="L70" s="213" t="s">
        <v>21</v>
      </c>
      <c r="M70" s="213" t="s">
        <v>102</v>
      </c>
      <c r="N70" s="213" t="s">
        <v>89</v>
      </c>
      <c r="O70" s="213" t="s">
        <v>104</v>
      </c>
      <c r="Q70" s="212">
        <v>6</v>
      </c>
      <c r="R70" s="212">
        <v>2</v>
      </c>
      <c r="S70" s="212">
        <v>17</v>
      </c>
      <c r="T70" s="212">
        <v>14</v>
      </c>
      <c r="U70" s="212">
        <v>6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11</v>
      </c>
      <c r="AF70" s="98">
        <v>42</v>
      </c>
      <c r="AG70" s="98">
        <v>11</v>
      </c>
      <c r="AH70" s="98">
        <v>0</v>
      </c>
      <c r="AI70" s="5"/>
      <c r="AJ70" s="133" t="str">
        <v>GA</v>
      </c>
      <c r="AK70" s="98">
        <v>0</v>
      </c>
      <c r="AL70" s="98">
        <v>11</v>
      </c>
      <c r="AM70" s="98">
        <v>42</v>
      </c>
      <c r="AN70" s="98">
        <v>11</v>
      </c>
      <c r="AO70" s="98">
        <v>0</v>
      </c>
    </row>
    <row r="71" spans="10:41" ht="16.5" customHeight="1" x14ac:dyDescent="0.3">
      <c r="J71" s="9">
        <v>67</v>
      </c>
      <c r="K71" s="213" t="s">
        <v>36</v>
      </c>
      <c r="L71" s="213" t="s">
        <v>19</v>
      </c>
      <c r="M71" s="213" t="s">
        <v>88</v>
      </c>
      <c r="N71" s="213" t="s">
        <v>37</v>
      </c>
      <c r="O71" s="213" t="s">
        <v>35</v>
      </c>
      <c r="Q71" s="212">
        <v>10</v>
      </c>
      <c r="R71" s="212">
        <v>5</v>
      </c>
      <c r="S71" s="212">
        <v>13</v>
      </c>
      <c r="T71" s="212">
        <v>7</v>
      </c>
      <c r="U71" s="212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10</v>
      </c>
      <c r="AF71" s="98">
        <v>44</v>
      </c>
      <c r="AG71" s="98">
        <v>11</v>
      </c>
      <c r="AH71" s="98">
        <v>0</v>
      </c>
      <c r="AI71" s="5"/>
      <c r="AJ71" s="133" t="str">
        <v>GK</v>
      </c>
      <c r="AK71" s="98">
        <v>0</v>
      </c>
      <c r="AL71" s="98">
        <v>10</v>
      </c>
      <c r="AM71" s="98">
        <v>44</v>
      </c>
      <c r="AN71" s="98">
        <v>11</v>
      </c>
      <c r="AO71" s="98">
        <v>0</v>
      </c>
    </row>
    <row r="72" spans="10:41" ht="16.5" customHeight="1" x14ac:dyDescent="0.3">
      <c r="J72" s="25">
        <v>68</v>
      </c>
      <c r="K72" s="213" t="s">
        <v>35</v>
      </c>
      <c r="L72" s="213" t="s">
        <v>35</v>
      </c>
      <c r="M72" s="213" t="s">
        <v>105</v>
      </c>
      <c r="N72" s="213" t="s">
        <v>104</v>
      </c>
      <c r="O72" s="213" t="s">
        <v>104</v>
      </c>
      <c r="Q72" s="212">
        <v>8</v>
      </c>
      <c r="R72" s="212">
        <v>8</v>
      </c>
      <c r="S72" s="212">
        <v>15</v>
      </c>
      <c r="T72" s="212">
        <v>6</v>
      </c>
      <c r="U72" s="212">
        <v>6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4</v>
      </c>
      <c r="AF72" s="98">
        <v>6</v>
      </c>
      <c r="AG72" s="98">
        <v>2</v>
      </c>
      <c r="AH72" s="98">
        <v>0</v>
      </c>
      <c r="AI72" s="5"/>
      <c r="AJ72" s="133" t="str">
        <v>GQ</v>
      </c>
      <c r="AK72" s="98">
        <v>0</v>
      </c>
      <c r="AL72" s="98">
        <v>4</v>
      </c>
      <c r="AM72" s="98">
        <v>6</v>
      </c>
      <c r="AN72" s="98">
        <v>2</v>
      </c>
      <c r="AO72" s="98">
        <v>0</v>
      </c>
    </row>
    <row r="73" spans="10:41" ht="16.5" customHeight="1" x14ac:dyDescent="0.3">
      <c r="J73" s="9">
        <v>69</v>
      </c>
      <c r="K73" s="213" t="s">
        <v>19</v>
      </c>
      <c r="L73" s="213" t="s">
        <v>105</v>
      </c>
      <c r="M73" s="213" t="s">
        <v>102</v>
      </c>
      <c r="N73" s="213" t="s">
        <v>19</v>
      </c>
      <c r="O73" s="213" t="s">
        <v>34</v>
      </c>
      <c r="Q73" s="212">
        <v>5</v>
      </c>
      <c r="R73" s="212">
        <v>15</v>
      </c>
      <c r="S73" s="212">
        <v>17</v>
      </c>
      <c r="T73" s="212">
        <v>5</v>
      </c>
      <c r="U73" s="212">
        <v>9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3</v>
      </c>
      <c r="AF73" s="98">
        <v>9</v>
      </c>
      <c r="AG73" s="98">
        <v>3</v>
      </c>
      <c r="AH73" s="98">
        <v>0</v>
      </c>
      <c r="AI73" s="5"/>
      <c r="AJ73" s="133" t="str">
        <v>GJ</v>
      </c>
      <c r="AK73" s="98">
        <v>0</v>
      </c>
      <c r="AL73" s="98">
        <v>3</v>
      </c>
      <c r="AM73" s="98">
        <v>9</v>
      </c>
      <c r="AN73" s="98">
        <v>3</v>
      </c>
      <c r="AO73" s="98">
        <v>0</v>
      </c>
    </row>
    <row r="74" spans="10:41" ht="16.5" customHeight="1" x14ac:dyDescent="0.3">
      <c r="J74" s="25">
        <v>70</v>
      </c>
      <c r="K74" s="213" t="s">
        <v>22</v>
      </c>
      <c r="L74" s="213" t="s">
        <v>21</v>
      </c>
      <c r="M74" s="213" t="s">
        <v>90</v>
      </c>
      <c r="N74" s="213" t="s">
        <v>35</v>
      </c>
      <c r="O74" s="213" t="s">
        <v>104</v>
      </c>
      <c r="Q74" s="212">
        <v>3</v>
      </c>
      <c r="R74" s="212">
        <v>2</v>
      </c>
      <c r="S74" s="212">
        <v>16</v>
      </c>
      <c r="T74" s="212">
        <v>8</v>
      </c>
      <c r="U74" s="212">
        <v>6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199</v>
      </c>
      <c r="AE74" s="109">
        <f>SUM(AE54:AE73)</f>
        <v>208</v>
      </c>
      <c r="AF74" s="109">
        <f>SUM(AF54:AF73)</f>
        <v>198</v>
      </c>
      <c r="AG74" s="109">
        <f>SUM(AG54:AG73)</f>
        <v>207</v>
      </c>
      <c r="AH74" s="109">
        <f>SUM(AH54:AH73)</f>
        <v>198</v>
      </c>
      <c r="AI74" s="5"/>
      <c r="AK74" s="109">
        <f>SUM(AK54:AK73)</f>
        <v>199</v>
      </c>
      <c r="AL74" s="109">
        <f>SUM(AL54:AL73)</f>
        <v>208</v>
      </c>
      <c r="AM74" s="109">
        <f>SUM(AM54:AM73)</f>
        <v>198</v>
      </c>
      <c r="AN74" s="109">
        <f>SUM(AN54:AN73)</f>
        <v>207</v>
      </c>
      <c r="AO74" s="109">
        <f>SUM(AO54:AO73)</f>
        <v>198</v>
      </c>
    </row>
    <row r="75" spans="10:41" ht="16.5" customHeight="1" x14ac:dyDescent="0.3">
      <c r="J75" s="9">
        <v>71</v>
      </c>
      <c r="K75" s="213" t="s">
        <v>35</v>
      </c>
      <c r="L75" s="213" t="s">
        <v>37</v>
      </c>
      <c r="M75" s="213" t="s">
        <v>102</v>
      </c>
      <c r="N75" s="213" t="s">
        <v>104</v>
      </c>
      <c r="O75" s="213" t="s">
        <v>19</v>
      </c>
      <c r="Q75" s="212">
        <v>8</v>
      </c>
      <c r="R75" s="212">
        <v>7</v>
      </c>
      <c r="S75" s="212">
        <v>17</v>
      </c>
      <c r="T75" s="212">
        <v>6</v>
      </c>
      <c r="U75" s="212">
        <v>5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213" t="s">
        <v>104</v>
      </c>
      <c r="L76" s="213" t="s">
        <v>104</v>
      </c>
      <c r="M76" s="213" t="s">
        <v>89</v>
      </c>
      <c r="N76" s="213" t="s">
        <v>35</v>
      </c>
      <c r="O76" s="213" t="s">
        <v>22</v>
      </c>
      <c r="Q76" s="212">
        <v>6</v>
      </c>
      <c r="R76" s="212">
        <v>6</v>
      </c>
      <c r="S76" s="212">
        <v>14</v>
      </c>
      <c r="T76" s="212">
        <v>8</v>
      </c>
      <c r="U76" s="212">
        <v>3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213" t="s">
        <v>37</v>
      </c>
      <c r="L77" s="213" t="s">
        <v>22</v>
      </c>
      <c r="M77" s="213" t="s">
        <v>105</v>
      </c>
      <c r="N77" s="213" t="s">
        <v>104</v>
      </c>
      <c r="O77" s="213" t="s">
        <v>104</v>
      </c>
      <c r="Q77" s="212">
        <v>7</v>
      </c>
      <c r="R77" s="212">
        <v>3</v>
      </c>
      <c r="S77" s="212">
        <v>15</v>
      </c>
      <c r="T77" s="212">
        <v>6</v>
      </c>
      <c r="U77" s="212">
        <v>6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213" t="s">
        <v>35</v>
      </c>
      <c r="L78" s="213" t="s">
        <v>35</v>
      </c>
      <c r="M78" s="213" t="s">
        <v>89</v>
      </c>
      <c r="N78" s="213" t="s">
        <v>19</v>
      </c>
      <c r="O78" s="213" t="s">
        <v>35</v>
      </c>
      <c r="Q78" s="212">
        <v>8</v>
      </c>
      <c r="R78" s="212">
        <v>8</v>
      </c>
      <c r="S78" s="212">
        <v>14</v>
      </c>
      <c r="T78" s="212">
        <v>5</v>
      </c>
      <c r="U78" s="212">
        <v>8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213" t="s">
        <v>19</v>
      </c>
      <c r="L79" s="213" t="s">
        <v>19</v>
      </c>
      <c r="M79" s="213" t="s">
        <v>105</v>
      </c>
      <c r="N79" s="213" t="s">
        <v>35</v>
      </c>
      <c r="O79" s="213" t="s">
        <v>19</v>
      </c>
      <c r="Q79" s="212">
        <v>5</v>
      </c>
      <c r="R79" s="212">
        <v>5</v>
      </c>
      <c r="S79" s="212">
        <v>15</v>
      </c>
      <c r="T79" s="212">
        <v>8</v>
      </c>
      <c r="U79" s="212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213" t="s">
        <v>35</v>
      </c>
      <c r="L80" s="213" t="s">
        <v>34</v>
      </c>
      <c r="M80" s="213" t="s">
        <v>89</v>
      </c>
      <c r="N80" s="213" t="s">
        <v>34</v>
      </c>
      <c r="O80" s="213" t="s">
        <v>36</v>
      </c>
      <c r="Q80" s="212">
        <v>8</v>
      </c>
      <c r="R80" s="212">
        <v>9</v>
      </c>
      <c r="S80" s="212">
        <v>14</v>
      </c>
      <c r="T80" s="212">
        <v>9</v>
      </c>
      <c r="U80" s="212">
        <v>10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213" t="s">
        <v>104</v>
      </c>
      <c r="L81" s="213" t="s">
        <v>104</v>
      </c>
      <c r="M81" s="213" t="s">
        <v>105</v>
      </c>
      <c r="N81" s="213" t="s">
        <v>19</v>
      </c>
      <c r="O81" s="213" t="s">
        <v>35</v>
      </c>
      <c r="Q81" s="212">
        <v>6</v>
      </c>
      <c r="R81" s="212">
        <v>6</v>
      </c>
      <c r="S81" s="212">
        <v>15</v>
      </c>
      <c r="T81" s="212">
        <v>5</v>
      </c>
      <c r="U81" s="212">
        <v>8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213" t="s">
        <v>35</v>
      </c>
      <c r="L82" s="213" t="s">
        <v>22</v>
      </c>
      <c r="M82" s="213" t="s">
        <v>89</v>
      </c>
      <c r="N82" s="213" t="s">
        <v>35</v>
      </c>
      <c r="O82" s="213" t="s">
        <v>104</v>
      </c>
      <c r="Q82" s="212">
        <v>8</v>
      </c>
      <c r="R82" s="212">
        <v>3</v>
      </c>
      <c r="S82" s="212">
        <v>14</v>
      </c>
      <c r="T82" s="212">
        <v>8</v>
      </c>
      <c r="U82" s="212">
        <v>6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213" t="s">
        <v>104</v>
      </c>
      <c r="L83" s="213" t="s">
        <v>20</v>
      </c>
      <c r="M83" s="213" t="s">
        <v>88</v>
      </c>
      <c r="N83" s="213" t="s">
        <v>19</v>
      </c>
      <c r="O83" s="213" t="s">
        <v>19</v>
      </c>
      <c r="Q83" s="212">
        <v>6</v>
      </c>
      <c r="R83" s="212">
        <v>1</v>
      </c>
      <c r="S83" s="212">
        <v>13</v>
      </c>
      <c r="T83" s="212">
        <v>5</v>
      </c>
      <c r="U83" s="212">
        <v>5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213" t="s">
        <v>18</v>
      </c>
      <c r="L84" s="213" t="s">
        <v>104</v>
      </c>
      <c r="M84" s="213" t="s">
        <v>89</v>
      </c>
      <c r="N84" s="213" t="s">
        <v>35</v>
      </c>
      <c r="O84" s="213" t="s">
        <v>37</v>
      </c>
      <c r="Q84" s="212">
        <v>4</v>
      </c>
      <c r="R84" s="212">
        <v>6</v>
      </c>
      <c r="S84" s="212">
        <v>14</v>
      </c>
      <c r="T84" s="212">
        <v>8</v>
      </c>
      <c r="U84" s="212">
        <v>7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213" t="s">
        <v>19</v>
      </c>
      <c r="L85" s="213" t="s">
        <v>35</v>
      </c>
      <c r="M85" s="213" t="s">
        <v>93</v>
      </c>
      <c r="N85" s="213" t="s">
        <v>20</v>
      </c>
      <c r="O85" s="213" t="s">
        <v>36</v>
      </c>
      <c r="Q85" s="212">
        <v>5</v>
      </c>
      <c r="R85" s="212">
        <v>8</v>
      </c>
      <c r="S85" s="212">
        <v>18</v>
      </c>
      <c r="T85" s="212">
        <v>1</v>
      </c>
      <c r="U85" s="212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213" t="s">
        <v>35</v>
      </c>
      <c r="L86" s="213" t="s">
        <v>34</v>
      </c>
      <c r="M86" s="213" t="s">
        <v>90</v>
      </c>
      <c r="N86" s="213" t="s">
        <v>104</v>
      </c>
      <c r="O86" s="213" t="s">
        <v>37</v>
      </c>
      <c r="Q86" s="212">
        <v>8</v>
      </c>
      <c r="R86" s="212">
        <v>9</v>
      </c>
      <c r="S86" s="212">
        <v>16</v>
      </c>
      <c r="T86" s="212">
        <v>6</v>
      </c>
      <c r="U86" s="212">
        <v>7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213" t="s">
        <v>36</v>
      </c>
      <c r="L87" s="213" t="s">
        <v>89</v>
      </c>
      <c r="M87" s="213" t="s">
        <v>105</v>
      </c>
      <c r="N87" s="213" t="s">
        <v>22</v>
      </c>
      <c r="O87" s="213" t="s">
        <v>19</v>
      </c>
      <c r="Q87" s="212">
        <v>10</v>
      </c>
      <c r="R87" s="212">
        <v>14</v>
      </c>
      <c r="S87" s="212">
        <v>15</v>
      </c>
      <c r="T87" s="212">
        <v>3</v>
      </c>
      <c r="U87" s="212">
        <v>5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213" t="s">
        <v>104</v>
      </c>
      <c r="L88" s="213" t="s">
        <v>36</v>
      </c>
      <c r="M88" s="213" t="s">
        <v>102</v>
      </c>
      <c r="N88" s="213" t="s">
        <v>37</v>
      </c>
      <c r="O88" s="213" t="s">
        <v>34</v>
      </c>
      <c r="Q88" s="212">
        <v>6</v>
      </c>
      <c r="R88" s="212">
        <v>10</v>
      </c>
      <c r="S88" s="212">
        <v>17</v>
      </c>
      <c r="T88" s="212">
        <v>7</v>
      </c>
      <c r="U88" s="212">
        <v>9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213" t="s">
        <v>37</v>
      </c>
      <c r="L89" s="213" t="s">
        <v>93</v>
      </c>
      <c r="M89" s="213" t="s">
        <v>90</v>
      </c>
      <c r="N89" s="213" t="s">
        <v>104</v>
      </c>
      <c r="O89" s="213" t="s">
        <v>19</v>
      </c>
      <c r="Q89" s="212">
        <v>7</v>
      </c>
      <c r="R89" s="212">
        <v>18</v>
      </c>
      <c r="S89" s="212">
        <v>16</v>
      </c>
      <c r="T89" s="212">
        <v>6</v>
      </c>
      <c r="U89" s="212">
        <v>5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213" t="s">
        <v>104</v>
      </c>
      <c r="L90" s="213" t="s">
        <v>21</v>
      </c>
      <c r="M90" s="213" t="s">
        <v>105</v>
      </c>
      <c r="N90" s="213" t="s">
        <v>19</v>
      </c>
      <c r="O90" s="213" t="s">
        <v>34</v>
      </c>
      <c r="Q90" s="212">
        <v>6</v>
      </c>
      <c r="R90" s="212">
        <v>2</v>
      </c>
      <c r="S90" s="212">
        <v>15</v>
      </c>
      <c r="T90" s="212">
        <v>5</v>
      </c>
      <c r="U90" s="212">
        <v>9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213" t="s">
        <v>36</v>
      </c>
      <c r="L91" s="213" t="s">
        <v>88</v>
      </c>
      <c r="M91" s="213" t="s">
        <v>87</v>
      </c>
      <c r="N91" s="213" t="s">
        <v>37</v>
      </c>
      <c r="O91" s="213" t="s">
        <v>36</v>
      </c>
      <c r="Q91" s="212">
        <v>10</v>
      </c>
      <c r="R91" s="212">
        <v>13</v>
      </c>
      <c r="S91" s="212">
        <v>12</v>
      </c>
      <c r="T91" s="212">
        <v>7</v>
      </c>
      <c r="U91" s="212">
        <v>10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213" t="s">
        <v>34</v>
      </c>
      <c r="L92" s="213" t="s">
        <v>37</v>
      </c>
      <c r="M92" s="213" t="s">
        <v>95</v>
      </c>
      <c r="N92" s="213" t="s">
        <v>104</v>
      </c>
      <c r="O92" s="213" t="s">
        <v>34</v>
      </c>
      <c r="Q92" s="212">
        <v>9</v>
      </c>
      <c r="R92" s="212">
        <v>7</v>
      </c>
      <c r="S92" s="212">
        <v>19</v>
      </c>
      <c r="T92" s="212">
        <v>6</v>
      </c>
      <c r="U92" s="212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213" t="s">
        <v>35</v>
      </c>
      <c r="L93" s="213" t="s">
        <v>34</v>
      </c>
      <c r="M93" s="213" t="s">
        <v>105</v>
      </c>
      <c r="N93" s="213" t="s">
        <v>102</v>
      </c>
      <c r="O93" s="213" t="s">
        <v>22</v>
      </c>
      <c r="Q93" s="212">
        <v>8</v>
      </c>
      <c r="R93" s="212">
        <v>9</v>
      </c>
      <c r="S93" s="212">
        <v>15</v>
      </c>
      <c r="T93" s="212">
        <v>17</v>
      </c>
      <c r="U93" s="212">
        <v>3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213" t="s">
        <v>19</v>
      </c>
      <c r="L94" s="213" t="s">
        <v>104</v>
      </c>
      <c r="M94" s="213" t="s">
        <v>102</v>
      </c>
      <c r="N94" s="213" t="s">
        <v>35</v>
      </c>
      <c r="O94" s="213" t="s">
        <v>21</v>
      </c>
      <c r="Q94" s="212">
        <v>5</v>
      </c>
      <c r="R94" s="212">
        <v>6</v>
      </c>
      <c r="S94" s="212">
        <v>17</v>
      </c>
      <c r="T94" s="212">
        <v>8</v>
      </c>
      <c r="U94" s="212">
        <v>2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213" t="s">
        <v>37</v>
      </c>
      <c r="L95" s="213" t="s">
        <v>90</v>
      </c>
      <c r="M95" s="213" t="s">
        <v>90</v>
      </c>
      <c r="N95" s="213" t="s">
        <v>88</v>
      </c>
      <c r="O95" s="213" t="s">
        <v>36</v>
      </c>
      <c r="Q95" s="212">
        <v>7</v>
      </c>
      <c r="R95" s="212">
        <v>16</v>
      </c>
      <c r="S95" s="212">
        <v>16</v>
      </c>
      <c r="T95" s="212">
        <v>13</v>
      </c>
      <c r="U95" s="212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213" t="s">
        <v>19</v>
      </c>
      <c r="L96" s="213" t="s">
        <v>19</v>
      </c>
      <c r="M96" s="213" t="s">
        <v>89</v>
      </c>
      <c r="N96" s="213" t="s">
        <v>19</v>
      </c>
      <c r="O96" s="213" t="s">
        <v>35</v>
      </c>
      <c r="Q96" s="212">
        <v>5</v>
      </c>
      <c r="R96" s="212">
        <v>5</v>
      </c>
      <c r="S96" s="212">
        <v>14</v>
      </c>
      <c r="T96" s="212">
        <v>5</v>
      </c>
      <c r="U96" s="212">
        <v>8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213" t="s">
        <v>104</v>
      </c>
      <c r="L97" s="213" t="s">
        <v>36</v>
      </c>
      <c r="M97" s="213" t="s">
        <v>105</v>
      </c>
      <c r="N97" s="213" t="s">
        <v>89</v>
      </c>
      <c r="O97" s="213" t="s">
        <v>20</v>
      </c>
      <c r="Q97" s="212">
        <v>6</v>
      </c>
      <c r="R97" s="212">
        <v>10</v>
      </c>
      <c r="S97" s="212">
        <v>15</v>
      </c>
      <c r="T97" s="212">
        <v>14</v>
      </c>
      <c r="U97" s="212">
        <v>1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213" t="s">
        <v>37</v>
      </c>
      <c r="L98" s="213" t="s">
        <v>104</v>
      </c>
      <c r="M98" s="213" t="s">
        <v>102</v>
      </c>
      <c r="N98" s="213" t="s">
        <v>35</v>
      </c>
      <c r="O98" s="213" t="s">
        <v>37</v>
      </c>
      <c r="Q98" s="212">
        <v>7</v>
      </c>
      <c r="R98" s="212">
        <v>6</v>
      </c>
      <c r="S98" s="212">
        <v>17</v>
      </c>
      <c r="T98" s="212">
        <v>8</v>
      </c>
      <c r="U98" s="212">
        <v>7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213" t="s">
        <v>35</v>
      </c>
      <c r="L99" s="213" t="s">
        <v>37</v>
      </c>
      <c r="M99" s="213" t="s">
        <v>89</v>
      </c>
      <c r="N99" s="213" t="s">
        <v>19</v>
      </c>
      <c r="O99" s="213" t="s">
        <v>104</v>
      </c>
      <c r="Q99" s="212">
        <v>8</v>
      </c>
      <c r="R99" s="212">
        <v>7</v>
      </c>
      <c r="S99" s="212">
        <v>14</v>
      </c>
      <c r="T99" s="212">
        <v>5</v>
      </c>
      <c r="U99" s="212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213" t="s">
        <v>20</v>
      </c>
      <c r="L100" s="213" t="s">
        <v>35</v>
      </c>
      <c r="M100" s="213" t="s">
        <v>102</v>
      </c>
      <c r="N100" s="213" t="s">
        <v>37</v>
      </c>
      <c r="O100" s="213" t="s">
        <v>18</v>
      </c>
      <c r="Q100" s="212">
        <v>1</v>
      </c>
      <c r="R100" s="212">
        <v>8</v>
      </c>
      <c r="S100" s="212">
        <v>17</v>
      </c>
      <c r="T100" s="212">
        <v>7</v>
      </c>
      <c r="U100" s="212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213" t="s">
        <v>104</v>
      </c>
      <c r="L101" s="213" t="s">
        <v>104</v>
      </c>
      <c r="M101" s="213" t="s">
        <v>90</v>
      </c>
      <c r="N101" s="213" t="s">
        <v>19</v>
      </c>
      <c r="O101" s="213" t="s">
        <v>35</v>
      </c>
      <c r="Q101" s="212">
        <v>6</v>
      </c>
      <c r="R101" s="212">
        <v>6</v>
      </c>
      <c r="S101" s="212">
        <v>16</v>
      </c>
      <c r="T101" s="212">
        <v>5</v>
      </c>
      <c r="U101" s="212">
        <v>8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213" t="s">
        <v>35</v>
      </c>
      <c r="L102" s="213" t="s">
        <v>34</v>
      </c>
      <c r="M102" s="213" t="s">
        <v>89</v>
      </c>
      <c r="N102" s="213" t="s">
        <v>95</v>
      </c>
      <c r="O102" s="213" t="s">
        <v>34</v>
      </c>
      <c r="Q102" s="212">
        <v>8</v>
      </c>
      <c r="R102" s="212">
        <v>9</v>
      </c>
      <c r="S102" s="212">
        <v>14</v>
      </c>
      <c r="T102" s="212">
        <v>19</v>
      </c>
      <c r="U102" s="212">
        <v>9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213" t="s">
        <v>19</v>
      </c>
      <c r="L103" s="213" t="s">
        <v>104</v>
      </c>
      <c r="M103" s="213" t="s">
        <v>87</v>
      </c>
      <c r="N103" s="213" t="s">
        <v>35</v>
      </c>
      <c r="O103" s="213" t="s">
        <v>35</v>
      </c>
      <c r="Q103" s="212">
        <v>5</v>
      </c>
      <c r="R103" s="212">
        <v>6</v>
      </c>
      <c r="S103" s="212">
        <v>12</v>
      </c>
      <c r="T103" s="212">
        <v>8</v>
      </c>
      <c r="U103" s="212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213" t="s">
        <v>35</v>
      </c>
      <c r="L104" s="213" t="s">
        <v>102</v>
      </c>
      <c r="M104" s="213" t="s">
        <v>90</v>
      </c>
      <c r="N104" s="213" t="s">
        <v>105</v>
      </c>
      <c r="O104" s="213" t="s">
        <v>19</v>
      </c>
      <c r="Q104" s="212">
        <v>8</v>
      </c>
      <c r="R104" s="212">
        <v>17</v>
      </c>
      <c r="S104" s="212">
        <v>16</v>
      </c>
      <c r="T104" s="212">
        <v>15</v>
      </c>
      <c r="U104" s="212">
        <v>5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213" t="s">
        <v>104</v>
      </c>
      <c r="L105" s="213" t="s">
        <v>20</v>
      </c>
      <c r="M105" s="213" t="s">
        <v>102</v>
      </c>
      <c r="N105" s="213" t="s">
        <v>19</v>
      </c>
      <c r="O105" s="213" t="s">
        <v>104</v>
      </c>
      <c r="Q105" s="212">
        <v>6</v>
      </c>
      <c r="R105" s="212">
        <v>1</v>
      </c>
      <c r="S105" s="212">
        <v>17</v>
      </c>
      <c r="T105" s="212">
        <v>5</v>
      </c>
      <c r="U105" s="212">
        <v>6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213" t="s">
        <v>37</v>
      </c>
      <c r="L106" s="213" t="s">
        <v>35</v>
      </c>
      <c r="M106" s="213" t="s">
        <v>105</v>
      </c>
      <c r="N106" s="213" t="s">
        <v>35</v>
      </c>
      <c r="O106" s="213" t="s">
        <v>19</v>
      </c>
      <c r="Q106" s="212">
        <v>7</v>
      </c>
      <c r="R106" s="212">
        <v>8</v>
      </c>
      <c r="S106" s="212">
        <v>15</v>
      </c>
      <c r="T106" s="212">
        <v>8</v>
      </c>
      <c r="U106" s="212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213" t="s">
        <v>36</v>
      </c>
      <c r="L107" s="213" t="s">
        <v>37</v>
      </c>
      <c r="M107" s="213" t="s">
        <v>89</v>
      </c>
      <c r="N107" s="213" t="s">
        <v>102</v>
      </c>
      <c r="O107" s="213" t="s">
        <v>37</v>
      </c>
      <c r="Q107" s="212">
        <v>10</v>
      </c>
      <c r="R107" s="212">
        <v>7</v>
      </c>
      <c r="S107" s="212">
        <v>14</v>
      </c>
      <c r="T107" s="212">
        <v>17</v>
      </c>
      <c r="U107" s="212">
        <v>7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213" t="s">
        <v>34</v>
      </c>
      <c r="L108" s="213" t="s">
        <v>104</v>
      </c>
      <c r="M108" s="213" t="s">
        <v>90</v>
      </c>
      <c r="N108" s="213" t="s">
        <v>37</v>
      </c>
      <c r="O108" s="213" t="s">
        <v>104</v>
      </c>
      <c r="Q108" s="212">
        <v>9</v>
      </c>
      <c r="R108" s="212">
        <v>6</v>
      </c>
      <c r="S108" s="212">
        <v>16</v>
      </c>
      <c r="T108" s="212">
        <v>7</v>
      </c>
      <c r="U108" s="212">
        <v>6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213" t="s">
        <v>19</v>
      </c>
      <c r="L109" s="213" t="s">
        <v>86</v>
      </c>
      <c r="M109" s="213" t="s">
        <v>89</v>
      </c>
      <c r="N109" s="213" t="s">
        <v>36</v>
      </c>
      <c r="O109" s="213" t="s">
        <v>18</v>
      </c>
      <c r="Q109" s="212">
        <v>5</v>
      </c>
      <c r="R109" s="212">
        <v>11</v>
      </c>
      <c r="S109" s="212">
        <v>14</v>
      </c>
      <c r="T109" s="212">
        <v>10</v>
      </c>
      <c r="U109" s="212">
        <v>4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213" t="s">
        <v>104</v>
      </c>
      <c r="L110" s="213" t="s">
        <v>105</v>
      </c>
      <c r="M110" s="213" t="s">
        <v>102</v>
      </c>
      <c r="N110" s="213" t="s">
        <v>20</v>
      </c>
      <c r="O110" s="213" t="s">
        <v>22</v>
      </c>
      <c r="Q110" s="212">
        <v>6</v>
      </c>
      <c r="R110" s="212">
        <v>15</v>
      </c>
      <c r="S110" s="212">
        <v>17</v>
      </c>
      <c r="T110" s="212">
        <v>1</v>
      </c>
      <c r="U110" s="212">
        <v>3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213" t="s">
        <v>35</v>
      </c>
      <c r="L111" s="213" t="s">
        <v>35</v>
      </c>
      <c r="M111" s="213" t="s">
        <v>89</v>
      </c>
      <c r="N111" s="213" t="s">
        <v>21</v>
      </c>
      <c r="O111" s="213" t="s">
        <v>35</v>
      </c>
      <c r="Q111" s="212">
        <v>8</v>
      </c>
      <c r="R111" s="212">
        <v>8</v>
      </c>
      <c r="S111" s="212">
        <v>14</v>
      </c>
      <c r="T111" s="212">
        <v>2</v>
      </c>
      <c r="U111" s="212">
        <v>8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213" t="s">
        <v>104</v>
      </c>
      <c r="L112" s="213" t="s">
        <v>102</v>
      </c>
      <c r="M112" s="213" t="s">
        <v>102</v>
      </c>
      <c r="N112" s="213" t="s">
        <v>19</v>
      </c>
      <c r="O112" s="213" t="s">
        <v>19</v>
      </c>
      <c r="Q112" s="212">
        <v>6</v>
      </c>
      <c r="R112" s="212">
        <v>17</v>
      </c>
      <c r="S112" s="212">
        <v>17</v>
      </c>
      <c r="T112" s="212">
        <v>5</v>
      </c>
      <c r="U112" s="212">
        <v>5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213" t="s">
        <v>35</v>
      </c>
      <c r="L113" s="213" t="s">
        <v>18</v>
      </c>
      <c r="M113" s="213" t="s">
        <v>89</v>
      </c>
      <c r="N113" s="213" t="s">
        <v>105</v>
      </c>
      <c r="O113" s="213" t="s">
        <v>35</v>
      </c>
      <c r="Q113" s="212">
        <v>8</v>
      </c>
      <c r="R113" s="212">
        <v>4</v>
      </c>
      <c r="S113" s="212">
        <v>14</v>
      </c>
      <c r="T113" s="212">
        <v>15</v>
      </c>
      <c r="U113" s="212">
        <v>8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213" t="s">
        <v>19</v>
      </c>
      <c r="L114" s="213" t="s">
        <v>37</v>
      </c>
      <c r="M114" s="213" t="s">
        <v>102</v>
      </c>
      <c r="N114" s="213" t="s">
        <v>37</v>
      </c>
      <c r="O114" s="213" t="s">
        <v>34</v>
      </c>
      <c r="Q114" s="212">
        <v>5</v>
      </c>
      <c r="R114" s="212">
        <v>7</v>
      </c>
      <c r="S114" s="212">
        <v>17</v>
      </c>
      <c r="T114" s="212">
        <v>7</v>
      </c>
      <c r="U114" s="212">
        <v>9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213" t="s">
        <v>37</v>
      </c>
      <c r="L115" s="213" t="s">
        <v>87</v>
      </c>
      <c r="M115" s="213" t="s">
        <v>90</v>
      </c>
      <c r="N115" s="213" t="s">
        <v>21</v>
      </c>
      <c r="O115" s="213" t="s">
        <v>104</v>
      </c>
      <c r="Q115" s="212">
        <v>7</v>
      </c>
      <c r="R115" s="212">
        <v>12</v>
      </c>
      <c r="S115" s="212">
        <v>16</v>
      </c>
      <c r="T115" s="212">
        <v>2</v>
      </c>
      <c r="U115" s="212">
        <v>6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213" t="s">
        <v>34</v>
      </c>
      <c r="L116" s="213" t="s">
        <v>104</v>
      </c>
      <c r="M116" s="213" t="s">
        <v>89</v>
      </c>
      <c r="N116" s="213" t="s">
        <v>34</v>
      </c>
      <c r="O116" s="213" t="s">
        <v>18</v>
      </c>
      <c r="Q116" s="212">
        <v>9</v>
      </c>
      <c r="R116" s="212">
        <v>6</v>
      </c>
      <c r="S116" s="212">
        <v>14</v>
      </c>
      <c r="T116" s="212">
        <v>9</v>
      </c>
      <c r="U116" s="212">
        <v>4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213" t="s">
        <v>35</v>
      </c>
      <c r="L117" s="213" t="s">
        <v>22</v>
      </c>
      <c r="M117" s="213" t="s">
        <v>102</v>
      </c>
      <c r="N117" s="213" t="s">
        <v>35</v>
      </c>
      <c r="O117" s="213" t="s">
        <v>19</v>
      </c>
      <c r="Q117" s="212">
        <v>8</v>
      </c>
      <c r="R117" s="212">
        <v>3</v>
      </c>
      <c r="S117" s="212">
        <v>17</v>
      </c>
      <c r="T117" s="212">
        <v>8</v>
      </c>
      <c r="U117" s="212">
        <v>5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213" t="s">
        <v>37</v>
      </c>
      <c r="L118" s="213" t="s">
        <v>104</v>
      </c>
      <c r="M118" s="213" t="s">
        <v>89</v>
      </c>
      <c r="N118" s="213" t="s">
        <v>37</v>
      </c>
      <c r="O118" s="213" t="s">
        <v>104</v>
      </c>
      <c r="Q118" s="212">
        <v>7</v>
      </c>
      <c r="R118" s="212">
        <v>6</v>
      </c>
      <c r="S118" s="212">
        <v>14</v>
      </c>
      <c r="T118" s="212">
        <v>7</v>
      </c>
      <c r="U118" s="212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213" t="s">
        <v>19</v>
      </c>
      <c r="L119" s="213" t="s">
        <v>90</v>
      </c>
      <c r="M119" s="213" t="s">
        <v>105</v>
      </c>
      <c r="N119" s="213" t="s">
        <v>20</v>
      </c>
      <c r="O119" s="213" t="s">
        <v>37</v>
      </c>
      <c r="Q119" s="212">
        <v>5</v>
      </c>
      <c r="R119" s="212">
        <v>16</v>
      </c>
      <c r="S119" s="212">
        <v>15</v>
      </c>
      <c r="T119" s="212">
        <v>1</v>
      </c>
      <c r="U119" s="212">
        <v>7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213" t="s">
        <v>37</v>
      </c>
      <c r="L120" s="213" t="s">
        <v>37</v>
      </c>
      <c r="M120" s="213" t="s">
        <v>102</v>
      </c>
      <c r="N120" s="213" t="s">
        <v>104</v>
      </c>
      <c r="O120" s="213" t="s">
        <v>36</v>
      </c>
      <c r="Q120" s="212">
        <v>7</v>
      </c>
      <c r="R120" s="212">
        <v>7</v>
      </c>
      <c r="S120" s="212">
        <v>17</v>
      </c>
      <c r="T120" s="212">
        <v>6</v>
      </c>
      <c r="U120" s="212">
        <v>10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213" t="s">
        <v>104</v>
      </c>
      <c r="L121" s="213" t="s">
        <v>104</v>
      </c>
      <c r="M121" s="213" t="s">
        <v>93</v>
      </c>
      <c r="N121" s="213" t="s">
        <v>18</v>
      </c>
      <c r="O121" s="213" t="s">
        <v>35</v>
      </c>
      <c r="Q121" s="212">
        <v>6</v>
      </c>
      <c r="R121" s="212">
        <v>6</v>
      </c>
      <c r="S121" s="212">
        <v>18</v>
      </c>
      <c r="T121" s="212">
        <v>4</v>
      </c>
      <c r="U121" s="212">
        <v>8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213" t="s">
        <v>37</v>
      </c>
      <c r="L122" s="213" t="s">
        <v>19</v>
      </c>
      <c r="M122" s="213" t="s">
        <v>88</v>
      </c>
      <c r="N122" s="213" t="s">
        <v>19</v>
      </c>
      <c r="O122" s="213" t="s">
        <v>19</v>
      </c>
      <c r="Q122" s="212">
        <v>7</v>
      </c>
      <c r="R122" s="212">
        <v>5</v>
      </c>
      <c r="S122" s="212">
        <v>13</v>
      </c>
      <c r="T122" s="212">
        <v>5</v>
      </c>
      <c r="U122" s="212">
        <v>5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213" t="s">
        <v>19</v>
      </c>
      <c r="L123" s="213" t="s">
        <v>37</v>
      </c>
      <c r="M123" s="213" t="s">
        <v>105</v>
      </c>
      <c r="N123" s="213" t="s">
        <v>37</v>
      </c>
      <c r="O123" s="213" t="s">
        <v>34</v>
      </c>
      <c r="Q123" s="212">
        <v>5</v>
      </c>
      <c r="R123" s="212">
        <v>7</v>
      </c>
      <c r="S123" s="212">
        <v>15</v>
      </c>
      <c r="T123" s="212">
        <v>7</v>
      </c>
      <c r="U123" s="212">
        <v>9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213" t="s">
        <v>35</v>
      </c>
      <c r="L124" s="213" t="s">
        <v>95</v>
      </c>
      <c r="M124" s="213" t="s">
        <v>90</v>
      </c>
      <c r="N124" s="213" t="s">
        <v>19</v>
      </c>
      <c r="O124" s="213" t="s">
        <v>35</v>
      </c>
      <c r="Q124" s="212">
        <v>8</v>
      </c>
      <c r="R124" s="212">
        <v>19</v>
      </c>
      <c r="S124" s="212">
        <v>16</v>
      </c>
      <c r="T124" s="212">
        <v>5</v>
      </c>
      <c r="U124" s="212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213" t="s">
        <v>104</v>
      </c>
      <c r="L125" s="213" t="s">
        <v>36</v>
      </c>
      <c r="M125" s="213" t="s">
        <v>105</v>
      </c>
      <c r="N125" s="213" t="s">
        <v>37</v>
      </c>
      <c r="O125" s="213" t="s">
        <v>37</v>
      </c>
      <c r="Q125" s="212">
        <v>6</v>
      </c>
      <c r="R125" s="212">
        <v>10</v>
      </c>
      <c r="S125" s="212">
        <v>15</v>
      </c>
      <c r="T125" s="212">
        <v>7</v>
      </c>
      <c r="U125" s="212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213" t="s">
        <v>37</v>
      </c>
      <c r="L126" s="213" t="s">
        <v>89</v>
      </c>
      <c r="M126" s="213" t="s">
        <v>89</v>
      </c>
      <c r="N126" s="213" t="s">
        <v>105</v>
      </c>
      <c r="O126" s="213" t="s">
        <v>104</v>
      </c>
      <c r="Q126" s="212">
        <v>7</v>
      </c>
      <c r="R126" s="212">
        <v>14</v>
      </c>
      <c r="S126" s="212">
        <v>14</v>
      </c>
      <c r="T126" s="212">
        <v>15</v>
      </c>
      <c r="U126" s="212">
        <v>6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213" t="s">
        <v>35</v>
      </c>
      <c r="L127" s="213" t="s">
        <v>104</v>
      </c>
      <c r="M127" s="213" t="s">
        <v>105</v>
      </c>
      <c r="N127" s="213" t="s">
        <v>36</v>
      </c>
      <c r="O127" s="213" t="s">
        <v>35</v>
      </c>
      <c r="Q127" s="212">
        <v>8</v>
      </c>
      <c r="R127" s="212">
        <v>6</v>
      </c>
      <c r="S127" s="212">
        <v>15</v>
      </c>
      <c r="T127" s="212">
        <v>10</v>
      </c>
      <c r="U127" s="212">
        <v>8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213" t="s">
        <v>104</v>
      </c>
      <c r="L128" s="213" t="s">
        <v>37</v>
      </c>
      <c r="M128" s="213" t="s">
        <v>102</v>
      </c>
      <c r="N128" s="213" t="s">
        <v>102</v>
      </c>
      <c r="O128" s="213" t="s">
        <v>21</v>
      </c>
      <c r="Q128" s="212">
        <v>6</v>
      </c>
      <c r="R128" s="212">
        <v>7</v>
      </c>
      <c r="S128" s="212">
        <v>17</v>
      </c>
      <c r="T128" s="212">
        <v>17</v>
      </c>
      <c r="U128" s="212">
        <v>2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213" t="s">
        <v>19</v>
      </c>
      <c r="L129" s="213" t="s">
        <v>102</v>
      </c>
      <c r="M129" s="213" t="s">
        <v>87</v>
      </c>
      <c r="N129" s="213" t="s">
        <v>90</v>
      </c>
      <c r="O129" s="213" t="s">
        <v>35</v>
      </c>
      <c r="Q129" s="212">
        <v>5</v>
      </c>
      <c r="R129" s="212">
        <v>17</v>
      </c>
      <c r="S129" s="212">
        <v>12</v>
      </c>
      <c r="T129" s="212">
        <v>16</v>
      </c>
      <c r="U129" s="212">
        <v>8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213" t="s">
        <v>37</v>
      </c>
      <c r="L130" s="213" t="s">
        <v>22</v>
      </c>
      <c r="M130" s="213" t="s">
        <v>95</v>
      </c>
      <c r="N130" s="213" t="s">
        <v>19</v>
      </c>
      <c r="O130" s="213" t="s">
        <v>37</v>
      </c>
      <c r="Q130" s="212">
        <v>7</v>
      </c>
      <c r="R130" s="212">
        <v>3</v>
      </c>
      <c r="S130" s="212">
        <v>19</v>
      </c>
      <c r="T130" s="212">
        <v>5</v>
      </c>
      <c r="U130" s="212">
        <v>7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213" t="s">
        <v>19</v>
      </c>
      <c r="L131" s="213" t="s">
        <v>37</v>
      </c>
      <c r="M131" s="213" t="s">
        <v>90</v>
      </c>
      <c r="N131" s="213" t="s">
        <v>104</v>
      </c>
      <c r="O131" s="213" t="s">
        <v>34</v>
      </c>
      <c r="Q131" s="212">
        <v>5</v>
      </c>
      <c r="R131" s="212">
        <v>7</v>
      </c>
      <c r="S131" s="212">
        <v>16</v>
      </c>
      <c r="T131" s="212">
        <v>6</v>
      </c>
      <c r="U131" s="212">
        <v>9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213" t="s">
        <v>37</v>
      </c>
      <c r="L132" s="213" t="s">
        <v>35</v>
      </c>
      <c r="M132" s="213" t="s">
        <v>102</v>
      </c>
      <c r="N132" s="213" t="s">
        <v>19</v>
      </c>
      <c r="O132" s="213" t="s">
        <v>36</v>
      </c>
      <c r="Q132" s="212">
        <v>7</v>
      </c>
      <c r="R132" s="212">
        <v>8</v>
      </c>
      <c r="S132" s="212">
        <v>17</v>
      </c>
      <c r="T132" s="212">
        <v>5</v>
      </c>
      <c r="U132" s="212">
        <v>10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213" t="s">
        <v>104</v>
      </c>
      <c r="L133" s="213" t="s">
        <v>104</v>
      </c>
      <c r="M133" s="213" t="s">
        <v>105</v>
      </c>
      <c r="N133" s="213" t="s">
        <v>102</v>
      </c>
      <c r="O133" s="213" t="s">
        <v>104</v>
      </c>
      <c r="Q133" s="212">
        <v>6</v>
      </c>
      <c r="R133" s="212">
        <v>6</v>
      </c>
      <c r="S133" s="212">
        <v>15</v>
      </c>
      <c r="T133" s="212">
        <v>17</v>
      </c>
      <c r="U133" s="212">
        <v>6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213" t="s">
        <v>37</v>
      </c>
      <c r="L134" s="213" t="s">
        <v>22</v>
      </c>
      <c r="M134" s="213" t="s">
        <v>89</v>
      </c>
      <c r="N134" s="213" t="s">
        <v>37</v>
      </c>
      <c r="O134" s="213" t="s">
        <v>37</v>
      </c>
      <c r="Q134" s="212">
        <v>7</v>
      </c>
      <c r="R134" s="212">
        <v>3</v>
      </c>
      <c r="S134" s="212">
        <v>14</v>
      </c>
      <c r="T134" s="212">
        <v>7</v>
      </c>
      <c r="U134" s="212">
        <v>7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213" t="s">
        <v>35</v>
      </c>
      <c r="L135" s="213" t="s">
        <v>34</v>
      </c>
      <c r="M135" s="213" t="s">
        <v>102</v>
      </c>
      <c r="N135" s="213" t="s">
        <v>35</v>
      </c>
      <c r="O135" s="213" t="s">
        <v>19</v>
      </c>
      <c r="Q135" s="212">
        <v>8</v>
      </c>
      <c r="R135" s="212">
        <v>9</v>
      </c>
      <c r="S135" s="212">
        <v>17</v>
      </c>
      <c r="T135" s="212">
        <v>8</v>
      </c>
      <c r="U135" s="212">
        <v>5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213" t="s">
        <v>104</v>
      </c>
      <c r="L136" s="213" t="s">
        <v>20</v>
      </c>
      <c r="M136" s="213" t="s">
        <v>90</v>
      </c>
      <c r="N136" s="213" t="s">
        <v>37</v>
      </c>
      <c r="O136" s="213" t="s">
        <v>37</v>
      </c>
      <c r="Q136" s="212">
        <v>6</v>
      </c>
      <c r="R136" s="212">
        <v>1</v>
      </c>
      <c r="S136" s="212">
        <v>16</v>
      </c>
      <c r="T136" s="212">
        <v>7</v>
      </c>
      <c r="U136" s="212">
        <v>7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213" t="s">
        <v>19</v>
      </c>
      <c r="L137" s="213" t="s">
        <v>37</v>
      </c>
      <c r="M137" s="213" t="s">
        <v>102</v>
      </c>
      <c r="N137" s="213" t="s">
        <v>35</v>
      </c>
      <c r="O137" s="213" t="s">
        <v>22</v>
      </c>
      <c r="Q137" s="212">
        <v>5</v>
      </c>
      <c r="R137" s="212">
        <v>7</v>
      </c>
      <c r="S137" s="212">
        <v>17</v>
      </c>
      <c r="T137" s="212">
        <v>8</v>
      </c>
      <c r="U137" s="212">
        <v>3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213" t="s">
        <v>35</v>
      </c>
      <c r="L138" s="213" t="s">
        <v>93</v>
      </c>
      <c r="M138" s="213" t="s">
        <v>89</v>
      </c>
      <c r="N138" s="213" t="s">
        <v>37</v>
      </c>
      <c r="O138" s="213" t="s">
        <v>104</v>
      </c>
      <c r="Q138" s="212">
        <v>8</v>
      </c>
      <c r="R138" s="212">
        <v>18</v>
      </c>
      <c r="S138" s="212">
        <v>14</v>
      </c>
      <c r="T138" s="212">
        <v>7</v>
      </c>
      <c r="U138" s="212">
        <v>6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213" t="s">
        <v>37</v>
      </c>
      <c r="L139" s="213" t="s">
        <v>35</v>
      </c>
      <c r="M139" s="213" t="s">
        <v>90</v>
      </c>
      <c r="N139" s="213" t="s">
        <v>35</v>
      </c>
      <c r="O139" s="213" t="s">
        <v>20</v>
      </c>
      <c r="Q139" s="212">
        <v>7</v>
      </c>
      <c r="R139" s="212">
        <v>8</v>
      </c>
      <c r="S139" s="212">
        <v>16</v>
      </c>
      <c r="T139" s="212">
        <v>8</v>
      </c>
      <c r="U139" s="212">
        <v>1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213" t="s">
        <v>19</v>
      </c>
      <c r="L140" s="213" t="s">
        <v>19</v>
      </c>
      <c r="M140" s="213" t="s">
        <v>87</v>
      </c>
      <c r="N140" s="213" t="s">
        <v>104</v>
      </c>
      <c r="O140" s="213" t="s">
        <v>37</v>
      </c>
      <c r="Q140" s="212">
        <v>5</v>
      </c>
      <c r="R140" s="212">
        <v>5</v>
      </c>
      <c r="S140" s="212">
        <v>12</v>
      </c>
      <c r="T140" s="212">
        <v>6</v>
      </c>
      <c r="U140" s="212">
        <v>7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213" t="s">
        <v>37</v>
      </c>
      <c r="L141" s="213" t="s">
        <v>37</v>
      </c>
      <c r="M141" s="213" t="s">
        <v>105</v>
      </c>
      <c r="N141" s="213" t="s">
        <v>37</v>
      </c>
      <c r="O141" s="213" t="s">
        <v>35</v>
      </c>
      <c r="Q141" s="212">
        <v>7</v>
      </c>
      <c r="R141" s="212">
        <v>7</v>
      </c>
      <c r="S141" s="212">
        <v>15</v>
      </c>
      <c r="T141" s="212">
        <v>7</v>
      </c>
      <c r="U141" s="212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213" t="s">
        <v>19</v>
      </c>
      <c r="L142" s="213" t="s">
        <v>22</v>
      </c>
      <c r="M142" s="213" t="s">
        <v>90</v>
      </c>
      <c r="N142" s="213" t="s">
        <v>19</v>
      </c>
      <c r="O142" s="213" t="s">
        <v>37</v>
      </c>
      <c r="Q142" s="212">
        <v>5</v>
      </c>
      <c r="R142" s="212">
        <v>3</v>
      </c>
      <c r="S142" s="212">
        <v>16</v>
      </c>
      <c r="T142" s="212">
        <v>5</v>
      </c>
      <c r="U142" s="212">
        <v>7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213" t="s">
        <v>36</v>
      </c>
      <c r="L143" s="213" t="s">
        <v>37</v>
      </c>
      <c r="M143" s="213" t="s">
        <v>86</v>
      </c>
      <c r="N143" s="213" t="s">
        <v>88</v>
      </c>
      <c r="O143" s="213" t="s">
        <v>36</v>
      </c>
      <c r="Q143" s="212">
        <v>10</v>
      </c>
      <c r="R143" s="212">
        <v>7</v>
      </c>
      <c r="S143" s="212">
        <v>11</v>
      </c>
      <c r="T143" s="212">
        <v>13</v>
      </c>
      <c r="U143" s="212">
        <v>10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213" t="s">
        <v>35</v>
      </c>
      <c r="L144" s="213" t="s">
        <v>18</v>
      </c>
      <c r="M144" s="213" t="s">
        <v>105</v>
      </c>
      <c r="N144" s="213" t="s">
        <v>104</v>
      </c>
      <c r="O144" s="213" t="s">
        <v>104</v>
      </c>
      <c r="Q144" s="212">
        <v>8</v>
      </c>
      <c r="R144" s="212">
        <v>4</v>
      </c>
      <c r="S144" s="212">
        <v>15</v>
      </c>
      <c r="T144" s="212">
        <v>6</v>
      </c>
      <c r="U144" s="212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213" t="s">
        <v>104</v>
      </c>
      <c r="L145" s="213" t="s">
        <v>37</v>
      </c>
      <c r="M145" s="213" t="s">
        <v>90</v>
      </c>
      <c r="N145" s="213" t="s">
        <v>37</v>
      </c>
      <c r="O145" s="213" t="s">
        <v>18</v>
      </c>
      <c r="Q145" s="212">
        <v>6</v>
      </c>
      <c r="R145" s="212">
        <v>7</v>
      </c>
      <c r="S145" s="212">
        <v>16</v>
      </c>
      <c r="T145" s="212">
        <v>7</v>
      </c>
      <c r="U145" s="212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213" t="s">
        <v>20</v>
      </c>
      <c r="L146" s="213" t="s">
        <v>89</v>
      </c>
      <c r="M146" s="213" t="s">
        <v>102</v>
      </c>
      <c r="N146" s="213" t="s">
        <v>95</v>
      </c>
      <c r="O146" s="213" t="s">
        <v>36</v>
      </c>
      <c r="Q146" s="212">
        <v>1</v>
      </c>
      <c r="R146" s="212">
        <v>14</v>
      </c>
      <c r="S146" s="212">
        <v>17</v>
      </c>
      <c r="T146" s="212">
        <v>19</v>
      </c>
      <c r="U146" s="212">
        <v>10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213" t="s">
        <v>19</v>
      </c>
      <c r="L147" s="213" t="s">
        <v>37</v>
      </c>
      <c r="M147" s="213" t="s">
        <v>90</v>
      </c>
      <c r="N147" s="213" t="s">
        <v>104</v>
      </c>
      <c r="O147" s="213" t="s">
        <v>104</v>
      </c>
      <c r="Q147" s="212">
        <v>5</v>
      </c>
      <c r="R147" s="212">
        <v>7</v>
      </c>
      <c r="S147" s="212">
        <v>16</v>
      </c>
      <c r="T147" s="212">
        <v>6</v>
      </c>
      <c r="U147" s="212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213" t="s">
        <v>21</v>
      </c>
      <c r="L148" s="213" t="s">
        <v>18</v>
      </c>
      <c r="M148" s="213" t="s">
        <v>102</v>
      </c>
      <c r="N148" s="213" t="s">
        <v>36</v>
      </c>
      <c r="O148" s="213" t="s">
        <v>18</v>
      </c>
      <c r="Q148" s="212">
        <v>2</v>
      </c>
      <c r="R148" s="212">
        <v>4</v>
      </c>
      <c r="S148" s="212">
        <v>17</v>
      </c>
      <c r="T148" s="212">
        <v>10</v>
      </c>
      <c r="U148" s="212">
        <v>4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213" t="s">
        <v>35</v>
      </c>
      <c r="L149" s="213" t="s">
        <v>37</v>
      </c>
      <c r="M149" s="213" t="s">
        <v>90</v>
      </c>
      <c r="N149" s="213" t="s">
        <v>37</v>
      </c>
      <c r="O149" s="213" t="s">
        <v>35</v>
      </c>
      <c r="Q149" s="212">
        <v>8</v>
      </c>
      <c r="R149" s="212">
        <v>7</v>
      </c>
      <c r="S149" s="212">
        <v>16</v>
      </c>
      <c r="T149" s="212">
        <v>7</v>
      </c>
      <c r="U149" s="212">
        <v>8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213" t="s">
        <v>104</v>
      </c>
      <c r="L150" s="213" t="s">
        <v>19</v>
      </c>
      <c r="M150" s="213" t="s">
        <v>89</v>
      </c>
      <c r="N150" s="213" t="s">
        <v>104</v>
      </c>
      <c r="O150" s="213" t="s">
        <v>19</v>
      </c>
      <c r="Q150" s="212">
        <v>6</v>
      </c>
      <c r="R150" s="212">
        <v>5</v>
      </c>
      <c r="S150" s="212">
        <v>14</v>
      </c>
      <c r="T150" s="212">
        <v>6</v>
      </c>
      <c r="U150" s="212">
        <v>5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213" t="s">
        <v>37</v>
      </c>
      <c r="L151" s="213" t="s">
        <v>37</v>
      </c>
      <c r="M151" s="213" t="s">
        <v>90</v>
      </c>
      <c r="N151" s="213" t="s">
        <v>35</v>
      </c>
      <c r="O151" s="213" t="s">
        <v>35</v>
      </c>
      <c r="Q151" s="212">
        <v>7</v>
      </c>
      <c r="R151" s="212">
        <v>7</v>
      </c>
      <c r="S151" s="212">
        <v>16</v>
      </c>
      <c r="T151" s="212">
        <v>8</v>
      </c>
      <c r="U151" s="212">
        <v>8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213" t="s">
        <v>104</v>
      </c>
      <c r="L152" s="213" t="s">
        <v>19</v>
      </c>
      <c r="M152" s="213" t="s">
        <v>95</v>
      </c>
      <c r="N152" s="213" t="s">
        <v>37</v>
      </c>
      <c r="O152" s="213" t="s">
        <v>37</v>
      </c>
      <c r="Q152" s="212">
        <v>6</v>
      </c>
      <c r="R152" s="212">
        <v>5</v>
      </c>
      <c r="S152" s="212">
        <v>19</v>
      </c>
      <c r="T152" s="212">
        <v>7</v>
      </c>
      <c r="U152" s="212">
        <v>7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213" t="s">
        <v>19</v>
      </c>
      <c r="L153" s="213" t="s">
        <v>34</v>
      </c>
      <c r="M153" s="213" t="s">
        <v>105</v>
      </c>
      <c r="N153" s="213" t="s">
        <v>104</v>
      </c>
      <c r="O153" s="213" t="s">
        <v>19</v>
      </c>
      <c r="Q153" s="212">
        <v>5</v>
      </c>
      <c r="R153" s="212">
        <v>9</v>
      </c>
      <c r="S153" s="212">
        <v>15</v>
      </c>
      <c r="T153" s="212">
        <v>6</v>
      </c>
      <c r="U153" s="212">
        <v>5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213" t="s">
        <v>37</v>
      </c>
      <c r="L154" s="213" t="s">
        <v>21</v>
      </c>
      <c r="M154" s="213" t="s">
        <v>95</v>
      </c>
      <c r="N154" s="213" t="s">
        <v>102</v>
      </c>
      <c r="O154" s="213" t="s">
        <v>35</v>
      </c>
      <c r="Q154" s="212">
        <v>7</v>
      </c>
      <c r="R154" s="212">
        <v>2</v>
      </c>
      <c r="S154" s="212">
        <v>19</v>
      </c>
      <c r="T154" s="212">
        <v>17</v>
      </c>
      <c r="U154" s="212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213" t="s">
        <v>19</v>
      </c>
      <c r="L155" s="213" t="s">
        <v>22</v>
      </c>
      <c r="M155" s="213" t="s">
        <v>90</v>
      </c>
      <c r="N155" s="213" t="s">
        <v>18</v>
      </c>
      <c r="O155" s="213" t="s">
        <v>19</v>
      </c>
      <c r="Q155" s="212">
        <v>5</v>
      </c>
      <c r="R155" s="212">
        <v>3</v>
      </c>
      <c r="S155" s="212">
        <v>16</v>
      </c>
      <c r="T155" s="212">
        <v>4</v>
      </c>
      <c r="U155" s="212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213" t="s">
        <v>35</v>
      </c>
      <c r="L156" s="213" t="s">
        <v>104</v>
      </c>
      <c r="M156" s="213" t="s">
        <v>105</v>
      </c>
      <c r="N156" s="213" t="s">
        <v>19</v>
      </c>
      <c r="O156" s="213" t="s">
        <v>35</v>
      </c>
      <c r="Q156" s="212">
        <v>8</v>
      </c>
      <c r="R156" s="212">
        <v>6</v>
      </c>
      <c r="S156" s="212">
        <v>15</v>
      </c>
      <c r="T156" s="212">
        <v>5</v>
      </c>
      <c r="U156" s="212">
        <v>8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213" t="s">
        <v>21</v>
      </c>
      <c r="L157" s="213" t="s">
        <v>36</v>
      </c>
      <c r="M157" s="213" t="s">
        <v>88</v>
      </c>
      <c r="N157" s="213" t="s">
        <v>34</v>
      </c>
      <c r="O157" s="213" t="s">
        <v>20</v>
      </c>
      <c r="Q157" s="212">
        <v>2</v>
      </c>
      <c r="R157" s="212">
        <v>10</v>
      </c>
      <c r="S157" s="212">
        <v>13</v>
      </c>
      <c r="T157" s="212">
        <v>9</v>
      </c>
      <c r="U157" s="212">
        <v>1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213" t="s">
        <v>19</v>
      </c>
      <c r="L158" s="213" t="s">
        <v>35</v>
      </c>
      <c r="M158" s="213" t="s">
        <v>90</v>
      </c>
      <c r="N158" s="213" t="s">
        <v>35</v>
      </c>
      <c r="O158" s="213" t="s">
        <v>37</v>
      </c>
      <c r="Q158" s="212">
        <v>5</v>
      </c>
      <c r="R158" s="212">
        <v>8</v>
      </c>
      <c r="S158" s="212">
        <v>16</v>
      </c>
      <c r="T158" s="212">
        <v>8</v>
      </c>
      <c r="U158" s="212">
        <v>7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213" t="s">
        <v>37</v>
      </c>
      <c r="L159" s="213" t="s">
        <v>104</v>
      </c>
      <c r="M159" s="213" t="s">
        <v>89</v>
      </c>
      <c r="N159" s="213" t="s">
        <v>104</v>
      </c>
      <c r="O159" s="213" t="s">
        <v>18</v>
      </c>
      <c r="Q159" s="212">
        <v>7</v>
      </c>
      <c r="R159" s="212">
        <v>6</v>
      </c>
      <c r="S159" s="212">
        <v>14</v>
      </c>
      <c r="T159" s="212">
        <v>6</v>
      </c>
      <c r="U159" s="212">
        <v>4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213" t="s">
        <v>18</v>
      </c>
      <c r="L160" s="213" t="s">
        <v>35</v>
      </c>
      <c r="M160" s="213" t="s">
        <v>105</v>
      </c>
      <c r="N160" s="213" t="s">
        <v>35</v>
      </c>
      <c r="O160" s="213" t="s">
        <v>19</v>
      </c>
      <c r="Q160" s="212">
        <v>4</v>
      </c>
      <c r="R160" s="212">
        <v>8</v>
      </c>
      <c r="S160" s="212">
        <v>15</v>
      </c>
      <c r="T160" s="212">
        <v>8</v>
      </c>
      <c r="U160" s="212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213" t="s">
        <v>19</v>
      </c>
      <c r="L161" s="213" t="s">
        <v>18</v>
      </c>
      <c r="M161" s="213" t="s">
        <v>102</v>
      </c>
      <c r="N161" s="213" t="s">
        <v>36</v>
      </c>
      <c r="O161" s="213" t="s">
        <v>37</v>
      </c>
      <c r="Q161" s="212">
        <v>5</v>
      </c>
      <c r="R161" s="212">
        <v>4</v>
      </c>
      <c r="S161" s="212">
        <v>17</v>
      </c>
      <c r="T161" s="212">
        <v>10</v>
      </c>
      <c r="U161" s="212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213" t="s">
        <v>37</v>
      </c>
      <c r="L162" s="213" t="s">
        <v>35</v>
      </c>
      <c r="M162" s="213" t="s">
        <v>105</v>
      </c>
      <c r="N162" s="213" t="s">
        <v>35</v>
      </c>
      <c r="O162" s="213" t="s">
        <v>35</v>
      </c>
      <c r="Q162" s="212">
        <v>7</v>
      </c>
      <c r="R162" s="212">
        <v>8</v>
      </c>
      <c r="S162" s="212">
        <v>15</v>
      </c>
      <c r="T162" s="212">
        <v>8</v>
      </c>
      <c r="U162" s="212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213" t="s">
        <v>20</v>
      </c>
      <c r="L163" s="213" t="s">
        <v>104</v>
      </c>
      <c r="M163" s="213" t="s">
        <v>90</v>
      </c>
      <c r="N163" s="213" t="s">
        <v>37</v>
      </c>
      <c r="O163" s="213" t="s">
        <v>37</v>
      </c>
      <c r="Q163" s="212">
        <v>1</v>
      </c>
      <c r="R163" s="212">
        <v>6</v>
      </c>
      <c r="S163" s="212">
        <v>16</v>
      </c>
      <c r="T163" s="212">
        <v>7</v>
      </c>
      <c r="U163" s="212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213" t="s">
        <v>37</v>
      </c>
      <c r="L164" s="213" t="s">
        <v>86</v>
      </c>
      <c r="M164" s="213" t="s">
        <v>105</v>
      </c>
      <c r="N164" s="213" t="s">
        <v>90</v>
      </c>
      <c r="O164" s="213" t="s">
        <v>104</v>
      </c>
      <c r="Q164" s="212">
        <v>7</v>
      </c>
      <c r="R164" s="212">
        <v>11</v>
      </c>
      <c r="S164" s="212">
        <v>15</v>
      </c>
      <c r="T164" s="212">
        <v>16</v>
      </c>
      <c r="U164" s="212">
        <v>6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213" t="s">
        <v>35</v>
      </c>
      <c r="L165" s="213" t="s">
        <v>102</v>
      </c>
      <c r="M165" s="213" t="s">
        <v>89</v>
      </c>
      <c r="N165" s="213" t="s">
        <v>89</v>
      </c>
      <c r="O165" s="213" t="s">
        <v>34</v>
      </c>
      <c r="Q165" s="212">
        <v>8</v>
      </c>
      <c r="R165" s="212">
        <v>17</v>
      </c>
      <c r="S165" s="212">
        <v>14</v>
      </c>
      <c r="T165" s="212">
        <v>14</v>
      </c>
      <c r="U165" s="212">
        <v>9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213" t="s">
        <v>37</v>
      </c>
      <c r="L166" s="213" t="s">
        <v>89</v>
      </c>
      <c r="M166" s="213" t="s">
        <v>90</v>
      </c>
      <c r="N166" s="213" t="s">
        <v>104</v>
      </c>
      <c r="O166" s="213" t="s">
        <v>19</v>
      </c>
      <c r="Q166" s="212">
        <v>7</v>
      </c>
      <c r="R166" s="212">
        <v>14</v>
      </c>
      <c r="S166" s="212">
        <v>16</v>
      </c>
      <c r="T166" s="212">
        <v>6</v>
      </c>
      <c r="U166" s="212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213" t="s">
        <v>104</v>
      </c>
      <c r="L167" s="213" t="s">
        <v>21</v>
      </c>
      <c r="M167" s="213" t="s">
        <v>105</v>
      </c>
      <c r="N167" s="213" t="s">
        <v>89</v>
      </c>
      <c r="O167" s="213" t="s">
        <v>34</v>
      </c>
      <c r="Q167" s="212">
        <v>6</v>
      </c>
      <c r="R167" s="212">
        <v>2</v>
      </c>
      <c r="S167" s="212">
        <v>15</v>
      </c>
      <c r="T167" s="212">
        <v>14</v>
      </c>
      <c r="U167" s="212">
        <v>9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213" t="s">
        <v>37</v>
      </c>
      <c r="L168" s="213" t="s">
        <v>19</v>
      </c>
      <c r="M168" s="213" t="s">
        <v>93</v>
      </c>
      <c r="N168" s="213" t="s">
        <v>35</v>
      </c>
      <c r="O168" s="213" t="s">
        <v>19</v>
      </c>
      <c r="Q168" s="212">
        <v>7</v>
      </c>
      <c r="R168" s="212">
        <v>5</v>
      </c>
      <c r="S168" s="212">
        <v>18</v>
      </c>
      <c r="T168" s="212">
        <v>8</v>
      </c>
      <c r="U168" s="212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213" t="s">
        <v>35</v>
      </c>
      <c r="L169" s="213" t="s">
        <v>35</v>
      </c>
      <c r="M169" s="213" t="s">
        <v>102</v>
      </c>
      <c r="N169" s="213" t="s">
        <v>19</v>
      </c>
      <c r="O169" s="213" t="s">
        <v>104</v>
      </c>
      <c r="Q169" s="212">
        <v>8</v>
      </c>
      <c r="R169" s="212">
        <v>8</v>
      </c>
      <c r="S169" s="212">
        <v>17</v>
      </c>
      <c r="T169" s="212">
        <v>5</v>
      </c>
      <c r="U169" s="212">
        <v>6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213" t="s">
        <v>37</v>
      </c>
      <c r="L170" s="213" t="s">
        <v>19</v>
      </c>
      <c r="M170" s="213" t="s">
        <v>90</v>
      </c>
      <c r="N170" s="213" t="s">
        <v>37</v>
      </c>
      <c r="O170" s="213" t="s">
        <v>19</v>
      </c>
      <c r="Q170" s="212">
        <v>7</v>
      </c>
      <c r="R170" s="212">
        <v>5</v>
      </c>
      <c r="S170" s="212">
        <v>16</v>
      </c>
      <c r="T170" s="212">
        <v>7</v>
      </c>
      <c r="U170" s="212">
        <v>5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213" t="s">
        <v>36</v>
      </c>
      <c r="L171" s="213" t="s">
        <v>35</v>
      </c>
      <c r="M171" s="213" t="s">
        <v>95</v>
      </c>
      <c r="N171" s="213" t="s">
        <v>35</v>
      </c>
      <c r="O171" s="213" t="s">
        <v>18</v>
      </c>
      <c r="Q171" s="212">
        <v>10</v>
      </c>
      <c r="R171" s="212">
        <v>8</v>
      </c>
      <c r="S171" s="212">
        <v>19</v>
      </c>
      <c r="T171" s="212">
        <v>8</v>
      </c>
      <c r="U171" s="212">
        <v>4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213" t="s">
        <v>35</v>
      </c>
      <c r="L172" s="213" t="s">
        <v>22</v>
      </c>
      <c r="M172" s="213" t="s">
        <v>90</v>
      </c>
      <c r="N172" s="213" t="s">
        <v>104</v>
      </c>
      <c r="O172" s="213" t="s">
        <v>35</v>
      </c>
      <c r="Q172" s="212">
        <v>8</v>
      </c>
      <c r="R172" s="212">
        <v>3</v>
      </c>
      <c r="S172" s="212">
        <v>16</v>
      </c>
      <c r="T172" s="212">
        <v>6</v>
      </c>
      <c r="U172" s="212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213" t="s">
        <v>104</v>
      </c>
      <c r="L173" s="213" t="s">
        <v>18</v>
      </c>
      <c r="M173" s="213" t="s">
        <v>105</v>
      </c>
      <c r="N173" s="213" t="s">
        <v>19</v>
      </c>
      <c r="O173" s="213" t="s">
        <v>19</v>
      </c>
      <c r="Q173" s="212">
        <v>6</v>
      </c>
      <c r="R173" s="212">
        <v>4</v>
      </c>
      <c r="S173" s="212">
        <v>15</v>
      </c>
      <c r="T173" s="212">
        <v>5</v>
      </c>
      <c r="U173" s="212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213" t="s">
        <v>19</v>
      </c>
      <c r="L174" s="213" t="s">
        <v>19</v>
      </c>
      <c r="M174" s="213" t="s">
        <v>102</v>
      </c>
      <c r="N174" s="213" t="s">
        <v>20</v>
      </c>
      <c r="O174" s="213" t="s">
        <v>35</v>
      </c>
      <c r="Q174" s="212">
        <v>5</v>
      </c>
      <c r="R174" s="212">
        <v>5</v>
      </c>
      <c r="S174" s="212">
        <v>17</v>
      </c>
      <c r="T174" s="212">
        <v>1</v>
      </c>
      <c r="U174" s="212">
        <v>8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213" t="s">
        <v>35</v>
      </c>
      <c r="L175" s="213" t="s">
        <v>18</v>
      </c>
      <c r="M175" s="213" t="s">
        <v>89</v>
      </c>
      <c r="N175" s="213" t="s">
        <v>21</v>
      </c>
      <c r="O175" s="213" t="s">
        <v>37</v>
      </c>
      <c r="Q175" s="212">
        <v>8</v>
      </c>
      <c r="R175" s="212">
        <v>4</v>
      </c>
      <c r="S175" s="212">
        <v>14</v>
      </c>
      <c r="T175" s="212">
        <v>2</v>
      </c>
      <c r="U175" s="212">
        <v>7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213" t="s">
        <v>104</v>
      </c>
      <c r="L176" s="213" t="s">
        <v>90</v>
      </c>
      <c r="M176" s="213" t="s">
        <v>90</v>
      </c>
      <c r="N176" s="213" t="s">
        <v>104</v>
      </c>
      <c r="O176" s="213" t="s">
        <v>104</v>
      </c>
      <c r="Q176" s="212">
        <v>6</v>
      </c>
      <c r="R176" s="212">
        <v>16</v>
      </c>
      <c r="S176" s="212">
        <v>16</v>
      </c>
      <c r="T176" s="212">
        <v>6</v>
      </c>
      <c r="U176" s="212">
        <v>6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213" t="s">
        <v>34</v>
      </c>
      <c r="L177" s="213" t="s">
        <v>37</v>
      </c>
      <c r="M177" s="213" t="s">
        <v>105</v>
      </c>
      <c r="N177" s="213" t="s">
        <v>89</v>
      </c>
      <c r="O177" s="213" t="s">
        <v>20</v>
      </c>
      <c r="Q177" s="212">
        <v>9</v>
      </c>
      <c r="R177" s="212">
        <v>7</v>
      </c>
      <c r="S177" s="212">
        <v>15</v>
      </c>
      <c r="T177" s="212">
        <v>14</v>
      </c>
      <c r="U177" s="212">
        <v>1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213" t="s">
        <v>37</v>
      </c>
      <c r="L178" s="213" t="s">
        <v>19</v>
      </c>
      <c r="M178" s="213" t="s">
        <v>102</v>
      </c>
      <c r="N178" s="213" t="s">
        <v>104</v>
      </c>
      <c r="O178" s="213" t="s">
        <v>22</v>
      </c>
      <c r="Q178" s="212">
        <v>7</v>
      </c>
      <c r="R178" s="212">
        <v>5</v>
      </c>
      <c r="S178" s="212">
        <v>17</v>
      </c>
      <c r="T178" s="212">
        <v>6</v>
      </c>
      <c r="U178" s="212">
        <v>3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213" t="s">
        <v>19</v>
      </c>
      <c r="L179" s="213" t="s">
        <v>18</v>
      </c>
      <c r="M179" s="213" t="s">
        <v>90</v>
      </c>
      <c r="N179" s="213" t="s">
        <v>35</v>
      </c>
      <c r="O179" s="213" t="s">
        <v>35</v>
      </c>
      <c r="Q179" s="212">
        <v>5</v>
      </c>
      <c r="R179" s="212">
        <v>4</v>
      </c>
      <c r="S179" s="212">
        <v>16</v>
      </c>
      <c r="T179" s="212">
        <v>8</v>
      </c>
      <c r="U179" s="212">
        <v>8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213" t="s">
        <v>18</v>
      </c>
      <c r="L180" s="213" t="s">
        <v>37</v>
      </c>
      <c r="M180" s="213" t="s">
        <v>105</v>
      </c>
      <c r="N180" s="213" t="s">
        <v>37</v>
      </c>
      <c r="O180" s="213" t="s">
        <v>104</v>
      </c>
      <c r="Q180" s="212">
        <v>4</v>
      </c>
      <c r="R180" s="212">
        <v>7</v>
      </c>
      <c r="S180" s="212">
        <v>15</v>
      </c>
      <c r="T180" s="212">
        <v>7</v>
      </c>
      <c r="U180" s="212">
        <v>6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213" t="s">
        <v>104</v>
      </c>
      <c r="L181" s="213" t="s">
        <v>104</v>
      </c>
      <c r="M181" s="213" t="s">
        <v>102</v>
      </c>
      <c r="N181" s="213" t="s">
        <v>90</v>
      </c>
      <c r="O181" s="213" t="s">
        <v>35</v>
      </c>
      <c r="Q181" s="212">
        <v>6</v>
      </c>
      <c r="R181" s="212">
        <v>6</v>
      </c>
      <c r="S181" s="212">
        <v>17</v>
      </c>
      <c r="T181" s="212">
        <v>16</v>
      </c>
      <c r="U181" s="212">
        <v>8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213" t="s">
        <v>35</v>
      </c>
      <c r="L182" s="213" t="s">
        <v>19</v>
      </c>
      <c r="M182" s="213" t="s">
        <v>105</v>
      </c>
      <c r="N182" s="213" t="s">
        <v>35</v>
      </c>
      <c r="O182" s="213" t="s">
        <v>21</v>
      </c>
      <c r="Q182" s="212">
        <v>8</v>
      </c>
      <c r="R182" s="212">
        <v>5</v>
      </c>
      <c r="S182" s="212">
        <v>15</v>
      </c>
      <c r="T182" s="212">
        <v>8</v>
      </c>
      <c r="U182" s="212">
        <v>2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213" t="s">
        <v>37</v>
      </c>
      <c r="L183" s="213" t="s">
        <v>37</v>
      </c>
      <c r="M183" s="213" t="s">
        <v>102</v>
      </c>
      <c r="N183" s="213" t="s">
        <v>37</v>
      </c>
      <c r="O183" s="213" t="s">
        <v>104</v>
      </c>
      <c r="Q183" s="212">
        <v>7</v>
      </c>
      <c r="R183" s="212">
        <v>7</v>
      </c>
      <c r="S183" s="212">
        <v>17</v>
      </c>
      <c r="T183" s="212">
        <v>7</v>
      </c>
      <c r="U183" s="212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213" t="s">
        <v>104</v>
      </c>
      <c r="L184" s="213" t="s">
        <v>104</v>
      </c>
      <c r="M184" s="213" t="s">
        <v>95</v>
      </c>
      <c r="N184" s="213" t="s">
        <v>19</v>
      </c>
      <c r="O184" s="213" t="s">
        <v>19</v>
      </c>
      <c r="Q184" s="212">
        <v>6</v>
      </c>
      <c r="R184" s="212">
        <v>6</v>
      </c>
      <c r="S184" s="212">
        <v>19</v>
      </c>
      <c r="T184" s="212">
        <v>5</v>
      </c>
      <c r="U184" s="212">
        <v>5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213" t="s">
        <v>37</v>
      </c>
      <c r="L185" s="213" t="s">
        <v>37</v>
      </c>
      <c r="M185" s="213" t="s">
        <v>105</v>
      </c>
      <c r="N185" s="213" t="s">
        <v>102</v>
      </c>
      <c r="O185" s="213" t="s">
        <v>37</v>
      </c>
      <c r="Q185" s="212">
        <v>7</v>
      </c>
      <c r="R185" s="212">
        <v>7</v>
      </c>
      <c r="S185" s="212">
        <v>15</v>
      </c>
      <c r="T185" s="212">
        <v>17</v>
      </c>
      <c r="U185" s="212">
        <v>7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213" t="s">
        <v>104</v>
      </c>
      <c r="L186" s="213" t="s">
        <v>34</v>
      </c>
      <c r="M186" s="213" t="s">
        <v>89</v>
      </c>
      <c r="N186" s="213" t="s">
        <v>35</v>
      </c>
      <c r="O186" s="213" t="s">
        <v>104</v>
      </c>
      <c r="Q186" s="212">
        <v>6</v>
      </c>
      <c r="R186" s="212">
        <v>9</v>
      </c>
      <c r="S186" s="212">
        <v>14</v>
      </c>
      <c r="T186" s="212">
        <v>8</v>
      </c>
      <c r="U186" s="212">
        <v>6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213" t="s">
        <v>35</v>
      </c>
      <c r="L187" s="213" t="s">
        <v>105</v>
      </c>
      <c r="M187" s="213" t="s">
        <v>102</v>
      </c>
      <c r="N187" s="213" t="s">
        <v>20</v>
      </c>
      <c r="O187" s="213" t="s">
        <v>36</v>
      </c>
      <c r="Q187" s="212">
        <v>8</v>
      </c>
      <c r="R187" s="212">
        <v>15</v>
      </c>
      <c r="S187" s="212">
        <v>17</v>
      </c>
      <c r="T187" s="212">
        <v>1</v>
      </c>
      <c r="U187" s="212">
        <v>10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213" t="s">
        <v>37</v>
      </c>
      <c r="L188" s="213" t="s">
        <v>34</v>
      </c>
      <c r="M188" s="213" t="s">
        <v>89</v>
      </c>
      <c r="N188" s="213" t="s">
        <v>104</v>
      </c>
      <c r="O188" s="213" t="s">
        <v>19</v>
      </c>
      <c r="Q188" s="212">
        <v>7</v>
      </c>
      <c r="R188" s="212">
        <v>9</v>
      </c>
      <c r="S188" s="212">
        <v>14</v>
      </c>
      <c r="T188" s="212">
        <v>6</v>
      </c>
      <c r="U188" s="212">
        <v>5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213" t="s">
        <v>35</v>
      </c>
      <c r="L189" s="213" t="s">
        <v>19</v>
      </c>
      <c r="M189" s="213" t="s">
        <v>102</v>
      </c>
      <c r="N189" s="213" t="s">
        <v>18</v>
      </c>
      <c r="O189" s="213" t="s">
        <v>34</v>
      </c>
      <c r="Q189" s="212">
        <v>8</v>
      </c>
      <c r="R189" s="212">
        <v>5</v>
      </c>
      <c r="S189" s="212">
        <v>17</v>
      </c>
      <c r="T189" s="212">
        <v>4</v>
      </c>
      <c r="U189" s="212">
        <v>9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213" t="s">
        <v>18</v>
      </c>
      <c r="L190" s="213" t="s">
        <v>105</v>
      </c>
      <c r="M190" s="213" t="s">
        <v>105</v>
      </c>
      <c r="N190" s="213" t="s">
        <v>104</v>
      </c>
      <c r="O190" s="213" t="s">
        <v>20</v>
      </c>
      <c r="Q190" s="212">
        <v>4</v>
      </c>
      <c r="R190" s="212">
        <v>15</v>
      </c>
      <c r="S190" s="212">
        <v>15</v>
      </c>
      <c r="T190" s="212">
        <v>6</v>
      </c>
      <c r="U190" s="212">
        <v>1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213" t="s">
        <v>35</v>
      </c>
      <c r="L191" s="213" t="s">
        <v>104</v>
      </c>
      <c r="M191" s="213" t="s">
        <v>89</v>
      </c>
      <c r="N191" s="213" t="s">
        <v>37</v>
      </c>
      <c r="O191" s="213" t="s">
        <v>104</v>
      </c>
      <c r="Q191" s="212">
        <v>8</v>
      </c>
      <c r="R191" s="212">
        <v>6</v>
      </c>
      <c r="S191" s="212">
        <v>14</v>
      </c>
      <c r="T191" s="212">
        <v>7</v>
      </c>
      <c r="U191" s="212">
        <v>6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213" t="s">
        <v>37</v>
      </c>
      <c r="L192" s="213" t="s">
        <v>19</v>
      </c>
      <c r="M192" s="213" t="s">
        <v>90</v>
      </c>
      <c r="N192" s="213" t="s">
        <v>90</v>
      </c>
      <c r="O192" s="213" t="s">
        <v>35</v>
      </c>
      <c r="Q192" s="212">
        <v>7</v>
      </c>
      <c r="R192" s="212">
        <v>5</v>
      </c>
      <c r="S192" s="212">
        <v>16</v>
      </c>
      <c r="T192" s="212">
        <v>16</v>
      </c>
      <c r="U192" s="212">
        <v>8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213" t="s">
        <v>104</v>
      </c>
      <c r="L193" s="213" t="s">
        <v>35</v>
      </c>
      <c r="M193" s="213" t="s">
        <v>89</v>
      </c>
      <c r="N193" s="213" t="s">
        <v>19</v>
      </c>
      <c r="O193" s="213" t="s">
        <v>104</v>
      </c>
      <c r="Q193" s="212">
        <v>6</v>
      </c>
      <c r="R193" s="212">
        <v>8</v>
      </c>
      <c r="S193" s="212">
        <v>14</v>
      </c>
      <c r="T193" s="212">
        <v>5</v>
      </c>
      <c r="U193" s="212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213" t="s">
        <v>35</v>
      </c>
      <c r="L194" s="213" t="s">
        <v>88</v>
      </c>
      <c r="M194" s="213" t="s">
        <v>90</v>
      </c>
      <c r="N194" s="213" t="s">
        <v>35</v>
      </c>
      <c r="O194" s="213" t="s">
        <v>35</v>
      </c>
      <c r="Q194" s="212">
        <v>8</v>
      </c>
      <c r="R194" s="212">
        <v>13</v>
      </c>
      <c r="S194" s="212">
        <v>16</v>
      </c>
      <c r="T194" s="212">
        <v>8</v>
      </c>
      <c r="U194" s="212">
        <v>8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213" t="s">
        <v>19</v>
      </c>
      <c r="L195" s="213" t="s">
        <v>37</v>
      </c>
      <c r="M195" s="213" t="s">
        <v>88</v>
      </c>
      <c r="N195" s="213" t="s">
        <v>19</v>
      </c>
      <c r="O195" s="213" t="s">
        <v>104</v>
      </c>
      <c r="Q195" s="212">
        <v>5</v>
      </c>
      <c r="R195" s="212">
        <v>7</v>
      </c>
      <c r="S195" s="212">
        <v>13</v>
      </c>
      <c r="T195" s="212">
        <v>5</v>
      </c>
      <c r="U195" s="212">
        <v>6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213" t="s">
        <v>104</v>
      </c>
      <c r="L196" s="213" t="s">
        <v>19</v>
      </c>
      <c r="M196" s="213" t="s">
        <v>90</v>
      </c>
      <c r="N196" s="213" t="s">
        <v>22</v>
      </c>
      <c r="O196" s="213" t="s">
        <v>18</v>
      </c>
      <c r="Q196" s="212">
        <v>6</v>
      </c>
      <c r="R196" s="212">
        <v>5</v>
      </c>
      <c r="S196" s="212">
        <v>16</v>
      </c>
      <c r="T196" s="212">
        <v>3</v>
      </c>
      <c r="U196" s="212">
        <v>4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213" t="s">
        <v>35</v>
      </c>
      <c r="L197" s="213" t="s">
        <v>35</v>
      </c>
      <c r="M197" s="213" t="s">
        <v>102</v>
      </c>
      <c r="N197" s="213" t="s">
        <v>104</v>
      </c>
      <c r="O197" s="213" t="s">
        <v>37</v>
      </c>
      <c r="Q197" s="212">
        <v>8</v>
      </c>
      <c r="R197" s="212">
        <v>8</v>
      </c>
      <c r="S197" s="212">
        <v>17</v>
      </c>
      <c r="T197" s="212">
        <v>6</v>
      </c>
      <c r="U197" s="212">
        <v>7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213" t="s">
        <v>104</v>
      </c>
      <c r="L198" s="213" t="s">
        <v>34</v>
      </c>
      <c r="M198" s="213" t="s">
        <v>90</v>
      </c>
      <c r="N198" s="213" t="s">
        <v>35</v>
      </c>
      <c r="O198" s="213" t="s">
        <v>104</v>
      </c>
      <c r="Q198" s="212">
        <v>6</v>
      </c>
      <c r="R198" s="212">
        <v>9</v>
      </c>
      <c r="S198" s="212">
        <v>16</v>
      </c>
      <c r="T198" s="212">
        <v>8</v>
      </c>
      <c r="U198" s="212">
        <v>6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213" t="s">
        <v>37</v>
      </c>
      <c r="L199" s="213" t="s">
        <v>19</v>
      </c>
      <c r="M199" s="213" t="s">
        <v>102</v>
      </c>
      <c r="N199" s="213" t="s">
        <v>19</v>
      </c>
      <c r="O199" s="213" t="s">
        <v>37</v>
      </c>
      <c r="Q199" s="212">
        <v>7</v>
      </c>
      <c r="R199" s="212">
        <v>5</v>
      </c>
      <c r="S199" s="212">
        <v>17</v>
      </c>
      <c r="T199" s="212">
        <v>5</v>
      </c>
      <c r="U199" s="212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213" t="s">
        <v>19</v>
      </c>
      <c r="L200" s="213" t="s">
        <v>104</v>
      </c>
      <c r="M200" s="213" t="s">
        <v>95</v>
      </c>
      <c r="N200" s="213" t="s">
        <v>104</v>
      </c>
      <c r="O200" s="213" t="s">
        <v>35</v>
      </c>
      <c r="Q200" s="212">
        <v>5</v>
      </c>
      <c r="R200" s="212">
        <v>6</v>
      </c>
      <c r="S200" s="212">
        <v>19</v>
      </c>
      <c r="T200" s="212">
        <v>6</v>
      </c>
      <c r="U200" s="212">
        <v>8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213" t="s">
        <v>104</v>
      </c>
      <c r="L201" s="213" t="s">
        <v>18</v>
      </c>
      <c r="M201" s="213" t="s">
        <v>90</v>
      </c>
      <c r="N201" s="213" t="s">
        <v>19</v>
      </c>
      <c r="O201" s="213" t="s">
        <v>37</v>
      </c>
      <c r="Q201" s="212">
        <v>6</v>
      </c>
      <c r="R201" s="212">
        <v>4</v>
      </c>
      <c r="S201" s="212">
        <v>16</v>
      </c>
      <c r="T201" s="212">
        <v>5</v>
      </c>
      <c r="U201" s="212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213" t="s">
        <v>37</v>
      </c>
      <c r="L202" s="213" t="s">
        <v>34</v>
      </c>
      <c r="M202" s="213" t="s">
        <v>102</v>
      </c>
      <c r="N202" s="213" t="s">
        <v>34</v>
      </c>
      <c r="O202" s="213" t="s">
        <v>19</v>
      </c>
      <c r="Q202" s="212">
        <v>7</v>
      </c>
      <c r="R202" s="212">
        <v>9</v>
      </c>
      <c r="S202" s="212">
        <v>17</v>
      </c>
      <c r="T202" s="212">
        <v>9</v>
      </c>
      <c r="U202" s="212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213" t="s">
        <v>35</v>
      </c>
      <c r="L203" s="213" t="s">
        <v>37</v>
      </c>
      <c r="M203" s="213" t="s">
        <v>105</v>
      </c>
      <c r="N203" s="213" t="s">
        <v>37</v>
      </c>
      <c r="O203" s="213" t="s">
        <v>35</v>
      </c>
      <c r="Q203" s="212">
        <v>8</v>
      </c>
      <c r="R203" s="212">
        <v>7</v>
      </c>
      <c r="S203" s="212">
        <v>15</v>
      </c>
      <c r="T203" s="212">
        <v>7</v>
      </c>
      <c r="U203" s="212">
        <v>8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213"/>
      <c r="L204" s="213"/>
      <c r="M204" s="213"/>
      <c r="N204" s="213"/>
      <c r="O204" s="213"/>
      <c r="Q204" s="212" t="str">
        <v/>
      </c>
      <c r="R204" s="212" t="str">
        <v/>
      </c>
      <c r="S204" s="212" t="str">
        <v/>
      </c>
      <c r="T204" s="212" t="str">
        <v/>
      </c>
      <c r="U204" s="212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213"/>
      <c r="L205" s="213"/>
      <c r="M205" s="213"/>
      <c r="N205" s="213"/>
      <c r="O205" s="213"/>
      <c r="Q205" s="212" t="str">
        <v/>
      </c>
      <c r="R205" s="212" t="str">
        <v/>
      </c>
      <c r="S205" s="212" t="str">
        <v/>
      </c>
      <c r="T205" s="212" t="str">
        <v/>
      </c>
      <c r="U205" s="212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213"/>
      <c r="L206" s="213"/>
      <c r="M206" s="213"/>
      <c r="N206" s="213"/>
      <c r="O206" s="213"/>
      <c r="Q206" s="212" t="str">
        <v/>
      </c>
      <c r="R206" s="212" t="str">
        <v/>
      </c>
      <c r="S206" s="212" t="str">
        <v/>
      </c>
      <c r="T206" s="212" t="str">
        <v/>
      </c>
      <c r="U206" s="212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213"/>
      <c r="L207" s="213"/>
      <c r="M207" s="213"/>
      <c r="N207" s="213"/>
      <c r="O207" s="213"/>
      <c r="Q207" s="212" t="str">
        <v/>
      </c>
      <c r="R207" s="212" t="str">
        <v/>
      </c>
      <c r="S207" s="212" t="str">
        <v/>
      </c>
      <c r="T207" s="212" t="str">
        <v/>
      </c>
      <c r="U207" s="212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213"/>
      <c r="L208" s="213"/>
      <c r="M208" s="213"/>
      <c r="N208" s="213"/>
      <c r="O208" s="213"/>
      <c r="Q208" s="212" t="str">
        <v/>
      </c>
      <c r="R208" s="212" t="str">
        <v/>
      </c>
      <c r="S208" s="212" t="str">
        <v/>
      </c>
      <c r="T208" s="212" t="str">
        <v/>
      </c>
      <c r="U208" s="212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213"/>
      <c r="L209" s="213"/>
      <c r="M209" s="213"/>
      <c r="N209" s="213"/>
      <c r="O209" s="213"/>
      <c r="Q209" s="212" t="str">
        <v/>
      </c>
      <c r="R209" s="212" t="str">
        <v/>
      </c>
      <c r="S209" s="212" t="str">
        <v/>
      </c>
      <c r="T209" s="212" t="str">
        <v/>
      </c>
      <c r="U209" s="212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213"/>
      <c r="L210" s="213"/>
      <c r="M210" s="213"/>
      <c r="N210" s="213"/>
      <c r="O210" s="213"/>
      <c r="Q210" s="212" t="str">
        <v/>
      </c>
      <c r="R210" s="212" t="str">
        <v/>
      </c>
      <c r="S210" s="212" t="str">
        <v/>
      </c>
      <c r="T210" s="212" t="str">
        <v/>
      </c>
      <c r="U210" s="212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213"/>
      <c r="L211" s="213"/>
      <c r="M211" s="213"/>
      <c r="N211" s="213"/>
      <c r="O211" s="213"/>
      <c r="Q211" s="212" t="str">
        <v/>
      </c>
      <c r="R211" s="212" t="str">
        <v/>
      </c>
      <c r="S211" s="212" t="str">
        <v/>
      </c>
      <c r="T211" s="212" t="str">
        <v/>
      </c>
      <c r="U211" s="212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211"/>
      <c r="L212" s="211"/>
      <c r="M212" s="211"/>
      <c r="N212" s="211"/>
      <c r="O212" s="211"/>
      <c r="Q212" s="212" t="str">
        <v/>
      </c>
      <c r="R212" s="212" t="str">
        <v/>
      </c>
      <c r="S212" s="212" t="str">
        <v/>
      </c>
      <c r="T212" s="212" t="str">
        <v/>
      </c>
      <c r="U212" s="212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211"/>
      <c r="L213" s="211"/>
      <c r="M213" s="211"/>
      <c r="N213" s="211"/>
      <c r="O213" s="211"/>
      <c r="Q213" s="212" t="str">
        <v/>
      </c>
      <c r="R213" s="212" t="str">
        <v/>
      </c>
      <c r="S213" s="212" t="str">
        <v/>
      </c>
      <c r="T213" s="212" t="str">
        <v/>
      </c>
      <c r="U213" s="212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211"/>
      <c r="L214" s="211"/>
      <c r="M214" s="211"/>
      <c r="N214" s="211"/>
      <c r="O214" s="211"/>
      <c r="Q214" s="212" t="str">
        <v/>
      </c>
      <c r="R214" s="212" t="str">
        <v/>
      </c>
      <c r="S214" s="212" t="str">
        <v/>
      </c>
      <c r="T214" s="212" t="str">
        <v/>
      </c>
      <c r="U214" s="212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211"/>
      <c r="L215" s="211"/>
      <c r="M215" s="211"/>
      <c r="N215" s="211"/>
      <c r="O215" s="211"/>
      <c r="Q215" s="212" t="str">
        <v/>
      </c>
      <c r="R215" s="212" t="str">
        <v/>
      </c>
      <c r="S215" s="212" t="str">
        <v/>
      </c>
      <c r="T215" s="212" t="str">
        <v/>
      </c>
      <c r="U215" s="212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211"/>
      <c r="L216" s="211"/>
      <c r="M216" s="211"/>
      <c r="N216" s="211"/>
      <c r="O216" s="211"/>
      <c r="Q216" s="212" t="str">
        <v/>
      </c>
      <c r="R216" s="212" t="str">
        <v/>
      </c>
      <c r="S216" s="212" t="str">
        <v/>
      </c>
      <c r="T216" s="212" t="str">
        <v/>
      </c>
      <c r="U216" s="212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211"/>
      <c r="L217" s="211"/>
      <c r="M217" s="211"/>
      <c r="N217" s="211"/>
      <c r="O217" s="211"/>
      <c r="Q217" s="212" t="str">
        <v/>
      </c>
      <c r="R217" s="212" t="str">
        <v/>
      </c>
      <c r="S217" s="212" t="str">
        <v/>
      </c>
      <c r="T217" s="212" t="str">
        <v/>
      </c>
      <c r="U217" s="212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211"/>
      <c r="L218" s="211"/>
      <c r="M218" s="211"/>
      <c r="N218" s="211"/>
      <c r="O218" s="211"/>
      <c r="Q218" s="212" t="str">
        <v/>
      </c>
      <c r="R218" s="212" t="str">
        <v/>
      </c>
      <c r="S218" s="212" t="str">
        <v/>
      </c>
      <c r="T218" s="212" t="str">
        <v/>
      </c>
      <c r="U218" s="212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211"/>
      <c r="L219" s="211"/>
      <c r="M219" s="211"/>
      <c r="N219" s="211"/>
      <c r="O219" s="211"/>
      <c r="Q219" s="212" t="str">
        <v/>
      </c>
      <c r="R219" s="212" t="str">
        <v/>
      </c>
      <c r="S219" s="212" t="str">
        <v/>
      </c>
      <c r="T219" s="212" t="str">
        <v/>
      </c>
      <c r="U219" s="212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211"/>
      <c r="L220" s="211"/>
      <c r="M220" s="211"/>
      <c r="N220" s="211"/>
      <c r="O220" s="211"/>
      <c r="Q220" s="212" t="str">
        <v/>
      </c>
      <c r="R220" s="212" t="str">
        <v/>
      </c>
      <c r="S220" s="212" t="str">
        <v/>
      </c>
      <c r="T220" s="212" t="str">
        <v/>
      </c>
      <c r="U220" s="212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211"/>
      <c r="L221" s="211"/>
      <c r="M221" s="211"/>
      <c r="N221" s="211"/>
      <c r="O221" s="211"/>
      <c r="Q221" s="212" t="str">
        <v/>
      </c>
      <c r="R221" s="212" t="str">
        <v/>
      </c>
      <c r="S221" s="212" t="str">
        <v/>
      </c>
      <c r="T221" s="212" t="str">
        <v/>
      </c>
      <c r="U221" s="212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211"/>
      <c r="L222" s="211"/>
      <c r="M222" s="211"/>
      <c r="N222" s="211"/>
      <c r="O222" s="211"/>
      <c r="Q222" s="212" t="str">
        <v/>
      </c>
      <c r="R222" s="212" t="str">
        <v/>
      </c>
      <c r="S222" s="212" t="str">
        <v/>
      </c>
      <c r="T222" s="212" t="str">
        <v/>
      </c>
      <c r="U222" s="212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211"/>
      <c r="L223" s="211"/>
      <c r="M223" s="211"/>
      <c r="N223" s="211"/>
      <c r="O223" s="211"/>
      <c r="Q223" s="212" t="str">
        <v/>
      </c>
      <c r="R223" s="212" t="str">
        <v/>
      </c>
      <c r="S223" s="212" t="str">
        <v/>
      </c>
      <c r="T223" s="212" t="str">
        <v/>
      </c>
      <c r="U223" s="212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211"/>
      <c r="L224" s="211"/>
      <c r="M224" s="211"/>
      <c r="N224" s="211"/>
      <c r="O224" s="211"/>
      <c r="Q224" s="212" t="str">
        <v/>
      </c>
      <c r="R224" s="212" t="str">
        <v/>
      </c>
      <c r="S224" s="212" t="str">
        <v/>
      </c>
      <c r="T224" s="212" t="str">
        <v/>
      </c>
      <c r="U224" s="212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211"/>
      <c r="L225" s="211"/>
      <c r="M225" s="211"/>
      <c r="N225" s="211"/>
      <c r="O225" s="211"/>
      <c r="Q225" s="212" t="str">
        <v/>
      </c>
      <c r="R225" s="212" t="str">
        <v/>
      </c>
      <c r="S225" s="212" t="str">
        <v/>
      </c>
      <c r="T225" s="212" t="str">
        <v/>
      </c>
      <c r="U225" s="212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211"/>
      <c r="L226" s="211"/>
      <c r="M226" s="211"/>
      <c r="N226" s="211"/>
      <c r="O226" s="211"/>
      <c r="Q226" s="212" t="str">
        <v/>
      </c>
      <c r="R226" s="212" t="str">
        <v/>
      </c>
      <c r="S226" s="212" t="str">
        <v/>
      </c>
      <c r="T226" s="212" t="str">
        <v/>
      </c>
      <c r="U226" s="212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211"/>
      <c r="L227" s="211"/>
      <c r="M227" s="211"/>
      <c r="N227" s="211"/>
      <c r="O227" s="211"/>
      <c r="Q227" s="212" t="str">
        <v/>
      </c>
      <c r="R227" s="212" t="str">
        <v/>
      </c>
      <c r="S227" s="212" t="str">
        <v/>
      </c>
      <c r="T227" s="212" t="str">
        <v/>
      </c>
      <c r="U227" s="212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211"/>
      <c r="L228" s="211"/>
      <c r="M228" s="211"/>
      <c r="N228" s="211"/>
      <c r="O228" s="211"/>
      <c r="Q228" s="212" t="str">
        <v/>
      </c>
      <c r="R228" s="212" t="str">
        <v/>
      </c>
      <c r="S228" s="212" t="str">
        <v/>
      </c>
      <c r="T228" s="212" t="str">
        <v/>
      </c>
      <c r="U228" s="212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211"/>
      <c r="L229" s="211"/>
      <c r="M229" s="211"/>
      <c r="N229" s="211"/>
      <c r="O229" s="211"/>
      <c r="Q229" s="212" t="str">
        <v/>
      </c>
      <c r="R229" s="212" t="str">
        <v/>
      </c>
      <c r="S229" s="212" t="str">
        <v/>
      </c>
      <c r="T229" s="212" t="str">
        <v/>
      </c>
      <c r="U229" s="212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211"/>
      <c r="L230" s="211"/>
      <c r="M230" s="211"/>
      <c r="N230" s="211"/>
      <c r="O230" s="211"/>
      <c r="Q230" s="212" t="str">
        <v/>
      </c>
      <c r="R230" s="212" t="str">
        <v/>
      </c>
      <c r="S230" s="212" t="str">
        <v/>
      </c>
      <c r="T230" s="212" t="str">
        <v/>
      </c>
      <c r="U230" s="212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211"/>
      <c r="L231" s="211"/>
      <c r="M231" s="211"/>
      <c r="N231" s="211"/>
      <c r="O231" s="211"/>
      <c r="Q231" s="212" t="str">
        <v/>
      </c>
      <c r="R231" s="212" t="str">
        <v/>
      </c>
      <c r="S231" s="212" t="str">
        <v/>
      </c>
      <c r="T231" s="212" t="str">
        <v/>
      </c>
      <c r="U231" s="212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211"/>
      <c r="L232" s="211"/>
      <c r="M232" s="211"/>
      <c r="N232" s="211"/>
      <c r="O232" s="211"/>
      <c r="Q232" s="212" t="str">
        <v/>
      </c>
      <c r="R232" s="212" t="str">
        <v/>
      </c>
      <c r="S232" s="212" t="str">
        <v/>
      </c>
      <c r="T232" s="212" t="str">
        <v/>
      </c>
      <c r="U232" s="212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211"/>
      <c r="L233" s="211"/>
      <c r="M233" s="211"/>
      <c r="N233" s="211"/>
      <c r="O233" s="211"/>
      <c r="Q233" s="212" t="str">
        <v/>
      </c>
      <c r="R233" s="212" t="str">
        <v/>
      </c>
      <c r="S233" s="212" t="str">
        <v/>
      </c>
      <c r="T233" s="212" t="str">
        <v/>
      </c>
      <c r="U233" s="212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211"/>
      <c r="L234" s="211"/>
      <c r="M234" s="211"/>
      <c r="N234" s="211"/>
      <c r="O234" s="211"/>
      <c r="Q234" s="212" t="str">
        <v/>
      </c>
      <c r="R234" s="212" t="str">
        <v/>
      </c>
      <c r="S234" s="212" t="str">
        <v/>
      </c>
      <c r="T234" s="212" t="str">
        <v/>
      </c>
      <c r="U234" s="212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211"/>
      <c r="L235" s="211"/>
      <c r="M235" s="211"/>
      <c r="N235" s="211"/>
      <c r="O235" s="211"/>
      <c r="Q235" s="212" t="str">
        <v/>
      </c>
      <c r="R235" s="212" t="str">
        <v/>
      </c>
      <c r="S235" s="212" t="str">
        <v/>
      </c>
      <c r="T235" s="212" t="str">
        <v/>
      </c>
      <c r="U235" s="212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211"/>
      <c r="L236" s="211"/>
      <c r="M236" s="211"/>
      <c r="N236" s="211"/>
      <c r="O236" s="211"/>
      <c r="Q236" s="212" t="str">
        <v/>
      </c>
      <c r="R236" s="212" t="str">
        <v/>
      </c>
      <c r="S236" s="212" t="str">
        <v/>
      </c>
      <c r="T236" s="212" t="str">
        <v/>
      </c>
      <c r="U236" s="212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211"/>
      <c r="L237" s="211"/>
      <c r="M237" s="211"/>
      <c r="N237" s="211"/>
      <c r="O237" s="211"/>
      <c r="Q237" s="212" t="str">
        <v/>
      </c>
      <c r="R237" s="212" t="str">
        <v/>
      </c>
      <c r="S237" s="212" t="str">
        <v/>
      </c>
      <c r="T237" s="212" t="str">
        <v/>
      </c>
      <c r="U237" s="212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211"/>
      <c r="L238" s="211"/>
      <c r="M238" s="211"/>
      <c r="N238" s="211"/>
      <c r="O238" s="211"/>
      <c r="Q238" s="212" t="str">
        <v/>
      </c>
      <c r="R238" s="212" t="str">
        <v/>
      </c>
      <c r="S238" s="212" t="str">
        <v/>
      </c>
      <c r="T238" s="212" t="str">
        <v/>
      </c>
      <c r="U238" s="212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211"/>
      <c r="L239" s="211"/>
      <c r="M239" s="211"/>
      <c r="N239" s="211"/>
      <c r="O239" s="211"/>
      <c r="Q239" s="212" t="str">
        <v/>
      </c>
      <c r="R239" s="212" t="str">
        <v/>
      </c>
      <c r="S239" s="212" t="str">
        <v/>
      </c>
      <c r="T239" s="212" t="str">
        <v/>
      </c>
      <c r="U239" s="212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211"/>
      <c r="L240" s="211"/>
      <c r="M240" s="211"/>
      <c r="N240" s="211"/>
      <c r="O240" s="211"/>
      <c r="Q240" s="212" t="str">
        <v/>
      </c>
      <c r="R240" s="212" t="str">
        <v/>
      </c>
      <c r="S240" s="212" t="str">
        <v/>
      </c>
      <c r="T240" s="212" t="str">
        <v/>
      </c>
      <c r="U240" s="212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211"/>
      <c r="L241" s="211"/>
      <c r="M241" s="211"/>
      <c r="N241" s="211"/>
      <c r="O241" s="211"/>
      <c r="Q241" s="212" t="str">
        <v/>
      </c>
      <c r="R241" s="212" t="str">
        <v/>
      </c>
      <c r="S241" s="212" t="str">
        <v/>
      </c>
      <c r="T241" s="212" t="str">
        <v/>
      </c>
      <c r="U241" s="212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211"/>
      <c r="L242" s="211"/>
      <c r="M242" s="211"/>
      <c r="N242" s="211"/>
      <c r="O242" s="211"/>
      <c r="Q242" s="212" t="str">
        <v/>
      </c>
      <c r="R242" s="212" t="str">
        <v/>
      </c>
      <c r="S242" s="212" t="str">
        <v/>
      </c>
      <c r="T242" s="212" t="str">
        <v/>
      </c>
      <c r="U242" s="212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211"/>
      <c r="L243" s="211"/>
      <c r="M243" s="211"/>
      <c r="N243" s="211"/>
      <c r="O243" s="211"/>
      <c r="Q243" s="212" t="str">
        <v/>
      </c>
      <c r="R243" s="212" t="str">
        <v/>
      </c>
      <c r="S243" s="212" t="str">
        <v/>
      </c>
      <c r="T243" s="212" t="str">
        <v/>
      </c>
      <c r="U243" s="212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211"/>
      <c r="L244" s="211"/>
      <c r="M244" s="211"/>
      <c r="N244" s="211"/>
      <c r="O244" s="211"/>
      <c r="Q244" s="212" t="str">
        <v/>
      </c>
      <c r="R244" s="212" t="str">
        <v/>
      </c>
      <c r="S244" s="212" t="str">
        <v/>
      </c>
      <c r="T244" s="212" t="str">
        <v/>
      </c>
      <c r="U244" s="212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211"/>
      <c r="L245" s="211"/>
      <c r="M245" s="211"/>
      <c r="N245" s="211"/>
      <c r="O245" s="211"/>
      <c r="Q245" s="212" t="str">
        <v/>
      </c>
      <c r="R245" s="212" t="str">
        <v/>
      </c>
      <c r="S245" s="212" t="str">
        <v/>
      </c>
      <c r="T245" s="212" t="str">
        <v/>
      </c>
      <c r="U245" s="212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211"/>
      <c r="L246" s="211"/>
      <c r="M246" s="211"/>
      <c r="N246" s="211"/>
      <c r="O246" s="211"/>
      <c r="Q246" s="212" t="str">
        <v/>
      </c>
      <c r="R246" s="212" t="str">
        <v/>
      </c>
      <c r="S246" s="212" t="str">
        <v/>
      </c>
      <c r="T246" s="212" t="str">
        <v/>
      </c>
      <c r="U246" s="212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211"/>
      <c r="L247" s="211"/>
      <c r="M247" s="211"/>
      <c r="N247" s="211"/>
      <c r="O247" s="211"/>
      <c r="Q247" s="212" t="str">
        <v/>
      </c>
      <c r="R247" s="212" t="str">
        <v/>
      </c>
      <c r="S247" s="212" t="str">
        <v/>
      </c>
      <c r="T247" s="212" t="str">
        <v/>
      </c>
      <c r="U247" s="212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211"/>
      <c r="L248" s="211"/>
      <c r="M248" s="211"/>
      <c r="N248" s="211"/>
      <c r="O248" s="211"/>
      <c r="Q248" s="212" t="str">
        <v/>
      </c>
      <c r="R248" s="212" t="str">
        <v/>
      </c>
      <c r="S248" s="212" t="str">
        <v/>
      </c>
      <c r="T248" s="212" t="str">
        <v/>
      </c>
      <c r="U248" s="212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211"/>
      <c r="L249" s="211"/>
      <c r="M249" s="211"/>
      <c r="N249" s="211"/>
      <c r="O249" s="211"/>
      <c r="Q249" s="212" t="str">
        <v/>
      </c>
      <c r="R249" s="212" t="str">
        <v/>
      </c>
      <c r="S249" s="212" t="str">
        <v/>
      </c>
      <c r="T249" s="212" t="str">
        <v/>
      </c>
      <c r="U249" s="212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211"/>
      <c r="L250" s="211"/>
      <c r="M250" s="211"/>
      <c r="N250" s="211"/>
      <c r="O250" s="211"/>
      <c r="Q250" s="212" t="str">
        <v/>
      </c>
      <c r="R250" s="212" t="str">
        <v/>
      </c>
      <c r="S250" s="212" t="str">
        <v/>
      </c>
      <c r="T250" s="212" t="str">
        <v/>
      </c>
      <c r="U250" s="212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211"/>
      <c r="L251" s="211"/>
      <c r="M251" s="211"/>
      <c r="N251" s="211"/>
      <c r="O251" s="211"/>
      <c r="Q251" s="212" t="str">
        <v/>
      </c>
      <c r="R251" s="212" t="str">
        <v/>
      </c>
      <c r="S251" s="212" t="str">
        <v/>
      </c>
      <c r="T251" s="212" t="str">
        <v/>
      </c>
      <c r="U251" s="212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211"/>
      <c r="L252" s="211"/>
      <c r="M252" s="211"/>
      <c r="N252" s="211"/>
      <c r="O252" s="211"/>
      <c r="Q252" s="212" t="str">
        <v/>
      </c>
      <c r="R252" s="212" t="str">
        <v/>
      </c>
      <c r="S252" s="212" t="str">
        <v/>
      </c>
      <c r="T252" s="212" t="str">
        <v/>
      </c>
      <c r="U252" s="212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211"/>
      <c r="L253" s="211"/>
      <c r="M253" s="211"/>
      <c r="N253" s="211"/>
      <c r="O253" s="211"/>
      <c r="Q253" s="212" t="str">
        <v/>
      </c>
      <c r="R253" s="212" t="str">
        <v/>
      </c>
      <c r="S253" s="212" t="str">
        <v/>
      </c>
      <c r="T253" s="212" t="str">
        <v/>
      </c>
      <c r="U253" s="212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211"/>
      <c r="L254" s="211"/>
      <c r="M254" s="211"/>
      <c r="N254" s="211"/>
      <c r="O254" s="211"/>
      <c r="Q254" s="212" t="str">
        <v/>
      </c>
      <c r="R254" s="212" t="str">
        <v/>
      </c>
      <c r="S254" s="212" t="str">
        <v/>
      </c>
      <c r="T254" s="212" t="str">
        <v/>
      </c>
      <c r="U254" s="212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211"/>
      <c r="L255" s="211"/>
      <c r="M255" s="211"/>
      <c r="N255" s="211"/>
      <c r="O255" s="211"/>
      <c r="Q255" s="212" t="str">
        <v/>
      </c>
      <c r="R255" s="212" t="str">
        <v/>
      </c>
      <c r="S255" s="212" t="str">
        <v/>
      </c>
      <c r="T255" s="212" t="str">
        <v/>
      </c>
      <c r="U255" s="212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211"/>
      <c r="L256" s="211"/>
      <c r="M256" s="211"/>
      <c r="N256" s="211"/>
      <c r="O256" s="211"/>
      <c r="Q256" s="212" t="str">
        <v/>
      </c>
      <c r="R256" s="212" t="str">
        <v/>
      </c>
      <c r="S256" s="212" t="str">
        <v/>
      </c>
      <c r="T256" s="212" t="str">
        <v/>
      </c>
      <c r="U256" s="212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211"/>
      <c r="L257" s="211"/>
      <c r="M257" s="211"/>
      <c r="N257" s="211"/>
      <c r="O257" s="211"/>
      <c r="Q257" s="212" t="str">
        <v/>
      </c>
      <c r="R257" s="212" t="str">
        <v/>
      </c>
      <c r="S257" s="212" t="str">
        <v/>
      </c>
      <c r="T257" s="212" t="str">
        <v/>
      </c>
      <c r="U257" s="212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211"/>
      <c r="L258" s="211"/>
      <c r="M258" s="211"/>
      <c r="N258" s="211"/>
      <c r="O258" s="211"/>
      <c r="Q258" s="212" t="str">
        <v/>
      </c>
      <c r="R258" s="212" t="str">
        <v/>
      </c>
      <c r="S258" s="212" t="str">
        <v/>
      </c>
      <c r="T258" s="212" t="str">
        <v/>
      </c>
      <c r="U258" s="212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211"/>
      <c r="L259" s="211"/>
      <c r="M259" s="211"/>
      <c r="N259" s="211"/>
      <c r="O259" s="211"/>
      <c r="Q259" s="212" t="str">
        <v/>
      </c>
      <c r="R259" s="212" t="str">
        <v/>
      </c>
      <c r="S259" s="212" t="str">
        <v/>
      </c>
      <c r="T259" s="212" t="str">
        <v/>
      </c>
      <c r="U259" s="212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211"/>
      <c r="L260" s="211"/>
      <c r="M260" s="211"/>
      <c r="N260" s="211"/>
      <c r="O260" s="211"/>
      <c r="Q260" s="212" t="str">
        <v/>
      </c>
      <c r="R260" s="212" t="str">
        <v/>
      </c>
      <c r="S260" s="212" t="str">
        <v/>
      </c>
      <c r="T260" s="212" t="str">
        <v/>
      </c>
      <c r="U260" s="212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211"/>
      <c r="L261" s="211"/>
      <c r="M261" s="211"/>
      <c r="N261" s="211"/>
      <c r="O261" s="211"/>
      <c r="Q261" s="212" t="str">
        <v/>
      </c>
      <c r="R261" s="212" t="str">
        <v/>
      </c>
      <c r="S261" s="212" t="str">
        <v/>
      </c>
      <c r="T261" s="212" t="str">
        <v/>
      </c>
      <c r="U261" s="212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211"/>
      <c r="L262" s="211"/>
      <c r="M262" s="211"/>
      <c r="N262" s="211"/>
      <c r="O262" s="211"/>
      <c r="Q262" s="212" t="str">
        <v/>
      </c>
      <c r="R262" s="212" t="str">
        <v/>
      </c>
      <c r="S262" s="212" t="str">
        <v/>
      </c>
      <c r="T262" s="212" t="str">
        <v/>
      </c>
      <c r="U262" s="212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211"/>
      <c r="L263" s="211"/>
      <c r="M263" s="211"/>
      <c r="N263" s="211"/>
      <c r="O263" s="211"/>
      <c r="Q263" s="212" t="str">
        <v/>
      </c>
      <c r="R263" s="212" t="str">
        <v/>
      </c>
      <c r="S263" s="212" t="str">
        <v/>
      </c>
      <c r="T263" s="212" t="str">
        <v/>
      </c>
      <c r="U263" s="212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211"/>
      <c r="L264" s="211"/>
      <c r="M264" s="211"/>
      <c r="N264" s="211"/>
      <c r="O264" s="211"/>
      <c r="Q264" s="212" t="str">
        <v/>
      </c>
      <c r="R264" s="212" t="str">
        <v/>
      </c>
      <c r="S264" s="212" t="str">
        <v/>
      </c>
      <c r="T264" s="212" t="str">
        <v/>
      </c>
      <c r="U264" s="212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211"/>
      <c r="L265" s="211"/>
      <c r="M265" s="211"/>
      <c r="N265" s="211"/>
      <c r="O265" s="211"/>
      <c r="Q265" s="212" t="str">
        <v/>
      </c>
      <c r="R265" s="212" t="str">
        <v/>
      </c>
      <c r="S265" s="212" t="str">
        <v/>
      </c>
      <c r="T265" s="212" t="str">
        <v/>
      </c>
      <c r="U265" s="212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211"/>
      <c r="L266" s="211"/>
      <c r="M266" s="211"/>
      <c r="N266" s="211"/>
      <c r="O266" s="211"/>
      <c r="Q266" s="212" t="str">
        <v/>
      </c>
      <c r="R266" s="212" t="str">
        <v/>
      </c>
      <c r="S266" s="212" t="str">
        <v/>
      </c>
      <c r="T266" s="212" t="str">
        <v/>
      </c>
      <c r="U266" s="212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211"/>
      <c r="L267" s="211"/>
      <c r="M267" s="211"/>
      <c r="N267" s="211"/>
      <c r="O267" s="211"/>
      <c r="Q267" s="212" t="str">
        <v/>
      </c>
      <c r="R267" s="212" t="str">
        <v/>
      </c>
      <c r="S267" s="212" t="str">
        <v/>
      </c>
      <c r="T267" s="212" t="str">
        <v/>
      </c>
      <c r="U267" s="212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211"/>
      <c r="L268" s="211"/>
      <c r="M268" s="211"/>
      <c r="N268" s="211"/>
      <c r="O268" s="211"/>
      <c r="Q268" s="212" t="str">
        <v/>
      </c>
      <c r="R268" s="212" t="str">
        <v/>
      </c>
      <c r="S268" s="212" t="str">
        <v/>
      </c>
      <c r="T268" s="212" t="str">
        <v/>
      </c>
      <c r="U268" s="212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211"/>
      <c r="L269" s="211"/>
      <c r="M269" s="211"/>
      <c r="N269" s="211"/>
      <c r="O269" s="211"/>
      <c r="Q269" s="212" t="str">
        <v/>
      </c>
      <c r="R269" s="212" t="str">
        <v/>
      </c>
      <c r="S269" s="212" t="str">
        <v/>
      </c>
      <c r="T269" s="212" t="str">
        <v/>
      </c>
      <c r="U269" s="212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211"/>
      <c r="L270" s="211"/>
      <c r="M270" s="211"/>
      <c r="N270" s="211"/>
      <c r="O270" s="211"/>
      <c r="Q270" s="212" t="str">
        <v/>
      </c>
      <c r="R270" s="212" t="str">
        <v/>
      </c>
      <c r="S270" s="212" t="str">
        <v/>
      </c>
      <c r="T270" s="212" t="str">
        <v/>
      </c>
      <c r="U270" s="212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211"/>
      <c r="L271" s="211"/>
      <c r="M271" s="211"/>
      <c r="N271" s="211"/>
      <c r="O271" s="211"/>
      <c r="Q271" s="212" t="str">
        <v/>
      </c>
      <c r="R271" s="212" t="str">
        <v/>
      </c>
      <c r="S271" s="212" t="str">
        <v/>
      </c>
      <c r="T271" s="212" t="str">
        <v/>
      </c>
      <c r="U271" s="212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211"/>
      <c r="L272" s="211"/>
      <c r="M272" s="211"/>
      <c r="N272" s="211"/>
      <c r="O272" s="211"/>
      <c r="Q272" s="212" t="str">
        <v/>
      </c>
      <c r="R272" s="212" t="str">
        <v/>
      </c>
      <c r="S272" s="212" t="str">
        <v/>
      </c>
      <c r="T272" s="212" t="str">
        <v/>
      </c>
      <c r="U272" s="212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211"/>
      <c r="L273" s="211"/>
      <c r="M273" s="211"/>
      <c r="N273" s="211"/>
      <c r="O273" s="211"/>
      <c r="Q273" s="212" t="str">
        <v/>
      </c>
      <c r="R273" s="212" t="str">
        <v/>
      </c>
      <c r="S273" s="212" t="str">
        <v/>
      </c>
      <c r="T273" s="212" t="str">
        <v/>
      </c>
      <c r="U273" s="212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211"/>
      <c r="L274" s="211"/>
      <c r="M274" s="211"/>
      <c r="N274" s="211"/>
      <c r="O274" s="211"/>
      <c r="Q274" s="212" t="str">
        <v/>
      </c>
      <c r="R274" s="212" t="str">
        <v/>
      </c>
      <c r="S274" s="212" t="str">
        <v/>
      </c>
      <c r="T274" s="212" t="str">
        <v/>
      </c>
      <c r="U274" s="212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211"/>
      <c r="L275" s="211"/>
      <c r="M275" s="211"/>
      <c r="N275" s="211"/>
      <c r="O275" s="211"/>
      <c r="Q275" s="212" t="str">
        <v/>
      </c>
      <c r="R275" s="212" t="str">
        <v/>
      </c>
      <c r="S275" s="212" t="str">
        <v/>
      </c>
      <c r="T275" s="212" t="str">
        <v/>
      </c>
      <c r="U275" s="212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211"/>
      <c r="L276" s="211"/>
      <c r="M276" s="211"/>
      <c r="N276" s="211"/>
      <c r="O276" s="211"/>
      <c r="Q276" s="212" t="str">
        <v/>
      </c>
      <c r="R276" s="212" t="str">
        <v/>
      </c>
      <c r="S276" s="212" t="str">
        <v/>
      </c>
      <c r="T276" s="212" t="str">
        <v/>
      </c>
      <c r="U276" s="212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211"/>
      <c r="L277" s="211"/>
      <c r="M277" s="211"/>
      <c r="N277" s="211"/>
      <c r="O277" s="211"/>
      <c r="Q277" s="212" t="str">
        <v/>
      </c>
      <c r="R277" s="212" t="str">
        <v/>
      </c>
      <c r="S277" s="212" t="str">
        <v/>
      </c>
      <c r="T277" s="212" t="str">
        <v/>
      </c>
      <c r="U277" s="212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211"/>
      <c r="L278" s="211"/>
      <c r="M278" s="211"/>
      <c r="N278" s="211"/>
      <c r="O278" s="211"/>
      <c r="Q278" s="212" t="str">
        <v/>
      </c>
      <c r="R278" s="212" t="str">
        <v/>
      </c>
      <c r="S278" s="212" t="str">
        <v/>
      </c>
      <c r="T278" s="212" t="str">
        <v/>
      </c>
      <c r="U278" s="212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211"/>
      <c r="L279" s="211"/>
      <c r="M279" s="211"/>
      <c r="N279" s="211"/>
      <c r="O279" s="211"/>
      <c r="Q279" s="212" t="str">
        <v/>
      </c>
      <c r="R279" s="212" t="str">
        <v/>
      </c>
      <c r="S279" s="212" t="str">
        <v/>
      </c>
      <c r="T279" s="212" t="str">
        <v/>
      </c>
      <c r="U279" s="212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211"/>
      <c r="L280" s="211"/>
      <c r="M280" s="211"/>
      <c r="N280" s="211"/>
      <c r="O280" s="211"/>
      <c r="Q280" s="212" t="str">
        <v/>
      </c>
      <c r="R280" s="212" t="str">
        <v/>
      </c>
      <c r="S280" s="212" t="str">
        <v/>
      </c>
      <c r="T280" s="212" t="str">
        <v/>
      </c>
      <c r="U280" s="212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211"/>
      <c r="L281" s="211"/>
      <c r="M281" s="211"/>
      <c r="N281" s="211"/>
      <c r="O281" s="211"/>
      <c r="Q281" s="212" t="str">
        <v/>
      </c>
      <c r="R281" s="212" t="str">
        <v/>
      </c>
      <c r="S281" s="212" t="str">
        <v/>
      </c>
      <c r="T281" s="212" t="str">
        <v/>
      </c>
      <c r="U281" s="212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211"/>
      <c r="L282" s="211"/>
      <c r="M282" s="211"/>
      <c r="N282" s="211"/>
      <c r="O282" s="211"/>
      <c r="Q282" s="212" t="str">
        <v/>
      </c>
      <c r="R282" s="212" t="str">
        <v/>
      </c>
      <c r="S282" s="212" t="str">
        <v/>
      </c>
      <c r="T282" s="212" t="str">
        <v/>
      </c>
      <c r="U282" s="212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211"/>
      <c r="L283" s="211"/>
      <c r="M283" s="211"/>
      <c r="N283" s="211"/>
      <c r="O283" s="211"/>
      <c r="Q283" s="212" t="str">
        <v/>
      </c>
      <c r="R283" s="212" t="str">
        <v/>
      </c>
      <c r="S283" s="212" t="str">
        <v/>
      </c>
      <c r="T283" s="212" t="str">
        <v/>
      </c>
      <c r="U283" s="212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211"/>
      <c r="L284" s="211"/>
      <c r="M284" s="211"/>
      <c r="N284" s="211"/>
      <c r="O284" s="211"/>
      <c r="Q284" s="212" t="str">
        <v/>
      </c>
      <c r="R284" s="212" t="str">
        <v/>
      </c>
      <c r="S284" s="212" t="str">
        <v/>
      </c>
      <c r="T284" s="212" t="str">
        <v/>
      </c>
      <c r="U284" s="212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211"/>
      <c r="L285" s="211"/>
      <c r="M285" s="211"/>
      <c r="N285" s="211"/>
      <c r="O285" s="211"/>
      <c r="Q285" s="212" t="str">
        <v/>
      </c>
      <c r="R285" s="212" t="str">
        <v/>
      </c>
      <c r="S285" s="212" t="str">
        <v/>
      </c>
      <c r="T285" s="212" t="str">
        <v/>
      </c>
      <c r="U285" s="212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211"/>
      <c r="L286" s="211"/>
      <c r="M286" s="211"/>
      <c r="N286" s="211"/>
      <c r="O286" s="211"/>
      <c r="Q286" s="212" t="str">
        <v/>
      </c>
      <c r="R286" s="212" t="str">
        <v/>
      </c>
      <c r="S286" s="212" t="str">
        <v/>
      </c>
      <c r="T286" s="212" t="str">
        <v/>
      </c>
      <c r="U286" s="212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211"/>
      <c r="L287" s="211"/>
      <c r="M287" s="211"/>
      <c r="N287" s="211"/>
      <c r="O287" s="211"/>
      <c r="Q287" s="212" t="str">
        <v/>
      </c>
      <c r="R287" s="212" t="str">
        <v/>
      </c>
      <c r="S287" s="212" t="str">
        <v/>
      </c>
      <c r="T287" s="212" t="str">
        <v/>
      </c>
      <c r="U287" s="212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211"/>
      <c r="L288" s="211"/>
      <c r="M288" s="211"/>
      <c r="N288" s="211"/>
      <c r="O288" s="211"/>
      <c r="Q288" s="212" t="str">
        <v/>
      </c>
      <c r="R288" s="212" t="str">
        <v/>
      </c>
      <c r="S288" s="212" t="str">
        <v/>
      </c>
      <c r="T288" s="212" t="str">
        <v/>
      </c>
      <c r="U288" s="212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211"/>
      <c r="L289" s="211"/>
      <c r="M289" s="211"/>
      <c r="N289" s="211"/>
      <c r="O289" s="211"/>
      <c r="Q289" s="212" t="str">
        <v/>
      </c>
      <c r="R289" s="212" t="str">
        <v/>
      </c>
      <c r="S289" s="212" t="str">
        <v/>
      </c>
      <c r="T289" s="212" t="str">
        <v/>
      </c>
      <c r="U289" s="212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211"/>
      <c r="L290" s="211"/>
      <c r="M290" s="211"/>
      <c r="N290" s="211"/>
      <c r="O290" s="211"/>
      <c r="Q290" s="212" t="str">
        <v/>
      </c>
      <c r="R290" s="212" t="str">
        <v/>
      </c>
      <c r="S290" s="212" t="str">
        <v/>
      </c>
      <c r="T290" s="212" t="str">
        <v/>
      </c>
      <c r="U290" s="212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211"/>
      <c r="L291" s="211"/>
      <c r="M291" s="211"/>
      <c r="N291" s="211"/>
      <c r="O291" s="211"/>
      <c r="Q291" s="212" t="str">
        <v/>
      </c>
      <c r="R291" s="212" t="str">
        <v/>
      </c>
      <c r="S291" s="212" t="str">
        <v/>
      </c>
      <c r="T291" s="212" t="str">
        <v/>
      </c>
      <c r="U291" s="212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211"/>
      <c r="L292" s="211"/>
      <c r="M292" s="211"/>
      <c r="N292" s="211"/>
      <c r="O292" s="211"/>
      <c r="Q292" s="212" t="str">
        <v/>
      </c>
      <c r="R292" s="212" t="str">
        <v/>
      </c>
      <c r="S292" s="212" t="str">
        <v/>
      </c>
      <c r="T292" s="212" t="str">
        <v/>
      </c>
      <c r="U292" s="212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211"/>
      <c r="L293" s="211"/>
      <c r="M293" s="211"/>
      <c r="N293" s="211"/>
      <c r="O293" s="211"/>
      <c r="Q293" s="212" t="str">
        <v/>
      </c>
      <c r="R293" s="212" t="str">
        <v/>
      </c>
      <c r="S293" s="212" t="str">
        <v/>
      </c>
      <c r="T293" s="212" t="str">
        <v/>
      </c>
      <c r="U293" s="212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211"/>
      <c r="L294" s="211"/>
      <c r="M294" s="211"/>
      <c r="N294" s="211"/>
      <c r="O294" s="211"/>
      <c r="Q294" s="212" t="str">
        <v/>
      </c>
      <c r="R294" s="212" t="str">
        <v/>
      </c>
      <c r="S294" s="212" t="str">
        <v/>
      </c>
      <c r="T294" s="212" t="str">
        <v/>
      </c>
      <c r="U294" s="212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211"/>
      <c r="L295" s="211"/>
      <c r="M295" s="211"/>
      <c r="N295" s="211"/>
      <c r="O295" s="211"/>
      <c r="Q295" s="212" t="str">
        <v/>
      </c>
      <c r="R295" s="212" t="str">
        <v/>
      </c>
      <c r="S295" s="212" t="str">
        <v/>
      </c>
      <c r="T295" s="212" t="str">
        <v/>
      </c>
      <c r="U295" s="212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211"/>
      <c r="L296" s="211"/>
      <c r="M296" s="211"/>
      <c r="N296" s="211"/>
      <c r="O296" s="211"/>
      <c r="Q296" s="212" t="str">
        <v/>
      </c>
      <c r="R296" s="212" t="str">
        <v/>
      </c>
      <c r="S296" s="212" t="str">
        <v/>
      </c>
      <c r="T296" s="212" t="str">
        <v/>
      </c>
      <c r="U296" s="212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211"/>
      <c r="L297" s="211"/>
      <c r="M297" s="211"/>
      <c r="N297" s="211"/>
      <c r="O297" s="211"/>
      <c r="Q297" s="212" t="str">
        <v/>
      </c>
      <c r="R297" s="212" t="str">
        <v/>
      </c>
      <c r="S297" s="212" t="str">
        <v/>
      </c>
      <c r="T297" s="212" t="str">
        <v/>
      </c>
      <c r="U297" s="212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211"/>
      <c r="L298" s="211"/>
      <c r="M298" s="211"/>
      <c r="N298" s="211"/>
      <c r="O298" s="211"/>
      <c r="Q298" s="212" t="str">
        <v/>
      </c>
      <c r="R298" s="212" t="str">
        <v/>
      </c>
      <c r="S298" s="212" t="str">
        <v/>
      </c>
      <c r="T298" s="212" t="str">
        <v/>
      </c>
      <c r="U298" s="212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211"/>
      <c r="L299" s="211"/>
      <c r="M299" s="211"/>
      <c r="N299" s="211"/>
      <c r="O299" s="211"/>
      <c r="Q299" s="212" t="str">
        <v/>
      </c>
      <c r="R299" s="212" t="str">
        <v/>
      </c>
      <c r="S299" s="212" t="str">
        <v/>
      </c>
      <c r="T299" s="212" t="str">
        <v/>
      </c>
      <c r="U299" s="212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211"/>
      <c r="L300" s="211"/>
      <c r="M300" s="211"/>
      <c r="N300" s="211"/>
      <c r="O300" s="211"/>
      <c r="Q300" s="212" t="str">
        <v/>
      </c>
      <c r="R300" s="212" t="str">
        <v/>
      </c>
      <c r="S300" s="212" t="str">
        <v/>
      </c>
      <c r="T300" s="212" t="str">
        <v/>
      </c>
      <c r="U300" s="212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211"/>
      <c r="L301" s="211"/>
      <c r="M301" s="211"/>
      <c r="N301" s="211"/>
      <c r="O301" s="211"/>
      <c r="Q301" s="212" t="str">
        <v/>
      </c>
      <c r="R301" s="212" t="str">
        <v/>
      </c>
      <c r="S301" s="212" t="str">
        <v/>
      </c>
      <c r="T301" s="212" t="str">
        <v/>
      </c>
      <c r="U301" s="212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211"/>
      <c r="L302" s="211"/>
      <c r="M302" s="211"/>
      <c r="N302" s="211"/>
      <c r="O302" s="211"/>
      <c r="Q302" s="212" t="str">
        <v/>
      </c>
      <c r="R302" s="212" t="str">
        <v/>
      </c>
      <c r="S302" s="212" t="str">
        <v/>
      </c>
      <c r="T302" s="212" t="str">
        <v/>
      </c>
      <c r="U302" s="212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211"/>
      <c r="L303" s="211"/>
      <c r="M303" s="211"/>
      <c r="N303" s="211"/>
      <c r="O303" s="211"/>
      <c r="Q303" s="212" t="str">
        <v/>
      </c>
      <c r="R303" s="212" t="str">
        <v/>
      </c>
      <c r="S303" s="212" t="str">
        <v/>
      </c>
      <c r="T303" s="212" t="str">
        <v/>
      </c>
      <c r="U303" s="212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211"/>
      <c r="L304" s="211"/>
      <c r="M304" s="211"/>
      <c r="N304" s="211"/>
      <c r="O304" s="211"/>
      <c r="Q304" s="212" t="str">
        <v/>
      </c>
      <c r="R304" s="212" t="str">
        <v/>
      </c>
      <c r="S304" s="212" t="str">
        <v/>
      </c>
      <c r="T304" s="212" t="str">
        <v/>
      </c>
      <c r="U304" s="212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C28:G28 D27:G27 C31:G46 C29:C30 G29:G3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{8E65BA87-580F-45E0-B69A-B2C6F12976E3}</x14:id>
        </ext>
      </extLst>
    </cfRule>
  </conditionalFormatting>
  <conditionalFormatting sqref="D52:D54">
    <cfRule type="cellIs" dxfId="62" priority="23" operator="equal">
      <formula>"C1"</formula>
    </cfRule>
    <cfRule type="cellIs" dxfId="61" priority="24" operator="between">
      <formula>"G1"</formula>
      <formula>"G4"</formula>
    </cfRule>
    <cfRule type="cellIs" dxfId="60" priority="25" operator="between">
      <formula>"GA"</formula>
      <formula>"GQ"</formula>
    </cfRule>
    <cfRule type="cellIs" dxfId="59" priority="26" operator="between">
      <formula>"M1"</formula>
      <formula>"M4"</formula>
    </cfRule>
  </conditionalFormatting>
  <conditionalFormatting sqref="E52:E54">
    <cfRule type="cellIs" dxfId="58" priority="19" operator="equal">
      <formula>"C1"</formula>
    </cfRule>
    <cfRule type="cellIs" dxfId="57" priority="20" operator="between">
      <formula>"G1"</formula>
      <formula>"G4"</formula>
    </cfRule>
    <cfRule type="cellIs" dxfId="56" priority="21" operator="between">
      <formula>"GA"</formula>
      <formula>"GQ"</formula>
    </cfRule>
    <cfRule type="cellIs" dxfId="55" priority="22" operator="between">
      <formula>"M1"</formula>
      <formula>"M4"</formula>
    </cfRule>
  </conditionalFormatting>
  <conditionalFormatting sqref="F52:F54">
    <cfRule type="cellIs" dxfId="54" priority="15" operator="equal">
      <formula>"C1"</formula>
    </cfRule>
    <cfRule type="cellIs" dxfId="53" priority="16" operator="between">
      <formula>"G1"</formula>
      <formula>"G4"</formula>
    </cfRule>
    <cfRule type="cellIs" dxfId="52" priority="17" operator="between">
      <formula>"GA"</formula>
      <formula>"GQ"</formula>
    </cfRule>
    <cfRule type="cellIs" dxfId="51" priority="18" operator="between">
      <formula>"M1"</formula>
      <formula>"M4"</formula>
    </cfRule>
  </conditionalFormatting>
  <conditionalFormatting sqref="D29:F30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{A9A76519-133E-4138-9656-78090B0A2F8B}</x14:id>
        </ext>
      </extLst>
    </cfRule>
  </conditionalFormatting>
  <conditionalFormatting sqref="W5:AA304 X4:AA4">
    <cfRule type="expression" dxfId="50" priority="5">
      <formula>_xlfn.LET(_xlpm.x, W4, AND(NOT(_xlfn.ISFORMULA(_xlpm.x)), _xlpm.x&lt;&gt;""))</formula>
    </cfRule>
  </conditionalFormatting>
  <conditionalFormatting sqref="W4:AA203">
    <cfRule type="expression" dxfId="49" priority="4">
      <formula>_xlfn.LET(_xlpm.x, W4, AND(NOT(_xlfn.ISFORMULA(_xlpm.x)), _xlpm.x&lt;&gt;""))</formula>
    </cfRule>
  </conditionalFormatting>
  <conditionalFormatting sqref="K1:O1048576">
    <cfRule type="cellIs" dxfId="48" priority="1" operator="equal">
      <formula>"C1"</formula>
    </cfRule>
    <cfRule type="cellIs" dxfId="47" priority="3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65BA87-580F-45E0-B69A-B2C6F12976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9A76519-133E-4138-9656-78090B0A2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" operator="containsText" id="{4CEFE062-0B37-4A8C-8885-4EB334CBE44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104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 cm="1">
        <f t="array" ref="W4">_xlfn.LET(_xlpm.x, K4:K6, IF(SUM((_xlpm.x="C1")*1)=1, 1, 0))</f>
        <v>0</v>
      </c>
      <c r="X4" s="25" cm="1">
        <f t="array" ref="X4">_xlfn.LET(_xlpm.x, L4:L6, IF(SUM((_xlpm.x="C1")*1)=1, 1, 0))</f>
        <v>0</v>
      </c>
      <c r="Y4" s="25" cm="1">
        <f t="array" ref="Y4">_xlfn.LET(_xlpm.x, M4:M6, IF(SUM((_xlpm.x="C1")*1)=1, 1, 0))</f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 x14ac:dyDescent="0.3">
      <c r="A5" s="29" t="str">
        <v>C1</v>
      </c>
      <c r="B5" s="8" t="str">
        <v>Scatter</v>
      </c>
      <c r="C5" s="98">
        <f t="shared" si="0"/>
        <v>6</v>
      </c>
      <c r="D5" s="98">
        <f t="shared" si="0"/>
        <v>6</v>
      </c>
      <c r="E5" s="98">
        <f t="shared" si="0"/>
        <v>6</v>
      </c>
      <c r="F5" s="98">
        <f t="shared" si="0"/>
        <v>9</v>
      </c>
      <c r="G5" s="98">
        <f t="shared" si="0"/>
        <v>9</v>
      </c>
      <c r="H5" s="8">
        <v>1</v>
      </c>
      <c r="I5" s="86"/>
      <c r="J5" s="9">
        <v>1</v>
      </c>
      <c r="K5" s="16" t="s">
        <v>35</v>
      </c>
      <c r="L5" s="16" t="s">
        <v>95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 cm="1">
        <f t="array" ref="W5">_xlfn.LET(_xlpm.x, K5:K7, IF(SUM((_xlpm.x="C1")*1)=1, 1, 0))</f>
        <v>0</v>
      </c>
      <c r="X5" s="25" cm="1">
        <f t="array" ref="X5">_xlfn.LET(_xlpm.x, L5:L7, IF(SUM((_xlpm.x="C1")*1)=1, 1, 0))</f>
        <v>0</v>
      </c>
      <c r="Y5" s="25" cm="1">
        <f t="array" ref="Y5">_xlfn.LET(_xlpm.x, M5:M7, IF(SUM((_xlpm.x="C1")*1)=1, 1, 0))</f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 x14ac:dyDescent="0.3">
      <c r="A6" s="128" t="str">
        <v>M1</v>
      </c>
      <c r="B6" s="108" t="str">
        <v>M1</v>
      </c>
      <c r="C6" s="128">
        <f t="shared" si="0"/>
        <v>3</v>
      </c>
      <c r="D6" s="128">
        <f t="shared" si="0"/>
        <v>20</v>
      </c>
      <c r="E6" s="128">
        <f t="shared" si="0"/>
        <v>4</v>
      </c>
      <c r="F6" s="128">
        <f t="shared" si="0"/>
        <v>21</v>
      </c>
      <c r="G6" s="128">
        <f t="shared" si="0"/>
        <v>22</v>
      </c>
      <c r="H6" s="108">
        <v>2</v>
      </c>
      <c r="I6" s="86"/>
      <c r="J6" s="25">
        <v>2</v>
      </c>
      <c r="K6" s="16" t="s">
        <v>35</v>
      </c>
      <c r="L6" s="16" t="s">
        <v>87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 cm="1">
        <f t="array" ref="W6">_xlfn.LET(_xlpm.x, K6:K8, IF(SUM((_xlpm.x="C1")*1)=1, 1, 0))</f>
        <v>0</v>
      </c>
      <c r="X6" s="25" cm="1">
        <f t="array" ref="X6">_xlfn.LET(_xlpm.x, L6:L8, IF(SUM((_xlpm.x="C1")*1)=1, 1, 0))</f>
        <v>0</v>
      </c>
      <c r="Y6" s="25">
        <v>0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 cm="1">
        <f t="array" ref="AK6:AO25">$AD$6:$AH$25</f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 x14ac:dyDescent="0.3">
      <c r="A7" s="128" t="str">
        <v>M2</v>
      </c>
      <c r="B7" s="108" t="str">
        <v>M2</v>
      </c>
      <c r="C7" s="128">
        <f t="shared" si="0"/>
        <v>2</v>
      </c>
      <c r="D7" s="128">
        <f t="shared" si="0"/>
        <v>18</v>
      </c>
      <c r="E7" s="128">
        <f t="shared" si="0"/>
        <v>4</v>
      </c>
      <c r="F7" s="128">
        <f t="shared" si="0"/>
        <v>20</v>
      </c>
      <c r="G7" s="128">
        <f t="shared" si="0"/>
        <v>22</v>
      </c>
      <c r="H7" s="108">
        <v>3</v>
      </c>
      <c r="I7" s="86"/>
      <c r="J7" s="9">
        <v>3</v>
      </c>
      <c r="K7" s="16" t="s">
        <v>104</v>
      </c>
      <c r="L7" s="26" t="s">
        <v>105</v>
      </c>
      <c r="M7" s="16" t="s">
        <v>35</v>
      </c>
      <c r="N7" s="16" t="s">
        <v>22</v>
      </c>
      <c r="O7" s="16" t="s">
        <v>22</v>
      </c>
      <c r="Q7" s="9">
        <v>6</v>
      </c>
      <c r="R7" s="9">
        <v>15</v>
      </c>
      <c r="S7" s="9">
        <v>8</v>
      </c>
      <c r="T7" s="9">
        <v>3</v>
      </c>
      <c r="U7" s="9">
        <v>3</v>
      </c>
      <c r="W7" s="25" cm="1">
        <f t="array" ref="W7">_xlfn.LET(_xlpm.x, K7:K9, IF(SUM((_xlpm.x="C1")*1)=1, 1, 0))</f>
        <v>0</v>
      </c>
      <c r="X7" s="25" cm="1">
        <f t="array" ref="X7">_xlfn.LET(_xlpm.x, L7:L9, IF(SUM((_xlpm.x="C1")*1)=1, 1, 0))</f>
        <v>0</v>
      </c>
      <c r="Y7" s="25" cm="1">
        <f t="array" ref="Y7">_xlfn.LET(_xlpm.x, M7:M9, IF(SUM((_xlpm.x="C1")*1)=1, 1, 0))</f>
        <v>0</v>
      </c>
      <c r="Z7" s="25">
        <v>1</v>
      </c>
      <c r="AA7" s="25">
        <v>1</v>
      </c>
      <c r="AC7" s="133" t="str">
        <v>C1</v>
      </c>
      <c r="AD7" s="133">
        <v>6</v>
      </c>
      <c r="AE7" s="133">
        <v>6</v>
      </c>
      <c r="AF7" s="133">
        <v>6</v>
      </c>
      <c r="AG7" s="133">
        <v>9</v>
      </c>
      <c r="AH7" s="133">
        <v>9</v>
      </c>
      <c r="AI7" s="5"/>
      <c r="AJ7" s="133" t="str">
        <v>C1</v>
      </c>
      <c r="AK7" s="211">
        <v>6</v>
      </c>
      <c r="AL7" s="211">
        <v>6</v>
      </c>
      <c r="AM7" s="211">
        <v>6</v>
      </c>
      <c r="AN7" s="211">
        <v>9</v>
      </c>
      <c r="AO7" s="211">
        <v>9</v>
      </c>
    </row>
    <row r="8" spans="1:41" ht="15.9" customHeight="1" x14ac:dyDescent="0.3">
      <c r="A8" s="128" t="str">
        <v>M3</v>
      </c>
      <c r="B8" s="108" t="str">
        <v>M3</v>
      </c>
      <c r="C8" s="128">
        <f t="shared" si="0"/>
        <v>4</v>
      </c>
      <c r="D8" s="128">
        <f t="shared" si="0"/>
        <v>18</v>
      </c>
      <c r="E8" s="128">
        <f t="shared" si="0"/>
        <v>4</v>
      </c>
      <c r="F8" s="128">
        <f t="shared" si="0"/>
        <v>20</v>
      </c>
      <c r="G8" s="128">
        <f t="shared" si="0"/>
        <v>21</v>
      </c>
      <c r="H8" s="108">
        <v>4</v>
      </c>
      <c r="I8" s="86"/>
      <c r="J8" s="25">
        <v>4</v>
      </c>
      <c r="K8" s="16" t="s">
        <v>35</v>
      </c>
      <c r="L8" s="16" t="s">
        <v>105</v>
      </c>
      <c r="M8" s="16" t="s">
        <v>19</v>
      </c>
      <c r="N8" s="16" t="s">
        <v>88</v>
      </c>
      <c r="O8" s="16" t="s">
        <v>22</v>
      </c>
      <c r="Q8" s="9">
        <v>8</v>
      </c>
      <c r="R8" s="9">
        <v>15</v>
      </c>
      <c r="S8" s="9">
        <v>5</v>
      </c>
      <c r="T8" s="9">
        <v>13</v>
      </c>
      <c r="U8" s="9">
        <v>3</v>
      </c>
      <c r="W8" s="25" cm="1">
        <f t="array" ref="W8">_xlfn.LET(_xlpm.x, K8:K10, IF(SUM((_xlpm.x="C1")*1)=1, 1, 0))</f>
        <v>0</v>
      </c>
      <c r="X8" s="25" cm="1">
        <f t="array" ref="X8">_xlfn.LET(_xlpm.x, L8:L10, IF(SUM((_xlpm.x="C1")*1)=1, 1, 0))</f>
        <v>0</v>
      </c>
      <c r="Y8" s="25" cm="1">
        <f t="array" ref="Y8">_xlfn.LET(_xlpm.x, M8:M10, IF(SUM((_xlpm.x="C1")*1)=1, 1, 0))</f>
        <v>0</v>
      </c>
      <c r="Z8" s="25">
        <v>1</v>
      </c>
      <c r="AA8" s="25">
        <v>1</v>
      </c>
      <c r="AC8" s="148" t="str">
        <v>M1</v>
      </c>
      <c r="AD8" s="128">
        <v>4</v>
      </c>
      <c r="AE8" s="128">
        <v>17</v>
      </c>
      <c r="AF8" s="128">
        <v>4</v>
      </c>
      <c r="AG8" s="128">
        <v>21</v>
      </c>
      <c r="AH8" s="128">
        <v>22</v>
      </c>
      <c r="AI8" s="5"/>
      <c r="AJ8" s="148" t="str">
        <v>M1</v>
      </c>
      <c r="AK8" s="128">
        <v>4</v>
      </c>
      <c r="AL8" s="128">
        <v>17</v>
      </c>
      <c r="AM8" s="128">
        <v>4</v>
      </c>
      <c r="AN8" s="128">
        <v>21</v>
      </c>
      <c r="AO8" s="128">
        <v>22</v>
      </c>
    </row>
    <row r="9" spans="1:41" ht="15.9" customHeight="1" x14ac:dyDescent="0.3">
      <c r="A9" s="128" t="str">
        <v>M4</v>
      </c>
      <c r="B9" s="108" t="str">
        <v>M4</v>
      </c>
      <c r="C9" s="128">
        <f t="shared" si="0"/>
        <v>40</v>
      </c>
      <c r="D9" s="128">
        <f t="shared" si="0"/>
        <v>17</v>
      </c>
      <c r="E9" s="128">
        <f t="shared" si="0"/>
        <v>41</v>
      </c>
      <c r="F9" s="128">
        <f t="shared" si="0"/>
        <v>14</v>
      </c>
      <c r="G9" s="128">
        <f t="shared" si="0"/>
        <v>21</v>
      </c>
      <c r="H9" s="108">
        <v>5</v>
      </c>
      <c r="I9" s="86"/>
      <c r="J9" s="9">
        <v>5</v>
      </c>
      <c r="K9" s="16" t="s">
        <v>37</v>
      </c>
      <c r="L9" s="16" t="s">
        <v>102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 cm="1">
        <f t="array" ref="W9">_xlfn.LET(_xlpm.x, K9:K11, IF(SUM((_xlpm.x="C1")*1)=1, 1, 0))</f>
        <v>0</v>
      </c>
      <c r="X9" s="25" cm="1">
        <f t="array" ref="X9">_xlfn.LET(_xlpm.x, L9:L11, IF(SUM((_xlpm.x="C1")*1)=1, 1, 0))</f>
        <v>0</v>
      </c>
      <c r="Y9" s="25" cm="1">
        <f t="array" ref="Y9">_xlfn.LET(_xlpm.x, M9:M11, IF(SUM((_xlpm.x="C1")*1)=1, 1, 0))</f>
        <v>0</v>
      </c>
      <c r="Z9" s="25">
        <v>1</v>
      </c>
      <c r="AA9" s="25">
        <v>1</v>
      </c>
      <c r="AC9" s="148" t="str">
        <v>M2</v>
      </c>
      <c r="AD9" s="128">
        <v>4</v>
      </c>
      <c r="AE9" s="128">
        <v>18</v>
      </c>
      <c r="AF9" s="128">
        <v>4</v>
      </c>
      <c r="AG9" s="128">
        <v>20</v>
      </c>
      <c r="AH9" s="128">
        <v>22</v>
      </c>
      <c r="AI9" s="5"/>
      <c r="AJ9" s="148" t="str">
        <v>M2</v>
      </c>
      <c r="AK9" s="128">
        <v>4</v>
      </c>
      <c r="AL9" s="128">
        <v>18</v>
      </c>
      <c r="AM9" s="128">
        <v>4</v>
      </c>
      <c r="AN9" s="128">
        <v>20</v>
      </c>
      <c r="AO9" s="128">
        <v>22</v>
      </c>
    </row>
    <row r="10" spans="1:41" ht="15.9" customHeight="1" x14ac:dyDescent="0.3">
      <c r="A10" s="128" t="str">
        <v>M5</v>
      </c>
      <c r="B10" s="108" t="str">
        <v>M5</v>
      </c>
      <c r="C10" s="128">
        <f t="shared" si="0"/>
        <v>43</v>
      </c>
      <c r="D10" s="128">
        <f t="shared" si="0"/>
        <v>11</v>
      </c>
      <c r="E10" s="128">
        <f t="shared" si="0"/>
        <v>41</v>
      </c>
      <c r="F10" s="128">
        <f t="shared" si="0"/>
        <v>14</v>
      </c>
      <c r="G10" s="128">
        <f t="shared" si="0"/>
        <v>21</v>
      </c>
      <c r="H10" s="108">
        <v>6</v>
      </c>
      <c r="I10" s="86"/>
      <c r="J10" s="25">
        <v>6</v>
      </c>
      <c r="K10" s="16" t="s">
        <v>104</v>
      </c>
      <c r="L10" s="16" t="s">
        <v>29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5</v>
      </c>
      <c r="S10" s="9">
        <v>5</v>
      </c>
      <c r="T10" s="9">
        <v>10</v>
      </c>
      <c r="U10" s="9">
        <v>5</v>
      </c>
      <c r="W10" s="25" cm="1">
        <f t="array" ref="W10">_xlfn.LET(_xlpm.x, K10:K12, IF(SUM((_xlpm.x="C1")*1)=1, 1, 0))</f>
        <v>0</v>
      </c>
      <c r="X10" s="25">
        <v>1</v>
      </c>
      <c r="Y10" s="25" cm="1">
        <f t="array" ref="Y10">_xlfn.LET(_xlpm.x, M10:M12, IF(SUM((_xlpm.x="C1")*1)=1, 1, 0))</f>
        <v>0</v>
      </c>
      <c r="Z10" s="25">
        <v>1</v>
      </c>
      <c r="AA10" s="25">
        <v>1</v>
      </c>
      <c r="AC10" s="148" t="str">
        <v>M3</v>
      </c>
      <c r="AD10" s="128">
        <v>4</v>
      </c>
      <c r="AE10" s="128">
        <v>18</v>
      </c>
      <c r="AF10" s="128">
        <v>4</v>
      </c>
      <c r="AG10" s="128">
        <v>20</v>
      </c>
      <c r="AH10" s="128">
        <v>21</v>
      </c>
      <c r="AI10" s="5"/>
      <c r="AJ10" s="148" t="str">
        <v>M3</v>
      </c>
      <c r="AK10" s="128">
        <v>4</v>
      </c>
      <c r="AL10" s="128">
        <v>18</v>
      </c>
      <c r="AM10" s="128">
        <v>4</v>
      </c>
      <c r="AN10" s="128">
        <v>20</v>
      </c>
      <c r="AO10" s="128">
        <v>21</v>
      </c>
    </row>
    <row r="11" spans="1:41" ht="15.9" customHeight="1" x14ac:dyDescent="0.3">
      <c r="A11" s="128" t="str">
        <v>A</v>
      </c>
      <c r="B11" s="108" t="str">
        <v>A</v>
      </c>
      <c r="C11" s="128">
        <f t="shared" si="0"/>
        <v>48</v>
      </c>
      <c r="D11" s="128">
        <f t="shared" si="0"/>
        <v>12</v>
      </c>
      <c r="E11" s="128">
        <f t="shared" si="0"/>
        <v>41</v>
      </c>
      <c r="F11" s="128">
        <f t="shared" si="0"/>
        <v>14</v>
      </c>
      <c r="G11" s="128">
        <f t="shared" si="0"/>
        <v>21</v>
      </c>
      <c r="H11" s="108">
        <v>7</v>
      </c>
      <c r="I11" s="86"/>
      <c r="J11" s="9">
        <v>7</v>
      </c>
      <c r="K11" s="16" t="s">
        <v>104</v>
      </c>
      <c r="L11" s="16" t="s">
        <v>29</v>
      </c>
      <c r="M11" s="16" t="s">
        <v>37</v>
      </c>
      <c r="N11" s="16" t="s">
        <v>37</v>
      </c>
      <c r="O11" s="16" t="s">
        <v>104</v>
      </c>
      <c r="Q11" s="9">
        <v>6</v>
      </c>
      <c r="R11" s="9">
        <v>5</v>
      </c>
      <c r="S11" s="9">
        <v>7</v>
      </c>
      <c r="T11" s="9">
        <v>7</v>
      </c>
      <c r="U11" s="9">
        <v>6</v>
      </c>
      <c r="W11" s="25" cm="1">
        <f t="array" ref="W11">_xlfn.LET(_xlpm.x, K11:K13, IF(SUM((_xlpm.x="C1")*1)=1, 1, 0))</f>
        <v>0</v>
      </c>
      <c r="X11" s="25" cm="1">
        <f t="array" ref="X11">_xlfn.LET(_xlpm.x, L11:L13, IF(SUM((_xlpm.x="C1")*1)=1, 1, 0))</f>
        <v>1</v>
      </c>
      <c r="Y11" s="25" cm="1">
        <f t="array" ref="Y11">_xlfn.LET(_xlpm.x, M11:M13, IF(SUM((_xlpm.x="C1")*1)=1, 1, 0))</f>
        <v>0</v>
      </c>
      <c r="Z11" s="25">
        <v>1</v>
      </c>
      <c r="AA11" s="25">
        <v>1</v>
      </c>
      <c r="AC11" s="148" t="str">
        <v>M4</v>
      </c>
      <c r="AD11" s="128">
        <v>40</v>
      </c>
      <c r="AE11" s="128">
        <v>14</v>
      </c>
      <c r="AF11" s="128">
        <v>41</v>
      </c>
      <c r="AG11" s="128">
        <v>14</v>
      </c>
      <c r="AH11" s="128">
        <v>21</v>
      </c>
      <c r="AI11" s="5"/>
      <c r="AJ11" s="148" t="str">
        <v>M4</v>
      </c>
      <c r="AK11" s="128">
        <v>40</v>
      </c>
      <c r="AL11" s="128">
        <v>14</v>
      </c>
      <c r="AM11" s="128">
        <v>41</v>
      </c>
      <c r="AN11" s="128">
        <v>14</v>
      </c>
      <c r="AO11" s="128">
        <v>21</v>
      </c>
    </row>
    <row r="12" spans="1:41" ht="15.9" customHeight="1" x14ac:dyDescent="0.3">
      <c r="A12" s="128" t="str">
        <v>K</v>
      </c>
      <c r="B12" s="108" t="str">
        <v>K</v>
      </c>
      <c r="C12" s="128">
        <f t="shared" si="0"/>
        <v>47</v>
      </c>
      <c r="D12" s="128">
        <f t="shared" si="0"/>
        <v>12</v>
      </c>
      <c r="E12" s="128">
        <f t="shared" si="0"/>
        <v>41</v>
      </c>
      <c r="F12" s="128">
        <f t="shared" si="0"/>
        <v>14</v>
      </c>
      <c r="G12" s="128">
        <f t="shared" si="0"/>
        <v>21</v>
      </c>
      <c r="H12" s="108">
        <v>8</v>
      </c>
      <c r="I12" s="86"/>
      <c r="J12" s="25">
        <v>8</v>
      </c>
      <c r="K12" s="16" t="s">
        <v>37</v>
      </c>
      <c r="L12" s="16" t="s">
        <v>87</v>
      </c>
      <c r="M12" s="16" t="s">
        <v>105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 cm="1">
        <f t="array" ref="W12">_xlfn.LET(_xlpm.x, K12:K14, IF(SUM((_xlpm.x="C1")*1)=1, 1, 0))</f>
        <v>0</v>
      </c>
      <c r="X12" s="25" cm="1">
        <f t="array" ref="X12">_xlfn.LET(_xlpm.x, L12:L14, IF(SUM((_xlpm.x="C1")*1)=1, 1, 0))</f>
        <v>1</v>
      </c>
      <c r="Y12" s="25" cm="1">
        <f t="array" ref="Y12">_xlfn.LET(_xlpm.x, M12:M14, IF(SUM((_xlpm.x="C1")*1)=1, 1, 0))</f>
        <v>0</v>
      </c>
      <c r="Z12" s="25">
        <v>1</v>
      </c>
      <c r="AA12" s="25">
        <v>1</v>
      </c>
      <c r="AC12" s="148" t="str">
        <v>M5</v>
      </c>
      <c r="AD12" s="128">
        <v>40</v>
      </c>
      <c r="AE12" s="128">
        <v>14</v>
      </c>
      <c r="AF12" s="128">
        <v>41</v>
      </c>
      <c r="AG12" s="128">
        <v>14</v>
      </c>
      <c r="AH12" s="128">
        <v>21</v>
      </c>
      <c r="AI12" s="5"/>
      <c r="AJ12" s="148" t="str">
        <v>M5</v>
      </c>
      <c r="AK12" s="128">
        <v>40</v>
      </c>
      <c r="AL12" s="128">
        <v>14</v>
      </c>
      <c r="AM12" s="128">
        <v>41</v>
      </c>
      <c r="AN12" s="128">
        <v>14</v>
      </c>
      <c r="AO12" s="128">
        <v>21</v>
      </c>
    </row>
    <row r="13" spans="1:41" ht="15.9" customHeight="1" x14ac:dyDescent="0.3">
      <c r="A13" s="128" t="str">
        <v>Q</v>
      </c>
      <c r="B13" s="108" t="str">
        <v>Q</v>
      </c>
      <c r="C13" s="128">
        <f t="shared" si="0"/>
        <v>3</v>
      </c>
      <c r="D13" s="128">
        <f t="shared" si="0"/>
        <v>19</v>
      </c>
      <c r="E13" s="128">
        <f t="shared" si="0"/>
        <v>3</v>
      </c>
      <c r="F13" s="128">
        <f t="shared" si="0"/>
        <v>21</v>
      </c>
      <c r="G13" s="128">
        <f t="shared" si="0"/>
        <v>21</v>
      </c>
      <c r="H13" s="108">
        <v>9</v>
      </c>
      <c r="I13" s="86"/>
      <c r="J13" s="9">
        <v>9</v>
      </c>
      <c r="K13" s="16" t="s">
        <v>104</v>
      </c>
      <c r="L13" s="16" t="s">
        <v>20</v>
      </c>
      <c r="M13" s="16" t="s">
        <v>37</v>
      </c>
      <c r="N13" s="16" t="s">
        <v>104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 cm="1">
        <f t="array" ref="W13">_xlfn.LET(_xlpm.x, K13:K15, IF(SUM((_xlpm.x="C1")*1)=1, 1, 0))</f>
        <v>0</v>
      </c>
      <c r="X13" s="25">
        <v>0</v>
      </c>
      <c r="Y13" s="25" cm="1">
        <f t="array" ref="Y13">_xlfn.LET(_xlpm.x, M13:M15, IF(SUM((_xlpm.x="C1")*1)=1, 1, 0))</f>
        <v>0</v>
      </c>
      <c r="Z13" s="25">
        <v>1</v>
      </c>
      <c r="AA13" s="25">
        <v>1</v>
      </c>
      <c r="AC13" s="148" t="str">
        <v>A</v>
      </c>
      <c r="AD13" s="128">
        <v>47</v>
      </c>
      <c r="AE13" s="128">
        <v>13</v>
      </c>
      <c r="AF13" s="128">
        <v>41</v>
      </c>
      <c r="AG13" s="128">
        <v>14</v>
      </c>
      <c r="AH13" s="128">
        <v>21</v>
      </c>
      <c r="AI13" s="5"/>
      <c r="AJ13" s="148" t="str">
        <v>A</v>
      </c>
      <c r="AK13" s="128">
        <v>47</v>
      </c>
      <c r="AL13" s="128">
        <v>13</v>
      </c>
      <c r="AM13" s="128">
        <v>41</v>
      </c>
      <c r="AN13" s="128">
        <v>14</v>
      </c>
      <c r="AO13" s="128">
        <v>21</v>
      </c>
    </row>
    <row r="14" spans="1:41" ht="15.9" customHeight="1" x14ac:dyDescent="0.3">
      <c r="A14" s="128" t="str">
        <v>J</v>
      </c>
      <c r="B14" s="108" t="str">
        <v>J</v>
      </c>
      <c r="C14" s="128">
        <f t="shared" si="0"/>
        <v>4</v>
      </c>
      <c r="D14" s="128">
        <f t="shared" si="0"/>
        <v>16</v>
      </c>
      <c r="E14" s="128">
        <f t="shared" si="0"/>
        <v>3</v>
      </c>
      <c r="F14" s="128">
        <f t="shared" si="0"/>
        <v>21</v>
      </c>
      <c r="G14" s="128">
        <f t="shared" si="0"/>
        <v>21</v>
      </c>
      <c r="H14" s="108">
        <v>10</v>
      </c>
      <c r="I14" s="86"/>
      <c r="J14" s="25">
        <v>10</v>
      </c>
      <c r="K14" s="16" t="s">
        <v>35</v>
      </c>
      <c r="L14" s="16" t="s">
        <v>32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9</v>
      </c>
      <c r="S14" s="9">
        <v>8</v>
      </c>
      <c r="T14" s="9">
        <v>3</v>
      </c>
      <c r="U14" s="9">
        <v>2</v>
      </c>
      <c r="W14" s="25" cm="1">
        <f t="array" ref="W14">_xlfn.LET(_xlpm.x, K14:K16, IF(SUM((_xlpm.x="C1")*1)=1, 1, 0))</f>
        <v>0</v>
      </c>
      <c r="X14" s="25" cm="1">
        <f t="array" ref="X14">_xlfn.LET(_xlpm.x, L14:L16, IF(SUM((_xlpm.x="C1")*1)=1, 1, 0))</f>
        <v>0</v>
      </c>
      <c r="Y14" s="25" cm="1">
        <f t="array" ref="Y14">_xlfn.LET(_xlpm.x, M14:M16, IF(SUM((_xlpm.x="C1")*1)=1, 1, 0))</f>
        <v>0</v>
      </c>
      <c r="Z14" s="25">
        <v>1</v>
      </c>
      <c r="AA14" s="25">
        <v>1</v>
      </c>
      <c r="AC14" s="148" t="str">
        <v>K</v>
      </c>
      <c r="AD14" s="128">
        <v>47</v>
      </c>
      <c r="AE14" s="128">
        <v>13</v>
      </c>
      <c r="AF14" s="128">
        <v>41</v>
      </c>
      <c r="AG14" s="128">
        <v>14</v>
      </c>
      <c r="AH14" s="128">
        <v>21</v>
      </c>
      <c r="AI14" s="5"/>
      <c r="AJ14" s="148" t="str">
        <v>K</v>
      </c>
      <c r="AK14" s="128">
        <v>47</v>
      </c>
      <c r="AL14" s="128">
        <v>13</v>
      </c>
      <c r="AM14" s="128">
        <v>41</v>
      </c>
      <c r="AN14" s="128">
        <v>14</v>
      </c>
      <c r="AO14" s="128">
        <v>21</v>
      </c>
    </row>
    <row r="15" spans="1:41" ht="15.9" customHeight="1" x14ac:dyDescent="0.3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8</v>
      </c>
      <c r="E15" s="98">
        <f t="shared" si="0"/>
        <v>0</v>
      </c>
      <c r="F15" s="98">
        <f t="shared" si="0"/>
        <v>4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26</v>
      </c>
      <c r="M15" s="16" t="s">
        <v>104</v>
      </c>
      <c r="N15" s="16" t="s">
        <v>18</v>
      </c>
      <c r="O15" s="16" t="s">
        <v>18</v>
      </c>
      <c r="Q15" s="9">
        <v>6</v>
      </c>
      <c r="R15" s="9">
        <v>2</v>
      </c>
      <c r="S15" s="9">
        <v>6</v>
      </c>
      <c r="T15" s="9">
        <v>4</v>
      </c>
      <c r="U15" s="9">
        <v>4</v>
      </c>
      <c r="W15" s="25" cm="1">
        <f t="array" ref="W15">_xlfn.LET(_xlpm.x, K15:K17, IF(SUM((_xlpm.x="C1")*1)=1, 1, 0))</f>
        <v>0</v>
      </c>
      <c r="X15" s="25" cm="1">
        <f t="array" ref="X15">_xlfn.LET(_xlpm.x, L15:L17, IF(SUM((_xlpm.x="C1")*1)=1, 1, 0))</f>
        <v>0</v>
      </c>
      <c r="Y15" s="25" cm="1">
        <f t="array" ref="Y15">_xlfn.LET(_xlpm.x, M15:M17, IF(SUM((_xlpm.x="C1")*1)=1, 1, 0))</f>
        <v>0</v>
      </c>
      <c r="Z15" s="25">
        <v>1</v>
      </c>
      <c r="AA15" s="25">
        <v>1</v>
      </c>
      <c r="AC15" s="148" t="str">
        <v>Q</v>
      </c>
      <c r="AD15" s="128">
        <v>4</v>
      </c>
      <c r="AE15" s="128">
        <v>17</v>
      </c>
      <c r="AF15" s="128">
        <v>3</v>
      </c>
      <c r="AG15" s="128">
        <v>21</v>
      </c>
      <c r="AH15" s="128">
        <v>21</v>
      </c>
      <c r="AI15" s="5"/>
      <c r="AJ15" s="148" t="str">
        <v>Q</v>
      </c>
      <c r="AK15" s="128">
        <v>4</v>
      </c>
      <c r="AL15" s="128">
        <v>17</v>
      </c>
      <c r="AM15" s="128">
        <v>3</v>
      </c>
      <c r="AN15" s="128">
        <v>21</v>
      </c>
      <c r="AO15" s="128">
        <v>21</v>
      </c>
    </row>
    <row r="16" spans="1:41" ht="15.9" customHeight="1" x14ac:dyDescent="0.3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7</v>
      </c>
      <c r="E16" s="98">
        <f t="shared" si="0"/>
        <v>0</v>
      </c>
      <c r="F16" s="98">
        <f t="shared" si="0"/>
        <v>4</v>
      </c>
      <c r="G16" s="98">
        <f t="shared" si="0"/>
        <v>0</v>
      </c>
      <c r="H16" s="8">
        <v>12</v>
      </c>
      <c r="I16" s="86"/>
      <c r="J16" s="25">
        <v>12</v>
      </c>
      <c r="K16" s="16" t="s">
        <v>19</v>
      </c>
      <c r="L16" s="16" t="s">
        <v>93</v>
      </c>
      <c r="M16" s="16" t="s">
        <v>104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 cm="1">
        <f t="array" ref="W16">_xlfn.LET(_xlpm.x, K16:K18, IF(SUM((_xlpm.x="C1")*1)=1, 1, 0))</f>
        <v>0</v>
      </c>
      <c r="X16" s="25" cm="1">
        <f t="array" ref="X16">_xlfn.LET(_xlpm.x, L16:L18, IF(SUM((_xlpm.x="C1")*1)=1, 1, 0))</f>
        <v>0</v>
      </c>
      <c r="Y16" s="25" cm="1">
        <f t="array" ref="Y16">_xlfn.LET(_xlpm.x, M16:M18, IF(SUM((_xlpm.x="C1")*1)=1, 1, 0))</f>
        <v>0</v>
      </c>
      <c r="Z16" s="25">
        <v>1</v>
      </c>
      <c r="AA16" s="25">
        <v>1</v>
      </c>
      <c r="AC16" s="148" t="str">
        <v>J</v>
      </c>
      <c r="AD16" s="128">
        <v>4</v>
      </c>
      <c r="AE16" s="128">
        <v>17</v>
      </c>
      <c r="AF16" s="128">
        <v>3</v>
      </c>
      <c r="AG16" s="128">
        <v>21</v>
      </c>
      <c r="AH16" s="128">
        <v>21</v>
      </c>
      <c r="AI16" s="5"/>
      <c r="AJ16" s="148" t="str">
        <v>J</v>
      </c>
      <c r="AK16" s="128">
        <v>4</v>
      </c>
      <c r="AL16" s="128">
        <v>17</v>
      </c>
      <c r="AM16" s="128">
        <v>3</v>
      </c>
      <c r="AN16" s="128">
        <v>21</v>
      </c>
      <c r="AO16" s="128">
        <v>21</v>
      </c>
    </row>
    <row r="17" spans="1:41" ht="15.9" customHeight="1" x14ac:dyDescent="0.3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7</v>
      </c>
      <c r="E17" s="98">
        <f t="shared" si="0"/>
        <v>0</v>
      </c>
      <c r="F17" s="98">
        <f t="shared" si="0"/>
        <v>4</v>
      </c>
      <c r="G17" s="98">
        <f t="shared" si="0"/>
        <v>0</v>
      </c>
      <c r="H17" s="8">
        <v>13</v>
      </c>
      <c r="I17" s="86"/>
      <c r="J17" s="9">
        <v>13</v>
      </c>
      <c r="K17" s="16" t="s">
        <v>19</v>
      </c>
      <c r="L17" s="16" t="s">
        <v>104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 cm="1">
        <f t="array" ref="W17">_xlfn.LET(_xlpm.x, K17:K19, IF(SUM((_xlpm.x="C1")*1)=1, 1, 0))</f>
        <v>0</v>
      </c>
      <c r="X17" s="25" cm="1">
        <f t="array" ref="X17">_xlfn.LET(_xlpm.x, L17:L19, IF(SUM((_xlpm.x="C1")*1)=1, 1, 0))</f>
        <v>0</v>
      </c>
      <c r="Y17" s="25" cm="1">
        <f t="array" ref="Y17">_xlfn.LET(_xlpm.x, M17:M19, IF(SUM((_xlpm.x="C1")*1)=1, 1, 0))</f>
        <v>0</v>
      </c>
      <c r="Z17" s="25">
        <v>1</v>
      </c>
      <c r="AA17" s="25">
        <v>1</v>
      </c>
      <c r="AC17" s="133" t="str">
        <v>G1</v>
      </c>
      <c r="AD17" s="98">
        <v>0</v>
      </c>
      <c r="AE17" s="98">
        <v>8</v>
      </c>
      <c r="AF17" s="98">
        <v>1</v>
      </c>
      <c r="AG17" s="98">
        <v>5</v>
      </c>
      <c r="AH17" s="98">
        <v>0</v>
      </c>
      <c r="AI17" s="5"/>
      <c r="AJ17" s="133" t="str">
        <v>G1</v>
      </c>
      <c r="AK17" s="98">
        <v>0</v>
      </c>
      <c r="AL17" s="98">
        <v>8</v>
      </c>
      <c r="AM17" s="98">
        <v>1</v>
      </c>
      <c r="AN17" s="98">
        <v>5</v>
      </c>
      <c r="AO17" s="98">
        <v>0</v>
      </c>
    </row>
    <row r="18" spans="1:41" ht="15.9" customHeight="1" x14ac:dyDescent="0.3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4</v>
      </c>
      <c r="E18" s="98">
        <f t="shared" si="0"/>
        <v>3</v>
      </c>
      <c r="F18" s="98">
        <f t="shared" si="0"/>
        <v>3</v>
      </c>
      <c r="G18" s="98">
        <f t="shared" si="0"/>
        <v>0</v>
      </c>
      <c r="H18" s="8">
        <v>14</v>
      </c>
      <c r="I18" s="86"/>
      <c r="J18" s="25">
        <v>14</v>
      </c>
      <c r="K18" s="16" t="s">
        <v>104</v>
      </c>
      <c r="L18" s="16" t="s">
        <v>86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 cm="1">
        <f t="array" ref="W18">_xlfn.LET(_xlpm.x, K18:K20, IF(SUM((_xlpm.x="C1")*1)=1, 1, 0))</f>
        <v>0</v>
      </c>
      <c r="X18" s="25" cm="1">
        <f t="array" ref="X18">_xlfn.LET(_xlpm.x, L18:L20, IF(SUM((_xlpm.x="C1")*1)=1, 1, 0))</f>
        <v>0</v>
      </c>
      <c r="Y18" s="25" cm="1">
        <f t="array" ref="Y18">_xlfn.LET(_xlpm.x, M18:M20, IF(SUM((_xlpm.x="C1")*1)=1, 1, 0))</f>
        <v>0</v>
      </c>
      <c r="Z18" s="25">
        <v>1</v>
      </c>
      <c r="AA18" s="25">
        <v>1</v>
      </c>
      <c r="AC18" s="133" t="str">
        <v>G2</v>
      </c>
      <c r="AD18" s="98">
        <v>0</v>
      </c>
      <c r="AE18" s="98">
        <v>8</v>
      </c>
      <c r="AF18" s="98">
        <v>1</v>
      </c>
      <c r="AG18" s="98">
        <v>5</v>
      </c>
      <c r="AH18" s="98">
        <v>0</v>
      </c>
      <c r="AI18" s="5"/>
      <c r="AJ18" s="133" t="str">
        <v>G2</v>
      </c>
      <c r="AK18" s="98">
        <v>0</v>
      </c>
      <c r="AL18" s="98">
        <v>8</v>
      </c>
      <c r="AM18" s="98">
        <v>1</v>
      </c>
      <c r="AN18" s="98">
        <v>5</v>
      </c>
      <c r="AO18" s="98">
        <v>0</v>
      </c>
    </row>
    <row r="19" spans="1:41" ht="15.9" customHeight="1" x14ac:dyDescent="0.3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4</v>
      </c>
      <c r="E19" s="98">
        <f t="shared" si="0"/>
        <v>3</v>
      </c>
      <c r="F19" s="98">
        <f t="shared" si="0"/>
        <v>3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 cm="1">
        <f t="array" ref="W19">_xlfn.LET(_xlpm.x, K19:K21, IF(SUM((_xlpm.x="C1")*1)=1, 1, 0))</f>
        <v>0</v>
      </c>
      <c r="X19" s="25" cm="1">
        <f t="array" ref="X19">_xlfn.LET(_xlpm.x, L19:L21, IF(SUM((_xlpm.x="C1")*1)=1, 1, 0))</f>
        <v>0</v>
      </c>
      <c r="Y19" s="25" cm="1">
        <f t="array" ref="Y19">_xlfn.LET(_xlpm.x, M19:M21, IF(SUM((_xlpm.x="C1")*1)=1, 1, 0))</f>
        <v>0</v>
      </c>
      <c r="Z19" s="25">
        <v>1</v>
      </c>
      <c r="AA19" s="25">
        <v>1</v>
      </c>
      <c r="AC19" s="133" t="str">
        <v>G3</v>
      </c>
      <c r="AD19" s="98">
        <v>0</v>
      </c>
      <c r="AE19" s="98">
        <v>8</v>
      </c>
      <c r="AF19" s="98">
        <v>1</v>
      </c>
      <c r="AG19" s="98">
        <v>5</v>
      </c>
      <c r="AH19" s="98">
        <v>0</v>
      </c>
      <c r="AI19" s="5"/>
      <c r="AJ19" s="133" t="str">
        <v>G3</v>
      </c>
      <c r="AK19" s="98">
        <v>0</v>
      </c>
      <c r="AL19" s="98">
        <v>8</v>
      </c>
      <c r="AM19" s="98">
        <v>1</v>
      </c>
      <c r="AN19" s="98">
        <v>5</v>
      </c>
      <c r="AO19" s="98">
        <v>0</v>
      </c>
    </row>
    <row r="20" spans="1:41" ht="15.9" customHeight="1" x14ac:dyDescent="0.3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4</v>
      </c>
      <c r="E20" s="98">
        <f t="shared" si="0"/>
        <v>3</v>
      </c>
      <c r="F20" s="98">
        <f t="shared" si="0"/>
        <v>3</v>
      </c>
      <c r="G20" s="98">
        <f t="shared" si="0"/>
        <v>0</v>
      </c>
      <c r="H20" s="8">
        <v>16</v>
      </c>
      <c r="I20" s="86"/>
      <c r="J20" s="25">
        <v>16</v>
      </c>
      <c r="K20" s="16" t="s">
        <v>22</v>
      </c>
      <c r="L20" s="16" t="s">
        <v>86</v>
      </c>
      <c r="M20" s="16" t="s">
        <v>21</v>
      </c>
      <c r="N20" s="16" t="s">
        <v>93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 cm="1">
        <f t="array" ref="W20">_xlfn.LET(_xlpm.x, K20:K22, IF(SUM((_xlpm.x="C1")*1)=1, 1, 0))</f>
        <v>0</v>
      </c>
      <c r="X20" s="25" cm="1">
        <f t="array" ref="X20">_xlfn.LET(_xlpm.x, L20:L22, IF(SUM((_xlpm.x="C1")*1)=1, 1, 0))</f>
        <v>0</v>
      </c>
      <c r="Y20" s="25" cm="1">
        <f t="array" ref="Y20">_xlfn.LET(_xlpm.x, M20:M22, IF(SUM((_xlpm.x="C1")*1)=1, 1, 0))</f>
        <v>0</v>
      </c>
      <c r="Z20" s="25">
        <v>1</v>
      </c>
      <c r="AA20" s="25">
        <v>1</v>
      </c>
      <c r="AC20" s="133" t="str">
        <v>G4</v>
      </c>
      <c r="AD20" s="98">
        <v>0</v>
      </c>
      <c r="AE20" s="98">
        <v>5</v>
      </c>
      <c r="AF20" s="98">
        <v>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5</v>
      </c>
      <c r="AM20" s="98">
        <v>4</v>
      </c>
      <c r="AN20" s="98">
        <v>4</v>
      </c>
      <c r="AO20" s="98">
        <v>0</v>
      </c>
    </row>
    <row r="21" spans="1:41" ht="15.9" customHeight="1" x14ac:dyDescent="0.3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4</v>
      </c>
      <c r="E21" s="98">
        <f t="shared" si="0"/>
        <v>3</v>
      </c>
      <c r="F21" s="98">
        <f t="shared" si="0"/>
        <v>3</v>
      </c>
      <c r="G21" s="98">
        <f t="shared" si="0"/>
        <v>0</v>
      </c>
      <c r="H21" s="8">
        <v>17</v>
      </c>
      <c r="I21" s="86"/>
      <c r="J21" s="9">
        <v>17</v>
      </c>
      <c r="K21" s="16" t="s">
        <v>37</v>
      </c>
      <c r="L21" s="16" t="s">
        <v>104</v>
      </c>
      <c r="M21" s="16" t="s">
        <v>36</v>
      </c>
      <c r="N21" s="16" t="s">
        <v>34</v>
      </c>
      <c r="O21" s="16" t="s">
        <v>104</v>
      </c>
      <c r="Q21" s="9">
        <v>7</v>
      </c>
      <c r="R21" s="9">
        <v>6</v>
      </c>
      <c r="S21" s="9">
        <v>10</v>
      </c>
      <c r="T21" s="9">
        <v>9</v>
      </c>
      <c r="U21" s="9">
        <v>6</v>
      </c>
      <c r="W21" s="25" cm="1">
        <f t="array" ref="W21">_xlfn.LET(_xlpm.x, K21:K23, IF(SUM((_xlpm.x="C1")*1)=1, 1, 0))</f>
        <v>0</v>
      </c>
      <c r="X21" s="25" cm="1">
        <f t="array" ref="X21">_xlfn.LET(_xlpm.x, L21:L23, IF(SUM((_xlpm.x="C1")*1)=1, 1, 0))</f>
        <v>0</v>
      </c>
      <c r="Y21" s="25" cm="1">
        <f t="array" ref="Y21">_xlfn.LET(_xlpm.x, M21:M23, IF(SUM((_xlpm.x="C1")*1)=1, 1, 0))</f>
        <v>0</v>
      </c>
      <c r="Z21" s="25">
        <v>1</v>
      </c>
      <c r="AA21" s="25">
        <v>1</v>
      </c>
      <c r="AC21" s="133" t="str">
        <v>G5</v>
      </c>
      <c r="AD21" s="98">
        <v>0</v>
      </c>
      <c r="AE21" s="98">
        <v>5</v>
      </c>
      <c r="AF21" s="98">
        <v>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5</v>
      </c>
      <c r="AM21" s="98">
        <v>4</v>
      </c>
      <c r="AN21" s="98">
        <v>4</v>
      </c>
      <c r="AO21" s="98">
        <v>0</v>
      </c>
    </row>
    <row r="22" spans="1:41" ht="15.9" customHeight="1" x14ac:dyDescent="0.3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8</v>
      </c>
      <c r="E22" s="98">
        <f t="shared" si="0"/>
        <v>0</v>
      </c>
      <c r="F22" s="98">
        <f t="shared" si="0"/>
        <v>4</v>
      </c>
      <c r="G22" s="98">
        <f t="shared" si="0"/>
        <v>0</v>
      </c>
      <c r="H22" s="8">
        <v>18</v>
      </c>
      <c r="I22" s="86"/>
      <c r="J22" s="25">
        <v>18</v>
      </c>
      <c r="K22" s="16" t="s">
        <v>35</v>
      </c>
      <c r="L22" s="16" t="s">
        <v>104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 cm="1">
        <f t="array" ref="W22">_xlfn.LET(_xlpm.x, K22:K24, IF(SUM((_xlpm.x="C1")*1)=1, 1, 0))</f>
        <v>0</v>
      </c>
      <c r="X22" s="25" cm="1">
        <f t="array" ref="X22">_xlfn.LET(_xlpm.x, L22:L24, IF(SUM((_xlpm.x="C1")*1)=1, 1, 0))</f>
        <v>0</v>
      </c>
      <c r="Y22" s="25" cm="1">
        <f t="array" ref="Y22">_xlfn.LET(_xlpm.x, M22:M24, IF(SUM((_xlpm.x="C1")*1)=1, 1, 0))</f>
        <v>0</v>
      </c>
      <c r="Z22" s="25">
        <v>1</v>
      </c>
      <c r="AA22" s="25">
        <v>1</v>
      </c>
      <c r="AC22" s="133" t="str">
        <v>GA</v>
      </c>
      <c r="AD22" s="98">
        <v>0</v>
      </c>
      <c r="AE22" s="98">
        <v>5</v>
      </c>
      <c r="AF22" s="98">
        <v>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5</v>
      </c>
      <c r="AM22" s="98">
        <v>4</v>
      </c>
      <c r="AN22" s="98">
        <v>4</v>
      </c>
      <c r="AO22" s="98">
        <v>0</v>
      </c>
    </row>
    <row r="23" spans="1:41" ht="15.9" customHeight="1" x14ac:dyDescent="0.3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5</v>
      </c>
      <c r="E23" s="98">
        <f t="shared" si="0"/>
        <v>0</v>
      </c>
      <c r="F23" s="98">
        <f t="shared" si="0"/>
        <v>4</v>
      </c>
      <c r="G23" s="98">
        <f t="shared" si="0"/>
        <v>0</v>
      </c>
      <c r="H23" s="8">
        <v>19</v>
      </c>
      <c r="I23" s="86"/>
      <c r="J23" s="9">
        <v>19</v>
      </c>
      <c r="K23" s="16" t="s">
        <v>104</v>
      </c>
      <c r="L23" s="16" t="s">
        <v>19</v>
      </c>
      <c r="M23" s="16" t="s">
        <v>104</v>
      </c>
      <c r="N23" s="16" t="s">
        <v>90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 cm="1">
        <f t="array" ref="W23">_xlfn.LET(_xlpm.x, K23:K25, IF(SUM((_xlpm.x="C1")*1)=1, 1, 0))</f>
        <v>0</v>
      </c>
      <c r="X23" s="25" cm="1">
        <f t="array" ref="X23">_xlfn.LET(_xlpm.x, L23:L25, IF(SUM((_xlpm.x="C1")*1)=1, 1, 0))</f>
        <v>0</v>
      </c>
      <c r="Y23" s="25" cm="1">
        <f t="array" ref="Y23">_xlfn.LET(_xlpm.x, M23:M25, IF(SUM((_xlpm.x="C1")*1)=1, 1, 0))</f>
        <v>0</v>
      </c>
      <c r="Z23" s="25">
        <v>1</v>
      </c>
      <c r="AA23" s="25">
        <v>1</v>
      </c>
      <c r="AC23" s="133" t="str">
        <v>GK</v>
      </c>
      <c r="AD23" s="98">
        <v>0</v>
      </c>
      <c r="AE23" s="98">
        <v>5</v>
      </c>
      <c r="AF23" s="98">
        <v>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5</v>
      </c>
      <c r="AM23" s="98">
        <v>4</v>
      </c>
      <c r="AN23" s="98">
        <v>4</v>
      </c>
      <c r="AO23" s="98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102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 cm="1">
        <f t="array" ref="W24">_xlfn.LET(_xlpm.x, K24:K26, IF(SUM((_xlpm.x="C1")*1)=1, 1, 0))</f>
        <v>0</v>
      </c>
      <c r="X24" s="25" cm="1">
        <f t="array" ref="X24">_xlfn.LET(_xlpm.x, L24:L26, IF(SUM((_xlpm.x="C1")*1)=1, 1, 0))</f>
        <v>0</v>
      </c>
      <c r="Y24" s="25" cm="1">
        <f t="array" ref="Y24">_xlfn.LET(_xlpm.x, M24:M26, IF(SUM((_xlpm.x="C1")*1)=1, 1, 0))</f>
        <v>0</v>
      </c>
      <c r="Z24" s="25">
        <v>1</v>
      </c>
      <c r="AA24" s="25">
        <v>1</v>
      </c>
      <c r="AC24" s="133" t="str">
        <v>GQ</v>
      </c>
      <c r="AD24" s="98">
        <v>0</v>
      </c>
      <c r="AE24" s="98">
        <v>9</v>
      </c>
      <c r="AF24" s="98">
        <v>1</v>
      </c>
      <c r="AG24" s="98">
        <v>5</v>
      </c>
      <c r="AH24" s="98">
        <v>0</v>
      </c>
      <c r="AI24" s="5"/>
      <c r="AJ24" s="133" t="str">
        <v>GQ</v>
      </c>
      <c r="AK24" s="98">
        <v>0</v>
      </c>
      <c r="AL24" s="98">
        <v>9</v>
      </c>
      <c r="AM24" s="98">
        <v>1</v>
      </c>
      <c r="AN24" s="98">
        <v>5</v>
      </c>
      <c r="AO24" s="98">
        <v>0</v>
      </c>
    </row>
    <row r="25" spans="1:41" ht="16.5" customHeight="1" x14ac:dyDescent="0.3">
      <c r="I25" s="86"/>
      <c r="J25" s="9">
        <v>21</v>
      </c>
      <c r="K25" s="16" t="s">
        <v>35</v>
      </c>
      <c r="L25" s="16" t="s">
        <v>102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 cm="1">
        <f t="array" ref="W25">_xlfn.LET(_xlpm.x, K25:K27, IF(SUM((_xlpm.x="C1")*1)=1, 1, 0))</f>
        <v>0</v>
      </c>
      <c r="X25" s="25" cm="1">
        <f t="array" ref="X25">_xlfn.LET(_xlpm.x, L25:L27, IF(SUM((_xlpm.x="C1")*1)=1, 1, 0))</f>
        <v>0</v>
      </c>
      <c r="Y25" s="25" cm="1">
        <f t="array" ref="Y25">_xlfn.LET(_xlpm.x, M25:M27, IF(SUM((_xlpm.x="C1")*1)=1, 1, 0))</f>
        <v>0</v>
      </c>
      <c r="Z25" s="25">
        <v>1</v>
      </c>
      <c r="AA25" s="25">
        <v>1</v>
      </c>
      <c r="AC25" s="133" t="str">
        <v>GJ</v>
      </c>
      <c r="AD25" s="98">
        <v>0</v>
      </c>
      <c r="AE25" s="98">
        <v>9</v>
      </c>
      <c r="AF25" s="98">
        <v>1</v>
      </c>
      <c r="AG25" s="98">
        <v>5</v>
      </c>
      <c r="AH25" s="98">
        <v>0</v>
      </c>
      <c r="AI25" s="5"/>
      <c r="AJ25" s="133" t="str">
        <v>GJ</v>
      </c>
      <c r="AK25" s="98">
        <v>0</v>
      </c>
      <c r="AL25" s="98">
        <v>9</v>
      </c>
      <c r="AM25" s="98">
        <v>1</v>
      </c>
      <c r="AN25" s="98">
        <v>5</v>
      </c>
      <c r="AO25" s="98">
        <v>0</v>
      </c>
    </row>
    <row r="26" spans="1:41" ht="16.5" customHeight="1" x14ac:dyDescent="0.3">
      <c r="B26" s="5" t="s">
        <v>210</v>
      </c>
      <c r="C26" s="5">
        <f>SUM(C4:C14)/C24</f>
        <v>1</v>
      </c>
      <c r="D26" s="171">
        <f t="shared" ref="D26:G26" si="1">SUM(D4:D14)/D24</f>
        <v>0.745</v>
      </c>
      <c r="E26" s="171">
        <f t="shared" si="1"/>
        <v>0.94</v>
      </c>
      <c r="F26" s="171">
        <f t="shared" si="1"/>
        <v>0.84</v>
      </c>
      <c r="G26" s="5">
        <f t="shared" si="1"/>
        <v>1</v>
      </c>
      <c r="I26" s="86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 cm="1">
        <f t="array" ref="W26">_xlfn.LET(_xlpm.x, K26:K28, IF(SUM((_xlpm.x="C1")*1)=1, 1, 0))</f>
        <v>0</v>
      </c>
      <c r="X26" s="25" cm="1">
        <f t="array" ref="X26">_xlfn.LET(_xlpm.x, L26:L28, IF(SUM((_xlpm.x="C1")*1)=1, 1, 0))</f>
        <v>0</v>
      </c>
      <c r="Y26" s="25" cm="1">
        <f t="array" ref="Y26">_xlfn.LET(_xlpm.x, M26:M28, IF(SUM((_xlpm.x="C1")*1)=1, 1, 0))</f>
        <v>0</v>
      </c>
      <c r="Z26" s="25">
        <v>1</v>
      </c>
      <c r="AA26" s="25">
        <v>1</v>
      </c>
      <c r="AD26" s="109">
        <f>SUM(AD6:AD25)</f>
        <v>200</v>
      </c>
      <c r="AE26" s="109">
        <f>SUM(AE6:AE25)</f>
        <v>209</v>
      </c>
      <c r="AF26" s="109">
        <f>SUM(AF6:AF25)</f>
        <v>209</v>
      </c>
      <c r="AG26" s="109">
        <f>SUM(AG6:AG25)</f>
        <v>209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209</v>
      </c>
      <c r="AM26" s="109">
        <f>SUM(AM6:AM25)</f>
        <v>209</v>
      </c>
      <c r="AN26" s="109">
        <f>SUM(AN6:AN25)</f>
        <v>209</v>
      </c>
      <c r="AO26" s="109">
        <f>SUM(AO6:AO25)</f>
        <v>200</v>
      </c>
    </row>
    <row r="27" spans="1:41" ht="16.5" customHeight="1" x14ac:dyDescent="0.3">
      <c r="B27" s="5" t="s">
        <v>314</v>
      </c>
      <c r="C27" s="5">
        <f>SUM(C15:C23)/C24</f>
        <v>0</v>
      </c>
      <c r="D27" s="171">
        <f t="shared" ref="D27:G27" si="2">SUM(D15:D23)/D24</f>
        <v>0.255</v>
      </c>
      <c r="E27" s="171">
        <f t="shared" si="2"/>
        <v>0.06</v>
      </c>
      <c r="F27" s="171">
        <f t="shared" si="2"/>
        <v>0.16</v>
      </c>
      <c r="G27" s="5">
        <f t="shared" si="2"/>
        <v>0</v>
      </c>
      <c r="I27" s="86"/>
      <c r="J27" s="9">
        <v>23</v>
      </c>
      <c r="K27" s="16" t="s">
        <v>35</v>
      </c>
      <c r="L27" s="16" t="s">
        <v>18</v>
      </c>
      <c r="M27" s="16" t="s">
        <v>104</v>
      </c>
      <c r="N27" s="16" t="s">
        <v>20</v>
      </c>
      <c r="O27" s="16" t="s">
        <v>104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 cm="1">
        <f t="array" ref="W27">_xlfn.LET(_xlpm.x, K27:K29, IF(SUM((_xlpm.x="C1")*1)=1, 1, 0))</f>
        <v>0</v>
      </c>
      <c r="X27" s="25" cm="1">
        <f t="array" ref="X27">_xlfn.LET(_xlpm.x, L27:L29, IF(SUM((_xlpm.x="C1")*1)=1, 1, 0))</f>
        <v>0</v>
      </c>
      <c r="Y27" s="25" cm="1">
        <f t="array" ref="Y27">_xlfn.LET(_xlpm.x, M27:M29, IF(SUM((_xlpm.x="C1")*1)=1, 1, 0))</f>
        <v>0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6"/>
      <c r="J28" s="25">
        <v>24</v>
      </c>
      <c r="K28" s="16" t="s">
        <v>19</v>
      </c>
      <c r="L28" s="16" t="s">
        <v>18</v>
      </c>
      <c r="M28" s="16" t="s">
        <v>34</v>
      </c>
      <c r="N28" s="16" t="s">
        <v>95</v>
      </c>
      <c r="O28" s="16" t="s">
        <v>35</v>
      </c>
      <c r="Q28" s="9">
        <v>5</v>
      </c>
      <c r="R28" s="9">
        <v>4</v>
      </c>
      <c r="S28" s="9">
        <v>9</v>
      </c>
      <c r="T28" s="9">
        <v>19</v>
      </c>
      <c r="U28" s="9">
        <v>8</v>
      </c>
      <c r="W28" s="25" cm="1">
        <f t="array" ref="W28">_xlfn.LET(_xlpm.x, K28:K30, IF(SUM((_xlpm.x="C1")*1)=1, 1, 0))</f>
        <v>0</v>
      </c>
      <c r="X28" s="25" cm="1">
        <f t="array" ref="X28">_xlfn.LET(_xlpm.x, L28:L30, IF(SUM((_xlpm.x="C1")*1)=1, 1, 0))</f>
        <v>0</v>
      </c>
      <c r="Y28" s="25" cm="1">
        <f t="array" ref="Y28">_xlfn.LET(_xlpm.x, M28:M30, IF(SUM((_xlpm.x="C1")*1)=1, 1, 0))</f>
        <v>0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 x14ac:dyDescent="0.3">
      <c r="I29" s="86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 cm="1">
        <f t="array" ref="W29">_xlfn.LET(_xlpm.x, K29:K31, IF(SUM((_xlpm.x="C1")*1)=1, 1, 0))</f>
        <v>0</v>
      </c>
      <c r="X29" s="25" cm="1">
        <f t="array" ref="X29">_xlfn.LET(_xlpm.x, L29:L31, IF(SUM((_xlpm.x="C1")*1)=1, 1, 0))</f>
        <v>0</v>
      </c>
      <c r="Y29" s="25" cm="1">
        <f t="array" ref="Y29">_xlfn.LET(_xlpm.x, M29:M31, IF(SUM((_xlpm.x="C1")*1)=1, 1, 0))</f>
        <v>0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 x14ac:dyDescent="0.3">
      <c r="I30" s="86"/>
      <c r="J30" s="25">
        <v>26</v>
      </c>
      <c r="K30" s="16" t="s">
        <v>37</v>
      </c>
      <c r="L30" s="16" t="s">
        <v>35</v>
      </c>
      <c r="M30" s="16" t="s">
        <v>104</v>
      </c>
      <c r="N30" s="16" t="s">
        <v>36</v>
      </c>
      <c r="O30" s="16" t="s">
        <v>104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 cm="1">
        <f t="array" ref="W30">_xlfn.LET(_xlpm.x, K30:K32, IF(SUM((_xlpm.x="C1")*1)=1, 1, 0))</f>
        <v>0</v>
      </c>
      <c r="X30" s="25" cm="1">
        <f t="array" ref="X30">_xlfn.LET(_xlpm.x, L30:L32, IF(SUM((_xlpm.x="C1")*1)=1, 1, 0))</f>
        <v>0</v>
      </c>
      <c r="Y30" s="25" cm="1">
        <f t="array" ref="Y30">_xlfn.LET(_xlpm.x, M30:M32, IF(SUM((_xlpm.x="C1")*1)=1, 1, 0))</f>
        <v>0</v>
      </c>
      <c r="Z30" s="25">
        <v>1</v>
      </c>
      <c r="AA30" s="25">
        <v>1</v>
      </c>
      <c r="AC30" s="133" t="str" cm="1">
        <f t="array" ref="AC30:AC49">$A$4:$A$23</f>
        <v>WW</v>
      </c>
      <c r="AD30" s="134" cm="1">
        <f t="array" ref="AD30:AH49">$AD$6:$AH$25</f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 cm="1">
        <f t="array" ref="AK30:AO49">$AD$6:$AH$25</f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 x14ac:dyDescent="0.3">
      <c r="C31" s="16" t="s">
        <v>104</v>
      </c>
      <c r="D31" s="16" t="s">
        <v>104</v>
      </c>
      <c r="I31" s="86"/>
      <c r="J31" s="9">
        <v>27</v>
      </c>
      <c r="K31" s="16" t="s">
        <v>19</v>
      </c>
      <c r="L31" s="16" t="s">
        <v>93</v>
      </c>
      <c r="M31" s="16" t="s">
        <v>37</v>
      </c>
      <c r="N31" s="16" t="s">
        <v>95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 cm="1">
        <f t="array" ref="W31">_xlfn.LET(_xlpm.x, K31:K33, IF(SUM((_xlpm.x="C1")*1)=1, 1, 0))</f>
        <v>0</v>
      </c>
      <c r="X31" s="25" cm="1">
        <f t="array" ref="X31">_xlfn.LET(_xlpm.x, L31:L33, IF(SUM((_xlpm.x="C1")*1)=1, 1, 0))</f>
        <v>0</v>
      </c>
      <c r="Y31" s="25" cm="1">
        <f t="array" ref="Y31">_xlfn.LET(_xlpm.x, M31:M33, IF(SUM((_xlpm.x="C1")*1)=1, 1, 0))</f>
        <v>0</v>
      </c>
      <c r="Z31" s="25">
        <v>1</v>
      </c>
      <c r="AA31" s="25">
        <v>1</v>
      </c>
      <c r="AC31" s="133" t="str">
        <v>C1</v>
      </c>
      <c r="AD31" s="211">
        <v>6</v>
      </c>
      <c r="AE31" s="211">
        <v>6</v>
      </c>
      <c r="AF31" s="211">
        <v>6</v>
      </c>
      <c r="AG31" s="211">
        <v>9</v>
      </c>
      <c r="AH31" s="211">
        <v>9</v>
      </c>
      <c r="AI31" s="5"/>
      <c r="AJ31" s="133" t="str">
        <v>C1</v>
      </c>
      <c r="AK31" s="211">
        <v>6</v>
      </c>
      <c r="AL31" s="211">
        <v>6</v>
      </c>
      <c r="AM31" s="211">
        <v>6</v>
      </c>
      <c r="AN31" s="211">
        <v>9</v>
      </c>
      <c r="AO31" s="211">
        <v>9</v>
      </c>
    </row>
    <row r="32" spans="1:41" ht="16.5" customHeight="1" x14ac:dyDescent="0.3">
      <c r="C32" s="16" t="s">
        <v>104</v>
      </c>
      <c r="D32" s="16" t="s">
        <v>87</v>
      </c>
      <c r="J32" s="25">
        <v>28</v>
      </c>
      <c r="K32" s="16" t="s">
        <v>35</v>
      </c>
      <c r="L32" s="16" t="s">
        <v>89</v>
      </c>
      <c r="M32" s="16" t="s">
        <v>104</v>
      </c>
      <c r="N32" s="16" t="s">
        <v>86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 cm="1">
        <f t="array" ref="W32">_xlfn.LET(_xlpm.x, K32:K34, IF(SUM((_xlpm.x="C1")*1)=1, 1, 0))</f>
        <v>0</v>
      </c>
      <c r="X32" s="25" cm="1">
        <f t="array" ref="X32">_xlfn.LET(_xlpm.x, L32:L34, IF(SUM((_xlpm.x="C1")*1)=1, 1, 0))</f>
        <v>0</v>
      </c>
      <c r="Y32" s="25" cm="1">
        <f t="array" ref="Y32">_xlfn.LET(_xlpm.x, M32:M34, IF(SUM((_xlpm.x="C1")*1)=1, 1, 0))</f>
        <v>0</v>
      </c>
      <c r="Z32" s="25">
        <v>1</v>
      </c>
      <c r="AA32" s="25">
        <v>1</v>
      </c>
      <c r="AC32" s="148" t="str">
        <v>M1</v>
      </c>
      <c r="AD32" s="128">
        <v>4</v>
      </c>
      <c r="AE32" s="128">
        <v>17</v>
      </c>
      <c r="AF32" s="128">
        <v>4</v>
      </c>
      <c r="AG32" s="128">
        <v>21</v>
      </c>
      <c r="AH32" s="128">
        <v>22</v>
      </c>
      <c r="AI32" s="5"/>
      <c r="AJ32" s="148" t="str">
        <v>M1</v>
      </c>
      <c r="AK32" s="128">
        <v>4</v>
      </c>
      <c r="AL32" s="128">
        <v>17</v>
      </c>
      <c r="AM32" s="128">
        <v>4</v>
      </c>
      <c r="AN32" s="128">
        <v>21</v>
      </c>
      <c r="AO32" s="128">
        <v>22</v>
      </c>
    </row>
    <row r="33" spans="3:41" ht="16.5" customHeight="1" x14ac:dyDescent="0.3">
      <c r="C33" s="16" t="s">
        <v>20</v>
      </c>
      <c r="D33" s="16" t="s">
        <v>34</v>
      </c>
      <c r="J33" s="9">
        <v>29</v>
      </c>
      <c r="K33" s="16" t="s">
        <v>21</v>
      </c>
      <c r="L33" s="16" t="s">
        <v>88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 cm="1">
        <f t="array" ref="W33">_xlfn.LET(_xlpm.x, K33:K35, IF(SUM((_xlpm.x="C1")*1)=1, 1, 0))</f>
        <v>0</v>
      </c>
      <c r="X33" s="25" cm="1">
        <f t="array" ref="X33">_xlfn.LET(_xlpm.x, L33:L35, IF(SUM((_xlpm.x="C1")*1)=1, 1, 0))</f>
        <v>0</v>
      </c>
      <c r="Y33" s="25" cm="1">
        <f t="array" ref="Y33">_xlfn.LET(_xlpm.x, M33:M35, IF(SUM((_xlpm.x="C1")*1)=1, 1, 0))</f>
        <v>0</v>
      </c>
      <c r="Z33" s="25">
        <v>1</v>
      </c>
      <c r="AA33" s="25">
        <v>1</v>
      </c>
      <c r="AC33" s="148" t="str">
        <v>M2</v>
      </c>
      <c r="AD33" s="128">
        <v>4</v>
      </c>
      <c r="AE33" s="128">
        <v>18</v>
      </c>
      <c r="AF33" s="128">
        <v>4</v>
      </c>
      <c r="AG33" s="128">
        <v>20</v>
      </c>
      <c r="AH33" s="128">
        <v>22</v>
      </c>
      <c r="AI33" s="5"/>
      <c r="AJ33" s="148" t="str">
        <v>M2</v>
      </c>
      <c r="AK33" s="128">
        <v>4</v>
      </c>
      <c r="AL33" s="128">
        <v>18</v>
      </c>
      <c r="AM33" s="128">
        <v>4</v>
      </c>
      <c r="AN33" s="128">
        <v>20</v>
      </c>
      <c r="AO33" s="128">
        <v>22</v>
      </c>
    </row>
    <row r="34" spans="3:41" ht="16.5" customHeight="1" x14ac:dyDescent="0.3">
      <c r="C34" s="16" t="s">
        <v>37</v>
      </c>
      <c r="D34" s="16" t="s">
        <v>20</v>
      </c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 cm="1">
        <f t="array" ref="W34">_xlfn.LET(_xlpm.x, K34:K36, IF(SUM((_xlpm.x="C1")*1)=1, 1, 0))</f>
        <v>0</v>
      </c>
      <c r="X34" s="25" cm="1">
        <f t="array" ref="X34">_xlfn.LET(_xlpm.x, L34:L36, IF(SUM((_xlpm.x="C1")*1)=1, 1, 0))</f>
        <v>0</v>
      </c>
      <c r="Y34" s="25" cm="1">
        <f t="array" ref="Y34">_xlfn.LET(_xlpm.x, M34:M36, IF(SUM((_xlpm.x="C1")*1)=1, 1, 0))</f>
        <v>0</v>
      </c>
      <c r="Z34" s="25">
        <v>1</v>
      </c>
      <c r="AA34" s="25">
        <v>1</v>
      </c>
      <c r="AC34" s="148" t="str">
        <v>M3</v>
      </c>
      <c r="AD34" s="128">
        <v>4</v>
      </c>
      <c r="AE34" s="128">
        <v>18</v>
      </c>
      <c r="AF34" s="128">
        <v>4</v>
      </c>
      <c r="AG34" s="128">
        <v>20</v>
      </c>
      <c r="AH34" s="128">
        <v>21</v>
      </c>
      <c r="AI34" s="5"/>
      <c r="AJ34" s="148" t="str">
        <v>M3</v>
      </c>
      <c r="AK34" s="128">
        <v>4</v>
      </c>
      <c r="AL34" s="128">
        <v>18</v>
      </c>
      <c r="AM34" s="128">
        <v>4</v>
      </c>
      <c r="AN34" s="128">
        <v>20</v>
      </c>
      <c r="AO34" s="128">
        <v>21</v>
      </c>
    </row>
    <row r="35" spans="3:41" ht="16.5" customHeight="1" x14ac:dyDescent="0.3">
      <c r="J35" s="9">
        <v>31</v>
      </c>
      <c r="K35" s="16" t="s">
        <v>19</v>
      </c>
      <c r="L35" s="16" t="s">
        <v>36</v>
      </c>
      <c r="M35" s="16" t="s">
        <v>37</v>
      </c>
      <c r="N35" s="16" t="s">
        <v>104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 cm="1">
        <f t="array" ref="W35">_xlfn.LET(_xlpm.x, K35:K37, IF(SUM((_xlpm.x="C1")*1)=1, 1, 0))</f>
        <v>0</v>
      </c>
      <c r="X35" s="25" cm="1">
        <f t="array" ref="X35">_xlfn.LET(_xlpm.x, L35:L37, IF(SUM((_xlpm.x="C1")*1)=1, 1, 0))</f>
        <v>0</v>
      </c>
      <c r="Y35" s="25" cm="1">
        <f t="array" ref="Y35">_xlfn.LET(_xlpm.x, M35:M37, IF(SUM((_xlpm.x="C1")*1)=1, 1, 0))</f>
        <v>0</v>
      </c>
      <c r="Z35" s="25">
        <v>1</v>
      </c>
      <c r="AA35" s="25">
        <v>1</v>
      </c>
      <c r="AC35" s="148" t="str">
        <v>M4</v>
      </c>
      <c r="AD35" s="128">
        <v>40</v>
      </c>
      <c r="AE35" s="128">
        <v>14</v>
      </c>
      <c r="AF35" s="128">
        <v>41</v>
      </c>
      <c r="AG35" s="128">
        <v>14</v>
      </c>
      <c r="AH35" s="128">
        <v>21</v>
      </c>
      <c r="AI35" s="5"/>
      <c r="AJ35" s="148" t="str">
        <v>M4</v>
      </c>
      <c r="AK35" s="128">
        <v>40</v>
      </c>
      <c r="AL35" s="128">
        <v>14</v>
      </c>
      <c r="AM35" s="128">
        <v>41</v>
      </c>
      <c r="AN35" s="128">
        <v>14</v>
      </c>
      <c r="AO35" s="128">
        <v>21</v>
      </c>
    </row>
    <row r="36" spans="3:41" ht="16.5" customHeight="1" x14ac:dyDescent="0.3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104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 cm="1">
        <f t="array" ref="W36">_xlfn.LET(_xlpm.x, K36:K38, IF(SUM((_xlpm.x="C1")*1)=1, 1, 0))</f>
        <v>0</v>
      </c>
      <c r="X36" s="25" cm="1">
        <f t="array" ref="X36">_xlfn.LET(_xlpm.x, L36:L38, IF(SUM((_xlpm.x="C1")*1)=1, 1, 0))</f>
        <v>0</v>
      </c>
      <c r="Y36" s="25" cm="1">
        <f t="array" ref="Y36">_xlfn.LET(_xlpm.x, M36:M38, IF(SUM((_xlpm.x="C1")*1)=1, 1, 0))</f>
        <v>0</v>
      </c>
      <c r="Z36" s="25">
        <v>1</v>
      </c>
      <c r="AA36" s="25">
        <v>1</v>
      </c>
      <c r="AC36" s="148" t="str">
        <v>M5</v>
      </c>
      <c r="AD36" s="128">
        <v>40</v>
      </c>
      <c r="AE36" s="128">
        <v>14</v>
      </c>
      <c r="AF36" s="128">
        <v>41</v>
      </c>
      <c r="AG36" s="128">
        <v>14</v>
      </c>
      <c r="AH36" s="128">
        <v>21</v>
      </c>
      <c r="AI36" s="5"/>
      <c r="AJ36" s="148" t="str">
        <v>M5</v>
      </c>
      <c r="AK36" s="128">
        <v>40</v>
      </c>
      <c r="AL36" s="128">
        <v>14</v>
      </c>
      <c r="AM36" s="128">
        <v>41</v>
      </c>
      <c r="AN36" s="128">
        <v>14</v>
      </c>
      <c r="AO36" s="128">
        <v>21</v>
      </c>
    </row>
    <row r="37" spans="3:41" ht="16.5" customHeight="1" x14ac:dyDescent="0.3">
      <c r="J37" s="9">
        <v>33</v>
      </c>
      <c r="K37" s="16" t="s">
        <v>19</v>
      </c>
      <c r="L37" s="16" t="s">
        <v>35</v>
      </c>
      <c r="M37" s="16" t="s">
        <v>35</v>
      </c>
      <c r="N37" s="16" t="s">
        <v>90</v>
      </c>
      <c r="O37" s="16" t="s">
        <v>35</v>
      </c>
      <c r="Q37" s="9">
        <v>5</v>
      </c>
      <c r="R37" s="9">
        <v>8</v>
      </c>
      <c r="S37" s="9">
        <v>8</v>
      </c>
      <c r="T37" s="9">
        <v>16</v>
      </c>
      <c r="U37" s="9">
        <v>8</v>
      </c>
      <c r="W37" s="25" cm="1">
        <f t="array" ref="W37">_xlfn.LET(_xlpm.x, K37:K39, IF(SUM((_xlpm.x="C1")*1)=1, 1, 0))</f>
        <v>0</v>
      </c>
      <c r="X37" s="25" cm="1">
        <f t="array" ref="X37">_xlfn.LET(_xlpm.x, L37:L39, IF(SUM((_xlpm.x="C1")*1)=1, 1, 0))</f>
        <v>0</v>
      </c>
      <c r="Y37" s="25" cm="1">
        <f t="array" ref="Y37">_xlfn.LET(_xlpm.x, M37:M39, IF(SUM((_xlpm.x="C1")*1)=1, 1, 0))</f>
        <v>0</v>
      </c>
      <c r="Z37" s="25">
        <v>1</v>
      </c>
      <c r="AA37" s="25">
        <v>1</v>
      </c>
      <c r="AC37" s="148" t="str">
        <v>A</v>
      </c>
      <c r="AD37" s="128">
        <v>47</v>
      </c>
      <c r="AE37" s="128">
        <v>13</v>
      </c>
      <c r="AF37" s="128">
        <v>41</v>
      </c>
      <c r="AG37" s="128">
        <v>14</v>
      </c>
      <c r="AH37" s="128">
        <v>21</v>
      </c>
      <c r="AI37" s="5"/>
      <c r="AJ37" s="148" t="str">
        <v>A</v>
      </c>
      <c r="AK37" s="128">
        <v>47</v>
      </c>
      <c r="AL37" s="128">
        <v>13</v>
      </c>
      <c r="AM37" s="128">
        <v>41</v>
      </c>
      <c r="AN37" s="128">
        <v>14</v>
      </c>
      <c r="AO37" s="128">
        <v>21</v>
      </c>
    </row>
    <row r="38" spans="3:41" ht="16.5" customHeight="1" x14ac:dyDescent="0.3">
      <c r="J38" s="25">
        <v>34</v>
      </c>
      <c r="K38" s="16" t="s">
        <v>104</v>
      </c>
      <c r="L38" s="16" t="s">
        <v>87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 cm="1">
        <f t="array" ref="W38">_xlfn.LET(_xlpm.x, K38:K40, IF(SUM((_xlpm.x="C1")*1)=1, 1, 0))</f>
        <v>0</v>
      </c>
      <c r="X38" s="25" cm="1">
        <f t="array" ref="X38">_xlfn.LET(_xlpm.x, L38:L40, IF(SUM((_xlpm.x="C1")*1)=1, 1, 0))</f>
        <v>0</v>
      </c>
      <c r="Y38" s="25" cm="1">
        <f t="array" ref="Y38">_xlfn.LET(_xlpm.x, M38:M40, IF(SUM((_xlpm.x="C1")*1)=1, 1, 0))</f>
        <v>0</v>
      </c>
      <c r="Z38" s="25">
        <v>1</v>
      </c>
      <c r="AA38" s="25">
        <v>1</v>
      </c>
      <c r="AC38" s="148" t="str">
        <v>K</v>
      </c>
      <c r="AD38" s="128">
        <v>47</v>
      </c>
      <c r="AE38" s="128">
        <v>13</v>
      </c>
      <c r="AF38" s="128">
        <v>41</v>
      </c>
      <c r="AG38" s="128">
        <v>14</v>
      </c>
      <c r="AH38" s="128">
        <v>21</v>
      </c>
      <c r="AI38" s="5"/>
      <c r="AJ38" s="148" t="str">
        <v>K</v>
      </c>
      <c r="AK38" s="128">
        <v>47</v>
      </c>
      <c r="AL38" s="128">
        <v>13</v>
      </c>
      <c r="AM38" s="128">
        <v>41</v>
      </c>
      <c r="AN38" s="128">
        <v>14</v>
      </c>
      <c r="AO38" s="128">
        <v>21</v>
      </c>
    </row>
    <row r="39" spans="3:41" ht="16.5" customHeight="1" x14ac:dyDescent="0.3">
      <c r="J39" s="9">
        <v>35</v>
      </c>
      <c r="K39" s="16" t="s">
        <v>104</v>
      </c>
      <c r="L39" s="16" t="s">
        <v>37</v>
      </c>
      <c r="M39" s="16" t="s">
        <v>104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 cm="1">
        <f t="array" ref="W39">_xlfn.LET(_xlpm.x, K39:K41, IF(SUM((_xlpm.x="C1")*1)=1, 1, 0))</f>
        <v>0</v>
      </c>
      <c r="X39" s="25" cm="1">
        <f t="array" ref="X39">_xlfn.LET(_xlpm.x, L39:L41, IF(SUM((_xlpm.x="C1")*1)=1, 1, 0))</f>
        <v>0</v>
      </c>
      <c r="Y39" s="25" cm="1">
        <f t="array" ref="Y39">_xlfn.LET(_xlpm.x, M39:M41, IF(SUM((_xlpm.x="C1")*1)=1, 1, 0))</f>
        <v>0</v>
      </c>
      <c r="Z39" s="25">
        <v>1</v>
      </c>
      <c r="AA39" s="25">
        <v>1</v>
      </c>
      <c r="AC39" s="148" t="str">
        <v>Q</v>
      </c>
      <c r="AD39" s="128">
        <v>4</v>
      </c>
      <c r="AE39" s="128">
        <v>17</v>
      </c>
      <c r="AF39" s="128">
        <v>3</v>
      </c>
      <c r="AG39" s="128">
        <v>21</v>
      </c>
      <c r="AH39" s="128">
        <v>21</v>
      </c>
      <c r="AI39" s="5"/>
      <c r="AJ39" s="148" t="str">
        <v>Q</v>
      </c>
      <c r="AK39" s="128">
        <v>4</v>
      </c>
      <c r="AL39" s="128">
        <v>17</v>
      </c>
      <c r="AM39" s="128">
        <v>3</v>
      </c>
      <c r="AN39" s="128">
        <v>21</v>
      </c>
      <c r="AO39" s="128">
        <v>21</v>
      </c>
    </row>
    <row r="40" spans="3:41" ht="16.5" customHeight="1" x14ac:dyDescent="0.3">
      <c r="J40" s="25">
        <v>36</v>
      </c>
      <c r="K40" s="16" t="s">
        <v>37</v>
      </c>
      <c r="L40" s="16" t="s">
        <v>90</v>
      </c>
      <c r="M40" s="16" t="s">
        <v>35</v>
      </c>
      <c r="N40" s="16" t="s">
        <v>89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 cm="1">
        <f t="array" ref="W40">_xlfn.LET(_xlpm.x, K40:K42, IF(SUM((_xlpm.x="C1")*1)=1, 1, 0))</f>
        <v>0</v>
      </c>
      <c r="X40" s="25" cm="1">
        <f t="array" ref="X40">_xlfn.LET(_xlpm.x, L40:L42, IF(SUM((_xlpm.x="C1")*1)=1, 1, 0))</f>
        <v>0</v>
      </c>
      <c r="Y40" s="25" cm="1">
        <f t="array" ref="Y40">_xlfn.LET(_xlpm.x, M40:M42, IF(SUM((_xlpm.x="C1")*1)=1, 1, 0))</f>
        <v>0</v>
      </c>
      <c r="Z40" s="25">
        <v>1</v>
      </c>
      <c r="AA40" s="25">
        <v>1</v>
      </c>
      <c r="AC40" s="148" t="str">
        <v>J</v>
      </c>
      <c r="AD40" s="128">
        <v>4</v>
      </c>
      <c r="AE40" s="128">
        <v>17</v>
      </c>
      <c r="AF40" s="128">
        <v>3</v>
      </c>
      <c r="AG40" s="128">
        <v>21</v>
      </c>
      <c r="AH40" s="128">
        <v>21</v>
      </c>
      <c r="AI40" s="5"/>
      <c r="AJ40" s="148" t="str">
        <v>J</v>
      </c>
      <c r="AK40" s="128">
        <v>4</v>
      </c>
      <c r="AL40" s="128">
        <v>17</v>
      </c>
      <c r="AM40" s="128">
        <v>3</v>
      </c>
      <c r="AN40" s="128">
        <v>21</v>
      </c>
      <c r="AO40" s="128">
        <v>21</v>
      </c>
    </row>
    <row r="41" spans="3:41" ht="16.5" customHeight="1" x14ac:dyDescent="0.3">
      <c r="J41" s="9">
        <v>37</v>
      </c>
      <c r="K41" s="16" t="s">
        <v>19</v>
      </c>
      <c r="L41" s="16" t="s">
        <v>90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 cm="1">
        <f t="array" ref="W41">_xlfn.LET(_xlpm.x, K41:K43, IF(SUM((_xlpm.x="C1")*1)=1, 1, 0))</f>
        <v>0</v>
      </c>
      <c r="X41" s="25" cm="1">
        <f t="array" ref="X41">_xlfn.LET(_xlpm.x, L41:L43, IF(SUM((_xlpm.x="C1")*1)=1, 1, 0))</f>
        <v>0</v>
      </c>
      <c r="Y41" s="25" cm="1">
        <f t="array" ref="Y41">_xlfn.LET(_xlpm.x, M41:M43, IF(SUM((_xlpm.x="C1")*1)=1, 1, 0))</f>
        <v>0</v>
      </c>
      <c r="Z41" s="25">
        <v>1</v>
      </c>
      <c r="AA41" s="25">
        <v>1</v>
      </c>
      <c r="AC41" s="133" t="str">
        <v>G1</v>
      </c>
      <c r="AD41" s="98">
        <v>0</v>
      </c>
      <c r="AE41" s="98">
        <v>8</v>
      </c>
      <c r="AF41" s="98">
        <v>1</v>
      </c>
      <c r="AG41" s="98">
        <v>5</v>
      </c>
      <c r="AH41" s="98">
        <v>0</v>
      </c>
      <c r="AI41" s="5"/>
      <c r="AJ41" s="133" t="str">
        <v>G1</v>
      </c>
      <c r="AK41" s="98">
        <v>0</v>
      </c>
      <c r="AL41" s="98">
        <v>8</v>
      </c>
      <c r="AM41" s="98">
        <v>1</v>
      </c>
      <c r="AN41" s="98">
        <v>5</v>
      </c>
      <c r="AO41" s="98">
        <v>0</v>
      </c>
    </row>
    <row r="42" spans="3:41" ht="16.5" customHeight="1" x14ac:dyDescent="0.3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104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 cm="1">
        <f t="array" ref="W42">_xlfn.LET(_xlpm.x, K42:K44, IF(SUM((_xlpm.x="C1")*1)=1, 1, 0))</f>
        <v>0</v>
      </c>
      <c r="X42" s="25" cm="1">
        <f t="array" ref="X42">_xlfn.LET(_xlpm.x, L42:L44, IF(SUM((_xlpm.x="C1")*1)=1, 1, 0))</f>
        <v>0</v>
      </c>
      <c r="Y42" s="25" cm="1">
        <f t="array" ref="Y42">_xlfn.LET(_xlpm.x, M42:M44, IF(SUM((_xlpm.x="C1")*1)=1, 1, 0))</f>
        <v>0</v>
      </c>
      <c r="Z42" s="25">
        <v>1</v>
      </c>
      <c r="AA42" s="25">
        <v>1</v>
      </c>
      <c r="AC42" s="133" t="str">
        <v>G2</v>
      </c>
      <c r="AD42" s="98">
        <v>0</v>
      </c>
      <c r="AE42" s="98">
        <v>8</v>
      </c>
      <c r="AF42" s="98">
        <v>1</v>
      </c>
      <c r="AG42" s="98">
        <v>5</v>
      </c>
      <c r="AH42" s="98">
        <v>0</v>
      </c>
      <c r="AI42" s="5"/>
      <c r="AJ42" s="133" t="str">
        <v>G2</v>
      </c>
      <c r="AK42" s="98">
        <v>0</v>
      </c>
      <c r="AL42" s="98">
        <v>8</v>
      </c>
      <c r="AM42" s="98">
        <v>1</v>
      </c>
      <c r="AN42" s="98">
        <v>5</v>
      </c>
      <c r="AO42" s="98">
        <v>0</v>
      </c>
    </row>
    <row r="43" spans="3:41" ht="16.5" customHeight="1" x14ac:dyDescent="0.3">
      <c r="J43" s="9">
        <v>39</v>
      </c>
      <c r="K43" s="16" t="s">
        <v>19</v>
      </c>
      <c r="L43" s="16" t="s">
        <v>19</v>
      </c>
      <c r="M43" s="16" t="s">
        <v>37</v>
      </c>
      <c r="N43" s="16" t="s">
        <v>104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 cm="1">
        <f t="array" ref="W43">_xlfn.LET(_xlpm.x, K43:K45, IF(SUM((_xlpm.x="C1")*1)=1, 1, 0))</f>
        <v>0</v>
      </c>
      <c r="X43" s="25" cm="1">
        <f t="array" ref="X43">_xlfn.LET(_xlpm.x, L43:L45, IF(SUM((_xlpm.x="C1")*1)=1, 1, 0))</f>
        <v>0</v>
      </c>
      <c r="Y43" s="25" cm="1">
        <f t="array" ref="Y43">_xlfn.LET(_xlpm.x, M43:M45, IF(SUM((_xlpm.x="C1")*1)=1, 1, 0))</f>
        <v>0</v>
      </c>
      <c r="Z43" s="25">
        <v>1</v>
      </c>
      <c r="AA43" s="25">
        <v>1</v>
      </c>
      <c r="AC43" s="133" t="str">
        <v>G3</v>
      </c>
      <c r="AD43" s="98">
        <v>0</v>
      </c>
      <c r="AE43" s="98">
        <v>8</v>
      </c>
      <c r="AF43" s="98">
        <v>1</v>
      </c>
      <c r="AG43" s="98">
        <v>5</v>
      </c>
      <c r="AH43" s="98">
        <v>0</v>
      </c>
      <c r="AI43" s="5"/>
      <c r="AJ43" s="133" t="str">
        <v>G3</v>
      </c>
      <c r="AK43" s="98">
        <v>0</v>
      </c>
      <c r="AL43" s="98">
        <v>8</v>
      </c>
      <c r="AM43" s="98">
        <v>1</v>
      </c>
      <c r="AN43" s="98">
        <v>5</v>
      </c>
      <c r="AO43" s="98">
        <v>0</v>
      </c>
    </row>
    <row r="44" spans="3:41" ht="16.5" customHeight="1" x14ac:dyDescent="0.3">
      <c r="J44" s="25">
        <v>40</v>
      </c>
      <c r="K44" s="16" t="s">
        <v>35</v>
      </c>
      <c r="L44" s="16" t="s">
        <v>22</v>
      </c>
      <c r="M44" s="16" t="s">
        <v>19</v>
      </c>
      <c r="N44" s="16" t="s">
        <v>102</v>
      </c>
      <c r="O44" s="16" t="s">
        <v>37</v>
      </c>
      <c r="Q44" s="9">
        <v>8</v>
      </c>
      <c r="R44" s="9">
        <v>3</v>
      </c>
      <c r="S44" s="9">
        <v>5</v>
      </c>
      <c r="T44" s="9">
        <v>17</v>
      </c>
      <c r="U44" s="9">
        <v>7</v>
      </c>
      <c r="W44" s="25" cm="1">
        <f t="array" ref="W44">_xlfn.LET(_xlpm.x, K44:K46, IF(SUM((_xlpm.x="C1")*1)=1, 1, 0))</f>
        <v>0</v>
      </c>
      <c r="X44" s="25" cm="1">
        <f t="array" ref="X44">_xlfn.LET(_xlpm.x, L44:L46, IF(SUM((_xlpm.x="C1")*1)=1, 1, 0))</f>
        <v>0</v>
      </c>
      <c r="Y44" s="25" cm="1">
        <f t="array" ref="Y44">_xlfn.LET(_xlpm.x, M44:M46, IF(SUM((_xlpm.x="C1")*1)=1, 1, 0))</f>
        <v>0</v>
      </c>
      <c r="Z44" s="25">
        <v>1</v>
      </c>
      <c r="AA44" s="25">
        <v>1</v>
      </c>
      <c r="AC44" s="133" t="str">
        <v>G4</v>
      </c>
      <c r="AD44" s="98">
        <v>0</v>
      </c>
      <c r="AE44" s="98">
        <v>5</v>
      </c>
      <c r="AF44" s="98">
        <v>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5</v>
      </c>
      <c r="AM44" s="98">
        <v>4</v>
      </c>
      <c r="AN44" s="98">
        <v>4</v>
      </c>
      <c r="AO44" s="98">
        <v>0</v>
      </c>
    </row>
    <row r="45" spans="3:41" ht="16.5" customHeight="1" x14ac:dyDescent="0.3">
      <c r="J45" s="9">
        <v>41</v>
      </c>
      <c r="K45" s="16" t="s">
        <v>104</v>
      </c>
      <c r="L45" s="16" t="s">
        <v>36</v>
      </c>
      <c r="M45" s="16" t="s">
        <v>104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 cm="1">
        <f t="array" ref="W45">_xlfn.LET(_xlpm.x, K45:K47, IF(SUM((_xlpm.x="C1")*1)=1, 1, 0))</f>
        <v>0</v>
      </c>
      <c r="X45" s="25">
        <v>1</v>
      </c>
      <c r="Y45" s="25" cm="1">
        <f t="array" ref="Y45">_xlfn.LET(_xlpm.x, M45:M47, IF(SUM((_xlpm.x="C1")*1)=1, 1, 0))</f>
        <v>0</v>
      </c>
      <c r="Z45" s="25">
        <v>1</v>
      </c>
      <c r="AA45" s="25">
        <v>1</v>
      </c>
      <c r="AC45" s="133" t="str">
        <v>G5</v>
      </c>
      <c r="AD45" s="98">
        <v>0</v>
      </c>
      <c r="AE45" s="98">
        <v>5</v>
      </c>
      <c r="AF45" s="98">
        <v>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5</v>
      </c>
      <c r="AM45" s="98">
        <v>4</v>
      </c>
      <c r="AN45" s="98">
        <v>4</v>
      </c>
      <c r="AO45" s="98">
        <v>0</v>
      </c>
    </row>
    <row r="46" spans="3:41" ht="16.5" customHeight="1" x14ac:dyDescent="0.3">
      <c r="J46" s="25">
        <v>42</v>
      </c>
      <c r="K46" s="16" t="s">
        <v>104</v>
      </c>
      <c r="L46" s="16" t="s">
        <v>29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5</v>
      </c>
      <c r="S46" s="9">
        <v>7</v>
      </c>
      <c r="T46" s="9">
        <v>3</v>
      </c>
      <c r="U46" s="9">
        <v>10</v>
      </c>
      <c r="W46" s="25" cm="1">
        <f t="array" ref="W46">_xlfn.LET(_xlpm.x, K46:K48, IF(SUM((_xlpm.x="C1")*1)=1, 1, 0))</f>
        <v>0</v>
      </c>
      <c r="X46" s="25" cm="1">
        <f t="array" ref="X46">_xlfn.LET(_xlpm.x, L46:L48, IF(SUM((_xlpm.x="C1")*1)=1, 1, 0))</f>
        <v>1</v>
      </c>
      <c r="Y46" s="25" cm="1">
        <f t="array" ref="Y46">_xlfn.LET(_xlpm.x, M46:M48, IF(SUM((_xlpm.x="C1")*1)=1, 1, 0))</f>
        <v>0</v>
      </c>
      <c r="Z46" s="25">
        <v>1</v>
      </c>
      <c r="AA46" s="25">
        <v>1</v>
      </c>
      <c r="AC46" s="133" t="str">
        <v>GA</v>
      </c>
      <c r="AD46" s="98">
        <v>0</v>
      </c>
      <c r="AE46" s="98">
        <v>5</v>
      </c>
      <c r="AF46" s="98">
        <v>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5</v>
      </c>
      <c r="AM46" s="98">
        <v>4</v>
      </c>
      <c r="AN46" s="98">
        <v>4</v>
      </c>
      <c r="AO46" s="98">
        <v>0</v>
      </c>
    </row>
    <row r="47" spans="3:41" ht="16.5" customHeight="1" x14ac:dyDescent="0.3">
      <c r="J47" s="9">
        <v>43</v>
      </c>
      <c r="K47" s="16" t="s">
        <v>104</v>
      </c>
      <c r="L47" s="16" t="s">
        <v>93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 cm="1">
        <f t="array" ref="W47">_xlfn.LET(_xlpm.x, K47:K49, IF(SUM((_xlpm.x="C1")*1)=1, 1, 0))</f>
        <v>0</v>
      </c>
      <c r="X47" s="25" cm="1">
        <f t="array" ref="X47">_xlfn.LET(_xlpm.x, L47:L49, IF(SUM((_xlpm.x="C1")*1)=1, 1, 0))</f>
        <v>1</v>
      </c>
      <c r="Y47" s="25" cm="1">
        <f t="array" ref="Y47">_xlfn.LET(_xlpm.x, M47:M49, IF(SUM((_xlpm.x="C1")*1)=1, 1, 0))</f>
        <v>0</v>
      </c>
      <c r="Z47" s="25">
        <v>1</v>
      </c>
      <c r="AA47" s="25">
        <v>1</v>
      </c>
      <c r="AC47" s="133" t="str">
        <v>GK</v>
      </c>
      <c r="AD47" s="98">
        <v>0</v>
      </c>
      <c r="AE47" s="98">
        <v>5</v>
      </c>
      <c r="AF47" s="98">
        <v>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5</v>
      </c>
      <c r="AM47" s="98">
        <v>4</v>
      </c>
      <c r="AN47" s="98">
        <v>4</v>
      </c>
      <c r="AO47" s="98">
        <v>0</v>
      </c>
    </row>
    <row r="48" spans="3:41" ht="16.5" customHeight="1" x14ac:dyDescent="0.3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>
        <v>1</v>
      </c>
      <c r="X48" s="25">
        <v>0</v>
      </c>
      <c r="Y48" s="25" cm="1">
        <f t="array" ref="Y48">_xlfn.LET(_xlpm.x, M48:M50, IF(SUM((_xlpm.x="C1")*1)=1, 1, 0))</f>
        <v>0</v>
      </c>
      <c r="Z48" s="25">
        <v>1</v>
      </c>
      <c r="AA48" s="25">
        <v>1</v>
      </c>
      <c r="AC48" s="133" t="str">
        <v>GQ</v>
      </c>
      <c r="AD48" s="98">
        <v>0</v>
      </c>
      <c r="AE48" s="98">
        <v>9</v>
      </c>
      <c r="AF48" s="98">
        <v>1</v>
      </c>
      <c r="AG48" s="98">
        <v>5</v>
      </c>
      <c r="AH48" s="98">
        <v>0</v>
      </c>
      <c r="AI48" s="5"/>
      <c r="AJ48" s="133" t="str">
        <v>GQ</v>
      </c>
      <c r="AK48" s="98">
        <v>0</v>
      </c>
      <c r="AL48" s="98">
        <v>9</v>
      </c>
      <c r="AM48" s="98">
        <v>1</v>
      </c>
      <c r="AN48" s="98">
        <v>5</v>
      </c>
      <c r="AO48" s="98">
        <v>0</v>
      </c>
    </row>
    <row r="49" spans="10:41" ht="16.5" customHeight="1" x14ac:dyDescent="0.3">
      <c r="J49" s="9">
        <v>45</v>
      </c>
      <c r="K49" s="16" t="s">
        <v>35</v>
      </c>
      <c r="L49" s="16" t="s">
        <v>18</v>
      </c>
      <c r="M49" s="16" t="s">
        <v>104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 cm="1">
        <f t="array" ref="W49">_xlfn.LET(_xlpm.x, K49:K51, IF(SUM((_xlpm.x="C1")*1)=1, 1, 0))</f>
        <v>1</v>
      </c>
      <c r="X49" s="25" cm="1">
        <f t="array" ref="X49">_xlfn.LET(_xlpm.x, L49:L51, IF(SUM((_xlpm.x="C1")*1)=1, 1, 0))</f>
        <v>0</v>
      </c>
      <c r="Y49" s="25" cm="1">
        <f t="array" ref="Y49">_xlfn.LET(_xlpm.x, M49:M51, IF(SUM((_xlpm.x="C1")*1)=1, 1, 0))</f>
        <v>0</v>
      </c>
      <c r="Z49" s="25">
        <v>1</v>
      </c>
      <c r="AA49" s="25">
        <v>1</v>
      </c>
      <c r="AC49" s="133" t="str">
        <v>GJ</v>
      </c>
      <c r="AD49" s="98">
        <v>0</v>
      </c>
      <c r="AE49" s="98">
        <v>9</v>
      </c>
      <c r="AF49" s="98">
        <v>1</v>
      </c>
      <c r="AG49" s="98">
        <v>5</v>
      </c>
      <c r="AH49" s="98">
        <v>0</v>
      </c>
      <c r="AI49" s="5"/>
      <c r="AJ49" s="133" t="str">
        <v>GJ</v>
      </c>
      <c r="AK49" s="98">
        <v>0</v>
      </c>
      <c r="AL49" s="98">
        <v>9</v>
      </c>
      <c r="AM49" s="98">
        <v>1</v>
      </c>
      <c r="AN49" s="98">
        <v>5</v>
      </c>
      <c r="AO49" s="98">
        <v>0</v>
      </c>
    </row>
    <row r="50" spans="10:41" ht="16.5" customHeight="1" x14ac:dyDescent="0.3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 cm="1">
        <f t="array" ref="W50">_xlfn.LET(_xlpm.x, K50:K52, IF(SUM((_xlpm.x="C1")*1)=1, 1, 0))</f>
        <v>1</v>
      </c>
      <c r="X50" s="25" cm="1">
        <f t="array" ref="X50">_xlfn.LET(_xlpm.x, L50:L52, IF(SUM((_xlpm.x="C1")*1)=1, 1, 0))</f>
        <v>0</v>
      </c>
      <c r="Y50" s="25" cm="1">
        <f t="array" ref="Y50">_xlfn.LET(_xlpm.x, M50:M52, IF(SUM((_xlpm.x="C1")*1)=1, 1, 0))</f>
        <v>0</v>
      </c>
      <c r="Z50" s="25">
        <v>1</v>
      </c>
      <c r="AA50" s="25">
        <v>1</v>
      </c>
      <c r="AD50" s="109">
        <f>SUM(AD30:AD49)</f>
        <v>200</v>
      </c>
      <c r="AE50" s="109">
        <f>SUM(AE30:AE49)</f>
        <v>209</v>
      </c>
      <c r="AF50" s="109">
        <f>SUM(AF30:AF49)</f>
        <v>209</v>
      </c>
      <c r="AG50" s="109">
        <f>SUM(AG30:AG49)</f>
        <v>209</v>
      </c>
      <c r="AH50" s="109">
        <f>SUM(AH30:AH49)</f>
        <v>200</v>
      </c>
      <c r="AI50" s="5"/>
      <c r="AK50" s="109">
        <f>SUM(AK30:AK49)</f>
        <v>200</v>
      </c>
      <c r="AL50" s="109">
        <f>SUM(AL30:AL49)</f>
        <v>209</v>
      </c>
      <c r="AM50" s="109">
        <f>SUM(AM30:AM49)</f>
        <v>209</v>
      </c>
      <c r="AN50" s="109">
        <f>SUM(AN30:AN49)</f>
        <v>209</v>
      </c>
      <c r="AO50" s="109">
        <f>SUM(AO30:AO49)</f>
        <v>200</v>
      </c>
    </row>
    <row r="51" spans="10:41" ht="16.5" customHeight="1" x14ac:dyDescent="0.3">
      <c r="J51" s="9">
        <v>47</v>
      </c>
      <c r="K51" s="16" t="s">
        <v>20</v>
      </c>
      <c r="L51" s="16" t="s">
        <v>21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2</v>
      </c>
      <c r="S51" s="9">
        <v>3</v>
      </c>
      <c r="T51" s="9">
        <v>2</v>
      </c>
      <c r="U51" s="9">
        <v>9</v>
      </c>
      <c r="W51" s="25">
        <v>0</v>
      </c>
      <c r="X51" s="25" cm="1">
        <f t="array" ref="X51">_xlfn.LET(_xlpm.x, L51:L53, IF(SUM((_xlpm.x="C1")*1)=1, 1, 0))</f>
        <v>0</v>
      </c>
      <c r="Y51" s="25" cm="1">
        <f t="array" ref="Y51">_xlfn.LET(_xlpm.x, M51:M53, IF(SUM((_xlpm.x="C1")*1)=1, 1, 0))</f>
        <v>0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35</v>
      </c>
      <c r="L52" s="16" t="s">
        <v>19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5</v>
      </c>
      <c r="S52" s="9">
        <v>7</v>
      </c>
      <c r="T52" s="9">
        <v>7</v>
      </c>
      <c r="U52" s="9">
        <v>2</v>
      </c>
      <c r="W52" s="25" cm="1">
        <f t="array" ref="W52">_xlfn.LET(_xlpm.x, K52:K54, IF(SUM((_xlpm.x="C1")*1)=1, 1, 0))</f>
        <v>0</v>
      </c>
      <c r="X52" s="25" cm="1">
        <f t="array" ref="X52">_xlfn.LET(_xlpm.x, L52:L54, IF(SUM((_xlpm.x="C1")*1)=1, 1, 0))</f>
        <v>0</v>
      </c>
      <c r="Y52" s="25" cm="1">
        <f t="array" ref="Y52">_xlfn.LET(_xlpm.x, M52:M54, IF(SUM((_xlpm.x="C1")*1)=1, 1, 0))</f>
        <v>0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 x14ac:dyDescent="0.3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 cm="1">
        <f t="array" ref="W53">_xlfn.LET(_xlpm.x, K53:K55, IF(SUM((_xlpm.x="C1")*1)=1, 1, 0))</f>
        <v>0</v>
      </c>
      <c r="X53" s="25" cm="1">
        <f t="array" ref="X53">_xlfn.LET(_xlpm.x, L53:L55, IF(SUM((_xlpm.x="C1")*1)=1, 1, 0))</f>
        <v>0</v>
      </c>
      <c r="Y53" s="25" cm="1">
        <f t="array" ref="Y53">_xlfn.LET(_xlpm.x, M53:M55, IF(SUM((_xlpm.x="C1")*1)=1, 1, 0))</f>
        <v>0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 cm="1">
        <f t="array" ref="W54">_xlfn.LET(_xlpm.x, K54:K56, IF(SUM((_xlpm.x="C1")*1)=1, 1, 0))</f>
        <v>0</v>
      </c>
      <c r="X54" s="25" cm="1">
        <f t="array" ref="X54">_xlfn.LET(_xlpm.x, L54:L56, IF(SUM((_xlpm.x="C1")*1)=1, 1, 0))</f>
        <v>0</v>
      </c>
      <c r="Y54" s="25" cm="1">
        <f t="array" ref="Y54">_xlfn.LET(_xlpm.x, M54:M56, IF(SUM((_xlpm.x="C1")*1)=1, 1, 0))</f>
        <v>0</v>
      </c>
      <c r="Z54" s="25">
        <v>1</v>
      </c>
      <c r="AA54" s="25">
        <v>1</v>
      </c>
      <c r="AC54" s="133" t="str" cm="1">
        <f t="array" ref="AC54:AC73">$A$4:$A$23</f>
        <v>WW</v>
      </c>
      <c r="AD54" s="134" cm="1">
        <f t="array" ref="AD54:AH73">$AD$6:$AH$25</f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 cm="1">
        <f t="array" ref="AK54:AO73">$AD$6:$AH$25</f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 x14ac:dyDescent="0.3">
      <c r="J55" s="9">
        <v>51</v>
      </c>
      <c r="K55" s="16" t="s">
        <v>104</v>
      </c>
      <c r="L55" s="16" t="s">
        <v>35</v>
      </c>
      <c r="M55" s="16" t="s">
        <v>35</v>
      </c>
      <c r="N55" s="16" t="s">
        <v>89</v>
      </c>
      <c r="O55" s="16" t="s">
        <v>21</v>
      </c>
      <c r="Q55" s="9">
        <v>6</v>
      </c>
      <c r="R55" s="9">
        <v>8</v>
      </c>
      <c r="S55" s="9">
        <v>8</v>
      </c>
      <c r="T55" s="9">
        <v>14</v>
      </c>
      <c r="U55" s="9">
        <v>2</v>
      </c>
      <c r="W55" s="25" cm="1">
        <f t="array" ref="W55">_xlfn.LET(_xlpm.x, K55:K57, IF(SUM((_xlpm.x="C1")*1)=1, 1, 0))</f>
        <v>0</v>
      </c>
      <c r="X55" s="25" cm="1">
        <f t="array" ref="X55">_xlfn.LET(_xlpm.x, L55:L57, IF(SUM((_xlpm.x="C1")*1)=1, 1, 0))</f>
        <v>0</v>
      </c>
      <c r="Y55" s="25" cm="1">
        <f t="array" ref="Y55">_xlfn.LET(_xlpm.x, M55:M57, IF(SUM((_xlpm.x="C1")*1)=1, 1, 0))</f>
        <v>0</v>
      </c>
      <c r="Z55" s="25">
        <v>1</v>
      </c>
      <c r="AA55" s="25">
        <v>1</v>
      </c>
      <c r="AC55" s="133" t="str">
        <v>C1</v>
      </c>
      <c r="AD55" s="211">
        <v>6</v>
      </c>
      <c r="AE55" s="211">
        <v>6</v>
      </c>
      <c r="AF55" s="211">
        <v>6</v>
      </c>
      <c r="AG55" s="211">
        <v>9</v>
      </c>
      <c r="AH55" s="211">
        <v>9</v>
      </c>
      <c r="AI55" s="5"/>
      <c r="AJ55" s="133" t="str">
        <v>C1</v>
      </c>
      <c r="AK55" s="211">
        <v>6</v>
      </c>
      <c r="AL55" s="211">
        <v>6</v>
      </c>
      <c r="AM55" s="211">
        <v>6</v>
      </c>
      <c r="AN55" s="211">
        <v>9</v>
      </c>
      <c r="AO55" s="211">
        <v>9</v>
      </c>
    </row>
    <row r="56" spans="10:41" ht="16.5" customHeight="1" x14ac:dyDescent="0.3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 cm="1">
        <f t="array" ref="W56">_xlfn.LET(_xlpm.x, K56:K58, IF(SUM((_xlpm.x="C1")*1)=1, 1, 0))</f>
        <v>0</v>
      </c>
      <c r="X56" s="25" cm="1">
        <f t="array" ref="X56">_xlfn.LET(_xlpm.x, L56:L58, IF(SUM((_xlpm.x="C1")*1)=1, 1, 0))</f>
        <v>0</v>
      </c>
      <c r="Y56" s="25" cm="1">
        <f t="array" ref="Y56">_xlfn.LET(_xlpm.x, M56:M58, IF(SUM((_xlpm.x="C1")*1)=1, 1, 0))</f>
        <v>0</v>
      </c>
      <c r="Z56" s="25">
        <v>1</v>
      </c>
      <c r="AA56" s="25">
        <v>1</v>
      </c>
      <c r="AC56" s="148" t="str">
        <v>M1</v>
      </c>
      <c r="AD56" s="128">
        <v>4</v>
      </c>
      <c r="AE56" s="128">
        <v>17</v>
      </c>
      <c r="AF56" s="128">
        <v>4</v>
      </c>
      <c r="AG56" s="128">
        <v>21</v>
      </c>
      <c r="AH56" s="128">
        <v>22</v>
      </c>
      <c r="AI56" s="5"/>
      <c r="AJ56" s="148" t="str">
        <v>M1</v>
      </c>
      <c r="AK56" s="128">
        <v>4</v>
      </c>
      <c r="AL56" s="128">
        <v>17</v>
      </c>
      <c r="AM56" s="128">
        <v>4</v>
      </c>
      <c r="AN56" s="128">
        <v>21</v>
      </c>
      <c r="AO56" s="128">
        <v>22</v>
      </c>
    </row>
    <row r="57" spans="10:41" ht="16.5" customHeight="1" x14ac:dyDescent="0.3">
      <c r="J57" s="9">
        <v>53</v>
      </c>
      <c r="K57" s="16" t="s">
        <v>37</v>
      </c>
      <c r="L57" s="16" t="s">
        <v>34</v>
      </c>
      <c r="M57" s="16" t="s">
        <v>104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 cm="1">
        <f t="array" ref="W57">_xlfn.LET(_xlpm.x, K57:K59, IF(SUM((_xlpm.x="C1")*1)=1, 1, 0))</f>
        <v>0</v>
      </c>
      <c r="X57" s="25" cm="1">
        <f t="array" ref="X57">_xlfn.LET(_xlpm.x, L57:L59, IF(SUM((_xlpm.x="C1")*1)=1, 1, 0))</f>
        <v>0</v>
      </c>
      <c r="Y57" s="25" cm="1">
        <f t="array" ref="Y57">_xlfn.LET(_xlpm.x, M57:M59, IF(SUM((_xlpm.x="C1")*1)=1, 1, 0))</f>
        <v>0</v>
      </c>
      <c r="Z57" s="25">
        <v>1</v>
      </c>
      <c r="AA57" s="25">
        <v>1</v>
      </c>
      <c r="AC57" s="148" t="str">
        <v>M2</v>
      </c>
      <c r="AD57" s="128">
        <v>4</v>
      </c>
      <c r="AE57" s="128">
        <v>18</v>
      </c>
      <c r="AF57" s="128">
        <v>4</v>
      </c>
      <c r="AG57" s="128">
        <v>20</v>
      </c>
      <c r="AH57" s="128">
        <v>22</v>
      </c>
      <c r="AI57" s="5"/>
      <c r="AJ57" s="148" t="str">
        <v>M2</v>
      </c>
      <c r="AK57" s="128">
        <v>4</v>
      </c>
      <c r="AL57" s="128">
        <v>18</v>
      </c>
      <c r="AM57" s="128">
        <v>4</v>
      </c>
      <c r="AN57" s="128">
        <v>20</v>
      </c>
      <c r="AO57" s="128">
        <v>22</v>
      </c>
    </row>
    <row r="58" spans="10:41" ht="16.5" customHeight="1" x14ac:dyDescent="0.3">
      <c r="J58" s="25">
        <v>54</v>
      </c>
      <c r="K58" s="16" t="s">
        <v>37</v>
      </c>
      <c r="L58" s="16" t="s">
        <v>18</v>
      </c>
      <c r="M58" s="16" t="s">
        <v>35</v>
      </c>
      <c r="N58" s="16" t="s">
        <v>86</v>
      </c>
      <c r="O58" s="16" t="s">
        <v>21</v>
      </c>
      <c r="Q58" s="9">
        <v>7</v>
      </c>
      <c r="R58" s="9">
        <v>4</v>
      </c>
      <c r="S58" s="9">
        <v>8</v>
      </c>
      <c r="T58" s="9">
        <v>11</v>
      </c>
      <c r="U58" s="9">
        <v>2</v>
      </c>
      <c r="W58" s="25" cm="1">
        <f t="array" ref="W58">_xlfn.LET(_xlpm.x, K58:K60, IF(SUM((_xlpm.x="C1")*1)=1, 1, 0))</f>
        <v>0</v>
      </c>
      <c r="X58" s="25" cm="1">
        <f t="array" ref="X58">_xlfn.LET(_xlpm.x, L58:L60, IF(SUM((_xlpm.x="C1")*1)=1, 1, 0))</f>
        <v>0</v>
      </c>
      <c r="Y58" s="25" cm="1">
        <f t="array" ref="Y58">_xlfn.LET(_xlpm.x, M58:M60, IF(SUM((_xlpm.x="C1")*1)=1, 1, 0))</f>
        <v>0</v>
      </c>
      <c r="Z58" s="25">
        <v>1</v>
      </c>
      <c r="AA58" s="25">
        <v>1</v>
      </c>
      <c r="AC58" s="148" t="str">
        <v>M3</v>
      </c>
      <c r="AD58" s="128">
        <v>4</v>
      </c>
      <c r="AE58" s="128">
        <v>18</v>
      </c>
      <c r="AF58" s="128">
        <v>4</v>
      </c>
      <c r="AG58" s="128">
        <v>20</v>
      </c>
      <c r="AH58" s="128">
        <v>21</v>
      </c>
      <c r="AI58" s="5"/>
      <c r="AJ58" s="148" t="str">
        <v>M3</v>
      </c>
      <c r="AK58" s="128">
        <v>4</v>
      </c>
      <c r="AL58" s="128">
        <v>18</v>
      </c>
      <c r="AM58" s="128">
        <v>4</v>
      </c>
      <c r="AN58" s="128">
        <v>20</v>
      </c>
      <c r="AO58" s="128">
        <v>21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 cm="1">
        <f t="array" ref="W59">_xlfn.LET(_xlpm.x, K59:K61, IF(SUM((_xlpm.x="C1")*1)=1, 1, 0))</f>
        <v>0</v>
      </c>
      <c r="X59" s="25" cm="1">
        <f t="array" ref="X59">_xlfn.LET(_xlpm.x, L59:L61, IF(SUM((_xlpm.x="C1")*1)=1, 1, 0))</f>
        <v>0</v>
      </c>
      <c r="Y59" s="25" cm="1">
        <f t="array" ref="Y59">_xlfn.LET(_xlpm.x, M59:M61, IF(SUM((_xlpm.x="C1")*1)=1, 1, 0))</f>
        <v>0</v>
      </c>
      <c r="Z59" s="25">
        <v>1</v>
      </c>
      <c r="AA59" s="25">
        <v>1</v>
      </c>
      <c r="AC59" s="148" t="str">
        <v>M4</v>
      </c>
      <c r="AD59" s="128">
        <v>40</v>
      </c>
      <c r="AE59" s="128">
        <v>14</v>
      </c>
      <c r="AF59" s="128">
        <v>41</v>
      </c>
      <c r="AG59" s="128">
        <v>14</v>
      </c>
      <c r="AH59" s="128">
        <v>21</v>
      </c>
      <c r="AI59" s="5"/>
      <c r="AJ59" s="148" t="str">
        <v>M4</v>
      </c>
      <c r="AK59" s="128">
        <v>40</v>
      </c>
      <c r="AL59" s="128">
        <v>14</v>
      </c>
      <c r="AM59" s="128">
        <v>41</v>
      </c>
      <c r="AN59" s="128">
        <v>14</v>
      </c>
      <c r="AO59" s="128">
        <v>21</v>
      </c>
    </row>
    <row r="60" spans="10:41" ht="16.5" customHeight="1" x14ac:dyDescent="0.3">
      <c r="J60" s="25">
        <v>56</v>
      </c>
      <c r="K60" s="16" t="s">
        <v>19</v>
      </c>
      <c r="L60" s="16" t="s">
        <v>89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 cm="1">
        <f t="array" ref="W60">_xlfn.LET(_xlpm.x, K60:K62, IF(SUM((_xlpm.x="C1")*1)=1, 1, 0))</f>
        <v>0</v>
      </c>
      <c r="X60" s="25" cm="1">
        <f t="array" ref="X60">_xlfn.LET(_xlpm.x, L60:L62, IF(SUM((_xlpm.x="C1")*1)=1, 1, 0))</f>
        <v>0</v>
      </c>
      <c r="Y60" s="25">
        <v>1</v>
      </c>
      <c r="Z60" s="25">
        <v>1</v>
      </c>
      <c r="AA60" s="25">
        <v>1</v>
      </c>
      <c r="AC60" s="148" t="str">
        <v>M5</v>
      </c>
      <c r="AD60" s="128">
        <v>40</v>
      </c>
      <c r="AE60" s="128">
        <v>14</v>
      </c>
      <c r="AF60" s="128">
        <v>41</v>
      </c>
      <c r="AG60" s="128">
        <v>14</v>
      </c>
      <c r="AH60" s="128">
        <v>21</v>
      </c>
      <c r="AI60" s="5"/>
      <c r="AJ60" s="148" t="str">
        <v>M5</v>
      </c>
      <c r="AK60" s="128">
        <v>40</v>
      </c>
      <c r="AL60" s="128">
        <v>14</v>
      </c>
      <c r="AM60" s="128">
        <v>41</v>
      </c>
      <c r="AN60" s="128">
        <v>14</v>
      </c>
      <c r="AO60" s="128">
        <v>21</v>
      </c>
    </row>
    <row r="61" spans="10:41" x14ac:dyDescent="0.3">
      <c r="J61" s="9">
        <v>57</v>
      </c>
      <c r="K61" s="16" t="s">
        <v>104</v>
      </c>
      <c r="L61" s="16" t="s">
        <v>89</v>
      </c>
      <c r="M61" s="16" t="s">
        <v>104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 cm="1">
        <f t="array" ref="W61">_xlfn.LET(_xlpm.x, K61:K63, IF(SUM((_xlpm.x="C1")*1)=1, 1, 0))</f>
        <v>0</v>
      </c>
      <c r="X61" s="25" cm="1">
        <f t="array" ref="X61">_xlfn.LET(_xlpm.x, L61:L63, IF(SUM((_xlpm.x="C1")*1)=1, 1, 0))</f>
        <v>0</v>
      </c>
      <c r="Y61" s="25" cm="1">
        <f t="array" ref="Y61">_xlfn.LET(_xlpm.x, M61:M63, IF(SUM((_xlpm.x="C1")*1)=1, 1, 0))</f>
        <v>1</v>
      </c>
      <c r="Z61" s="25">
        <v>1</v>
      </c>
      <c r="AA61" s="25">
        <v>1</v>
      </c>
      <c r="AC61" s="148" t="str">
        <v>A</v>
      </c>
      <c r="AD61" s="128">
        <v>47</v>
      </c>
      <c r="AE61" s="128">
        <v>13</v>
      </c>
      <c r="AF61" s="128">
        <v>41</v>
      </c>
      <c r="AG61" s="128">
        <v>14</v>
      </c>
      <c r="AH61" s="128">
        <v>21</v>
      </c>
      <c r="AI61" s="5"/>
      <c r="AJ61" s="148" t="str">
        <v>A</v>
      </c>
      <c r="AK61" s="128">
        <v>47</v>
      </c>
      <c r="AL61" s="128">
        <v>13</v>
      </c>
      <c r="AM61" s="128">
        <v>41</v>
      </c>
      <c r="AN61" s="128">
        <v>14</v>
      </c>
      <c r="AO61" s="128">
        <v>21</v>
      </c>
    </row>
    <row r="62" spans="10:41" x14ac:dyDescent="0.3">
      <c r="J62" s="25">
        <v>58</v>
      </c>
      <c r="K62" s="16" t="s">
        <v>36</v>
      </c>
      <c r="L62" s="16" t="s">
        <v>34</v>
      </c>
      <c r="M62" s="16" t="s">
        <v>104</v>
      </c>
      <c r="N62" s="16" t="s">
        <v>102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 cm="1">
        <f t="array" ref="W62">_xlfn.LET(_xlpm.x, K62:K64, IF(SUM((_xlpm.x="C1")*1)=1, 1, 0))</f>
        <v>0</v>
      </c>
      <c r="X62" s="25" cm="1">
        <f t="array" ref="X62">_xlfn.LET(_xlpm.x, L62:L64, IF(SUM((_xlpm.x="C1")*1)=1, 1, 0))</f>
        <v>0</v>
      </c>
      <c r="Y62" s="25" cm="1">
        <f t="array" ref="Y62">_xlfn.LET(_xlpm.x, M62:M64, IF(SUM((_xlpm.x="C1")*1)=1, 1, 0))</f>
        <v>1</v>
      </c>
      <c r="Z62" s="25">
        <v>1</v>
      </c>
      <c r="AA62" s="25">
        <v>1</v>
      </c>
      <c r="AC62" s="148" t="str">
        <v>K</v>
      </c>
      <c r="AD62" s="128">
        <v>47</v>
      </c>
      <c r="AE62" s="128">
        <v>13</v>
      </c>
      <c r="AF62" s="128">
        <v>41</v>
      </c>
      <c r="AG62" s="128">
        <v>14</v>
      </c>
      <c r="AH62" s="128">
        <v>21</v>
      </c>
      <c r="AI62" s="5"/>
      <c r="AJ62" s="148" t="str">
        <v>K</v>
      </c>
      <c r="AK62" s="128">
        <v>47</v>
      </c>
      <c r="AL62" s="128">
        <v>13</v>
      </c>
      <c r="AM62" s="128">
        <v>41</v>
      </c>
      <c r="AN62" s="128">
        <v>14</v>
      </c>
      <c r="AO62" s="128">
        <v>21</v>
      </c>
    </row>
    <row r="63" spans="10:41" ht="16.5" customHeight="1" x14ac:dyDescent="0.3">
      <c r="J63" s="9">
        <v>59</v>
      </c>
      <c r="K63" s="16" t="s">
        <v>35</v>
      </c>
      <c r="L63" s="16" t="s">
        <v>88</v>
      </c>
      <c r="M63" s="16" t="s">
        <v>20</v>
      </c>
      <c r="N63" s="16" t="s">
        <v>93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 cm="1">
        <f t="array" ref="W63">_xlfn.LET(_xlpm.x, K63:K65, IF(SUM((_xlpm.x="C1")*1)=1, 1, 0))</f>
        <v>0</v>
      </c>
      <c r="X63" s="25" cm="1">
        <f t="array" ref="X63">_xlfn.LET(_xlpm.x, L63:L65, IF(SUM((_xlpm.x="C1")*1)=1, 1, 0))</f>
        <v>0</v>
      </c>
      <c r="Y63" s="25">
        <v>0</v>
      </c>
      <c r="Z63" s="25">
        <v>1</v>
      </c>
      <c r="AA63" s="25">
        <v>1</v>
      </c>
      <c r="AC63" s="148" t="str">
        <v>Q</v>
      </c>
      <c r="AD63" s="128">
        <v>4</v>
      </c>
      <c r="AE63" s="128">
        <v>17</v>
      </c>
      <c r="AF63" s="128">
        <v>3</v>
      </c>
      <c r="AG63" s="128">
        <v>21</v>
      </c>
      <c r="AH63" s="128">
        <v>21</v>
      </c>
      <c r="AI63" s="5"/>
      <c r="AJ63" s="148" t="str">
        <v>Q</v>
      </c>
      <c r="AK63" s="128">
        <v>4</v>
      </c>
      <c r="AL63" s="128">
        <v>17</v>
      </c>
      <c r="AM63" s="128">
        <v>3</v>
      </c>
      <c r="AN63" s="128">
        <v>21</v>
      </c>
      <c r="AO63" s="128">
        <v>21</v>
      </c>
    </row>
    <row r="64" spans="10:41" ht="16.5" customHeight="1" x14ac:dyDescent="0.3">
      <c r="J64" s="25">
        <v>60</v>
      </c>
      <c r="K64" s="16" t="s">
        <v>104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 cm="1">
        <f t="array" ref="W64">_xlfn.LET(_xlpm.x, K64:K66, IF(SUM((_xlpm.x="C1")*1)=1, 1, 0))</f>
        <v>0</v>
      </c>
      <c r="X64" s="25" cm="1">
        <f t="array" ref="X64">_xlfn.LET(_xlpm.x, L64:L66, IF(SUM((_xlpm.x="C1")*1)=1, 1, 0))</f>
        <v>0</v>
      </c>
      <c r="Y64" s="25" cm="1">
        <f t="array" ref="Y64">_xlfn.LET(_xlpm.x, M64:M66, IF(SUM((_xlpm.x="C1")*1)=1, 1, 0))</f>
        <v>0</v>
      </c>
      <c r="Z64" s="25">
        <v>1</v>
      </c>
      <c r="AA64" s="25">
        <v>1</v>
      </c>
      <c r="AC64" s="148" t="str">
        <v>J</v>
      </c>
      <c r="AD64" s="128">
        <v>4</v>
      </c>
      <c r="AE64" s="128">
        <v>17</v>
      </c>
      <c r="AF64" s="128">
        <v>3</v>
      </c>
      <c r="AG64" s="128">
        <v>21</v>
      </c>
      <c r="AH64" s="128">
        <v>21</v>
      </c>
      <c r="AI64" s="5"/>
      <c r="AJ64" s="148" t="str">
        <v>J</v>
      </c>
      <c r="AK64" s="128">
        <v>4</v>
      </c>
      <c r="AL64" s="128">
        <v>17</v>
      </c>
      <c r="AM64" s="128">
        <v>3</v>
      </c>
      <c r="AN64" s="128">
        <v>21</v>
      </c>
      <c r="AO64" s="128">
        <v>21</v>
      </c>
    </row>
    <row r="65" spans="10:41" ht="16.5" customHeight="1" x14ac:dyDescent="0.3">
      <c r="J65" s="9">
        <v>61</v>
      </c>
      <c r="K65" s="16" t="s">
        <v>37</v>
      </c>
      <c r="L65" s="16" t="s">
        <v>36</v>
      </c>
      <c r="M65" s="16" t="s">
        <v>89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 cm="1">
        <f t="array" ref="W65">_xlfn.LET(_xlpm.x, K65:K67, IF(SUM((_xlpm.x="C1")*1)=1, 1, 0))</f>
        <v>0</v>
      </c>
      <c r="X65" s="25" cm="1">
        <f t="array" ref="X65">_xlfn.LET(_xlpm.x, L65:L67, IF(SUM((_xlpm.x="C1")*1)=1, 1, 0))</f>
        <v>0</v>
      </c>
      <c r="Y65" s="25" cm="1">
        <f t="array" ref="Y65">_xlfn.LET(_xlpm.x, M65:M67, IF(SUM((_xlpm.x="C1")*1)=1, 1, 0))</f>
        <v>0</v>
      </c>
      <c r="Z65" s="25">
        <v>1</v>
      </c>
      <c r="AA65" s="25">
        <v>1</v>
      </c>
      <c r="AC65" s="133" t="str">
        <v>G1</v>
      </c>
      <c r="AD65" s="98">
        <v>0</v>
      </c>
      <c r="AE65" s="98">
        <v>8</v>
      </c>
      <c r="AF65" s="98">
        <v>1</v>
      </c>
      <c r="AG65" s="98">
        <v>5</v>
      </c>
      <c r="AH65" s="98">
        <v>0</v>
      </c>
      <c r="AI65" s="5"/>
      <c r="AJ65" s="133" t="str">
        <v>G1</v>
      </c>
      <c r="AK65" s="98">
        <v>0</v>
      </c>
      <c r="AL65" s="98">
        <v>8</v>
      </c>
      <c r="AM65" s="98">
        <v>1</v>
      </c>
      <c r="AN65" s="98">
        <v>5</v>
      </c>
      <c r="AO65" s="98">
        <v>0</v>
      </c>
    </row>
    <row r="66" spans="10:41" ht="16.5" customHeight="1" x14ac:dyDescent="0.3">
      <c r="J66" s="25">
        <v>62</v>
      </c>
      <c r="K66" s="16" t="s">
        <v>21</v>
      </c>
      <c r="L66" s="16" t="s">
        <v>22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3</v>
      </c>
      <c r="S66" s="9">
        <v>5</v>
      </c>
      <c r="T66" s="9">
        <v>9</v>
      </c>
      <c r="U66" s="9">
        <v>9</v>
      </c>
      <c r="W66" s="25">
        <v>1</v>
      </c>
      <c r="X66" s="25" cm="1">
        <f t="array" ref="X66">_xlfn.LET(_xlpm.x, L66:L68, IF(SUM((_xlpm.x="C1")*1)=1, 1, 0))</f>
        <v>0</v>
      </c>
      <c r="Y66" s="25" cm="1">
        <f t="array" ref="Y66">_xlfn.LET(_xlpm.x, M66:M68, IF(SUM((_xlpm.x="C1")*1)=1, 1, 0))</f>
        <v>0</v>
      </c>
      <c r="Z66" s="25">
        <v>1</v>
      </c>
      <c r="AA66" s="25">
        <v>1</v>
      </c>
      <c r="AC66" s="133" t="str">
        <v>G2</v>
      </c>
      <c r="AD66" s="98">
        <v>0</v>
      </c>
      <c r="AE66" s="98">
        <v>8</v>
      </c>
      <c r="AF66" s="98">
        <v>1</v>
      </c>
      <c r="AG66" s="98">
        <v>5</v>
      </c>
      <c r="AH66" s="98">
        <v>0</v>
      </c>
      <c r="AI66" s="5"/>
      <c r="AJ66" s="133" t="str">
        <v>G2</v>
      </c>
      <c r="AK66" s="98">
        <v>0</v>
      </c>
      <c r="AL66" s="98">
        <v>8</v>
      </c>
      <c r="AM66" s="98">
        <v>1</v>
      </c>
      <c r="AN66" s="98">
        <v>5</v>
      </c>
      <c r="AO66" s="98">
        <v>0</v>
      </c>
    </row>
    <row r="67" spans="10:41" ht="16.5" customHeight="1" x14ac:dyDescent="0.3">
      <c r="J67" s="9">
        <v>63</v>
      </c>
      <c r="K67" s="16" t="s">
        <v>37</v>
      </c>
      <c r="L67" s="16" t="s">
        <v>93</v>
      </c>
      <c r="M67" s="16" t="s">
        <v>104</v>
      </c>
      <c r="N67" s="16" t="s">
        <v>105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 cm="1">
        <f t="array" ref="W67">_xlfn.LET(_xlpm.x, K67:K69, IF(SUM((_xlpm.x="C1")*1)=1, 1, 0))</f>
        <v>1</v>
      </c>
      <c r="X67" s="25" cm="1">
        <f t="array" ref="X67">_xlfn.LET(_xlpm.x, L67:L69, IF(SUM((_xlpm.x="C1")*1)=1, 1, 0))</f>
        <v>0</v>
      </c>
      <c r="Y67" s="25" cm="1">
        <f t="array" ref="Y67">_xlfn.LET(_xlpm.x, M67:M69, IF(SUM((_xlpm.x="C1")*1)=1, 1, 0))</f>
        <v>0</v>
      </c>
      <c r="Z67" s="25">
        <v>1</v>
      </c>
      <c r="AA67" s="25">
        <v>1</v>
      </c>
      <c r="AC67" s="133" t="str">
        <v>G3</v>
      </c>
      <c r="AD67" s="98">
        <v>0</v>
      </c>
      <c r="AE67" s="98">
        <v>8</v>
      </c>
      <c r="AF67" s="98">
        <v>1</v>
      </c>
      <c r="AG67" s="98">
        <v>5</v>
      </c>
      <c r="AH67" s="98">
        <v>0</v>
      </c>
      <c r="AI67" s="5"/>
      <c r="AJ67" s="133" t="str">
        <v>G3</v>
      </c>
      <c r="AK67" s="98">
        <v>0</v>
      </c>
      <c r="AL67" s="98">
        <v>8</v>
      </c>
      <c r="AM67" s="98">
        <v>1</v>
      </c>
      <c r="AN67" s="98">
        <v>5</v>
      </c>
      <c r="AO67" s="98">
        <v>0</v>
      </c>
    </row>
    <row r="68" spans="10:41" ht="16.5" customHeight="1" x14ac:dyDescent="0.3">
      <c r="J68" s="25">
        <v>64</v>
      </c>
      <c r="K68" s="16" t="s">
        <v>104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 cm="1">
        <f t="array" ref="W68">_xlfn.LET(_xlpm.x, K68:K70, IF(SUM((_xlpm.x="C1")*1)=1, 1, 0))</f>
        <v>1</v>
      </c>
      <c r="X68" s="25" cm="1">
        <f t="array" ref="X68">_xlfn.LET(_xlpm.x, L68:L70, IF(SUM((_xlpm.x="C1")*1)=1, 1, 0))</f>
        <v>0</v>
      </c>
      <c r="Y68" s="25" cm="1">
        <f t="array" ref="Y68">_xlfn.LET(_xlpm.x, M68:M70, IF(SUM((_xlpm.x="C1")*1)=1, 1, 0))</f>
        <v>0</v>
      </c>
      <c r="Z68" s="25">
        <v>1</v>
      </c>
      <c r="AA68" s="25">
        <v>1</v>
      </c>
      <c r="AC68" s="133" t="str">
        <v>G4</v>
      </c>
      <c r="AD68" s="98">
        <v>0</v>
      </c>
      <c r="AE68" s="98">
        <v>5</v>
      </c>
      <c r="AF68" s="98">
        <v>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5</v>
      </c>
      <c r="AM68" s="98">
        <v>4</v>
      </c>
      <c r="AN68" s="98">
        <v>4</v>
      </c>
      <c r="AO68" s="98">
        <v>0</v>
      </c>
    </row>
    <row r="69" spans="10:41" ht="16.5" customHeight="1" x14ac:dyDescent="0.3">
      <c r="J69" s="9">
        <v>65</v>
      </c>
      <c r="K69" s="16" t="s">
        <v>20</v>
      </c>
      <c r="L69" s="16" t="s">
        <v>22</v>
      </c>
      <c r="M69" s="16" t="s">
        <v>104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>
        <v>0</v>
      </c>
      <c r="X69" s="25">
        <v>1</v>
      </c>
      <c r="Y69" s="25" cm="1">
        <f t="array" ref="Y69">_xlfn.LET(_xlpm.x, M69:M71, IF(SUM((_xlpm.x="C1")*1)=1, 1, 0))</f>
        <v>0</v>
      </c>
      <c r="Z69" s="25">
        <v>1</v>
      </c>
      <c r="AA69" s="25">
        <v>1</v>
      </c>
      <c r="AC69" s="133" t="str">
        <v>G5</v>
      </c>
      <c r="AD69" s="98">
        <v>0</v>
      </c>
      <c r="AE69" s="98">
        <v>5</v>
      </c>
      <c r="AF69" s="98">
        <v>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5</v>
      </c>
      <c r="AM69" s="98">
        <v>4</v>
      </c>
      <c r="AN69" s="98">
        <v>4</v>
      </c>
      <c r="AO69" s="98">
        <v>0</v>
      </c>
    </row>
    <row r="70" spans="10:41" ht="16.5" customHeight="1" x14ac:dyDescent="0.3">
      <c r="J70" s="25">
        <v>66</v>
      </c>
      <c r="K70" s="16" t="s">
        <v>37</v>
      </c>
      <c r="L70" s="16" t="s">
        <v>286</v>
      </c>
      <c r="M70" s="16" t="s">
        <v>105</v>
      </c>
      <c r="N70" s="16" t="s">
        <v>36</v>
      </c>
      <c r="O70" s="16" t="s">
        <v>104</v>
      </c>
      <c r="Q70" s="9">
        <v>7</v>
      </c>
      <c r="R70" s="9">
        <v>11</v>
      </c>
      <c r="S70" s="9">
        <v>15</v>
      </c>
      <c r="T70" s="9">
        <v>10</v>
      </c>
      <c r="U70" s="9">
        <v>6</v>
      </c>
      <c r="W70" s="25" cm="1">
        <f t="array" ref="W70">_xlfn.LET(_xlpm.x, K70:K72, IF(SUM((_xlpm.x="C1")*1)=1, 1, 0))</f>
        <v>0</v>
      </c>
      <c r="X70" s="25" cm="1">
        <f t="array" ref="X70">_xlfn.LET(_xlpm.x, L70:L72, IF(SUM((_xlpm.x="C1")*1)=1, 1, 0))</f>
        <v>1</v>
      </c>
      <c r="Y70" s="25" cm="1">
        <f t="array" ref="Y70">_xlfn.LET(_xlpm.x, M70:M72, IF(SUM((_xlpm.x="C1")*1)=1, 1, 0))</f>
        <v>0</v>
      </c>
      <c r="Z70" s="25">
        <v>1</v>
      </c>
      <c r="AA70" s="25">
        <v>1</v>
      </c>
      <c r="AC70" s="133" t="str">
        <v>GA</v>
      </c>
      <c r="AD70" s="98">
        <v>0</v>
      </c>
      <c r="AE70" s="98">
        <v>5</v>
      </c>
      <c r="AF70" s="98">
        <v>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5</v>
      </c>
      <c r="AM70" s="98">
        <v>4</v>
      </c>
      <c r="AN70" s="98">
        <v>4</v>
      </c>
      <c r="AO70" s="98">
        <v>0</v>
      </c>
    </row>
    <row r="71" spans="10:41" ht="16.5" customHeight="1" x14ac:dyDescent="0.3">
      <c r="J71" s="9">
        <v>67</v>
      </c>
      <c r="K71" s="16" t="s">
        <v>36</v>
      </c>
      <c r="L71" s="16" t="s">
        <v>86</v>
      </c>
      <c r="M71" s="16" t="s">
        <v>104</v>
      </c>
      <c r="N71" s="16" t="s">
        <v>86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 cm="1">
        <f t="array" ref="W71">_xlfn.LET(_xlpm.x, K71:K73, IF(SUM((_xlpm.x="C1")*1)=1, 1, 0))</f>
        <v>0</v>
      </c>
      <c r="X71" s="25" cm="1">
        <f t="array" ref="X71">_xlfn.LET(_xlpm.x, L71:L73, IF(SUM((_xlpm.x="C1")*1)=1, 1, 0))</f>
        <v>1</v>
      </c>
      <c r="Y71" s="25" cm="1">
        <f t="array" ref="Y71">_xlfn.LET(_xlpm.x, M71:M73, IF(SUM((_xlpm.x="C1")*1)=1, 1, 0))</f>
        <v>0</v>
      </c>
      <c r="Z71" s="25">
        <v>1</v>
      </c>
      <c r="AA71" s="25">
        <v>1</v>
      </c>
      <c r="AC71" s="133" t="str">
        <v>GK</v>
      </c>
      <c r="AD71" s="98">
        <v>0</v>
      </c>
      <c r="AE71" s="98">
        <v>5</v>
      </c>
      <c r="AF71" s="98">
        <v>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5</v>
      </c>
      <c r="AM71" s="98">
        <v>4</v>
      </c>
      <c r="AN71" s="98">
        <v>4</v>
      </c>
      <c r="AO71" s="98">
        <v>0</v>
      </c>
    </row>
    <row r="72" spans="10:41" ht="16.5" customHeight="1" x14ac:dyDescent="0.3">
      <c r="J72" s="25">
        <v>68</v>
      </c>
      <c r="K72" s="16" t="s">
        <v>104</v>
      </c>
      <c r="L72" s="16" t="s">
        <v>20</v>
      </c>
      <c r="M72" s="16" t="s">
        <v>35</v>
      </c>
      <c r="N72" s="16" t="s">
        <v>36</v>
      </c>
      <c r="O72" s="16" t="s">
        <v>104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 cm="1">
        <f t="array" ref="W72">_xlfn.LET(_xlpm.x, K72:K74, IF(SUM((_xlpm.x="C1")*1)=1, 1, 0))</f>
        <v>0</v>
      </c>
      <c r="X72" s="25">
        <v>0</v>
      </c>
      <c r="Y72" s="25" cm="1">
        <f t="array" ref="Y72">_xlfn.LET(_xlpm.x, M72:M74, IF(SUM((_xlpm.x="C1")*1)=1, 1, 0))</f>
        <v>0</v>
      </c>
      <c r="Z72" s="25">
        <v>1</v>
      </c>
      <c r="AA72" s="25">
        <v>1</v>
      </c>
      <c r="AC72" s="133" t="str">
        <v>GQ</v>
      </c>
      <c r="AD72" s="98">
        <v>0</v>
      </c>
      <c r="AE72" s="98">
        <v>9</v>
      </c>
      <c r="AF72" s="98">
        <v>1</v>
      </c>
      <c r="AG72" s="98">
        <v>5</v>
      </c>
      <c r="AH72" s="98">
        <v>0</v>
      </c>
      <c r="AI72" s="5"/>
      <c r="AJ72" s="133" t="str">
        <v>GQ</v>
      </c>
      <c r="AK72" s="98">
        <v>0</v>
      </c>
      <c r="AL72" s="98">
        <v>9</v>
      </c>
      <c r="AM72" s="98">
        <v>1</v>
      </c>
      <c r="AN72" s="98">
        <v>5</v>
      </c>
      <c r="AO72" s="98">
        <v>0</v>
      </c>
    </row>
    <row r="73" spans="10:41" ht="16.5" customHeight="1" x14ac:dyDescent="0.3">
      <c r="J73" s="9">
        <v>69</v>
      </c>
      <c r="K73" s="16" t="s">
        <v>36</v>
      </c>
      <c r="L73" s="16" t="s">
        <v>32</v>
      </c>
      <c r="M73" s="16" t="s">
        <v>104</v>
      </c>
      <c r="N73" s="16" t="s">
        <v>104</v>
      </c>
      <c r="O73" s="16" t="s">
        <v>37</v>
      </c>
      <c r="Q73" s="9">
        <v>10</v>
      </c>
      <c r="R73" s="9">
        <v>9</v>
      </c>
      <c r="S73" s="9">
        <v>6</v>
      </c>
      <c r="T73" s="9">
        <v>6</v>
      </c>
      <c r="U73" s="9">
        <v>7</v>
      </c>
      <c r="W73" s="25" cm="1">
        <f t="array" ref="W73">_xlfn.LET(_xlpm.x, K73:K75, IF(SUM((_xlpm.x="C1")*1)=1, 1, 0))</f>
        <v>0</v>
      </c>
      <c r="X73" s="25" cm="1">
        <f t="array" ref="X73">_xlfn.LET(_xlpm.x, L73:L75, IF(SUM((_xlpm.x="C1")*1)=1, 1, 0))</f>
        <v>0</v>
      </c>
      <c r="Y73" s="25" cm="1">
        <f t="array" ref="Y73">_xlfn.LET(_xlpm.x, M73:M75, IF(SUM((_xlpm.x="C1")*1)=1, 1, 0))</f>
        <v>0</v>
      </c>
      <c r="Z73" s="25">
        <v>1</v>
      </c>
      <c r="AA73" s="25">
        <v>1</v>
      </c>
      <c r="AC73" s="133" t="str">
        <v>GJ</v>
      </c>
      <c r="AD73" s="98">
        <v>0</v>
      </c>
      <c r="AE73" s="98">
        <v>9</v>
      </c>
      <c r="AF73" s="98">
        <v>1</v>
      </c>
      <c r="AG73" s="98">
        <v>5</v>
      </c>
      <c r="AH73" s="98">
        <v>0</v>
      </c>
      <c r="AI73" s="5"/>
      <c r="AJ73" s="133" t="str">
        <v>GJ</v>
      </c>
      <c r="AK73" s="98">
        <v>0</v>
      </c>
      <c r="AL73" s="98">
        <v>9</v>
      </c>
      <c r="AM73" s="98">
        <v>1</v>
      </c>
      <c r="AN73" s="98">
        <v>5</v>
      </c>
      <c r="AO73" s="98">
        <v>0</v>
      </c>
    </row>
    <row r="74" spans="10:41" ht="16.5" customHeight="1" x14ac:dyDescent="0.3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 cm="1">
        <f t="array" ref="W74">_xlfn.LET(_xlpm.x, K74:K76, IF(SUM((_xlpm.x="C1")*1)=1, 1, 0))</f>
        <v>0</v>
      </c>
      <c r="X74" s="25" cm="1">
        <f t="array" ref="X74">_xlfn.LET(_xlpm.x, L74:L76, IF(SUM((_xlpm.x="C1")*1)=1, 1, 0))</f>
        <v>0</v>
      </c>
      <c r="Y74" s="25" cm="1">
        <f t="array" ref="Y74">_xlfn.LET(_xlpm.x, M74:M76, IF(SUM((_xlpm.x="C1")*1)=1, 1, 0))</f>
        <v>0</v>
      </c>
      <c r="Z74" s="25">
        <v>1</v>
      </c>
      <c r="AA74" s="25">
        <v>1</v>
      </c>
      <c r="AD74" s="109">
        <f>SUM(AD54:AD73)</f>
        <v>200</v>
      </c>
      <c r="AE74" s="109">
        <f>SUM(AE54:AE73)</f>
        <v>209</v>
      </c>
      <c r="AF74" s="109">
        <f>SUM(AF54:AF73)</f>
        <v>209</v>
      </c>
      <c r="AG74" s="109">
        <f>SUM(AG54:AG73)</f>
        <v>209</v>
      </c>
      <c r="AH74" s="109">
        <f>SUM(AH54:AH73)</f>
        <v>200</v>
      </c>
      <c r="AI74" s="5"/>
      <c r="AK74" s="109">
        <f>SUM(AK54:AK73)</f>
        <v>200</v>
      </c>
      <c r="AL74" s="109">
        <f>SUM(AL54:AL73)</f>
        <v>209</v>
      </c>
      <c r="AM74" s="109">
        <f>SUM(AM54:AM73)</f>
        <v>209</v>
      </c>
      <c r="AN74" s="109">
        <f>SUM(AN54:AN73)</f>
        <v>209</v>
      </c>
      <c r="AO74" s="109">
        <f>SUM(AO54:AO73)</f>
        <v>200</v>
      </c>
    </row>
    <row r="75" spans="10:41" ht="16.5" customHeight="1" x14ac:dyDescent="0.3">
      <c r="J75" s="9">
        <v>71</v>
      </c>
      <c r="K75" s="16" t="s">
        <v>19</v>
      </c>
      <c r="L75" s="16" t="s">
        <v>22</v>
      </c>
      <c r="M75" s="16" t="s">
        <v>104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 cm="1">
        <f t="array" ref="W75">_xlfn.LET(_xlpm.x, K75:K77, IF(SUM((_xlpm.x="C1")*1)=1, 1, 0))</f>
        <v>0</v>
      </c>
      <c r="X75" s="25" cm="1">
        <f t="array" ref="X75">_xlfn.LET(_xlpm.x, L75:L77, IF(SUM((_xlpm.x="C1")*1)=1, 1, 0))</f>
        <v>0</v>
      </c>
      <c r="Y75" s="25" cm="1">
        <f t="array" ref="Y75">_xlfn.LET(_xlpm.x, M75:M77, IF(SUM((_xlpm.x="C1")*1)=1, 1, 0))</f>
        <v>0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34</v>
      </c>
      <c r="L76" s="16" t="s">
        <v>22</v>
      </c>
      <c r="M76" s="16" t="s">
        <v>89</v>
      </c>
      <c r="N76" s="16" t="s">
        <v>86</v>
      </c>
      <c r="O76" s="16" t="s">
        <v>37</v>
      </c>
      <c r="Q76" s="9">
        <v>9</v>
      </c>
      <c r="R76" s="9">
        <v>3</v>
      </c>
      <c r="S76" s="9">
        <v>14</v>
      </c>
      <c r="T76" s="9">
        <v>11</v>
      </c>
      <c r="U76" s="9">
        <v>7</v>
      </c>
      <c r="W76" s="25" cm="1">
        <f t="array" ref="W76">_xlfn.LET(_xlpm.x, K76:K78, IF(SUM((_xlpm.x="C1")*1)=1, 1, 0))</f>
        <v>0</v>
      </c>
      <c r="X76" s="25" cm="1">
        <f t="array" ref="X76">_xlfn.LET(_xlpm.x, L76:L78, IF(SUM((_xlpm.x="C1")*1)=1, 1, 0))</f>
        <v>0</v>
      </c>
      <c r="Y76" s="25" cm="1">
        <f t="array" ref="Y76">_xlfn.LET(_xlpm.x, M76:M78, IF(SUM((_xlpm.x="C1")*1)=1, 1, 0))</f>
        <v>0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19</v>
      </c>
      <c r="L77" s="16" t="s">
        <v>89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 cm="1">
        <f t="array" ref="W77">_xlfn.LET(_xlpm.x, K77:K79, IF(SUM((_xlpm.x="C1")*1)=1, 1, 0))</f>
        <v>0</v>
      </c>
      <c r="X77" s="25" cm="1">
        <f t="array" ref="X77">_xlfn.LET(_xlpm.x, L77:L79, IF(SUM((_xlpm.x="C1")*1)=1, 1, 0))</f>
        <v>0</v>
      </c>
      <c r="Y77" s="25" cm="1">
        <f t="array" ref="Y77">_xlfn.LET(_xlpm.x, M77:M79, IF(SUM((_xlpm.x="C1")*1)=1, 1, 0))</f>
        <v>0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37</v>
      </c>
      <c r="L78" s="16" t="s">
        <v>21</v>
      </c>
      <c r="M78" s="16" t="s">
        <v>104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 cm="1">
        <f t="array" ref="W78">_xlfn.LET(_xlpm.x, K78:K80, IF(SUM((_xlpm.x="C1")*1)=1, 1, 0))</f>
        <v>0</v>
      </c>
      <c r="X78" s="25" cm="1">
        <f t="array" ref="X78">_xlfn.LET(_xlpm.x, L78:L80, IF(SUM((_xlpm.x="C1")*1)=1, 1, 0))</f>
        <v>0</v>
      </c>
      <c r="Y78" s="25" cm="1">
        <f t="array" ref="Y78">_xlfn.LET(_xlpm.x, M78:M80, IF(SUM((_xlpm.x="C1")*1)=1, 1, 0))</f>
        <v>0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37</v>
      </c>
      <c r="L79" s="16" t="s">
        <v>36</v>
      </c>
      <c r="M79" s="16" t="s">
        <v>37</v>
      </c>
      <c r="N79" s="16" t="s">
        <v>88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 cm="1">
        <f t="array" ref="W79">_xlfn.LET(_xlpm.x, K79:K81, IF(SUM((_xlpm.x="C1")*1)=1, 1, 0))</f>
        <v>0</v>
      </c>
      <c r="X79" s="25" cm="1">
        <f t="array" ref="X79">_xlfn.LET(_xlpm.x, L79:L81, IF(SUM((_xlpm.x="C1")*1)=1, 1, 0))</f>
        <v>0</v>
      </c>
      <c r="Y79" s="25" cm="1">
        <f t="array" ref="Y79">_xlfn.LET(_xlpm.x, M79:M81, IF(SUM((_xlpm.x="C1")*1)=1, 1, 0))</f>
        <v>0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35</v>
      </c>
      <c r="L80" s="16" t="s">
        <v>21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2</v>
      </c>
      <c r="S80" s="9">
        <v>10</v>
      </c>
      <c r="T80" s="9">
        <v>7</v>
      </c>
      <c r="U80" s="9">
        <v>5</v>
      </c>
      <c r="W80" s="25" cm="1">
        <f t="array" ref="W80">_xlfn.LET(_xlpm.x, K80:K82, IF(SUM((_xlpm.x="C1")*1)=1, 1, 0))</f>
        <v>0</v>
      </c>
      <c r="X80" s="25" cm="1">
        <f t="array" ref="X80">_xlfn.LET(_xlpm.x, L80:L82, IF(SUM((_xlpm.x="C1")*1)=1, 1, 0))</f>
        <v>0</v>
      </c>
      <c r="Y80" s="25" cm="1">
        <f t="array" ref="Y80">_xlfn.LET(_xlpm.x, M80:M82, IF(SUM((_xlpm.x="C1")*1)=1, 1, 0))</f>
        <v>0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37</v>
      </c>
      <c r="L81" s="16" t="s">
        <v>104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 cm="1">
        <f t="array" ref="W81">_xlfn.LET(_xlpm.x, K81:K83, IF(SUM((_xlpm.x="C1")*1)=1, 1, 0))</f>
        <v>0</v>
      </c>
      <c r="X81" s="25" cm="1">
        <f t="array" ref="X81">_xlfn.LET(_xlpm.x, L81:L83, IF(SUM((_xlpm.x="C1")*1)=1, 1, 0))</f>
        <v>0</v>
      </c>
      <c r="Y81" s="25" cm="1">
        <f t="array" ref="Y81">_xlfn.LET(_xlpm.x, M81:M83, IF(SUM((_xlpm.x="C1")*1)=1, 1, 0))</f>
        <v>0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19</v>
      </c>
      <c r="L82" s="16" t="s">
        <v>87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 cm="1">
        <f t="array" ref="W82">_xlfn.LET(_xlpm.x, K82:K84, IF(SUM((_xlpm.x="C1")*1)=1, 1, 0))</f>
        <v>0</v>
      </c>
      <c r="X82" s="25" cm="1">
        <f t="array" ref="X82">_xlfn.LET(_xlpm.x, L82:L84, IF(SUM((_xlpm.x="C1")*1)=1, 1, 0))</f>
        <v>0</v>
      </c>
      <c r="Y82" s="25" cm="1">
        <f t="array" ref="Y82">_xlfn.LET(_xlpm.x, M82:M84, IF(SUM((_xlpm.x="C1")*1)=1, 1, 0))</f>
        <v>0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104</v>
      </c>
      <c r="L83" s="16" t="s">
        <v>36</v>
      </c>
      <c r="M83" s="16" t="s">
        <v>104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 cm="1">
        <f t="array" ref="W83">_xlfn.LET(_xlpm.x, K83:K85, IF(SUM((_xlpm.x="C1")*1)=1, 1, 0))</f>
        <v>0</v>
      </c>
      <c r="X83" s="25" cm="1">
        <f t="array" ref="X83">_xlfn.LET(_xlpm.x, L83:L85, IF(SUM((_xlpm.x="C1")*1)=1, 1, 0))</f>
        <v>0</v>
      </c>
      <c r="Y83" s="25" cm="1">
        <f t="array" ref="Y83">_xlfn.LET(_xlpm.x, M83:M85, IF(SUM((_xlpm.x="C1")*1)=1, 1, 0))</f>
        <v>0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36</v>
      </c>
      <c r="M84" s="16" t="s">
        <v>102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 cm="1">
        <f t="array" ref="W84">_xlfn.LET(_xlpm.x, K84:K86, IF(SUM((_xlpm.x="C1")*1)=1, 1, 0))</f>
        <v>0</v>
      </c>
      <c r="X84" s="25" cm="1">
        <f t="array" ref="X84">_xlfn.LET(_xlpm.x, L84:L86, IF(SUM((_xlpm.x="C1")*1)=1, 1, 0))</f>
        <v>0</v>
      </c>
      <c r="Y84" s="25" cm="1">
        <f t="array" ref="Y84">_xlfn.LET(_xlpm.x, M84:M86, IF(SUM((_xlpm.x="C1")*1)=1, 1, 0))</f>
        <v>0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37</v>
      </c>
      <c r="L85" s="16" t="s">
        <v>37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7</v>
      </c>
      <c r="S85" s="9">
        <v>7</v>
      </c>
      <c r="T85" s="9">
        <v>7</v>
      </c>
      <c r="U85" s="9">
        <v>8</v>
      </c>
      <c r="W85" s="25" cm="1">
        <f t="array" ref="W85">_xlfn.LET(_xlpm.x, K85:K87, IF(SUM((_xlpm.x="C1")*1)=1, 1, 0))</f>
        <v>0</v>
      </c>
      <c r="X85" s="25" cm="1">
        <f t="array" ref="X85">_xlfn.LET(_xlpm.x, L85:L87, IF(SUM((_xlpm.x="C1")*1)=1, 1, 0))</f>
        <v>0</v>
      </c>
      <c r="Y85" s="25" cm="1">
        <f t="array" ref="Y85">_xlfn.LET(_xlpm.x, M85:M87, IF(SUM((_xlpm.x="C1")*1)=1, 1, 0))</f>
        <v>0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18</v>
      </c>
      <c r="L86" s="16" t="s">
        <v>19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5</v>
      </c>
      <c r="S86" s="9">
        <v>4</v>
      </c>
      <c r="T86" s="9">
        <v>7</v>
      </c>
      <c r="U86" s="9">
        <v>2</v>
      </c>
      <c r="W86" s="25">
        <v>1</v>
      </c>
      <c r="X86" s="25" cm="1">
        <f t="array" ref="X86">_xlfn.LET(_xlpm.x, L86:L88, IF(SUM((_xlpm.x="C1")*1)=1, 1, 0))</f>
        <v>0</v>
      </c>
      <c r="Y86" s="25" cm="1">
        <f t="array" ref="Y86">_xlfn.LET(_xlpm.x, M86:M88, IF(SUM((_xlpm.x="C1")*1)=1, 1, 0))</f>
        <v>0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104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 cm="1">
        <f t="array" ref="W87">_xlfn.LET(_xlpm.x, K87:K89, IF(SUM((_xlpm.x="C1")*1)=1, 1, 0))</f>
        <v>1</v>
      </c>
      <c r="X87" s="25" cm="1">
        <f t="array" ref="X87">_xlfn.LET(_xlpm.x, L87:L89, IF(SUM((_xlpm.x="C1")*1)=1, 1, 0))</f>
        <v>0</v>
      </c>
      <c r="Y87" s="25" cm="1">
        <f t="array" ref="Y87">_xlfn.LET(_xlpm.x, M87:M89, IF(SUM((_xlpm.x="C1")*1)=1, 1, 0))</f>
        <v>0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104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 cm="1">
        <f t="array" ref="W88">_xlfn.LET(_xlpm.x, K88:K90, IF(SUM((_xlpm.x="C1")*1)=1, 1, 0))</f>
        <v>1</v>
      </c>
      <c r="X88" s="25">
        <v>1</v>
      </c>
      <c r="Y88" s="25" cm="1">
        <f t="array" ref="Y88">_xlfn.LET(_xlpm.x, M88:M90, IF(SUM((_xlpm.x="C1")*1)=1, 1, 0))</f>
        <v>0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20</v>
      </c>
      <c r="L89" s="16" t="s">
        <v>86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>
        <v>0</v>
      </c>
      <c r="X89" s="25" cm="1">
        <f t="array" ref="X89">_xlfn.LET(_xlpm.x, L89:L91, IF(SUM((_xlpm.x="C1")*1)=1, 1, 0))</f>
        <v>1</v>
      </c>
      <c r="Y89" s="25" cm="1">
        <f t="array" ref="Y89">_xlfn.LET(_xlpm.x, M89:M91, IF(SUM((_xlpm.x="C1")*1)=1, 1, 0))</f>
        <v>0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 cm="1">
        <f t="array" ref="W90">_xlfn.LET(_xlpm.x, K90:K92, IF(SUM((_xlpm.x="C1")*1)=1, 1, 0))</f>
        <v>0</v>
      </c>
      <c r="X90" s="25" cm="1">
        <f t="array" ref="X90">_xlfn.LET(_xlpm.x, L90:L92, IF(SUM((_xlpm.x="C1")*1)=1, 1, 0))</f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37</v>
      </c>
      <c r="L91" s="16" t="s">
        <v>20</v>
      </c>
      <c r="M91" s="16" t="s">
        <v>37</v>
      </c>
      <c r="N91" s="16" t="s">
        <v>87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 cm="1">
        <f t="array" ref="W91">_xlfn.LET(_xlpm.x, K91:K93, IF(SUM((_xlpm.x="C1")*1)=1, 1, 0))</f>
        <v>0</v>
      </c>
      <c r="X91" s="25">
        <v>0</v>
      </c>
      <c r="Y91" s="25" cm="1">
        <f t="array" ref="Y91">_xlfn.LET(_xlpm.x, M91:M93, IF(SUM((_xlpm.x="C1")*1)=1, 1, 0))</f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19</v>
      </c>
      <c r="M92" s="16" t="s">
        <v>104</v>
      </c>
      <c r="N92" s="16" t="s">
        <v>34</v>
      </c>
      <c r="O92" s="16" t="s">
        <v>19</v>
      </c>
      <c r="Q92" s="9">
        <v>5</v>
      </c>
      <c r="R92" s="9">
        <v>5</v>
      </c>
      <c r="S92" s="9">
        <v>6</v>
      </c>
      <c r="T92" s="9">
        <v>9</v>
      </c>
      <c r="U92" s="9">
        <v>5</v>
      </c>
      <c r="W92" s="25" cm="1">
        <f t="array" ref="W92">_xlfn.LET(_xlpm.x, K92:K94, IF(SUM((_xlpm.x="C1")*1)=1, 1, 0))</f>
        <v>0</v>
      </c>
      <c r="X92" s="25" cm="1">
        <f t="array" ref="X92">_xlfn.LET(_xlpm.x, L92:L94, IF(SUM((_xlpm.x="C1")*1)=1, 1, 0))</f>
        <v>0</v>
      </c>
      <c r="Y92" s="25" cm="1">
        <f t="array" ref="Y92">_xlfn.LET(_xlpm.x, M92:M94, IF(SUM((_xlpm.x="C1")*1)=1, 1, 0))</f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 cm="1">
        <f t="array" ref="W93">_xlfn.LET(_xlpm.x, K93:K95, IF(SUM((_xlpm.x="C1")*1)=1, 1, 0))</f>
        <v>0</v>
      </c>
      <c r="X93" s="25" cm="1">
        <f t="array" ref="X93">_xlfn.LET(_xlpm.x, L93:L95, IF(SUM((_xlpm.x="C1")*1)=1, 1, 0))</f>
        <v>0</v>
      </c>
      <c r="Y93" s="25">
        <v>0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104</v>
      </c>
      <c r="L94" s="16" t="s">
        <v>36</v>
      </c>
      <c r="M94" s="16" t="s">
        <v>90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 cm="1">
        <f t="array" ref="W94">_xlfn.LET(_xlpm.x, K94:K96, IF(SUM((_xlpm.x="C1")*1)=1, 1, 0))</f>
        <v>0</v>
      </c>
      <c r="X94" s="25" cm="1">
        <f t="array" ref="X94">_xlfn.LET(_xlpm.x, L94:L96, IF(SUM((_xlpm.x="C1")*1)=1, 1, 0))</f>
        <v>0</v>
      </c>
      <c r="Y94" s="25" cm="1">
        <f t="array" ref="Y94">_xlfn.LET(_xlpm.x, M94:M96, IF(SUM((_xlpm.x="C1")*1)=1, 1, 0))</f>
        <v>0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 cm="1">
        <f t="array" ref="W95">_xlfn.LET(_xlpm.x, K95:K97, IF(SUM((_xlpm.x="C1")*1)=1, 1, 0))</f>
        <v>0</v>
      </c>
      <c r="X95" s="25" cm="1">
        <f t="array" ref="X95">_xlfn.LET(_xlpm.x, L95:L97, IF(SUM((_xlpm.x="C1")*1)=1, 1, 0))</f>
        <v>0</v>
      </c>
      <c r="Y95" s="25" cm="1">
        <f t="array" ref="Y95">_xlfn.LET(_xlpm.x, M95:M97, IF(SUM((_xlpm.x="C1")*1)=1, 1, 0))</f>
        <v>0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35</v>
      </c>
      <c r="L96" s="16" t="s">
        <v>86</v>
      </c>
      <c r="M96" s="16" t="s">
        <v>104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 cm="1">
        <f t="array" ref="W96">_xlfn.LET(_xlpm.x, K96:K98, IF(SUM((_xlpm.x="C1")*1)=1, 1, 0))</f>
        <v>0</v>
      </c>
      <c r="X96" s="25" cm="1">
        <f t="array" ref="X96">_xlfn.LET(_xlpm.x, L96:L98, IF(SUM((_xlpm.x="C1")*1)=1, 1, 0))</f>
        <v>0</v>
      </c>
      <c r="Y96" s="25" cm="1">
        <f t="array" ref="Y96">_xlfn.LET(_xlpm.x, M96:M98, IF(SUM((_xlpm.x="C1")*1)=1, 1, 0))</f>
        <v>0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21</v>
      </c>
      <c r="L97" s="16" t="s">
        <v>36</v>
      </c>
      <c r="M97" s="16" t="s">
        <v>37</v>
      </c>
      <c r="N97" s="16" t="s">
        <v>102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 cm="1">
        <f t="array" ref="W97">_xlfn.LET(_xlpm.x, K97:K99, IF(SUM((_xlpm.x="C1")*1)=1, 1, 0))</f>
        <v>0</v>
      </c>
      <c r="X97" s="25" cm="1">
        <f t="array" ref="X97">_xlfn.LET(_xlpm.x, L97:L99, IF(SUM((_xlpm.x="C1")*1)=1, 1, 0))</f>
        <v>0</v>
      </c>
      <c r="Y97" s="25" cm="1">
        <f t="array" ref="Y97">_xlfn.LET(_xlpm.x, M97:M99, IF(SUM((_xlpm.x="C1")*1)=1, 1, 0))</f>
        <v>0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19</v>
      </c>
      <c r="L98" s="16" t="s">
        <v>87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 cm="1">
        <f t="array" ref="W98">_xlfn.LET(_xlpm.x, K98:K100, IF(SUM((_xlpm.x="C1")*1)=1, 1, 0))</f>
        <v>0</v>
      </c>
      <c r="X98" s="25" cm="1">
        <f t="array" ref="X98">_xlfn.LET(_xlpm.x, L98:L100, IF(SUM((_xlpm.x="C1")*1)=1, 1, 0))</f>
        <v>0</v>
      </c>
      <c r="Y98" s="25" cm="1">
        <f t="array" ref="Y98">_xlfn.LET(_xlpm.x, M98:M100, IF(SUM((_xlpm.x="C1")*1)=1, 1, 0))</f>
        <v>0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>
        <v>1</v>
      </c>
      <c r="X99" s="25" cm="1">
        <f t="array" ref="X99">_xlfn.LET(_xlpm.x, L99:L101, IF(SUM((_xlpm.x="C1")*1)=1, 1, 0))</f>
        <v>0</v>
      </c>
      <c r="Y99" s="25" cm="1">
        <f t="array" ref="Y99">_xlfn.LET(_xlpm.x, M99:M101, IF(SUM((_xlpm.x="C1")*1)=1, 1, 0))</f>
        <v>0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 cm="1">
        <f t="array" ref="W100">_xlfn.LET(_xlpm.x, K100:K102, IF(SUM((_xlpm.x="C1")*1)=1, 1, 0))</f>
        <v>1</v>
      </c>
      <c r="X100" s="25" cm="1">
        <f t="array" ref="X100">_xlfn.LET(_xlpm.x, L100:L102, IF(SUM((_xlpm.x="C1")*1)=1, 1, 0))</f>
        <v>0</v>
      </c>
      <c r="Y100" s="25" cm="1">
        <f t="array" ref="Y100">_xlfn.LET(_xlpm.x, M100:M102, IF(SUM((_xlpm.x="C1")*1)=1, 1, 0))</f>
        <v>0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 cm="1">
        <f t="array" ref="W101">_xlfn.LET(_xlpm.x, K101:K103, IF(SUM((_xlpm.x="C1")*1)=1, 1, 0))</f>
        <v>1</v>
      </c>
      <c r="X101" s="25" cm="1">
        <f t="array" ref="X101">_xlfn.LET(_xlpm.x, L101:L103, IF(SUM((_xlpm.x="C1")*1)=1, 1, 0))</f>
        <v>0</v>
      </c>
      <c r="Y101" s="25" cm="1">
        <f t="array" ref="Y101">_xlfn.LET(_xlpm.x, M101:M103, IF(SUM((_xlpm.x="C1")*1)=1, 1, 0))</f>
        <v>0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20</v>
      </c>
      <c r="L102" s="16" t="s">
        <v>86</v>
      </c>
      <c r="M102" s="16" t="s">
        <v>19</v>
      </c>
      <c r="N102" s="16" t="s">
        <v>19</v>
      </c>
      <c r="O102" s="16" t="s">
        <v>104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>
        <v>0</v>
      </c>
      <c r="X102" s="25" cm="1">
        <f t="array" ref="X102">_xlfn.LET(_xlpm.x, L102:L104, IF(SUM((_xlpm.x="C1")*1)=1, 1, 0))</f>
        <v>0</v>
      </c>
      <c r="Y102" s="25" cm="1">
        <f t="array" ref="Y102">_xlfn.LET(_xlpm.x, M102:M104, IF(SUM((_xlpm.x="C1")*1)=1, 1, 0))</f>
        <v>0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285</v>
      </c>
      <c r="L103" s="16" t="s">
        <v>105</v>
      </c>
      <c r="M103" s="16" t="s">
        <v>35</v>
      </c>
      <c r="N103" s="16" t="s">
        <v>34</v>
      </c>
      <c r="O103" s="16" t="s">
        <v>34</v>
      </c>
      <c r="Q103" s="9">
        <v>6</v>
      </c>
      <c r="R103" s="9">
        <v>15</v>
      </c>
      <c r="S103" s="9">
        <v>8</v>
      </c>
      <c r="T103" s="9">
        <v>9</v>
      </c>
      <c r="U103" s="9">
        <v>9</v>
      </c>
      <c r="W103" s="25" cm="1">
        <f t="array" ref="W103">_xlfn.LET(_xlpm.x, K103:K105, IF(SUM((_xlpm.x="C1")*1)=1, 1, 0))</f>
        <v>0</v>
      </c>
      <c r="X103" s="25" cm="1">
        <f t="array" ref="X103">_xlfn.LET(_xlpm.x, L103:L105, IF(SUM((_xlpm.x="C1")*1)=1, 1, 0))</f>
        <v>0</v>
      </c>
      <c r="Y103" s="25" cm="1">
        <f t="array" ref="Y103">_xlfn.LET(_xlpm.x, M103:M105, IF(SUM((_xlpm.x="C1")*1)=1, 1, 0))</f>
        <v>0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285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6</v>
      </c>
      <c r="R104" s="9">
        <v>4</v>
      </c>
      <c r="S104" s="9">
        <v>7</v>
      </c>
      <c r="T104" s="9">
        <v>7</v>
      </c>
      <c r="U104" s="9">
        <v>4</v>
      </c>
      <c r="W104" s="25" cm="1">
        <f t="array" ref="W104">_xlfn.LET(_xlpm.x, K104:K106, IF(SUM((_xlpm.x="C1")*1)=1, 1, 0))</f>
        <v>0</v>
      </c>
      <c r="X104" s="25" cm="1">
        <f t="array" ref="X104">_xlfn.LET(_xlpm.x, L104:L106, IF(SUM((_xlpm.x="C1")*1)=1, 1, 0))</f>
        <v>0</v>
      </c>
      <c r="Y104" s="25" cm="1">
        <f t="array" ref="Y104">_xlfn.LET(_xlpm.x, M104:M106, IF(SUM((_xlpm.x="C1")*1)=1, 1, 0))</f>
        <v>0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34</v>
      </c>
      <c r="L105" s="16" t="s">
        <v>104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 cm="1">
        <f t="array" ref="W105">_xlfn.LET(_xlpm.x, K105:K107, IF(SUM((_xlpm.x="C1")*1)=1, 1, 0))</f>
        <v>0</v>
      </c>
      <c r="X105" s="25" cm="1">
        <f t="array" ref="X105">_xlfn.LET(_xlpm.x, L105:L107, IF(SUM((_xlpm.x="C1")*1)=1, 1, 0))</f>
        <v>0</v>
      </c>
      <c r="Y105" s="25" cm="1">
        <f t="array" ref="Y105">_xlfn.LET(_xlpm.x, M105:M107, IF(SUM((_xlpm.x="C1")*1)=1, 1, 0))</f>
        <v>0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18</v>
      </c>
      <c r="L106" s="16" t="s">
        <v>104</v>
      </c>
      <c r="M106" s="16" t="s">
        <v>104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 cm="1">
        <f t="array" ref="W106">_xlfn.LET(_xlpm.x, K106:K108, IF(SUM((_xlpm.x="C1")*1)=1, 1, 0))</f>
        <v>0</v>
      </c>
      <c r="X106" s="25" cm="1">
        <f t="array" ref="X106">_xlfn.LET(_xlpm.x, L106:L108, IF(SUM((_xlpm.x="C1")*1)=1, 1, 0))</f>
        <v>0</v>
      </c>
      <c r="Y106" s="25" cm="1">
        <f t="array" ref="Y106">_xlfn.LET(_xlpm.x, M106:M108, IF(SUM((_xlpm.x="C1")*1)=1, 1, 0))</f>
        <v>0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35</v>
      </c>
      <c r="L107" s="16" t="s">
        <v>104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6</v>
      </c>
      <c r="S107" s="9">
        <v>3</v>
      </c>
      <c r="T107" s="9">
        <v>5</v>
      </c>
      <c r="U107" s="9">
        <v>10</v>
      </c>
      <c r="W107" s="25" cm="1">
        <f t="array" ref="W107">_xlfn.LET(_xlpm.x, K107:K109, IF(SUM((_xlpm.x="C1")*1)=1, 1, 0))</f>
        <v>0</v>
      </c>
      <c r="X107" s="25" cm="1">
        <f t="array" ref="X107">_xlfn.LET(_xlpm.x, L107:L109, IF(SUM((_xlpm.x="C1")*1)=1, 1, 0))</f>
        <v>0</v>
      </c>
      <c r="Y107" s="25" cm="1">
        <f t="array" ref="Y107">_xlfn.LET(_xlpm.x, M107:M109, IF(SUM((_xlpm.x="C1")*1)=1, 1, 0))</f>
        <v>0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 cm="1">
        <f t="array" ref="W108">_xlfn.LET(_xlpm.x, K108:K110, IF(SUM((_xlpm.x="C1")*1)=1, 1, 0))</f>
        <v>0</v>
      </c>
      <c r="X108" s="25" cm="1">
        <f t="array" ref="X108">_xlfn.LET(_xlpm.x, L108:L110, IF(SUM((_xlpm.x="C1")*1)=1, 1, 0))</f>
        <v>0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36</v>
      </c>
      <c r="L109" s="16" t="s">
        <v>22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3</v>
      </c>
      <c r="S109" s="9">
        <v>7</v>
      </c>
      <c r="T109" s="9">
        <v>9</v>
      </c>
      <c r="U109" s="9">
        <v>3</v>
      </c>
      <c r="W109" s="25" cm="1">
        <f t="array" ref="W109">_xlfn.LET(_xlpm.x, K109:K111, IF(SUM((_xlpm.x="C1")*1)=1, 1, 0))</f>
        <v>0</v>
      </c>
      <c r="X109" s="25" cm="1">
        <f t="array" ref="X109">_xlfn.LET(_xlpm.x, L109:L111, IF(SUM((_xlpm.x="C1")*1)=1, 1, 0))</f>
        <v>0</v>
      </c>
      <c r="Y109" s="25" cm="1">
        <f t="array" ref="Y109">_xlfn.LET(_xlpm.x, M109:M111, IF(SUM((_xlpm.x="C1")*1)=1, 1, 0))</f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 cm="1">
        <f t="array" ref="W110">_xlfn.LET(_xlpm.x, K110:K112, IF(SUM((_xlpm.x="C1")*1)=1, 1, 0))</f>
        <v>0</v>
      </c>
      <c r="X110" s="25" cm="1">
        <f t="array" ref="X110">_xlfn.LET(_xlpm.x, L110:L112, IF(SUM((_xlpm.x="C1")*1)=1, 1, 0))</f>
        <v>0</v>
      </c>
      <c r="Y110" s="25" cm="1">
        <f t="array" ref="Y110">_xlfn.LET(_xlpm.x, M110:M112, IF(SUM((_xlpm.x="C1")*1)=1, 1, 0))</f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95</v>
      </c>
      <c r="M111" s="16" t="s">
        <v>20</v>
      </c>
      <c r="N111" s="16" t="s">
        <v>104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 cm="1">
        <f t="array" ref="W111">_xlfn.LET(_xlpm.x, K111:K113, IF(SUM((_xlpm.x="C1")*1)=1, 1, 0))</f>
        <v>0</v>
      </c>
      <c r="X111" s="25" cm="1">
        <f t="array" ref="X111">_xlfn.LET(_xlpm.x, L111:L113, IF(SUM((_xlpm.x="C1")*1)=1, 1, 0))</f>
        <v>0</v>
      </c>
      <c r="Y111" s="25">
        <v>0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35</v>
      </c>
      <c r="L112" s="16" t="s">
        <v>93</v>
      </c>
      <c r="M112" s="16" t="s">
        <v>105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 cm="1">
        <f t="array" ref="W112">_xlfn.LET(_xlpm.x, K112:K114, IF(SUM((_xlpm.x="C1")*1)=1, 1, 0))</f>
        <v>0</v>
      </c>
      <c r="X112" s="25" cm="1">
        <f t="array" ref="X112">_xlfn.LET(_xlpm.x, L112:L114, IF(SUM((_xlpm.x="C1")*1)=1, 1, 0))</f>
        <v>0</v>
      </c>
      <c r="Y112" s="25" cm="1">
        <f t="array" ref="Y112">_xlfn.LET(_xlpm.x, M112:M114, IF(SUM((_xlpm.x="C1")*1)=1, 1, 0))</f>
        <v>0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37</v>
      </c>
      <c r="L113" s="16" t="s">
        <v>104</v>
      </c>
      <c r="M113" s="16" t="s">
        <v>90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 cm="1">
        <f t="array" ref="W113">_xlfn.LET(_xlpm.x, K113:K115, IF(SUM((_xlpm.x="C1")*1)=1, 1, 0))</f>
        <v>0</v>
      </c>
      <c r="X113" s="25" cm="1">
        <f t="array" ref="X113">_xlfn.LET(_xlpm.x, L113:L115, IF(SUM((_xlpm.x="C1")*1)=1, 1, 0))</f>
        <v>0</v>
      </c>
      <c r="Y113" s="25" cm="1">
        <f t="array" ref="Y113">_xlfn.LET(_xlpm.x, M113:M115, IF(SUM((_xlpm.x="C1")*1)=1, 1, 0))</f>
        <v>0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104</v>
      </c>
      <c r="L114" s="16" t="s">
        <v>102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 cm="1">
        <f t="array" ref="W114">_xlfn.LET(_xlpm.x, K114:K116, IF(SUM((_xlpm.x="C1")*1)=1, 1, 0))</f>
        <v>0</v>
      </c>
      <c r="X114" s="25" cm="1">
        <f t="array" ref="X114">_xlfn.LET(_xlpm.x, L114:L116, IF(SUM((_xlpm.x="C1")*1)=1, 1, 0))</f>
        <v>0</v>
      </c>
      <c r="Y114" s="25" cm="1">
        <f t="array" ref="Y114">_xlfn.LET(_xlpm.x, M114:M116, IF(SUM((_xlpm.x="C1")*1)=1, 1, 0))</f>
        <v>0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 cm="1">
        <f t="array" ref="W115">_xlfn.LET(_xlpm.x, K115:K117, IF(SUM((_xlpm.x="C1")*1)=1, 1, 0))</f>
        <v>0</v>
      </c>
      <c r="X115" s="25" cm="1">
        <f t="array" ref="X115">_xlfn.LET(_xlpm.x, L115:L117, IF(SUM((_xlpm.x="C1")*1)=1, 1, 0))</f>
        <v>0</v>
      </c>
      <c r="Y115" s="25" cm="1">
        <f t="array" ref="Y115">_xlfn.LET(_xlpm.x, M115:M117, IF(SUM((_xlpm.x="C1")*1)=1, 1, 0))</f>
        <v>0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37</v>
      </c>
      <c r="L116" s="16" t="s">
        <v>34</v>
      </c>
      <c r="M116" s="16" t="s">
        <v>104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 cm="1">
        <f t="array" ref="W116">_xlfn.LET(_xlpm.x, K116:K118, IF(SUM((_xlpm.x="C1")*1)=1, 1, 0))</f>
        <v>0</v>
      </c>
      <c r="X116" s="25" cm="1">
        <f t="array" ref="X116">_xlfn.LET(_xlpm.x, L116:L118, IF(SUM((_xlpm.x="C1")*1)=1, 1, 0))</f>
        <v>0</v>
      </c>
      <c r="Y116" s="25" cm="1">
        <f t="array" ref="Y116">_xlfn.LET(_xlpm.x, M116:M118, IF(SUM((_xlpm.x="C1")*1)=1, 1, 0))</f>
        <v>0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104</v>
      </c>
      <c r="L117" s="16" t="s">
        <v>34</v>
      </c>
      <c r="M117" s="16" t="s">
        <v>102</v>
      </c>
      <c r="N117" s="16" t="s">
        <v>36</v>
      </c>
      <c r="O117" s="16" t="s">
        <v>22</v>
      </c>
      <c r="Q117" s="9">
        <v>6</v>
      </c>
      <c r="R117" s="9">
        <v>9</v>
      </c>
      <c r="S117" s="9">
        <v>17</v>
      </c>
      <c r="T117" s="9">
        <v>10</v>
      </c>
      <c r="U117" s="9">
        <v>3</v>
      </c>
      <c r="W117" s="25" cm="1">
        <f t="array" ref="W117">_xlfn.LET(_xlpm.x, K117:K119, IF(SUM((_xlpm.x="C1")*1)=1, 1, 0))</f>
        <v>0</v>
      </c>
      <c r="X117" s="25" cm="1">
        <f t="array" ref="X117">_xlfn.LET(_xlpm.x, L117:L119, IF(SUM((_xlpm.x="C1")*1)=1, 1, 0))</f>
        <v>0</v>
      </c>
      <c r="Y117" s="25" cm="1">
        <f t="array" ref="Y117">_xlfn.LET(_xlpm.x, M117:M119, IF(SUM((_xlpm.x="C1")*1)=1, 1, 0))</f>
        <v>0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88</v>
      </c>
      <c r="M118" s="16" t="s">
        <v>37</v>
      </c>
      <c r="N118" s="16" t="s">
        <v>22</v>
      </c>
      <c r="O118" s="16" t="s">
        <v>104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 cm="1">
        <f t="array" ref="W118">_xlfn.LET(_xlpm.x, K118:K120, IF(SUM((_xlpm.x="C1")*1)=1, 1, 0))</f>
        <v>0</v>
      </c>
      <c r="X118" s="25" cm="1">
        <f t="array" ref="X118">_xlfn.LET(_xlpm.x, L118:L120, IF(SUM((_xlpm.x="C1")*1)=1, 1, 0))</f>
        <v>0</v>
      </c>
      <c r="Y118" s="25" cm="1">
        <f t="array" ref="Y118">_xlfn.LET(_xlpm.x, M118:M120, IF(SUM((_xlpm.x="C1")*1)=1, 1, 0))</f>
        <v>0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37</v>
      </c>
      <c r="L119" s="16" t="s">
        <v>35</v>
      </c>
      <c r="M119" s="16" t="s">
        <v>104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 cm="1">
        <f t="array" ref="W119">_xlfn.LET(_xlpm.x, K119:K121, IF(SUM((_xlpm.x="C1")*1)=1, 1, 0))</f>
        <v>0</v>
      </c>
      <c r="X119" s="25" cm="1">
        <f t="array" ref="X119">_xlfn.LET(_xlpm.x, L119:L121, IF(SUM((_xlpm.x="C1")*1)=1, 1, 0))</f>
        <v>0</v>
      </c>
      <c r="Y119" s="25" cm="1">
        <f t="array" ref="Y119">_xlfn.LET(_xlpm.x, M119:M121, IF(SUM((_xlpm.x="C1")*1)=1, 1, 0))</f>
        <v>0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35</v>
      </c>
      <c r="M120" s="16" t="s">
        <v>89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 cm="1">
        <f t="array" ref="W120">_xlfn.LET(_xlpm.x, K120:K122, IF(SUM((_xlpm.x="C1")*1)=1, 1, 0))</f>
        <v>0</v>
      </c>
      <c r="X120" s="25" cm="1">
        <f t="array" ref="X120">_xlfn.LET(_xlpm.x, L120:L122, IF(SUM((_xlpm.x="C1")*1)=1, 1, 0))</f>
        <v>0</v>
      </c>
      <c r="Y120" s="25" cm="1">
        <f t="array" ref="Y120">_xlfn.LET(_xlpm.x, M120:M122, IF(SUM((_xlpm.x="C1")*1)=1, 1, 0))</f>
        <v>0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19</v>
      </c>
      <c r="M121" s="16" t="s">
        <v>104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 cm="1">
        <f t="array" ref="W121">_xlfn.LET(_xlpm.x, K121:K123, IF(SUM((_xlpm.x="C1")*1)=1, 1, 0))</f>
        <v>0</v>
      </c>
      <c r="X121" s="25" cm="1">
        <f t="array" ref="X121">_xlfn.LET(_xlpm.x, L121:L123, IF(SUM((_xlpm.x="C1")*1)=1, 1, 0))</f>
        <v>0</v>
      </c>
      <c r="Y121" s="25" cm="1">
        <f t="array" ref="Y121">_xlfn.LET(_xlpm.x, M121:M123, IF(SUM((_xlpm.x="C1")*1)=1, 1, 0))</f>
        <v>0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19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5</v>
      </c>
      <c r="S122" s="9">
        <v>7</v>
      </c>
      <c r="T122" s="9">
        <v>7</v>
      </c>
      <c r="U122" s="9">
        <v>2</v>
      </c>
      <c r="W122" s="25" cm="1">
        <f t="array" ref="W122">_xlfn.LET(_xlpm.x, K122:K124, IF(SUM((_xlpm.x="C1")*1)=1, 1, 0))</f>
        <v>0</v>
      </c>
      <c r="X122" s="25" cm="1">
        <f t="array" ref="X122">_xlfn.LET(_xlpm.x, L122:L124, IF(SUM((_xlpm.x="C1")*1)=1, 1, 0))</f>
        <v>0</v>
      </c>
      <c r="Y122" s="25" cm="1">
        <f t="array" ref="Y122">_xlfn.LET(_xlpm.x, M122:M124, IF(SUM((_xlpm.x="C1")*1)=1, 1, 0))</f>
        <v>0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 cm="1">
        <f t="array" ref="W123">_xlfn.LET(_xlpm.x, K123:K125, IF(SUM((_xlpm.x="C1")*1)=1, 1, 0))</f>
        <v>0</v>
      </c>
      <c r="X123" s="25" cm="1">
        <f t="array" ref="X123">_xlfn.LET(_xlpm.x, L123:L125, IF(SUM((_xlpm.x="C1")*1)=1, 1, 0))</f>
        <v>0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19</v>
      </c>
      <c r="L124" s="16" t="s">
        <v>36</v>
      </c>
      <c r="M124" s="16" t="s">
        <v>104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 cm="1">
        <f t="array" ref="W124">_xlfn.LET(_xlpm.x, K124:K126, IF(SUM((_xlpm.x="C1")*1)=1, 1, 0))</f>
        <v>0</v>
      </c>
      <c r="X124" s="25" cm="1">
        <f t="array" ref="X124">_xlfn.LET(_xlpm.x, L124:L126, IF(SUM((_xlpm.x="C1")*1)=1, 1, 0))</f>
        <v>0</v>
      </c>
      <c r="Y124" s="25" cm="1">
        <f t="array" ref="Y124">_xlfn.LET(_xlpm.x, M124:M126, IF(SUM((_xlpm.x="C1")*1)=1, 1, 0))</f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37</v>
      </c>
      <c r="L125" s="16" t="s">
        <v>22</v>
      </c>
      <c r="M125" s="16" t="s">
        <v>104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 cm="1">
        <f t="array" ref="W125">_xlfn.LET(_xlpm.x, K125:K127, IF(SUM((_xlpm.x="C1")*1)=1, 1, 0))</f>
        <v>0</v>
      </c>
      <c r="X125" s="25" cm="1">
        <f t="array" ref="X125">_xlfn.LET(_xlpm.x, L125:L127, IF(SUM((_xlpm.x="C1")*1)=1, 1, 0))</f>
        <v>0</v>
      </c>
      <c r="Y125" s="25" cm="1">
        <f t="array" ref="Y125">_xlfn.LET(_xlpm.x, M125:M127, IF(SUM((_xlpm.x="C1")*1)=1, 1, 0))</f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104</v>
      </c>
      <c r="L126" s="16" t="s">
        <v>34</v>
      </c>
      <c r="M126" s="16" t="s">
        <v>20</v>
      </c>
      <c r="N126" s="16" t="s">
        <v>88</v>
      </c>
      <c r="O126" s="16" t="s">
        <v>34</v>
      </c>
      <c r="Q126" s="9">
        <v>6</v>
      </c>
      <c r="R126" s="9">
        <v>9</v>
      </c>
      <c r="S126" s="9">
        <v>1</v>
      </c>
      <c r="T126" s="9">
        <v>13</v>
      </c>
      <c r="U126" s="9">
        <v>9</v>
      </c>
      <c r="W126" s="25" cm="1">
        <f t="array" ref="W126">_xlfn.LET(_xlpm.x, K126:K128, IF(SUM((_xlpm.x="C1")*1)=1, 1, 0))</f>
        <v>0</v>
      </c>
      <c r="X126" s="25" cm="1">
        <f t="array" ref="X126">_xlfn.LET(_xlpm.x, L126:L128, IF(SUM((_xlpm.x="C1")*1)=1, 1, 0))</f>
        <v>0</v>
      </c>
      <c r="Y126" s="25">
        <v>0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87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 cm="1">
        <f t="array" ref="W127">_xlfn.LET(_xlpm.x, K127:K129, IF(SUM((_xlpm.x="C1")*1)=1, 1, 0))</f>
        <v>0</v>
      </c>
      <c r="X127" s="25" cm="1">
        <f t="array" ref="X127">_xlfn.LET(_xlpm.x, L127:L129, IF(SUM((_xlpm.x="C1")*1)=1, 1, 0))</f>
        <v>0</v>
      </c>
      <c r="Y127" s="25" cm="1">
        <f t="array" ref="Y127">_xlfn.LET(_xlpm.x, M127:M129, IF(SUM((_xlpm.x="C1")*1)=1, 1, 0))</f>
        <v>0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19</v>
      </c>
      <c r="L128" s="16" t="s">
        <v>95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 cm="1">
        <f t="array" ref="W128">_xlfn.LET(_xlpm.x, K128:K130, IF(SUM((_xlpm.x="C1")*1)=1, 1, 0))</f>
        <v>0</v>
      </c>
      <c r="X128" s="25" cm="1">
        <f t="array" ref="X128">_xlfn.LET(_xlpm.x, L128:L130, IF(SUM((_xlpm.x="C1")*1)=1, 1, 0))</f>
        <v>0</v>
      </c>
      <c r="Y128" s="25" cm="1">
        <f t="array" ref="Y128">_xlfn.LET(_xlpm.x, M128:M130, IF(SUM((_xlpm.x="C1")*1)=1, 1, 0))</f>
        <v>0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 cm="1">
        <f t="array" ref="W129">_xlfn.LET(_xlpm.x, K129:K131, IF(SUM((_xlpm.x="C1")*1)=1, 1, 0))</f>
        <v>0</v>
      </c>
      <c r="X129" s="25" cm="1">
        <f t="array" ref="X129">_xlfn.LET(_xlpm.x, L129:L131, IF(SUM((_xlpm.x="C1")*1)=1, 1, 0))</f>
        <v>0</v>
      </c>
      <c r="Y129" s="25" cm="1">
        <f t="array" ref="Y129">_xlfn.LET(_xlpm.x, M129:M131, IF(SUM((_xlpm.x="C1")*1)=1, 1, 0))</f>
        <v>0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35</v>
      </c>
      <c r="L130" s="16" t="s">
        <v>93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 cm="1">
        <f t="array" ref="W130">_xlfn.LET(_xlpm.x, K130:K132, IF(SUM((_xlpm.x="C1")*1)=1, 1, 0))</f>
        <v>0</v>
      </c>
      <c r="X130" s="25" cm="1">
        <f t="array" ref="X130">_xlfn.LET(_xlpm.x, L130:L132, IF(SUM((_xlpm.x="C1")*1)=1, 1, 0))</f>
        <v>0</v>
      </c>
      <c r="Y130" s="25" cm="1">
        <f t="array" ref="Y130">_xlfn.LET(_xlpm.x, M130:M132, IF(SUM((_xlpm.x="C1")*1)=1, 1, 0))</f>
        <v>0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104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 cm="1">
        <f t="array" ref="W131">_xlfn.LET(_xlpm.x, K131:K133, IF(SUM((_xlpm.x="C1")*1)=1, 1, 0))</f>
        <v>0</v>
      </c>
      <c r="X131" s="25" cm="1">
        <f t="array" ref="X131">_xlfn.LET(_xlpm.x, L131:L133, IF(SUM((_xlpm.x="C1")*1)=1, 1, 0))</f>
        <v>0</v>
      </c>
      <c r="Y131" s="25" cm="1">
        <f t="array" ref="Y131">_xlfn.LET(_xlpm.x, M131:M133, IF(SUM((_xlpm.x="C1")*1)=1, 1, 0))</f>
        <v>0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104</v>
      </c>
      <c r="L132" s="16" t="s">
        <v>95</v>
      </c>
      <c r="M132" s="16" t="s">
        <v>37</v>
      </c>
      <c r="N132" s="16" t="s">
        <v>104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 cm="1">
        <f t="array" ref="W132">_xlfn.LET(_xlpm.x, K132:K134, IF(SUM((_xlpm.x="C1")*1)=1, 1, 0))</f>
        <v>0</v>
      </c>
      <c r="X132" s="25" cm="1">
        <f t="array" ref="X132">_xlfn.LET(_xlpm.x, L132:L134, IF(SUM((_xlpm.x="C1")*1)=1, 1, 0))</f>
        <v>0</v>
      </c>
      <c r="Y132" s="25" cm="1">
        <f t="array" ref="Y132">_xlfn.LET(_xlpm.x, M132:M134, IF(SUM((_xlpm.x="C1")*1)=1, 1, 0))</f>
        <v>0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19</v>
      </c>
      <c r="L133" s="16" t="s">
        <v>95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 cm="1">
        <f t="array" ref="W133">_xlfn.LET(_xlpm.x, K133:K135, IF(SUM((_xlpm.x="C1")*1)=1, 1, 0))</f>
        <v>0</v>
      </c>
      <c r="X133" s="25" cm="1">
        <f t="array" ref="X133">_xlfn.LET(_xlpm.x, L133:L135, IF(SUM((_xlpm.x="C1")*1)=1, 1, 0))</f>
        <v>0</v>
      </c>
      <c r="Y133" s="25" cm="1">
        <f t="array" ref="Y133">_xlfn.LET(_xlpm.x, M133:M135, IF(SUM((_xlpm.x="C1")*1)=1, 1, 0))</f>
        <v>0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 cm="1">
        <f t="array" ref="W134">_xlfn.LET(_xlpm.x, K134:K136, IF(SUM((_xlpm.x="C1")*1)=1, 1, 0))</f>
        <v>0</v>
      </c>
      <c r="X134" s="25" cm="1">
        <f t="array" ref="X134">_xlfn.LET(_xlpm.x, L134:L136, IF(SUM((_xlpm.x="C1")*1)=1, 1, 0))</f>
        <v>0</v>
      </c>
      <c r="Y134" s="25" cm="1">
        <f t="array" ref="Y134">_xlfn.LET(_xlpm.x, M134:M136, IF(SUM((_xlpm.x="C1")*1)=1, 1, 0))</f>
        <v>0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88</v>
      </c>
      <c r="M135" s="16" t="s">
        <v>37</v>
      </c>
      <c r="N135" s="16" t="s">
        <v>19</v>
      </c>
      <c r="O135" s="16" t="s">
        <v>104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 cm="1">
        <f t="array" ref="W135">_xlfn.LET(_xlpm.x, K135:K137, IF(SUM((_xlpm.x="C1")*1)=1, 1, 0))</f>
        <v>0</v>
      </c>
      <c r="X135" s="25" cm="1">
        <f t="array" ref="X135">_xlfn.LET(_xlpm.x, L135:L137, IF(SUM((_xlpm.x="C1")*1)=1, 1, 0))</f>
        <v>0</v>
      </c>
      <c r="Y135" s="25" cm="1">
        <f t="array" ref="Y135">_xlfn.LET(_xlpm.x, M135:M137, IF(SUM((_xlpm.x="C1")*1)=1, 1, 0))</f>
        <v>0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37</v>
      </c>
      <c r="L136" s="16" t="s">
        <v>35</v>
      </c>
      <c r="M136" s="16" t="s">
        <v>90</v>
      </c>
      <c r="N136" s="16" t="s">
        <v>87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 cm="1">
        <f t="array" ref="W136">_xlfn.LET(_xlpm.x, K136:K138, IF(SUM((_xlpm.x="C1")*1)=1, 1, 0))</f>
        <v>0</v>
      </c>
      <c r="X136" s="25" cm="1">
        <f t="array" ref="X136">_xlfn.LET(_xlpm.x, L136:L138, IF(SUM((_xlpm.x="C1")*1)=1, 1, 0))</f>
        <v>0</v>
      </c>
      <c r="Y136" s="25" cm="1">
        <f t="array" ref="Y136">_xlfn.LET(_xlpm.x, M136:M138, IF(SUM((_xlpm.x="C1")*1)=1, 1, 0))</f>
        <v>0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104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 cm="1">
        <f t="array" ref="W137">_xlfn.LET(_xlpm.x, K137:K139, IF(SUM((_xlpm.x="C1")*1)=1, 1, 0))</f>
        <v>0</v>
      </c>
      <c r="X137" s="25" cm="1">
        <f t="array" ref="X137">_xlfn.LET(_xlpm.x, L137:L139, IF(SUM((_xlpm.x="C1")*1)=1, 1, 0))</f>
        <v>0</v>
      </c>
      <c r="Y137" s="25" cm="1">
        <f t="array" ref="Y137">_xlfn.LET(_xlpm.x, M137:M139, IF(SUM((_xlpm.x="C1")*1)=1, 1, 0))</f>
        <v>0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19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5</v>
      </c>
      <c r="S138" s="9">
        <v>5</v>
      </c>
      <c r="T138" s="9">
        <v>9</v>
      </c>
      <c r="U138" s="9">
        <v>3</v>
      </c>
      <c r="W138" s="25" cm="1">
        <f t="array" ref="W138">_xlfn.LET(_xlpm.x, K138:K140, IF(SUM((_xlpm.x="C1")*1)=1, 1, 0))</f>
        <v>0</v>
      </c>
      <c r="X138" s="25" cm="1">
        <f t="array" ref="X138">_xlfn.LET(_xlpm.x, L138:L140, IF(SUM((_xlpm.x="C1")*1)=1, 1, 0))</f>
        <v>0</v>
      </c>
      <c r="Y138" s="25" cm="1">
        <f t="array" ref="Y138">_xlfn.LET(_xlpm.x, M138:M140, IF(SUM((_xlpm.x="C1")*1)=1, 1, 0))</f>
        <v>0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93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 cm="1">
        <f t="array" ref="W139">_xlfn.LET(_xlpm.x, K139:K141, IF(SUM((_xlpm.x="C1")*1)=1, 1, 0))</f>
        <v>0</v>
      </c>
      <c r="X139" s="25" cm="1">
        <f t="array" ref="X139">_xlfn.LET(_xlpm.x, L139:L141, IF(SUM((_xlpm.x="C1")*1)=1, 1, 0))</f>
        <v>0</v>
      </c>
      <c r="Y139" s="25" cm="1">
        <f t="array" ref="Y139">_xlfn.LET(_xlpm.x, M139:M141, IF(SUM((_xlpm.x="C1")*1)=1, 1, 0))</f>
        <v>0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 cm="1">
        <f t="array" ref="W140">_xlfn.LET(_xlpm.x, K140:K142, IF(SUM((_xlpm.x="C1")*1)=1, 1, 0))</f>
        <v>0</v>
      </c>
      <c r="X140" s="25" cm="1">
        <f t="array" ref="X140">_xlfn.LET(_xlpm.x, L140:L142, IF(SUM((_xlpm.x="C1")*1)=1, 1, 0))</f>
        <v>0</v>
      </c>
      <c r="Y140" s="25" cm="1">
        <f t="array" ref="Y140">_xlfn.LET(_xlpm.x, M140:M142, IF(SUM((_xlpm.x="C1")*1)=1, 1, 0))</f>
        <v>0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37</v>
      </c>
      <c r="M141" s="16" t="s">
        <v>104</v>
      </c>
      <c r="N141" s="16" t="s">
        <v>21</v>
      </c>
      <c r="O141" s="16" t="s">
        <v>34</v>
      </c>
      <c r="Q141" s="9">
        <v>8</v>
      </c>
      <c r="R141" s="9">
        <v>7</v>
      </c>
      <c r="S141" s="9">
        <v>6</v>
      </c>
      <c r="T141" s="9">
        <v>2</v>
      </c>
      <c r="U141" s="9">
        <v>9</v>
      </c>
      <c r="W141" s="25" cm="1">
        <f t="array" ref="W141">_xlfn.LET(_xlpm.x, K141:K143, IF(SUM((_xlpm.x="C1")*1)=1, 1, 0))</f>
        <v>0</v>
      </c>
      <c r="X141" s="25" cm="1">
        <f t="array" ref="X141">_xlfn.LET(_xlpm.x, L141:L143, IF(SUM((_xlpm.x="C1")*1)=1, 1, 0))</f>
        <v>0</v>
      </c>
      <c r="Y141" s="25" cm="1">
        <f t="array" ref="Y141">_xlfn.LET(_xlpm.x, M141:M143, IF(SUM((_xlpm.x="C1")*1)=1, 1, 0))</f>
        <v>0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37</v>
      </c>
      <c r="M142" s="16" t="s">
        <v>102</v>
      </c>
      <c r="N142" s="16" t="s">
        <v>104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 cm="1">
        <f t="array" ref="W142">_xlfn.LET(_xlpm.x, K142:K144, IF(SUM((_xlpm.x="C1")*1)=1, 1, 0))</f>
        <v>0</v>
      </c>
      <c r="X142" s="25" cm="1">
        <f t="array" ref="X142">_xlfn.LET(_xlpm.x, L142:L144, IF(SUM((_xlpm.x="C1")*1)=1, 1, 0))</f>
        <v>0</v>
      </c>
      <c r="Y142" s="25" cm="1">
        <f t="array" ref="Y142">_xlfn.LET(_xlpm.x, M142:M144, IF(SUM((_xlpm.x="C1")*1)=1, 1, 0))</f>
        <v>0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 cm="1">
        <f t="array" ref="W143">_xlfn.LET(_xlpm.x, K143:K145, IF(SUM((_xlpm.x="C1")*1)=1, 1, 0))</f>
        <v>0</v>
      </c>
      <c r="X143" s="25" cm="1">
        <f t="array" ref="X143">_xlfn.LET(_xlpm.x, L143:L145, IF(SUM((_xlpm.x="C1")*1)=1, 1, 0))</f>
        <v>0</v>
      </c>
      <c r="Y143" s="25" cm="1">
        <f t="array" ref="Y143">_xlfn.LET(_xlpm.x, M143:M145, IF(SUM((_xlpm.x="C1")*1)=1, 1, 0))</f>
        <v>0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104</v>
      </c>
      <c r="L144" s="16" t="s">
        <v>37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7</v>
      </c>
      <c r="S144" s="9">
        <v>5</v>
      </c>
      <c r="T144" s="9">
        <v>8</v>
      </c>
      <c r="U144" s="9">
        <v>7</v>
      </c>
      <c r="W144" s="25" cm="1">
        <f t="array" ref="W144">_xlfn.LET(_xlpm.x, K144:K146, IF(SUM((_xlpm.x="C1")*1)=1, 1, 0))</f>
        <v>0</v>
      </c>
      <c r="X144" s="25" cm="1">
        <f t="array" ref="X144">_xlfn.LET(_xlpm.x, L144:L146, IF(SUM((_xlpm.x="C1")*1)=1, 1, 0))</f>
        <v>0</v>
      </c>
      <c r="Y144" s="25" cm="1">
        <f t="array" ref="Y144">_xlfn.LET(_xlpm.x, M144:M146, IF(SUM((_xlpm.x="C1")*1)=1, 1, 0))</f>
        <v>0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 cm="1">
        <f t="array" ref="W145">_xlfn.LET(_xlpm.x, K145:K147, IF(SUM((_xlpm.x="C1")*1)=1, 1, 0))</f>
        <v>0</v>
      </c>
      <c r="X145" s="25" cm="1">
        <f t="array" ref="X145">_xlfn.LET(_xlpm.x, L145:L147, IF(SUM((_xlpm.x="C1")*1)=1, 1, 0))</f>
        <v>0</v>
      </c>
      <c r="Y145" s="25" cm="1">
        <f t="array" ref="Y145">_xlfn.LET(_xlpm.x, M145:M147, IF(SUM((_xlpm.x="C1")*1)=1, 1, 0))</f>
        <v>0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104</v>
      </c>
      <c r="L146" s="16" t="s">
        <v>104</v>
      </c>
      <c r="M146" s="16" t="s">
        <v>19</v>
      </c>
      <c r="N146" s="16" t="s">
        <v>19</v>
      </c>
      <c r="O146" s="16" t="s">
        <v>104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 cm="1">
        <f t="array" ref="W146">_xlfn.LET(_xlpm.x, K146:K148, IF(SUM((_xlpm.x="C1")*1)=1, 1, 0))</f>
        <v>0</v>
      </c>
      <c r="X146" s="25">
        <v>1</v>
      </c>
      <c r="Y146" s="25" cm="1">
        <f t="array" ref="Y146">_xlfn.LET(_xlpm.x, M146:M148, IF(SUM((_xlpm.x="C1")*1)=1, 1, 0))</f>
        <v>0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87</v>
      </c>
      <c r="M147" s="16" t="s">
        <v>104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 cm="1">
        <f t="array" ref="W147">_xlfn.LET(_xlpm.x, K147:K149, IF(SUM((_xlpm.x="C1")*1)=1, 1, 0))</f>
        <v>0</v>
      </c>
      <c r="X147" s="25" cm="1">
        <f t="array" ref="X147">_xlfn.LET(_xlpm.x, L147:L149, IF(SUM((_xlpm.x="C1")*1)=1, 1, 0))</f>
        <v>1</v>
      </c>
      <c r="Y147" s="25" cm="1">
        <f t="array" ref="Y147">_xlfn.LET(_xlpm.x, M147:M149, IF(SUM((_xlpm.x="C1")*1)=1, 1, 0))</f>
        <v>0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104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 cm="1">
        <f t="array" ref="W148">_xlfn.LET(_xlpm.x, K148:K150, IF(SUM((_xlpm.x="C1")*1)=1, 1, 0))</f>
        <v>0</v>
      </c>
      <c r="X148" s="25" cm="1">
        <f t="array" ref="X148">_xlfn.LET(_xlpm.x, L148:L150, IF(SUM((_xlpm.x="C1")*1)=1, 1, 0))</f>
        <v>1</v>
      </c>
      <c r="Y148" s="25" cm="1">
        <f t="array" ref="Y148">_xlfn.LET(_xlpm.x, M148:M150, IF(SUM((_xlpm.x="C1")*1)=1, 1, 0))</f>
        <v>0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 cm="1">
        <f t="array" ref="W149">_xlfn.LET(_xlpm.x, K149:K151, IF(SUM((_xlpm.x="C1")*1)=1, 1, 0))</f>
        <v>0</v>
      </c>
      <c r="X149" s="25">
        <v>0</v>
      </c>
      <c r="Y149" s="25" cm="1">
        <f t="array" ref="Y149">_xlfn.LET(_xlpm.x, M149:M151, IF(SUM((_xlpm.x="C1")*1)=1, 1, 0))</f>
        <v>0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37</v>
      </c>
      <c r="L150" s="16" t="s">
        <v>26</v>
      </c>
      <c r="M150" s="16" t="s">
        <v>37</v>
      </c>
      <c r="N150" s="16" t="s">
        <v>18</v>
      </c>
      <c r="O150" s="16" t="s">
        <v>104</v>
      </c>
      <c r="Q150" s="9">
        <v>7</v>
      </c>
      <c r="R150" s="9">
        <v>2</v>
      </c>
      <c r="S150" s="9">
        <v>7</v>
      </c>
      <c r="T150" s="9">
        <v>4</v>
      </c>
      <c r="U150" s="9">
        <v>6</v>
      </c>
      <c r="W150" s="25" cm="1">
        <f t="array" ref="W150">_xlfn.LET(_xlpm.x, K150:K152, IF(SUM((_xlpm.x="C1")*1)=1, 1, 0))</f>
        <v>0</v>
      </c>
      <c r="X150" s="25" cm="1">
        <f t="array" ref="X150">_xlfn.LET(_xlpm.x, L150:L152, IF(SUM((_xlpm.x="C1")*1)=1, 1, 0))</f>
        <v>0</v>
      </c>
      <c r="Y150" s="25" cm="1">
        <f t="array" ref="Y150">_xlfn.LET(_xlpm.x, M150:M152, IF(SUM((_xlpm.x="C1")*1)=1, 1, 0))</f>
        <v>0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104</v>
      </c>
      <c r="L151" s="16" t="s">
        <v>26</v>
      </c>
      <c r="M151" s="16" t="s">
        <v>104</v>
      </c>
      <c r="N151" s="16" t="s">
        <v>18</v>
      </c>
      <c r="O151" s="16" t="s">
        <v>21</v>
      </c>
      <c r="Q151" s="9">
        <v>6</v>
      </c>
      <c r="R151" s="9">
        <v>2</v>
      </c>
      <c r="S151" s="9">
        <v>6</v>
      </c>
      <c r="T151" s="9">
        <v>4</v>
      </c>
      <c r="U151" s="9">
        <v>2</v>
      </c>
      <c r="W151" s="25" cm="1">
        <f t="array" ref="W151">_xlfn.LET(_xlpm.x, K151:K153, IF(SUM((_xlpm.x="C1")*1)=1, 1, 0))</f>
        <v>0</v>
      </c>
      <c r="X151" s="25" cm="1">
        <f t="array" ref="X151">_xlfn.LET(_xlpm.x, L151:L153, IF(SUM((_xlpm.x="C1")*1)=1, 1, 0))</f>
        <v>0</v>
      </c>
      <c r="Y151" s="25" cm="1">
        <f t="array" ref="Y151">_xlfn.LET(_xlpm.x, M151:M153, IF(SUM((_xlpm.x="C1")*1)=1, 1, 0))</f>
        <v>0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 cm="1">
        <f t="array" ref="W152">_xlfn.LET(_xlpm.x, K152:K154, IF(SUM((_xlpm.x="C1")*1)=1, 1, 0))</f>
        <v>0</v>
      </c>
      <c r="X152" s="25" cm="1">
        <f t="array" ref="X152">_xlfn.LET(_xlpm.x, L152:L154, IF(SUM((_xlpm.x="C1")*1)=1, 1, 0))</f>
        <v>0</v>
      </c>
      <c r="Y152" s="25" cm="1">
        <f t="array" ref="Y152">_xlfn.LET(_xlpm.x, M152:M154, IF(SUM((_xlpm.x="C1")*1)=1, 1, 0))</f>
        <v>0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88</v>
      </c>
      <c r="O153" s="16" t="s">
        <v>104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 cm="1">
        <f t="array" ref="W153">_xlfn.LET(_xlpm.x, K153:K155, IF(SUM((_xlpm.x="C1")*1)=1, 1, 0))</f>
        <v>0</v>
      </c>
      <c r="X153" s="25" cm="1">
        <f t="array" ref="X153">_xlfn.LET(_xlpm.x, L153:L155, IF(SUM((_xlpm.x="C1")*1)=1, 1, 0))</f>
        <v>0</v>
      </c>
      <c r="Y153" s="25" cm="1">
        <f t="array" ref="Y153">_xlfn.LET(_xlpm.x, M153:M155, IF(SUM((_xlpm.x="C1")*1)=1, 1, 0))</f>
        <v>0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90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 cm="1">
        <f t="array" ref="W154">_xlfn.LET(_xlpm.x, K154:K156, IF(SUM((_xlpm.x="C1")*1)=1, 1, 0))</f>
        <v>0</v>
      </c>
      <c r="X154" s="25" cm="1">
        <f t="array" ref="X154">_xlfn.LET(_xlpm.x, L154:L156, IF(SUM((_xlpm.x="C1")*1)=1, 1, 0))</f>
        <v>0</v>
      </c>
      <c r="Y154" s="25" cm="1">
        <f t="array" ref="Y154">_xlfn.LET(_xlpm.x, M154:M156, IF(SUM((_xlpm.x="C1")*1)=1, 1, 0))</f>
        <v>0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104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 cm="1">
        <f t="array" ref="W155">_xlfn.LET(_xlpm.x, K155:K157, IF(SUM((_xlpm.x="C1")*1)=1, 1, 0))</f>
        <v>0</v>
      </c>
      <c r="X155" s="25" cm="1">
        <f t="array" ref="X155">_xlfn.LET(_xlpm.x, L155:L157, IF(SUM((_xlpm.x="C1")*1)=1, 1, 0))</f>
        <v>0</v>
      </c>
      <c r="Y155" s="25" cm="1">
        <f t="array" ref="Y155">_xlfn.LET(_xlpm.x, M155:M157, IF(SUM((_xlpm.x="C1")*1)=1, 1, 0))</f>
        <v>0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104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 cm="1">
        <f t="array" ref="W156">_xlfn.LET(_xlpm.x, K156:K158, IF(SUM((_xlpm.x="C1")*1)=1, 1, 0))</f>
        <v>0</v>
      </c>
      <c r="X156" s="25" cm="1">
        <f t="array" ref="X156">_xlfn.LET(_xlpm.x, L156:L158, IF(SUM((_xlpm.x="C1")*1)=1, 1, 0))</f>
        <v>0</v>
      </c>
      <c r="Y156" s="25" cm="1">
        <f t="array" ref="Y156">_xlfn.LET(_xlpm.x, M156:M158, IF(SUM((_xlpm.x="C1")*1)=1, 1, 0))</f>
        <v>0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104</v>
      </c>
      <c r="L157" s="16" t="s">
        <v>21</v>
      </c>
      <c r="M157" s="16" t="s">
        <v>19</v>
      </c>
      <c r="N157" s="16" t="s">
        <v>90</v>
      </c>
      <c r="O157" s="16" t="s">
        <v>104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>
        <v>1</v>
      </c>
      <c r="X157" s="25" cm="1">
        <f t="array" ref="X157">_xlfn.LET(_xlpm.x, L157:L159, IF(SUM((_xlpm.x="C1")*1)=1, 1, 0))</f>
        <v>0</v>
      </c>
      <c r="Y157" s="25" cm="1">
        <f t="array" ref="Y157">_xlfn.LET(_xlpm.x, M157:M159, IF(SUM((_xlpm.x="C1")*1)=1, 1, 0))</f>
        <v>0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35</v>
      </c>
      <c r="L158" s="16" t="s">
        <v>18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4</v>
      </c>
      <c r="S158" s="9">
        <v>8</v>
      </c>
      <c r="T158" s="9">
        <v>2</v>
      </c>
      <c r="U158" s="9">
        <v>8</v>
      </c>
      <c r="W158" s="25" cm="1">
        <f t="array" ref="W158">_xlfn.LET(_xlpm.x, K158:K160, IF(SUM((_xlpm.x="C1")*1)=1, 1, 0))</f>
        <v>1</v>
      </c>
      <c r="X158" s="25" cm="1">
        <f t="array" ref="X158">_xlfn.LET(_xlpm.x, L158:L160, IF(SUM((_xlpm.x="C1")*1)=1, 1, 0))</f>
        <v>0</v>
      </c>
      <c r="Y158" s="25" cm="1">
        <f t="array" ref="Y158">_xlfn.LET(_xlpm.x, M158:M160, IF(SUM((_xlpm.x="C1")*1)=1, 1, 0))</f>
        <v>0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 cm="1">
        <f t="array" ref="W159">_xlfn.LET(_xlpm.x, K159:K161, IF(SUM((_xlpm.x="C1")*1)=1, 1, 0))</f>
        <v>1</v>
      </c>
      <c r="X159" s="25" cm="1">
        <f t="array" ref="X159">_xlfn.LET(_xlpm.x, L159:L161, IF(SUM((_xlpm.x="C1")*1)=1, 1, 0))</f>
        <v>0</v>
      </c>
      <c r="Y159" s="25" cm="1">
        <f t="array" ref="Y159">_xlfn.LET(_xlpm.x, M159:M161, IF(SUM((_xlpm.x="C1")*1)=1, 1, 0))</f>
        <v>0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20</v>
      </c>
      <c r="L160" s="16" t="s">
        <v>104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6</v>
      </c>
      <c r="S160" s="9">
        <v>7</v>
      </c>
      <c r="T160" s="9">
        <v>7</v>
      </c>
      <c r="U160" s="9">
        <v>5</v>
      </c>
      <c r="W160" s="25">
        <v>0</v>
      </c>
      <c r="X160" s="25" cm="1">
        <f t="array" ref="X160">_xlfn.LET(_xlpm.x, L160:L162, IF(SUM((_xlpm.x="C1")*1)=1, 1, 0))</f>
        <v>0</v>
      </c>
      <c r="Y160" s="25" cm="1">
        <f t="array" ref="Y160">_xlfn.LET(_xlpm.x, M160:M162, IF(SUM((_xlpm.x="C1")*1)=1, 1, 0))</f>
        <v>0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21</v>
      </c>
      <c r="M161" s="16" t="s">
        <v>104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 cm="1">
        <f t="array" ref="W161">_xlfn.LET(_xlpm.x, K161:K163, IF(SUM((_xlpm.x="C1")*1)=1, 1, 0))</f>
        <v>0</v>
      </c>
      <c r="X161" s="25" cm="1">
        <f t="array" ref="X161">_xlfn.LET(_xlpm.x, L161:L163, IF(SUM((_xlpm.x="C1")*1)=1, 1, 0))</f>
        <v>0</v>
      </c>
      <c r="Y161" s="25" cm="1">
        <f t="array" ref="Y161">_xlfn.LET(_xlpm.x, M161:M163, IF(SUM((_xlpm.x="C1")*1)=1, 1, 0))</f>
        <v>0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23</v>
      </c>
      <c r="L162" s="16" t="s">
        <v>36</v>
      </c>
      <c r="M162" s="16" t="s">
        <v>104</v>
      </c>
      <c r="N162" s="16" t="s">
        <v>34</v>
      </c>
      <c r="O162" s="16" t="s">
        <v>104</v>
      </c>
      <c r="Q162" s="9">
        <v>7</v>
      </c>
      <c r="R162" s="9">
        <v>10</v>
      </c>
      <c r="S162" s="9">
        <v>6</v>
      </c>
      <c r="T162" s="9">
        <v>9</v>
      </c>
      <c r="U162" s="9">
        <v>6</v>
      </c>
      <c r="W162" s="25" cm="1">
        <f t="array" ref="W162">_xlfn.LET(_xlpm.x, K162:K164, IF(SUM((_xlpm.x="C1")*1)=1, 1, 0))</f>
        <v>0</v>
      </c>
      <c r="X162" s="25" cm="1">
        <f t="array" ref="X162">_xlfn.LET(_xlpm.x, L162:L164, IF(SUM((_xlpm.x="C1")*1)=1, 1, 0))</f>
        <v>0</v>
      </c>
      <c r="Y162" s="25" cm="1">
        <f t="array" ref="Y162">_xlfn.LET(_xlpm.x, M162:M164, IF(SUM((_xlpm.x="C1")*1)=1, 1, 0))</f>
        <v>0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35</v>
      </c>
      <c r="L163" s="16" t="s">
        <v>18</v>
      </c>
      <c r="M163" s="16" t="s">
        <v>104</v>
      </c>
      <c r="N163" s="16" t="s">
        <v>34</v>
      </c>
      <c r="O163" s="16" t="s">
        <v>104</v>
      </c>
      <c r="Q163" s="9">
        <v>8</v>
      </c>
      <c r="R163" s="9">
        <v>4</v>
      </c>
      <c r="S163" s="9">
        <v>6</v>
      </c>
      <c r="T163" s="9">
        <v>9</v>
      </c>
      <c r="U163" s="9">
        <v>6</v>
      </c>
      <c r="W163" s="25" cm="1">
        <f t="array" ref="W163">_xlfn.LET(_xlpm.x, K163:K165, IF(SUM((_xlpm.x="C1")*1)=1, 1, 0))</f>
        <v>0</v>
      </c>
      <c r="X163" s="25" cm="1">
        <f t="array" ref="X163">_xlfn.LET(_xlpm.x, L163:L165, IF(SUM((_xlpm.x="C1")*1)=1, 1, 0))</f>
        <v>0</v>
      </c>
      <c r="Y163" s="25" cm="1">
        <f t="array" ref="Y163">_xlfn.LET(_xlpm.x, M163:M165, IF(SUM((_xlpm.x="C1")*1)=1, 1, 0))</f>
        <v>0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 cm="1">
        <f t="array" ref="W164">_xlfn.LET(_xlpm.x, K164:K166, IF(SUM((_xlpm.x="C1")*1)=1, 1, 0))</f>
        <v>0</v>
      </c>
      <c r="X164" s="25" cm="1">
        <f t="array" ref="X164">_xlfn.LET(_xlpm.x, L164:L166, IF(SUM((_xlpm.x="C1")*1)=1, 1, 0))</f>
        <v>0</v>
      </c>
      <c r="Y164" s="25" cm="1">
        <f t="array" ref="Y164">_xlfn.LET(_xlpm.x, M164:M166, IF(SUM((_xlpm.x="C1")*1)=1, 1, 0))</f>
        <v>0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19</v>
      </c>
      <c r="L165" s="16" t="s">
        <v>86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 cm="1">
        <f t="array" ref="W165">_xlfn.LET(_xlpm.x, K165:K167, IF(SUM((_xlpm.x="C1")*1)=1, 1, 0))</f>
        <v>0</v>
      </c>
      <c r="X165" s="25" cm="1">
        <f t="array" ref="X165">_xlfn.LET(_xlpm.x, L165:L167, IF(SUM((_xlpm.x="C1")*1)=1, 1, 0))</f>
        <v>0</v>
      </c>
      <c r="Y165" s="25" cm="1">
        <f t="array" ref="Y165">_xlfn.LET(_xlpm.x, M165:M167, IF(SUM((_xlpm.x="C1")*1)=1, 1, 0))</f>
        <v>0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104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 cm="1">
        <f t="array" ref="W166">_xlfn.LET(_xlpm.x, K166:K168, IF(SUM((_xlpm.x="C1")*1)=1, 1, 0))</f>
        <v>0</v>
      </c>
      <c r="X166" s="25" cm="1">
        <f t="array" ref="X166">_xlfn.LET(_xlpm.x, L166:L168, IF(SUM((_xlpm.x="C1")*1)=1, 1, 0))</f>
        <v>0</v>
      </c>
      <c r="Y166" s="25" cm="1">
        <f t="array" ref="Y166">_xlfn.LET(_xlpm.x, M166:M168, IF(SUM((_xlpm.x="C1")*1)=1, 1, 0))</f>
        <v>0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 cm="1">
        <f t="array" ref="W167">_xlfn.LET(_xlpm.x, K167:K169, IF(SUM((_xlpm.x="C1")*1)=1, 1, 0))</f>
        <v>0</v>
      </c>
      <c r="X167" s="25" cm="1">
        <f t="array" ref="X167">_xlfn.LET(_xlpm.x, L167:L169, IF(SUM((_xlpm.x="C1")*1)=1, 1, 0))</f>
        <v>0</v>
      </c>
      <c r="Y167" s="25" cm="1">
        <f t="array" ref="Y167">_xlfn.LET(_xlpm.x, M167:M169, IF(SUM((_xlpm.x="C1")*1)=1, 1, 0))</f>
        <v>0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37</v>
      </c>
      <c r="L168" s="16" t="s">
        <v>88</v>
      </c>
      <c r="M168" s="16" t="s">
        <v>104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 cm="1">
        <f t="array" ref="W168">_xlfn.LET(_xlpm.x, K168:K170, IF(SUM((_xlpm.x="C1")*1)=1, 1, 0))</f>
        <v>0</v>
      </c>
      <c r="X168" s="25" cm="1">
        <f t="array" ref="X168">_xlfn.LET(_xlpm.x, L168:L170, IF(SUM((_xlpm.x="C1")*1)=1, 1, 0))</f>
        <v>0</v>
      </c>
      <c r="Y168" s="25" cm="1">
        <f t="array" ref="Y168">_xlfn.LET(_xlpm.x, M168:M170, IF(SUM((_xlpm.x="C1")*1)=1, 1, 0))</f>
        <v>0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37</v>
      </c>
      <c r="L169" s="16" t="s">
        <v>34</v>
      </c>
      <c r="M169" s="16" t="s">
        <v>104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 cm="1">
        <f t="array" ref="W169">_xlfn.LET(_xlpm.x, K169:K171, IF(SUM((_xlpm.x="C1")*1)=1, 1, 0))</f>
        <v>0</v>
      </c>
      <c r="X169" s="25" cm="1">
        <f t="array" ref="X169">_xlfn.LET(_xlpm.x, L169:L171, IF(SUM((_xlpm.x="C1")*1)=1, 1, 0))</f>
        <v>0</v>
      </c>
      <c r="Y169" s="25" cm="1">
        <f t="array" ref="Y169">_xlfn.LET(_xlpm.x, M169:M171, IF(SUM((_xlpm.x="C1")*1)=1, 1, 0))</f>
        <v>0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37</v>
      </c>
      <c r="L170" s="16" t="s">
        <v>21</v>
      </c>
      <c r="M170" s="16" t="s">
        <v>104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 cm="1">
        <f t="array" ref="W170">_xlfn.LET(_xlpm.x, K170:K172, IF(SUM((_xlpm.x="C1")*1)=1, 1, 0))</f>
        <v>0</v>
      </c>
      <c r="X170" s="25" cm="1">
        <f t="array" ref="X170">_xlfn.LET(_xlpm.x, L170:L172, IF(SUM((_xlpm.x="C1")*1)=1, 1, 0))</f>
        <v>0</v>
      </c>
      <c r="Y170" s="25" cm="1">
        <f t="array" ref="Y170">_xlfn.LET(_xlpm.x, M170:M172, IF(SUM((_xlpm.x="C1")*1)=1, 1, 0))</f>
        <v>0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 cm="1">
        <f t="array" ref="W171">_xlfn.LET(_xlpm.x, K171:K173, IF(SUM((_xlpm.x="C1")*1)=1, 1, 0))</f>
        <v>0</v>
      </c>
      <c r="X171" s="25" cm="1">
        <f t="array" ref="X171">_xlfn.LET(_xlpm.x, L171:L173, IF(SUM((_xlpm.x="C1")*1)=1, 1, 0))</f>
        <v>0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22</v>
      </c>
      <c r="M172" s="16" t="s">
        <v>104</v>
      </c>
      <c r="N172" s="16" t="s">
        <v>104</v>
      </c>
      <c r="O172" s="16" t="s">
        <v>21</v>
      </c>
      <c r="Q172" s="9">
        <v>7</v>
      </c>
      <c r="R172" s="9">
        <v>3</v>
      </c>
      <c r="S172" s="9">
        <v>6</v>
      </c>
      <c r="T172" s="9">
        <v>6</v>
      </c>
      <c r="U172" s="9">
        <v>2</v>
      </c>
      <c r="W172" s="25" cm="1">
        <f t="array" ref="W172">_xlfn.LET(_xlpm.x, K172:K174, IF(SUM((_xlpm.x="C1")*1)=1, 1, 0))</f>
        <v>0</v>
      </c>
      <c r="X172" s="25" cm="1">
        <f t="array" ref="X172">_xlfn.LET(_xlpm.x, L172:L174, IF(SUM((_xlpm.x="C1")*1)=1, 1, 0))</f>
        <v>0</v>
      </c>
      <c r="Y172" s="25" cm="1">
        <f t="array" ref="Y172">_xlfn.LET(_xlpm.x, M172:M174, IF(SUM((_xlpm.x="C1")*1)=1, 1, 0))</f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 cm="1">
        <f t="array" ref="W173">_xlfn.LET(_xlpm.x, K173:K175, IF(SUM((_xlpm.x="C1")*1)=1, 1, 0))</f>
        <v>0</v>
      </c>
      <c r="X173" s="25" cm="1">
        <f t="array" ref="X173">_xlfn.LET(_xlpm.x, L173:L175, IF(SUM((_xlpm.x="C1")*1)=1, 1, 0))</f>
        <v>0</v>
      </c>
      <c r="Y173" s="25" cm="1">
        <f t="array" ref="Y173">_xlfn.LET(_xlpm.x, M173:M175, IF(SUM((_xlpm.x="C1")*1)=1, 1, 0))</f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104</v>
      </c>
      <c r="L174" s="16" t="s">
        <v>37</v>
      </c>
      <c r="M174" s="16" t="s">
        <v>20</v>
      </c>
      <c r="N174" s="16" t="s">
        <v>104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 cm="1">
        <f t="array" ref="W174">_xlfn.LET(_xlpm.x, K174:K176, IF(SUM((_xlpm.x="C1")*1)=1, 1, 0))</f>
        <v>0</v>
      </c>
      <c r="X174" s="25" cm="1">
        <f t="array" ref="X174">_xlfn.LET(_xlpm.x, L174:L176, IF(SUM((_xlpm.x="C1")*1)=1, 1, 0))</f>
        <v>0</v>
      </c>
      <c r="Y174" s="25">
        <v>0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 cm="1">
        <f t="array" ref="W175">_xlfn.LET(_xlpm.x, K175:K177, IF(SUM((_xlpm.x="C1")*1)=1, 1, 0))</f>
        <v>0</v>
      </c>
      <c r="X175" s="25" cm="1">
        <f t="array" ref="X175">_xlfn.LET(_xlpm.x, L175:L177, IF(SUM((_xlpm.x="C1")*1)=1, 1, 0))</f>
        <v>0</v>
      </c>
      <c r="Y175" s="25" cm="1">
        <f t="array" ref="Y175">_xlfn.LET(_xlpm.x, M175:M177, IF(SUM((_xlpm.x="C1")*1)=1, 1, 0))</f>
        <v>0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104</v>
      </c>
      <c r="L176" s="16" t="s">
        <v>18</v>
      </c>
      <c r="M176" s="16" t="s">
        <v>35</v>
      </c>
      <c r="N176" s="16" t="s">
        <v>89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>
        <v>1</v>
      </c>
      <c r="X176" s="25" cm="1">
        <f t="array" ref="X176">_xlfn.LET(_xlpm.x, L176:L178, IF(SUM((_xlpm.x="C1")*1)=1, 1, 0))</f>
        <v>0</v>
      </c>
      <c r="Y176" s="25" cm="1">
        <f t="array" ref="Y176">_xlfn.LET(_xlpm.x, M176:M178, IF(SUM((_xlpm.x="C1")*1)=1, 1, 0))</f>
        <v>0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104</v>
      </c>
      <c r="L177" s="16" t="s">
        <v>88</v>
      </c>
      <c r="M177" s="16" t="s">
        <v>19</v>
      </c>
      <c r="N177" s="16" t="s">
        <v>93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 cm="1">
        <f t="array" ref="W177">_xlfn.LET(_xlpm.x, K177:K179, IF(SUM((_xlpm.x="C1")*1)=1, 1, 0))</f>
        <v>1</v>
      </c>
      <c r="X177" s="25" cm="1">
        <f t="array" ref="X177">_xlfn.LET(_xlpm.x, L177:L179, IF(SUM((_xlpm.x="C1")*1)=1, 1, 0))</f>
        <v>0</v>
      </c>
      <c r="Y177" s="25" cm="1">
        <f t="array" ref="Y177">_xlfn.LET(_xlpm.x, M177:M179, IF(SUM((_xlpm.x="C1")*1)=1, 1, 0))</f>
        <v>0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104</v>
      </c>
      <c r="L178" s="16" t="s">
        <v>21</v>
      </c>
      <c r="M178" s="16" t="s">
        <v>35</v>
      </c>
      <c r="N178" s="16" t="s">
        <v>95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 cm="1">
        <f t="array" ref="W178">_xlfn.LET(_xlpm.x, K178:K180, IF(SUM((_xlpm.x="C1")*1)=1, 1, 0))</f>
        <v>1</v>
      </c>
      <c r="X178" s="25" cm="1">
        <f t="array" ref="X178">_xlfn.LET(_xlpm.x, L178:L180, IF(SUM((_xlpm.x="C1")*1)=1, 1, 0))</f>
        <v>0</v>
      </c>
      <c r="Y178" s="25" cm="1">
        <f t="array" ref="Y178">_xlfn.LET(_xlpm.x, M178:M180, IF(SUM((_xlpm.x="C1")*1)=1, 1, 0))</f>
        <v>0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>
        <v>0</v>
      </c>
      <c r="X179" s="25" cm="1">
        <f t="array" ref="X179">_xlfn.LET(_xlpm.x, L179:L181, IF(SUM((_xlpm.x="C1")*1)=1, 1, 0))</f>
        <v>0</v>
      </c>
      <c r="Y179" s="25" cm="1">
        <f t="array" ref="Y179">_xlfn.LET(_xlpm.x, M179:M181, IF(SUM((_xlpm.x="C1")*1)=1, 1, 0))</f>
        <v>0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 cm="1">
        <f t="array" ref="W180">_xlfn.LET(_xlpm.x, K180:K182, IF(SUM((_xlpm.x="C1")*1)=1, 1, 0))</f>
        <v>0</v>
      </c>
      <c r="X180" s="25" cm="1">
        <f t="array" ref="X180">_xlfn.LET(_xlpm.x, L180:L182, IF(SUM((_xlpm.x="C1")*1)=1, 1, 0))</f>
        <v>0</v>
      </c>
      <c r="Y180" s="25" cm="1">
        <f t="array" ref="Y180">_xlfn.LET(_xlpm.x, M180:M182, IF(SUM((_xlpm.x="C1")*1)=1, 1, 0))</f>
        <v>0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285</v>
      </c>
      <c r="L181" s="16" t="s">
        <v>21</v>
      </c>
      <c r="M181" s="16" t="s">
        <v>37</v>
      </c>
      <c r="N181" s="16" t="s">
        <v>21</v>
      </c>
      <c r="O181" s="16" t="s">
        <v>36</v>
      </c>
      <c r="Q181" s="9">
        <v>6</v>
      </c>
      <c r="R181" s="9">
        <v>2</v>
      </c>
      <c r="S181" s="9">
        <v>7</v>
      </c>
      <c r="T181" s="9">
        <v>2</v>
      </c>
      <c r="U181" s="9">
        <v>10</v>
      </c>
      <c r="W181" s="25" cm="1">
        <f t="array" ref="W181">_xlfn.LET(_xlpm.x, K181:K183, IF(SUM((_xlpm.x="C1")*1)=1, 1, 0))</f>
        <v>0</v>
      </c>
      <c r="X181" s="25" cm="1">
        <f t="array" ref="X181">_xlfn.LET(_xlpm.x, L181:L183, IF(SUM((_xlpm.x="C1")*1)=1, 1, 0))</f>
        <v>0</v>
      </c>
      <c r="Y181" s="25" cm="1">
        <f t="array" ref="Y181">_xlfn.LET(_xlpm.x, M181:M183, IF(SUM((_xlpm.x="C1")*1)=1, 1, 0))</f>
        <v>0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 cm="1">
        <f t="array" ref="W182">_xlfn.LET(_xlpm.x, K182:K184, IF(SUM((_xlpm.x="C1")*1)=1, 1, 0))</f>
        <v>0</v>
      </c>
      <c r="X182" s="25" cm="1">
        <f t="array" ref="X182">_xlfn.LET(_xlpm.x, L182:L184, IF(SUM((_xlpm.x="C1")*1)=1, 1, 0))</f>
        <v>0</v>
      </c>
      <c r="Y182" s="25" cm="1">
        <f t="array" ref="Y182">_xlfn.LET(_xlpm.x, M182:M184, IF(SUM((_xlpm.x="C1")*1)=1, 1, 0))</f>
        <v>0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19</v>
      </c>
      <c r="L183" s="16" t="s">
        <v>34</v>
      </c>
      <c r="M183" s="16" t="s">
        <v>104</v>
      </c>
      <c r="N183" s="16" t="s">
        <v>35</v>
      </c>
      <c r="O183" s="16" t="s">
        <v>104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 cm="1">
        <f t="array" ref="W183">_xlfn.LET(_xlpm.x, K183:K185, IF(SUM((_xlpm.x="C1")*1)=1, 1, 0))</f>
        <v>0</v>
      </c>
      <c r="X183" s="25" cm="1">
        <f t="array" ref="X183">_xlfn.LET(_xlpm.x, L183:L185, IF(SUM((_xlpm.x="C1")*1)=1, 1, 0))</f>
        <v>0</v>
      </c>
      <c r="Y183" s="25" cm="1">
        <f t="array" ref="Y183">_xlfn.LET(_xlpm.x, M183:M185, IF(SUM((_xlpm.x="C1")*1)=1, 1, 0))</f>
        <v>0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19</v>
      </c>
      <c r="L184" s="16" t="s">
        <v>105</v>
      </c>
      <c r="M184" s="16" t="s">
        <v>104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 cm="1">
        <f t="array" ref="W184">_xlfn.LET(_xlpm.x, K184:K186, IF(SUM((_xlpm.x="C1")*1)=1, 1, 0))</f>
        <v>0</v>
      </c>
      <c r="X184" s="25" cm="1">
        <f t="array" ref="X184">_xlfn.LET(_xlpm.x, L184:L186, IF(SUM((_xlpm.x="C1")*1)=1, 1, 0))</f>
        <v>0</v>
      </c>
      <c r="Y184" s="25" cm="1">
        <f t="array" ref="Y184">_xlfn.LET(_xlpm.x, M184:M186, IF(SUM((_xlpm.x="C1")*1)=1, 1, 0))</f>
        <v>0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35</v>
      </c>
      <c r="L185" s="16" t="s">
        <v>35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8</v>
      </c>
      <c r="S185" s="9">
        <v>5</v>
      </c>
      <c r="T185" s="9">
        <v>3</v>
      </c>
      <c r="U185" s="9">
        <v>8</v>
      </c>
      <c r="W185" s="25" cm="1">
        <f t="array" ref="W185">_xlfn.LET(_xlpm.x, K185:K187, IF(SUM((_xlpm.x="C1")*1)=1, 1, 0))</f>
        <v>0</v>
      </c>
      <c r="X185" s="25" cm="1">
        <f t="array" ref="X185">_xlfn.LET(_xlpm.x, L185:L187, IF(SUM((_xlpm.x="C1")*1)=1, 1, 0))</f>
        <v>0</v>
      </c>
      <c r="Y185" s="25" cm="1">
        <f t="array" ref="Y185">_xlfn.LET(_xlpm.x, M185:M187, IF(SUM((_xlpm.x="C1")*1)=1, 1, 0))</f>
        <v>0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104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 cm="1">
        <f t="array" ref="W186">_xlfn.LET(_xlpm.x, K186:K188, IF(SUM((_xlpm.x="C1")*1)=1, 1, 0))</f>
        <v>0</v>
      </c>
      <c r="X186" s="25">
        <v>1</v>
      </c>
      <c r="Y186" s="25" cm="1">
        <f t="array" ref="Y186">_xlfn.LET(_xlpm.x, M186:M188, IF(SUM((_xlpm.x="C1")*1)=1, 1, 0))</f>
        <v>0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105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 cm="1">
        <f t="array" ref="W187">_xlfn.LET(_xlpm.x, K187:K189, IF(SUM((_xlpm.x="C1")*1)=1, 1, 0))</f>
        <v>0</v>
      </c>
      <c r="X187" s="25" cm="1">
        <f t="array" ref="X187">_xlfn.LET(_xlpm.x, L187:L189, IF(SUM((_xlpm.x="C1")*1)=1, 1, 0))</f>
        <v>1</v>
      </c>
      <c r="Y187" s="25" cm="1">
        <f t="array" ref="Y187">_xlfn.LET(_xlpm.x, M187:M189, IF(SUM((_xlpm.x="C1")*1)=1, 1, 0))</f>
        <v>0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18</v>
      </c>
      <c r="L188" s="16" t="s">
        <v>88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 cm="1">
        <f t="array" ref="W188">_xlfn.LET(_xlpm.x, K188:K190, IF(SUM((_xlpm.x="C1")*1)=1, 1, 0))</f>
        <v>0</v>
      </c>
      <c r="X188" s="25" cm="1">
        <f t="array" ref="X188">_xlfn.LET(_xlpm.x, L188:L190, IF(SUM((_xlpm.x="C1")*1)=1, 1, 0))</f>
        <v>1</v>
      </c>
      <c r="Y188" s="25" cm="1">
        <f t="array" ref="Y188">_xlfn.LET(_xlpm.x, M188:M190, IF(SUM((_xlpm.x="C1")*1)=1, 1, 0))</f>
        <v>0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 cm="1">
        <f t="array" ref="W189">_xlfn.LET(_xlpm.x, K189:K191, IF(SUM((_xlpm.x="C1")*1)=1, 1, 0))</f>
        <v>0</v>
      </c>
      <c r="X189" s="25">
        <v>0</v>
      </c>
      <c r="Y189" s="25" cm="1">
        <f t="array" ref="Y189">_xlfn.LET(_xlpm.x, M189:M191, IF(SUM((_xlpm.x="C1")*1)=1, 1, 0))</f>
        <v>0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93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 cm="1">
        <f t="array" ref="W190">_xlfn.LET(_xlpm.x, K190:K192, IF(SUM((_xlpm.x="C1")*1)=1, 1, 0))</f>
        <v>0</v>
      </c>
      <c r="X190" s="25" cm="1">
        <f t="array" ref="X190">_xlfn.LET(_xlpm.x, L190:L192, IF(SUM((_xlpm.x="C1")*1)=1, 1, 0))</f>
        <v>0</v>
      </c>
      <c r="Y190" s="25" cm="1">
        <f t="array" ref="Y190">_xlfn.LET(_xlpm.x, M190:M192, IF(SUM((_xlpm.x="C1")*1)=1, 1, 0))</f>
        <v>0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104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 cm="1">
        <f t="array" ref="W191">_xlfn.LET(_xlpm.x, K191:K193, IF(SUM((_xlpm.x="C1")*1)=1, 1, 0))</f>
        <v>0</v>
      </c>
      <c r="X191" s="25" cm="1">
        <f t="array" ref="X191">_xlfn.LET(_xlpm.x, L191:L193, IF(SUM((_xlpm.x="C1")*1)=1, 1, 0))</f>
        <v>0</v>
      </c>
      <c r="Y191" s="25" cm="1">
        <f t="array" ref="Y191">_xlfn.LET(_xlpm.x, M191:M193, IF(SUM((_xlpm.x="C1")*1)=1, 1, 0))</f>
        <v>0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104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 cm="1">
        <f t="array" ref="W192">_xlfn.LET(_xlpm.x, K192:K194, IF(SUM((_xlpm.x="C1")*1)=1, 1, 0))</f>
        <v>0</v>
      </c>
      <c r="X192" s="25" cm="1">
        <f t="array" ref="X192">_xlfn.LET(_xlpm.x, L192:L194, IF(SUM((_xlpm.x="C1")*1)=1, 1, 0))</f>
        <v>0</v>
      </c>
      <c r="Y192" s="25" cm="1">
        <f t="array" ref="Y192">_xlfn.LET(_xlpm.x, M192:M194, IF(SUM((_xlpm.x="C1")*1)=1, 1, 0))</f>
        <v>0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 cm="1">
        <f t="array" ref="W193">_xlfn.LET(_xlpm.x, K193:K195, IF(SUM((_xlpm.x="C1")*1)=1, 1, 0))</f>
        <v>0</v>
      </c>
      <c r="X193" s="25" cm="1">
        <f t="array" ref="X193">_xlfn.LET(_xlpm.x, L193:L195, IF(SUM((_xlpm.x="C1")*1)=1, 1, 0))</f>
        <v>0</v>
      </c>
      <c r="Y193" s="25" cm="1">
        <f t="array" ref="Y193">_xlfn.LET(_xlpm.x, M193:M195, IF(SUM((_xlpm.x="C1")*1)=1, 1, 0))</f>
        <v>0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18</v>
      </c>
      <c r="M194" s="16" t="s">
        <v>104</v>
      </c>
      <c r="N194" s="16" t="s">
        <v>19</v>
      </c>
      <c r="O194" s="16" t="s">
        <v>18</v>
      </c>
      <c r="Q194" s="9">
        <v>8</v>
      </c>
      <c r="R194" s="9">
        <v>4</v>
      </c>
      <c r="S194" s="9">
        <v>6</v>
      </c>
      <c r="T194" s="9">
        <v>5</v>
      </c>
      <c r="U194" s="9">
        <v>4</v>
      </c>
      <c r="W194" s="25" cm="1">
        <f t="array" ref="W194">_xlfn.LET(_xlpm.x, K194:K196, IF(SUM((_xlpm.x="C1")*1)=1, 1, 0))</f>
        <v>0</v>
      </c>
      <c r="X194" s="25" cm="1">
        <f t="array" ref="X194">_xlfn.LET(_xlpm.x, L194:L196, IF(SUM((_xlpm.x="C1")*1)=1, 1, 0))</f>
        <v>0</v>
      </c>
      <c r="Y194" s="25" cm="1">
        <f t="array" ref="Y194">_xlfn.LET(_xlpm.x, M194:M196, IF(SUM((_xlpm.x="C1")*1)=1, 1, 0))</f>
        <v>0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34</v>
      </c>
      <c r="L195" s="16" t="s">
        <v>104</v>
      </c>
      <c r="M195" s="16" t="s">
        <v>34</v>
      </c>
      <c r="N195" s="16" t="s">
        <v>95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 cm="1">
        <f t="array" ref="W195">_xlfn.LET(_xlpm.x, K195:K197, IF(SUM((_xlpm.x="C1")*1)=1, 1, 0))</f>
        <v>0</v>
      </c>
      <c r="X195" s="25" cm="1">
        <f t="array" ref="X195">_xlfn.LET(_xlpm.x, L195:L197, IF(SUM((_xlpm.x="C1")*1)=1, 1, 0))</f>
        <v>0</v>
      </c>
      <c r="Y195" s="25" cm="1">
        <f t="array" ref="Y195">_xlfn.LET(_xlpm.x, M195:M197, IF(SUM((_xlpm.x="C1")*1)=1, 1, 0))</f>
        <v>0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104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 cm="1">
        <f t="array" ref="W196">_xlfn.LET(_xlpm.x, K196:K198, IF(SUM((_xlpm.x="C1")*1)=1, 1, 0))</f>
        <v>0</v>
      </c>
      <c r="X196" s="25" cm="1">
        <f t="array" ref="X196">_xlfn.LET(_xlpm.x, L196:L198, IF(SUM((_xlpm.x="C1")*1)=1, 1, 0))</f>
        <v>0</v>
      </c>
      <c r="Y196" s="25" cm="1">
        <f t="array" ref="Y196">_xlfn.LET(_xlpm.x, M196:M198, IF(SUM((_xlpm.x="C1")*1)=1, 1, 0))</f>
        <v>0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35</v>
      </c>
      <c r="L197" s="16" t="s">
        <v>90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 cm="1">
        <f t="array" ref="W197">_xlfn.LET(_xlpm.x, K197:K199, IF(SUM((_xlpm.x="C1")*1)=1, 1, 0))</f>
        <v>0</v>
      </c>
      <c r="X197" s="25" cm="1">
        <f t="array" ref="X197">_xlfn.LET(_xlpm.x, L197:L199, IF(SUM((_xlpm.x="C1")*1)=1, 1, 0))</f>
        <v>0</v>
      </c>
      <c r="Y197" s="25" cm="1">
        <f t="array" ref="Y197">_xlfn.LET(_xlpm.x, M197:M199, IF(SUM((_xlpm.x="C1")*1)=1, 1, 0))</f>
        <v>0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 cm="1">
        <f t="array" ref="W198">_xlfn.LET(_xlpm.x, K198:K200, IF(SUM((_xlpm.x="C1")*1)=1, 1, 0))</f>
        <v>0</v>
      </c>
      <c r="X198" s="25" cm="1">
        <f t="array" ref="X198">_xlfn.LET(_xlpm.x, L198:L200, IF(SUM((_xlpm.x="C1")*1)=1, 1, 0))</f>
        <v>0</v>
      </c>
      <c r="Y198" s="25" cm="1">
        <f t="array" ref="Y198">_xlfn.LET(_xlpm.x, M198:M200, IF(SUM((_xlpm.x="C1")*1)=1, 1, 0))</f>
        <v>0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 cm="1">
        <f t="array" ref="W199">_xlfn.LET(_xlpm.x, K199:K201, IF(SUM((_xlpm.x="C1")*1)=1, 1, 0))</f>
        <v>0</v>
      </c>
      <c r="X199" s="25" cm="1">
        <f t="array" ref="X199">_xlfn.LET(_xlpm.x, L199:L201, IF(SUM((_xlpm.x="C1")*1)=1, 1, 0))</f>
        <v>0</v>
      </c>
      <c r="Y199" s="25" cm="1">
        <f t="array" ref="Y199">_xlfn.LET(_xlpm.x, M199:M201, IF(SUM((_xlpm.x="C1")*1)=1, 1, 0))</f>
        <v>0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104</v>
      </c>
      <c r="L200" s="16" t="s">
        <v>93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 cm="1">
        <f t="array" ref="W200">_xlfn.LET(_xlpm.x, K200:K202, IF(SUM((_xlpm.x="C1")*1)=1, 1, 0))</f>
        <v>0</v>
      </c>
      <c r="X200" s="25" cm="1">
        <f t="array" ref="X200">_xlfn.LET(_xlpm.x, L200:L202, IF(SUM((_xlpm.x="C1")*1)=1, 1, 0))</f>
        <v>0</v>
      </c>
      <c r="Y200" s="25" cm="1">
        <f t="array" ref="Y200">_xlfn.LET(_xlpm.x, M200:M202, IF(SUM((_xlpm.x="C1")*1)=1, 1, 0))</f>
        <v>0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34</v>
      </c>
      <c r="M201" s="16" t="s">
        <v>104</v>
      </c>
      <c r="N201" s="16" t="s">
        <v>34</v>
      </c>
      <c r="O201" s="16" t="s">
        <v>104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 cm="1">
        <f t="array" ref="W201">_xlfn.LET(_xlpm.x, K201:K203, IF(SUM((_xlpm.x="C1")*1)=1, 1, 0))</f>
        <v>0</v>
      </c>
      <c r="X201" s="25" cm="1">
        <f t="array" ref="X201">_xlfn.LET(_xlpm.x, L201:L203, IF(SUM((_xlpm.x="C1")*1)=1, 1, 0))</f>
        <v>0</v>
      </c>
      <c r="Y201" s="25" cm="1">
        <f t="array" ref="Y201">_xlfn.LET(_xlpm.x, M201:M203, IF(SUM((_xlpm.x="C1")*1)=1, 1, 0))</f>
        <v>0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104</v>
      </c>
      <c r="L202" s="16" t="s">
        <v>19</v>
      </c>
      <c r="M202" s="16" t="s">
        <v>35</v>
      </c>
      <c r="N202" s="16" t="s">
        <v>105</v>
      </c>
      <c r="O202" s="16" t="s">
        <v>104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 cm="1">
        <f t="array" ref="W202">_xlfn.LET(_xlpm.x, K202:K204, IF(SUM((_xlpm.x="C1")*1)=1, 1, 0))</f>
        <v>0</v>
      </c>
      <c r="X202" s="25" cm="1">
        <f t="array" ref="X202">_xlfn.LET(_xlpm.x, L202:L204, IF(SUM((_xlpm.x="C1")*1)=1, 1, 0))</f>
        <v>0</v>
      </c>
      <c r="Y202" s="25" cm="1">
        <f t="array" ref="Y202">_xlfn.LET(_xlpm.x, M202:M204, IF(SUM((_xlpm.x="C1")*1)=1, 1, 0))</f>
        <v>0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37</v>
      </c>
      <c r="L203" s="16" t="s">
        <v>87</v>
      </c>
      <c r="M203" s="16" t="s">
        <v>35</v>
      </c>
      <c r="N203" s="16" t="s">
        <v>87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 cm="1">
        <f t="array" ref="W203">_xlfn.LET(_xlpm.x, K203:K205, IF(SUM((_xlpm.x="C1")*1)=1, 1, 0))</f>
        <v>0</v>
      </c>
      <c r="X203" s="25" cm="1">
        <f t="array" ref="X203">_xlfn.LET(_xlpm.x, L203:L205, IF(SUM((_xlpm.x="C1")*1)=1, 1, 0))</f>
        <v>0</v>
      </c>
      <c r="Y203" s="25" cm="1">
        <f t="array" ref="Y203">_xlfn.LET(_xlpm.x, M203:M205, IF(SUM((_xlpm.x="C1")*1)=1, 1, 0))</f>
        <v>0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X4:AA4 W5:AA304">
    <cfRule type="expression" dxfId="45" priority="53">
      <formula>_xlfn.LET(_xlpm.x, W4, AND(NOT(_xlfn.ISFORMULA(_xlpm.x)), _xlpm.x&lt;&gt;""))</formula>
    </cfRule>
  </conditionalFormatting>
  <conditionalFormatting sqref="W4:AA203">
    <cfRule type="expression" dxfId="44" priority="48">
      <formula>_xlfn.LET(_xlpm.x, W4, AND(NOT(_xlfn.ISFORMULA(_xlpm.x)), _xlpm.x&lt;&gt;""))</formula>
    </cfRule>
  </conditionalFormatting>
  <conditionalFormatting sqref="K1:O1048576">
    <cfRule type="cellIs" dxfId="43" priority="23" operator="equal">
      <formula>"C1"</formula>
    </cfRule>
    <cfRule type="cellIs" dxfId="42" priority="24" operator="between">
      <formula>"G1"</formula>
      <formula>"G5"</formula>
    </cfRule>
    <cfRule type="cellIs" dxfId="41" priority="26" operator="between">
      <formula>"M1"</formula>
      <formula>"M5"</formula>
    </cfRule>
  </conditionalFormatting>
  <conditionalFormatting sqref="C28:G28 D27:G27 C35:G46 C29:C30 G29:G30 E31:G34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{D2474962-EDC7-4688-963E-132EFE7A6C1F}</x14:id>
        </ext>
      </extLst>
    </cfRule>
  </conditionalFormatting>
  <conditionalFormatting sqref="D52:D54">
    <cfRule type="cellIs" dxfId="40" priority="18" operator="equal">
      <formula>"C1"</formula>
    </cfRule>
    <cfRule type="cellIs" dxfId="39" priority="19" operator="between">
      <formula>"G1"</formula>
      <formula>"G4"</formula>
    </cfRule>
    <cfRule type="cellIs" dxfId="38" priority="20" operator="between">
      <formula>"GA"</formula>
      <formula>"GQ"</formula>
    </cfRule>
    <cfRule type="cellIs" dxfId="37" priority="21" operator="between">
      <formula>"M1"</formula>
      <formula>"M4"</formula>
    </cfRule>
  </conditionalFormatting>
  <conditionalFormatting sqref="E52:E54">
    <cfRule type="cellIs" dxfId="36" priority="14" operator="equal">
      <formula>"C1"</formula>
    </cfRule>
    <cfRule type="cellIs" dxfId="35" priority="15" operator="between">
      <formula>"G1"</formula>
      <formula>"G4"</formula>
    </cfRule>
    <cfRule type="cellIs" dxfId="34" priority="16" operator="between">
      <formula>"GA"</formula>
      <formula>"GQ"</formula>
    </cfRule>
    <cfRule type="cellIs" dxfId="33" priority="17" operator="between">
      <formula>"M1"</formula>
      <formula>"M4"</formula>
    </cfRule>
  </conditionalFormatting>
  <conditionalFormatting sqref="F52:F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D29:F3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{6C8F4B8E-1F6A-46F3-965C-D29110784093}</x14:id>
        </ext>
      </extLst>
    </cfRule>
  </conditionalFormatting>
  <conditionalFormatting sqref="C31:C34">
    <cfRule type="cellIs" dxfId="28" priority="5" operator="equal">
      <formula>"C1"</formula>
    </cfRule>
    <cfRule type="cellIs" dxfId="27" priority="6" operator="between">
      <formula>"G1"</formula>
      <formula>"G5"</formula>
    </cfRule>
    <cfRule type="cellIs" dxfId="26" priority="8" operator="between">
      <formula>"M1"</formula>
      <formula>"M5"</formula>
    </cfRule>
  </conditionalFormatting>
  <conditionalFormatting sqref="D31:D34">
    <cfRule type="cellIs" dxfId="25" priority="1" operator="equal">
      <formula>"C1"</formula>
    </cfRule>
    <cfRule type="cellIs" dxfId="24" priority="2" operator="between">
      <formula>"G1"</formula>
      <formula>"G5"</formula>
    </cfRule>
    <cfRule type="cellIs" dxfId="23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474962-EDC7-4688-963E-132EFE7A6C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C35:G46 C29:C30 G29:G30 E31:G34</xm:sqref>
        </x14:conditionalFormatting>
        <x14:conditionalFormatting xmlns:xm="http://schemas.microsoft.com/office/excel/2006/main">
          <x14:cfRule type="dataBar" id="{6C8F4B8E-1F6A-46F3-965C-D29110784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5" operator="containsText" id="{C403B559-99DF-42D7-BD38-134FE92298D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  <x14:conditionalFormatting xmlns:xm="http://schemas.microsoft.com/office/excel/2006/main">
          <x14:cfRule type="containsText" priority="7" operator="containsText" id="{487B0F3C-DDAE-4D28-AE24-3E76BA24E449}">
            <xm:f>NOT(ISERROR(SEARCH("G",C31)))</xm:f>
            <xm:f>"G"</xm:f>
            <x14:dxf>
              <fill>
                <patternFill>
                  <bgColor rgb="FFFFFF00"/>
                </patternFill>
              </fill>
            </x14:dxf>
          </x14:cfRule>
          <xm:sqref>C31:C34</xm:sqref>
        </x14:conditionalFormatting>
        <x14:conditionalFormatting xmlns:xm="http://schemas.microsoft.com/office/excel/2006/main">
          <x14:cfRule type="containsText" priority="3" operator="containsText" id="{7B352C54-712D-4839-86ED-ED6A7C487DE7}">
            <xm:f>NOT(ISERROR(SEARCH("G",D31)))</xm:f>
            <xm:f>"G"</xm:f>
            <x14:dxf>
              <fill>
                <patternFill>
                  <bgColor rgb="FFFFFF00"/>
                </patternFill>
              </fill>
            </x14:dxf>
          </x14:cfRule>
          <xm:sqref>D31:D34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/>
  </sheetViews>
  <sheetFormatPr defaultRowHeight="15.6" x14ac:dyDescent="0.3"/>
  <cols>
    <col min="1" max="1" width="8.88671875" style="17"/>
    <col min="2" max="2" width="9" style="17" hidden="1" customWidth="1"/>
    <col min="3" max="5" width="9.6640625" style="17" hidden="1" customWidth="1"/>
    <col min="6" max="6" width="0" style="17" hidden="1" customWidth="1"/>
    <col min="7" max="7" width="21.21875" style="17" hidden="1" customWidth="1"/>
    <col min="8" max="8" width="11" style="17" hidden="1" customWidth="1"/>
    <col min="9" max="9" width="9.5546875" style="17" hidden="1" customWidth="1"/>
    <col min="10" max="10" width="21.21875" style="17" hidden="1" customWidth="1"/>
    <col min="11" max="11" width="9.6640625" style="17" hidden="1" customWidth="1"/>
    <col min="12" max="12" width="9.5546875" style="17" hidden="1" customWidth="1"/>
    <col min="13" max="13" width="10.44140625" style="17" bestFit="1" customWidth="1"/>
    <col min="14" max="17" width="9.77734375" style="17" customWidth="1"/>
    <col min="18" max="18" width="9.5546875" style="17" bestFit="1" customWidth="1"/>
    <col min="19" max="19" width="10.44140625" style="17" bestFit="1" customWidth="1"/>
    <col min="20" max="23" width="9.77734375" style="17" customWidth="1"/>
    <col min="24" max="24" width="9.5546875" style="17" bestFit="1" customWidth="1"/>
    <col min="25" max="28" width="11" style="17" customWidth="1"/>
    <col min="29" max="31" width="11.21875" style="17" customWidth="1"/>
    <col min="32" max="32" width="8.88671875" style="17"/>
    <col min="33" max="35" width="11.21875" style="17" customWidth="1"/>
    <col min="36" max="16384" width="8.88671875" style="17"/>
  </cols>
  <sheetData>
    <row r="2" spans="2:31" x14ac:dyDescent="0.3">
      <c r="B2" s="17" t="s">
        <v>148</v>
      </c>
      <c r="F2" s="158">
        <f>Parameter!L5+Parameter!L7</f>
        <v>0.89999999999999991</v>
      </c>
      <c r="G2" s="158">
        <f>Parameter!L6</f>
        <v>0.1</v>
      </c>
      <c r="M2" s="17" t="s">
        <v>147</v>
      </c>
      <c r="S2" s="17" t="s">
        <v>213</v>
      </c>
    </row>
    <row r="3" spans="2:31" x14ac:dyDescent="0.3">
      <c r="B3" s="130" t="s">
        <v>71</v>
      </c>
      <c r="C3" s="130" t="s">
        <v>147</v>
      </c>
      <c r="D3" s="130" t="s">
        <v>202</v>
      </c>
      <c r="E3" s="130" t="s">
        <v>203</v>
      </c>
      <c r="M3" s="138" t="s">
        <v>207</v>
      </c>
      <c r="N3" s="138" t="s">
        <v>99</v>
      </c>
      <c r="O3" s="138" t="s">
        <v>100</v>
      </c>
      <c r="P3" s="138" t="s">
        <v>205</v>
      </c>
      <c r="Q3" s="138" t="s">
        <v>206</v>
      </c>
      <c r="S3" s="138" t="s">
        <v>207</v>
      </c>
      <c r="T3" s="138" t="s">
        <v>99</v>
      </c>
      <c r="U3" s="138" t="s">
        <v>100</v>
      </c>
      <c r="V3" s="138" t="s">
        <v>205</v>
      </c>
      <c r="W3" s="138" t="s">
        <v>206</v>
      </c>
      <c r="Y3" s="17" t="s">
        <v>214</v>
      </c>
      <c r="Z3" s="17" t="s">
        <v>215</v>
      </c>
      <c r="AA3" s="17" t="s">
        <v>100</v>
      </c>
    </row>
    <row r="4" spans="2:31" x14ac:dyDescent="0.3">
      <c r="B4" s="120">
        <v>0</v>
      </c>
      <c r="C4" s="159">
        <v>0.12890728185260192</v>
      </c>
      <c r="D4" s="162">
        <v>0.17979999999999999</v>
      </c>
      <c r="E4" s="162">
        <v>0</v>
      </c>
      <c r="F4" s="153" cm="1">
        <f t="array" ref="F4:F13">D4:D13*F2+E4:E13*G2</f>
        <v>0.16181999999999996</v>
      </c>
      <c r="G4" s="17">
        <v>0</v>
      </c>
      <c r="H4" s="153" cm="1">
        <f t="array" ref="H4:H13">G4:G13/10000</f>
        <v>0</v>
      </c>
      <c r="M4" s="169">
        <v>0</v>
      </c>
      <c r="N4" s="168">
        <v>0.12890728185260192</v>
      </c>
      <c r="O4" s="168">
        <v>5.6827150749802685E-2</v>
      </c>
      <c r="P4" s="168">
        <v>0.1214574898785425</v>
      </c>
      <c r="Q4" s="168">
        <v>0.14634146341463414</v>
      </c>
      <c r="S4" s="169">
        <v>0</v>
      </c>
      <c r="T4" s="168">
        <v>4.3664399999999999E-2</v>
      </c>
      <c r="U4" s="168">
        <v>0</v>
      </c>
      <c r="V4" s="168">
        <v>0</v>
      </c>
      <c r="W4" s="168">
        <v>0</v>
      </c>
    </row>
    <row r="5" spans="2:31" x14ac:dyDescent="0.3">
      <c r="B5" s="120">
        <v>1</v>
      </c>
      <c r="C5" s="159">
        <v>0.30351325173901561</v>
      </c>
      <c r="D5" s="162">
        <v>0.35339999999999999</v>
      </c>
      <c r="E5" s="162">
        <v>0</v>
      </c>
      <c r="F5" s="153">
        <v>0.31805999999999995</v>
      </c>
      <c r="G5" s="17" cm="1">
        <f t="array" ref="G5:G13">TRANSPOSE(Parameter!AD5:AL5)</f>
        <v>300</v>
      </c>
      <c r="H5" s="153">
        <v>0.03</v>
      </c>
      <c r="M5" s="170">
        <v>1</v>
      </c>
      <c r="N5" s="152">
        <v>0.30351325173901561</v>
      </c>
      <c r="O5" s="152">
        <v>0.14601420678768745</v>
      </c>
      <c r="P5" s="152">
        <v>0.22672064777327935</v>
      </c>
      <c r="Q5" s="152">
        <v>0.3902439024390244</v>
      </c>
      <c r="S5" s="170">
        <v>1</v>
      </c>
      <c r="T5" s="152">
        <v>0.31492110000000001</v>
      </c>
      <c r="U5" s="152">
        <v>0</v>
      </c>
      <c r="V5" s="152">
        <v>0</v>
      </c>
      <c r="W5" s="152">
        <v>0</v>
      </c>
      <c r="Y5" s="17" cm="1">
        <f t="array" ref="Y5:Y13">TRANSPOSE(Parameter!AD5:AL5)</f>
        <v>300</v>
      </c>
      <c r="Z5" s="17" cm="1">
        <f t="array" ref="Z5:Z13">TRANSPOSE(Parameter!AD6:AL6)</f>
        <v>0</v>
      </c>
      <c r="AA5" s="17" cm="1">
        <f t="array" ref="AA5:AA13">TRANSPOSE(Parameter!AD8:AL8)</f>
        <v>0</v>
      </c>
      <c r="AC5" s="153" cm="1">
        <f t="array" ref="AC5:AC13">_xlfn.ANCHORARRAY(Y5)/10000</f>
        <v>0.03</v>
      </c>
      <c r="AD5" s="153" cm="1">
        <f t="array" ref="AD5:AD13">_xlfn.ANCHORARRAY(Z5)/10000</f>
        <v>0</v>
      </c>
      <c r="AE5" s="153" cm="1">
        <f t="array" ref="AE5:AE13">_xlfn.ANCHORARRAY(AA5)/10000</f>
        <v>0</v>
      </c>
    </row>
    <row r="6" spans="2:31" x14ac:dyDescent="0.3">
      <c r="B6" s="120">
        <v>2</v>
      </c>
      <c r="C6" s="159">
        <v>0.30338117460596986</v>
      </c>
      <c r="D6" s="162">
        <v>0.29630000000000001</v>
      </c>
      <c r="E6" s="162">
        <v>0</v>
      </c>
      <c r="F6" s="153">
        <v>0.26666999999999996</v>
      </c>
      <c r="G6" s="17">
        <v>600</v>
      </c>
      <c r="H6" s="153">
        <v>0.06</v>
      </c>
      <c r="M6" s="170">
        <v>2</v>
      </c>
      <c r="N6" s="152">
        <v>0.30338117460596986</v>
      </c>
      <c r="O6" s="152">
        <v>0.23993685872138912</v>
      </c>
      <c r="P6" s="152">
        <v>0.25506072874493929</v>
      </c>
      <c r="Q6" s="152">
        <v>0.26829268292682928</v>
      </c>
      <c r="S6" s="170">
        <v>2</v>
      </c>
      <c r="T6" s="152">
        <v>0.35247650000000003</v>
      </c>
      <c r="U6" s="152">
        <v>0</v>
      </c>
      <c r="V6" s="152">
        <v>0</v>
      </c>
      <c r="W6" s="152">
        <v>0</v>
      </c>
      <c r="Y6" s="17">
        <v>600</v>
      </c>
      <c r="Z6" s="17">
        <v>0</v>
      </c>
      <c r="AA6" s="17">
        <v>0</v>
      </c>
      <c r="AC6" s="153">
        <v>0.06</v>
      </c>
      <c r="AD6" s="153">
        <v>0</v>
      </c>
      <c r="AE6" s="153">
        <v>0</v>
      </c>
    </row>
    <row r="7" spans="2:31" x14ac:dyDescent="0.3">
      <c r="B7" s="120">
        <v>3</v>
      </c>
      <c r="C7" s="159">
        <v>0.18173813507088141</v>
      </c>
      <c r="D7" s="162">
        <v>0.13270000000000001</v>
      </c>
      <c r="E7" s="162">
        <v>0.17960000000000001</v>
      </c>
      <c r="F7" s="153">
        <v>0.13738999999999998</v>
      </c>
      <c r="G7" s="17">
        <v>1080</v>
      </c>
      <c r="H7" s="153">
        <v>0.108</v>
      </c>
      <c r="M7" s="170">
        <v>3</v>
      </c>
      <c r="N7" s="152">
        <v>0.18173813507088141</v>
      </c>
      <c r="O7" s="152">
        <v>0.24072612470402527</v>
      </c>
      <c r="P7" s="152">
        <v>0.20647773279352227</v>
      </c>
      <c r="Q7" s="152">
        <v>0.12195121951219512</v>
      </c>
      <c r="S7" s="170">
        <v>3</v>
      </c>
      <c r="T7" s="152">
        <v>0.16485949999999999</v>
      </c>
      <c r="U7" s="152">
        <v>0.17066543425199321</v>
      </c>
      <c r="V7" s="152">
        <v>0.27341059521774169</v>
      </c>
      <c r="W7" s="152">
        <v>0.34563942836203743</v>
      </c>
      <c r="Y7" s="17">
        <v>1080</v>
      </c>
      <c r="Z7" s="17">
        <v>525</v>
      </c>
      <c r="AA7" s="17">
        <v>525</v>
      </c>
      <c r="AC7" s="153">
        <v>0.108</v>
      </c>
      <c r="AD7" s="153">
        <v>5.2499999999999998E-2</v>
      </c>
      <c r="AE7" s="153">
        <v>5.2499999999999998E-2</v>
      </c>
    </row>
    <row r="8" spans="2:31" x14ac:dyDescent="0.3">
      <c r="B8" s="120">
        <v>4</v>
      </c>
      <c r="C8" s="159">
        <v>6.3705203839042004E-2</v>
      </c>
      <c r="D8" s="162">
        <v>3.3300000000000003E-2</v>
      </c>
      <c r="E8" s="162">
        <v>0.38219999999999998</v>
      </c>
      <c r="F8" s="153">
        <v>6.8190000000000001E-2</v>
      </c>
      <c r="G8" s="17">
        <v>1440</v>
      </c>
      <c r="H8" s="153">
        <v>0.14399999999999999</v>
      </c>
      <c r="M8" s="170">
        <v>4</v>
      </c>
      <c r="N8" s="152">
        <v>6.3705203839042004E-2</v>
      </c>
      <c r="O8" s="152">
        <v>0.17363851617995266</v>
      </c>
      <c r="P8" s="152">
        <v>8.9068825910931168E-2</v>
      </c>
      <c r="Q8" s="152">
        <v>2.4390243902439025E-2</v>
      </c>
      <c r="S8" s="170">
        <v>4</v>
      </c>
      <c r="T8" s="152">
        <v>6.9643399999999994E-2</v>
      </c>
      <c r="U8" s="152">
        <v>0.39462506183361939</v>
      </c>
      <c r="V8" s="152">
        <v>0.40069120484576121</v>
      </c>
      <c r="W8" s="152">
        <v>0.42079516306339321</v>
      </c>
      <c r="Y8" s="17">
        <v>1440</v>
      </c>
      <c r="Z8" s="17">
        <v>700</v>
      </c>
      <c r="AA8" s="17">
        <v>700</v>
      </c>
      <c r="AC8" s="153">
        <v>0.14399999999999999</v>
      </c>
      <c r="AD8" s="153">
        <v>7.0000000000000007E-2</v>
      </c>
      <c r="AE8" s="153">
        <v>7.0000000000000007E-2</v>
      </c>
    </row>
    <row r="9" spans="2:31" x14ac:dyDescent="0.3">
      <c r="B9" s="120">
        <v>5</v>
      </c>
      <c r="C9" s="159">
        <v>1.4748613190103021E-2</v>
      </c>
      <c r="D9" s="162">
        <v>4.4000000000000003E-3</v>
      </c>
      <c r="E9" s="162">
        <v>0.29920000000000002</v>
      </c>
      <c r="F9" s="153">
        <v>3.388E-2</v>
      </c>
      <c r="G9" s="17">
        <v>2250</v>
      </c>
      <c r="H9" s="153">
        <v>0.22500000000000001</v>
      </c>
      <c r="M9" s="170">
        <v>5</v>
      </c>
      <c r="N9" s="152">
        <v>1.4748613190103021E-2</v>
      </c>
      <c r="O9" s="152">
        <v>0.10023677979479084</v>
      </c>
      <c r="P9" s="152">
        <v>7.6923076923076927E-2</v>
      </c>
      <c r="Q9" s="152">
        <v>4.878048780487805E-2</v>
      </c>
      <c r="S9" s="170">
        <v>5</v>
      </c>
      <c r="T9" s="152">
        <v>3.9675799999999997E-2</v>
      </c>
      <c r="U9" s="152">
        <v>0.30825772020316261</v>
      </c>
      <c r="V9" s="152">
        <v>0.23469213296534211</v>
      </c>
      <c r="W9" s="152">
        <v>0.19085745694393549</v>
      </c>
      <c r="Y9" s="17">
        <v>2250</v>
      </c>
      <c r="Z9" s="17">
        <v>1750</v>
      </c>
      <c r="AA9" s="17">
        <v>1750</v>
      </c>
      <c r="AC9" s="153">
        <v>0.22500000000000001</v>
      </c>
      <c r="AD9" s="153">
        <v>0.17499999999999999</v>
      </c>
      <c r="AE9" s="153">
        <v>0.17499999999999999</v>
      </c>
    </row>
    <row r="10" spans="2:31" x14ac:dyDescent="0.3">
      <c r="B10" s="120">
        <v>6</v>
      </c>
      <c r="C10" s="159">
        <v>3.6101083032490976E-3</v>
      </c>
      <c r="D10" s="162">
        <v>2.0000000000000001E-4</v>
      </c>
      <c r="E10" s="162">
        <v>0.1134</v>
      </c>
      <c r="F10" s="153">
        <v>1.1520000000000001E-2</v>
      </c>
      <c r="G10" s="17">
        <v>2700</v>
      </c>
      <c r="H10" s="153">
        <v>0.27</v>
      </c>
      <c r="M10" s="170">
        <v>6</v>
      </c>
      <c r="N10" s="152">
        <v>3.6101083032490976E-3</v>
      </c>
      <c r="O10" s="152">
        <v>3.1570639305445937E-2</v>
      </c>
      <c r="P10" s="152">
        <v>1.2145748987854251E-2</v>
      </c>
      <c r="Q10" s="152">
        <v>0</v>
      </c>
      <c r="S10" s="170">
        <v>6</v>
      </c>
      <c r="T10" s="152">
        <v>1.29564E-2</v>
      </c>
      <c r="U10" s="152">
        <v>0.104598098891988</v>
      </c>
      <c r="V10" s="152">
        <v>7.5171580001465454E-2</v>
      </c>
      <c r="W10" s="152">
        <v>3.8090875778673497E-2</v>
      </c>
      <c r="Y10" s="17">
        <v>2700</v>
      </c>
      <c r="Z10" s="17">
        <v>2100</v>
      </c>
      <c r="AA10" s="17">
        <v>2100</v>
      </c>
      <c r="AC10" s="153">
        <v>0.27</v>
      </c>
      <c r="AD10" s="153">
        <v>0.21</v>
      </c>
      <c r="AE10" s="153">
        <v>0.21</v>
      </c>
    </row>
    <row r="11" spans="2:31" x14ac:dyDescent="0.3">
      <c r="B11" s="120">
        <v>7</v>
      </c>
      <c r="C11" s="159">
        <v>3.9623139913709608E-4</v>
      </c>
      <c r="D11" s="162">
        <v>0</v>
      </c>
      <c r="E11" s="162">
        <v>2.3E-2</v>
      </c>
      <c r="F11" s="153">
        <v>2.3E-3</v>
      </c>
      <c r="G11" s="17">
        <v>3150</v>
      </c>
      <c r="H11" s="153">
        <v>0.315</v>
      </c>
      <c r="M11" s="170">
        <v>7</v>
      </c>
      <c r="N11" s="152">
        <v>3.9623139913709608E-4</v>
      </c>
      <c r="O11" s="152">
        <v>1.0260457774269928E-2</v>
      </c>
      <c r="P11" s="152">
        <v>1.2145748987854251E-2</v>
      </c>
      <c r="Q11" s="152">
        <v>0</v>
      </c>
      <c r="S11" s="170">
        <v>7</v>
      </c>
      <c r="T11" s="152">
        <v>1.6918E-3</v>
      </c>
      <c r="U11" s="152">
        <v>1.9803014925997061E-2</v>
      </c>
      <c r="V11" s="152">
        <v>1.4459126102142001E-2</v>
      </c>
      <c r="W11" s="152">
        <v>4.3972150971051671E-3</v>
      </c>
      <c r="Y11" s="17">
        <v>3150</v>
      </c>
      <c r="Z11" s="17">
        <v>3675</v>
      </c>
      <c r="AA11" s="17">
        <v>3675</v>
      </c>
      <c r="AC11" s="153">
        <v>0.315</v>
      </c>
      <c r="AD11" s="153">
        <v>0.36749999999999999</v>
      </c>
      <c r="AE11" s="153">
        <v>0.36749999999999999</v>
      </c>
    </row>
    <row r="12" spans="2:31" x14ac:dyDescent="0.3">
      <c r="B12" s="120">
        <v>8</v>
      </c>
      <c r="C12" s="159">
        <v>0</v>
      </c>
      <c r="D12" s="162">
        <v>0</v>
      </c>
      <c r="E12" s="162">
        <v>2.3999999999999998E-3</v>
      </c>
      <c r="F12" s="153">
        <v>2.3999999999999998E-4</v>
      </c>
      <c r="G12" s="17">
        <v>3600</v>
      </c>
      <c r="H12" s="153">
        <v>0.36</v>
      </c>
      <c r="M12" s="170">
        <v>8</v>
      </c>
      <c r="N12" s="152">
        <v>0</v>
      </c>
      <c r="O12" s="152">
        <v>7.8926598263614838E-4</v>
      </c>
      <c r="P12" s="152">
        <v>0</v>
      </c>
      <c r="Q12" s="152">
        <v>0</v>
      </c>
      <c r="S12" s="170">
        <v>8</v>
      </c>
      <c r="T12" s="152">
        <v>1.111E-4</v>
      </c>
      <c r="U12" s="152">
        <v>1.9554519253769821E-3</v>
      </c>
      <c r="V12" s="152">
        <v>1.5753608675475659E-3</v>
      </c>
      <c r="W12" s="152">
        <v>2.198607548552583E-4</v>
      </c>
      <c r="Y12" s="17">
        <v>3600</v>
      </c>
      <c r="Z12" s="17">
        <v>4200</v>
      </c>
      <c r="AA12" s="17">
        <v>4200</v>
      </c>
      <c r="AC12" s="153">
        <v>0.36</v>
      </c>
      <c r="AD12" s="153">
        <v>0.42</v>
      </c>
      <c r="AE12" s="153">
        <v>0.42</v>
      </c>
    </row>
    <row r="13" spans="2:31" x14ac:dyDescent="0.3">
      <c r="B13" s="120">
        <v>9</v>
      </c>
      <c r="C13" s="159">
        <v>0</v>
      </c>
      <c r="D13" s="162">
        <v>0</v>
      </c>
      <c r="E13" s="162">
        <v>1E-4</v>
      </c>
      <c r="F13" s="153">
        <v>1.0000000000000001E-5</v>
      </c>
      <c r="G13" s="17">
        <v>4050</v>
      </c>
      <c r="H13" s="153">
        <v>0.40500000000000003</v>
      </c>
      <c r="M13" s="170">
        <v>9</v>
      </c>
      <c r="N13" s="152">
        <v>0</v>
      </c>
      <c r="O13" s="152">
        <v>0</v>
      </c>
      <c r="P13" s="152">
        <v>0</v>
      </c>
      <c r="Q13" s="152">
        <v>0</v>
      </c>
      <c r="S13" s="170">
        <v>9</v>
      </c>
      <c r="T13" s="152">
        <v>0</v>
      </c>
      <c r="U13" s="152">
        <v>9.5217967862774646E-5</v>
      </c>
      <c r="V13" s="152">
        <v>0</v>
      </c>
      <c r="W13" s="152">
        <v>0</v>
      </c>
      <c r="Y13" s="17">
        <v>4050</v>
      </c>
      <c r="Z13" s="17">
        <v>4725</v>
      </c>
      <c r="AA13" s="17">
        <v>4725</v>
      </c>
      <c r="AC13" s="153">
        <v>0.40500000000000003</v>
      </c>
      <c r="AD13" s="153">
        <v>0.47249999999999998</v>
      </c>
      <c r="AE13" s="153">
        <v>0.47249999999999998</v>
      </c>
    </row>
    <row r="14" spans="2:31" x14ac:dyDescent="0.3">
      <c r="M14" s="170" t="s">
        <v>208</v>
      </c>
      <c r="N14" s="167">
        <f>SUMPRODUCT($M$4:$M$13,N4:N13)</f>
        <v>1.808488157083737</v>
      </c>
      <c r="O14" s="167">
        <f t="shared" ref="O14:Q14" si="0">SUMPRODUCT($M$4:$M$13,O4:O13)</f>
        <v>2.8113654301499604</v>
      </c>
      <c r="P14" s="167">
        <f t="shared" si="0"/>
        <v>2.2550607287449393</v>
      </c>
      <c r="Q14" s="167">
        <f t="shared" si="0"/>
        <v>1.6341463414634148</v>
      </c>
      <c r="S14" s="170" t="s">
        <v>208</v>
      </c>
      <c r="T14" s="167">
        <f>SUMPRODUCT($M$4:$M$13,T4:T13)</f>
        <v>2.0818749999999997</v>
      </c>
      <c r="U14" s="167">
        <f t="shared" ref="U14" si="1">SUMPRODUCT($M$4:$M$13,U4:U13)</f>
        <v>4.4144954260539579</v>
      </c>
      <c r="V14" s="167">
        <f t="shared" ref="V14" si="2">SUMPRODUCT($M$4:$M$13,V4:V13)</f>
        <v>4.1613035195271477</v>
      </c>
      <c r="W14" s="167">
        <f t="shared" ref="W14" si="3">SUMPRODUCT($M$4:$M$13,W4:W13)</f>
        <v>3.9354708684499817</v>
      </c>
    </row>
    <row r="15" spans="2:31" x14ac:dyDescent="0.3">
      <c r="G15" s="17" t="s">
        <v>204</v>
      </c>
      <c r="T15" s="166" cm="1">
        <f t="array" ref="T15:W15">T14:W14/N14:Q14</f>
        <v>1.1511687217001798</v>
      </c>
      <c r="U15" s="166">
        <v>1.5702318093235164</v>
      </c>
      <c r="V15" s="166">
        <v>1.8453177187131158</v>
      </c>
      <c r="W15" s="166">
        <v>2.408273218006705</v>
      </c>
      <c r="AB15" s="17" t="s">
        <v>216</v>
      </c>
      <c r="AC15" s="153">
        <f>SUMPRODUCT(T5:T13,AC5:AC13)</f>
        <v>7.14278946E-2</v>
      </c>
      <c r="AD15" s="153">
        <f>SUMPRODUCT(U5:U13,AD5:AD13)</f>
        <v>0.12063827971323134</v>
      </c>
      <c r="AE15" s="153">
        <f>SUMPRODUCT(U5:U13,AE5:AE13)</f>
        <v>0.12063827971323134</v>
      </c>
    </row>
    <row r="16" spans="2:31" x14ac:dyDescent="0.3">
      <c r="G16" s="153">
        <f>SUMPRODUCT(H4:H13,D4:D13)</f>
        <v>4.8550799999999991E-2</v>
      </c>
      <c r="H16" s="166">
        <f>1/G16</f>
        <v>20.596982953936912</v>
      </c>
      <c r="AC16" s="153" cm="1">
        <f t="array" ref="AC16:AE16">1-AC15:AE15</f>
        <v>0.92857210540000001</v>
      </c>
      <c r="AD16" s="153">
        <v>0.87936172028676862</v>
      </c>
      <c r="AE16" s="153">
        <v>0.87936172028676862</v>
      </c>
    </row>
    <row r="17" spans="2:49" x14ac:dyDescent="0.3">
      <c r="B17" s="17" t="s">
        <v>209</v>
      </c>
      <c r="M17" s="17" t="s">
        <v>147</v>
      </c>
      <c r="S17" s="17" t="s">
        <v>146</v>
      </c>
      <c r="Y17" s="17" t="s">
        <v>214</v>
      </c>
      <c r="AC17" s="17" t="s">
        <v>215</v>
      </c>
      <c r="AG17" s="17" t="s">
        <v>100</v>
      </c>
    </row>
    <row r="18" spans="2:49" x14ac:dyDescent="0.3">
      <c r="B18" s="130"/>
      <c r="C18" s="130" t="s">
        <v>147</v>
      </c>
      <c r="D18" s="130" t="s">
        <v>202</v>
      </c>
      <c r="E18" s="130" t="s">
        <v>203</v>
      </c>
      <c r="G18" s="17" t="s">
        <v>200</v>
      </c>
      <c r="H18" s="17" t="s">
        <v>201</v>
      </c>
      <c r="M18" s="138" t="s">
        <v>211</v>
      </c>
      <c r="N18" s="138" t="s">
        <v>99</v>
      </c>
      <c r="O18" s="138" t="s">
        <v>100</v>
      </c>
      <c r="S18" s="138" t="s">
        <v>211</v>
      </c>
      <c r="T18" s="138" t="s">
        <v>99</v>
      </c>
      <c r="U18" s="138" t="s">
        <v>214</v>
      </c>
      <c r="V18" s="138" t="s">
        <v>215</v>
      </c>
      <c r="W18" s="138" t="s">
        <v>100</v>
      </c>
      <c r="Y18" s="130" t="s">
        <v>200</v>
      </c>
      <c r="Z18" s="130" t="s">
        <v>201</v>
      </c>
      <c r="AA18" s="130"/>
      <c r="AC18" s="130" t="s">
        <v>200</v>
      </c>
      <c r="AD18" s="130" t="s">
        <v>201</v>
      </c>
      <c r="AE18" s="130"/>
      <c r="AG18" s="130" t="s">
        <v>200</v>
      </c>
      <c r="AH18" s="130" t="s">
        <v>201</v>
      </c>
      <c r="AI18" s="130"/>
    </row>
    <row r="19" spans="2:49" x14ac:dyDescent="0.3">
      <c r="B19" s="154">
        <v>0</v>
      </c>
      <c r="C19" s="160">
        <v>0.86973562490871026</v>
      </c>
      <c r="D19" s="155" cm="1">
        <f t="array" ref="D19:D31">K19:K31</f>
        <v>0</v>
      </c>
      <c r="E19" s="155" cm="1">
        <f t="array" ref="E19:E31">L19:L31</f>
        <v>0</v>
      </c>
      <c r="G19" s="17" cm="1">
        <f t="array" ref="G19:G31">TRANSPOSE(Parameter!O5:AA5)</f>
        <v>0</v>
      </c>
      <c r="H19" s="17" cm="1">
        <f t="array" ref="H19:H31">TRANSPOSE(Parameter!O17:AA17)</f>
        <v>0</v>
      </c>
      <c r="I19" s="153" cm="1">
        <f t="array" ref="I19:I31">_xlfn.ANCHORARRAY(G19)/SUM(_xlfn.ANCHORARRAY(G19))*G16</f>
        <v>0</v>
      </c>
      <c r="J19" s="153" cm="1">
        <f t="array" ref="J19:J31">_xlfn.ANCHORARRAY(H19)/SUM(_xlfn.ANCHORARRAY(H19))*(1-G16)</f>
        <v>0</v>
      </c>
      <c r="K19" s="153" cm="1">
        <f t="array" ref="K19:K23">J19:J23</f>
        <v>0</v>
      </c>
      <c r="M19" s="169">
        <v>0</v>
      </c>
      <c r="N19" s="168">
        <v>0.86973562490871026</v>
      </c>
      <c r="O19" s="168">
        <v>0.64345873104997198</v>
      </c>
      <c r="P19" s="175"/>
      <c r="Q19" s="153"/>
      <c r="R19" s="153"/>
      <c r="S19" s="169">
        <v>0</v>
      </c>
      <c r="T19" s="168" cm="1">
        <f t="array" ref="T19:T31">_xlfn.ANCHORARRAY(U19)*U33+_xlfn.ANCHORARRAY(V19)*V33</f>
        <v>0.74375000000000002</v>
      </c>
      <c r="U19" s="168" cm="1">
        <f t="array" ref="U19:U31">_xlfn.ANCHORARRAY(AA19)</f>
        <v>0.85</v>
      </c>
      <c r="V19" s="168" cm="1">
        <f t="array" ref="V19:V31">_xlfn.ANCHORARRAY(AE19)</f>
        <v>0</v>
      </c>
      <c r="W19" s="168" cm="1">
        <f t="array" ref="W19:W31">_xlfn.ANCHORARRAY(AI19)</f>
        <v>0</v>
      </c>
      <c r="Y19" s="17" cm="1">
        <f t="array" ref="Y19:Y31">TRANSPOSE(Parameter!O5:AA5)</f>
        <v>0</v>
      </c>
      <c r="Z19" s="17" cm="1">
        <f t="array" ref="Z19:Z31">TRANSPOSE(Parameter!O38:AA38)</f>
        <v>8500</v>
      </c>
      <c r="AA19" s="153" cm="1">
        <f t="array" ref="AA19:AA31">_xlfn.ANCHORARRAY(Z19)*AC15/SUM(_xlfn.ANCHORARRAY(Z19))+_xlfn.ANCHORARRAY(Z19)*AC16/SUM(_xlfn.ANCHORARRAY(Z19))</f>
        <v>0.85</v>
      </c>
      <c r="AC19" s="17" cm="1">
        <f t="array" ref="AC19:AC31">TRANSPOSE(Parameter!O6:AA6)</f>
        <v>0</v>
      </c>
      <c r="AD19" s="17" cm="1">
        <f t="array" ref="AD19:AD31">TRANSPOSE(Parameter!O17:AA17)</f>
        <v>0</v>
      </c>
      <c r="AE19" s="153" cm="1">
        <f t="array" ref="AE19:AE31">_xlfn.ANCHORARRAY(AC19)*AD15/SUM(_xlfn.ANCHORARRAY(AC19))+_xlfn.ANCHORARRAY(AD19)*AD16/SUM(_xlfn.ANCHORARRAY(AD19))</f>
        <v>0</v>
      </c>
      <c r="AG19" s="17" cm="1">
        <f t="array" ref="AG19:AG31">TRANSPOSE(Parameter!O8:AA8)</f>
        <v>0</v>
      </c>
      <c r="AH19" s="17" cm="1">
        <f t="array" ref="AH19:AH31">TRANSPOSE(Parameter!O19:AA19)</f>
        <v>0</v>
      </c>
      <c r="AI19" s="153" cm="1">
        <f t="array" ref="AI19:AI31">_xlfn.ANCHORARRAY(AG19)*AE15/SUM(_xlfn.ANCHORARRAY(AG19))+_xlfn.ANCHORARRAY(AH19)*AE16/SUM(_xlfn.ANCHORARRAY(AH19))</f>
        <v>0</v>
      </c>
      <c r="AN19" s="110"/>
      <c r="AO19" s="173">
        <v>50</v>
      </c>
      <c r="AP19" s="173">
        <v>50</v>
      </c>
      <c r="AQ19" s="173">
        <v>250</v>
      </c>
      <c r="AR19" s="173">
        <v>1500</v>
      </c>
      <c r="AS19" s="173">
        <v>4000</v>
      </c>
      <c r="AT19" s="173">
        <v>4000</v>
      </c>
      <c r="AU19" s="173">
        <v>4000</v>
      </c>
      <c r="AV19" s="173">
        <v>4000</v>
      </c>
      <c r="AW19" s="173">
        <v>4000</v>
      </c>
    </row>
    <row r="20" spans="2:49" x14ac:dyDescent="0.3">
      <c r="B20" s="156">
        <v>2</v>
      </c>
      <c r="C20" s="161">
        <v>3.4690101757631819E-2</v>
      </c>
      <c r="D20" s="157">
        <v>0.34252171199999998</v>
      </c>
      <c r="E20" s="157">
        <v>0</v>
      </c>
      <c r="G20" s="17">
        <v>0</v>
      </c>
      <c r="H20" s="17">
        <v>3600</v>
      </c>
      <c r="I20" s="153">
        <v>0</v>
      </c>
      <c r="J20" s="153">
        <v>0.34252171199999998</v>
      </c>
      <c r="K20" s="153">
        <v>0.34252171199999998</v>
      </c>
      <c r="M20" s="170">
        <v>2</v>
      </c>
      <c r="N20" s="152">
        <v>3.4690101757631819E-2</v>
      </c>
      <c r="O20" s="152">
        <v>0.21617069062324537</v>
      </c>
      <c r="P20" s="153"/>
      <c r="Q20" s="153"/>
      <c r="R20" s="153"/>
      <c r="S20" s="170">
        <v>2</v>
      </c>
      <c r="T20" s="152">
        <v>8.3321277412904599E-2</v>
      </c>
      <c r="U20" s="152">
        <v>0.05</v>
      </c>
      <c r="V20" s="152">
        <v>0.3165702193032367</v>
      </c>
      <c r="W20" s="152">
        <v>0.52761703217206113</v>
      </c>
      <c r="X20" s="153"/>
      <c r="Y20" s="17">
        <v>0</v>
      </c>
      <c r="Z20" s="17">
        <v>500</v>
      </c>
      <c r="AA20" s="153">
        <v>0.05</v>
      </c>
      <c r="AC20" s="17">
        <v>0</v>
      </c>
      <c r="AD20" s="17">
        <v>3600</v>
      </c>
      <c r="AE20" s="153">
        <v>0.3165702193032367</v>
      </c>
      <c r="AG20" s="17">
        <v>0</v>
      </c>
      <c r="AH20" s="17">
        <v>6000</v>
      </c>
      <c r="AI20" s="153">
        <v>0.52761703217206113</v>
      </c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</row>
    <row r="21" spans="2:49" x14ac:dyDescent="0.3">
      <c r="B21" s="156">
        <v>3</v>
      </c>
      <c r="C21" s="161">
        <v>2.8506743268903064E-2</v>
      </c>
      <c r="D21" s="157">
        <v>0.32349272800000001</v>
      </c>
      <c r="E21" s="157">
        <v>0</v>
      </c>
      <c r="G21" s="17">
        <v>0</v>
      </c>
      <c r="H21" s="17">
        <v>3400</v>
      </c>
      <c r="I21" s="153">
        <v>0</v>
      </c>
      <c r="J21" s="153">
        <v>0.32349272800000001</v>
      </c>
      <c r="K21" s="153">
        <v>0.32349272800000001</v>
      </c>
      <c r="M21" s="170">
        <v>3</v>
      </c>
      <c r="N21" s="152">
        <v>2.8506743268903064E-2</v>
      </c>
      <c r="O21" s="152">
        <v>8.5906793935991016E-2</v>
      </c>
      <c r="P21" s="153"/>
      <c r="Q21" s="153"/>
      <c r="R21" s="153"/>
      <c r="S21" s="170">
        <v>3</v>
      </c>
      <c r="T21" s="152">
        <v>7.2372873112187652E-2</v>
      </c>
      <c r="U21" s="152">
        <v>3.9999999999999994E-2</v>
      </c>
      <c r="V21" s="152">
        <v>0.2989829848975013</v>
      </c>
      <c r="W21" s="152">
        <v>0.24622128168029522</v>
      </c>
      <c r="X21" s="153"/>
      <c r="Y21" s="17">
        <v>0</v>
      </c>
      <c r="Z21" s="17">
        <v>400</v>
      </c>
      <c r="AA21" s="153">
        <v>3.9999999999999994E-2</v>
      </c>
      <c r="AC21" s="17">
        <v>0</v>
      </c>
      <c r="AD21" s="17">
        <v>3400</v>
      </c>
      <c r="AE21" s="153">
        <v>0.2989829848975013</v>
      </c>
      <c r="AG21" s="17">
        <v>0</v>
      </c>
      <c r="AH21" s="17">
        <v>2800</v>
      </c>
      <c r="AI21" s="153">
        <v>0.24622128168029522</v>
      </c>
      <c r="AN21" s="110">
        <v>300</v>
      </c>
      <c r="AO21" s="173" cm="1">
        <f t="array" ref="AO21:AW21">Parameter!AD4:AL4*AN21</f>
        <v>300</v>
      </c>
      <c r="AP21" s="173">
        <v>600</v>
      </c>
      <c r="AQ21" s="173">
        <v>900</v>
      </c>
      <c r="AR21" s="173">
        <v>1200</v>
      </c>
      <c r="AS21" s="173">
        <v>1500</v>
      </c>
      <c r="AT21" s="173">
        <v>1800</v>
      </c>
      <c r="AU21" s="173">
        <v>2100</v>
      </c>
      <c r="AV21" s="173">
        <v>2400</v>
      </c>
      <c r="AW21" s="173">
        <v>2700</v>
      </c>
    </row>
    <row r="22" spans="2:49" x14ac:dyDescent="0.3">
      <c r="B22" s="156">
        <v>5</v>
      </c>
      <c r="C22" s="161">
        <v>1.9109985880519986E-2</v>
      </c>
      <c r="D22" s="157">
        <v>0.14271738</v>
      </c>
      <c r="E22" s="157">
        <v>0</v>
      </c>
      <c r="G22" s="17">
        <v>0</v>
      </c>
      <c r="H22" s="17">
        <v>1500</v>
      </c>
      <c r="I22" s="153">
        <v>0</v>
      </c>
      <c r="J22" s="153">
        <v>0.14271738</v>
      </c>
      <c r="K22" s="153">
        <v>0.14271738</v>
      </c>
      <c r="M22" s="170">
        <v>5</v>
      </c>
      <c r="N22" s="152">
        <v>1.9109985880519986E-2</v>
      </c>
      <c r="O22" s="152">
        <v>2.1897810218978103E-2</v>
      </c>
      <c r="P22" s="153"/>
      <c r="Q22" s="153"/>
      <c r="R22" s="153"/>
      <c r="S22" s="170">
        <v>5</v>
      </c>
      <c r="T22" s="152">
        <v>4.2738032255376909E-2</v>
      </c>
      <c r="U22" s="152">
        <v>0.03</v>
      </c>
      <c r="V22" s="152">
        <v>0.13190425804301528</v>
      </c>
      <c r="W22" s="152">
        <v>7.9142554825809175E-2</v>
      </c>
      <c r="X22" s="153"/>
      <c r="Y22" s="17">
        <v>0</v>
      </c>
      <c r="Z22" s="17">
        <v>300</v>
      </c>
      <c r="AA22" s="153">
        <v>0.03</v>
      </c>
      <c r="AC22" s="17">
        <v>0</v>
      </c>
      <c r="AD22" s="17">
        <v>1500</v>
      </c>
      <c r="AE22" s="153">
        <v>0.13190425804301528</v>
      </c>
      <c r="AG22" s="17">
        <v>0</v>
      </c>
      <c r="AH22" s="17">
        <v>900</v>
      </c>
      <c r="AI22" s="153">
        <v>7.9142554825809175E-2</v>
      </c>
      <c r="AN22" s="110"/>
      <c r="AO22" s="174">
        <v>1</v>
      </c>
      <c r="AP22" s="174">
        <v>1</v>
      </c>
      <c r="AQ22" s="174">
        <v>1.2</v>
      </c>
      <c r="AR22" s="174">
        <v>1.2</v>
      </c>
      <c r="AS22" s="174">
        <v>1.5</v>
      </c>
      <c r="AT22" s="174">
        <v>1.5</v>
      </c>
      <c r="AU22" s="174">
        <v>1.5</v>
      </c>
      <c r="AV22" s="174">
        <v>1.5</v>
      </c>
      <c r="AW22" s="174">
        <v>1.5</v>
      </c>
    </row>
    <row r="23" spans="2:49" x14ac:dyDescent="0.3">
      <c r="B23" s="156">
        <v>8</v>
      </c>
      <c r="C23" s="161">
        <v>1.8111884707142509E-2</v>
      </c>
      <c r="D23" s="157">
        <v>0.14271738</v>
      </c>
      <c r="E23" s="157">
        <v>0</v>
      </c>
      <c r="G23" s="17">
        <v>0</v>
      </c>
      <c r="H23" s="17">
        <v>1500</v>
      </c>
      <c r="I23" s="153">
        <v>0</v>
      </c>
      <c r="J23" s="153">
        <v>0.14271738</v>
      </c>
      <c r="K23" s="153">
        <v>0.14271738</v>
      </c>
      <c r="M23" s="170">
        <v>8</v>
      </c>
      <c r="N23" s="152">
        <v>1.8111884707142509E-2</v>
      </c>
      <c r="O23" s="152">
        <v>1.0668163952835485E-2</v>
      </c>
      <c r="P23" s="153"/>
      <c r="Q23" s="153"/>
      <c r="R23" s="153"/>
      <c r="S23" s="170">
        <v>8</v>
      </c>
      <c r="T23" s="152">
        <v>4.2738032255376909E-2</v>
      </c>
      <c r="U23" s="152">
        <v>0.03</v>
      </c>
      <c r="V23" s="152">
        <v>0.13190425804301528</v>
      </c>
      <c r="W23" s="152">
        <v>2.6380851608603057E-2</v>
      </c>
      <c r="X23" s="153"/>
      <c r="Y23" s="17">
        <v>0</v>
      </c>
      <c r="Z23" s="17">
        <v>300</v>
      </c>
      <c r="AA23" s="153">
        <v>0.03</v>
      </c>
      <c r="AC23" s="17">
        <v>0</v>
      </c>
      <c r="AD23" s="17">
        <v>1500</v>
      </c>
      <c r="AE23" s="153">
        <v>0.13190425804301528</v>
      </c>
      <c r="AG23" s="17">
        <v>0</v>
      </c>
      <c r="AH23" s="17">
        <v>300</v>
      </c>
      <c r="AI23" s="153">
        <v>2.6380851608603057E-2</v>
      </c>
      <c r="AN23" s="110"/>
      <c r="AO23" s="110" cm="1">
        <f t="array" ref="AO23:AW23">INT(AO21:AW21*AO22:AW22)</f>
        <v>300</v>
      </c>
      <c r="AP23" s="110">
        <v>600</v>
      </c>
      <c r="AQ23" s="110">
        <v>1080</v>
      </c>
      <c r="AR23" s="110">
        <v>1440</v>
      </c>
      <c r="AS23" s="110">
        <v>2250</v>
      </c>
      <c r="AT23" s="110">
        <v>2700</v>
      </c>
      <c r="AU23" s="110">
        <v>3150</v>
      </c>
      <c r="AV23" s="110">
        <v>3600</v>
      </c>
      <c r="AW23" s="110">
        <v>4050</v>
      </c>
    </row>
    <row r="24" spans="2:49" x14ac:dyDescent="0.3">
      <c r="B24" s="156">
        <v>10</v>
      </c>
      <c r="C24" s="161">
        <v>1.4849797945372219E-2</v>
      </c>
      <c r="D24" s="157">
        <v>1.3011614399999998E-2</v>
      </c>
      <c r="E24" s="157">
        <v>0</v>
      </c>
      <c r="G24" s="17">
        <v>2680</v>
      </c>
      <c r="H24" s="17">
        <v>0</v>
      </c>
      <c r="I24" s="153">
        <v>1.3011614399999998E-2</v>
      </c>
      <c r="J24" s="153">
        <v>0</v>
      </c>
      <c r="K24" s="153" cm="1">
        <f t="array" ref="K24:K31">I24:I31</f>
        <v>1.3011614399999998E-2</v>
      </c>
      <c r="M24" s="170">
        <v>10</v>
      </c>
      <c r="N24" s="152">
        <v>1.4849797945372219E-2</v>
      </c>
      <c r="O24" s="152">
        <v>1.0106681639528355E-2</v>
      </c>
      <c r="P24" s="153"/>
      <c r="Q24" s="153"/>
      <c r="R24" s="153"/>
      <c r="S24" s="170">
        <v>10</v>
      </c>
      <c r="T24" s="152">
        <v>4.0413823703932504E-3</v>
      </c>
      <c r="U24" s="152">
        <v>0</v>
      </c>
      <c r="V24" s="152">
        <v>3.2331058963146003E-2</v>
      </c>
      <c r="W24" s="152">
        <v>4.342978069676328E-2</v>
      </c>
      <c r="X24" s="153"/>
      <c r="Y24" s="17">
        <v>2680</v>
      </c>
      <c r="Z24" s="17">
        <v>0</v>
      </c>
      <c r="AA24" s="153">
        <v>0</v>
      </c>
      <c r="AC24" s="17">
        <v>2680</v>
      </c>
      <c r="AD24" s="17">
        <v>0</v>
      </c>
      <c r="AE24" s="153">
        <v>3.2331058963146003E-2</v>
      </c>
      <c r="AG24" s="17">
        <v>3600</v>
      </c>
      <c r="AH24" s="17">
        <v>0</v>
      </c>
      <c r="AI24" s="153">
        <v>4.342978069676328E-2</v>
      </c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</row>
    <row r="25" spans="2:49" x14ac:dyDescent="0.3">
      <c r="B25" s="156">
        <v>15</v>
      </c>
      <c r="C25" s="161">
        <v>8.7881591119333951E-3</v>
      </c>
      <c r="D25" s="157">
        <v>1.4565239999999997E-2</v>
      </c>
      <c r="E25" s="157">
        <v>0</v>
      </c>
      <c r="G25" s="17">
        <v>3000</v>
      </c>
      <c r="H25" s="17">
        <v>0</v>
      </c>
      <c r="I25" s="153">
        <v>1.4565239999999997E-2</v>
      </c>
      <c r="J25" s="153">
        <v>0</v>
      </c>
      <c r="K25" s="153">
        <v>1.4565239999999997E-2</v>
      </c>
      <c r="M25" s="170">
        <v>15</v>
      </c>
      <c r="N25" s="152">
        <v>8.7881591119333951E-3</v>
      </c>
      <c r="O25" s="152">
        <v>5.8955642897248733E-3</v>
      </c>
      <c r="P25" s="153"/>
      <c r="Q25" s="153"/>
      <c r="R25" s="153"/>
      <c r="S25" s="170">
        <v>15</v>
      </c>
      <c r="T25" s="152">
        <v>4.5239354892461746E-3</v>
      </c>
      <c r="U25" s="152">
        <v>0</v>
      </c>
      <c r="V25" s="152">
        <v>3.6191483913969397E-2</v>
      </c>
      <c r="W25" s="152">
        <v>3.0159569928307831E-2</v>
      </c>
      <c r="X25" s="153"/>
      <c r="Y25" s="17">
        <v>3000</v>
      </c>
      <c r="Z25" s="17">
        <v>0</v>
      </c>
      <c r="AA25" s="153">
        <v>0</v>
      </c>
      <c r="AC25" s="17">
        <v>3000</v>
      </c>
      <c r="AD25" s="17">
        <v>0</v>
      </c>
      <c r="AE25" s="153">
        <v>3.6191483913969397E-2</v>
      </c>
      <c r="AG25" s="17">
        <v>2500</v>
      </c>
      <c r="AH25" s="17">
        <v>0</v>
      </c>
      <c r="AI25" s="153">
        <v>3.0159569928307831E-2</v>
      </c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</row>
    <row r="26" spans="2:49" x14ac:dyDescent="0.3">
      <c r="B26" s="156">
        <v>20</v>
      </c>
      <c r="C26" s="161">
        <v>4.5523151078436146E-3</v>
      </c>
      <c r="D26" s="157">
        <v>9.7101599999999989E-3</v>
      </c>
      <c r="E26" s="157">
        <v>0</v>
      </c>
      <c r="G26" s="17">
        <v>2000</v>
      </c>
      <c r="H26" s="17">
        <v>0</v>
      </c>
      <c r="I26" s="153">
        <v>9.7101599999999989E-3</v>
      </c>
      <c r="J26" s="153">
        <v>0</v>
      </c>
      <c r="K26" s="153">
        <v>9.7101599999999989E-3</v>
      </c>
      <c r="M26" s="170">
        <v>20</v>
      </c>
      <c r="N26" s="152">
        <v>4.5523151078436146E-3</v>
      </c>
      <c r="O26" s="152">
        <v>2.807411566535654E-3</v>
      </c>
      <c r="P26" s="153"/>
      <c r="Q26" s="153"/>
      <c r="R26" s="153"/>
      <c r="S26" s="170">
        <v>20</v>
      </c>
      <c r="T26" s="152">
        <v>3.0159569928307835E-3</v>
      </c>
      <c r="U26" s="152">
        <v>0</v>
      </c>
      <c r="V26" s="152">
        <v>2.4127655942646268E-2</v>
      </c>
      <c r="W26" s="152">
        <v>1.8095741956984698E-2</v>
      </c>
      <c r="X26" s="153"/>
      <c r="Y26" s="17">
        <v>2000</v>
      </c>
      <c r="Z26" s="17">
        <v>0</v>
      </c>
      <c r="AA26" s="153">
        <v>0</v>
      </c>
      <c r="AC26" s="17">
        <v>2000</v>
      </c>
      <c r="AD26" s="17">
        <v>0</v>
      </c>
      <c r="AE26" s="153">
        <v>2.4127655942646268E-2</v>
      </c>
      <c r="AG26" s="17">
        <v>1500</v>
      </c>
      <c r="AH26" s="17">
        <v>0</v>
      </c>
      <c r="AI26" s="153">
        <v>1.8095741956984698E-2</v>
      </c>
      <c r="AN26" s="110">
        <v>350</v>
      </c>
      <c r="AO26" s="173" cm="1">
        <f t="array" ref="AO26:AW26">Parameter!AD4:AL4*AN26</f>
        <v>350</v>
      </c>
      <c r="AP26" s="173">
        <v>700</v>
      </c>
      <c r="AQ26" s="173">
        <v>1050</v>
      </c>
      <c r="AR26" s="173">
        <v>1400</v>
      </c>
      <c r="AS26" s="173">
        <v>1750</v>
      </c>
      <c r="AT26" s="173">
        <v>2100</v>
      </c>
      <c r="AU26" s="173">
        <v>2450</v>
      </c>
      <c r="AV26" s="173">
        <v>2800</v>
      </c>
      <c r="AW26" s="173">
        <v>3150</v>
      </c>
    </row>
    <row r="27" spans="2:49" x14ac:dyDescent="0.3">
      <c r="B27" s="156">
        <v>25</v>
      </c>
      <c r="C27" s="161">
        <v>1.3876040703052729E-3</v>
      </c>
      <c r="D27" s="157">
        <v>2.4275399999999997E-3</v>
      </c>
      <c r="E27" s="157">
        <v>0</v>
      </c>
      <c r="G27" s="17">
        <v>500</v>
      </c>
      <c r="H27" s="17">
        <v>0</v>
      </c>
      <c r="I27" s="153">
        <v>2.4275399999999997E-3</v>
      </c>
      <c r="J27" s="153">
        <v>0</v>
      </c>
      <c r="K27" s="153">
        <v>2.4275399999999997E-3</v>
      </c>
      <c r="M27" s="170">
        <v>25</v>
      </c>
      <c r="N27" s="152">
        <v>1.3876040703052729E-3</v>
      </c>
      <c r="O27" s="152">
        <v>5.6148231330713087E-4</v>
      </c>
      <c r="P27" s="153"/>
      <c r="Q27" s="153"/>
      <c r="R27" s="153"/>
      <c r="S27" s="170">
        <v>25</v>
      </c>
      <c r="T27" s="152">
        <v>7.5398924820769587E-4</v>
      </c>
      <c r="U27" s="152">
        <v>0</v>
      </c>
      <c r="V27" s="152">
        <v>6.031913985661567E-3</v>
      </c>
      <c r="W27" s="152">
        <v>3.0159569928307835E-3</v>
      </c>
      <c r="X27" s="153"/>
      <c r="Y27" s="17">
        <v>500</v>
      </c>
      <c r="Z27" s="17">
        <v>0</v>
      </c>
      <c r="AA27" s="153">
        <v>0</v>
      </c>
      <c r="AC27" s="17">
        <v>500</v>
      </c>
      <c r="AD27" s="17">
        <v>0</v>
      </c>
      <c r="AE27" s="153">
        <v>6.031913985661567E-3</v>
      </c>
      <c r="AG27" s="17">
        <v>250</v>
      </c>
      <c r="AH27" s="17">
        <v>0</v>
      </c>
      <c r="AI27" s="153">
        <v>3.0159569928307835E-3</v>
      </c>
      <c r="AN27" s="110"/>
      <c r="AO27" s="174">
        <v>0</v>
      </c>
      <c r="AP27" s="174">
        <v>0</v>
      </c>
      <c r="AQ27" s="174">
        <v>1</v>
      </c>
      <c r="AR27" s="174">
        <v>1</v>
      </c>
      <c r="AS27" s="174">
        <v>1</v>
      </c>
      <c r="AT27" s="174">
        <v>1</v>
      </c>
      <c r="AU27" s="174">
        <v>1.5</v>
      </c>
      <c r="AV27" s="174">
        <v>1.5</v>
      </c>
      <c r="AW27" s="174">
        <v>1.5</v>
      </c>
    </row>
    <row r="28" spans="2:49" x14ac:dyDescent="0.3">
      <c r="B28" s="156">
        <v>35</v>
      </c>
      <c r="C28" s="161">
        <v>1.9475144846389794E-4</v>
      </c>
      <c r="D28" s="157">
        <v>4.8550799999999995E-4</v>
      </c>
      <c r="E28" s="157">
        <v>0</v>
      </c>
      <c r="G28" s="17">
        <v>100</v>
      </c>
      <c r="H28" s="17">
        <v>0</v>
      </c>
      <c r="I28" s="153">
        <v>4.8550799999999995E-4</v>
      </c>
      <c r="J28" s="153">
        <v>0</v>
      </c>
      <c r="K28" s="153">
        <v>4.8550799999999995E-4</v>
      </c>
      <c r="M28" s="170">
        <v>35</v>
      </c>
      <c r="N28" s="152">
        <v>1.9475144846389794E-4</v>
      </c>
      <c r="O28" s="152">
        <v>5.6148231330713087E-4</v>
      </c>
      <c r="P28" s="153"/>
      <c r="Q28" s="153"/>
      <c r="R28" s="153"/>
      <c r="S28" s="170">
        <v>35</v>
      </c>
      <c r="T28" s="152">
        <v>1.5079784964153919E-4</v>
      </c>
      <c r="U28" s="152">
        <v>0</v>
      </c>
      <c r="V28" s="152">
        <v>1.2063827971323135E-3</v>
      </c>
      <c r="W28" s="152">
        <v>6.0319139856615674E-4</v>
      </c>
      <c r="X28" s="153"/>
      <c r="Y28" s="17">
        <v>100</v>
      </c>
      <c r="Z28" s="17">
        <v>0</v>
      </c>
      <c r="AA28" s="153">
        <v>0</v>
      </c>
      <c r="AC28" s="17">
        <v>100</v>
      </c>
      <c r="AD28" s="17">
        <v>0</v>
      </c>
      <c r="AE28" s="153">
        <v>1.2063827971323135E-3</v>
      </c>
      <c r="AG28" s="17">
        <v>50</v>
      </c>
      <c r="AH28" s="17">
        <v>0</v>
      </c>
      <c r="AI28" s="153">
        <v>6.0319139856615674E-4</v>
      </c>
      <c r="AN28" s="110"/>
      <c r="AO28" s="110" cm="1">
        <f t="array" ref="AO28:AW28">INT(_xlfn.ANCHORARRAY(AO26)*AO27:AW27)</f>
        <v>0</v>
      </c>
      <c r="AP28" s="110">
        <v>0</v>
      </c>
      <c r="AQ28" s="110">
        <v>1050</v>
      </c>
      <c r="AR28" s="110">
        <v>1400</v>
      </c>
      <c r="AS28" s="110">
        <v>1750</v>
      </c>
      <c r="AT28" s="110">
        <v>2100</v>
      </c>
      <c r="AU28" s="110">
        <v>3675</v>
      </c>
      <c r="AV28" s="110">
        <v>4200</v>
      </c>
      <c r="AW28" s="110">
        <v>4725</v>
      </c>
    </row>
    <row r="29" spans="2:49" x14ac:dyDescent="0.3">
      <c r="B29" s="156">
        <v>50</v>
      </c>
      <c r="C29" s="161">
        <v>2.4343931057987243E-5</v>
      </c>
      <c r="D29" s="157">
        <v>5.8260959999999985E-3</v>
      </c>
      <c r="E29" s="157">
        <v>0</v>
      </c>
      <c r="G29" s="17">
        <v>1200</v>
      </c>
      <c r="H29" s="17">
        <v>0</v>
      </c>
      <c r="I29" s="153">
        <v>5.8260959999999985E-3</v>
      </c>
      <c r="J29" s="153">
        <v>0</v>
      </c>
      <c r="K29" s="153">
        <v>5.8260959999999985E-3</v>
      </c>
      <c r="M29" s="170">
        <v>50</v>
      </c>
      <c r="N29" s="152">
        <v>2.4343931057987243E-5</v>
      </c>
      <c r="O29" s="152">
        <v>8.4222346996069624E-4</v>
      </c>
      <c r="P29" s="153"/>
      <c r="Q29" s="153"/>
      <c r="R29" s="153"/>
      <c r="S29" s="170">
        <v>50</v>
      </c>
      <c r="T29" s="152">
        <v>1.80957419569847E-3</v>
      </c>
      <c r="U29" s="152">
        <v>0</v>
      </c>
      <c r="V29" s="152">
        <v>1.447659356558776E-2</v>
      </c>
      <c r="W29" s="152">
        <v>1.2063827971323134E-2</v>
      </c>
      <c r="X29" s="153"/>
      <c r="Y29" s="17">
        <v>1200</v>
      </c>
      <c r="Z29" s="17">
        <v>0</v>
      </c>
      <c r="AA29" s="153">
        <v>0</v>
      </c>
      <c r="AC29" s="17">
        <v>1200</v>
      </c>
      <c r="AD29" s="17">
        <v>0</v>
      </c>
      <c r="AE29" s="153">
        <v>1.447659356558776E-2</v>
      </c>
      <c r="AG29" s="17">
        <v>1000</v>
      </c>
      <c r="AH29" s="17">
        <v>0</v>
      </c>
      <c r="AI29" s="153">
        <v>1.2063827971323134E-2</v>
      </c>
    </row>
    <row r="30" spans="2:49" x14ac:dyDescent="0.3">
      <c r="B30" s="156">
        <v>80</v>
      </c>
      <c r="C30" s="161">
        <v>4.8687862115974485E-5</v>
      </c>
      <c r="D30" s="157">
        <v>9.7101599999999978E-5</v>
      </c>
      <c r="E30" s="157">
        <v>0</v>
      </c>
      <c r="G30" s="17">
        <v>20</v>
      </c>
      <c r="H30" s="17">
        <v>0</v>
      </c>
      <c r="I30" s="153">
        <v>9.7101599999999978E-5</v>
      </c>
      <c r="J30" s="153">
        <v>0</v>
      </c>
      <c r="K30" s="153">
        <v>9.7101599999999978E-5</v>
      </c>
      <c r="M30" s="170">
        <v>80</v>
      </c>
      <c r="N30" s="152">
        <v>4.8687862115974485E-5</v>
      </c>
      <c r="O30" s="152">
        <v>8.4222346996069624E-4</v>
      </c>
      <c r="P30" s="153"/>
      <c r="Q30" s="153"/>
      <c r="R30" s="153"/>
      <c r="S30" s="170">
        <v>80</v>
      </c>
      <c r="T30" s="152">
        <v>3.0159569928307832E-5</v>
      </c>
      <c r="U30" s="152">
        <v>0</v>
      </c>
      <c r="V30" s="152">
        <v>2.4127655942646266E-4</v>
      </c>
      <c r="W30" s="152">
        <v>1.2063827971323135E-3</v>
      </c>
      <c r="X30" s="153"/>
      <c r="Y30" s="17">
        <v>20</v>
      </c>
      <c r="Z30" s="17">
        <v>0</v>
      </c>
      <c r="AA30" s="153">
        <v>0</v>
      </c>
      <c r="AC30" s="17">
        <v>20</v>
      </c>
      <c r="AD30" s="17">
        <v>0</v>
      </c>
      <c r="AE30" s="153">
        <v>2.4127655942646266E-4</v>
      </c>
      <c r="AG30" s="17">
        <v>100</v>
      </c>
      <c r="AH30" s="17">
        <v>0</v>
      </c>
      <c r="AI30" s="153">
        <v>1.2063827971323135E-3</v>
      </c>
    </row>
    <row r="31" spans="2:49" x14ac:dyDescent="0.3">
      <c r="B31" s="156">
        <v>100</v>
      </c>
      <c r="C31" s="161">
        <v>0</v>
      </c>
      <c r="D31" s="157">
        <v>2.4275399999999997E-3</v>
      </c>
      <c r="E31" s="157">
        <v>0</v>
      </c>
      <c r="G31" s="17">
        <v>500</v>
      </c>
      <c r="H31" s="17">
        <v>0</v>
      </c>
      <c r="I31" s="153">
        <v>2.4275399999999997E-3</v>
      </c>
      <c r="J31" s="153">
        <v>0</v>
      </c>
      <c r="K31" s="153">
        <v>2.4275399999999997E-3</v>
      </c>
      <c r="M31" s="170">
        <v>100</v>
      </c>
      <c r="N31" s="152">
        <v>0</v>
      </c>
      <c r="O31" s="152">
        <v>2.8074115665356543E-4</v>
      </c>
      <c r="P31" s="153"/>
      <c r="Q31" s="153"/>
      <c r="R31" s="153"/>
      <c r="S31" s="170">
        <v>100</v>
      </c>
      <c r="T31" s="152">
        <v>7.5398924820769587E-4</v>
      </c>
      <c r="U31" s="152">
        <v>0</v>
      </c>
      <c r="V31" s="152">
        <v>6.031913985661567E-3</v>
      </c>
      <c r="W31" s="152">
        <v>1.2063827971323134E-2</v>
      </c>
      <c r="X31" s="153"/>
      <c r="Y31" s="17">
        <v>500</v>
      </c>
      <c r="Z31" s="17">
        <v>0</v>
      </c>
      <c r="AA31" s="153">
        <v>0</v>
      </c>
      <c r="AC31" s="17">
        <v>500</v>
      </c>
      <c r="AD31" s="17">
        <v>0</v>
      </c>
      <c r="AE31" s="153">
        <v>6.031913985661567E-3</v>
      </c>
      <c r="AG31" s="17">
        <v>1000</v>
      </c>
      <c r="AH31" s="17">
        <v>0</v>
      </c>
      <c r="AI31" s="153">
        <v>1.2063827971323134E-2</v>
      </c>
    </row>
    <row r="32" spans="2:49" x14ac:dyDescent="0.3">
      <c r="C32" s="17">
        <f>SUMPRODUCT(C19:C31,B19:B31)</f>
        <v>0.81333073664735367</v>
      </c>
      <c r="D32" s="17">
        <f>SUMPRODUCT(D19:D31,B19:B31)</f>
        <v>4.6731537000000003</v>
      </c>
      <c r="M32" s="170" t="s">
        <v>212</v>
      </c>
      <c r="N32" s="167">
        <f>SUMPRODUCT($M$19:$M$31, N19:N31)</f>
        <v>0.81333073664735367</v>
      </c>
      <c r="O32" s="167">
        <f>SUMPRODUCT($M$19:$M$31, O19:O31)</f>
        <v>1.301796743402583</v>
      </c>
      <c r="S32" s="170" t="s">
        <v>212</v>
      </c>
      <c r="T32" s="167"/>
      <c r="U32" s="167">
        <f>SUMPRODUCT($M$20:$M$31, U20:U31)</f>
        <v>0.61</v>
      </c>
      <c r="V32" s="167">
        <f>SUMPRODUCT($M$20:$M$31, V20:V31)</f>
        <v>6.1329251641929341</v>
      </c>
      <c r="W32" s="167">
        <f>SUMPRODUCT($M$19:$M$31, W19:W31)</f>
        <v>5.6518591346544627</v>
      </c>
    </row>
    <row r="33" spans="3:29" x14ac:dyDescent="0.3">
      <c r="U33" s="17">
        <f>Parameter!J5/SUM(Parameter!J5:J6)</f>
        <v>0.875</v>
      </c>
      <c r="V33" s="17">
        <f>Parameter!J6/SUM(Parameter!J5:J6)</f>
        <v>0.125</v>
      </c>
    </row>
    <row r="34" spans="3:29" x14ac:dyDescent="0.3">
      <c r="C34" s="17">
        <f>1/SUM(C24:C31)</f>
        <v>33.50570962479609</v>
      </c>
      <c r="D34" s="17">
        <f>1/SUM(D24:D31)</f>
        <v>20.596982953936909</v>
      </c>
    </row>
    <row r="37" spans="3:29" x14ac:dyDescent="0.3">
      <c r="Q37" s="17" cm="1">
        <f t="array" ref="Q37:AC37">TRANSPOSE(M19:M31)</f>
        <v>0</v>
      </c>
      <c r="R37" s="17">
        <v>2</v>
      </c>
      <c r="S37" s="17">
        <v>3</v>
      </c>
      <c r="T37" s="17">
        <v>5</v>
      </c>
      <c r="U37" s="17">
        <v>8</v>
      </c>
      <c r="V37" s="17">
        <v>10</v>
      </c>
      <c r="W37" s="17">
        <v>15</v>
      </c>
      <c r="X37" s="17">
        <v>20</v>
      </c>
      <c r="Y37" s="17">
        <v>25</v>
      </c>
      <c r="Z37" s="17">
        <v>35</v>
      </c>
      <c r="AA37" s="17">
        <v>50</v>
      </c>
      <c r="AB37" s="17">
        <v>80</v>
      </c>
      <c r="AC37" s="17">
        <v>100</v>
      </c>
    </row>
    <row r="38" spans="3:29" x14ac:dyDescent="0.3">
      <c r="Q38" s="17" cm="1">
        <f t="array" ref="Q38:AC38">TRANSPOSE(Q19:Q31)</f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</row>
    <row r="39" spans="3:29" x14ac:dyDescent="0.3">
      <c r="V39" s="17">
        <v>5000</v>
      </c>
      <c r="W39" s="17">
        <v>3000</v>
      </c>
      <c r="X39" s="17">
        <v>1500</v>
      </c>
      <c r="Y39" s="17">
        <v>500</v>
      </c>
      <c r="Z39" s="17">
        <v>65</v>
      </c>
      <c r="AA39" s="17">
        <v>30</v>
      </c>
      <c r="AB39" s="17">
        <v>30</v>
      </c>
      <c r="AC39" s="17">
        <v>30</v>
      </c>
    </row>
    <row r="42" spans="3:29" x14ac:dyDescent="0.3">
      <c r="Q42" s="17" cm="1">
        <f t="array" ref="Q42:AC42">TRANSPOSE(Q19:Q31)</f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</row>
    <row r="67" spans="2:8" x14ac:dyDescent="0.3">
      <c r="B67" s="17" t="s">
        <v>149</v>
      </c>
    </row>
    <row r="68" spans="2:8" x14ac:dyDescent="0.3">
      <c r="B68" s="130" t="s">
        <v>71</v>
      </c>
      <c r="C68" s="130" t="s">
        <v>147</v>
      </c>
      <c r="D68" s="130" t="s">
        <v>146</v>
      </c>
      <c r="E68" s="163"/>
    </row>
    <row r="69" spans="2:8" x14ac:dyDescent="0.3">
      <c r="B69" s="120">
        <v>0</v>
      </c>
      <c r="C69" s="152">
        <v>5.6827150749802685E-2</v>
      </c>
      <c r="D69" s="152">
        <v>0</v>
      </c>
      <c r="E69" s="165"/>
      <c r="H69" s="17">
        <v>0</v>
      </c>
    </row>
    <row r="70" spans="2:8" x14ac:dyDescent="0.3">
      <c r="B70" s="120">
        <v>1</v>
      </c>
      <c r="C70" s="152">
        <v>0.14601420678768745</v>
      </c>
      <c r="D70" s="152">
        <v>0</v>
      </c>
      <c r="E70" s="165"/>
      <c r="H70" s="17" cm="1">
        <f t="array" ref="H70:H78">TRANSPOSE(Parameter!AD8:AL8)</f>
        <v>0</v>
      </c>
    </row>
    <row r="71" spans="2:8" x14ac:dyDescent="0.3">
      <c r="B71" s="120">
        <v>2</v>
      </c>
      <c r="C71" s="152">
        <v>0.23993685872138912</v>
      </c>
      <c r="D71" s="152">
        <v>1.18E-2</v>
      </c>
      <c r="E71" s="165"/>
      <c r="H71" s="17">
        <v>0</v>
      </c>
    </row>
    <row r="72" spans="2:8" x14ac:dyDescent="0.3">
      <c r="B72" s="120">
        <v>3</v>
      </c>
      <c r="C72" s="152">
        <v>0.24072612470402527</v>
      </c>
      <c r="D72" s="152">
        <v>0.23769999999999999</v>
      </c>
      <c r="E72" s="165"/>
      <c r="H72" s="17">
        <v>525</v>
      </c>
    </row>
    <row r="73" spans="2:8" x14ac:dyDescent="0.3">
      <c r="B73" s="120">
        <v>4</v>
      </c>
      <c r="C73" s="152">
        <v>0.17363851617995266</v>
      </c>
      <c r="D73" s="152">
        <v>0.39269999999999999</v>
      </c>
      <c r="E73" s="165"/>
      <c r="H73" s="17">
        <v>700</v>
      </c>
    </row>
    <row r="74" spans="2:8" x14ac:dyDescent="0.3">
      <c r="B74" s="120">
        <v>5</v>
      </c>
      <c r="C74" s="152">
        <v>0.10023677979479084</v>
      </c>
      <c r="D74" s="152">
        <v>0.25750000000000001</v>
      </c>
      <c r="E74" s="165"/>
      <c r="H74" s="17">
        <v>1750</v>
      </c>
    </row>
    <row r="75" spans="2:8" x14ac:dyDescent="0.3">
      <c r="B75" s="120">
        <v>6</v>
      </c>
      <c r="C75" s="152">
        <v>3.1570639305445937E-2</v>
      </c>
      <c r="D75" s="152">
        <v>8.2699999999999996E-2</v>
      </c>
      <c r="E75" s="165"/>
      <c r="H75" s="17">
        <v>2100</v>
      </c>
    </row>
    <row r="76" spans="2:8" x14ac:dyDescent="0.3">
      <c r="B76" s="120">
        <v>7</v>
      </c>
      <c r="C76" s="152">
        <v>1.0260457774269928E-2</v>
      </c>
      <c r="D76" s="152">
        <v>1.5800000000000002E-2</v>
      </c>
      <c r="E76" s="165"/>
      <c r="H76" s="17">
        <v>3675</v>
      </c>
    </row>
    <row r="77" spans="2:8" x14ac:dyDescent="0.3">
      <c r="B77" s="120">
        <v>8</v>
      </c>
      <c r="C77" s="152">
        <v>7.8926598263614838E-4</v>
      </c>
      <c r="D77" s="152">
        <v>1.6999999999999999E-3</v>
      </c>
      <c r="E77" s="165"/>
      <c r="H77" s="17">
        <v>4200</v>
      </c>
    </row>
    <row r="78" spans="2:8" x14ac:dyDescent="0.3">
      <c r="B78" s="120">
        <v>9</v>
      </c>
      <c r="C78" s="152">
        <v>0</v>
      </c>
      <c r="D78" s="152">
        <v>1E-4</v>
      </c>
      <c r="E78" s="165"/>
      <c r="H78" s="17">
        <v>4725</v>
      </c>
    </row>
    <row r="81" spans="2:12" x14ac:dyDescent="0.3">
      <c r="B81" s="17" t="s">
        <v>209</v>
      </c>
      <c r="I81" s="17" t="e">
        <f>1/I82</f>
        <v>#REF!</v>
      </c>
    </row>
    <row r="82" spans="2:12" x14ac:dyDescent="0.3">
      <c r="B82" s="130"/>
      <c r="C82" s="130" t="s">
        <v>147</v>
      </c>
      <c r="D82" s="130" t="s">
        <v>146</v>
      </c>
      <c r="E82" s="163"/>
      <c r="I82" s="153" t="e">
        <f>SUMPRODUCT(#REF!,D69:D78)</f>
        <v>#REF!</v>
      </c>
    </row>
    <row r="83" spans="2:12" x14ac:dyDescent="0.3">
      <c r="B83" s="154">
        <v>0</v>
      </c>
      <c r="C83" s="155">
        <v>0.64345873104997198</v>
      </c>
      <c r="D83" s="155" t="e" cm="1">
        <f t="array" ref="D83:D95">J83:J95</f>
        <v>#REF!</v>
      </c>
      <c r="E83" s="164"/>
      <c r="G83" s="17" cm="1">
        <f t="array" ref="G83:G95">TRANSPOSE(Parameter!O19:AA19)</f>
        <v>0</v>
      </c>
      <c r="H83" s="17" cm="1">
        <f t="array" ref="H83:H95">TRANSPOSE(Parameter!O8:AA8)</f>
        <v>0</v>
      </c>
      <c r="I83" s="153" t="e" cm="1">
        <f t="array" ref="I83:I95">_xlfn.ANCHORARRAY(H83)/SUM(_xlfn.ANCHORARRAY(H83))*I82</f>
        <v>#REF!</v>
      </c>
      <c r="J83" s="153" t="e" cm="1">
        <f t="array" ref="J83">#REF!</f>
        <v>#REF!</v>
      </c>
      <c r="K83" s="153"/>
      <c r="L83" s="158"/>
    </row>
    <row r="84" spans="2:12" x14ac:dyDescent="0.3">
      <c r="B84" s="156">
        <v>2</v>
      </c>
      <c r="C84" s="157">
        <v>0.21617069062324537</v>
      </c>
      <c r="D84" s="157">
        <v>0</v>
      </c>
      <c r="E84" s="164"/>
      <c r="G84" s="17">
        <v>6000</v>
      </c>
      <c r="H84" s="17">
        <v>0</v>
      </c>
      <c r="I84" s="153" t="e">
        <v>#REF!</v>
      </c>
      <c r="J84" s="153"/>
      <c r="K84" s="153"/>
      <c r="L84" s="153"/>
    </row>
    <row r="85" spans="2:12" x14ac:dyDescent="0.3">
      <c r="B85" s="156">
        <v>3</v>
      </c>
      <c r="C85" s="157">
        <v>8.5906793935991016E-2</v>
      </c>
      <c r="D85" s="157">
        <v>0</v>
      </c>
      <c r="E85" s="164"/>
      <c r="G85" s="17">
        <v>2800</v>
      </c>
      <c r="H85" s="17">
        <v>0</v>
      </c>
      <c r="I85" s="153" t="e">
        <v>#REF!</v>
      </c>
      <c r="J85" s="153"/>
      <c r="K85" s="153"/>
      <c r="L85" s="153"/>
    </row>
    <row r="86" spans="2:12" x14ac:dyDescent="0.3">
      <c r="B86" s="156">
        <v>5</v>
      </c>
      <c r="C86" s="157">
        <v>2.1897810218978103E-2</v>
      </c>
      <c r="D86" s="157">
        <v>0</v>
      </c>
      <c r="E86" s="164"/>
      <c r="G86" s="17">
        <v>900</v>
      </c>
      <c r="H86" s="17">
        <v>0</v>
      </c>
      <c r="I86" s="153" t="e">
        <v>#REF!</v>
      </c>
      <c r="J86" s="153"/>
      <c r="K86" s="153"/>
      <c r="L86" s="153"/>
    </row>
    <row r="87" spans="2:12" x14ac:dyDescent="0.3">
      <c r="B87" s="156">
        <v>8</v>
      </c>
      <c r="C87" s="157">
        <v>1.0668163952835485E-2</v>
      </c>
      <c r="D87" s="157">
        <v>0</v>
      </c>
      <c r="E87" s="164"/>
      <c r="G87" s="17">
        <v>300</v>
      </c>
      <c r="H87" s="17">
        <v>0</v>
      </c>
      <c r="I87" s="153" t="e">
        <v>#REF!</v>
      </c>
      <c r="J87" s="153"/>
      <c r="K87" s="153"/>
      <c r="L87" s="153"/>
    </row>
    <row r="88" spans="2:12" x14ac:dyDescent="0.3">
      <c r="B88" s="156">
        <v>10</v>
      </c>
      <c r="C88" s="157">
        <v>1.0106681639528355E-2</v>
      </c>
      <c r="D88" s="157" t="e">
        <v>#REF!</v>
      </c>
      <c r="E88" s="164"/>
      <c r="G88" s="17">
        <v>0</v>
      </c>
      <c r="H88" s="17">
        <v>3600</v>
      </c>
      <c r="I88" s="153" t="e">
        <v>#REF!</v>
      </c>
      <c r="J88" s="153" t="e" cm="1">
        <f t="array" ref="J88:J95">I88:I95</f>
        <v>#REF!</v>
      </c>
      <c r="K88" s="153"/>
      <c r="L88" s="153"/>
    </row>
    <row r="89" spans="2:12" x14ac:dyDescent="0.3">
      <c r="B89" s="156">
        <v>15</v>
      </c>
      <c r="C89" s="157">
        <v>5.8955642897248733E-3</v>
      </c>
      <c r="D89" s="157" t="e">
        <v>#REF!</v>
      </c>
      <c r="E89" s="164"/>
      <c r="G89" s="17">
        <v>0</v>
      </c>
      <c r="H89" s="17">
        <v>2500</v>
      </c>
      <c r="I89" s="153" t="e">
        <v>#REF!</v>
      </c>
      <c r="J89" s="153" t="e">
        <v>#REF!</v>
      </c>
      <c r="K89" s="153"/>
      <c r="L89" s="153"/>
    </row>
    <row r="90" spans="2:12" x14ac:dyDescent="0.3">
      <c r="B90" s="156">
        <v>20</v>
      </c>
      <c r="C90" s="157">
        <v>2.807411566535654E-3</v>
      </c>
      <c r="D90" s="157" t="e">
        <v>#REF!</v>
      </c>
      <c r="E90" s="164"/>
      <c r="G90" s="17">
        <v>0</v>
      </c>
      <c r="H90" s="17">
        <v>1500</v>
      </c>
      <c r="I90" s="153" t="e">
        <v>#REF!</v>
      </c>
      <c r="J90" s="153" t="e">
        <v>#REF!</v>
      </c>
      <c r="K90" s="153"/>
      <c r="L90" s="153"/>
    </row>
    <row r="91" spans="2:12" x14ac:dyDescent="0.3">
      <c r="B91" s="156">
        <v>25</v>
      </c>
      <c r="C91" s="157">
        <v>5.6148231330713087E-4</v>
      </c>
      <c r="D91" s="157" t="e">
        <v>#REF!</v>
      </c>
      <c r="E91" s="164"/>
      <c r="G91" s="17">
        <v>0</v>
      </c>
      <c r="H91" s="17">
        <v>250</v>
      </c>
      <c r="I91" s="153" t="e">
        <v>#REF!</v>
      </c>
      <c r="J91" s="153" t="e">
        <v>#REF!</v>
      </c>
      <c r="K91" s="153"/>
      <c r="L91" s="153"/>
    </row>
    <row r="92" spans="2:12" x14ac:dyDescent="0.3">
      <c r="B92" s="156">
        <v>35</v>
      </c>
      <c r="C92" s="157">
        <v>5.6148231330713087E-4</v>
      </c>
      <c r="D92" s="157" t="e">
        <v>#REF!</v>
      </c>
      <c r="E92" s="164"/>
      <c r="G92" s="17">
        <v>0</v>
      </c>
      <c r="H92" s="17">
        <v>50</v>
      </c>
      <c r="I92" s="153" t="e">
        <v>#REF!</v>
      </c>
      <c r="J92" s="153" t="e">
        <v>#REF!</v>
      </c>
      <c r="K92" s="153"/>
      <c r="L92" s="153"/>
    </row>
    <row r="93" spans="2:12" x14ac:dyDescent="0.3">
      <c r="B93" s="156">
        <v>50</v>
      </c>
      <c r="C93" s="157">
        <v>8.4222346996069624E-4</v>
      </c>
      <c r="D93" s="157" t="e">
        <v>#REF!</v>
      </c>
      <c r="E93" s="164"/>
      <c r="G93" s="17">
        <v>0</v>
      </c>
      <c r="H93" s="17">
        <v>1000</v>
      </c>
      <c r="I93" s="153" t="e">
        <v>#REF!</v>
      </c>
      <c r="J93" s="153" t="e">
        <v>#REF!</v>
      </c>
      <c r="K93" s="153"/>
      <c r="L93" s="153"/>
    </row>
    <row r="94" spans="2:12" x14ac:dyDescent="0.3">
      <c r="B94" s="156">
        <v>80</v>
      </c>
      <c r="C94" s="157">
        <v>8.4222346996069624E-4</v>
      </c>
      <c r="D94" s="157" t="e">
        <v>#REF!</v>
      </c>
      <c r="E94" s="164"/>
      <c r="G94" s="17">
        <v>0</v>
      </c>
      <c r="H94" s="17">
        <v>100</v>
      </c>
      <c r="I94" s="153" t="e">
        <v>#REF!</v>
      </c>
      <c r="J94" s="153" t="e">
        <v>#REF!</v>
      </c>
      <c r="K94" s="153"/>
      <c r="L94" s="153"/>
    </row>
    <row r="95" spans="2:12" x14ac:dyDescent="0.3">
      <c r="B95" s="156">
        <v>100</v>
      </c>
      <c r="C95" s="157">
        <v>2.8074115665356543E-4</v>
      </c>
      <c r="D95" s="157" t="e">
        <v>#REF!</v>
      </c>
      <c r="E95" s="164"/>
      <c r="G95" s="17">
        <v>0</v>
      </c>
      <c r="H95" s="17">
        <v>1000</v>
      </c>
      <c r="I95" s="153" t="e">
        <v>#REF!</v>
      </c>
      <c r="J95" s="153" t="e">
        <v>#REF!</v>
      </c>
      <c r="K95" s="153"/>
      <c r="L95" s="153"/>
    </row>
    <row r="96" spans="2:12" x14ac:dyDescent="0.3">
      <c r="C96" s="17">
        <f>SUMPRODUCT(C83:C95,B83:B95)</f>
        <v>1.301796743402583</v>
      </c>
      <c r="D96" s="17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2026-06-22T06:40:52Z</dcterms:modified>
</cp:coreProperties>
</file>