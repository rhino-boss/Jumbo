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440DD357-A389-466E-A1AA-C9E3F44C775F}" xr6:coauthVersionLast="47" xr6:coauthVersionMax="47" xr10:uidLastSave="{00000000-0000-0000-0000-000000000000}"/>
  <bookViews>
    <workbookView xWindow="-108" yWindow="-108" windowWidth="23256" windowHeight="12456" tabRatio="856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state="hidden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G27" i="72" l="1"/>
  <c r="F27" i="72"/>
  <c r="E27" i="72"/>
  <c r="D27" i="72"/>
  <c r="C27" i="72"/>
  <c r="G26" i="72"/>
  <c r="F26" i="72"/>
  <c r="E26" i="72"/>
  <c r="D26" i="72"/>
  <c r="C26" i="72"/>
  <c r="G27" i="71"/>
  <c r="F27" i="71"/>
  <c r="D27" i="71"/>
  <c r="C27" i="71"/>
  <c r="G26" i="71"/>
  <c r="F26" i="71"/>
  <c r="D26" i="71"/>
  <c r="C26" i="71"/>
  <c r="G27" i="70"/>
  <c r="F27" i="70"/>
  <c r="D27" i="70"/>
  <c r="C27" i="70"/>
  <c r="G26" i="70"/>
  <c r="F26" i="70"/>
  <c r="D26" i="70"/>
  <c r="C26" i="70"/>
  <c r="G27" i="69"/>
  <c r="F27" i="69"/>
  <c r="D27" i="69"/>
  <c r="C27" i="69"/>
  <c r="G26" i="69"/>
  <c r="F26" i="69"/>
  <c r="D26" i="69"/>
  <c r="C26" i="69"/>
  <c r="G27" i="74"/>
  <c r="F27" i="74"/>
  <c r="E27" i="74"/>
  <c r="D27" i="74"/>
  <c r="C27" i="74"/>
  <c r="G26" i="74"/>
  <c r="F26" i="74"/>
  <c r="E26" i="74"/>
  <c r="D26" i="74"/>
  <c r="C26" i="74"/>
  <c r="G27" i="68"/>
  <c r="F27" i="68"/>
  <c r="E27" i="68"/>
  <c r="D27" i="68"/>
  <c r="C27" i="68"/>
  <c r="G26" i="68"/>
  <c r="F26" i="68"/>
  <c r="E26" i="68"/>
  <c r="D26" i="68"/>
  <c r="C26" i="68"/>
  <c r="G26" i="13"/>
  <c r="F26" i="13"/>
  <c r="E26" i="13"/>
  <c r="D26" i="13"/>
  <c r="C26" i="13"/>
  <c r="G27" i="13"/>
  <c r="F27" i="13"/>
  <c r="E27" i="13"/>
  <c r="D27" i="13"/>
  <c r="C27" i="13"/>
  <c r="AO74" i="13" l="1"/>
  <c r="AN74" i="13"/>
  <c r="AM74" i="13"/>
  <c r="AL74" i="13"/>
  <c r="AK74" i="13"/>
  <c r="AO50" i="13"/>
  <c r="AN50" i="13"/>
  <c r="AM50" i="13"/>
  <c r="AL50" i="13"/>
  <c r="AK50" i="13"/>
  <c r="AO26" i="13"/>
  <c r="AN26" i="13"/>
  <c r="AM26" i="13"/>
  <c r="AL26" i="13"/>
  <c r="AK26" i="13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E6" i="74" l="1"/>
  <c r="F9" i="74"/>
  <c r="F13" i="74"/>
  <c r="F17" i="74"/>
  <c r="F21" i="74"/>
  <c r="A4" i="74"/>
  <c r="Q4" i="74" s="1" a="1"/>
  <c r="Q4" i="74" s="1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C24" i="74" l="1"/>
  <c r="C20" i="72" l="1"/>
  <c r="G19" i="72"/>
  <c r="F19" i="72"/>
  <c r="E19" i="72"/>
  <c r="D19" i="72"/>
  <c r="C19" i="72"/>
  <c r="G18" i="72"/>
  <c r="G14" i="72"/>
  <c r="F14" i="72"/>
  <c r="E14" i="72"/>
  <c r="D14" i="72"/>
  <c r="C14" i="72"/>
  <c r="G12" i="72"/>
  <c r="F12" i="72"/>
  <c r="D9" i="72"/>
  <c r="E8" i="72"/>
  <c r="D8" i="72"/>
  <c r="C8" i="72"/>
  <c r="G7" i="72"/>
  <c r="F7" i="72"/>
  <c r="E7" i="72"/>
  <c r="J4" i="72" a="1"/>
  <c r="J4" i="72" s="1"/>
  <c r="H4" i="72" a="1"/>
  <c r="H4" i="72" s="1"/>
  <c r="A4" i="72" a="1"/>
  <c r="F21" i="72" s="1"/>
  <c r="D20" i="71"/>
  <c r="C20" i="71"/>
  <c r="G19" i="71"/>
  <c r="F19" i="71"/>
  <c r="E19" i="71"/>
  <c r="D15" i="71"/>
  <c r="C15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H4" i="70" a="1"/>
  <c r="H4" i="70" s="1"/>
  <c r="A4" i="70" a="1"/>
  <c r="F21" i="70" s="1"/>
  <c r="H4" i="69" a="1"/>
  <c r="H4" i="69" s="1"/>
  <c r="A4" i="69" a="1"/>
  <c r="F21" i="69" s="1"/>
  <c r="H4" i="68" a="1"/>
  <c r="H4" i="68" s="1"/>
  <c r="A4" i="68" a="1"/>
  <c r="D22" i="68" s="1"/>
  <c r="E9" i="69" l="1"/>
  <c r="D15" i="69"/>
  <c r="D20" i="69"/>
  <c r="A4" i="69"/>
  <c r="G9" i="69"/>
  <c r="E15" i="69"/>
  <c r="E20" i="69"/>
  <c r="E11" i="68"/>
  <c r="F6" i="69"/>
  <c r="F11" i="69"/>
  <c r="F16" i="69"/>
  <c r="C22" i="69"/>
  <c r="D20" i="72"/>
  <c r="D11" i="68"/>
  <c r="F5" i="69"/>
  <c r="E11" i="69"/>
  <c r="E16" i="69"/>
  <c r="G21" i="69"/>
  <c r="E20" i="71"/>
  <c r="G9" i="72"/>
  <c r="C15" i="72"/>
  <c r="F11" i="68"/>
  <c r="G6" i="69"/>
  <c r="G11" i="69"/>
  <c r="G16" i="69"/>
  <c r="D22" i="69"/>
  <c r="D15" i="72"/>
  <c r="G11" i="68"/>
  <c r="C7" i="69"/>
  <c r="C12" i="69"/>
  <c r="D17" i="69"/>
  <c r="E22" i="69"/>
  <c r="D10" i="72"/>
  <c r="E15" i="72"/>
  <c r="G20" i="72"/>
  <c r="E14" i="68"/>
  <c r="D7" i="69"/>
  <c r="D12" i="69"/>
  <c r="E17" i="69"/>
  <c r="F22" i="69"/>
  <c r="C8" i="71"/>
  <c r="E10" i="72"/>
  <c r="F15" i="72"/>
  <c r="C21" i="72"/>
  <c r="C5" i="69"/>
  <c r="G10" i="69"/>
  <c r="G15" i="69"/>
  <c r="G20" i="69"/>
  <c r="C11" i="68"/>
  <c r="E5" i="69"/>
  <c r="D11" i="69"/>
  <c r="D16" i="69"/>
  <c r="E21" i="69"/>
  <c r="F20" i="72"/>
  <c r="E7" i="69"/>
  <c r="G17" i="69"/>
  <c r="D8" i="71"/>
  <c r="F10" i="72"/>
  <c r="D21" i="72"/>
  <c r="F7" i="69"/>
  <c r="F12" i="69"/>
  <c r="C18" i="69"/>
  <c r="F23" i="69"/>
  <c r="E8" i="71"/>
  <c r="D5" i="72"/>
  <c r="G10" i="72"/>
  <c r="G21" i="72"/>
  <c r="G7" i="69"/>
  <c r="C13" i="69"/>
  <c r="D18" i="69"/>
  <c r="G23" i="69"/>
  <c r="F8" i="71"/>
  <c r="E5" i="72"/>
  <c r="C11" i="72"/>
  <c r="E16" i="72"/>
  <c r="C22" i="72"/>
  <c r="E22" i="68"/>
  <c r="C8" i="69"/>
  <c r="D13" i="69"/>
  <c r="E18" i="69"/>
  <c r="E13" i="69"/>
  <c r="G10" i="68"/>
  <c r="D5" i="69"/>
  <c r="C11" i="69"/>
  <c r="C16" i="69"/>
  <c r="C21" i="69"/>
  <c r="G8" i="71"/>
  <c r="F5" i="72"/>
  <c r="D11" i="72"/>
  <c r="F16" i="72"/>
  <c r="G22" i="72"/>
  <c r="F22" i="68"/>
  <c r="D8" i="69"/>
  <c r="D19" i="69"/>
  <c r="C9" i="71"/>
  <c r="G16" i="72"/>
  <c r="G22" i="68"/>
  <c r="G13" i="69"/>
  <c r="E19" i="69"/>
  <c r="C13" i="71"/>
  <c r="G11" i="72"/>
  <c r="C17" i="72"/>
  <c r="C23" i="68"/>
  <c r="C14" i="69"/>
  <c r="D13" i="71"/>
  <c r="C12" i="72"/>
  <c r="E23" i="72"/>
  <c r="D23" i="68"/>
  <c r="C9" i="69"/>
  <c r="D14" i="69"/>
  <c r="G19" i="69"/>
  <c r="G8" i="70"/>
  <c r="F14" i="71"/>
  <c r="G6" i="72"/>
  <c r="D12" i="72"/>
  <c r="E18" i="72"/>
  <c r="F23" i="72"/>
  <c r="Q4" i="69" a="1"/>
  <c r="Q4" i="69" s="1"/>
  <c r="C10" i="69"/>
  <c r="F15" i="69"/>
  <c r="F20" i="69"/>
  <c r="C10" i="72"/>
  <c r="F14" i="68"/>
  <c r="E12" i="69"/>
  <c r="E23" i="69"/>
  <c r="C5" i="72"/>
  <c r="G15" i="72"/>
  <c r="F19" i="68"/>
  <c r="D16" i="72"/>
  <c r="G19" i="68"/>
  <c r="G5" i="72"/>
  <c r="E11" i="72"/>
  <c r="C23" i="72"/>
  <c r="E8" i="69"/>
  <c r="E8" i="70"/>
  <c r="C6" i="72"/>
  <c r="D23" i="72"/>
  <c r="G8" i="69"/>
  <c r="F19" i="69"/>
  <c r="F8" i="70"/>
  <c r="F6" i="72"/>
  <c r="D17" i="72"/>
  <c r="E23" i="68"/>
  <c r="D9" i="69"/>
  <c r="C15" i="69"/>
  <c r="C20" i="69"/>
  <c r="C13" i="70"/>
  <c r="G14" i="71"/>
  <c r="C7" i="72"/>
  <c r="E12" i="72"/>
  <c r="F18" i="72"/>
  <c r="G23" i="72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Q4" i="72" a="1"/>
  <c r="Q4" i="72" s="1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F4" i="69"/>
  <c r="G4" i="69"/>
  <c r="C4" i="69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F4" i="72" l="1"/>
  <c r="E4" i="72"/>
  <c r="E24" i="72" s="1"/>
  <c r="C4" i="72"/>
  <c r="C24" i="72" s="1"/>
  <c r="G24" i="70"/>
  <c r="G24" i="69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E27" i="69" s="1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C24" i="69"/>
  <c r="Q4" i="71" a="1"/>
  <c r="Q4" i="71" s="1"/>
  <c r="F24" i="72"/>
  <c r="G4" i="71"/>
  <c r="G24" i="71" s="1"/>
  <c r="E4" i="71"/>
  <c r="D4" i="71"/>
  <c r="D24" i="71" s="1"/>
  <c r="C4" i="71"/>
  <c r="C24" i="71" s="1"/>
  <c r="F4" i="71"/>
  <c r="F24" i="71" s="1"/>
  <c r="F24" i="70"/>
  <c r="F24" i="69"/>
  <c r="E4" i="68"/>
  <c r="E24" i="68" s="1"/>
  <c r="F4" i="68"/>
  <c r="F24" i="68" s="1"/>
  <c r="G4" i="68"/>
  <c r="G24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E24" i="71" l="1"/>
  <c r="E27" i="71" s="1"/>
  <c r="E24" i="70"/>
  <c r="E27" i="70" s="1"/>
  <c r="E26" i="69"/>
  <c r="C24" i="68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E26" i="71" l="1"/>
  <c r="E26" i="70"/>
  <c r="K15" i="67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J54" i="13" l="1" a="1"/>
  <c r="AJ54" i="13" s="1"/>
  <c r="AJ6" i="13" a="1"/>
  <c r="AJ6" i="13" s="1"/>
  <c r="AJ30" i="13" a="1"/>
  <c r="AJ30" i="13" s="1"/>
  <c r="AC30" i="13" a="1"/>
  <c r="AC30" i="13" s="1"/>
  <c r="AC54" i="13" a="1"/>
  <c r="AC54" i="13" s="1"/>
  <c r="AC6" i="13" a="1"/>
  <c r="AC6" i="13" s="1"/>
  <c r="E4" i="13"/>
  <c r="E24" i="13" s="1"/>
  <c r="Q4" i="13" a="1"/>
  <c r="Q4" i="13" s="1"/>
  <c r="D4" i="13"/>
  <c r="D24" i="13" s="1"/>
  <c r="F4" i="13"/>
  <c r="F24" i="13" s="1"/>
  <c r="C4" i="13"/>
  <c r="C24" i="13" s="1"/>
  <c r="B18" i="65" a="1"/>
  <c r="B18" i="65" s="1"/>
  <c r="G4" i="13"/>
  <c r="G24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<sst xmlns="http://schemas.openxmlformats.org/spreadsheetml/2006/main" count="7435" uniqueCount="222">
  <si>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</si>
  <si>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</si>
  <si>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</si>
  <si>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</si>
  <si>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</si>
  <si>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</si>
  <si>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</si>
  <si>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</si>
  <si>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</si>
  <si>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</si>
  <si>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</si>
  <si>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</si>
  <si>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</si>
  <si>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</si>
  <si>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</si>
  <si>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</si>
  <si>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</si>
  <si>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</si>
  <si>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</si>
  <si>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</si>
  <si>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</si>
  <si>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</si>
  <si>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</si>
  <si>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</si>
  <si>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</si>
  <si>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</si>
  <si>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</si>
  <si>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</si>
  <si>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</si>
  <si>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</si>
  <si>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</si>
  <si>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</si>
  <si>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</si>
  <si>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</si>
  <si>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</si>
  <si>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</si>
  <si>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</si>
  <si>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</si>
  <si>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</si>
  <si>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</si>
  <si>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</si>
  <si>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</si>
  <si>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</si>
  <si>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</si>
  <si>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</si>
  <si>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</si>
  <si>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</si>
  <si>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</si>
  <si>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</si>
  <si>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</si>
  <si>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</si>
  <si>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</si>
  <si>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</si>
  <si>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</si>
  <si>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</si>
  <si>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</si>
  <si>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</si>
  <si>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</si>
  <si>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</si>
  <si>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</si>
  <si>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</si>
  <si>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</si>
  <si>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</si>
  <si>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</si>
  <si>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</si>
  <si>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</si>
  <si>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</si>
  <si>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</si>
  <si>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</si>
  <si>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</si>
  <si>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</si>
  <si>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</si>
  <si>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</si>
  <si>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</si>
  <si>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</si>
  <si>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</si>
  <si>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</si>
  <si>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</si>
  <si>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</si>
  <si>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</si>
  <si>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</si>
  <si>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</si>
  <si>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</si>
  <si>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</si>
  <si>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</si>
  <si>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</si>
  <si>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</si>
  <si>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</si>
  <si>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</si>
  <si>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</si>
  <si>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</si>
  <si>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</si>
  <si>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</si>
  <si>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</si>
  <si>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</si>
  <si>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</si>
  <si>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</si>
  <si>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</si>
  <si>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</si>
  <si>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</si>
  <si>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</si>
  <si>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</si>
  <si>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</si>
  <si>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</si>
  <si>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</si>
  <si>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</si>
  <si>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</si>
  <si>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</si>
  <si>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</si>
  <si>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</si>
  <si>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</si>
  <si>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</si>
  <si>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</si>
  <si>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</si>
  <si>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</si>
  <si>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</si>
  <si>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</si>
  <si>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</si>
  <si>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</si>
  <si>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</si>
  <si>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</si>
  <si>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</si>
  <si>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</si>
  <si>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</si>
  <si>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</si>
  <si>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</si>
  <si>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</si>
  <si>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</si>
  <si>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</si>
  <si>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</si>
  <si>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</si>
  <si>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</si>
  <si>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</si>
  <si>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</si>
  <si>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</si>
  <si>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</si>
  <si>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</si>
  <si>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</si>
  <si>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</si>
  <si>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</si>
  <si>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</si>
  <si>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</si>
  <si>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</si>
  <si>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</si>
  <si>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</si>
  <si>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</si>
  <si>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</si>
  <si>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</si>
  <si>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</si>
  <si>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</si>
  <si>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</si>
  <si>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</si>
  <si>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</si>
  <si>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</si>
  <si>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</si>
  <si>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</si>
  <si>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</si>
  <si>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</si>
  <si>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</si>
  <si>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</si>
  <si>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</si>
  <si>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</si>
  <si>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</si>
  <si>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</si>
  <si>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</si>
  <si>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</si>
  <si>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</si>
  <si>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</si>
  <si>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</si>
  <si>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</si>
  <si>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</si>
  <si>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</si>
  <si>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</si>
  <si>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</si>
  <si>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</si>
  <si>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</si>
  <si>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</si>
  <si>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</si>
  <si>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</si>
  <si>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</si>
  <si>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</si>
  <si>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</si>
  <si>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</si>
  <si>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</si>
  <si>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</si>
  <si>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</si>
  <si>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</si>
  <si>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</si>
  <si>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</si>
  <si>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</si>
  <si>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</si>
  <si>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</si>
  <si>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</si>
  <si>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</si>
  <si>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</si>
  <si>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</si>
  <si>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</si>
  <si>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</si>
  <si>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</si>
  <si>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</si>
  <si>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</si>
  <si>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</si>
  <si>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</si>
  <si>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</si>
  <si>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</si>
  <si>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</si>
  <si>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</si>
  <si>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</si>
  <si>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</si>
  <si>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</si>
  <si>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</si>
  <si>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</si>
  <si>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</si>
  <si>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</si>
  <si>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</si>
  <si>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</si>
  <si>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</si>
  <si>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</si>
  <si>
    <t>Golden Symbol</t>
    <phoneticPr fontId="20" type="noConversion"/>
  </si>
  <si>
    <t>Normal Symbol</t>
    <phoneticPr fontId="20" type="noConversion"/>
  </si>
  <si>
    <t>G2</t>
    <phoneticPr fontId="20" type="noConversion"/>
  </si>
  <si>
    <t>G1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</si>
</sst>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78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0.1.0.0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6000</v>
          </cell>
          <cell r="L5">
            <v>0.6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4000</v>
          </cell>
          <cell r="U5">
            <v>1300</v>
          </cell>
          <cell r="V5">
            <v>2000</v>
          </cell>
          <cell r="W5">
            <v>500</v>
          </cell>
          <cell r="X5">
            <v>200</v>
          </cell>
          <cell r="Y5">
            <v>200</v>
          </cell>
          <cell r="Z5">
            <v>1000</v>
          </cell>
          <cell r="AA5">
            <v>800</v>
          </cell>
          <cell r="AB5">
            <v>28.9</v>
          </cell>
          <cell r="AC5" t="str">
            <v>BG_Symbol</v>
          </cell>
          <cell r="AD5">
            <v>100</v>
          </cell>
          <cell r="AE5">
            <v>100</v>
          </cell>
          <cell r="AF5">
            <v>500</v>
          </cell>
          <cell r="AG5">
            <v>3000</v>
          </cell>
          <cell r="AH5">
            <v>10000</v>
          </cell>
          <cell r="AI5">
            <v>10000</v>
          </cell>
          <cell r="AJ5">
            <v>10000</v>
          </cell>
          <cell r="AK5">
            <v>10000</v>
          </cell>
          <cell r="AL5">
            <v>10000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2000</v>
          </cell>
          <cell r="L6">
            <v>0.2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5150</v>
          </cell>
          <cell r="U6">
            <v>600</v>
          </cell>
          <cell r="V6">
            <v>2000</v>
          </cell>
          <cell r="W6">
            <v>250</v>
          </cell>
          <cell r="X6">
            <v>100</v>
          </cell>
          <cell r="Y6">
            <v>100</v>
          </cell>
          <cell r="Z6">
            <v>1000</v>
          </cell>
          <cell r="AA6">
            <v>800</v>
          </cell>
          <cell r="AB6">
            <v>27.524999999999999</v>
          </cell>
          <cell r="AC6" t="str">
            <v>BG_Symbol (2)</v>
          </cell>
          <cell r="AD6">
            <v>0</v>
          </cell>
          <cell r="AE6">
            <v>0</v>
          </cell>
          <cell r="AF6">
            <v>500</v>
          </cell>
          <cell r="AG6">
            <v>1500</v>
          </cell>
          <cell r="AH6">
            <v>2500</v>
          </cell>
          <cell r="AI6">
            <v>5000</v>
          </cell>
          <cell r="AJ6">
            <v>10000</v>
          </cell>
          <cell r="AK6">
            <v>10000</v>
          </cell>
          <cell r="AL6">
            <v>10000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2000</v>
          </cell>
          <cell r="L7">
            <v>0.2</v>
          </cell>
          <cell r="N7" t="str">
            <v>BG_Symbol (3)</v>
          </cell>
          <cell r="O7">
            <v>10000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5400</v>
          </cell>
          <cell r="U8">
            <v>1200</v>
          </cell>
          <cell r="V8">
            <v>1800</v>
          </cell>
          <cell r="W8">
            <v>100</v>
          </cell>
          <cell r="X8">
            <v>100</v>
          </cell>
          <cell r="Y8">
            <v>100</v>
          </cell>
          <cell r="Z8">
            <v>800</v>
          </cell>
          <cell r="AA8">
            <v>500</v>
          </cell>
          <cell r="AB8">
            <v>23.3</v>
          </cell>
          <cell r="AC8" t="str">
            <v>FG_Symbol</v>
          </cell>
          <cell r="AD8">
            <v>0</v>
          </cell>
          <cell r="AE8">
            <v>0</v>
          </cell>
          <cell r="AF8">
            <v>500</v>
          </cell>
          <cell r="AG8">
            <v>1500</v>
          </cell>
          <cell r="AH8">
            <v>2500</v>
          </cell>
          <cell r="AI8">
            <v>4000</v>
          </cell>
          <cell r="AJ8">
            <v>10000</v>
          </cell>
          <cell r="AK8">
            <v>10000</v>
          </cell>
          <cell r="AL8">
            <v>10000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5400</v>
          </cell>
          <cell r="U9">
            <v>1200</v>
          </cell>
          <cell r="V9">
            <v>1800</v>
          </cell>
          <cell r="W9">
            <v>100</v>
          </cell>
          <cell r="X9">
            <v>100</v>
          </cell>
          <cell r="Y9">
            <v>100</v>
          </cell>
          <cell r="Z9">
            <v>800</v>
          </cell>
          <cell r="AA9">
            <v>500</v>
          </cell>
          <cell r="AB9">
            <v>23.3</v>
          </cell>
          <cell r="AC9" t="str">
            <v>FG_Symbol (2)</v>
          </cell>
          <cell r="AD9">
            <v>0</v>
          </cell>
          <cell r="AE9">
            <v>0</v>
          </cell>
          <cell r="AF9">
            <v>500</v>
          </cell>
          <cell r="AG9">
            <v>1500</v>
          </cell>
          <cell r="AH9">
            <v>2500</v>
          </cell>
          <cell r="AI9">
            <v>4000</v>
          </cell>
          <cell r="AJ9">
            <v>10000</v>
          </cell>
          <cell r="AK9">
            <v>10000</v>
          </cell>
          <cell r="AL9">
            <v>10000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5400</v>
          </cell>
          <cell r="U10">
            <v>1200</v>
          </cell>
          <cell r="V10">
            <v>1800</v>
          </cell>
          <cell r="W10">
            <v>100</v>
          </cell>
          <cell r="X10">
            <v>100</v>
          </cell>
          <cell r="Y10">
            <v>100</v>
          </cell>
          <cell r="Z10">
            <v>800</v>
          </cell>
          <cell r="AA10">
            <v>500</v>
          </cell>
          <cell r="AB10">
            <v>23.3</v>
          </cell>
          <cell r="AC10" t="str">
            <v>FG_Symbol (3)</v>
          </cell>
          <cell r="AD10">
            <v>0</v>
          </cell>
          <cell r="AE10">
            <v>0</v>
          </cell>
          <cell r="AF10">
            <v>500</v>
          </cell>
          <cell r="AG10">
            <v>1500</v>
          </cell>
          <cell r="AH10">
            <v>2500</v>
          </cell>
          <cell r="AI10">
            <v>4000</v>
          </cell>
          <cell r="AJ10">
            <v>10000</v>
          </cell>
          <cell r="AK10">
            <v>10000</v>
          </cell>
          <cell r="AL10">
            <v>10000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10000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N16" t="str">
            <v>BG_Symbol</v>
          </cell>
          <cell r="O16">
            <v>10000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N17" t="str">
            <v>BG_Symbol (2)</v>
          </cell>
          <cell r="O17">
            <v>0</v>
          </cell>
          <cell r="P17">
            <v>6000</v>
          </cell>
          <cell r="Q17">
            <v>2600</v>
          </cell>
          <cell r="R17">
            <v>900</v>
          </cell>
          <cell r="S17">
            <v>500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2.8299999999999996</v>
          </cell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10000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L19">
            <v>1</v>
          </cell>
          <cell r="N19" t="str">
            <v>FG_Symbol</v>
          </cell>
          <cell r="O19">
            <v>0</v>
          </cell>
          <cell r="P19">
            <v>6700</v>
          </cell>
          <cell r="Q19">
            <v>2600</v>
          </cell>
          <cell r="R19">
            <v>500</v>
          </cell>
          <cell r="S19">
            <v>200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2.5300000000000002</v>
          </cell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L20">
            <v>0</v>
          </cell>
          <cell r="N20" t="str">
            <v>FG_Symbol (2)</v>
          </cell>
          <cell r="O20">
            <v>0</v>
          </cell>
          <cell r="P20">
            <v>6700</v>
          </cell>
          <cell r="Q20">
            <v>2600</v>
          </cell>
          <cell r="R20">
            <v>500</v>
          </cell>
          <cell r="S20">
            <v>200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2.5300000000000002</v>
          </cell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L21">
            <v>0</v>
          </cell>
          <cell r="N21" t="str">
            <v>FG_Symbol (3)</v>
          </cell>
          <cell r="O21">
            <v>0</v>
          </cell>
          <cell r="P21">
            <v>6700</v>
          </cell>
          <cell r="Q21">
            <v>2600</v>
          </cell>
          <cell r="R21">
            <v>500</v>
          </cell>
          <cell r="S21">
            <v>200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2.5300000000000002</v>
          </cell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10000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10000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6450</v>
          </cell>
          <cell r="Q28">
            <v>2600</v>
          </cell>
          <cell r="R28">
            <v>700</v>
          </cell>
          <cell r="S28">
            <v>250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2.6200000000000006</v>
          </cell>
        </row>
        <row r="29">
          <cell r="I29">
            <v>5</v>
          </cell>
          <cell r="N29" t="str">
            <v>BG_Symbol (3)</v>
          </cell>
          <cell r="O29">
            <v>10000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7200</v>
          </cell>
          <cell r="Q30">
            <v>2500</v>
          </cell>
          <cell r="R30">
            <v>250</v>
          </cell>
          <cell r="S30">
            <v>50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2.355</v>
          </cell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7200</v>
          </cell>
          <cell r="Q31">
            <v>2500</v>
          </cell>
          <cell r="R31">
            <v>250</v>
          </cell>
          <cell r="S31">
            <v>50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2.355</v>
          </cell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7200</v>
          </cell>
          <cell r="Q32">
            <v>2500</v>
          </cell>
          <cell r="R32">
            <v>250</v>
          </cell>
          <cell r="S32">
            <v>50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2.355</v>
          </cell>
        </row>
        <row r="33">
          <cell r="I33">
            <v>20</v>
          </cell>
          <cell r="N33" t="str">
            <v>BF_Symbol</v>
          </cell>
          <cell r="O33">
            <v>10000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</row>
        <row r="34">
          <cell r="I34">
            <v>25</v>
          </cell>
        </row>
        <row r="35">
          <cell r="I35">
            <v>35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8100</v>
          </cell>
          <cell r="P38">
            <v>800</v>
          </cell>
          <cell r="Q38">
            <v>700</v>
          </cell>
          <cell r="R38">
            <v>200</v>
          </cell>
          <cell r="S38">
            <v>200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0.63</v>
          </cell>
        </row>
        <row r="39">
          <cell r="N39" t="str">
            <v>BG_Symbol (2)</v>
          </cell>
          <cell r="O39">
            <v>8100</v>
          </cell>
          <cell r="P39">
            <v>800</v>
          </cell>
          <cell r="Q39">
            <v>700</v>
          </cell>
          <cell r="R39">
            <v>200</v>
          </cell>
          <cell r="S39">
            <v>200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0.63</v>
          </cell>
        </row>
        <row r="40">
          <cell r="N40" t="str">
            <v>BG_Symbol (3)</v>
          </cell>
          <cell r="O40">
            <v>7900</v>
          </cell>
          <cell r="P40">
            <v>1100</v>
          </cell>
          <cell r="Q40">
            <v>800</v>
          </cell>
          <cell r="R40">
            <v>100</v>
          </cell>
          <cell r="S40">
            <v>100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0.59</v>
          </cell>
        </row>
        <row r="41">
          <cell r="I41" t="str">
            <v>Eliminate Table Weight</v>
          </cell>
          <cell r="N41" t="str">
            <v>FG_Symbol</v>
          </cell>
          <cell r="O41">
            <v>8300</v>
          </cell>
          <cell r="P41">
            <v>800</v>
          </cell>
          <cell r="Q41">
            <v>700</v>
          </cell>
          <cell r="R41">
            <v>150</v>
          </cell>
          <cell r="S41">
            <v>50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0.48499999999999999</v>
          </cell>
        </row>
        <row r="42"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8300</v>
          </cell>
          <cell r="P42">
            <v>800</v>
          </cell>
          <cell r="Q42">
            <v>700</v>
          </cell>
          <cell r="R42">
            <v>150</v>
          </cell>
          <cell r="S42">
            <v>50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0.48499999999999999</v>
          </cell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8300</v>
          </cell>
          <cell r="P43">
            <v>800</v>
          </cell>
          <cell r="Q43">
            <v>700</v>
          </cell>
          <cell r="R43">
            <v>150</v>
          </cell>
          <cell r="S43">
            <v>50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0.48499999999999999</v>
          </cell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10000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8000</v>
          </cell>
          <cell r="P49">
            <v>1000</v>
          </cell>
          <cell r="Q49">
            <v>800</v>
          </cell>
          <cell r="R49">
            <v>100</v>
          </cell>
          <cell r="S49">
            <v>100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0.56999999999999995</v>
          </cell>
        </row>
        <row r="50">
          <cell r="N50" t="str">
            <v>BG_Symbol (2)</v>
          </cell>
          <cell r="O50">
            <v>8000</v>
          </cell>
          <cell r="P50">
            <v>1000</v>
          </cell>
          <cell r="Q50">
            <v>800</v>
          </cell>
          <cell r="R50">
            <v>100</v>
          </cell>
          <cell r="S50">
            <v>100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0.56999999999999995</v>
          </cell>
        </row>
        <row r="51">
          <cell r="N51" t="str">
            <v>BG_Symbol (3)</v>
          </cell>
          <cell r="O51">
            <v>7600</v>
          </cell>
          <cell r="P51">
            <v>1300</v>
          </cell>
          <cell r="Q51">
            <v>1000</v>
          </cell>
          <cell r="R51">
            <v>50</v>
          </cell>
          <cell r="S51">
            <v>50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0.62500000000000011</v>
          </cell>
        </row>
        <row r="52">
          <cell r="N52" t="str">
            <v>FG_Symbol</v>
          </cell>
          <cell r="O52">
            <v>8100</v>
          </cell>
          <cell r="P52">
            <v>1000</v>
          </cell>
          <cell r="Q52">
            <v>800</v>
          </cell>
          <cell r="R52">
            <v>75</v>
          </cell>
          <cell r="S52">
            <v>25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0.4975</v>
          </cell>
        </row>
        <row r="53">
          <cell r="N53" t="str">
            <v>FG_Symbol (2)</v>
          </cell>
          <cell r="O53">
            <v>8100</v>
          </cell>
          <cell r="P53">
            <v>1000</v>
          </cell>
          <cell r="Q53">
            <v>800</v>
          </cell>
          <cell r="R53">
            <v>75</v>
          </cell>
          <cell r="S53">
            <v>25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0.4975</v>
          </cell>
        </row>
        <row r="54">
          <cell r="N54" t="str">
            <v>FG_Symbol (3)</v>
          </cell>
          <cell r="O54">
            <v>8100</v>
          </cell>
          <cell r="P54">
            <v>1000</v>
          </cell>
          <cell r="Q54">
            <v>800</v>
          </cell>
          <cell r="R54">
            <v>75</v>
          </cell>
          <cell r="S54">
            <v>25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0.4975</v>
          </cell>
        </row>
        <row r="55">
          <cell r="N55" t="str">
            <v>BF_Symbol</v>
          </cell>
          <cell r="O55">
            <v>10000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workbookViewId="0">
      <selection activeCell="F9" sqref="F9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8" t="s">
        <v>39</v>
      </c>
      <c r="B2" s="38" t="s">
        <v>133</v>
      </c>
      <c r="C2" s="5"/>
    </row>
    <row r="3" spans="1:9">
      <c r="A3" s="18" t="s">
        <v>40</v>
      </c>
      <c r="B3" s="38" t="str">
        <f>[1]Overview!$B$3</f>
        <v>0.1.0.0</v>
      </c>
      <c r="C3" s="19"/>
    </row>
    <row r="4" spans="1:9">
      <c r="C4" s="28"/>
    </row>
    <row r="5" spans="1:9">
      <c r="C5" s="28"/>
    </row>
    <row r="6" spans="1:9">
      <c r="A6" s="20" t="s">
        <v>56</v>
      </c>
      <c r="C6" s="28"/>
    </row>
    <row r="7" spans="1:9">
      <c r="A7" s="37">
        <v>100</v>
      </c>
      <c r="C7" s="28"/>
    </row>
    <row r="8" spans="1:9">
      <c r="C8" s="28"/>
    </row>
    <row r="9" spans="1:9">
      <c r="C9" s="28"/>
    </row>
    <row r="10" spans="1:9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H11" s="7"/>
      <c r="I11" s="7"/>
    </row>
    <row r="12" spans="1:9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>
      <c r="A13" s="23"/>
      <c r="B13" s="23"/>
      <c r="C13" s="24"/>
      <c r="D13" s="2"/>
      <c r="F13" s="3"/>
    </row>
    <row r="14" spans="1:9">
      <c r="A14" s="10"/>
      <c r="B14" s="10"/>
      <c r="C14" s="24"/>
      <c r="D14" s="24"/>
      <c r="F14" s="4"/>
    </row>
    <row r="15" spans="1:9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>
      <c r="A17" s="174" t="str">
        <f>D11</f>
        <v>Normal Bet</v>
      </c>
      <c r="B17" s="41"/>
      <c r="C17" s="175" t="e">
        <f>1/D17</f>
        <v>#DIV/0!</v>
      </c>
      <c r="D17" s="177"/>
      <c r="E17" s="29" t="s">
        <v>49</v>
      </c>
      <c r="F17" s="114"/>
      <c r="G17" s="7"/>
      <c r="H17" s="7"/>
      <c r="I17" s="12"/>
    </row>
    <row r="18" spans="1:9">
      <c r="A18" s="174"/>
      <c r="B18" s="41"/>
      <c r="C18" s="176"/>
      <c r="D18" s="178"/>
      <c r="E18" s="29" t="s">
        <v>57</v>
      </c>
      <c r="F18" s="114"/>
      <c r="G18" s="7"/>
      <c r="H18" s="7"/>
      <c r="I18" s="12"/>
    </row>
    <row r="19" spans="1:9">
      <c r="A19" s="45"/>
      <c r="B19" s="46"/>
      <c r="C19" s="47"/>
      <c r="D19" s="44"/>
      <c r="E19" s="7"/>
      <c r="F19" s="114"/>
      <c r="G19" s="7"/>
      <c r="H19" s="7"/>
      <c r="I19" s="12"/>
    </row>
    <row r="20" spans="1:9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>
      <c r="A21" s="174" t="str">
        <f>D12</f>
        <v>Buy Feature</v>
      </c>
      <c r="B21" s="41"/>
      <c r="C21" s="175">
        <f>1/D21</f>
        <v>1</v>
      </c>
      <c r="D21" s="179">
        <v>1</v>
      </c>
      <c r="E21" s="29" t="s">
        <v>49</v>
      </c>
      <c r="F21" s="114"/>
      <c r="G21" s="7"/>
      <c r="H21" s="7"/>
      <c r="I21" s="12"/>
    </row>
    <row r="22" spans="1:9">
      <c r="A22" s="174"/>
      <c r="B22" s="41"/>
      <c r="C22" s="176"/>
      <c r="D22" s="180"/>
      <c r="E22" s="29" t="s">
        <v>57</v>
      </c>
      <c r="F22" s="114"/>
      <c r="G22" s="7"/>
      <c r="H22" s="7"/>
      <c r="I22" s="12"/>
    </row>
    <row r="23" spans="1:9">
      <c r="A23" s="45"/>
      <c r="B23" s="46"/>
      <c r="C23" s="47"/>
      <c r="D23" s="44"/>
      <c r="E23" s="7"/>
      <c r="F23" s="7"/>
      <c r="G23" s="7"/>
      <c r="H23" s="7"/>
      <c r="I23" s="12"/>
    </row>
    <row r="24" spans="1:9">
      <c r="A24" s="45"/>
      <c r="B24" s="46"/>
      <c r="C24" s="47"/>
      <c r="D24" s="44"/>
      <c r="E24" s="7"/>
      <c r="F24" s="7"/>
      <c r="G24" s="7"/>
      <c r="H24" s="7"/>
      <c r="I24" s="12"/>
    </row>
    <row r="25" spans="1:9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>
      <c r="A27" s="31"/>
      <c r="B27" s="31"/>
      <c r="C27" s="31"/>
      <c r="D27" s="31"/>
      <c r="E27" s="31"/>
      <c r="F27" s="31"/>
      <c r="G27" s="31"/>
    </row>
    <row r="28" spans="1:9">
      <c r="A28" s="31"/>
      <c r="B28" s="31"/>
      <c r="C28" s="31"/>
      <c r="D28" s="31"/>
      <c r="E28" s="31"/>
      <c r="F28" s="31"/>
      <c r="G28" s="31"/>
    </row>
    <row r="29" spans="1:9">
      <c r="A29" s="1" t="s">
        <v>47</v>
      </c>
    </row>
    <row r="30" spans="1:9">
      <c r="A30" s="20" t="s">
        <v>41</v>
      </c>
      <c r="B30" s="20" t="s">
        <v>49</v>
      </c>
      <c r="C30" s="20" t="s">
        <v>50</v>
      </c>
    </row>
    <row r="31" spans="1:9">
      <c r="A31" s="22">
        <v>3</v>
      </c>
      <c r="B31" s="39">
        <v>15</v>
      </c>
      <c r="C31" s="39">
        <v>15</v>
      </c>
    </row>
    <row r="32" spans="1:9">
      <c r="A32" s="22">
        <v>4</v>
      </c>
      <c r="B32" s="39">
        <v>17</v>
      </c>
      <c r="C32" s="39">
        <v>17</v>
      </c>
    </row>
    <row r="33" spans="1:6">
      <c r="A33" s="8">
        <v>5</v>
      </c>
      <c r="B33" s="40">
        <v>19</v>
      </c>
      <c r="C33" s="40">
        <v>19</v>
      </c>
    </row>
    <row r="34" spans="1:6">
      <c r="A34" s="159" t="s">
        <v>144</v>
      </c>
      <c r="B34" s="32"/>
    </row>
    <row r="36" spans="1:6">
      <c r="A36" s="1" t="s">
        <v>46</v>
      </c>
      <c r="B36" s="1" t="str">
        <f>"All wins show for "&amp;A7&amp;" credit bet."</f>
        <v>All wins show for 100 credit bet.</v>
      </c>
    </row>
    <row r="37" spans="1:6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>
      <c r="A40" s="151" t="s">
        <v>26</v>
      </c>
      <c r="B40" s="151" t="s">
        <v>26</v>
      </c>
      <c r="C40" s="151">
        <v>250</v>
      </c>
      <c r="D40" s="151">
        <v>1250</v>
      </c>
      <c r="E40" s="151">
        <v>5000</v>
      </c>
      <c r="F40" s="152">
        <v>2</v>
      </c>
    </row>
    <row r="41" spans="1:6">
      <c r="A41" s="151" t="s">
        <v>27</v>
      </c>
      <c r="B41" s="151" t="s">
        <v>27</v>
      </c>
      <c r="C41" s="151">
        <v>100</v>
      </c>
      <c r="D41" s="151">
        <v>500</v>
      </c>
      <c r="E41" s="151">
        <v>2000</v>
      </c>
      <c r="F41" s="153">
        <v>3</v>
      </c>
    </row>
    <row r="42" spans="1:6">
      <c r="A42" s="151" t="s">
        <v>28</v>
      </c>
      <c r="B42" s="151" t="s">
        <v>28</v>
      </c>
      <c r="C42" s="151">
        <v>75</v>
      </c>
      <c r="D42" s="151">
        <v>250</v>
      </c>
      <c r="E42" s="151">
        <v>1000</v>
      </c>
      <c r="F42" s="152">
        <v>4</v>
      </c>
    </row>
    <row r="43" spans="1:6">
      <c r="A43" s="151" t="s">
        <v>29</v>
      </c>
      <c r="B43" s="151" t="s">
        <v>29</v>
      </c>
      <c r="C43" s="151">
        <v>50</v>
      </c>
      <c r="D43" s="151">
        <v>200</v>
      </c>
      <c r="E43" s="151">
        <v>750</v>
      </c>
      <c r="F43" s="153">
        <v>5</v>
      </c>
    </row>
    <row r="44" spans="1:6">
      <c r="A44" s="151" t="s">
        <v>134</v>
      </c>
      <c r="B44" s="151" t="s">
        <v>134</v>
      </c>
      <c r="C44" s="154">
        <v>25</v>
      </c>
      <c r="D44" s="154">
        <v>100</v>
      </c>
      <c r="E44" s="154">
        <v>500</v>
      </c>
      <c r="F44" s="152">
        <v>6</v>
      </c>
    </row>
    <row r="45" spans="1:6">
      <c r="A45" s="151" t="s">
        <v>23</v>
      </c>
      <c r="B45" s="151" t="s">
        <v>23</v>
      </c>
      <c r="C45" s="151">
        <v>10</v>
      </c>
      <c r="D45" s="151">
        <v>50</v>
      </c>
      <c r="E45" s="151">
        <v>250</v>
      </c>
      <c r="F45" s="153">
        <v>7</v>
      </c>
    </row>
    <row r="46" spans="1:6">
      <c r="A46" s="151" t="s">
        <v>31</v>
      </c>
      <c r="B46" s="151" t="s">
        <v>31</v>
      </c>
      <c r="C46" s="151">
        <v>10</v>
      </c>
      <c r="D46" s="151">
        <v>50</v>
      </c>
      <c r="E46" s="151">
        <v>250</v>
      </c>
      <c r="F46" s="152">
        <v>8</v>
      </c>
    </row>
    <row r="47" spans="1:6">
      <c r="A47" s="151" t="s">
        <v>32</v>
      </c>
      <c r="B47" s="151" t="s">
        <v>32</v>
      </c>
      <c r="C47" s="151">
        <v>10</v>
      </c>
      <c r="D47" s="151">
        <v>50</v>
      </c>
      <c r="E47" s="151">
        <v>250</v>
      </c>
      <c r="F47" s="153">
        <v>9</v>
      </c>
    </row>
    <row r="48" spans="1:6">
      <c r="A48" s="151" t="s">
        <v>33</v>
      </c>
      <c r="B48" s="151" t="s">
        <v>33</v>
      </c>
      <c r="C48" s="151">
        <v>10</v>
      </c>
      <c r="D48" s="151">
        <v>50</v>
      </c>
      <c r="E48" s="151">
        <v>250</v>
      </c>
      <c r="F48" s="152">
        <v>10</v>
      </c>
    </row>
    <row r="49" spans="1:9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>
      <c r="A53" s="8" t="s">
        <v>135</v>
      </c>
      <c r="B53" s="8" t="s">
        <v>136</v>
      </c>
      <c r="C53" s="141">
        <v>25</v>
      </c>
      <c r="D53" s="141">
        <v>100</v>
      </c>
      <c r="E53" s="141">
        <v>500</v>
      </c>
      <c r="F53" s="36">
        <v>15</v>
      </c>
    </row>
    <row r="54" spans="1:9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>
      <c r="A58" s="24"/>
      <c r="B58" s="24"/>
      <c r="C58" s="24"/>
      <c r="D58" s="24"/>
      <c r="E58" s="24"/>
      <c r="F58" s="24"/>
      <c r="G58" s="24"/>
      <c r="H58" s="24"/>
      <c r="I58" s="24"/>
    </row>
    <row r="59" spans="1:9">
      <c r="A59" s="24"/>
      <c r="B59" s="24"/>
      <c r="C59" s="24"/>
      <c r="D59" s="24"/>
      <c r="E59" s="24"/>
      <c r="F59" s="24"/>
      <c r="G59" s="24"/>
      <c r="H59" s="24"/>
      <c r="I59" s="24"/>
    </row>
    <row r="60" spans="1:9">
      <c r="A60" s="24"/>
      <c r="B60" s="24"/>
      <c r="C60" s="24"/>
      <c r="D60" s="24"/>
      <c r="E60" s="24"/>
      <c r="F60" s="24"/>
      <c r="G60" s="24"/>
      <c r="H60" s="24"/>
      <c r="I60" s="24"/>
    </row>
    <row r="61" spans="1:9">
      <c r="A61" s="24"/>
      <c r="B61" s="24"/>
      <c r="C61" s="24"/>
      <c r="D61" s="24"/>
      <c r="E61" s="24"/>
      <c r="F61" s="24"/>
      <c r="G61" s="24"/>
      <c r="H61" s="24"/>
      <c r="I61" s="24"/>
    </row>
    <row r="62" spans="1:9">
      <c r="A62" s="24"/>
      <c r="B62" s="24"/>
      <c r="C62" s="24"/>
      <c r="D62" s="24"/>
      <c r="E62" s="24"/>
      <c r="F62" s="24"/>
      <c r="G62" s="24"/>
      <c r="H62" s="24"/>
      <c r="I62" s="24"/>
    </row>
    <row r="63" spans="1:9">
      <c r="A63" s="24"/>
      <c r="B63" s="24"/>
      <c r="C63" s="24"/>
      <c r="D63" s="24"/>
      <c r="E63" s="24"/>
      <c r="F63" s="24"/>
      <c r="G63" s="24"/>
      <c r="H63" s="24"/>
      <c r="I63" s="24"/>
    </row>
    <row r="64" spans="1:9">
      <c r="A64" s="24"/>
      <c r="B64" s="24"/>
      <c r="C64" s="24"/>
      <c r="D64" s="24"/>
      <c r="E64" s="24"/>
      <c r="F64" s="24"/>
      <c r="G64" s="24"/>
      <c r="H64" s="24"/>
      <c r="I64" s="24"/>
    </row>
    <row r="65" spans="1:9">
      <c r="A65" s="24"/>
      <c r="B65" s="24"/>
      <c r="C65" s="24"/>
      <c r="D65" s="24"/>
      <c r="E65" s="24"/>
      <c r="F65" s="24"/>
      <c r="G65" s="24"/>
      <c r="H65" s="24"/>
      <c r="I65" s="24"/>
    </row>
    <row r="66" spans="1:9">
      <c r="A66" s="24"/>
      <c r="B66" s="24"/>
      <c r="C66" s="24"/>
      <c r="D66" s="24"/>
      <c r="E66" s="24"/>
      <c r="F66" s="24"/>
      <c r="G66" s="24"/>
      <c r="H66" s="24"/>
      <c r="I66" s="24"/>
    </row>
    <row r="67" spans="1:9">
      <c r="A67" s="24"/>
      <c r="B67" s="24"/>
      <c r="C67" s="24"/>
      <c r="D67" s="24"/>
      <c r="E67" s="24"/>
      <c r="F67" s="24"/>
      <c r="G67" s="24"/>
      <c r="H67" s="24"/>
      <c r="I67" s="24"/>
    </row>
    <row r="68" spans="1:9">
      <c r="A68" s="24"/>
      <c r="B68" s="24"/>
      <c r="C68" s="24"/>
      <c r="D68" s="24"/>
      <c r="E68" s="24"/>
      <c r="F68" s="24"/>
      <c r="G68" s="24"/>
      <c r="H68" s="24"/>
      <c r="I68" s="24"/>
    </row>
    <row r="69" spans="1:9">
      <c r="A69" s="24"/>
      <c r="B69" s="24"/>
      <c r="C69" s="24"/>
      <c r="D69" s="24"/>
      <c r="E69" s="24"/>
      <c r="F69" s="24"/>
      <c r="G69" s="24"/>
      <c r="H69" s="24"/>
      <c r="I69" s="24"/>
    </row>
    <row r="70" spans="1:9">
      <c r="A70" s="24"/>
      <c r="B70" s="24"/>
      <c r="C70" s="24"/>
      <c r="D70" s="24"/>
      <c r="E70" s="24"/>
      <c r="F70" s="24"/>
      <c r="G70" s="24"/>
      <c r="H70" s="24"/>
      <c r="I70" s="24"/>
    </row>
    <row r="71" spans="1:9">
      <c r="A71" s="24"/>
      <c r="B71" s="24"/>
      <c r="C71" s="24"/>
      <c r="D71" s="24"/>
      <c r="E71" s="24"/>
      <c r="F71" s="24"/>
      <c r="G71" s="24"/>
      <c r="H71" s="24"/>
      <c r="I71" s="24"/>
    </row>
    <row r="72" spans="1:9">
      <c r="A72" s="24"/>
      <c r="B72" s="24"/>
      <c r="C72" s="24"/>
      <c r="D72" s="24"/>
      <c r="E72" s="24"/>
      <c r="F72" s="24"/>
      <c r="G72" s="24"/>
      <c r="H72" s="24"/>
      <c r="I72" s="24"/>
    </row>
    <row r="73" spans="1:9">
      <c r="A73" s="24"/>
      <c r="B73" s="24"/>
      <c r="C73" s="24"/>
      <c r="D73" s="24"/>
      <c r="E73" s="24"/>
      <c r="F73" s="24"/>
      <c r="G73" s="24"/>
      <c r="H73" s="24"/>
      <c r="I73" s="24"/>
    </row>
    <row r="74" spans="1:9">
      <c r="A74" s="24"/>
      <c r="B74" s="24"/>
      <c r="C74" s="24"/>
      <c r="D74" s="24"/>
      <c r="E74" s="24"/>
      <c r="F74" s="24"/>
      <c r="G74" s="24"/>
      <c r="H74" s="24"/>
      <c r="I74" s="24"/>
    </row>
    <row r="75" spans="1:9">
      <c r="A75" s="24"/>
      <c r="B75" s="24"/>
      <c r="C75" s="24"/>
      <c r="D75" s="24"/>
      <c r="E75" s="24"/>
      <c r="F75" s="24"/>
      <c r="G75" s="24"/>
      <c r="H75" s="24"/>
      <c r="I75" s="24"/>
    </row>
    <row r="76" spans="1:9">
      <c r="A76" s="24"/>
      <c r="B76" s="24"/>
      <c r="C76" s="24"/>
      <c r="D76" s="24"/>
      <c r="E76" s="24"/>
      <c r="F76" s="24"/>
      <c r="G76" s="24"/>
      <c r="H76" s="24"/>
      <c r="I76" s="24"/>
    </row>
    <row r="77" spans="1:9">
      <c r="A77" s="24"/>
      <c r="B77" s="24"/>
      <c r="C77" s="24"/>
      <c r="D77" s="24"/>
      <c r="E77" s="24"/>
      <c r="F77" s="24"/>
      <c r="G77" s="24"/>
      <c r="H77" s="24"/>
      <c r="I77" s="24"/>
    </row>
    <row r="78" spans="1:9">
      <c r="A78" s="24"/>
      <c r="B78" s="24"/>
      <c r="C78" s="24"/>
      <c r="D78" s="24"/>
      <c r="E78" s="24"/>
      <c r="F78" s="24"/>
      <c r="G78" s="24"/>
      <c r="H78" s="24"/>
      <c r="I78" s="24"/>
    </row>
    <row r="79" spans="1:9">
      <c r="A79" s="24"/>
      <c r="B79" s="24"/>
      <c r="C79" s="24"/>
      <c r="D79" s="24"/>
      <c r="E79" s="24"/>
      <c r="F79" s="24"/>
      <c r="G79" s="24"/>
      <c r="H79" s="24"/>
      <c r="I79" s="24"/>
    </row>
    <row r="80" spans="1:9">
      <c r="B80" s="6"/>
      <c r="C80" s="6"/>
      <c r="D80" s="6"/>
    </row>
    <row r="82" spans="6:9">
      <c r="F82" s="24"/>
      <c r="G82" s="24"/>
      <c r="H82" s="24"/>
      <c r="I82" s="24"/>
    </row>
    <row r="87" spans="6:9">
      <c r="F87" s="24"/>
      <c r="G87" s="24"/>
      <c r="H87" s="24"/>
      <c r="I87" s="24"/>
    </row>
    <row r="92" spans="6:9">
      <c r="F92" s="24"/>
      <c r="G92" s="24"/>
    </row>
    <row r="97" spans="6:7">
      <c r="F97" s="24"/>
      <c r="G97" s="24"/>
    </row>
    <row r="102" spans="6:7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16" workbookViewId="0">
      <selection activeCell="M28" sqref="M28"/>
    </sheetView>
  </sheetViews>
  <sheetFormatPr defaultRowHeight="15.6"/>
  <cols>
    <col min="1" max="16384" width="8.88671875" style="24"/>
  </cols>
  <sheetData>
    <row r="3" spans="2:2">
      <c r="B3" s="24" t="s">
        <v>152</v>
      </c>
    </row>
    <row r="5" spans="2:2">
      <c r="B5" s="24" t="s">
        <v>153</v>
      </c>
    </row>
    <row r="7" spans="2:2">
      <c r="B7" s="24" t="s">
        <v>154</v>
      </c>
    </row>
    <row r="8" spans="2:2">
      <c r="B8" s="24" t="s">
        <v>155</v>
      </c>
    </row>
    <row r="9" spans="2:2">
      <c r="B9" s="24" t="s">
        <v>156</v>
      </c>
    </row>
    <row r="10" spans="2:2">
      <c r="B10" s="24" t="s">
        <v>157</v>
      </c>
    </row>
    <row r="11" spans="2:2">
      <c r="B11" s="24" t="s">
        <v>158</v>
      </c>
    </row>
    <row r="12" spans="2:2">
      <c r="B12" s="24" t="s">
        <v>159</v>
      </c>
    </row>
    <row r="13" spans="2:2">
      <c r="B13" s="24" t="s">
        <v>160</v>
      </c>
    </row>
    <row r="14" spans="2:2">
      <c r="B14" s="24" t="s">
        <v>161</v>
      </c>
    </row>
    <row r="15" spans="2:2">
      <c r="B15" s="24" t="s">
        <v>162</v>
      </c>
    </row>
    <row r="16" spans="2:2">
      <c r="B16" s="24" t="s">
        <v>163</v>
      </c>
    </row>
    <row r="18" spans="2:2">
      <c r="B18" s="24" t="s">
        <v>164</v>
      </c>
    </row>
    <row r="19" spans="2:2">
      <c r="B19" s="24" t="s">
        <v>151</v>
      </c>
    </row>
    <row r="20" spans="2:2">
      <c r="B20" s="24" t="s">
        <v>165</v>
      </c>
    </row>
    <row r="21" spans="2:2">
      <c r="B21" s="24" t="s">
        <v>166</v>
      </c>
    </row>
    <row r="22" spans="2:2">
      <c r="B22" s="24" t="s">
        <v>167</v>
      </c>
    </row>
    <row r="23" spans="2:2">
      <c r="B23" s="24" t="s">
        <v>168</v>
      </c>
    </row>
    <row r="24" spans="2:2">
      <c r="B24" s="24" t="s">
        <v>169</v>
      </c>
    </row>
    <row r="25" spans="2:2">
      <c r="B25" s="24" t="s">
        <v>170</v>
      </c>
    </row>
    <row r="26" spans="2:2">
      <c r="B26" s="24" t="s">
        <v>171</v>
      </c>
    </row>
    <row r="28" spans="2:2">
      <c r="B28" s="24" t="s">
        <v>172</v>
      </c>
    </row>
    <row r="30" spans="2:2">
      <c r="B30" s="24" t="s">
        <v>173</v>
      </c>
    </row>
    <row r="31" spans="2:2">
      <c r="B31" s="24" t="s">
        <v>174</v>
      </c>
    </row>
    <row r="33" spans="2:2">
      <c r="B33" s="24" t="s">
        <v>175</v>
      </c>
    </row>
    <row r="35" spans="2:2">
      <c r="B35" s="24" t="s">
        <v>176</v>
      </c>
    </row>
    <row r="37" spans="2:2">
      <c r="B37" s="24" t="s">
        <v>177</v>
      </c>
    </row>
    <row r="38" spans="2:2">
      <c r="B38" s="24" t="s">
        <v>178</v>
      </c>
    </row>
    <row r="39" spans="2:2">
      <c r="B39" s="24" t="s">
        <v>179</v>
      </c>
    </row>
    <row r="40" spans="2:2">
      <c r="B40" s="24" t="s">
        <v>180</v>
      </c>
    </row>
    <row r="42" spans="2:2">
      <c r="B42" s="24" t="s">
        <v>181</v>
      </c>
    </row>
    <row r="43" spans="2:2">
      <c r="B43" s="24" t="s">
        <v>151</v>
      </c>
    </row>
    <row r="44" spans="2:2">
      <c r="B44" s="24" t="s">
        <v>182</v>
      </c>
    </row>
    <row r="46" spans="2:2">
      <c r="B46" s="24" t="s">
        <v>183</v>
      </c>
    </row>
    <row r="47" spans="2:2">
      <c r="B47" s="24" t="s">
        <v>184</v>
      </c>
    </row>
    <row r="48" spans="2:2">
      <c r="B48" s="24" t="s">
        <v>185</v>
      </c>
    </row>
    <row r="49" spans="2:2">
      <c r="B49" s="24" t="s">
        <v>186</v>
      </c>
    </row>
    <row r="50" spans="2:2">
      <c r="B50" s="24" t="s">
        <v>187</v>
      </c>
    </row>
    <row r="51" spans="2:2">
      <c r="B51" s="24" t="s">
        <v>188</v>
      </c>
    </row>
    <row r="53" spans="2:2">
      <c r="B53" s="24" t="s">
        <v>189</v>
      </c>
    </row>
    <row r="55" spans="2:2">
      <c r="B55" s="24" t="s">
        <v>190</v>
      </c>
    </row>
    <row r="56" spans="2:2">
      <c r="B56" s="24" t="s">
        <v>191</v>
      </c>
    </row>
    <row r="57" spans="2:2">
      <c r="B57" s="24" t="s">
        <v>192</v>
      </c>
    </row>
    <row r="58" spans="2:2">
      <c r="B58" s="24" t="s">
        <v>193</v>
      </c>
    </row>
    <row r="59" spans="2:2">
      <c r="B59" s="24" t="s">
        <v>194</v>
      </c>
    </row>
    <row r="60" spans="2:2">
      <c r="B60" s="24" t="s">
        <v>195</v>
      </c>
    </row>
    <row r="62" spans="2:2">
      <c r="B62" s="24" t="s">
        <v>196</v>
      </c>
    </row>
    <row r="64" spans="2:2">
      <c r="B64" s="24" t="s">
        <v>197</v>
      </c>
    </row>
    <row r="65" spans="2:2">
      <c r="B65" s="24" t="s">
        <v>198</v>
      </c>
    </row>
    <row r="67" spans="2:2">
      <c r="B67" s="24" t="s">
        <v>199</v>
      </c>
    </row>
    <row r="69" spans="2:2">
      <c r="B69" s="24" t="s">
        <v>200</v>
      </c>
    </row>
    <row r="70" spans="2:2">
      <c r="B70" s="24" t="s">
        <v>201</v>
      </c>
    </row>
    <row r="71" spans="2:2">
      <c r="B71" s="24" t="s">
        <v>202</v>
      </c>
    </row>
    <row r="72" spans="2:2">
      <c r="B72" s="24" t="s">
        <v>203</v>
      </c>
    </row>
    <row r="73" spans="2:2">
      <c r="B73" s="24" t="s">
        <v>204</v>
      </c>
    </row>
    <row r="74" spans="2:2">
      <c r="B74" s="24" t="s">
        <v>205</v>
      </c>
    </row>
    <row r="75" spans="2:2">
      <c r="B75" s="24" t="s">
        <v>206</v>
      </c>
    </row>
    <row r="77" spans="2:2">
      <c r="B77" s="24" t="s">
        <v>207</v>
      </c>
    </row>
    <row r="79" spans="2:2">
      <c r="B79" s="24" t="s">
        <v>208</v>
      </c>
    </row>
    <row r="80" spans="2:2">
      <c r="B80" s="24" t="s">
        <v>209</v>
      </c>
    </row>
    <row r="81" spans="2:2">
      <c r="B81" s="24" t="s">
        <v>210</v>
      </c>
    </row>
    <row r="82" spans="2:2">
      <c r="B82" s="24" t="s">
        <v>211</v>
      </c>
    </row>
    <row r="83" spans="2:2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topLeftCell="J14" zoomScale="85" zoomScaleNormal="85" workbookViewId="0">
      <selection activeCell="AC29" sqref="AC29"/>
    </sheetView>
  </sheetViews>
  <sheetFormatPr defaultColWidth="8.88671875" defaultRowHeight="16.2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26" style="17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>
      <c r="A4" s="17" t="str">
        <v/>
      </c>
      <c r="B4" s="144" t="str">
        <v>ID</v>
      </c>
      <c r="C4" s="144" t="str">
        <v>R1</v>
      </c>
      <c r="D4" s="144" t="str">
        <v>R2</v>
      </c>
      <c r="E4" s="144" t="str">
        <v>R3</v>
      </c>
      <c r="F4" s="144" t="str">
        <v>R4</v>
      </c>
      <c r="G4" s="144" t="str">
        <v>R5</v>
      </c>
      <c r="H4" s="17" t="str">
        <v/>
      </c>
      <c r="I4" s="143" t="str">
        <v>Worksheet Name</v>
      </c>
      <c r="J4" s="144" t="str">
        <v>Weight</v>
      </c>
      <c r="K4" s="144" t="str">
        <v>RTP</v>
      </c>
      <c r="L4" s="17" t="str">
        <v/>
      </c>
      <c r="M4" s="17" t="str">
        <v/>
      </c>
      <c r="N4" s="144" t="str">
        <v>Worksheet Name \ Multiple</v>
      </c>
      <c r="O4" s="144">
        <v>0</v>
      </c>
      <c r="P4" s="144">
        <v>2</v>
      </c>
      <c r="Q4" s="144">
        <v>3</v>
      </c>
      <c r="R4" s="144">
        <v>5</v>
      </c>
      <c r="S4" s="144">
        <v>8</v>
      </c>
      <c r="T4" s="144">
        <v>10</v>
      </c>
      <c r="U4" s="144">
        <v>15</v>
      </c>
      <c r="V4" s="144">
        <v>20</v>
      </c>
      <c r="W4" s="144">
        <v>25</v>
      </c>
      <c r="X4" s="144">
        <v>35</v>
      </c>
      <c r="Y4" s="144">
        <v>50</v>
      </c>
      <c r="Z4" s="144">
        <v>80</v>
      </c>
      <c r="AA4" s="144">
        <v>100</v>
      </c>
      <c r="AB4" s="51" t="str">
        <v/>
      </c>
      <c r="AC4" s="144" t="str">
        <v>Worksheet Name \ Multiple</v>
      </c>
      <c r="AD4" s="144">
        <v>1</v>
      </c>
      <c r="AE4" s="144">
        <v>2</v>
      </c>
      <c r="AF4" s="144">
        <v>3</v>
      </c>
      <c r="AG4" s="144">
        <v>4</v>
      </c>
      <c r="AH4" s="144">
        <v>5</v>
      </c>
      <c r="AI4" s="144">
        <v>6</v>
      </c>
      <c r="AJ4" s="144">
        <v>7</v>
      </c>
      <c r="AK4" s="144">
        <v>8</v>
      </c>
      <c r="AL4" s="144">
        <v>9</v>
      </c>
      <c r="AM4" s="17" t="str">
        <v/>
      </c>
    </row>
    <row r="5" spans="1:39">
      <c r="A5" s="17" t="str">
        <v/>
      </c>
      <c r="B5" s="133">
        <v>0</v>
      </c>
      <c r="C5" s="156">
        <v>1</v>
      </c>
      <c r="D5" s="156">
        <v>1</v>
      </c>
      <c r="E5" s="156">
        <v>1</v>
      </c>
      <c r="F5" s="156">
        <v>1</v>
      </c>
      <c r="G5" s="156">
        <v>1</v>
      </c>
      <c r="H5" s="17" t="str">
        <v/>
      </c>
      <c r="I5" s="133" t="str">
        <v>BG_Symbol</v>
      </c>
      <c r="J5" s="145">
        <v>6000</v>
      </c>
      <c r="K5" s="171" t="str">
        <v/>
      </c>
      <c r="L5" s="149">
        <v>0.6</v>
      </c>
      <c r="M5" s="17" t="str">
        <v/>
      </c>
      <c r="N5" s="133" t="str">
        <v>BG_Symbol</v>
      </c>
      <c r="O5" s="146">
        <v>0</v>
      </c>
      <c r="P5" s="146">
        <v>0</v>
      </c>
      <c r="Q5" s="146">
        <v>0</v>
      </c>
      <c r="R5" s="146">
        <v>0</v>
      </c>
      <c r="S5" s="146">
        <v>0</v>
      </c>
      <c r="T5" s="146">
        <v>4000</v>
      </c>
      <c r="U5" s="146">
        <v>1300</v>
      </c>
      <c r="V5" s="146">
        <v>2000</v>
      </c>
      <c r="W5" s="146">
        <v>500</v>
      </c>
      <c r="X5" s="146">
        <v>200</v>
      </c>
      <c r="Y5" s="146">
        <v>200</v>
      </c>
      <c r="Z5" s="146">
        <v>1000</v>
      </c>
      <c r="AA5" s="146">
        <v>800</v>
      </c>
      <c r="AB5" s="160">
        <v>28.9</v>
      </c>
      <c r="AC5" s="133" t="str">
        <v>BG_Symbol</v>
      </c>
      <c r="AD5" s="146">
        <v>100</v>
      </c>
      <c r="AE5" s="146">
        <v>100</v>
      </c>
      <c r="AF5" s="146">
        <v>500</v>
      </c>
      <c r="AG5" s="146">
        <v>3000</v>
      </c>
      <c r="AH5" s="146">
        <v>10000</v>
      </c>
      <c r="AI5" s="146">
        <v>10000</v>
      </c>
      <c r="AJ5" s="146">
        <v>10000</v>
      </c>
      <c r="AK5" s="146">
        <v>10000</v>
      </c>
      <c r="AL5" s="146">
        <v>10000</v>
      </c>
      <c r="AM5" s="17" t="str">
        <v/>
      </c>
    </row>
    <row r="6" spans="1:39">
      <c r="A6" s="17" t="str">
        <v/>
      </c>
      <c r="B6" s="133">
        <v>1</v>
      </c>
      <c r="C6" s="156">
        <v>0</v>
      </c>
      <c r="D6" s="156">
        <v>0</v>
      </c>
      <c r="E6" s="156">
        <v>0</v>
      </c>
      <c r="F6" s="156">
        <v>0</v>
      </c>
      <c r="G6" s="156">
        <v>0</v>
      </c>
      <c r="H6" s="17" t="str">
        <v/>
      </c>
      <c r="I6" s="133" t="str">
        <v>BG_Symbol (2)</v>
      </c>
      <c r="J6" s="146">
        <v>2000</v>
      </c>
      <c r="K6" s="133" t="str">
        <v/>
      </c>
      <c r="L6" s="149">
        <v>0.2</v>
      </c>
      <c r="M6" s="17" t="str">
        <v/>
      </c>
      <c r="N6" s="133" t="str">
        <v>BG_Symbol (2)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5150</v>
      </c>
      <c r="U6" s="146">
        <v>600</v>
      </c>
      <c r="V6" s="146">
        <v>2000</v>
      </c>
      <c r="W6" s="146">
        <v>250</v>
      </c>
      <c r="X6" s="146">
        <v>100</v>
      </c>
      <c r="Y6" s="146">
        <v>100</v>
      </c>
      <c r="Z6" s="146">
        <v>1000</v>
      </c>
      <c r="AA6" s="146">
        <v>800</v>
      </c>
      <c r="AB6" s="160">
        <v>27.524999999999999</v>
      </c>
      <c r="AC6" s="133" t="str">
        <v>BG_Symbol (2)</v>
      </c>
      <c r="AD6" s="146">
        <v>0</v>
      </c>
      <c r="AE6" s="146">
        <v>0</v>
      </c>
      <c r="AF6" s="146">
        <v>500</v>
      </c>
      <c r="AG6" s="146">
        <v>1500</v>
      </c>
      <c r="AH6" s="146">
        <v>2500</v>
      </c>
      <c r="AI6" s="146">
        <v>5000</v>
      </c>
      <c r="AJ6" s="146">
        <v>10000</v>
      </c>
      <c r="AK6" s="146">
        <v>10000</v>
      </c>
      <c r="AL6" s="146">
        <v>10000</v>
      </c>
      <c r="AM6" s="17" t="str">
        <v/>
      </c>
    </row>
    <row r="7" spans="1:39">
      <c r="A7" s="17" t="str">
        <v/>
      </c>
      <c r="B7" s="133">
        <v>2</v>
      </c>
      <c r="C7" s="156">
        <v>2</v>
      </c>
      <c r="D7" s="156">
        <v>2</v>
      </c>
      <c r="E7" s="156">
        <v>2</v>
      </c>
      <c r="F7" s="156">
        <v>2</v>
      </c>
      <c r="G7" s="156">
        <v>2</v>
      </c>
      <c r="H7" s="17" t="str">
        <v/>
      </c>
      <c r="I7" s="133" t="str">
        <v>BG_Symbol (3)</v>
      </c>
      <c r="J7" s="146">
        <v>2000</v>
      </c>
      <c r="K7" s="133" t="str">
        <v/>
      </c>
      <c r="L7" s="149">
        <v>0.2</v>
      </c>
      <c r="M7" s="17" t="str">
        <v/>
      </c>
      <c r="N7" s="133" t="str">
        <v>BG_Symbol (3)</v>
      </c>
      <c r="O7" s="146">
        <v>10000</v>
      </c>
      <c r="P7" s="146">
        <v>0</v>
      </c>
      <c r="Q7" s="146">
        <v>0</v>
      </c>
      <c r="R7" s="146">
        <v>0</v>
      </c>
      <c r="S7" s="146">
        <v>0</v>
      </c>
      <c r="T7" s="146">
        <v>0</v>
      </c>
      <c r="U7" s="146">
        <v>0</v>
      </c>
      <c r="V7" s="146">
        <v>0</v>
      </c>
      <c r="W7" s="146">
        <v>0</v>
      </c>
      <c r="X7" s="146">
        <v>0</v>
      </c>
      <c r="Y7" s="146">
        <v>0</v>
      </c>
      <c r="Z7" s="146">
        <v>0</v>
      </c>
      <c r="AA7" s="146">
        <v>0</v>
      </c>
      <c r="AB7" s="160">
        <v>0</v>
      </c>
      <c r="AC7" s="133" t="str">
        <v>BG_Symbol (3)</v>
      </c>
      <c r="AD7" s="146">
        <v>0</v>
      </c>
      <c r="AE7" s="146">
        <v>0</v>
      </c>
      <c r="AF7" s="146">
        <v>0</v>
      </c>
      <c r="AG7" s="146">
        <v>0</v>
      </c>
      <c r="AH7" s="146">
        <v>0</v>
      </c>
      <c r="AI7" s="146">
        <v>0</v>
      </c>
      <c r="AJ7" s="146">
        <v>0</v>
      </c>
      <c r="AK7" s="146">
        <v>0</v>
      </c>
      <c r="AL7" s="146">
        <v>0</v>
      </c>
      <c r="AM7" s="17" t="str">
        <v/>
      </c>
    </row>
    <row r="8" spans="1:39">
      <c r="A8" s="17" t="str">
        <v/>
      </c>
      <c r="B8" s="133">
        <v>3</v>
      </c>
      <c r="C8" s="156">
        <v>0</v>
      </c>
      <c r="D8" s="156">
        <v>1</v>
      </c>
      <c r="E8" s="156">
        <v>2</v>
      </c>
      <c r="F8" s="156">
        <v>1</v>
      </c>
      <c r="G8" s="156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46">
        <v>0</v>
      </c>
      <c r="P8" s="146">
        <v>0</v>
      </c>
      <c r="Q8" s="146">
        <v>0</v>
      </c>
      <c r="R8" s="146">
        <v>0</v>
      </c>
      <c r="S8" s="146">
        <v>0</v>
      </c>
      <c r="T8" s="146">
        <v>5400</v>
      </c>
      <c r="U8" s="146">
        <v>1200</v>
      </c>
      <c r="V8" s="146">
        <v>1800</v>
      </c>
      <c r="W8" s="146">
        <v>100</v>
      </c>
      <c r="X8" s="146">
        <v>100</v>
      </c>
      <c r="Y8" s="146">
        <v>100</v>
      </c>
      <c r="Z8" s="146">
        <v>800</v>
      </c>
      <c r="AA8" s="146">
        <v>500</v>
      </c>
      <c r="AB8" s="160">
        <v>23.3</v>
      </c>
      <c r="AC8" s="133" t="str">
        <v>FG_Symbol</v>
      </c>
      <c r="AD8" s="146">
        <v>0</v>
      </c>
      <c r="AE8" s="146">
        <v>0</v>
      </c>
      <c r="AF8" s="146">
        <v>500</v>
      </c>
      <c r="AG8" s="146">
        <v>1500</v>
      </c>
      <c r="AH8" s="146">
        <v>2500</v>
      </c>
      <c r="AI8" s="146">
        <v>4000</v>
      </c>
      <c r="AJ8" s="146">
        <v>10000</v>
      </c>
      <c r="AK8" s="146">
        <v>10000</v>
      </c>
      <c r="AL8" s="146">
        <v>10000</v>
      </c>
      <c r="AM8" s="17" t="str">
        <v/>
      </c>
    </row>
    <row r="9" spans="1:39">
      <c r="A9" s="17" t="str">
        <v/>
      </c>
      <c r="B9" s="133">
        <v>4</v>
      </c>
      <c r="C9" s="156">
        <v>2</v>
      </c>
      <c r="D9" s="156">
        <v>1</v>
      </c>
      <c r="E9" s="156">
        <v>0</v>
      </c>
      <c r="F9" s="156">
        <v>1</v>
      </c>
      <c r="G9" s="156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46">
        <v>0</v>
      </c>
      <c r="P9" s="146">
        <v>0</v>
      </c>
      <c r="Q9" s="146">
        <v>0</v>
      </c>
      <c r="R9" s="146">
        <v>0</v>
      </c>
      <c r="S9" s="146">
        <v>0</v>
      </c>
      <c r="T9" s="146">
        <v>5400</v>
      </c>
      <c r="U9" s="146">
        <v>1200</v>
      </c>
      <c r="V9" s="146">
        <v>1800</v>
      </c>
      <c r="W9" s="146">
        <v>100</v>
      </c>
      <c r="X9" s="146">
        <v>100</v>
      </c>
      <c r="Y9" s="146">
        <v>100</v>
      </c>
      <c r="Z9" s="146">
        <v>800</v>
      </c>
      <c r="AA9" s="146">
        <v>500</v>
      </c>
      <c r="AB9" s="160">
        <v>23.3</v>
      </c>
      <c r="AC9" s="133" t="str">
        <v>FG_Symbol (2)</v>
      </c>
      <c r="AD9" s="146">
        <v>0</v>
      </c>
      <c r="AE9" s="146">
        <v>0</v>
      </c>
      <c r="AF9" s="146">
        <v>500</v>
      </c>
      <c r="AG9" s="146">
        <v>1500</v>
      </c>
      <c r="AH9" s="146">
        <v>2500</v>
      </c>
      <c r="AI9" s="146">
        <v>4000</v>
      </c>
      <c r="AJ9" s="146">
        <v>10000</v>
      </c>
      <c r="AK9" s="146">
        <v>10000</v>
      </c>
      <c r="AL9" s="146">
        <v>10000</v>
      </c>
      <c r="AM9" s="17" t="str">
        <v/>
      </c>
    </row>
    <row r="10" spans="1:39">
      <c r="A10" s="17" t="str">
        <v/>
      </c>
      <c r="B10" s="133">
        <v>5</v>
      </c>
      <c r="C10" s="156">
        <v>0</v>
      </c>
      <c r="D10" s="156">
        <v>0</v>
      </c>
      <c r="E10" s="156">
        <v>1</v>
      </c>
      <c r="F10" s="156">
        <v>0</v>
      </c>
      <c r="G10" s="156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46">
        <v>0</v>
      </c>
      <c r="P10" s="146">
        <v>0</v>
      </c>
      <c r="Q10" s="146">
        <v>0</v>
      </c>
      <c r="R10" s="146">
        <v>0</v>
      </c>
      <c r="S10" s="146">
        <v>0</v>
      </c>
      <c r="T10" s="146">
        <v>5400</v>
      </c>
      <c r="U10" s="146">
        <v>1200</v>
      </c>
      <c r="V10" s="146">
        <v>1800</v>
      </c>
      <c r="W10" s="146">
        <v>100</v>
      </c>
      <c r="X10" s="146">
        <v>100</v>
      </c>
      <c r="Y10" s="146">
        <v>100</v>
      </c>
      <c r="Z10" s="146">
        <v>800</v>
      </c>
      <c r="AA10" s="146">
        <v>500</v>
      </c>
      <c r="AB10" s="160">
        <v>23.3</v>
      </c>
      <c r="AC10" s="133" t="str">
        <v>FG_Symbol (3)</v>
      </c>
      <c r="AD10" s="146">
        <v>0</v>
      </c>
      <c r="AE10" s="146">
        <v>0</v>
      </c>
      <c r="AF10" s="146">
        <v>500</v>
      </c>
      <c r="AG10" s="146">
        <v>1500</v>
      </c>
      <c r="AH10" s="146">
        <v>2500</v>
      </c>
      <c r="AI10" s="146">
        <v>4000</v>
      </c>
      <c r="AJ10" s="146">
        <v>10000</v>
      </c>
      <c r="AK10" s="146">
        <v>10000</v>
      </c>
      <c r="AL10" s="146">
        <v>10000</v>
      </c>
      <c r="AM10" s="17" t="str">
        <v/>
      </c>
    </row>
    <row r="11" spans="1:39" ht="15.6" customHeight="1">
      <c r="A11" s="17" t="str">
        <v/>
      </c>
      <c r="B11" s="133">
        <v>6</v>
      </c>
      <c r="C11" s="156">
        <v>2</v>
      </c>
      <c r="D11" s="156">
        <v>2</v>
      </c>
      <c r="E11" s="156">
        <v>1</v>
      </c>
      <c r="F11" s="156">
        <v>2</v>
      </c>
      <c r="G11" s="156">
        <v>2</v>
      </c>
      <c r="H11" s="17" t="str">
        <v/>
      </c>
      <c r="I11" s="143" t="str">
        <v>Worksheet Name</v>
      </c>
      <c r="J11" s="144" t="str">
        <v>Weight</v>
      </c>
      <c r="K11" s="144" t="str">
        <v>RTP</v>
      </c>
      <c r="L11" s="17" t="str">
        <v/>
      </c>
      <c r="M11" s="17" t="str">
        <v/>
      </c>
      <c r="N11" s="133" t="str">
        <v>BF_Symbol</v>
      </c>
      <c r="O11" s="146">
        <v>10000</v>
      </c>
      <c r="P11" s="146">
        <v>0</v>
      </c>
      <c r="Q11" s="146">
        <v>0</v>
      </c>
      <c r="R11" s="146">
        <v>0</v>
      </c>
      <c r="S11" s="146">
        <v>0</v>
      </c>
      <c r="T11" s="146">
        <v>0</v>
      </c>
      <c r="U11" s="146">
        <v>0</v>
      </c>
      <c r="V11" s="146">
        <v>0</v>
      </c>
      <c r="W11" s="146">
        <v>0</v>
      </c>
      <c r="X11" s="146">
        <v>0</v>
      </c>
      <c r="Y11" s="146">
        <v>0</v>
      </c>
      <c r="Z11" s="146">
        <v>0</v>
      </c>
      <c r="AA11" s="146">
        <v>0</v>
      </c>
      <c r="AB11" s="160">
        <v>0</v>
      </c>
      <c r="AC11" s="133" t="str">
        <v>BF_Symbol</v>
      </c>
      <c r="AD11" s="146">
        <v>0</v>
      </c>
      <c r="AE11" s="146">
        <v>0</v>
      </c>
      <c r="AF11" s="146">
        <v>0</v>
      </c>
      <c r="AG11" s="146">
        <v>0</v>
      </c>
      <c r="AH11" s="146">
        <v>0</v>
      </c>
      <c r="AI11" s="146">
        <v>0</v>
      </c>
      <c r="AJ11" s="146">
        <v>0</v>
      </c>
      <c r="AK11" s="146">
        <v>0</v>
      </c>
      <c r="AL11" s="146">
        <v>0</v>
      </c>
      <c r="AM11" s="17" t="str">
        <v/>
      </c>
    </row>
    <row r="12" spans="1:39" ht="15.6" customHeight="1">
      <c r="A12" s="17" t="str">
        <v/>
      </c>
      <c r="B12" s="133">
        <v>7</v>
      </c>
      <c r="C12" s="156">
        <v>1</v>
      </c>
      <c r="D12" s="156">
        <v>2</v>
      </c>
      <c r="E12" s="156">
        <v>2</v>
      </c>
      <c r="F12" s="156">
        <v>2</v>
      </c>
      <c r="G12" s="156">
        <v>1</v>
      </c>
      <c r="H12" s="17" t="str">
        <v/>
      </c>
      <c r="I12" s="133" t="str">
        <v>FG_Symbol</v>
      </c>
      <c r="J12" s="145">
        <v>10000</v>
      </c>
      <c r="K12" s="171" t="str">
        <v/>
      </c>
      <c r="L12" s="149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>
      <c r="A13" s="17" t="str">
        <v/>
      </c>
      <c r="B13" s="133">
        <v>8</v>
      </c>
      <c r="C13" s="156">
        <v>1</v>
      </c>
      <c r="D13" s="156">
        <v>0</v>
      </c>
      <c r="E13" s="156">
        <v>0</v>
      </c>
      <c r="F13" s="156">
        <v>0</v>
      </c>
      <c r="G13" s="156">
        <v>1</v>
      </c>
      <c r="H13" s="17" t="str">
        <v/>
      </c>
      <c r="I13" s="133" t="str">
        <v>FG_Symbol (2)</v>
      </c>
      <c r="J13" s="146">
        <v>0</v>
      </c>
      <c r="K13" s="133" t="str">
        <v/>
      </c>
      <c r="L13" s="149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>
      <c r="A14" s="17" t="str">
        <v/>
      </c>
      <c r="B14" s="133">
        <v>9</v>
      </c>
      <c r="C14" s="156">
        <v>0</v>
      </c>
      <c r="D14" s="156">
        <v>1</v>
      </c>
      <c r="E14" s="156">
        <v>1</v>
      </c>
      <c r="F14" s="156">
        <v>1</v>
      </c>
      <c r="G14" s="156">
        <v>0</v>
      </c>
      <c r="H14" s="17" t="str">
        <v/>
      </c>
      <c r="I14" s="133" t="str">
        <v>FG_Symbol (3)</v>
      </c>
      <c r="J14" s="146">
        <v>0</v>
      </c>
      <c r="K14" s="133" t="str">
        <v/>
      </c>
      <c r="L14" s="149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>
      <c r="A15" s="17" t="str">
        <v/>
      </c>
      <c r="B15" s="133">
        <v>10</v>
      </c>
      <c r="C15" s="156">
        <v>2</v>
      </c>
      <c r="D15" s="156">
        <v>1</v>
      </c>
      <c r="E15" s="156">
        <v>1</v>
      </c>
      <c r="F15" s="156">
        <v>1</v>
      </c>
      <c r="G15" s="156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4" t="str">
        <v>Worksheet Name \ Multiple</v>
      </c>
      <c r="O15" s="144">
        <v>0</v>
      </c>
      <c r="P15" s="144">
        <v>2</v>
      </c>
      <c r="Q15" s="144">
        <v>3</v>
      </c>
      <c r="R15" s="144">
        <v>5</v>
      </c>
      <c r="S15" s="144">
        <v>8</v>
      </c>
      <c r="T15" s="144">
        <v>10</v>
      </c>
      <c r="U15" s="144">
        <v>15</v>
      </c>
      <c r="V15" s="144">
        <v>20</v>
      </c>
      <c r="W15" s="144">
        <v>25</v>
      </c>
      <c r="X15" s="144">
        <v>35</v>
      </c>
      <c r="Y15" s="144">
        <v>50</v>
      </c>
      <c r="Z15" s="144">
        <v>80</v>
      </c>
      <c r="AA15" s="144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>
      <c r="A16" s="17" t="str">
        <v/>
      </c>
      <c r="B16" s="133">
        <v>11</v>
      </c>
      <c r="C16" s="156">
        <v>1</v>
      </c>
      <c r="D16" s="156">
        <v>1</v>
      </c>
      <c r="E16" s="156">
        <v>0</v>
      </c>
      <c r="F16" s="156">
        <v>1</v>
      </c>
      <c r="G16" s="156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1" t="str">
        <v>BG_Symbol</v>
      </c>
      <c r="O16" s="146">
        <v>10000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60">
        <v>0</v>
      </c>
      <c r="AC16" s="17" t="str">
        <v/>
      </c>
      <c r="AD16" s="172" t="str">
        <v/>
      </c>
      <c r="AE16" s="172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>
      <c r="A17" s="17" t="str">
        <v/>
      </c>
      <c r="B17" s="133">
        <v>12</v>
      </c>
      <c r="C17" s="156">
        <v>1</v>
      </c>
      <c r="D17" s="156">
        <v>1</v>
      </c>
      <c r="E17" s="156">
        <v>2</v>
      </c>
      <c r="F17" s="156">
        <v>1</v>
      </c>
      <c r="G17" s="156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46">
        <v>0</v>
      </c>
      <c r="P17" s="146">
        <v>6000</v>
      </c>
      <c r="Q17" s="146">
        <v>2600</v>
      </c>
      <c r="R17" s="146">
        <v>900</v>
      </c>
      <c r="S17" s="146">
        <v>500</v>
      </c>
      <c r="T17" s="146">
        <v>0</v>
      </c>
      <c r="U17" s="146">
        <v>0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60">
        <v>2.8299999999999996</v>
      </c>
      <c r="AC17" s="17" t="str">
        <v/>
      </c>
      <c r="AD17" s="172" t="str">
        <v/>
      </c>
      <c r="AE17" s="172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>
      <c r="A18" s="17" t="str">
        <v/>
      </c>
      <c r="B18" s="133">
        <v>13</v>
      </c>
      <c r="C18" s="156">
        <v>1</v>
      </c>
      <c r="D18" s="156">
        <v>0</v>
      </c>
      <c r="E18" s="156">
        <v>1</v>
      </c>
      <c r="F18" s="156">
        <v>0</v>
      </c>
      <c r="G18" s="156">
        <v>1</v>
      </c>
      <c r="H18" s="17" t="str">
        <v/>
      </c>
      <c r="I18" s="143" t="str">
        <v>Worksheet Name</v>
      </c>
      <c r="J18" s="144" t="str">
        <v>Weight</v>
      </c>
      <c r="K18" s="144" t="str">
        <v>RTP</v>
      </c>
      <c r="L18" s="17" t="str">
        <v/>
      </c>
      <c r="M18" s="17" t="str">
        <v/>
      </c>
      <c r="N18" s="133" t="str">
        <v>BG_Symbol (3)</v>
      </c>
      <c r="O18" s="146">
        <v>10000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60">
        <v>0</v>
      </c>
      <c r="AC18" s="17" t="str">
        <v/>
      </c>
      <c r="AD18" s="172" t="str">
        <v/>
      </c>
      <c r="AE18" s="172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>
      <c r="A19" s="17" t="str">
        <v/>
      </c>
      <c r="B19" s="133">
        <v>14</v>
      </c>
      <c r="C19" s="156">
        <v>1</v>
      </c>
      <c r="D19" s="156">
        <v>2</v>
      </c>
      <c r="E19" s="156">
        <v>1</v>
      </c>
      <c r="F19" s="156">
        <v>2</v>
      </c>
      <c r="G19" s="156">
        <v>1</v>
      </c>
      <c r="H19" s="17" t="str">
        <v/>
      </c>
      <c r="I19" s="133" t="str">
        <v>FG_Symbol</v>
      </c>
      <c r="J19" s="145">
        <v>10000</v>
      </c>
      <c r="K19" s="171" t="str">
        <v/>
      </c>
      <c r="L19" s="149">
        <v>1</v>
      </c>
      <c r="M19" s="17" t="str">
        <v/>
      </c>
      <c r="N19" s="133" t="str">
        <v>FG_Symbol</v>
      </c>
      <c r="O19" s="146">
        <v>0</v>
      </c>
      <c r="P19" s="146">
        <v>6700</v>
      </c>
      <c r="Q19" s="146">
        <v>2600</v>
      </c>
      <c r="R19" s="146">
        <v>500</v>
      </c>
      <c r="S19" s="146">
        <v>200</v>
      </c>
      <c r="T19" s="146">
        <v>0</v>
      </c>
      <c r="U19" s="146">
        <v>0</v>
      </c>
      <c r="V19" s="146">
        <v>0</v>
      </c>
      <c r="W19" s="146">
        <v>0</v>
      </c>
      <c r="X19" s="146">
        <v>0</v>
      </c>
      <c r="Y19" s="146">
        <v>0</v>
      </c>
      <c r="Z19" s="146">
        <v>0</v>
      </c>
      <c r="AA19" s="146">
        <v>0</v>
      </c>
      <c r="AB19" s="160">
        <v>2.5300000000000002</v>
      </c>
      <c r="AC19" s="17" t="str">
        <v/>
      </c>
      <c r="AD19" s="172" t="str">
        <v/>
      </c>
      <c r="AE19" s="172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>
      <c r="A20" s="17" t="str">
        <v/>
      </c>
      <c r="B20" s="133">
        <v>15</v>
      </c>
      <c r="C20" s="156">
        <v>0</v>
      </c>
      <c r="D20" s="156">
        <v>1</v>
      </c>
      <c r="E20" s="156">
        <v>0</v>
      </c>
      <c r="F20" s="156">
        <v>1</v>
      </c>
      <c r="G20" s="156">
        <v>0</v>
      </c>
      <c r="H20" s="17" t="str">
        <v/>
      </c>
      <c r="I20" s="133" t="str">
        <v>FG_Symbol (2)</v>
      </c>
      <c r="J20" s="146">
        <v>0</v>
      </c>
      <c r="K20" s="133" t="str">
        <v/>
      </c>
      <c r="L20" s="149">
        <v>0</v>
      </c>
      <c r="M20" s="17" t="str">
        <v/>
      </c>
      <c r="N20" s="133" t="str">
        <v>FG_Symbol (2)</v>
      </c>
      <c r="O20" s="146">
        <v>0</v>
      </c>
      <c r="P20" s="146">
        <v>6700</v>
      </c>
      <c r="Q20" s="146">
        <v>2600</v>
      </c>
      <c r="R20" s="146">
        <v>500</v>
      </c>
      <c r="S20" s="146">
        <v>200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60">
        <v>2.5300000000000002</v>
      </c>
      <c r="AC20" s="17" t="str">
        <v/>
      </c>
      <c r="AD20" s="172" t="str">
        <v/>
      </c>
      <c r="AE20" s="172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>
      <c r="A21" s="17" t="str">
        <v/>
      </c>
      <c r="B21" s="133">
        <v>16</v>
      </c>
      <c r="C21" s="156">
        <v>2</v>
      </c>
      <c r="D21" s="156">
        <v>1</v>
      </c>
      <c r="E21" s="156">
        <v>2</v>
      </c>
      <c r="F21" s="156">
        <v>1</v>
      </c>
      <c r="G21" s="156">
        <v>2</v>
      </c>
      <c r="H21" s="17" t="str">
        <v/>
      </c>
      <c r="I21" s="133" t="str">
        <v>FG_Symbol (3)</v>
      </c>
      <c r="J21" s="146">
        <v>0</v>
      </c>
      <c r="K21" s="133" t="str">
        <v/>
      </c>
      <c r="L21" s="149">
        <v>0</v>
      </c>
      <c r="M21" s="17" t="str">
        <v/>
      </c>
      <c r="N21" s="133" t="str">
        <v>FG_Symbol (3)</v>
      </c>
      <c r="O21" s="146">
        <v>0</v>
      </c>
      <c r="P21" s="146">
        <v>6700</v>
      </c>
      <c r="Q21" s="146">
        <v>2600</v>
      </c>
      <c r="R21" s="146">
        <v>500</v>
      </c>
      <c r="S21" s="146">
        <v>200</v>
      </c>
      <c r="T21" s="146">
        <v>0</v>
      </c>
      <c r="U21" s="146">
        <v>0</v>
      </c>
      <c r="V21" s="146">
        <v>0</v>
      </c>
      <c r="W21" s="146">
        <v>0</v>
      </c>
      <c r="X21" s="146">
        <v>0</v>
      </c>
      <c r="Y21" s="146">
        <v>0</v>
      </c>
      <c r="Z21" s="146">
        <v>0</v>
      </c>
      <c r="AA21" s="146">
        <v>0</v>
      </c>
      <c r="AB21" s="160">
        <v>2.5300000000000002</v>
      </c>
      <c r="AC21" s="17" t="str">
        <v/>
      </c>
      <c r="AD21" s="172" t="str">
        <v/>
      </c>
      <c r="AE21" s="172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>
      <c r="A22" s="17" t="str">
        <v/>
      </c>
      <c r="B22" s="133">
        <v>17</v>
      </c>
      <c r="C22" s="156">
        <v>0</v>
      </c>
      <c r="D22" s="156">
        <v>0</v>
      </c>
      <c r="E22" s="156">
        <v>1</v>
      </c>
      <c r="F22" s="156">
        <v>2</v>
      </c>
      <c r="G22" s="156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6">
        <v>10000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60">
        <v>0</v>
      </c>
      <c r="AC22" s="17" t="str">
        <v/>
      </c>
      <c r="AD22" s="172" t="str">
        <v/>
      </c>
      <c r="AE22" s="172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>
      <c r="A23" s="17" t="str">
        <v/>
      </c>
      <c r="B23" s="133">
        <v>18</v>
      </c>
      <c r="C23" s="156">
        <v>2</v>
      </c>
      <c r="D23" s="156">
        <v>2</v>
      </c>
      <c r="E23" s="156">
        <v>1</v>
      </c>
      <c r="F23" s="156">
        <v>0</v>
      </c>
      <c r="G23" s="156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>
      <c r="A24" s="17" t="str">
        <v/>
      </c>
      <c r="B24" s="133">
        <v>19</v>
      </c>
      <c r="C24" s="156">
        <v>0</v>
      </c>
      <c r="D24" s="156">
        <v>2</v>
      </c>
      <c r="E24" s="156">
        <v>0</v>
      </c>
      <c r="F24" s="156">
        <v>2</v>
      </c>
      <c r="G24" s="156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4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5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4" t="str">
        <v>Worksheet Name \ Multiple</v>
      </c>
      <c r="O26" s="144">
        <v>0</v>
      </c>
      <c r="P26" s="144">
        <v>2</v>
      </c>
      <c r="Q26" s="144">
        <v>3</v>
      </c>
      <c r="R26" s="144">
        <v>5</v>
      </c>
      <c r="S26" s="144">
        <v>8</v>
      </c>
      <c r="T26" s="144">
        <v>10</v>
      </c>
      <c r="U26" s="144">
        <v>15</v>
      </c>
      <c r="V26" s="144">
        <v>20</v>
      </c>
      <c r="W26" s="144">
        <v>25</v>
      </c>
      <c r="X26" s="144">
        <v>35</v>
      </c>
      <c r="Y26" s="144">
        <v>50</v>
      </c>
      <c r="Z26" s="144">
        <v>80</v>
      </c>
      <c r="AA26" s="144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6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1" t="str">
        <v>BG_Symbol</v>
      </c>
      <c r="O27" s="146">
        <v>10000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46">
        <v>0</v>
      </c>
      <c r="AB27" s="160">
        <v>0</v>
      </c>
      <c r="AC27" s="17" t="str">
        <v/>
      </c>
      <c r="AD27" s="172" t="str">
        <v/>
      </c>
      <c r="AE27" s="172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6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46">
        <v>0</v>
      </c>
      <c r="P28" s="146">
        <v>6450</v>
      </c>
      <c r="Q28" s="146">
        <v>2600</v>
      </c>
      <c r="R28" s="146">
        <v>700</v>
      </c>
      <c r="S28" s="146">
        <v>250</v>
      </c>
      <c r="T28" s="146">
        <v>0</v>
      </c>
      <c r="U28" s="146">
        <v>0</v>
      </c>
      <c r="V28" s="146">
        <v>0</v>
      </c>
      <c r="W28" s="146">
        <v>0</v>
      </c>
      <c r="X28" s="146">
        <v>0</v>
      </c>
      <c r="Y28" s="146">
        <v>0</v>
      </c>
      <c r="Z28" s="146">
        <v>0</v>
      </c>
      <c r="AA28" s="146">
        <v>0</v>
      </c>
      <c r="AB28" s="160">
        <v>2.6200000000000006</v>
      </c>
      <c r="AC28" s="17" t="str">
        <v/>
      </c>
      <c r="AD28" s="172" t="str">
        <v/>
      </c>
      <c r="AE28" s="172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6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6">
        <v>10000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60">
        <v>0</v>
      </c>
      <c r="AC29" s="17" t="str">
        <v/>
      </c>
      <c r="AD29" s="172" t="str">
        <v/>
      </c>
      <c r="AE29" s="172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6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46">
        <v>0</v>
      </c>
      <c r="P30" s="146">
        <v>7200</v>
      </c>
      <c r="Q30" s="146">
        <v>2500</v>
      </c>
      <c r="R30" s="146">
        <v>250</v>
      </c>
      <c r="S30" s="146">
        <v>50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46">
        <v>0</v>
      </c>
      <c r="AB30" s="160">
        <v>2.355</v>
      </c>
      <c r="AC30" s="17" t="str">
        <v/>
      </c>
      <c r="AD30" s="172" t="str">
        <v/>
      </c>
      <c r="AE30" s="172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6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46">
        <v>0</v>
      </c>
      <c r="P31" s="146">
        <v>7200</v>
      </c>
      <c r="Q31" s="146">
        <v>2500</v>
      </c>
      <c r="R31" s="146">
        <v>250</v>
      </c>
      <c r="S31" s="146">
        <v>50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60">
        <v>2.355</v>
      </c>
      <c r="AC31" s="17" t="str">
        <v/>
      </c>
      <c r="AD31" s="172" t="str">
        <v/>
      </c>
      <c r="AE31" s="172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6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46">
        <v>0</v>
      </c>
      <c r="P32" s="146">
        <v>7200</v>
      </c>
      <c r="Q32" s="146">
        <v>2500</v>
      </c>
      <c r="R32" s="146">
        <v>250</v>
      </c>
      <c r="S32" s="146">
        <v>50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60">
        <v>2.355</v>
      </c>
      <c r="AC32" s="17" t="str">
        <v/>
      </c>
      <c r="AD32" s="172" t="str">
        <v/>
      </c>
      <c r="AE32" s="172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6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6">
        <v>10000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60">
        <v>0</v>
      </c>
      <c r="AC33" s="17" t="str">
        <v/>
      </c>
      <c r="AD33" s="172" t="str">
        <v/>
      </c>
      <c r="AE33" s="172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6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6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 t="str">
        <v/>
      </c>
      <c r="U35" s="17" t="str">
        <v/>
      </c>
      <c r="V35" s="17" t="str">
        <v/>
      </c>
      <c r="W35" s="17" t="str">
        <v/>
      </c>
      <c r="X35" s="17" t="str">
        <v/>
      </c>
      <c r="Y35" s="17" t="str">
        <v/>
      </c>
      <c r="Z35" s="17" t="str">
        <v/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6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6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4" t="str">
        <v>Worksheet Name \ Multiple</v>
      </c>
      <c r="O37" s="144">
        <v>0</v>
      </c>
      <c r="P37" s="144">
        <v>2</v>
      </c>
      <c r="Q37" s="144">
        <v>3</v>
      </c>
      <c r="R37" s="144">
        <v>5</v>
      </c>
      <c r="S37" s="144">
        <v>8</v>
      </c>
      <c r="T37" s="144">
        <v>10</v>
      </c>
      <c r="U37" s="144">
        <v>15</v>
      </c>
      <c r="V37" s="144">
        <v>20</v>
      </c>
      <c r="W37" s="144">
        <v>25</v>
      </c>
      <c r="X37" s="144">
        <v>35</v>
      </c>
      <c r="Y37" s="144">
        <v>50</v>
      </c>
      <c r="Z37" s="144">
        <v>80</v>
      </c>
      <c r="AA37" s="144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6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6">
        <v>8100</v>
      </c>
      <c r="P38" s="146">
        <v>800</v>
      </c>
      <c r="Q38" s="146">
        <v>700</v>
      </c>
      <c r="R38" s="146">
        <v>200</v>
      </c>
      <c r="S38" s="146">
        <v>200</v>
      </c>
      <c r="T38" s="146">
        <v>0</v>
      </c>
      <c r="U38" s="146">
        <v>0</v>
      </c>
      <c r="V38" s="146">
        <v>0</v>
      </c>
      <c r="W38" s="146">
        <v>0</v>
      </c>
      <c r="X38" s="146">
        <v>0</v>
      </c>
      <c r="Y38" s="146">
        <v>0</v>
      </c>
      <c r="Z38" s="146">
        <v>0</v>
      </c>
      <c r="AA38" s="146">
        <v>0</v>
      </c>
      <c r="AB38" s="160">
        <v>0.63</v>
      </c>
      <c r="AC38" s="160" t="str">
        <v/>
      </c>
      <c r="AD38" s="172" t="str">
        <v/>
      </c>
      <c r="AE38" s="172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6">
        <v>8100</v>
      </c>
      <c r="P39" s="146">
        <v>800</v>
      </c>
      <c r="Q39" s="146">
        <v>700</v>
      </c>
      <c r="R39" s="146">
        <v>200</v>
      </c>
      <c r="S39" s="146">
        <v>200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60">
        <v>0.63</v>
      </c>
      <c r="AC39" s="160" t="str">
        <v/>
      </c>
      <c r="AD39" s="172" t="str">
        <v/>
      </c>
      <c r="AE39" s="172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6">
        <v>7900</v>
      </c>
      <c r="P40" s="146">
        <v>1100</v>
      </c>
      <c r="Q40" s="146">
        <v>800</v>
      </c>
      <c r="R40" s="146">
        <v>100</v>
      </c>
      <c r="S40" s="146">
        <v>100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60">
        <v>0.59</v>
      </c>
      <c r="AC40" s="160" t="str">
        <v/>
      </c>
      <c r="AD40" s="172" t="str">
        <v/>
      </c>
      <c r="AE40" s="172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6">
        <v>8300</v>
      </c>
      <c r="P41" s="146">
        <v>800</v>
      </c>
      <c r="Q41" s="146">
        <v>700</v>
      </c>
      <c r="R41" s="146">
        <v>150</v>
      </c>
      <c r="S41" s="146">
        <v>50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60">
        <v>0.48499999999999999</v>
      </c>
      <c r="AC41" s="160" t="str">
        <v/>
      </c>
      <c r="AD41" s="172" t="str">
        <v/>
      </c>
      <c r="AE41" s="172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3" t="str">
        <v/>
      </c>
      <c r="J42" s="144" t="str">
        <v xml:space="preserve"> A</v>
      </c>
      <c r="K42" s="144" t="str">
        <v>B</v>
      </c>
      <c r="L42" s="17" t="str">
        <v/>
      </c>
      <c r="M42" s="17" t="str">
        <v/>
      </c>
      <c r="N42" s="133" t="str">
        <v>FG_Symbol (2)</v>
      </c>
      <c r="O42" s="146">
        <v>8300</v>
      </c>
      <c r="P42" s="146">
        <v>800</v>
      </c>
      <c r="Q42" s="146">
        <v>700</v>
      </c>
      <c r="R42" s="146">
        <v>150</v>
      </c>
      <c r="S42" s="146">
        <v>50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60">
        <v>0.48499999999999999</v>
      </c>
      <c r="AC42" s="160" t="str">
        <v/>
      </c>
      <c r="AD42" s="172" t="str">
        <v/>
      </c>
      <c r="AE42" s="172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5">
        <v>10</v>
      </c>
      <c r="K43" s="145">
        <v>0</v>
      </c>
      <c r="L43" s="17" t="str">
        <v/>
      </c>
      <c r="M43" s="17" t="str">
        <v/>
      </c>
      <c r="N43" s="133" t="str">
        <v>FG_Symbol (3)</v>
      </c>
      <c r="O43" s="146">
        <v>8300</v>
      </c>
      <c r="P43" s="146">
        <v>800</v>
      </c>
      <c r="Q43" s="146">
        <v>700</v>
      </c>
      <c r="R43" s="146">
        <v>150</v>
      </c>
      <c r="S43" s="146">
        <v>50</v>
      </c>
      <c r="T43" s="146">
        <v>0</v>
      </c>
      <c r="U43" s="146">
        <v>0</v>
      </c>
      <c r="V43" s="146">
        <v>0</v>
      </c>
      <c r="W43" s="146">
        <v>0</v>
      </c>
      <c r="X43" s="146">
        <v>0</v>
      </c>
      <c r="Y43" s="146">
        <v>0</v>
      </c>
      <c r="Z43" s="146">
        <v>0</v>
      </c>
      <c r="AA43" s="146">
        <v>0</v>
      </c>
      <c r="AB43" s="160">
        <v>0.48499999999999999</v>
      </c>
      <c r="AC43" s="160" t="str">
        <v/>
      </c>
      <c r="AD43" s="172" t="str">
        <v/>
      </c>
      <c r="AE43" s="172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6">
        <v>10</v>
      </c>
      <c r="K44" s="146">
        <v>0</v>
      </c>
      <c r="L44" s="17" t="str">
        <v/>
      </c>
      <c r="M44" s="17" t="str">
        <v/>
      </c>
      <c r="N44" s="133" t="str">
        <v>BF_Symbol</v>
      </c>
      <c r="O44" s="146">
        <v>10000</v>
      </c>
      <c r="P44" s="146">
        <v>0</v>
      </c>
      <c r="Q44" s="146">
        <v>0</v>
      </c>
      <c r="R44" s="146">
        <v>0</v>
      </c>
      <c r="S44" s="146">
        <v>0</v>
      </c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60">
        <v>0</v>
      </c>
      <c r="AC44" s="160" t="str">
        <v/>
      </c>
      <c r="AD44" s="172" t="str">
        <v/>
      </c>
      <c r="AE44" s="172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4" t="str">
        <v>Worksheet Name \ Multiple</v>
      </c>
      <c r="O48" s="144">
        <v>0</v>
      </c>
      <c r="P48" s="144">
        <v>2</v>
      </c>
      <c r="Q48" s="144">
        <v>3</v>
      </c>
      <c r="R48" s="144">
        <v>5</v>
      </c>
      <c r="S48" s="144">
        <v>8</v>
      </c>
      <c r="T48" s="144">
        <v>10</v>
      </c>
      <c r="U48" s="144">
        <v>15</v>
      </c>
      <c r="V48" s="144">
        <v>20</v>
      </c>
      <c r="W48" s="144">
        <v>25</v>
      </c>
      <c r="X48" s="144">
        <v>35</v>
      </c>
      <c r="Y48" s="144">
        <v>50</v>
      </c>
      <c r="Z48" s="144">
        <v>80</v>
      </c>
      <c r="AA48" s="144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6">
        <v>8000</v>
      </c>
      <c r="P49" s="146">
        <v>1000</v>
      </c>
      <c r="Q49" s="146">
        <v>800</v>
      </c>
      <c r="R49" s="146">
        <v>100</v>
      </c>
      <c r="S49" s="146">
        <v>100</v>
      </c>
      <c r="T49" s="146">
        <v>0</v>
      </c>
      <c r="U49" s="146">
        <v>0</v>
      </c>
      <c r="V49" s="146">
        <v>0</v>
      </c>
      <c r="W49" s="146">
        <v>0</v>
      </c>
      <c r="X49" s="146">
        <v>0</v>
      </c>
      <c r="Y49" s="146">
        <v>0</v>
      </c>
      <c r="Z49" s="146">
        <v>0</v>
      </c>
      <c r="AA49" s="146">
        <v>0</v>
      </c>
      <c r="AB49" s="160">
        <v>0.56999999999999995</v>
      </c>
      <c r="AC49" s="160" t="str">
        <v/>
      </c>
      <c r="AD49" s="172" t="str">
        <v/>
      </c>
      <c r="AE49" s="172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6">
        <v>8000</v>
      </c>
      <c r="P50" s="146">
        <v>1000</v>
      </c>
      <c r="Q50" s="146">
        <v>800</v>
      </c>
      <c r="R50" s="146">
        <v>100</v>
      </c>
      <c r="S50" s="146">
        <v>100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60">
        <v>0.56999999999999995</v>
      </c>
      <c r="AC50" s="160" t="str">
        <v/>
      </c>
      <c r="AD50" s="172" t="str">
        <v/>
      </c>
      <c r="AE50" s="172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6">
        <v>7600</v>
      </c>
      <c r="P51" s="146">
        <v>1300</v>
      </c>
      <c r="Q51" s="146">
        <v>1000</v>
      </c>
      <c r="R51" s="146">
        <v>50</v>
      </c>
      <c r="S51" s="146">
        <v>50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60">
        <v>0.62500000000000011</v>
      </c>
      <c r="AC51" s="160" t="str">
        <v/>
      </c>
      <c r="AD51" s="172" t="str">
        <v/>
      </c>
      <c r="AE51" s="172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6">
        <v>8100</v>
      </c>
      <c r="P52" s="146">
        <v>1000</v>
      </c>
      <c r="Q52" s="146">
        <v>800</v>
      </c>
      <c r="R52" s="146">
        <v>75</v>
      </c>
      <c r="S52" s="146">
        <v>25</v>
      </c>
      <c r="T52" s="146">
        <v>0</v>
      </c>
      <c r="U52" s="146">
        <v>0</v>
      </c>
      <c r="V52" s="146">
        <v>0</v>
      </c>
      <c r="W52" s="146">
        <v>0</v>
      </c>
      <c r="X52" s="146">
        <v>0</v>
      </c>
      <c r="Y52" s="146">
        <v>0</v>
      </c>
      <c r="Z52" s="146">
        <v>0</v>
      </c>
      <c r="AA52" s="146">
        <v>0</v>
      </c>
      <c r="AB52" s="160">
        <v>0.4975</v>
      </c>
      <c r="AC52" s="160" t="str">
        <v/>
      </c>
      <c r="AD52" s="172" t="str">
        <v/>
      </c>
      <c r="AE52" s="172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6">
        <v>8100</v>
      </c>
      <c r="P53" s="146">
        <v>1000</v>
      </c>
      <c r="Q53" s="146">
        <v>800</v>
      </c>
      <c r="R53" s="146">
        <v>75</v>
      </c>
      <c r="S53" s="146">
        <v>25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60">
        <v>0.4975</v>
      </c>
      <c r="AC53" s="160" t="str">
        <v/>
      </c>
      <c r="AD53" s="172" t="str">
        <v/>
      </c>
      <c r="AE53" s="172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6">
        <v>8100</v>
      </c>
      <c r="P54" s="146">
        <v>1000</v>
      </c>
      <c r="Q54" s="146">
        <v>800</v>
      </c>
      <c r="R54" s="146">
        <v>75</v>
      </c>
      <c r="S54" s="146">
        <v>25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60">
        <v>0.4975</v>
      </c>
      <c r="AC54" s="160" t="str">
        <v/>
      </c>
      <c r="AD54" s="172" t="str">
        <v/>
      </c>
      <c r="AE54" s="172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6">
        <v>10000</v>
      </c>
      <c r="P55" s="146">
        <v>0</v>
      </c>
      <c r="Q55" s="146">
        <v>0</v>
      </c>
      <c r="R55" s="146">
        <v>0</v>
      </c>
      <c r="S55" s="146">
        <v>0</v>
      </c>
      <c r="T55" s="146">
        <v>0</v>
      </c>
      <c r="U55" s="146">
        <v>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46">
        <v>0</v>
      </c>
      <c r="AB55" s="160">
        <v>0</v>
      </c>
      <c r="AC55" s="160" t="str">
        <v/>
      </c>
      <c r="AD55" s="172" t="str">
        <v/>
      </c>
      <c r="AE55" s="172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30" hidden="1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E14" sqref="E14"/>
    </sheetView>
  </sheetViews>
  <sheetFormatPr defaultRowHeight="16.2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>
      <c r="B3" s="20" t="str" cm="1">
        <f t="array" ref="B3:B68">Multiplier_Weight_Oldhand!H14:H79</f>
        <v>Range</v>
      </c>
      <c r="C3" s="20" t="s">
        <v>213</v>
      </c>
      <c r="D3" s="144" t="s">
        <v>216</v>
      </c>
      <c r="E3" s="20" t="s">
        <v>214</v>
      </c>
      <c r="F3" s="20" t="s">
        <v>215</v>
      </c>
    </row>
    <row r="4" spans="2:14">
      <c r="B4" s="61" t="str">
        <v>(-1, 0]</v>
      </c>
      <c r="C4" s="150" cm="1">
        <f t="array" ref="C4:C68">Multiplier_Weight_Oldhand!L15:L79</f>
        <v>710192417</v>
      </c>
      <c r="D4" s="150">
        <f>SUM($C$4:C4)</f>
        <v>710192417</v>
      </c>
      <c r="E4" s="150" cm="1">
        <f t="array" ref="E4:E67">Multiplier_Weight_Oldhand!L87:L150</f>
        <v>0</v>
      </c>
      <c r="F4" s="150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>
      <c r="B5" s="61" t="str">
        <v>(0, 1]</v>
      </c>
      <c r="C5" s="150">
        <v>156605012</v>
      </c>
      <c r="D5" s="150">
        <f>SUM($C$4:C5)</f>
        <v>866797429</v>
      </c>
      <c r="E5" s="150">
        <v>0</v>
      </c>
      <c r="F5" s="150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>
      <c r="B6" s="61" t="str">
        <v>(1, 2]</v>
      </c>
      <c r="C6" s="150">
        <v>36354710</v>
      </c>
      <c r="D6" s="150">
        <f>SUM($C$4:C6)</f>
        <v>903152139</v>
      </c>
      <c r="E6" s="150">
        <v>0</v>
      </c>
      <c r="F6" s="150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>
      <c r="B7" s="61" t="str">
        <v>(2, 3]</v>
      </c>
      <c r="C7" s="150">
        <v>17104359</v>
      </c>
      <c r="D7" s="150">
        <f>SUM($C$4:C7)</f>
        <v>920256498</v>
      </c>
      <c r="E7" s="150">
        <v>0</v>
      </c>
      <c r="F7" s="150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>
      <c r="B8" s="61" t="str">
        <v>(3, 4]</v>
      </c>
      <c r="C8" s="150">
        <v>8904772</v>
      </c>
      <c r="D8" s="150">
        <f>SUM($C$4:C8)</f>
        <v>929161270</v>
      </c>
      <c r="E8" s="150">
        <v>0</v>
      </c>
      <c r="F8" s="150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>
      <c r="B9" s="61" t="str">
        <v>(4, 5]</v>
      </c>
      <c r="C9" s="150">
        <v>6264942</v>
      </c>
      <c r="D9" s="150">
        <f>SUM($C$4:C9)</f>
        <v>935426212</v>
      </c>
      <c r="E9" s="150">
        <v>0</v>
      </c>
      <c r="F9" s="150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>
      <c r="B10" s="61" t="str">
        <v>(5, 6]</v>
      </c>
      <c r="C10" s="150">
        <v>4753489</v>
      </c>
      <c r="D10" s="150">
        <f>SUM($C$4:C10)</f>
        <v>940179701</v>
      </c>
      <c r="E10" s="150">
        <v>0</v>
      </c>
      <c r="F10" s="150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>
      <c r="B11" s="61" t="str">
        <v>(6, 7]</v>
      </c>
      <c r="C11" s="150">
        <v>3104232</v>
      </c>
      <c r="D11" s="150">
        <f>SUM($C$4:C11)</f>
        <v>943283933</v>
      </c>
      <c r="E11" s="150">
        <v>0</v>
      </c>
      <c r="F11" s="150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>
      <c r="B12" s="61" t="str">
        <v>(7, 8]</v>
      </c>
      <c r="C12" s="150">
        <v>3554465</v>
      </c>
      <c r="D12" s="150">
        <f>SUM($C$4:C12)</f>
        <v>946838398</v>
      </c>
      <c r="E12" s="150">
        <v>0</v>
      </c>
      <c r="F12" s="150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>
      <c r="B13" s="61" t="str">
        <v>(8, 9]</v>
      </c>
      <c r="C13" s="150">
        <v>2444549</v>
      </c>
      <c r="D13" s="150">
        <f>SUM($C$4:C13)</f>
        <v>949282947</v>
      </c>
      <c r="E13" s="150">
        <v>0</v>
      </c>
      <c r="F13" s="150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>
      <c r="B14" s="61" t="str">
        <v>(9, 10]</v>
      </c>
      <c r="C14" s="150">
        <v>2575966</v>
      </c>
      <c r="D14" s="150">
        <f>SUM($C$4:C14)</f>
        <v>951858913</v>
      </c>
      <c r="E14" s="150">
        <v>0</v>
      </c>
      <c r="F14" s="150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>
      <c r="B15" s="61" t="str">
        <v>(10, 15]</v>
      </c>
      <c r="C15" s="150">
        <v>8166957</v>
      </c>
      <c r="D15" s="150">
        <f>SUM($C$4:C15)</f>
        <v>960025870</v>
      </c>
      <c r="E15" s="150">
        <v>0</v>
      </c>
      <c r="F15" s="150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>
      <c r="B16" s="124" t="str">
        <v>(15, 20]</v>
      </c>
      <c r="C16" s="150">
        <v>5775394</v>
      </c>
      <c r="D16" s="150">
        <f>SUM($C$4:C16)</f>
        <v>965801264</v>
      </c>
      <c r="E16" s="150">
        <v>0</v>
      </c>
      <c r="F16" s="150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>
      <c r="B17" s="61" t="str">
        <v>(20, 25]</v>
      </c>
      <c r="C17" s="150">
        <v>4037028</v>
      </c>
      <c r="D17" s="150">
        <f>SUM($C$4:C17)</f>
        <v>969838292</v>
      </c>
      <c r="E17" s="150">
        <v>0</v>
      </c>
      <c r="F17" s="150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>
      <c r="B18" s="61" t="str">
        <v>(25, 30]</v>
      </c>
      <c r="C18" s="150">
        <v>3245628</v>
      </c>
      <c r="D18" s="150">
        <f>SUM($C$4:C18)</f>
        <v>973083920</v>
      </c>
      <c r="E18" s="150">
        <v>0</v>
      </c>
      <c r="F18" s="150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>
      <c r="B19" s="61" t="str">
        <v>(30, 35]</v>
      </c>
      <c r="C19" s="150">
        <v>2389367</v>
      </c>
      <c r="D19" s="150">
        <f>SUM($C$4:C19)</f>
        <v>975473287</v>
      </c>
      <c r="E19" s="150">
        <v>0</v>
      </c>
      <c r="F19" s="150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>
      <c r="B20" s="124" t="str">
        <v>(35, 40]</v>
      </c>
      <c r="C20" s="150">
        <v>2207458</v>
      </c>
      <c r="D20" s="150">
        <f>SUM($C$4:C20)</f>
        <v>977680745</v>
      </c>
      <c r="E20" s="150">
        <v>0</v>
      </c>
      <c r="F20" s="150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>
      <c r="B21" s="61" t="str">
        <v>(40, 45]</v>
      </c>
      <c r="C21" s="150">
        <v>1734873</v>
      </c>
      <c r="D21" s="150">
        <f>SUM($C$4:C21)</f>
        <v>979415618</v>
      </c>
      <c r="E21" s="150">
        <v>0</v>
      </c>
      <c r="F21" s="150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>
      <c r="B22" s="61" t="str">
        <v>(45, 50]</v>
      </c>
      <c r="C22" s="150">
        <v>1518438</v>
      </c>
      <c r="D22" s="150">
        <f>SUM($C$4:C22)</f>
        <v>980934056</v>
      </c>
      <c r="E22" s="150">
        <v>0</v>
      </c>
      <c r="F22" s="150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>
      <c r="B23" s="124" t="str">
        <v>(50, 60]</v>
      </c>
      <c r="C23" s="150">
        <v>2460415</v>
      </c>
      <c r="D23" s="150">
        <f>SUM($C$4:C23)</f>
        <v>983394471</v>
      </c>
      <c r="E23" s="150">
        <v>0</v>
      </c>
      <c r="F23" s="150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>
      <c r="B24" s="61" t="str">
        <v>(60, 70]</v>
      </c>
      <c r="C24" s="150">
        <v>1754631</v>
      </c>
      <c r="D24" s="150">
        <f>SUM($C$4:C24)</f>
        <v>985149102</v>
      </c>
      <c r="E24" s="150">
        <v>0</v>
      </c>
      <c r="F24" s="150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>
      <c r="B25" s="61" t="str">
        <v>(70, 80]</v>
      </c>
      <c r="C25" s="150">
        <v>1478923</v>
      </c>
      <c r="D25" s="150">
        <f>SUM($C$4:C25)</f>
        <v>986628025</v>
      </c>
      <c r="E25" s="150">
        <v>0</v>
      </c>
      <c r="F25" s="150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>
      <c r="B26" s="61" t="str">
        <v>(80, 90]</v>
      </c>
      <c r="C26" s="150">
        <v>1172681</v>
      </c>
      <c r="D26" s="150">
        <f>SUM($C$4:C26)</f>
        <v>987800706</v>
      </c>
      <c r="E26" s="150">
        <v>0</v>
      </c>
      <c r="F26" s="150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>
      <c r="B27" s="61" t="str">
        <v>(90, 100]</v>
      </c>
      <c r="C27" s="150">
        <v>991669</v>
      </c>
      <c r="D27" s="150">
        <f>SUM($C$4:C27)</f>
        <v>988792375</v>
      </c>
      <c r="E27" s="150">
        <v>0</v>
      </c>
      <c r="F27" s="150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>
      <c r="B28" s="61" t="str">
        <v>(100, 120]</v>
      </c>
      <c r="C28" s="150">
        <v>1571424</v>
      </c>
      <c r="D28" s="150">
        <f>SUM($C$4:C28)</f>
        <v>990363799</v>
      </c>
      <c r="E28" s="150">
        <v>0</v>
      </c>
      <c r="F28" s="150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>
      <c r="B29" s="61" t="str">
        <v>(120, 140]</v>
      </c>
      <c r="C29" s="150">
        <v>1154120</v>
      </c>
      <c r="D29" s="150">
        <f>SUM($C$4:C29)</f>
        <v>991517919</v>
      </c>
      <c r="E29" s="150">
        <v>0</v>
      </c>
      <c r="F29" s="150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>
      <c r="B30" s="61" t="str">
        <v>(140, 160]</v>
      </c>
      <c r="C30" s="150">
        <v>919724</v>
      </c>
      <c r="D30" s="150">
        <f>SUM($C$4:C30)</f>
        <v>992437643</v>
      </c>
      <c r="E30" s="150">
        <v>0</v>
      </c>
      <c r="F30" s="150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>
      <c r="B31" s="61" t="str">
        <v>(160, 180]</v>
      </c>
      <c r="C31" s="150">
        <v>708777</v>
      </c>
      <c r="D31" s="150">
        <f>SUM($C$4:C31)</f>
        <v>993146420</v>
      </c>
      <c r="E31" s="150">
        <v>0</v>
      </c>
      <c r="F31" s="150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>
      <c r="B32" s="61" t="str">
        <v>(180, 200]</v>
      </c>
      <c r="C32" s="150">
        <v>582249</v>
      </c>
      <c r="D32" s="150">
        <f>SUM($C$4:C32)</f>
        <v>993728669</v>
      </c>
      <c r="E32" s="150">
        <v>0</v>
      </c>
      <c r="F32" s="150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>
      <c r="B33" s="61" t="str">
        <v>(200, 250]</v>
      </c>
      <c r="C33" s="150">
        <v>1058326</v>
      </c>
      <c r="D33" s="150">
        <f>SUM($C$4:C33)</f>
        <v>994786995</v>
      </c>
      <c r="E33" s="150">
        <v>0</v>
      </c>
      <c r="F33" s="150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>
      <c r="B34" s="61" t="str">
        <v>(250, 300]</v>
      </c>
      <c r="C34" s="150">
        <v>721550</v>
      </c>
      <c r="D34" s="150">
        <f>SUM($C$4:C34)</f>
        <v>995508545</v>
      </c>
      <c r="E34" s="150">
        <v>0</v>
      </c>
      <c r="F34" s="150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>
      <c r="B35" s="61" t="str">
        <v>(300, 350]</v>
      </c>
      <c r="C35" s="150">
        <v>498030</v>
      </c>
      <c r="D35" s="150">
        <f>SUM($C$4:C35)</f>
        <v>996006575</v>
      </c>
      <c r="E35" s="150">
        <v>0</v>
      </c>
      <c r="F35" s="150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>
      <c r="B36" s="61" t="str">
        <v>(350, 400]</v>
      </c>
      <c r="C36" s="150">
        <v>352243</v>
      </c>
      <c r="D36" s="150">
        <f>SUM($C$4:C36)</f>
        <v>996358818</v>
      </c>
      <c r="E36" s="150">
        <v>0</v>
      </c>
      <c r="F36" s="150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>
      <c r="B37" s="61" t="str">
        <v>(400, 450]</v>
      </c>
      <c r="C37" s="150">
        <v>272115</v>
      </c>
      <c r="D37" s="150">
        <f>SUM($C$4:C37)</f>
        <v>996630933</v>
      </c>
      <c r="E37" s="150">
        <v>0</v>
      </c>
      <c r="F37" s="150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>
      <c r="B38" s="61" t="str">
        <v>(450, 500]</v>
      </c>
      <c r="C38" s="150">
        <v>197376</v>
      </c>
      <c r="D38" s="150">
        <f>SUM($C$4:C38)</f>
        <v>996828309</v>
      </c>
      <c r="E38" s="150">
        <v>0</v>
      </c>
      <c r="F38" s="150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>
      <c r="B39" s="61" t="str">
        <v>(500, 550]</v>
      </c>
      <c r="C39" s="150">
        <v>161453</v>
      </c>
      <c r="D39" s="150">
        <f>SUM($C$4:C39)</f>
        <v>996989762</v>
      </c>
      <c r="E39" s="150">
        <v>0</v>
      </c>
      <c r="F39" s="150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>
      <c r="B40" s="61" t="str">
        <v>(550, 600]</v>
      </c>
      <c r="C40" s="150">
        <v>118944</v>
      </c>
      <c r="D40" s="150">
        <f>SUM($C$4:C40)</f>
        <v>997108706</v>
      </c>
      <c r="E40" s="150">
        <v>0</v>
      </c>
      <c r="F40" s="150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>
      <c r="B41" s="61" t="str">
        <v>(600, 650]</v>
      </c>
      <c r="C41" s="150">
        <v>106371</v>
      </c>
      <c r="D41" s="150">
        <f>SUM($C$4:C41)</f>
        <v>997215077</v>
      </c>
      <c r="E41" s="150">
        <v>0</v>
      </c>
      <c r="F41" s="150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>
      <c r="B42" s="61" t="str">
        <v>(650, 700]</v>
      </c>
      <c r="C42" s="150">
        <v>84119</v>
      </c>
      <c r="D42" s="150">
        <f>SUM($C$4:C42)</f>
        <v>997299196</v>
      </c>
      <c r="E42" s="150">
        <v>0</v>
      </c>
      <c r="F42" s="150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>
      <c r="B43" s="61" t="str">
        <v>(700, 750]</v>
      </c>
      <c r="C43" s="150">
        <v>68951</v>
      </c>
      <c r="D43" s="150">
        <f>SUM($C$4:C43)</f>
        <v>997368147</v>
      </c>
      <c r="E43" s="150">
        <v>0</v>
      </c>
      <c r="F43" s="150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>
      <c r="B44" s="61" t="str">
        <v>(750, 800]</v>
      </c>
      <c r="C44" s="150">
        <v>60370</v>
      </c>
      <c r="D44" s="150">
        <f>SUM($C$4:C44)</f>
        <v>997428517</v>
      </c>
      <c r="E44" s="150">
        <v>0</v>
      </c>
      <c r="F44" s="150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>
      <c r="B45" s="61" t="str">
        <v>(800, 850]</v>
      </c>
      <c r="C45" s="150">
        <v>49992</v>
      </c>
      <c r="D45" s="150">
        <f>SUM($C$4:C45)</f>
        <v>997478509</v>
      </c>
      <c r="E45" s="150">
        <v>0</v>
      </c>
      <c r="F45" s="150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>
      <c r="B46" s="61" t="str">
        <v>(850, 900]</v>
      </c>
      <c r="C46" s="150">
        <v>40612</v>
      </c>
      <c r="D46" s="150">
        <f>SUM($C$4:C46)</f>
        <v>997519121</v>
      </c>
      <c r="E46" s="150">
        <v>0</v>
      </c>
      <c r="F46" s="150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>
      <c r="B47" s="61" t="str">
        <v>(900, 950]</v>
      </c>
      <c r="C47" s="150">
        <v>36022</v>
      </c>
      <c r="D47" s="150">
        <f>SUM($C$4:C47)</f>
        <v>997555143</v>
      </c>
      <c r="E47" s="150">
        <v>0</v>
      </c>
      <c r="F47" s="150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>
      <c r="B48" s="61" t="str">
        <v>(950, 1000]</v>
      </c>
      <c r="C48" s="150">
        <v>28239</v>
      </c>
      <c r="D48" s="150">
        <f>SUM($C$4:C48)</f>
        <v>997583382</v>
      </c>
      <c r="E48" s="150">
        <v>0</v>
      </c>
      <c r="F48" s="150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>
      <c r="B49" s="61" t="str">
        <v>(1000, 2000]</v>
      </c>
      <c r="C49" s="150">
        <v>214239</v>
      </c>
      <c r="D49" s="150">
        <f>SUM($C$4:C49)</f>
        <v>997797621</v>
      </c>
      <c r="E49" s="150">
        <v>0</v>
      </c>
      <c r="F49" s="150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>
      <c r="B50" s="61" t="str">
        <v>(2000, 3000]</v>
      </c>
      <c r="C50" s="150">
        <v>33328</v>
      </c>
      <c r="D50" s="150">
        <f>SUM($C$4:C50)</f>
        <v>997830949</v>
      </c>
      <c r="E50" s="150">
        <v>0</v>
      </c>
      <c r="F50" s="150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>
      <c r="B51" s="61" t="str">
        <v>(3000, 4000]</v>
      </c>
      <c r="C51" s="150">
        <v>10078</v>
      </c>
      <c r="D51" s="150">
        <f>SUM($C$4:C51)</f>
        <v>997841027</v>
      </c>
      <c r="E51" s="150">
        <v>0</v>
      </c>
      <c r="F51" s="150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>
      <c r="B52" s="61" t="str">
        <v>(4000, 5000]</v>
      </c>
      <c r="C52" s="150">
        <v>4490</v>
      </c>
      <c r="D52" s="150">
        <f>SUM($C$4:C52)</f>
        <v>997845517</v>
      </c>
      <c r="E52" s="150">
        <v>0</v>
      </c>
      <c r="F52" s="150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>
      <c r="B53" s="61" t="str">
        <v>(5000, 6000]</v>
      </c>
      <c r="C53" s="150">
        <v>3492</v>
      </c>
      <c r="D53" s="150">
        <f>SUM($C$4:C53)</f>
        <v>997849009</v>
      </c>
      <c r="E53" s="150">
        <v>0</v>
      </c>
      <c r="F53" s="150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>
      <c r="B54" s="61" t="str">
        <v>(6000, 7000]</v>
      </c>
      <c r="C54" s="150">
        <v>1297</v>
      </c>
      <c r="D54" s="150">
        <f>SUM($C$4:C54)</f>
        <v>997850306</v>
      </c>
      <c r="E54" s="150">
        <v>0</v>
      </c>
      <c r="F54" s="150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>
      <c r="B55" s="61" t="str">
        <v>(7000, 8000]</v>
      </c>
      <c r="C55" s="150">
        <v>698</v>
      </c>
      <c r="D55" s="150">
        <f>SUM($C$4:C55)</f>
        <v>997851004</v>
      </c>
      <c r="E55" s="150">
        <v>0</v>
      </c>
      <c r="F55" s="150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>
      <c r="B56" s="61" t="str">
        <v>(8000, 9000]</v>
      </c>
      <c r="C56" s="150">
        <v>299</v>
      </c>
      <c r="D56" s="150">
        <f>SUM($C$4:C56)</f>
        <v>997851303</v>
      </c>
      <c r="E56" s="150">
        <v>0</v>
      </c>
      <c r="F56" s="150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>
      <c r="B57" s="61" t="str">
        <v>(9000, 10000]</v>
      </c>
      <c r="C57" s="150">
        <v>199</v>
      </c>
      <c r="D57" s="150">
        <f>SUM($C$4:C57)</f>
        <v>997851502</v>
      </c>
      <c r="E57" s="150">
        <v>0</v>
      </c>
      <c r="F57" s="150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>
      <c r="B58" s="61" t="str">
        <v>(10000, 20000]</v>
      </c>
      <c r="C58" s="150">
        <v>498</v>
      </c>
      <c r="D58" s="150">
        <f>SUM($C$4:C58)</f>
        <v>997852000</v>
      </c>
      <c r="E58" s="150">
        <v>0</v>
      </c>
      <c r="F58" s="150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>
      <c r="B59" s="61" t="str">
        <v>(20000, 30000]</v>
      </c>
      <c r="C59" s="150">
        <v>0</v>
      </c>
      <c r="D59" s="150">
        <f>SUM($C$4:C59)</f>
        <v>997852000</v>
      </c>
      <c r="E59" s="150">
        <v>0</v>
      </c>
      <c r="F59" s="150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>
      <c r="B60" s="61" t="str">
        <v>(30000, 40000]</v>
      </c>
      <c r="C60" s="150">
        <v>0</v>
      </c>
      <c r="D60" s="150">
        <f>SUM($C$4:C60)</f>
        <v>997852000</v>
      </c>
      <c r="E60" s="150">
        <v>0</v>
      </c>
      <c r="F60" s="150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>
      <c r="B61" s="61" t="str">
        <v>(40000, 50000]</v>
      </c>
      <c r="C61" s="150">
        <v>0</v>
      </c>
      <c r="D61" s="150">
        <f>SUM($C$4:C61)</f>
        <v>997852000</v>
      </c>
      <c r="E61" s="150">
        <v>0</v>
      </c>
      <c r="F61" s="150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>
      <c r="B62" s="61" t="str">
        <v>(50000, 60000]</v>
      </c>
      <c r="C62" s="150">
        <v>0</v>
      </c>
      <c r="D62" s="150">
        <f>SUM($C$4:C62)</f>
        <v>997852000</v>
      </c>
      <c r="E62" s="150">
        <v>0</v>
      </c>
      <c r="F62" s="150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>
      <c r="B63" s="61" t="str">
        <v>(60000, 70000]</v>
      </c>
      <c r="C63" s="150">
        <v>0</v>
      </c>
      <c r="D63" s="150">
        <f>SUM($C$4:C63)</f>
        <v>997852000</v>
      </c>
      <c r="E63" s="150">
        <v>0</v>
      </c>
      <c r="F63" s="150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>
      <c r="B64" s="61" t="str">
        <v>(70000, 80000]</v>
      </c>
      <c r="C64" s="150">
        <v>0</v>
      </c>
      <c r="D64" s="150">
        <f>SUM($C$4:C64)</f>
        <v>997852000</v>
      </c>
      <c r="E64" s="150">
        <v>0</v>
      </c>
      <c r="F64" s="150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>
      <c r="B65" s="61" t="str">
        <v>(80000, 90000]</v>
      </c>
      <c r="C65" s="150">
        <v>0</v>
      </c>
      <c r="D65" s="150">
        <f>SUM($C$4:C65)</f>
        <v>997852000</v>
      </c>
      <c r="E65" s="150">
        <v>0</v>
      </c>
      <c r="F65" s="150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>
      <c r="B66" s="61" t="str">
        <v>(90000, 100000]</v>
      </c>
      <c r="C66" s="150">
        <v>0</v>
      </c>
      <c r="D66" s="150">
        <f>SUM($C$4:C66)</f>
        <v>997852000</v>
      </c>
      <c r="E66" s="150">
        <v>0</v>
      </c>
      <c r="F66" s="150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>
      <c r="B67" s="61" t="str">
        <v>(100000, 9999999]</v>
      </c>
      <c r="C67" s="150">
        <v>0</v>
      </c>
      <c r="D67" s="150">
        <f>SUM($C$4:C67)</f>
        <v>997852000</v>
      </c>
      <c r="E67" s="150">
        <v>0</v>
      </c>
      <c r="F67" s="150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>
      <c r="B68" s="61" t="str">
        <v>Free Game</v>
      </c>
      <c r="C68" s="150">
        <v>2148000</v>
      </c>
      <c r="D68" s="150">
        <f>SUM($C$4:C68)</f>
        <v>1000000000</v>
      </c>
      <c r="E68" s="150"/>
      <c r="F68" s="150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>
      <c r="B2" s="161" t="s">
        <v>148</v>
      </c>
    </row>
    <row r="3" spans="2:9">
      <c r="B3" s="144" t="s">
        <v>71</v>
      </c>
      <c r="C3" s="144" t="s">
        <v>146</v>
      </c>
      <c r="D3" s="144" t="s">
        <v>145</v>
      </c>
    </row>
    <row r="4" spans="2:9">
      <c r="B4" s="133">
        <v>0</v>
      </c>
      <c r="C4" s="162">
        <v>0.12890728185260192</v>
      </c>
      <c r="D4" s="162">
        <v>0.17979999999999999</v>
      </c>
      <c r="G4" s="17">
        <v>0</v>
      </c>
      <c r="H4" s="163" cm="1">
        <f t="array" ref="H4:H13">G4:G13/10000</f>
        <v>0</v>
      </c>
    </row>
    <row r="5" spans="2:9">
      <c r="B5" s="133">
        <v>1</v>
      </c>
      <c r="C5" s="162">
        <v>0.30351325173901561</v>
      </c>
      <c r="D5" s="162">
        <v>0.35339999999999999</v>
      </c>
      <c r="G5" s="17" cm="1">
        <f t="array" ref="G5:G13">TRANSPOSE(Parameter!AD5:AL5)</f>
        <v>100</v>
      </c>
      <c r="H5" s="163">
        <v>0.01</v>
      </c>
    </row>
    <row r="6" spans="2:9">
      <c r="B6" s="133">
        <v>2</v>
      </c>
      <c r="C6" s="162">
        <v>0.30338117460596986</v>
      </c>
      <c r="D6" s="162">
        <v>0.29630000000000001</v>
      </c>
      <c r="G6" s="17">
        <v>100</v>
      </c>
      <c r="H6" s="163">
        <v>0.01</v>
      </c>
    </row>
    <row r="7" spans="2:9">
      <c r="B7" s="133">
        <v>3</v>
      </c>
      <c r="C7" s="162">
        <v>0.18173813507088141</v>
      </c>
      <c r="D7" s="162">
        <v>0.13270000000000001</v>
      </c>
      <c r="G7" s="17">
        <v>500</v>
      </c>
      <c r="H7" s="163">
        <v>0.05</v>
      </c>
    </row>
    <row r="8" spans="2:9">
      <c r="B8" s="133">
        <v>4</v>
      </c>
      <c r="C8" s="162">
        <v>6.3705203839042004E-2</v>
      </c>
      <c r="D8" s="162">
        <v>3.3300000000000003E-2</v>
      </c>
      <c r="G8" s="17">
        <v>3000</v>
      </c>
      <c r="H8" s="163">
        <v>0.3</v>
      </c>
    </row>
    <row r="9" spans="2:9">
      <c r="B9" s="133">
        <v>5</v>
      </c>
      <c r="C9" s="162">
        <v>1.4748613190103021E-2</v>
      </c>
      <c r="D9" s="162">
        <v>4.4000000000000003E-3</v>
      </c>
      <c r="G9" s="17">
        <v>10000</v>
      </c>
      <c r="H9" s="163">
        <v>1</v>
      </c>
    </row>
    <row r="10" spans="2:9">
      <c r="B10" s="133">
        <v>6</v>
      </c>
      <c r="C10" s="162">
        <v>3.6101083032490976E-3</v>
      </c>
      <c r="D10" s="162">
        <v>2.0000000000000001E-4</v>
      </c>
      <c r="G10" s="17">
        <v>10000</v>
      </c>
      <c r="H10" s="163">
        <v>1</v>
      </c>
    </row>
    <row r="11" spans="2:9">
      <c r="B11" s="133">
        <v>7</v>
      </c>
      <c r="C11" s="162">
        <v>3.9623139913709608E-4</v>
      </c>
      <c r="D11" s="162">
        <v>0</v>
      </c>
      <c r="G11" s="17">
        <v>10000</v>
      </c>
      <c r="H11" s="163">
        <v>1</v>
      </c>
    </row>
    <row r="12" spans="2:9">
      <c r="B12" s="133">
        <v>8</v>
      </c>
      <c r="C12" s="162">
        <v>0</v>
      </c>
      <c r="D12" s="162">
        <v>0</v>
      </c>
      <c r="G12" s="17">
        <v>10000</v>
      </c>
      <c r="H12" s="163">
        <v>1</v>
      </c>
    </row>
    <row r="13" spans="2:9">
      <c r="B13" s="133">
        <v>9</v>
      </c>
      <c r="C13" s="162">
        <v>0</v>
      </c>
      <c r="D13" s="162">
        <v>0</v>
      </c>
      <c r="G13" s="17">
        <v>10000</v>
      </c>
      <c r="H13" s="163">
        <v>1</v>
      </c>
    </row>
    <row r="16" spans="2:9">
      <c r="B16" s="164" t="s">
        <v>147</v>
      </c>
      <c r="I16" s="17">
        <f>1/I17</f>
        <v>36.072433446360286</v>
      </c>
    </row>
    <row r="17" spans="2:10">
      <c r="B17" s="144"/>
      <c r="C17" s="144" t="s">
        <v>146</v>
      </c>
      <c r="D17" s="144" t="s">
        <v>145</v>
      </c>
      <c r="H17" s="163"/>
      <c r="I17" s="163">
        <f>SUMPRODUCT(H4:H13,D4:D13)</f>
        <v>2.7722000000000004E-2</v>
      </c>
    </row>
    <row r="18" spans="2:10">
      <c r="B18" s="165">
        <v>0</v>
      </c>
      <c r="C18" s="166">
        <v>0.86973562490871026</v>
      </c>
      <c r="D18" s="166" cm="1">
        <f t="array" ref="D18:D30">J18:J30</f>
        <v>0.97227799999999998</v>
      </c>
      <c r="F18" s="17" cm="1">
        <f t="array" ref="F18:F30">TRANSPOSE(Parameter!O16:AA16)</f>
        <v>10000</v>
      </c>
      <c r="G18" s="17" cm="1">
        <f t="array" ref="G18:G30">TRANSPOSE(Parameter!O5:AA5)</f>
        <v>0</v>
      </c>
      <c r="H18" s="163" cm="1">
        <f t="array" ref="H18:H30">_xlfn.ANCHORARRAY(F18)/SUM(_xlfn.ANCHORARRAY(F18))*(1-I17)</f>
        <v>0.97227799999999998</v>
      </c>
      <c r="I18" s="163" cm="1">
        <f t="array" ref="I18:I30">_xlfn.ANCHORARRAY(G18)/SUM(_xlfn.ANCHORARRAY(G18))*I17</f>
        <v>0</v>
      </c>
      <c r="J18" s="163" cm="1">
        <f t="array" ref="J18:J22">H18:H22</f>
        <v>0.97227799999999998</v>
      </c>
    </row>
    <row r="19" spans="2:10">
      <c r="B19" s="167">
        <v>2</v>
      </c>
      <c r="C19" s="168">
        <v>3.4690101757631819E-2</v>
      </c>
      <c r="D19" s="168">
        <v>0</v>
      </c>
      <c r="F19" s="17">
        <v>0</v>
      </c>
      <c r="G19" s="17">
        <v>0</v>
      </c>
      <c r="H19" s="163">
        <v>0</v>
      </c>
      <c r="I19" s="163">
        <v>0</v>
      </c>
      <c r="J19" s="163">
        <v>0</v>
      </c>
    </row>
    <row r="20" spans="2:10">
      <c r="B20" s="167">
        <v>3</v>
      </c>
      <c r="C20" s="168">
        <v>2.8506743268903064E-2</v>
      </c>
      <c r="D20" s="168">
        <v>0</v>
      </c>
      <c r="F20" s="17">
        <v>0</v>
      </c>
      <c r="G20" s="17">
        <v>0</v>
      </c>
      <c r="H20" s="163">
        <v>0</v>
      </c>
      <c r="I20" s="163">
        <v>0</v>
      </c>
      <c r="J20" s="163">
        <v>0</v>
      </c>
    </row>
    <row r="21" spans="2:10">
      <c r="B21" s="167">
        <v>5</v>
      </c>
      <c r="C21" s="168">
        <v>1.9109985880519986E-2</v>
      </c>
      <c r="D21" s="168">
        <v>0</v>
      </c>
      <c r="F21" s="17">
        <v>0</v>
      </c>
      <c r="G21" s="17">
        <v>0</v>
      </c>
      <c r="H21" s="163">
        <v>0</v>
      </c>
      <c r="I21" s="163">
        <v>0</v>
      </c>
      <c r="J21" s="163">
        <v>0</v>
      </c>
    </row>
    <row r="22" spans="2:10">
      <c r="B22" s="167">
        <v>8</v>
      </c>
      <c r="C22" s="168">
        <v>1.8111884707142509E-2</v>
      </c>
      <c r="D22" s="168">
        <v>0</v>
      </c>
      <c r="F22" s="17">
        <v>0</v>
      </c>
      <c r="G22" s="17">
        <v>0</v>
      </c>
      <c r="H22" s="163">
        <v>0</v>
      </c>
      <c r="I22" s="163">
        <v>0</v>
      </c>
      <c r="J22" s="163">
        <v>0</v>
      </c>
    </row>
    <row r="23" spans="2:10">
      <c r="B23" s="167">
        <v>10</v>
      </c>
      <c r="C23" s="168">
        <v>1.4849797945372219E-2</v>
      </c>
      <c r="D23" s="168">
        <v>1.1088800000000003E-2</v>
      </c>
      <c r="F23" s="17">
        <v>0</v>
      </c>
      <c r="G23" s="17">
        <v>4000</v>
      </c>
      <c r="H23" s="163">
        <v>0</v>
      </c>
      <c r="I23" s="163">
        <v>1.1088800000000003E-2</v>
      </c>
      <c r="J23" s="163" cm="1">
        <f t="array" ref="J23:J30">I23:I30</f>
        <v>1.1088800000000003E-2</v>
      </c>
    </row>
    <row r="24" spans="2:10">
      <c r="B24" s="167">
        <v>15</v>
      </c>
      <c r="C24" s="168">
        <v>8.7881591119333951E-3</v>
      </c>
      <c r="D24" s="168">
        <v>3.6038600000000004E-3</v>
      </c>
      <c r="F24" s="17">
        <v>0</v>
      </c>
      <c r="G24" s="17">
        <v>1300</v>
      </c>
      <c r="H24" s="163">
        <v>0</v>
      </c>
      <c r="I24" s="163">
        <v>3.6038600000000004E-3</v>
      </c>
      <c r="J24" s="163">
        <v>3.6038600000000004E-3</v>
      </c>
    </row>
    <row r="25" spans="2:10">
      <c r="B25" s="167">
        <v>20</v>
      </c>
      <c r="C25" s="168">
        <v>4.5523151078436146E-3</v>
      </c>
      <c r="D25" s="168">
        <v>5.5444000000000014E-3</v>
      </c>
      <c r="F25" s="17">
        <v>0</v>
      </c>
      <c r="G25" s="17">
        <v>2000</v>
      </c>
      <c r="H25" s="163">
        <v>0</v>
      </c>
      <c r="I25" s="163">
        <v>5.5444000000000014E-3</v>
      </c>
      <c r="J25" s="163">
        <v>5.5444000000000014E-3</v>
      </c>
    </row>
    <row r="26" spans="2:10">
      <c r="B26" s="167">
        <v>25</v>
      </c>
      <c r="C26" s="168">
        <v>1.3876040703052729E-3</v>
      </c>
      <c r="D26" s="168">
        <v>1.3861000000000004E-3</v>
      </c>
      <c r="F26" s="17">
        <v>0</v>
      </c>
      <c r="G26" s="17">
        <v>500</v>
      </c>
      <c r="H26" s="163">
        <v>0</v>
      </c>
      <c r="I26" s="163">
        <v>1.3861000000000004E-3</v>
      </c>
      <c r="J26" s="163">
        <v>1.3861000000000004E-3</v>
      </c>
    </row>
    <row r="27" spans="2:10">
      <c r="B27" s="167">
        <v>35</v>
      </c>
      <c r="C27" s="168">
        <v>1.9475144846389794E-4</v>
      </c>
      <c r="D27" s="168">
        <v>5.5444000000000012E-4</v>
      </c>
      <c r="F27" s="17">
        <v>0</v>
      </c>
      <c r="G27" s="17">
        <v>200</v>
      </c>
      <c r="H27" s="163">
        <v>0</v>
      </c>
      <c r="I27" s="163">
        <v>5.5444000000000012E-4</v>
      </c>
      <c r="J27" s="163">
        <v>5.5444000000000012E-4</v>
      </c>
    </row>
    <row r="28" spans="2:10">
      <c r="B28" s="167">
        <v>50</v>
      </c>
      <c r="C28" s="168">
        <v>2.4343931057987243E-5</v>
      </c>
      <c r="D28" s="168">
        <v>5.5444000000000012E-4</v>
      </c>
      <c r="F28" s="17">
        <v>0</v>
      </c>
      <c r="G28" s="17">
        <v>200</v>
      </c>
      <c r="H28" s="163">
        <v>0</v>
      </c>
      <c r="I28" s="163">
        <v>5.5444000000000012E-4</v>
      </c>
      <c r="J28" s="163">
        <v>5.5444000000000012E-4</v>
      </c>
    </row>
    <row r="29" spans="2:10">
      <c r="B29" s="167">
        <v>80</v>
      </c>
      <c r="C29" s="168">
        <v>4.8687862115974485E-5</v>
      </c>
      <c r="D29" s="168">
        <v>2.7722000000000007E-3</v>
      </c>
      <c r="F29" s="17">
        <v>0</v>
      </c>
      <c r="G29" s="17">
        <v>1000</v>
      </c>
      <c r="H29" s="163">
        <v>0</v>
      </c>
      <c r="I29" s="163">
        <v>2.7722000000000007E-3</v>
      </c>
      <c r="J29" s="163">
        <v>2.7722000000000007E-3</v>
      </c>
    </row>
    <row r="30" spans="2:10">
      <c r="B30" s="167">
        <v>100</v>
      </c>
      <c r="C30" s="168">
        <v>0</v>
      </c>
      <c r="D30" s="168">
        <v>2.2177600000000005E-3</v>
      </c>
      <c r="F30" s="17">
        <v>0</v>
      </c>
      <c r="G30" s="17">
        <v>800</v>
      </c>
      <c r="H30" s="163">
        <v>0</v>
      </c>
      <c r="I30" s="163">
        <v>2.2177600000000005E-3</v>
      </c>
      <c r="J30" s="163">
        <v>2.2177600000000005E-3</v>
      </c>
    </row>
    <row r="31" spans="2:10">
      <c r="C31" s="17">
        <f>SUMPRODUCT(C18:C30,B18:B30)</f>
        <v>0.81333073664735367</v>
      </c>
      <c r="D31" s="17">
        <f>SUMPRODUCT(D18:D30,B18:B30)</f>
        <v>0.80116580000000026</v>
      </c>
    </row>
    <row r="34" spans="2:9">
      <c r="B34" s="161" t="s">
        <v>149</v>
      </c>
    </row>
    <row r="35" spans="2:9">
      <c r="B35" s="144" t="s">
        <v>71</v>
      </c>
      <c r="C35" s="144" t="s">
        <v>146</v>
      </c>
      <c r="D35" s="144" t="s">
        <v>145</v>
      </c>
    </row>
    <row r="36" spans="2:9">
      <c r="B36" s="133">
        <v>0</v>
      </c>
      <c r="C36" s="162">
        <v>0.12890728185260192</v>
      </c>
      <c r="D36" s="162">
        <v>0</v>
      </c>
      <c r="G36" s="17">
        <v>0</v>
      </c>
      <c r="H36" s="163" cm="1">
        <f t="array" ref="H36:H45">G36:G45/10000</f>
        <v>0</v>
      </c>
    </row>
    <row r="37" spans="2:9">
      <c r="B37" s="133">
        <v>1</v>
      </c>
      <c r="C37" s="162">
        <v>0.30351325173901561</v>
      </c>
      <c r="D37" s="162">
        <v>0</v>
      </c>
      <c r="G37" s="17" cm="1">
        <f t="array" ref="G37:G45">TRANSPOSE(Parameter!AD6:AL6)</f>
        <v>0</v>
      </c>
      <c r="H37" s="163">
        <v>0</v>
      </c>
    </row>
    <row r="38" spans="2:9">
      <c r="B38" s="133">
        <v>2</v>
      </c>
      <c r="C38" s="162">
        <v>0.30338117460596986</v>
      </c>
      <c r="D38" s="162">
        <v>0</v>
      </c>
      <c r="G38" s="17">
        <v>0</v>
      </c>
      <c r="H38" s="163">
        <v>0</v>
      </c>
    </row>
    <row r="39" spans="2:9">
      <c r="B39" s="133">
        <v>3</v>
      </c>
      <c r="C39" s="162">
        <v>0.18173813507088141</v>
      </c>
      <c r="D39" s="162">
        <v>0.17960000000000001</v>
      </c>
      <c r="G39" s="17">
        <v>500</v>
      </c>
      <c r="H39" s="163">
        <v>0.05</v>
      </c>
    </row>
    <row r="40" spans="2:9">
      <c r="B40" s="133">
        <v>4</v>
      </c>
      <c r="C40" s="162">
        <v>6.3705203839042004E-2</v>
      </c>
      <c r="D40" s="162">
        <v>0.38219999999999998</v>
      </c>
      <c r="G40" s="17">
        <v>1500</v>
      </c>
      <c r="H40" s="163">
        <v>0.15</v>
      </c>
    </row>
    <row r="41" spans="2:9">
      <c r="B41" s="133">
        <v>5</v>
      </c>
      <c r="C41" s="162">
        <v>1.4748613190103021E-2</v>
      </c>
      <c r="D41" s="162">
        <v>0.29920000000000002</v>
      </c>
      <c r="G41" s="17">
        <v>2500</v>
      </c>
      <c r="H41" s="163">
        <v>0.25</v>
      </c>
    </row>
    <row r="42" spans="2:9">
      <c r="B42" s="133">
        <v>6</v>
      </c>
      <c r="C42" s="162">
        <v>3.6101083032490976E-3</v>
      </c>
      <c r="D42" s="162">
        <v>0.1134</v>
      </c>
      <c r="G42" s="17">
        <v>5000</v>
      </c>
      <c r="H42" s="163">
        <v>0.5</v>
      </c>
    </row>
    <row r="43" spans="2:9">
      <c r="B43" s="133">
        <v>7</v>
      </c>
      <c r="C43" s="162">
        <v>3.9623139913709608E-4</v>
      </c>
      <c r="D43" s="162">
        <v>2.3E-2</v>
      </c>
      <c r="G43" s="17">
        <v>10000</v>
      </c>
      <c r="H43" s="163">
        <v>1</v>
      </c>
    </row>
    <row r="44" spans="2:9">
      <c r="B44" s="133">
        <v>8</v>
      </c>
      <c r="C44" s="162">
        <v>0</v>
      </c>
      <c r="D44" s="162">
        <v>2.3999999999999998E-3</v>
      </c>
      <c r="G44" s="17">
        <v>10000</v>
      </c>
      <c r="H44" s="163">
        <v>1</v>
      </c>
    </row>
    <row r="45" spans="2:9">
      <c r="B45" s="133">
        <v>9</v>
      </c>
      <c r="C45" s="162">
        <v>0</v>
      </c>
      <c r="D45" s="162">
        <v>1E-4</v>
      </c>
      <c r="G45" s="17">
        <v>10000</v>
      </c>
      <c r="H45" s="163">
        <v>1</v>
      </c>
    </row>
    <row r="48" spans="2:9">
      <c r="B48" s="164" t="s">
        <v>147</v>
      </c>
      <c r="I48" s="17">
        <f>1/I49</f>
        <v>4.4780797993820247</v>
      </c>
    </row>
    <row r="49" spans="2:10">
      <c r="B49" s="144"/>
      <c r="C49" s="144" t="s">
        <v>146</v>
      </c>
      <c r="D49" s="144" t="s">
        <v>145</v>
      </c>
      <c r="H49" s="163"/>
      <c r="I49" s="163">
        <f>SUMPRODUCT(H36:H45,D36:D45)</f>
        <v>0.22331000000000001</v>
      </c>
    </row>
    <row r="50" spans="2:10">
      <c r="B50" s="165">
        <v>0</v>
      </c>
      <c r="C50" s="166">
        <v>0.86973562490871026</v>
      </c>
      <c r="D50" s="166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3" cm="1">
        <f t="array" ref="H50:H62">_xlfn.ANCHORARRAY(F50)/SUM(_xlfn.ANCHORARRAY(F50))*(1-I49)</f>
        <v>0</v>
      </c>
      <c r="I50" s="163" cm="1">
        <f t="array" ref="I50:I62">_xlfn.ANCHORARRAY(G50)/SUM(_xlfn.ANCHORARRAY(G50))*I49</f>
        <v>0</v>
      </c>
      <c r="J50" s="163" cm="1">
        <f t="array" ref="J50:J54">H50:H54</f>
        <v>0</v>
      </c>
    </row>
    <row r="51" spans="2:10">
      <c r="B51" s="167">
        <v>2</v>
      </c>
      <c r="C51" s="168">
        <v>3.4690101757631819E-2</v>
      </c>
      <c r="D51" s="168">
        <v>0.46601399999999998</v>
      </c>
      <c r="F51" s="17">
        <v>6000</v>
      </c>
      <c r="G51" s="17">
        <v>0</v>
      </c>
      <c r="H51" s="163">
        <v>0.46601399999999998</v>
      </c>
      <c r="I51" s="163">
        <v>0</v>
      </c>
      <c r="J51" s="163">
        <v>0.46601399999999998</v>
      </c>
    </row>
    <row r="52" spans="2:10">
      <c r="B52" s="167">
        <v>3</v>
      </c>
      <c r="C52" s="168">
        <v>2.8506743268903064E-2</v>
      </c>
      <c r="D52" s="168">
        <v>0.20193939999999999</v>
      </c>
      <c r="F52" s="17">
        <v>2600</v>
      </c>
      <c r="G52" s="17">
        <v>0</v>
      </c>
      <c r="H52" s="163">
        <v>0.20193939999999999</v>
      </c>
      <c r="I52" s="163">
        <v>0</v>
      </c>
      <c r="J52" s="163">
        <v>0.20193939999999999</v>
      </c>
    </row>
    <row r="53" spans="2:10">
      <c r="B53" s="167">
        <v>5</v>
      </c>
      <c r="C53" s="168">
        <v>1.9109985880519986E-2</v>
      </c>
      <c r="D53" s="168">
        <v>6.9902099999999995E-2</v>
      </c>
      <c r="F53" s="17">
        <v>900</v>
      </c>
      <c r="G53" s="17">
        <v>0</v>
      </c>
      <c r="H53" s="163">
        <v>6.9902099999999995E-2</v>
      </c>
      <c r="I53" s="163">
        <v>0</v>
      </c>
      <c r="J53" s="163">
        <v>6.9902099999999995E-2</v>
      </c>
    </row>
    <row r="54" spans="2:10">
      <c r="B54" s="167">
        <v>8</v>
      </c>
      <c r="C54" s="168">
        <v>1.8111884707142509E-2</v>
      </c>
      <c r="D54" s="168">
        <v>3.8834500000000001E-2</v>
      </c>
      <c r="F54" s="17">
        <v>500</v>
      </c>
      <c r="G54" s="17">
        <v>0</v>
      </c>
      <c r="H54" s="163">
        <v>3.8834500000000001E-2</v>
      </c>
      <c r="I54" s="163">
        <v>0</v>
      </c>
      <c r="J54" s="163">
        <v>3.8834500000000001E-2</v>
      </c>
    </row>
    <row r="55" spans="2:10">
      <c r="B55" s="167">
        <v>10</v>
      </c>
      <c r="C55" s="168">
        <v>1.4849797945372219E-2</v>
      </c>
      <c r="D55" s="168">
        <v>0.11500465000000001</v>
      </c>
      <c r="F55" s="17">
        <v>0</v>
      </c>
      <c r="G55" s="17">
        <v>5150</v>
      </c>
      <c r="H55" s="163">
        <v>0</v>
      </c>
      <c r="I55" s="163">
        <v>0.11500465000000001</v>
      </c>
      <c r="J55" s="163" cm="1">
        <f t="array" ref="J55:J62">I55:I62</f>
        <v>0.11500465000000001</v>
      </c>
    </row>
    <row r="56" spans="2:10">
      <c r="B56" s="167">
        <v>15</v>
      </c>
      <c r="C56" s="168">
        <v>8.7881591119333951E-3</v>
      </c>
      <c r="D56" s="168">
        <v>1.33986E-2</v>
      </c>
      <c r="F56" s="17">
        <v>0</v>
      </c>
      <c r="G56" s="17">
        <v>600</v>
      </c>
      <c r="H56" s="163">
        <v>0</v>
      </c>
      <c r="I56" s="163">
        <v>1.33986E-2</v>
      </c>
      <c r="J56" s="163">
        <v>1.33986E-2</v>
      </c>
    </row>
    <row r="57" spans="2:10">
      <c r="B57" s="167">
        <v>20</v>
      </c>
      <c r="C57" s="168">
        <v>4.5523151078436146E-3</v>
      </c>
      <c r="D57" s="168">
        <v>4.4662000000000007E-2</v>
      </c>
      <c r="F57" s="17">
        <v>0</v>
      </c>
      <c r="G57" s="17">
        <v>2000</v>
      </c>
      <c r="H57" s="163">
        <v>0</v>
      </c>
      <c r="I57" s="163">
        <v>4.4662000000000007E-2</v>
      </c>
      <c r="J57" s="163">
        <v>4.4662000000000007E-2</v>
      </c>
    </row>
    <row r="58" spans="2:10">
      <c r="B58" s="167">
        <v>25</v>
      </c>
      <c r="C58" s="168">
        <v>1.3876040703052729E-3</v>
      </c>
      <c r="D58" s="168">
        <v>5.5827500000000009E-3</v>
      </c>
      <c r="F58" s="17">
        <v>0</v>
      </c>
      <c r="G58" s="17">
        <v>250</v>
      </c>
      <c r="H58" s="163">
        <v>0</v>
      </c>
      <c r="I58" s="163">
        <v>5.5827500000000009E-3</v>
      </c>
      <c r="J58" s="163">
        <v>5.5827500000000009E-3</v>
      </c>
    </row>
    <row r="59" spans="2:10">
      <c r="B59" s="167">
        <v>35</v>
      </c>
      <c r="C59" s="168">
        <v>1.9475144846389794E-4</v>
      </c>
      <c r="D59" s="168">
        <v>2.2331E-3</v>
      </c>
      <c r="F59" s="17">
        <v>0</v>
      </c>
      <c r="G59" s="17">
        <v>100</v>
      </c>
      <c r="H59" s="163">
        <v>0</v>
      </c>
      <c r="I59" s="163">
        <v>2.2331E-3</v>
      </c>
      <c r="J59" s="163">
        <v>2.2331E-3</v>
      </c>
    </row>
    <row r="60" spans="2:10">
      <c r="B60" s="167">
        <v>50</v>
      </c>
      <c r="C60" s="168">
        <v>2.4343931057987243E-5</v>
      </c>
      <c r="D60" s="168">
        <v>2.2331E-3</v>
      </c>
      <c r="F60" s="17">
        <v>0</v>
      </c>
      <c r="G60" s="17">
        <v>100</v>
      </c>
      <c r="H60" s="163">
        <v>0</v>
      </c>
      <c r="I60" s="163">
        <v>2.2331E-3</v>
      </c>
      <c r="J60" s="163">
        <v>2.2331E-3</v>
      </c>
    </row>
    <row r="61" spans="2:10">
      <c r="B61" s="167">
        <v>80</v>
      </c>
      <c r="C61" s="168">
        <v>4.8687862115974485E-5</v>
      </c>
      <c r="D61" s="168">
        <v>2.2331000000000004E-2</v>
      </c>
      <c r="F61" s="17">
        <v>0</v>
      </c>
      <c r="G61" s="17">
        <v>1000</v>
      </c>
      <c r="H61" s="163">
        <v>0</v>
      </c>
      <c r="I61" s="163">
        <v>2.2331000000000004E-2</v>
      </c>
      <c r="J61" s="163">
        <v>2.2331000000000004E-2</v>
      </c>
    </row>
    <row r="62" spans="2:10">
      <c r="B62" s="167">
        <v>100</v>
      </c>
      <c r="C62" s="168">
        <v>0</v>
      </c>
      <c r="D62" s="168">
        <v>1.78648E-2</v>
      </c>
      <c r="F62" s="17">
        <v>0</v>
      </c>
      <c r="G62" s="17">
        <v>800</v>
      </c>
      <c r="H62" s="163">
        <v>0</v>
      </c>
      <c r="I62" s="163">
        <v>1.78648E-2</v>
      </c>
      <c r="J62" s="163">
        <v>1.78648E-2</v>
      </c>
    </row>
    <row r="63" spans="2:10">
      <c r="C63" s="17">
        <f>SUMPRODUCT(C50:C62,B50:B62)</f>
        <v>0.81333073664735367</v>
      </c>
      <c r="D63" s="17">
        <f>SUMPRODUCT(D50:D62,B50:B62)</f>
        <v>8.34464045</v>
      </c>
    </row>
    <row r="66" spans="2:9">
      <c r="B66" s="161" t="s">
        <v>150</v>
      </c>
    </row>
    <row r="67" spans="2:9">
      <c r="B67" s="144" t="s">
        <v>71</v>
      </c>
      <c r="C67" s="144" t="s">
        <v>146</v>
      </c>
      <c r="D67" s="144" t="s">
        <v>145</v>
      </c>
    </row>
    <row r="68" spans="2:9">
      <c r="B68" s="133">
        <v>0</v>
      </c>
      <c r="C68" s="162">
        <v>5.6827150749802685E-2</v>
      </c>
      <c r="D68" s="162">
        <v>0</v>
      </c>
      <c r="G68" s="17">
        <v>0</v>
      </c>
      <c r="H68" s="163" cm="1">
        <f t="array" ref="H68:H77">G68:G77/10000</f>
        <v>0</v>
      </c>
    </row>
    <row r="69" spans="2:9">
      <c r="B69" s="133">
        <v>1</v>
      </c>
      <c r="C69" s="162">
        <v>0.14601420678768745</v>
      </c>
      <c r="D69" s="162">
        <v>0</v>
      </c>
      <c r="G69" s="17" cm="1">
        <f t="array" ref="G69:G77">TRANSPOSE(Parameter!AD8:AL8)</f>
        <v>0</v>
      </c>
      <c r="H69" s="163">
        <v>0</v>
      </c>
    </row>
    <row r="70" spans="2:9">
      <c r="B70" s="133">
        <v>2</v>
      </c>
      <c r="C70" s="162">
        <v>0.23993685872138912</v>
      </c>
      <c r="D70" s="162">
        <v>1.18E-2</v>
      </c>
      <c r="G70" s="17">
        <v>0</v>
      </c>
      <c r="H70" s="163">
        <v>0</v>
      </c>
    </row>
    <row r="71" spans="2:9">
      <c r="B71" s="133">
        <v>3</v>
      </c>
      <c r="C71" s="162">
        <v>0.24072612470402527</v>
      </c>
      <c r="D71" s="162">
        <v>0.23769999999999999</v>
      </c>
      <c r="G71" s="17">
        <v>500</v>
      </c>
      <c r="H71" s="163">
        <v>0.05</v>
      </c>
    </row>
    <row r="72" spans="2:9">
      <c r="B72" s="133">
        <v>4</v>
      </c>
      <c r="C72" s="162">
        <v>0.17363851617995266</v>
      </c>
      <c r="D72" s="162">
        <v>0.39269999999999999</v>
      </c>
      <c r="G72" s="17">
        <v>1500</v>
      </c>
      <c r="H72" s="163">
        <v>0.15</v>
      </c>
    </row>
    <row r="73" spans="2:9">
      <c r="B73" s="133">
        <v>5</v>
      </c>
      <c r="C73" s="162">
        <v>0.10023677979479084</v>
      </c>
      <c r="D73" s="162">
        <v>0.25750000000000001</v>
      </c>
      <c r="G73" s="17">
        <v>2500</v>
      </c>
      <c r="H73" s="163">
        <v>0.25</v>
      </c>
    </row>
    <row r="74" spans="2:9">
      <c r="B74" s="133">
        <v>6</v>
      </c>
      <c r="C74" s="162">
        <v>3.1570639305445937E-2</v>
      </c>
      <c r="D74" s="162">
        <v>8.2699999999999996E-2</v>
      </c>
      <c r="G74" s="17">
        <v>4000</v>
      </c>
      <c r="H74" s="163">
        <v>0.4</v>
      </c>
    </row>
    <row r="75" spans="2:9">
      <c r="B75" s="133">
        <v>7</v>
      </c>
      <c r="C75" s="162">
        <v>1.0260457774269928E-2</v>
      </c>
      <c r="D75" s="162">
        <v>1.5800000000000002E-2</v>
      </c>
      <c r="G75" s="17">
        <v>10000</v>
      </c>
      <c r="H75" s="163">
        <v>1</v>
      </c>
    </row>
    <row r="76" spans="2:9">
      <c r="B76" s="133">
        <v>8</v>
      </c>
      <c r="C76" s="162">
        <v>7.8926598263614838E-4</v>
      </c>
      <c r="D76" s="162">
        <v>1.6999999999999999E-3</v>
      </c>
      <c r="G76" s="17">
        <v>10000</v>
      </c>
      <c r="H76" s="163">
        <v>1</v>
      </c>
    </row>
    <row r="77" spans="2:9">
      <c r="B77" s="133">
        <v>9</v>
      </c>
      <c r="C77" s="162">
        <v>0</v>
      </c>
      <c r="D77" s="162">
        <v>1E-4</v>
      </c>
      <c r="G77" s="17">
        <v>10000</v>
      </c>
      <c r="H77" s="163">
        <v>1</v>
      </c>
    </row>
    <row r="80" spans="2:9">
      <c r="B80" s="164" t="s">
        <v>147</v>
      </c>
      <c r="I80" s="17">
        <f>1/I81</f>
        <v>5.3808281094460444</v>
      </c>
    </row>
    <row r="81" spans="2:11">
      <c r="B81" s="144"/>
      <c r="C81" s="144" t="s">
        <v>146</v>
      </c>
      <c r="D81" s="144" t="s">
        <v>145</v>
      </c>
      <c r="H81" s="163"/>
      <c r="I81" s="163">
        <f>SUMPRODUCT(H68:H77,D68:D77)</f>
        <v>0.18584499999999998</v>
      </c>
    </row>
    <row r="82" spans="2:11">
      <c r="B82" s="165">
        <v>0</v>
      </c>
      <c r="C82" s="166">
        <v>0.64345873104997198</v>
      </c>
      <c r="D82" s="166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3" cm="1">
        <f t="array" ref="H82:H94">_xlfn.ANCHORARRAY(F82)/SUM(_xlfn.ANCHORARRAY(F82))*(1-I81)</f>
        <v>0</v>
      </c>
      <c r="I82" s="163" cm="1">
        <f t="array" ref="I82:I94">_xlfn.ANCHORARRAY(G82)/SUM(_xlfn.ANCHORARRAY(G82))*I81</f>
        <v>0</v>
      </c>
      <c r="J82" s="163" cm="1">
        <f t="array" ref="J82:J86">H82:H86</f>
        <v>0</v>
      </c>
      <c r="K82" s="169"/>
    </row>
    <row r="83" spans="2:11">
      <c r="B83" s="167">
        <v>2</v>
      </c>
      <c r="C83" s="168">
        <v>0.21617069062324537</v>
      </c>
      <c r="D83" s="168">
        <v>0.54548384999999999</v>
      </c>
      <c r="F83" s="17">
        <v>6700</v>
      </c>
      <c r="G83" s="17">
        <v>0</v>
      </c>
      <c r="H83" s="163">
        <v>0.54548384999999999</v>
      </c>
      <c r="I83" s="163">
        <v>0</v>
      </c>
      <c r="J83" s="163">
        <v>0.54548384999999999</v>
      </c>
      <c r="K83" s="163"/>
    </row>
    <row r="84" spans="2:11">
      <c r="B84" s="167">
        <v>3</v>
      </c>
      <c r="C84" s="168">
        <v>8.5906793935991016E-2</v>
      </c>
      <c r="D84" s="168">
        <v>0.21168029999999999</v>
      </c>
      <c r="F84" s="17">
        <v>2600</v>
      </c>
      <c r="G84" s="17">
        <v>0</v>
      </c>
      <c r="H84" s="163">
        <v>0.21168029999999999</v>
      </c>
      <c r="I84" s="163">
        <v>0</v>
      </c>
      <c r="J84" s="163">
        <v>0.21168029999999999</v>
      </c>
      <c r="K84" s="163"/>
    </row>
    <row r="85" spans="2:11">
      <c r="B85" s="167">
        <v>5</v>
      </c>
      <c r="C85" s="168">
        <v>2.1897810218978103E-2</v>
      </c>
      <c r="D85" s="168">
        <v>4.0707750000000001E-2</v>
      </c>
      <c r="F85" s="17">
        <v>500</v>
      </c>
      <c r="G85" s="17">
        <v>0</v>
      </c>
      <c r="H85" s="163">
        <v>4.0707750000000001E-2</v>
      </c>
      <c r="I85" s="163">
        <v>0</v>
      </c>
      <c r="J85" s="163">
        <v>4.0707750000000001E-2</v>
      </c>
      <c r="K85" s="163"/>
    </row>
    <row r="86" spans="2:11">
      <c r="B86" s="167">
        <v>8</v>
      </c>
      <c r="C86" s="168">
        <v>1.0668163952835485E-2</v>
      </c>
      <c r="D86" s="168">
        <v>1.6283099999999998E-2</v>
      </c>
      <c r="F86" s="17">
        <v>200</v>
      </c>
      <c r="G86" s="17">
        <v>0</v>
      </c>
      <c r="H86" s="163">
        <v>1.6283099999999998E-2</v>
      </c>
      <c r="I86" s="163">
        <v>0</v>
      </c>
      <c r="J86" s="163">
        <v>1.6283099999999998E-2</v>
      </c>
      <c r="K86" s="163"/>
    </row>
    <row r="87" spans="2:11">
      <c r="B87" s="167">
        <v>10</v>
      </c>
      <c r="C87" s="168">
        <v>1.0106681639528355E-2</v>
      </c>
      <c r="D87" s="168">
        <v>0.1003563</v>
      </c>
      <c r="F87" s="17">
        <v>0</v>
      </c>
      <c r="G87" s="17">
        <v>5400</v>
      </c>
      <c r="H87" s="163">
        <v>0</v>
      </c>
      <c r="I87" s="163">
        <v>0.1003563</v>
      </c>
      <c r="J87" s="163" cm="1">
        <f t="array" ref="J87:J94">I87:I94</f>
        <v>0.1003563</v>
      </c>
      <c r="K87" s="163"/>
    </row>
    <row r="88" spans="2:11">
      <c r="B88" s="167">
        <v>15</v>
      </c>
      <c r="C88" s="168">
        <v>5.8955642897248733E-3</v>
      </c>
      <c r="D88" s="168">
        <v>2.2301399999999996E-2</v>
      </c>
      <c r="F88" s="17">
        <v>0</v>
      </c>
      <c r="G88" s="17">
        <v>1200</v>
      </c>
      <c r="H88" s="163">
        <v>0</v>
      </c>
      <c r="I88" s="163">
        <v>2.2301399999999996E-2</v>
      </c>
      <c r="J88" s="163">
        <v>2.2301399999999996E-2</v>
      </c>
      <c r="K88" s="163"/>
    </row>
    <row r="89" spans="2:11">
      <c r="B89" s="167">
        <v>20</v>
      </c>
      <c r="C89" s="168">
        <v>2.807411566535654E-3</v>
      </c>
      <c r="D89" s="168">
        <v>3.3452099999999999E-2</v>
      </c>
      <c r="F89" s="17">
        <v>0</v>
      </c>
      <c r="G89" s="17">
        <v>1800</v>
      </c>
      <c r="H89" s="163">
        <v>0</v>
      </c>
      <c r="I89" s="163">
        <v>3.3452099999999999E-2</v>
      </c>
      <c r="J89" s="163">
        <v>3.3452099999999999E-2</v>
      </c>
      <c r="K89" s="163"/>
    </row>
    <row r="90" spans="2:11">
      <c r="B90" s="167">
        <v>25</v>
      </c>
      <c r="C90" s="168">
        <v>5.6148231330713087E-4</v>
      </c>
      <c r="D90" s="168">
        <v>1.8584499999999998E-3</v>
      </c>
      <c r="F90" s="17">
        <v>0</v>
      </c>
      <c r="G90" s="17">
        <v>100</v>
      </c>
      <c r="H90" s="163">
        <v>0</v>
      </c>
      <c r="I90" s="163">
        <v>1.8584499999999998E-3</v>
      </c>
      <c r="J90" s="163">
        <v>1.8584499999999998E-3</v>
      </c>
      <c r="K90" s="163"/>
    </row>
    <row r="91" spans="2:11">
      <c r="B91" s="167">
        <v>35</v>
      </c>
      <c r="C91" s="168">
        <v>5.6148231330713087E-4</v>
      </c>
      <c r="D91" s="168">
        <v>1.8584499999999998E-3</v>
      </c>
      <c r="F91" s="17">
        <v>0</v>
      </c>
      <c r="G91" s="17">
        <v>100</v>
      </c>
      <c r="H91" s="163">
        <v>0</v>
      </c>
      <c r="I91" s="163">
        <v>1.8584499999999998E-3</v>
      </c>
      <c r="J91" s="163">
        <v>1.8584499999999998E-3</v>
      </c>
      <c r="K91" s="163"/>
    </row>
    <row r="92" spans="2:11">
      <c r="B92" s="167">
        <v>50</v>
      </c>
      <c r="C92" s="168">
        <v>8.4222346996069624E-4</v>
      </c>
      <c r="D92" s="168">
        <v>1.8584499999999998E-3</v>
      </c>
      <c r="F92" s="17">
        <v>0</v>
      </c>
      <c r="G92" s="17">
        <v>100</v>
      </c>
      <c r="H92" s="163">
        <v>0</v>
      </c>
      <c r="I92" s="163">
        <v>1.8584499999999998E-3</v>
      </c>
      <c r="J92" s="163">
        <v>1.8584499999999998E-3</v>
      </c>
      <c r="K92" s="163"/>
    </row>
    <row r="93" spans="2:11">
      <c r="B93" s="167">
        <v>80</v>
      </c>
      <c r="C93" s="168">
        <v>8.4222346996069624E-4</v>
      </c>
      <c r="D93" s="168">
        <v>1.4867599999999998E-2</v>
      </c>
      <c r="F93" s="17">
        <v>0</v>
      </c>
      <c r="G93" s="17">
        <v>800</v>
      </c>
      <c r="H93" s="163">
        <v>0</v>
      </c>
      <c r="I93" s="163">
        <v>1.4867599999999998E-2</v>
      </c>
      <c r="J93" s="163">
        <v>1.4867599999999998E-2</v>
      </c>
      <c r="K93" s="163"/>
    </row>
    <row r="94" spans="2:11">
      <c r="B94" s="167">
        <v>100</v>
      </c>
      <c r="C94" s="168">
        <v>2.8074115665356543E-4</v>
      </c>
      <c r="D94" s="168">
        <v>9.2922500000000002E-3</v>
      </c>
      <c r="F94" s="17">
        <v>0</v>
      </c>
      <c r="G94" s="17">
        <v>500</v>
      </c>
      <c r="H94" s="163">
        <v>0</v>
      </c>
      <c r="I94" s="163">
        <v>9.2922500000000002E-3</v>
      </c>
      <c r="J94" s="163">
        <v>9.2922500000000002E-3</v>
      </c>
      <c r="K94" s="163"/>
    </row>
    <row r="95" spans="2:11">
      <c r="C95" s="17">
        <f>SUMPRODUCT(C82:C94,B82:B94)</f>
        <v>1.301796743402583</v>
      </c>
      <c r="D95" s="17">
        <f>SUMPRODUCT(D82:D94,B82:B94)</f>
        <v>6.3900006500000002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177" priority="32" operator="equal">
      <formula>0</formula>
    </cfRule>
  </conditionalFormatting>
  <conditionalFormatting sqref="C18:C30">
    <cfRule type="cellIs" dxfId="176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175" priority="29" operator="equal">
      <formula>0</formula>
    </cfRule>
  </conditionalFormatting>
  <conditionalFormatting sqref="D18:D30">
    <cfRule type="cellIs" dxfId="174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173" priority="26" operator="equal">
      <formula>0</formula>
    </cfRule>
  </conditionalFormatting>
  <conditionalFormatting sqref="C50:C62">
    <cfRule type="cellIs" dxfId="172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171" priority="23" operator="equal">
      <formula>0</formula>
    </cfRule>
  </conditionalFormatting>
  <conditionalFormatting sqref="D50:D62">
    <cfRule type="cellIs" dxfId="170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169" priority="20" operator="equal">
      <formula>0</formula>
    </cfRule>
  </conditionalFormatting>
  <conditionalFormatting sqref="C63:D63">
    <cfRule type="cellIs" dxfId="168" priority="17" operator="equal">
      <formula>0</formula>
    </cfRule>
  </conditionalFormatting>
  <conditionalFormatting sqref="H36:H45">
    <cfRule type="cellIs" dxfId="167" priority="18" operator="equal">
      <formula>0</formula>
    </cfRule>
  </conditionalFormatting>
  <conditionalFormatting sqref="E81:E94 B80:G80 B78:J79 B68:G77 I68:J77 B95 E95:J95">
    <cfRule type="cellIs" dxfId="166" priority="16" operator="equal">
      <formula>0</formula>
    </cfRule>
  </conditionalFormatting>
  <conditionalFormatting sqref="C82:C94">
    <cfRule type="cellIs" dxfId="165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164" priority="13" operator="equal">
      <formula>0</formula>
    </cfRule>
  </conditionalFormatting>
  <conditionalFormatting sqref="D82:D94">
    <cfRule type="cellIs" dxfId="163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162" priority="10" operator="equal">
      <formula>0</formula>
    </cfRule>
  </conditionalFormatting>
  <conditionalFormatting sqref="H68:H77">
    <cfRule type="cellIs" dxfId="161" priority="8" operator="equal">
      <formula>0</formula>
    </cfRule>
  </conditionalFormatting>
  <conditionalFormatting sqref="C95:D95">
    <cfRule type="cellIs" dxfId="160" priority="7" operator="equal">
      <formula>0</formula>
    </cfRule>
  </conditionalFormatting>
  <conditionalFormatting sqref="T83:W83">
    <cfRule type="cellIs" dxfId="159" priority="6" operator="equal">
      <formula>0</formula>
    </cfRule>
  </conditionalFormatting>
  <conditionalFormatting sqref="H80:J94">
    <cfRule type="cellIs" dxfId="158" priority="1" operator="equal">
      <formula>0</formula>
    </cfRule>
  </conditionalFormatting>
  <conditionalFormatting sqref="Y88">
    <cfRule type="cellIs" dxfId="157" priority="4" operator="equal">
      <formula>0</formula>
    </cfRule>
  </conditionalFormatting>
  <conditionalFormatting sqref="R88:X88">
    <cfRule type="cellIs" dxfId="156" priority="3" operator="equal">
      <formula>0</formula>
    </cfRule>
  </conditionalFormatting>
  <conditionalFormatting sqref="H48:J62">
    <cfRule type="cellIs" dxfId="155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>
      <c r="D4" s="113"/>
      <c r="E4" s="113"/>
      <c r="F4" s="113"/>
      <c r="G4" s="113"/>
    </row>
    <row r="5" spans="1:15">
      <c r="A5" s="52"/>
      <c r="B5" s="52"/>
      <c r="C5" s="1" t="s">
        <v>82</v>
      </c>
    </row>
    <row r="6" spans="1:15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>
      <c r="A8" s="58"/>
      <c r="B8" s="58">
        <v>75</v>
      </c>
      <c r="C8" s="82"/>
      <c r="D8" s="82"/>
      <c r="E8" s="104"/>
      <c r="F8" s="65"/>
      <c r="G8" s="75"/>
      <c r="H8" s="95"/>
    </row>
    <row r="9" spans="1:15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>
      <c r="A11" s="181" t="s">
        <v>49</v>
      </c>
      <c r="B11" s="181"/>
      <c r="C11" s="181"/>
      <c r="D11" s="181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>
      <c r="A79" s="182" t="s">
        <v>78</v>
      </c>
      <c r="B79" s="183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>
      <c r="A80" s="182"/>
      <c r="B80" s="183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>
      <c r="A83" s="181" t="s">
        <v>50</v>
      </c>
      <c r="B83" s="181"/>
      <c r="C83" s="181"/>
      <c r="D83" s="181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154" priority="20" operator="lessThan">
      <formula>0.001</formula>
    </cfRule>
  </conditionalFormatting>
  <conditionalFormatting sqref="E87:E150">
    <cfRule type="cellIs" dxfId="153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>
      <c r="A3" s="52" t="s">
        <v>74</v>
      </c>
      <c r="B3" s="68">
        <f>Overview!A7</f>
        <v>100</v>
      </c>
      <c r="C3" s="1"/>
      <c r="F3" s="113"/>
      <c r="G3" s="110"/>
    </row>
    <row r="4" spans="1:23">
      <c r="F4" s="113"/>
      <c r="G4" s="113"/>
      <c r="I4" s="1"/>
      <c r="L4" s="138"/>
      <c r="M4" s="139"/>
      <c r="N4" s="136"/>
      <c r="O4" s="137"/>
    </row>
    <row r="5" spans="1:2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0"/>
      <c r="L7" s="113"/>
      <c r="M7" s="110"/>
      <c r="N7" s="129"/>
    </row>
    <row r="8" spans="1:2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>
      <c r="A11" s="181" t="s">
        <v>49</v>
      </c>
      <c r="B11" s="181"/>
      <c r="C11" s="181"/>
      <c r="D11" s="181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>
      <c r="A79" s="182" t="s">
        <v>78</v>
      </c>
      <c r="B79" s="183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>
      <c r="A80" s="182" t="s">
        <v>79</v>
      </c>
      <c r="B80" s="183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>
      <c r="A83" s="181" t="s">
        <v>50</v>
      </c>
      <c r="B83" s="181"/>
      <c r="C83" s="181"/>
      <c r="D83" s="181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>
      <c r="A153" s="184" t="s">
        <v>55</v>
      </c>
      <c r="B153" s="184"/>
      <c r="C153" s="184"/>
      <c r="D153" s="184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152" priority="84" operator="lessThan">
      <formula>0.001</formula>
    </cfRule>
  </conditionalFormatting>
  <conditionalFormatting sqref="E87:E150">
    <cfRule type="cellIs" dxfId="151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150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>
      <c r="B2" s="121" t="s">
        <v>109</v>
      </c>
      <c r="AQ2" s="121" t="s">
        <v>115</v>
      </c>
    </row>
    <row r="3" spans="1:60">
      <c r="I3" s="24" t="s">
        <v>110</v>
      </c>
    </row>
    <row r="4" spans="1:60">
      <c r="I4" s="24" t="s">
        <v>111</v>
      </c>
      <c r="AR4" s="24" t="s">
        <v>116</v>
      </c>
      <c r="AS4" s="24">
        <v>0.3</v>
      </c>
    </row>
    <row r="5" spans="1:60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>
      <c r="B29" s="121" t="s">
        <v>112</v>
      </c>
    </row>
    <row r="30" spans="2:60">
      <c r="P30" s="24" t="s">
        <v>113</v>
      </c>
      <c r="Q30" s="24">
        <v>50</v>
      </c>
    </row>
    <row r="31" spans="2:60">
      <c r="P31" s="24" t="s">
        <v>114</v>
      </c>
      <c r="Q31" s="24">
        <v>1.2</v>
      </c>
      <c r="AR31" s="24" t="s">
        <v>116</v>
      </c>
      <c r="AS31" s="24">
        <v>0.3</v>
      </c>
    </row>
    <row r="32" spans="2:60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>
      <c r="B50" s="123" t="s">
        <v>19</v>
      </c>
      <c r="E50" s="24">
        <v>15</v>
      </c>
      <c r="F50" s="24">
        <v>11</v>
      </c>
    </row>
    <row r="51" spans="2:49">
      <c r="B51" s="123" t="s">
        <v>37</v>
      </c>
      <c r="E51" s="24">
        <v>21</v>
      </c>
      <c r="F51" s="24">
        <v>16</v>
      </c>
    </row>
    <row r="52" spans="2:49">
      <c r="B52" s="123" t="s">
        <v>35</v>
      </c>
      <c r="E52" s="24">
        <v>17</v>
      </c>
      <c r="F52" s="24">
        <v>13</v>
      </c>
    </row>
    <row r="53" spans="2:49">
      <c r="B53" s="123" t="s">
        <v>34</v>
      </c>
      <c r="E53" s="24">
        <v>15</v>
      </c>
      <c r="F53" s="24">
        <v>11</v>
      </c>
    </row>
    <row r="54" spans="2:49">
      <c r="B54" s="123" t="s">
        <v>36</v>
      </c>
      <c r="E54" s="24">
        <v>15</v>
      </c>
      <c r="F54" s="24">
        <v>11</v>
      </c>
    </row>
    <row r="55" spans="2:49">
      <c r="F55" s="24" cm="1">
        <f t="array" ref="F55:F62">INT(E47:E54*0.27)</f>
        <v>2</v>
      </c>
    </row>
    <row r="56" spans="2:49">
      <c r="F56" s="24">
        <v>2</v>
      </c>
    </row>
    <row r="57" spans="2:49">
      <c r="F57" s="24">
        <v>3</v>
      </c>
    </row>
    <row r="58" spans="2:49">
      <c r="F58" s="24">
        <v>4</v>
      </c>
    </row>
    <row r="59" spans="2:49">
      <c r="F59" s="24">
        <v>5</v>
      </c>
    </row>
    <row r="60" spans="2:49">
      <c r="F60" s="24">
        <v>4</v>
      </c>
    </row>
    <row r="61" spans="2:49">
      <c r="F61" s="24">
        <v>4</v>
      </c>
    </row>
    <row r="62" spans="2:49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>
      <c r="B3" s="17" t="s">
        <v>122</v>
      </c>
    </row>
    <row r="4" spans="2:5">
      <c r="B4" s="97" t="s">
        <v>87</v>
      </c>
      <c r="C4" s="115"/>
      <c r="D4" s="115"/>
      <c r="E4" s="24" t="e">
        <f>SUM(D4:D5)/C4</f>
        <v>#DIV/0!</v>
      </c>
    </row>
    <row r="5" spans="2:5">
      <c r="B5" s="97" t="s">
        <v>86</v>
      </c>
      <c r="C5" s="49"/>
      <c r="D5" s="115"/>
    </row>
    <row r="7" spans="2:5">
      <c r="B7" s="17" t="s">
        <v>124</v>
      </c>
    </row>
    <row r="8" spans="2:5">
      <c r="B8" s="97" t="s">
        <v>87</v>
      </c>
      <c r="C8" s="134"/>
      <c r="D8" s="134"/>
      <c r="E8" s="24" t="e">
        <f>SUM(D8:D9)/C8</f>
        <v>#DIV/0!</v>
      </c>
    </row>
    <row r="9" spans="2:5">
      <c r="B9" s="97" t="s">
        <v>86</v>
      </c>
      <c r="C9" s="135"/>
      <c r="D9" s="134"/>
    </row>
    <row r="11" spans="2:5">
      <c r="B11" s="17" t="s">
        <v>128</v>
      </c>
    </row>
    <row r="12" spans="2:5">
      <c r="B12" s="97" t="s">
        <v>87</v>
      </c>
      <c r="C12" s="115"/>
      <c r="D12" s="115"/>
      <c r="E12" s="24" t="e">
        <f>SUM(D12:D13)/C12</f>
        <v>#DIV/0!</v>
      </c>
    </row>
    <row r="13" spans="2:5">
      <c r="B13" s="97" t="s">
        <v>86</v>
      </c>
      <c r="C13" s="49"/>
      <c r="D13" s="115"/>
    </row>
    <row r="15" spans="2:5">
      <c r="B15" s="17" t="s">
        <v>126</v>
      </c>
    </row>
    <row r="16" spans="2:5">
      <c r="B16" s="97" t="s">
        <v>87</v>
      </c>
      <c r="C16" s="115"/>
      <c r="D16" s="115"/>
      <c r="E16" s="24" t="e">
        <f>SUM(D16:D17)/C16</f>
        <v>#DIV/0!</v>
      </c>
    </row>
    <row r="17" spans="2:5">
      <c r="B17" s="97" t="s">
        <v>86</v>
      </c>
      <c r="C17" s="49"/>
      <c r="D17" s="115"/>
    </row>
    <row r="19" spans="2:5">
      <c r="B19" s="17" t="s">
        <v>130</v>
      </c>
    </row>
    <row r="20" spans="2:5">
      <c r="B20" s="97" t="s">
        <v>87</v>
      </c>
      <c r="C20" s="115"/>
      <c r="D20" s="115"/>
      <c r="E20" s="24" t="e">
        <f>SUM(D20:D21)/C20</f>
        <v>#DIV/0!</v>
      </c>
    </row>
    <row r="21" spans="2:5">
      <c r="B21" s="97" t="s">
        <v>86</v>
      </c>
      <c r="C21" s="49"/>
      <c r="D21" s="115"/>
    </row>
    <row r="23" spans="2:5">
      <c r="B23" s="17" t="s">
        <v>132</v>
      </c>
    </row>
    <row r="24" spans="2:5">
      <c r="B24" s="97" t="s">
        <v>87</v>
      </c>
      <c r="C24" s="115"/>
      <c r="D24" s="115"/>
      <c r="E24" s="24" t="e">
        <f>SUM(D24:D25)/C24</f>
        <v>#DIV/0!</v>
      </c>
    </row>
    <row r="25" spans="2:5">
      <c r="B25" s="97" t="s">
        <v>86</v>
      </c>
      <c r="C25" s="49"/>
      <c r="D25" s="115"/>
    </row>
    <row r="28" spans="2:5">
      <c r="B28" s="97" t="s">
        <v>62</v>
      </c>
      <c r="C28" s="132">
        <v>10000000000</v>
      </c>
    </row>
    <row r="30" spans="2:5">
      <c r="B30" s="133" t="s">
        <v>121</v>
      </c>
      <c r="C30" s="116" t="e">
        <f>ROUND(E4*$C$28, 0)</f>
        <v>#DIV/0!</v>
      </c>
    </row>
    <row r="31" spans="2:5">
      <c r="B31" s="133" t="s">
        <v>123</v>
      </c>
      <c r="C31" s="116" t="e">
        <f>ROUND(E8*$C$28, 0)</f>
        <v>#DIV/0!</v>
      </c>
    </row>
    <row r="32" spans="2:5">
      <c r="B32" s="133" t="s">
        <v>127</v>
      </c>
      <c r="C32" s="116" t="e">
        <f>ROUND(E12*$C$28, 0)</f>
        <v>#DIV/0!</v>
      </c>
    </row>
    <row r="33" spans="2:3">
      <c r="B33" s="133" t="s">
        <v>125</v>
      </c>
      <c r="C33" s="116" t="e">
        <f>ROUND(E16*$C$28, 0)</f>
        <v>#DIV/0!</v>
      </c>
    </row>
    <row r="34" spans="2:3">
      <c r="B34" s="133" t="s">
        <v>129</v>
      </c>
      <c r="C34" s="116" t="e">
        <f>ROUND(E20*$C$28, 0)</f>
        <v>#DIV/0!</v>
      </c>
    </row>
    <row r="35" spans="2:3">
      <c r="B35" s="133" t="s">
        <v>131</v>
      </c>
      <c r="C35" s="116" t="e">
        <f>ROUND(E24*$C$28, 0)</f>
        <v>#DIV/0!</v>
      </c>
    </row>
    <row r="38" spans="2:3">
      <c r="B38" s="24"/>
    </row>
    <row r="39" spans="2:3">
      <c r="B39" s="24"/>
    </row>
    <row r="40" spans="2:3">
      <c r="B40" s="24"/>
    </row>
    <row r="41" spans="2:3">
      <c r="B41" s="24"/>
    </row>
    <row r="42" spans="2:3">
      <c r="B42" s="24"/>
    </row>
    <row r="43" spans="2:3">
      <c r="B43" s="24"/>
    </row>
    <row r="44" spans="2:3">
      <c r="B44" s="24"/>
    </row>
    <row r="45" spans="2:3">
      <c r="B45" s="24"/>
    </row>
    <row r="46" spans="2:3">
      <c r="B46" s="24"/>
    </row>
    <row r="47" spans="2:3">
      <c r="B47" s="24"/>
    </row>
    <row r="48" spans="2:3">
      <c r="B48" s="24"/>
    </row>
    <row r="49" spans="2:2">
      <c r="B49" s="24"/>
    </row>
    <row r="50" spans="2:2">
      <c r="B50" s="24"/>
    </row>
    <row r="51" spans="2:2">
      <c r="B51" s="24"/>
    </row>
    <row r="52" spans="2:2">
      <c r="B52" s="24"/>
    </row>
    <row r="53" spans="2:2">
      <c r="B53" s="24"/>
    </row>
    <row r="54" spans="2:2">
      <c r="B54" s="24"/>
    </row>
    <row r="55" spans="2:2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F27" sqref="F27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>
      <c r="A6" s="142" t="str">
        <v>M1</v>
      </c>
      <c r="B6" s="118" t="str">
        <v>M1</v>
      </c>
      <c r="C6" s="142">
        <f t="shared" si="0"/>
        <v>4</v>
      </c>
      <c r="D6" s="142">
        <f t="shared" si="1"/>
        <v>11</v>
      </c>
      <c r="E6" s="142">
        <f t="shared" si="2"/>
        <v>5</v>
      </c>
      <c r="F6" s="142">
        <f t="shared" si="3"/>
        <v>21</v>
      </c>
      <c r="G6" s="142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>
      <c r="A7" s="142" t="str">
        <v>M2</v>
      </c>
      <c r="B7" s="118" t="str">
        <v>M2</v>
      </c>
      <c r="C7" s="142">
        <f t="shared" si="0"/>
        <v>4</v>
      </c>
      <c r="D7" s="142">
        <f t="shared" si="1"/>
        <v>11</v>
      </c>
      <c r="E7" s="142">
        <f t="shared" si="2"/>
        <v>5</v>
      </c>
      <c r="F7" s="142">
        <f t="shared" si="3"/>
        <v>21</v>
      </c>
      <c r="G7" s="142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0</v>
      </c>
      <c r="AE7" s="147">
        <v>6</v>
      </c>
      <c r="AF7" s="147">
        <v>0</v>
      </c>
      <c r="AG7" s="147">
        <v>9</v>
      </c>
      <c r="AH7" s="147">
        <v>0</v>
      </c>
      <c r="AI7" s="5"/>
      <c r="AJ7" s="147" t="str">
        <v>C1</v>
      </c>
      <c r="AK7" s="147">
        <v>0</v>
      </c>
      <c r="AL7" s="147">
        <v>6</v>
      </c>
      <c r="AM7" s="147">
        <v>0</v>
      </c>
      <c r="AN7" s="147">
        <v>9</v>
      </c>
      <c r="AO7" s="147">
        <v>0</v>
      </c>
    </row>
    <row r="8" spans="1:41" ht="15.9" customHeight="1">
      <c r="A8" s="142" t="str">
        <v>M3</v>
      </c>
      <c r="B8" s="118" t="str">
        <v>M3</v>
      </c>
      <c r="C8" s="142">
        <f t="shared" si="0"/>
        <v>4</v>
      </c>
      <c r="D8" s="142">
        <f t="shared" si="1"/>
        <v>11</v>
      </c>
      <c r="E8" s="142">
        <f t="shared" si="2"/>
        <v>5</v>
      </c>
      <c r="F8" s="142">
        <f t="shared" si="3"/>
        <v>21</v>
      </c>
      <c r="G8" s="142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4</v>
      </c>
      <c r="AE8" s="142">
        <v>11</v>
      </c>
      <c r="AF8" s="142">
        <v>5</v>
      </c>
      <c r="AG8" s="142">
        <v>21</v>
      </c>
      <c r="AH8" s="142">
        <v>23</v>
      </c>
      <c r="AI8" s="5"/>
      <c r="AJ8" s="157" t="str">
        <v>M1</v>
      </c>
      <c r="AK8" s="142">
        <v>4</v>
      </c>
      <c r="AL8" s="142">
        <v>11</v>
      </c>
      <c r="AM8" s="142">
        <v>5</v>
      </c>
      <c r="AN8" s="142">
        <v>21</v>
      </c>
      <c r="AO8" s="142">
        <v>23</v>
      </c>
    </row>
    <row r="9" spans="1:41" ht="15.9" customHeight="1">
      <c r="A9" s="142" t="str">
        <v>M4</v>
      </c>
      <c r="B9" s="118" t="str">
        <v>M4</v>
      </c>
      <c r="C9" s="142">
        <f t="shared" si="0"/>
        <v>43</v>
      </c>
      <c r="D9" s="142">
        <f t="shared" si="1"/>
        <v>20</v>
      </c>
      <c r="E9" s="142">
        <f t="shared" si="2"/>
        <v>41</v>
      </c>
      <c r="F9" s="142">
        <f t="shared" si="3"/>
        <v>14</v>
      </c>
      <c r="G9" s="142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4</v>
      </c>
      <c r="AE9" s="142">
        <v>11</v>
      </c>
      <c r="AF9" s="142">
        <v>5</v>
      </c>
      <c r="AG9" s="142">
        <v>21</v>
      </c>
      <c r="AH9" s="142">
        <v>23</v>
      </c>
      <c r="AI9" s="5"/>
      <c r="AJ9" s="157" t="str">
        <v>M2</v>
      </c>
      <c r="AK9" s="142">
        <v>4</v>
      </c>
      <c r="AL9" s="142">
        <v>11</v>
      </c>
      <c r="AM9" s="142">
        <v>5</v>
      </c>
      <c r="AN9" s="142">
        <v>21</v>
      </c>
      <c r="AO9" s="142">
        <v>23</v>
      </c>
    </row>
    <row r="10" spans="1:41" ht="15.9" customHeight="1">
      <c r="A10" s="142" t="str">
        <v>M5</v>
      </c>
      <c r="B10" s="118" t="str">
        <v>M5</v>
      </c>
      <c r="C10" s="142">
        <f t="shared" si="0"/>
        <v>43</v>
      </c>
      <c r="D10" s="142">
        <f t="shared" si="1"/>
        <v>21</v>
      </c>
      <c r="E10" s="142">
        <f t="shared" si="2"/>
        <v>41</v>
      </c>
      <c r="F10" s="142">
        <f t="shared" si="3"/>
        <v>14</v>
      </c>
      <c r="G10" s="142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4</v>
      </c>
      <c r="AE10" s="142">
        <v>11</v>
      </c>
      <c r="AF10" s="142">
        <v>5</v>
      </c>
      <c r="AG10" s="142">
        <v>21</v>
      </c>
      <c r="AH10" s="142">
        <v>22</v>
      </c>
      <c r="AI10" s="5"/>
      <c r="AJ10" s="157" t="str">
        <v>M3</v>
      </c>
      <c r="AK10" s="142">
        <v>4</v>
      </c>
      <c r="AL10" s="142">
        <v>11</v>
      </c>
      <c r="AM10" s="142">
        <v>5</v>
      </c>
      <c r="AN10" s="142">
        <v>21</v>
      </c>
      <c r="AO10" s="142">
        <v>22</v>
      </c>
    </row>
    <row r="11" spans="1:41" ht="15.9" customHeight="1">
      <c r="A11" s="142" t="str">
        <v>A</v>
      </c>
      <c r="B11" s="118" t="str">
        <v>A</v>
      </c>
      <c r="C11" s="142">
        <f t="shared" si="0"/>
        <v>47</v>
      </c>
      <c r="D11" s="142">
        <f t="shared" si="1"/>
        <v>21</v>
      </c>
      <c r="E11" s="142">
        <f t="shared" si="2"/>
        <v>41</v>
      </c>
      <c r="F11" s="142">
        <f t="shared" si="3"/>
        <v>14</v>
      </c>
      <c r="G11" s="142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20</v>
      </c>
      <c r="AF11" s="142">
        <v>41</v>
      </c>
      <c r="AG11" s="142">
        <v>14</v>
      </c>
      <c r="AH11" s="142">
        <v>22</v>
      </c>
      <c r="AI11" s="5"/>
      <c r="AJ11" s="157" t="str">
        <v>M4</v>
      </c>
      <c r="AK11" s="142">
        <v>43</v>
      </c>
      <c r="AL11" s="142">
        <v>20</v>
      </c>
      <c r="AM11" s="142">
        <v>41</v>
      </c>
      <c r="AN11" s="142">
        <v>14</v>
      </c>
      <c r="AO11" s="142">
        <v>22</v>
      </c>
    </row>
    <row r="12" spans="1:41" ht="15.9" customHeight="1">
      <c r="A12" s="142" t="str">
        <v>K</v>
      </c>
      <c r="B12" s="118" t="str">
        <v>K</v>
      </c>
      <c r="C12" s="142">
        <f t="shared" si="0"/>
        <v>47</v>
      </c>
      <c r="D12" s="142">
        <f t="shared" si="1"/>
        <v>21</v>
      </c>
      <c r="E12" s="142">
        <f t="shared" si="2"/>
        <v>41</v>
      </c>
      <c r="F12" s="142">
        <f t="shared" si="3"/>
        <v>14</v>
      </c>
      <c r="G12" s="142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43</v>
      </c>
      <c r="AE12" s="142">
        <v>21</v>
      </c>
      <c r="AF12" s="142">
        <v>41</v>
      </c>
      <c r="AG12" s="142">
        <v>14</v>
      </c>
      <c r="AH12" s="142">
        <v>22</v>
      </c>
      <c r="AI12" s="5"/>
      <c r="AJ12" s="157" t="str">
        <v>M5</v>
      </c>
      <c r="AK12" s="142">
        <v>43</v>
      </c>
      <c r="AL12" s="142">
        <v>21</v>
      </c>
      <c r="AM12" s="142">
        <v>41</v>
      </c>
      <c r="AN12" s="142">
        <v>14</v>
      </c>
      <c r="AO12" s="142">
        <v>22</v>
      </c>
    </row>
    <row r="13" spans="1:41" ht="15.9" customHeight="1">
      <c r="A13" s="142" t="str">
        <v>Q</v>
      </c>
      <c r="B13" s="118" t="str">
        <v>Q</v>
      </c>
      <c r="C13" s="142">
        <f t="shared" si="0"/>
        <v>4</v>
      </c>
      <c r="D13" s="142">
        <f t="shared" si="1"/>
        <v>11</v>
      </c>
      <c r="E13" s="142">
        <f t="shared" si="2"/>
        <v>5</v>
      </c>
      <c r="F13" s="142">
        <f t="shared" si="3"/>
        <v>20</v>
      </c>
      <c r="G13" s="142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47</v>
      </c>
      <c r="AE13" s="142">
        <v>21</v>
      </c>
      <c r="AF13" s="142">
        <v>41</v>
      </c>
      <c r="AG13" s="142">
        <v>14</v>
      </c>
      <c r="AH13" s="142">
        <v>22</v>
      </c>
      <c r="AI13" s="5"/>
      <c r="AJ13" s="157" t="str">
        <v>A</v>
      </c>
      <c r="AK13" s="142">
        <v>47</v>
      </c>
      <c r="AL13" s="142">
        <v>21</v>
      </c>
      <c r="AM13" s="142">
        <v>41</v>
      </c>
      <c r="AN13" s="142">
        <v>14</v>
      </c>
      <c r="AO13" s="142">
        <v>22</v>
      </c>
    </row>
    <row r="14" spans="1:41" ht="15.9" customHeight="1">
      <c r="A14" s="142" t="str">
        <v>J</v>
      </c>
      <c r="B14" s="118" t="str">
        <v>J</v>
      </c>
      <c r="C14" s="142">
        <f t="shared" si="0"/>
        <v>4</v>
      </c>
      <c r="D14" s="142">
        <f t="shared" si="1"/>
        <v>11</v>
      </c>
      <c r="E14" s="142">
        <f t="shared" si="2"/>
        <v>4</v>
      </c>
      <c r="F14" s="142">
        <f t="shared" si="3"/>
        <v>20</v>
      </c>
      <c r="G14" s="142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47</v>
      </c>
      <c r="AE14" s="142">
        <v>21</v>
      </c>
      <c r="AF14" s="142">
        <v>41</v>
      </c>
      <c r="AG14" s="142">
        <v>14</v>
      </c>
      <c r="AH14" s="142">
        <v>22</v>
      </c>
      <c r="AI14" s="5"/>
      <c r="AJ14" s="157" t="str">
        <v>K</v>
      </c>
      <c r="AK14" s="142">
        <v>47</v>
      </c>
      <c r="AL14" s="142">
        <v>21</v>
      </c>
      <c r="AM14" s="142">
        <v>41</v>
      </c>
      <c r="AN14" s="142">
        <v>14</v>
      </c>
      <c r="AO14" s="142">
        <v>22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4</v>
      </c>
      <c r="AE15" s="142">
        <v>11</v>
      </c>
      <c r="AF15" s="142">
        <v>5</v>
      </c>
      <c r="AG15" s="142">
        <v>20</v>
      </c>
      <c r="AH15" s="142">
        <v>22</v>
      </c>
      <c r="AI15" s="5"/>
      <c r="AJ15" s="157" t="str">
        <v>Q</v>
      </c>
      <c r="AK15" s="142">
        <v>4</v>
      </c>
      <c r="AL15" s="142">
        <v>11</v>
      </c>
      <c r="AM15" s="142">
        <v>5</v>
      </c>
      <c r="AN15" s="142">
        <v>20</v>
      </c>
      <c r="AO15" s="142">
        <v>22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4</v>
      </c>
      <c r="AE16" s="142">
        <v>11</v>
      </c>
      <c r="AF16" s="142">
        <v>4</v>
      </c>
      <c r="AG16" s="142">
        <v>20</v>
      </c>
      <c r="AH16" s="142">
        <v>22</v>
      </c>
      <c r="AI16" s="5"/>
      <c r="AJ16" s="157" t="str">
        <v>J</v>
      </c>
      <c r="AK16" s="142">
        <v>4</v>
      </c>
      <c r="AL16" s="142">
        <v>11</v>
      </c>
      <c r="AM16" s="142">
        <v>4</v>
      </c>
      <c r="AN16" s="142">
        <v>20</v>
      </c>
      <c r="AO16" s="142">
        <v>22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7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7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7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7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7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7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7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7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7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>
      <c r="B26" s="5" t="s">
        <v>219</v>
      </c>
      <c r="C26" s="173">
        <f>SUM(C4:C14)/C24</f>
        <v>1</v>
      </c>
      <c r="D26" s="173">
        <f>SUM(D4:D14)/D24</f>
        <v>0.72</v>
      </c>
      <c r="E26" s="173">
        <f>SUM(E4:E14)/E24</f>
        <v>0.94</v>
      </c>
      <c r="F26" s="173">
        <f>SUM(F4:F14)/F24</f>
        <v>0.84</v>
      </c>
      <c r="G26" s="173">
        <f>SUM(G4:G14)/G24</f>
        <v>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B27" s="5" t="s">
        <v>218</v>
      </c>
      <c r="C27" s="173">
        <f>SUM(C15:C23)/C24</f>
        <v>0</v>
      </c>
      <c r="D27" s="173">
        <f>SUM(D15:D23)/D24</f>
        <v>0.28000000000000003</v>
      </c>
      <c r="E27" s="173">
        <f>SUM(E15:E23)/E24</f>
        <v>0.06</v>
      </c>
      <c r="F27" s="173">
        <f>SUM(F15:F23)/F24</f>
        <v>0.16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0</v>
      </c>
      <c r="AE31" s="147">
        <v>6</v>
      </c>
      <c r="AF31" s="147">
        <v>0</v>
      </c>
      <c r="AG31" s="147">
        <v>9</v>
      </c>
      <c r="AH31" s="147">
        <v>0</v>
      </c>
      <c r="AI31" s="5"/>
      <c r="AJ31" s="147" t="str">
        <v>C1</v>
      </c>
      <c r="AK31" s="147">
        <v>0</v>
      </c>
      <c r="AL31" s="147">
        <v>6</v>
      </c>
      <c r="AM31" s="147">
        <v>0</v>
      </c>
      <c r="AN31" s="147">
        <v>9</v>
      </c>
      <c r="AO31" s="147">
        <v>0</v>
      </c>
    </row>
    <row r="32" spans="1:41" ht="16.5" customHeight="1"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4</v>
      </c>
      <c r="AE32" s="142">
        <v>11</v>
      </c>
      <c r="AF32" s="142">
        <v>5</v>
      </c>
      <c r="AG32" s="142">
        <v>21</v>
      </c>
      <c r="AH32" s="142">
        <v>23</v>
      </c>
      <c r="AI32" s="5"/>
      <c r="AJ32" s="157" t="str">
        <v>M1</v>
      </c>
      <c r="AK32" s="142">
        <v>4</v>
      </c>
      <c r="AL32" s="142">
        <v>11</v>
      </c>
      <c r="AM32" s="142">
        <v>5</v>
      </c>
      <c r="AN32" s="142">
        <v>21</v>
      </c>
      <c r="AO32" s="142">
        <v>23</v>
      </c>
    </row>
    <row r="33" spans="10:41" ht="16.5" customHeight="1"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4</v>
      </c>
      <c r="AE33" s="142">
        <v>11</v>
      </c>
      <c r="AF33" s="142">
        <v>5</v>
      </c>
      <c r="AG33" s="142">
        <v>21</v>
      </c>
      <c r="AH33" s="142">
        <v>23</v>
      </c>
      <c r="AI33" s="5"/>
      <c r="AJ33" s="157" t="str">
        <v>M2</v>
      </c>
      <c r="AK33" s="142">
        <v>4</v>
      </c>
      <c r="AL33" s="142">
        <v>11</v>
      </c>
      <c r="AM33" s="142">
        <v>5</v>
      </c>
      <c r="AN33" s="142">
        <v>21</v>
      </c>
      <c r="AO33" s="142">
        <v>23</v>
      </c>
    </row>
    <row r="34" spans="10:41" ht="16.5" customHeight="1"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4</v>
      </c>
      <c r="AE34" s="142">
        <v>11</v>
      </c>
      <c r="AF34" s="142">
        <v>5</v>
      </c>
      <c r="AG34" s="142">
        <v>21</v>
      </c>
      <c r="AH34" s="142">
        <v>22</v>
      </c>
      <c r="AI34" s="5"/>
      <c r="AJ34" s="157" t="str">
        <v>M3</v>
      </c>
      <c r="AK34" s="142">
        <v>4</v>
      </c>
      <c r="AL34" s="142">
        <v>11</v>
      </c>
      <c r="AM34" s="142">
        <v>5</v>
      </c>
      <c r="AN34" s="142">
        <v>21</v>
      </c>
      <c r="AO34" s="142">
        <v>22</v>
      </c>
    </row>
    <row r="35" spans="10:41" ht="16.5" customHeight="1"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20</v>
      </c>
      <c r="AF35" s="142">
        <v>41</v>
      </c>
      <c r="AG35" s="142">
        <v>14</v>
      </c>
      <c r="AH35" s="142">
        <v>22</v>
      </c>
      <c r="AI35" s="5"/>
      <c r="AJ35" s="157" t="str">
        <v>M4</v>
      </c>
      <c r="AK35" s="142">
        <v>43</v>
      </c>
      <c r="AL35" s="142">
        <v>20</v>
      </c>
      <c r="AM35" s="142">
        <v>41</v>
      </c>
      <c r="AN35" s="142">
        <v>14</v>
      </c>
      <c r="AO35" s="142">
        <v>22</v>
      </c>
    </row>
    <row r="36" spans="10:41" ht="16.5" customHeight="1"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43</v>
      </c>
      <c r="AE36" s="142">
        <v>21</v>
      </c>
      <c r="AF36" s="142">
        <v>41</v>
      </c>
      <c r="AG36" s="142">
        <v>14</v>
      </c>
      <c r="AH36" s="142">
        <v>22</v>
      </c>
      <c r="AI36" s="5"/>
      <c r="AJ36" s="157" t="str">
        <v>M5</v>
      </c>
      <c r="AK36" s="142">
        <v>43</v>
      </c>
      <c r="AL36" s="142">
        <v>21</v>
      </c>
      <c r="AM36" s="142">
        <v>41</v>
      </c>
      <c r="AN36" s="142">
        <v>14</v>
      </c>
      <c r="AO36" s="142">
        <v>22</v>
      </c>
    </row>
    <row r="37" spans="10:41" ht="16.5" customHeight="1"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47</v>
      </c>
      <c r="AE37" s="142">
        <v>21</v>
      </c>
      <c r="AF37" s="142">
        <v>41</v>
      </c>
      <c r="AG37" s="142">
        <v>14</v>
      </c>
      <c r="AH37" s="142">
        <v>22</v>
      </c>
      <c r="AI37" s="5"/>
      <c r="AJ37" s="157" t="str">
        <v>A</v>
      </c>
      <c r="AK37" s="142">
        <v>47</v>
      </c>
      <c r="AL37" s="142">
        <v>21</v>
      </c>
      <c r="AM37" s="142">
        <v>41</v>
      </c>
      <c r="AN37" s="142">
        <v>14</v>
      </c>
      <c r="AO37" s="142">
        <v>22</v>
      </c>
    </row>
    <row r="38" spans="10:41" ht="16.5" customHeight="1"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47</v>
      </c>
      <c r="AE38" s="142">
        <v>21</v>
      </c>
      <c r="AF38" s="142">
        <v>41</v>
      </c>
      <c r="AG38" s="142">
        <v>14</v>
      </c>
      <c r="AH38" s="142">
        <v>22</v>
      </c>
      <c r="AI38" s="5"/>
      <c r="AJ38" s="157" t="str">
        <v>K</v>
      </c>
      <c r="AK38" s="142">
        <v>47</v>
      </c>
      <c r="AL38" s="142">
        <v>21</v>
      </c>
      <c r="AM38" s="142">
        <v>41</v>
      </c>
      <c r="AN38" s="142">
        <v>14</v>
      </c>
      <c r="AO38" s="142">
        <v>22</v>
      </c>
    </row>
    <row r="39" spans="10:41" ht="16.5" customHeight="1"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4</v>
      </c>
      <c r="AE39" s="142">
        <v>11</v>
      </c>
      <c r="AF39" s="142">
        <v>5</v>
      </c>
      <c r="AG39" s="142">
        <v>20</v>
      </c>
      <c r="AH39" s="142">
        <v>22</v>
      </c>
      <c r="AI39" s="5"/>
      <c r="AJ39" s="157" t="str">
        <v>Q</v>
      </c>
      <c r="AK39" s="142">
        <v>4</v>
      </c>
      <c r="AL39" s="142">
        <v>11</v>
      </c>
      <c r="AM39" s="142">
        <v>5</v>
      </c>
      <c r="AN39" s="142">
        <v>20</v>
      </c>
      <c r="AO39" s="142">
        <v>22</v>
      </c>
    </row>
    <row r="40" spans="10:41" ht="16.5" customHeight="1"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4</v>
      </c>
      <c r="AE40" s="142">
        <v>11</v>
      </c>
      <c r="AF40" s="142">
        <v>4</v>
      </c>
      <c r="AG40" s="142">
        <v>20</v>
      </c>
      <c r="AH40" s="142">
        <v>22</v>
      </c>
      <c r="AI40" s="5"/>
      <c r="AJ40" s="157" t="str">
        <v>J</v>
      </c>
      <c r="AK40" s="142">
        <v>4</v>
      </c>
      <c r="AL40" s="142">
        <v>11</v>
      </c>
      <c r="AM40" s="142">
        <v>4</v>
      </c>
      <c r="AN40" s="142">
        <v>20</v>
      </c>
      <c r="AO40" s="142">
        <v>22</v>
      </c>
    </row>
    <row r="41" spans="10:41" ht="16.5" customHeight="1"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7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0:41" ht="16.5" customHeight="1"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7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0:41" ht="16.5" customHeight="1"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7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0:41" ht="16.5" customHeight="1"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7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0:41" ht="16.5" customHeight="1"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7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0:41" ht="16.5" customHeight="1"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7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0:41" ht="16.5" customHeight="1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7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0:41" ht="16.5" customHeight="1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7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7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0</v>
      </c>
      <c r="AE55" s="147">
        <v>6</v>
      </c>
      <c r="AF55" s="147">
        <v>0</v>
      </c>
      <c r="AG55" s="147">
        <v>9</v>
      </c>
      <c r="AH55" s="147">
        <v>0</v>
      </c>
      <c r="AI55" s="5"/>
      <c r="AJ55" s="147" t="str">
        <v>C1</v>
      </c>
      <c r="AK55" s="147">
        <v>0</v>
      </c>
      <c r="AL55" s="147">
        <v>6</v>
      </c>
      <c r="AM55" s="147">
        <v>0</v>
      </c>
      <c r="AN55" s="147">
        <v>9</v>
      </c>
      <c r="AO55" s="147">
        <v>0</v>
      </c>
    </row>
    <row r="56" spans="10:41" ht="16.5" customHeight="1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4</v>
      </c>
      <c r="AE56" s="142">
        <v>11</v>
      </c>
      <c r="AF56" s="142">
        <v>5</v>
      </c>
      <c r="AG56" s="142">
        <v>21</v>
      </c>
      <c r="AH56" s="142">
        <v>23</v>
      </c>
      <c r="AI56" s="5"/>
      <c r="AJ56" s="157" t="str">
        <v>M1</v>
      </c>
      <c r="AK56" s="142">
        <v>4</v>
      </c>
      <c r="AL56" s="142">
        <v>11</v>
      </c>
      <c r="AM56" s="142">
        <v>5</v>
      </c>
      <c r="AN56" s="142">
        <v>21</v>
      </c>
      <c r="AO56" s="142">
        <v>23</v>
      </c>
    </row>
    <row r="57" spans="10:41" ht="16.5" customHeight="1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4</v>
      </c>
      <c r="AE57" s="142">
        <v>11</v>
      </c>
      <c r="AF57" s="142">
        <v>5</v>
      </c>
      <c r="AG57" s="142">
        <v>21</v>
      </c>
      <c r="AH57" s="142">
        <v>23</v>
      </c>
      <c r="AI57" s="5"/>
      <c r="AJ57" s="157" t="str">
        <v>M2</v>
      </c>
      <c r="AK57" s="142">
        <v>4</v>
      </c>
      <c r="AL57" s="142">
        <v>11</v>
      </c>
      <c r="AM57" s="142">
        <v>5</v>
      </c>
      <c r="AN57" s="142">
        <v>21</v>
      </c>
      <c r="AO57" s="142">
        <v>23</v>
      </c>
    </row>
    <row r="58" spans="10:41" ht="16.5" customHeight="1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4</v>
      </c>
      <c r="AE58" s="142">
        <v>11</v>
      </c>
      <c r="AF58" s="142">
        <v>5</v>
      </c>
      <c r="AG58" s="142">
        <v>21</v>
      </c>
      <c r="AH58" s="142">
        <v>22</v>
      </c>
      <c r="AI58" s="5"/>
      <c r="AJ58" s="157" t="str">
        <v>M3</v>
      </c>
      <c r="AK58" s="142">
        <v>4</v>
      </c>
      <c r="AL58" s="142">
        <v>11</v>
      </c>
      <c r="AM58" s="142">
        <v>5</v>
      </c>
      <c r="AN58" s="142">
        <v>21</v>
      </c>
      <c r="AO58" s="142">
        <v>22</v>
      </c>
    </row>
    <row r="59" spans="10:41" ht="16.5" customHeight="1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20</v>
      </c>
      <c r="AF59" s="142">
        <v>41</v>
      </c>
      <c r="AG59" s="142">
        <v>14</v>
      </c>
      <c r="AH59" s="142">
        <v>22</v>
      </c>
      <c r="AI59" s="5"/>
      <c r="AJ59" s="157" t="str">
        <v>M4</v>
      </c>
      <c r="AK59" s="142">
        <v>43</v>
      </c>
      <c r="AL59" s="142">
        <v>20</v>
      </c>
      <c r="AM59" s="142">
        <v>41</v>
      </c>
      <c r="AN59" s="142">
        <v>14</v>
      </c>
      <c r="AO59" s="142">
        <v>22</v>
      </c>
    </row>
    <row r="60" spans="10:41" ht="16.5" customHeight="1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43</v>
      </c>
      <c r="AE60" s="142">
        <v>21</v>
      </c>
      <c r="AF60" s="142">
        <v>41</v>
      </c>
      <c r="AG60" s="142">
        <v>14</v>
      </c>
      <c r="AH60" s="142">
        <v>22</v>
      </c>
      <c r="AI60" s="5"/>
      <c r="AJ60" s="157" t="str">
        <v>M5</v>
      </c>
      <c r="AK60" s="142">
        <v>43</v>
      </c>
      <c r="AL60" s="142">
        <v>21</v>
      </c>
      <c r="AM60" s="142">
        <v>41</v>
      </c>
      <c r="AN60" s="142">
        <v>14</v>
      </c>
      <c r="AO60" s="142">
        <v>22</v>
      </c>
    </row>
    <row r="61" spans="10:41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47</v>
      </c>
      <c r="AE61" s="142">
        <v>21</v>
      </c>
      <c r="AF61" s="142">
        <v>41</v>
      </c>
      <c r="AG61" s="142">
        <v>14</v>
      </c>
      <c r="AH61" s="142">
        <v>22</v>
      </c>
      <c r="AI61" s="5"/>
      <c r="AJ61" s="157" t="str">
        <v>A</v>
      </c>
      <c r="AK61" s="142">
        <v>47</v>
      </c>
      <c r="AL61" s="142">
        <v>21</v>
      </c>
      <c r="AM61" s="142">
        <v>41</v>
      </c>
      <c r="AN61" s="142">
        <v>14</v>
      </c>
      <c r="AO61" s="142">
        <v>22</v>
      </c>
    </row>
    <row r="62" spans="10:41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47</v>
      </c>
      <c r="AE62" s="142">
        <v>21</v>
      </c>
      <c r="AF62" s="142">
        <v>41</v>
      </c>
      <c r="AG62" s="142">
        <v>14</v>
      </c>
      <c r="AH62" s="142">
        <v>22</v>
      </c>
      <c r="AI62" s="5"/>
      <c r="AJ62" s="157" t="str">
        <v>K</v>
      </c>
      <c r="AK62" s="142">
        <v>47</v>
      </c>
      <c r="AL62" s="142">
        <v>21</v>
      </c>
      <c r="AM62" s="142">
        <v>41</v>
      </c>
      <c r="AN62" s="142">
        <v>14</v>
      </c>
      <c r="AO62" s="142">
        <v>22</v>
      </c>
    </row>
    <row r="63" spans="10:41" ht="16.5" customHeight="1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4</v>
      </c>
      <c r="AE63" s="142">
        <v>11</v>
      </c>
      <c r="AF63" s="142">
        <v>5</v>
      </c>
      <c r="AG63" s="142">
        <v>20</v>
      </c>
      <c r="AH63" s="142">
        <v>22</v>
      </c>
      <c r="AI63" s="5"/>
      <c r="AJ63" s="157" t="str">
        <v>Q</v>
      </c>
      <c r="AK63" s="142">
        <v>4</v>
      </c>
      <c r="AL63" s="142">
        <v>11</v>
      </c>
      <c r="AM63" s="142">
        <v>5</v>
      </c>
      <c r="AN63" s="142">
        <v>20</v>
      </c>
      <c r="AO63" s="142">
        <v>22</v>
      </c>
    </row>
    <row r="64" spans="10:41" ht="16.5" customHeight="1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4</v>
      </c>
      <c r="AE64" s="142">
        <v>11</v>
      </c>
      <c r="AF64" s="142">
        <v>4</v>
      </c>
      <c r="AG64" s="142">
        <v>20</v>
      </c>
      <c r="AH64" s="142">
        <v>22</v>
      </c>
      <c r="AI64" s="5"/>
      <c r="AJ64" s="157" t="str">
        <v>J</v>
      </c>
      <c r="AK64" s="142">
        <v>4</v>
      </c>
      <c r="AL64" s="142">
        <v>11</v>
      </c>
      <c r="AM64" s="142">
        <v>4</v>
      </c>
      <c r="AN64" s="142">
        <v>20</v>
      </c>
      <c r="AO64" s="142">
        <v>22</v>
      </c>
    </row>
    <row r="65" spans="10:41" ht="16.5" customHeight="1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7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7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7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7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7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7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7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7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7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>
      <c r="AH305" s="5"/>
      <c r="AO305" s="5"/>
    </row>
  </sheetData>
  <phoneticPr fontId="20" type="noConversion"/>
  <conditionalFormatting sqref="K1:O1048576">
    <cfRule type="cellIs" dxfId="149" priority="14" operator="equal">
      <formula>"C1"</formula>
    </cfRule>
    <cfRule type="cellIs" dxfId="148" priority="15" operator="between">
      <formula>"G1"</formula>
      <formula>"G5"</formula>
    </cfRule>
    <cfRule type="cellIs" dxfId="147" priority="17" operator="between">
      <formula>"M1"</formula>
      <formula>"M5"</formula>
    </cfRule>
  </conditionalFormatting>
  <conditionalFormatting sqref="W5:AA304 X4:AA4">
    <cfRule type="expression" dxfId="146" priority="18">
      <formula>_xlfn.LET(_xlpm.x, W4, AND(NOT(_xlfn.ISFORMULA(_xlpm.x)), _xlpm.x&lt;&gt;""))</formula>
    </cfRule>
  </conditionalFormatting>
  <conditionalFormatting sqref="W4:AA203">
    <cfRule type="expression" dxfId="145" priority="13">
      <formula>_xlfn.LET(_xlpm.x, W4, AND(NOT(_xlfn.ISFORMULA(_xlpm.x)), _xlpm.x&lt;&gt;""))</formula>
    </cfRule>
  </conditionalFormatting>
  <conditionalFormatting sqref="C31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144" priority="9" operator="equal">
      <formula>"C1"</formula>
    </cfRule>
    <cfRule type="cellIs" dxfId="143" priority="10" operator="between">
      <formula>"G1"</formula>
      <formula>"G4"</formula>
    </cfRule>
    <cfRule type="cellIs" dxfId="142" priority="11" operator="between">
      <formula>"GA"</formula>
      <formula>"GQ"</formula>
    </cfRule>
    <cfRule type="cellIs" dxfId="141" priority="12" operator="between">
      <formula>"M1"</formula>
      <formula>"M4"</formula>
    </cfRule>
  </conditionalFormatting>
  <conditionalFormatting sqref="E52:E54">
    <cfRule type="cellIs" dxfId="140" priority="5" operator="equal">
      <formula>"C1"</formula>
    </cfRule>
    <cfRule type="cellIs" dxfId="139" priority="6" operator="between">
      <formula>"G1"</formula>
      <formula>"G4"</formula>
    </cfRule>
    <cfRule type="cellIs" dxfId="138" priority="7" operator="between">
      <formula>"GA"</formula>
      <formula>"GQ"</formula>
    </cfRule>
    <cfRule type="cellIs" dxfId="137" priority="8" operator="between">
      <formula>"M1"</formula>
      <formula>"M4"</formula>
    </cfRule>
  </conditionalFormatting>
  <conditionalFormatting sqref="F52:F54">
    <cfRule type="cellIs" dxfId="136" priority="1" operator="equal">
      <formula>"C1"</formula>
    </cfRule>
    <cfRule type="cellIs" dxfId="135" priority="2" operator="between">
      <formula>"G1"</formula>
      <formula>"G4"</formula>
    </cfRule>
    <cfRule type="cellIs" dxfId="134" priority="3" operator="between">
      <formula>"GA"</formula>
      <formula>"GQ"</formula>
    </cfRule>
    <cfRule type="cellIs" dxfId="133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U1" workbookViewId="0">
      <selection activeCell="F27" sqref="F27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3" width="11" style="5" bestFit="1" customWidth="1"/>
    <col min="4" max="4" width="9.5546875" style="5" bestFit="1" customWidth="1"/>
    <col min="5" max="5" width="11" style="5" bestFit="1" customWidth="1"/>
    <col min="6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>
      <c r="A6" s="142" t="str">
        <v>M1</v>
      </c>
      <c r="B6" s="118" t="str">
        <v>M1</v>
      </c>
      <c r="C6" s="142">
        <f t="shared" si="0"/>
        <v>4</v>
      </c>
      <c r="D6" s="142">
        <f t="shared" si="0"/>
        <v>11</v>
      </c>
      <c r="E6" s="142">
        <f t="shared" si="0"/>
        <v>0</v>
      </c>
      <c r="F6" s="142">
        <f t="shared" si="0"/>
        <v>22</v>
      </c>
      <c r="G6" s="142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>
      <c r="A7" s="142" t="str">
        <v>M2</v>
      </c>
      <c r="B7" s="118" t="str">
        <v>M2</v>
      </c>
      <c r="C7" s="142">
        <f t="shared" si="0"/>
        <v>4</v>
      </c>
      <c r="D7" s="142">
        <f t="shared" si="0"/>
        <v>11</v>
      </c>
      <c r="E7" s="142">
        <f t="shared" si="0"/>
        <v>0</v>
      </c>
      <c r="F7" s="142">
        <f t="shared" si="0"/>
        <v>22</v>
      </c>
      <c r="G7" s="142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7" t="str">
        <v>C1</v>
      </c>
      <c r="AK7" s="147">
        <v>0</v>
      </c>
      <c r="AL7" s="147">
        <v>6</v>
      </c>
      <c r="AM7" s="147">
        <v>0</v>
      </c>
      <c r="AN7" s="147">
        <v>9</v>
      </c>
      <c r="AO7" s="147">
        <v>0</v>
      </c>
    </row>
    <row r="8" spans="1:41" ht="15.9" customHeight="1">
      <c r="A8" s="142" t="str">
        <v>M3</v>
      </c>
      <c r="B8" s="118" t="str">
        <v>M3</v>
      </c>
      <c r="C8" s="142">
        <f t="shared" si="0"/>
        <v>4</v>
      </c>
      <c r="D8" s="142">
        <f t="shared" si="0"/>
        <v>11</v>
      </c>
      <c r="E8" s="142">
        <f t="shared" si="0"/>
        <v>0</v>
      </c>
      <c r="F8" s="142">
        <f t="shared" si="0"/>
        <v>22</v>
      </c>
      <c r="G8" s="142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4</v>
      </c>
      <c r="AE8" s="142">
        <v>11</v>
      </c>
      <c r="AF8" s="142">
        <v>0</v>
      </c>
      <c r="AG8" s="142">
        <v>22</v>
      </c>
      <c r="AH8" s="142">
        <v>28</v>
      </c>
      <c r="AI8" s="5"/>
      <c r="AJ8" s="157" t="str">
        <v>M1</v>
      </c>
      <c r="AK8" s="142">
        <v>4</v>
      </c>
      <c r="AL8" s="142">
        <v>11</v>
      </c>
      <c r="AM8" s="142">
        <v>0</v>
      </c>
      <c r="AN8" s="142">
        <v>22</v>
      </c>
      <c r="AO8" s="142">
        <v>28</v>
      </c>
    </row>
    <row r="9" spans="1:41" ht="15.9" customHeight="1">
      <c r="A9" s="142" t="str">
        <v>M4</v>
      </c>
      <c r="B9" s="118" t="str">
        <v>M4</v>
      </c>
      <c r="C9" s="142">
        <f t="shared" si="0"/>
        <v>43</v>
      </c>
      <c r="D9" s="142">
        <f t="shared" si="0"/>
        <v>19</v>
      </c>
      <c r="E9" s="142">
        <f t="shared" si="0"/>
        <v>0</v>
      </c>
      <c r="F9" s="142">
        <f t="shared" si="0"/>
        <v>12</v>
      </c>
      <c r="G9" s="142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4</v>
      </c>
      <c r="AE9" s="142">
        <v>11</v>
      </c>
      <c r="AF9" s="142">
        <v>0</v>
      </c>
      <c r="AG9" s="142">
        <v>22</v>
      </c>
      <c r="AH9" s="142">
        <v>27</v>
      </c>
      <c r="AI9" s="5"/>
      <c r="AJ9" s="157" t="str">
        <v>M2</v>
      </c>
      <c r="AK9" s="142">
        <v>4</v>
      </c>
      <c r="AL9" s="142">
        <v>11</v>
      </c>
      <c r="AM9" s="142">
        <v>0</v>
      </c>
      <c r="AN9" s="142">
        <v>22</v>
      </c>
      <c r="AO9" s="142">
        <v>27</v>
      </c>
    </row>
    <row r="10" spans="1:41" ht="15.9" customHeight="1">
      <c r="A10" s="142" t="str">
        <v>M5</v>
      </c>
      <c r="B10" s="118" t="str">
        <v>M5</v>
      </c>
      <c r="C10" s="142">
        <f t="shared" si="0"/>
        <v>43</v>
      </c>
      <c r="D10" s="142">
        <f t="shared" si="0"/>
        <v>20</v>
      </c>
      <c r="E10" s="142">
        <f t="shared" si="0"/>
        <v>0</v>
      </c>
      <c r="F10" s="142">
        <f t="shared" si="0"/>
        <v>12</v>
      </c>
      <c r="G10" s="142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4</v>
      </c>
      <c r="AE10" s="142">
        <v>11</v>
      </c>
      <c r="AF10" s="142">
        <v>0</v>
      </c>
      <c r="AG10" s="142">
        <v>22</v>
      </c>
      <c r="AH10" s="142">
        <v>27</v>
      </c>
      <c r="AI10" s="5"/>
      <c r="AJ10" s="157" t="str">
        <v>M3</v>
      </c>
      <c r="AK10" s="142">
        <v>4</v>
      </c>
      <c r="AL10" s="142">
        <v>11</v>
      </c>
      <c r="AM10" s="142">
        <v>0</v>
      </c>
      <c r="AN10" s="142">
        <v>22</v>
      </c>
      <c r="AO10" s="142">
        <v>27</v>
      </c>
    </row>
    <row r="11" spans="1:41" ht="15.9" customHeight="1">
      <c r="A11" s="142" t="str">
        <v>A</v>
      </c>
      <c r="B11" s="118" t="str">
        <v>A</v>
      </c>
      <c r="C11" s="142">
        <f t="shared" si="0"/>
        <v>47</v>
      </c>
      <c r="D11" s="142">
        <f t="shared" si="0"/>
        <v>20</v>
      </c>
      <c r="E11" s="142">
        <f t="shared" si="0"/>
        <v>0</v>
      </c>
      <c r="F11" s="142">
        <f t="shared" si="0"/>
        <v>12</v>
      </c>
      <c r="G11" s="142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19</v>
      </c>
      <c r="AF11" s="142">
        <v>0</v>
      </c>
      <c r="AG11" s="142">
        <v>12</v>
      </c>
      <c r="AH11" s="142">
        <v>16</v>
      </c>
      <c r="AI11" s="5"/>
      <c r="AJ11" s="157" t="str">
        <v>M4</v>
      </c>
      <c r="AK11" s="142">
        <v>43</v>
      </c>
      <c r="AL11" s="142">
        <v>19</v>
      </c>
      <c r="AM11" s="142">
        <v>0</v>
      </c>
      <c r="AN11" s="142">
        <v>12</v>
      </c>
      <c r="AO11" s="142">
        <v>16</v>
      </c>
    </row>
    <row r="12" spans="1:41" ht="15.9" customHeight="1">
      <c r="A12" s="142" t="str">
        <v>K</v>
      </c>
      <c r="B12" s="118" t="str">
        <v>K</v>
      </c>
      <c r="C12" s="142">
        <f t="shared" si="0"/>
        <v>47</v>
      </c>
      <c r="D12" s="142">
        <f t="shared" si="0"/>
        <v>20</v>
      </c>
      <c r="E12" s="142">
        <f t="shared" si="0"/>
        <v>0</v>
      </c>
      <c r="F12" s="142">
        <f t="shared" si="0"/>
        <v>12</v>
      </c>
      <c r="G12" s="142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43</v>
      </c>
      <c r="AE12" s="142">
        <v>20</v>
      </c>
      <c r="AF12" s="142">
        <v>0</v>
      </c>
      <c r="AG12" s="142">
        <v>12</v>
      </c>
      <c r="AH12" s="142">
        <v>16</v>
      </c>
      <c r="AI12" s="5"/>
      <c r="AJ12" s="157" t="str">
        <v>M5</v>
      </c>
      <c r="AK12" s="142">
        <v>43</v>
      </c>
      <c r="AL12" s="142">
        <v>20</v>
      </c>
      <c r="AM12" s="142">
        <v>0</v>
      </c>
      <c r="AN12" s="142">
        <v>12</v>
      </c>
      <c r="AO12" s="142">
        <v>16</v>
      </c>
    </row>
    <row r="13" spans="1:41" ht="15.9" customHeight="1">
      <c r="A13" s="142" t="str">
        <v>Q</v>
      </c>
      <c r="B13" s="118" t="str">
        <v>Q</v>
      </c>
      <c r="C13" s="142">
        <f t="shared" si="0"/>
        <v>4</v>
      </c>
      <c r="D13" s="142">
        <f t="shared" si="0"/>
        <v>11</v>
      </c>
      <c r="E13" s="142">
        <f t="shared" si="0"/>
        <v>0</v>
      </c>
      <c r="F13" s="142">
        <f t="shared" si="0"/>
        <v>21</v>
      </c>
      <c r="G13" s="142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47</v>
      </c>
      <c r="AE13" s="142">
        <v>20</v>
      </c>
      <c r="AF13" s="142">
        <v>0</v>
      </c>
      <c r="AG13" s="142">
        <v>12</v>
      </c>
      <c r="AH13" s="142">
        <v>16</v>
      </c>
      <c r="AI13" s="5"/>
      <c r="AJ13" s="157" t="str">
        <v>A</v>
      </c>
      <c r="AK13" s="142">
        <v>47</v>
      </c>
      <c r="AL13" s="142">
        <v>20</v>
      </c>
      <c r="AM13" s="142">
        <v>0</v>
      </c>
      <c r="AN13" s="142">
        <v>12</v>
      </c>
      <c r="AO13" s="142">
        <v>16</v>
      </c>
    </row>
    <row r="14" spans="1:41" ht="15.9" customHeight="1">
      <c r="A14" s="142" t="str">
        <v>J</v>
      </c>
      <c r="B14" s="118" t="str">
        <v>J</v>
      </c>
      <c r="C14" s="142">
        <f t="shared" si="0"/>
        <v>4</v>
      </c>
      <c r="D14" s="142">
        <f t="shared" si="0"/>
        <v>11</v>
      </c>
      <c r="E14" s="142">
        <f t="shared" si="0"/>
        <v>0</v>
      </c>
      <c r="F14" s="142">
        <f t="shared" si="0"/>
        <v>21</v>
      </c>
      <c r="G14" s="142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47</v>
      </c>
      <c r="AE14" s="142">
        <v>20</v>
      </c>
      <c r="AF14" s="142">
        <v>0</v>
      </c>
      <c r="AG14" s="142">
        <v>12</v>
      </c>
      <c r="AH14" s="142">
        <v>16</v>
      </c>
      <c r="AI14" s="5"/>
      <c r="AJ14" s="157" t="str">
        <v>K</v>
      </c>
      <c r="AK14" s="142">
        <v>47</v>
      </c>
      <c r="AL14" s="142">
        <v>20</v>
      </c>
      <c r="AM14" s="142">
        <v>0</v>
      </c>
      <c r="AN14" s="142">
        <v>12</v>
      </c>
      <c r="AO14" s="142">
        <v>16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4</v>
      </c>
      <c r="AE15" s="142">
        <v>11</v>
      </c>
      <c r="AF15" s="142">
        <v>0</v>
      </c>
      <c r="AG15" s="142">
        <v>21</v>
      </c>
      <c r="AH15" s="142">
        <v>27</v>
      </c>
      <c r="AI15" s="5"/>
      <c r="AJ15" s="157" t="str">
        <v>Q</v>
      </c>
      <c r="AK15" s="142">
        <v>4</v>
      </c>
      <c r="AL15" s="142">
        <v>11</v>
      </c>
      <c r="AM15" s="142">
        <v>0</v>
      </c>
      <c r="AN15" s="142">
        <v>21</v>
      </c>
      <c r="AO15" s="142">
        <v>27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4</v>
      </c>
      <c r="AE16" s="142">
        <v>11</v>
      </c>
      <c r="AF16" s="142">
        <v>0</v>
      </c>
      <c r="AG16" s="142">
        <v>21</v>
      </c>
      <c r="AH16" s="142">
        <v>27</v>
      </c>
      <c r="AI16" s="5"/>
      <c r="AJ16" s="157" t="str">
        <v>J</v>
      </c>
      <c r="AK16" s="142">
        <v>4</v>
      </c>
      <c r="AL16" s="142">
        <v>11</v>
      </c>
      <c r="AM16" s="142">
        <v>0</v>
      </c>
      <c r="AN16" s="142">
        <v>21</v>
      </c>
      <c r="AO16" s="142">
        <v>27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7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7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7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7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7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7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7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7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7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>
      <c r="B26" s="5" t="s">
        <v>219</v>
      </c>
      <c r="C26" s="173">
        <f>SUM(C4:C14)/C24</f>
        <v>1</v>
      </c>
      <c r="D26" s="173">
        <f>SUM(D4:D14)/D24</f>
        <v>0.7</v>
      </c>
      <c r="E26" s="173">
        <f>SUM(E4:E14)/E24</f>
        <v>0</v>
      </c>
      <c r="F26" s="173">
        <f>SUM(F4:F14)/F24</f>
        <v>0.82499999999999996</v>
      </c>
      <c r="G26" s="173">
        <f>SUM(G4:G14)/G24</f>
        <v>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B27" s="5" t="s">
        <v>218</v>
      </c>
      <c r="C27" s="173">
        <f>SUM(C15:C23)/C24</f>
        <v>0</v>
      </c>
      <c r="D27" s="173">
        <f>SUM(D15:D23)/D24</f>
        <v>0.3</v>
      </c>
      <c r="E27" s="173">
        <f>SUM(E15:E23)/E24</f>
        <v>1</v>
      </c>
      <c r="F27" s="173">
        <f>SUM(F15:F23)/F24</f>
        <v>0.17499999999999999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0</v>
      </c>
      <c r="AE31" s="147">
        <v>6</v>
      </c>
      <c r="AF31" s="147">
        <v>0</v>
      </c>
      <c r="AG31" s="147">
        <v>9</v>
      </c>
      <c r="AH31" s="147">
        <v>0</v>
      </c>
      <c r="AI31" s="5"/>
      <c r="AJ31" s="147" t="str">
        <v>C1</v>
      </c>
      <c r="AK31" s="147">
        <v>0</v>
      </c>
      <c r="AL31" s="147">
        <v>6</v>
      </c>
      <c r="AM31" s="147">
        <v>0</v>
      </c>
      <c r="AN31" s="147">
        <v>9</v>
      </c>
      <c r="AO31" s="147">
        <v>0</v>
      </c>
    </row>
    <row r="32" spans="1:41" ht="16.5" customHeight="1"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4</v>
      </c>
      <c r="AE32" s="142">
        <v>11</v>
      </c>
      <c r="AF32" s="142">
        <v>0</v>
      </c>
      <c r="AG32" s="142">
        <v>22</v>
      </c>
      <c r="AH32" s="142">
        <v>28</v>
      </c>
      <c r="AI32" s="5"/>
      <c r="AJ32" s="157" t="str">
        <v>M1</v>
      </c>
      <c r="AK32" s="142">
        <v>4</v>
      </c>
      <c r="AL32" s="142">
        <v>11</v>
      </c>
      <c r="AM32" s="142">
        <v>0</v>
      </c>
      <c r="AN32" s="142">
        <v>22</v>
      </c>
      <c r="AO32" s="142">
        <v>28</v>
      </c>
    </row>
    <row r="33" spans="10:41" ht="16.5" customHeight="1"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4</v>
      </c>
      <c r="AE33" s="142">
        <v>11</v>
      </c>
      <c r="AF33" s="142">
        <v>0</v>
      </c>
      <c r="AG33" s="142">
        <v>22</v>
      </c>
      <c r="AH33" s="142">
        <v>27</v>
      </c>
      <c r="AI33" s="5"/>
      <c r="AJ33" s="157" t="str">
        <v>M2</v>
      </c>
      <c r="AK33" s="142">
        <v>4</v>
      </c>
      <c r="AL33" s="142">
        <v>11</v>
      </c>
      <c r="AM33" s="142">
        <v>0</v>
      </c>
      <c r="AN33" s="142">
        <v>22</v>
      </c>
      <c r="AO33" s="142">
        <v>27</v>
      </c>
    </row>
    <row r="34" spans="10:41" ht="16.5" customHeight="1"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4</v>
      </c>
      <c r="AE34" s="142">
        <v>11</v>
      </c>
      <c r="AF34" s="142">
        <v>0</v>
      </c>
      <c r="AG34" s="142">
        <v>22</v>
      </c>
      <c r="AH34" s="142">
        <v>27</v>
      </c>
      <c r="AI34" s="5"/>
      <c r="AJ34" s="157" t="str">
        <v>M3</v>
      </c>
      <c r="AK34" s="142">
        <v>4</v>
      </c>
      <c r="AL34" s="142">
        <v>11</v>
      </c>
      <c r="AM34" s="142">
        <v>0</v>
      </c>
      <c r="AN34" s="142">
        <v>22</v>
      </c>
      <c r="AO34" s="142">
        <v>27</v>
      </c>
    </row>
    <row r="35" spans="10:41" ht="16.5" customHeight="1"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19</v>
      </c>
      <c r="AF35" s="142">
        <v>0</v>
      </c>
      <c r="AG35" s="142">
        <v>12</v>
      </c>
      <c r="AH35" s="142">
        <v>16</v>
      </c>
      <c r="AI35" s="5"/>
      <c r="AJ35" s="157" t="str">
        <v>M4</v>
      </c>
      <c r="AK35" s="142">
        <v>43</v>
      </c>
      <c r="AL35" s="142">
        <v>19</v>
      </c>
      <c r="AM35" s="142">
        <v>0</v>
      </c>
      <c r="AN35" s="142">
        <v>12</v>
      </c>
      <c r="AO35" s="142">
        <v>16</v>
      </c>
    </row>
    <row r="36" spans="10:41" ht="16.5" customHeight="1"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43</v>
      </c>
      <c r="AE36" s="142">
        <v>20</v>
      </c>
      <c r="AF36" s="142">
        <v>0</v>
      </c>
      <c r="AG36" s="142">
        <v>12</v>
      </c>
      <c r="AH36" s="142">
        <v>16</v>
      </c>
      <c r="AI36" s="5"/>
      <c r="AJ36" s="157" t="str">
        <v>M5</v>
      </c>
      <c r="AK36" s="142">
        <v>43</v>
      </c>
      <c r="AL36" s="142">
        <v>20</v>
      </c>
      <c r="AM36" s="142">
        <v>0</v>
      </c>
      <c r="AN36" s="142">
        <v>12</v>
      </c>
      <c r="AO36" s="142">
        <v>16</v>
      </c>
    </row>
    <row r="37" spans="10:41" ht="16.5" customHeight="1"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47</v>
      </c>
      <c r="AE37" s="142">
        <v>20</v>
      </c>
      <c r="AF37" s="142">
        <v>0</v>
      </c>
      <c r="AG37" s="142">
        <v>12</v>
      </c>
      <c r="AH37" s="142">
        <v>16</v>
      </c>
      <c r="AI37" s="5"/>
      <c r="AJ37" s="157" t="str">
        <v>A</v>
      </c>
      <c r="AK37" s="142">
        <v>47</v>
      </c>
      <c r="AL37" s="142">
        <v>20</v>
      </c>
      <c r="AM37" s="142">
        <v>0</v>
      </c>
      <c r="AN37" s="142">
        <v>12</v>
      </c>
      <c r="AO37" s="142">
        <v>16</v>
      </c>
    </row>
    <row r="38" spans="10:41" ht="16.5" customHeight="1"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47</v>
      </c>
      <c r="AE38" s="142">
        <v>20</v>
      </c>
      <c r="AF38" s="142">
        <v>0</v>
      </c>
      <c r="AG38" s="142">
        <v>12</v>
      </c>
      <c r="AH38" s="142">
        <v>16</v>
      </c>
      <c r="AI38" s="5"/>
      <c r="AJ38" s="157" t="str">
        <v>K</v>
      </c>
      <c r="AK38" s="142">
        <v>47</v>
      </c>
      <c r="AL38" s="142">
        <v>20</v>
      </c>
      <c r="AM38" s="142">
        <v>0</v>
      </c>
      <c r="AN38" s="142">
        <v>12</v>
      </c>
      <c r="AO38" s="142">
        <v>16</v>
      </c>
    </row>
    <row r="39" spans="10:41" ht="16.5" customHeight="1"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4</v>
      </c>
      <c r="AE39" s="142">
        <v>11</v>
      </c>
      <c r="AF39" s="142">
        <v>0</v>
      </c>
      <c r="AG39" s="142">
        <v>21</v>
      </c>
      <c r="AH39" s="142">
        <v>27</v>
      </c>
      <c r="AI39" s="5"/>
      <c r="AJ39" s="157" t="str">
        <v>Q</v>
      </c>
      <c r="AK39" s="142">
        <v>4</v>
      </c>
      <c r="AL39" s="142">
        <v>11</v>
      </c>
      <c r="AM39" s="142">
        <v>0</v>
      </c>
      <c r="AN39" s="142">
        <v>21</v>
      </c>
      <c r="AO39" s="142">
        <v>27</v>
      </c>
    </row>
    <row r="40" spans="10:41" ht="16.5" customHeight="1"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4</v>
      </c>
      <c r="AE40" s="142">
        <v>11</v>
      </c>
      <c r="AF40" s="142">
        <v>0</v>
      </c>
      <c r="AG40" s="142">
        <v>21</v>
      </c>
      <c r="AH40" s="142">
        <v>27</v>
      </c>
      <c r="AI40" s="5"/>
      <c r="AJ40" s="157" t="str">
        <v>J</v>
      </c>
      <c r="AK40" s="142">
        <v>4</v>
      </c>
      <c r="AL40" s="142">
        <v>11</v>
      </c>
      <c r="AM40" s="142">
        <v>0</v>
      </c>
      <c r="AN40" s="142">
        <v>21</v>
      </c>
      <c r="AO40" s="142">
        <v>27</v>
      </c>
    </row>
    <row r="41" spans="10:41" ht="16.5" customHeight="1"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7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0:41" ht="16.5" customHeight="1"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7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7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0:41" ht="16.5" customHeight="1"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7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0:41" ht="16.5" customHeight="1"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7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0:41" ht="16.5" customHeight="1"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7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0:41" ht="16.5" customHeight="1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7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0:41" ht="16.5" customHeight="1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7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7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0</v>
      </c>
      <c r="AE55" s="147">
        <v>6</v>
      </c>
      <c r="AF55" s="147">
        <v>0</v>
      </c>
      <c r="AG55" s="147">
        <v>9</v>
      </c>
      <c r="AH55" s="147">
        <v>0</v>
      </c>
      <c r="AI55" s="5"/>
      <c r="AJ55" s="147" t="str">
        <v>C1</v>
      </c>
      <c r="AK55" s="147">
        <v>0</v>
      </c>
      <c r="AL55" s="147">
        <v>6</v>
      </c>
      <c r="AM55" s="147">
        <v>0</v>
      </c>
      <c r="AN55" s="147">
        <v>9</v>
      </c>
      <c r="AO55" s="147">
        <v>0</v>
      </c>
    </row>
    <row r="56" spans="10:41" ht="16.5" customHeight="1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4</v>
      </c>
      <c r="AE56" s="142">
        <v>11</v>
      </c>
      <c r="AF56" s="142">
        <v>0</v>
      </c>
      <c r="AG56" s="142">
        <v>22</v>
      </c>
      <c r="AH56" s="142">
        <v>28</v>
      </c>
      <c r="AI56" s="5"/>
      <c r="AJ56" s="157" t="str">
        <v>M1</v>
      </c>
      <c r="AK56" s="142">
        <v>4</v>
      </c>
      <c r="AL56" s="142">
        <v>11</v>
      </c>
      <c r="AM56" s="142">
        <v>0</v>
      </c>
      <c r="AN56" s="142">
        <v>22</v>
      </c>
      <c r="AO56" s="142">
        <v>28</v>
      </c>
    </row>
    <row r="57" spans="10:41" ht="16.5" customHeight="1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4</v>
      </c>
      <c r="AE57" s="142">
        <v>11</v>
      </c>
      <c r="AF57" s="142">
        <v>0</v>
      </c>
      <c r="AG57" s="142">
        <v>22</v>
      </c>
      <c r="AH57" s="142">
        <v>27</v>
      </c>
      <c r="AI57" s="5"/>
      <c r="AJ57" s="157" t="str">
        <v>M2</v>
      </c>
      <c r="AK57" s="142">
        <v>4</v>
      </c>
      <c r="AL57" s="142">
        <v>11</v>
      </c>
      <c r="AM57" s="142">
        <v>0</v>
      </c>
      <c r="AN57" s="142">
        <v>22</v>
      </c>
      <c r="AO57" s="142">
        <v>27</v>
      </c>
    </row>
    <row r="58" spans="10:41" ht="16.5" customHeight="1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4</v>
      </c>
      <c r="AE58" s="142">
        <v>11</v>
      </c>
      <c r="AF58" s="142">
        <v>0</v>
      </c>
      <c r="AG58" s="142">
        <v>22</v>
      </c>
      <c r="AH58" s="142">
        <v>27</v>
      </c>
      <c r="AI58" s="5"/>
      <c r="AJ58" s="157" t="str">
        <v>M3</v>
      </c>
      <c r="AK58" s="142">
        <v>4</v>
      </c>
      <c r="AL58" s="142">
        <v>11</v>
      </c>
      <c r="AM58" s="142">
        <v>0</v>
      </c>
      <c r="AN58" s="142">
        <v>22</v>
      </c>
      <c r="AO58" s="142">
        <v>27</v>
      </c>
    </row>
    <row r="59" spans="10:41" ht="16.5" customHeight="1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19</v>
      </c>
      <c r="AF59" s="142">
        <v>0</v>
      </c>
      <c r="AG59" s="142">
        <v>12</v>
      </c>
      <c r="AH59" s="142">
        <v>16</v>
      </c>
      <c r="AI59" s="5"/>
      <c r="AJ59" s="157" t="str">
        <v>M4</v>
      </c>
      <c r="AK59" s="142">
        <v>43</v>
      </c>
      <c r="AL59" s="142">
        <v>19</v>
      </c>
      <c r="AM59" s="142">
        <v>0</v>
      </c>
      <c r="AN59" s="142">
        <v>12</v>
      </c>
      <c r="AO59" s="142">
        <v>16</v>
      </c>
    </row>
    <row r="60" spans="10:41" ht="16.5" customHeight="1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43</v>
      </c>
      <c r="AE60" s="142">
        <v>20</v>
      </c>
      <c r="AF60" s="142">
        <v>0</v>
      </c>
      <c r="AG60" s="142">
        <v>12</v>
      </c>
      <c r="AH60" s="142">
        <v>16</v>
      </c>
      <c r="AI60" s="5"/>
      <c r="AJ60" s="157" t="str">
        <v>M5</v>
      </c>
      <c r="AK60" s="142">
        <v>43</v>
      </c>
      <c r="AL60" s="142">
        <v>20</v>
      </c>
      <c r="AM60" s="142">
        <v>0</v>
      </c>
      <c r="AN60" s="142">
        <v>12</v>
      </c>
      <c r="AO60" s="142">
        <v>16</v>
      </c>
    </row>
    <row r="61" spans="10:41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47</v>
      </c>
      <c r="AE61" s="142">
        <v>20</v>
      </c>
      <c r="AF61" s="142">
        <v>0</v>
      </c>
      <c r="AG61" s="142">
        <v>12</v>
      </c>
      <c r="AH61" s="142">
        <v>16</v>
      </c>
      <c r="AI61" s="5"/>
      <c r="AJ61" s="157" t="str">
        <v>A</v>
      </c>
      <c r="AK61" s="142">
        <v>47</v>
      </c>
      <c r="AL61" s="142">
        <v>20</v>
      </c>
      <c r="AM61" s="142">
        <v>0</v>
      </c>
      <c r="AN61" s="142">
        <v>12</v>
      </c>
      <c r="AO61" s="142">
        <v>16</v>
      </c>
    </row>
    <row r="62" spans="10:41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47</v>
      </c>
      <c r="AE62" s="142">
        <v>20</v>
      </c>
      <c r="AF62" s="142">
        <v>0</v>
      </c>
      <c r="AG62" s="142">
        <v>12</v>
      </c>
      <c r="AH62" s="142">
        <v>16</v>
      </c>
      <c r="AI62" s="5"/>
      <c r="AJ62" s="157" t="str">
        <v>K</v>
      </c>
      <c r="AK62" s="142">
        <v>47</v>
      </c>
      <c r="AL62" s="142">
        <v>20</v>
      </c>
      <c r="AM62" s="142">
        <v>0</v>
      </c>
      <c r="AN62" s="142">
        <v>12</v>
      </c>
      <c r="AO62" s="142">
        <v>16</v>
      </c>
    </row>
    <row r="63" spans="10:41" ht="16.5" customHeight="1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4</v>
      </c>
      <c r="AE63" s="142">
        <v>11</v>
      </c>
      <c r="AF63" s="142">
        <v>0</v>
      </c>
      <c r="AG63" s="142">
        <v>21</v>
      </c>
      <c r="AH63" s="142">
        <v>27</v>
      </c>
      <c r="AI63" s="5"/>
      <c r="AJ63" s="157" t="str">
        <v>Q</v>
      </c>
      <c r="AK63" s="142">
        <v>4</v>
      </c>
      <c r="AL63" s="142">
        <v>11</v>
      </c>
      <c r="AM63" s="142">
        <v>0</v>
      </c>
      <c r="AN63" s="142">
        <v>21</v>
      </c>
      <c r="AO63" s="142">
        <v>27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4</v>
      </c>
      <c r="AE64" s="142">
        <v>11</v>
      </c>
      <c r="AF64" s="142">
        <v>0</v>
      </c>
      <c r="AG64" s="142">
        <v>21</v>
      </c>
      <c r="AH64" s="142">
        <v>27</v>
      </c>
      <c r="AI64" s="5"/>
      <c r="AJ64" s="157" t="str">
        <v>J</v>
      </c>
      <c r="AK64" s="142">
        <v>4</v>
      </c>
      <c r="AL64" s="142">
        <v>11</v>
      </c>
      <c r="AM64" s="142">
        <v>0</v>
      </c>
      <c r="AN64" s="142">
        <v>21</v>
      </c>
      <c r="AO64" s="142">
        <v>27</v>
      </c>
    </row>
    <row r="65" spans="10:41" ht="16.5" customHeight="1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7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7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7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7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7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7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7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7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7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31">
      <formula>_xlfn.LET(_xlpm.x, W4, AND(NOT(_xlfn.ISFORMULA(_xlpm.x)), _xlpm.x&lt;&gt;""))</formula>
    </cfRule>
  </conditionalFormatting>
  <conditionalFormatting sqref="W4:AA203">
    <cfRule type="expression" dxfId="130" priority="26">
      <formula>_xlfn.LET(_xlpm.x, W4, AND(NOT(_xlfn.ISFORMULA(_xlpm.x)), _xlpm.x&lt;&gt;""))</formula>
    </cfRule>
  </conditionalFormatting>
  <conditionalFormatting sqref="K1:O1048576">
    <cfRule type="cellIs" dxfId="129" priority="14" operator="equal">
      <formula>"C1"</formula>
    </cfRule>
    <cfRule type="cellIs" dxfId="128" priority="15" operator="between">
      <formula>"G1"</formula>
      <formula>"G5"</formula>
    </cfRule>
    <cfRule type="cellIs" dxfId="127" priority="16" operator="between">
      <formula>"GA"</formula>
      <formula>"GJ"</formula>
    </cfRule>
    <cfRule type="cellIs" dxfId="126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{B97623C1-AAB1-422D-92A3-D3C12E552ECC}</x14:id>
        </ext>
      </extLst>
    </cfRule>
  </conditionalFormatting>
  <conditionalFormatting sqref="D52:D54">
    <cfRule type="cellIs" dxfId="125" priority="9" operator="equal">
      <formula>"C1"</formula>
    </cfRule>
    <cfRule type="cellIs" dxfId="124" priority="10" operator="between">
      <formula>"G1"</formula>
      <formula>"G4"</formula>
    </cfRule>
    <cfRule type="cellIs" dxfId="123" priority="11" operator="between">
      <formula>"GA"</formula>
      <formula>"GQ"</formula>
    </cfRule>
    <cfRule type="cellIs" dxfId="122" priority="12" operator="between">
      <formula>"M1"</formula>
      <formula>"M4"</formula>
    </cfRule>
  </conditionalFormatting>
  <conditionalFormatting sqref="E52:E54">
    <cfRule type="cellIs" dxfId="121" priority="5" operator="equal">
      <formula>"C1"</formula>
    </cfRule>
    <cfRule type="cellIs" dxfId="120" priority="6" operator="between">
      <formula>"G1"</formula>
      <formula>"G4"</formula>
    </cfRule>
    <cfRule type="cellIs" dxfId="119" priority="7" operator="between">
      <formula>"GA"</formula>
      <formula>"GQ"</formula>
    </cfRule>
    <cfRule type="cellIs" dxfId="118" priority="8" operator="between">
      <formula>"M1"</formula>
      <formula>"M4"</formula>
    </cfRule>
  </conditionalFormatting>
  <conditionalFormatting sqref="F52:F54">
    <cfRule type="cellIs" dxfId="117" priority="1" operator="equal">
      <formula>"C1"</formula>
    </cfRule>
    <cfRule type="cellIs" dxfId="116" priority="2" operator="between">
      <formula>"G1"</formula>
      <formula>"G4"</formula>
    </cfRule>
    <cfRule type="cellIs" dxfId="115" priority="3" operator="between">
      <formula>"GA"</formula>
      <formula>"GQ"</formula>
    </cfRule>
    <cfRule type="cellIs" dxfId="114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7623C1-AAB1-422D-92A3-D3C12E552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>
      <selection activeCell="E34" sqref="E34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>
      <c r="A6" s="142" t="str">
        <v>M1</v>
      </c>
      <c r="B6" s="118" t="str">
        <v>M1</v>
      </c>
      <c r="C6" s="142">
        <f t="shared" si="0"/>
        <v>4</v>
      </c>
      <c r="D6" s="142">
        <f t="shared" si="0"/>
        <v>17</v>
      </c>
      <c r="E6" s="142">
        <f t="shared" si="0"/>
        <v>4</v>
      </c>
      <c r="F6" s="142">
        <f t="shared" si="0"/>
        <v>21</v>
      </c>
      <c r="G6" s="142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>
      <c r="A7" s="142" t="str">
        <v>M2</v>
      </c>
      <c r="B7" s="118" t="str">
        <v>M2</v>
      </c>
      <c r="C7" s="142">
        <f t="shared" si="0"/>
        <v>4</v>
      </c>
      <c r="D7" s="142">
        <f t="shared" si="0"/>
        <v>18</v>
      </c>
      <c r="E7" s="142">
        <f t="shared" si="0"/>
        <v>4</v>
      </c>
      <c r="F7" s="142">
        <f t="shared" si="0"/>
        <v>20</v>
      </c>
      <c r="G7" s="142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6</v>
      </c>
      <c r="AE7" s="147">
        <v>6</v>
      </c>
      <c r="AF7" s="147">
        <v>6</v>
      </c>
      <c r="AG7" s="147">
        <v>9</v>
      </c>
      <c r="AH7" s="147">
        <v>9</v>
      </c>
      <c r="AI7" s="5"/>
      <c r="AJ7" s="147" t="str">
        <v>C1</v>
      </c>
      <c r="AK7" s="147">
        <v>6</v>
      </c>
      <c r="AL7" s="147">
        <v>6</v>
      </c>
      <c r="AM7" s="147">
        <v>6</v>
      </c>
      <c r="AN7" s="147">
        <v>9</v>
      </c>
      <c r="AO7" s="147">
        <v>9</v>
      </c>
    </row>
    <row r="8" spans="1:41" ht="15.9" customHeight="1">
      <c r="A8" s="142" t="str">
        <v>M3</v>
      </c>
      <c r="B8" s="118" t="str">
        <v>M3</v>
      </c>
      <c r="C8" s="142">
        <f t="shared" si="0"/>
        <v>4</v>
      </c>
      <c r="D8" s="142">
        <f t="shared" si="0"/>
        <v>18</v>
      </c>
      <c r="E8" s="142">
        <f t="shared" si="0"/>
        <v>4</v>
      </c>
      <c r="F8" s="142">
        <f t="shared" si="0"/>
        <v>20</v>
      </c>
      <c r="G8" s="142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4</v>
      </c>
      <c r="AE8" s="142">
        <v>17</v>
      </c>
      <c r="AF8" s="142">
        <v>4</v>
      </c>
      <c r="AG8" s="142">
        <v>21</v>
      </c>
      <c r="AH8" s="142">
        <v>22</v>
      </c>
      <c r="AI8" s="5"/>
      <c r="AJ8" s="157" t="str">
        <v>M1</v>
      </c>
      <c r="AK8" s="142">
        <v>4</v>
      </c>
      <c r="AL8" s="142">
        <v>17</v>
      </c>
      <c r="AM8" s="142">
        <v>4</v>
      </c>
      <c r="AN8" s="142">
        <v>21</v>
      </c>
      <c r="AO8" s="142">
        <v>22</v>
      </c>
    </row>
    <row r="9" spans="1:41" ht="15.9" customHeight="1">
      <c r="A9" s="142" t="str">
        <v>M4</v>
      </c>
      <c r="B9" s="118" t="str">
        <v>M4</v>
      </c>
      <c r="C9" s="142">
        <f t="shared" si="0"/>
        <v>40</v>
      </c>
      <c r="D9" s="142">
        <f t="shared" si="0"/>
        <v>14</v>
      </c>
      <c r="E9" s="142">
        <f t="shared" si="0"/>
        <v>41</v>
      </c>
      <c r="F9" s="142">
        <f t="shared" si="0"/>
        <v>14</v>
      </c>
      <c r="G9" s="142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4</v>
      </c>
      <c r="AE9" s="142">
        <v>18</v>
      </c>
      <c r="AF9" s="142">
        <v>4</v>
      </c>
      <c r="AG9" s="142">
        <v>20</v>
      </c>
      <c r="AH9" s="142">
        <v>22</v>
      </c>
      <c r="AI9" s="5"/>
      <c r="AJ9" s="157" t="str">
        <v>M2</v>
      </c>
      <c r="AK9" s="142">
        <v>4</v>
      </c>
      <c r="AL9" s="142">
        <v>18</v>
      </c>
      <c r="AM9" s="142">
        <v>4</v>
      </c>
      <c r="AN9" s="142">
        <v>20</v>
      </c>
      <c r="AO9" s="142">
        <v>22</v>
      </c>
    </row>
    <row r="10" spans="1:41" ht="15.9" customHeight="1">
      <c r="A10" s="142" t="str">
        <v>M5</v>
      </c>
      <c r="B10" s="118" t="str">
        <v>M5</v>
      </c>
      <c r="C10" s="142">
        <f t="shared" si="0"/>
        <v>40</v>
      </c>
      <c r="D10" s="142">
        <f t="shared" si="0"/>
        <v>14</v>
      </c>
      <c r="E10" s="142">
        <f t="shared" si="0"/>
        <v>41</v>
      </c>
      <c r="F10" s="142">
        <f t="shared" si="0"/>
        <v>14</v>
      </c>
      <c r="G10" s="142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4</v>
      </c>
      <c r="AE10" s="142">
        <v>18</v>
      </c>
      <c r="AF10" s="142">
        <v>4</v>
      </c>
      <c r="AG10" s="142">
        <v>20</v>
      </c>
      <c r="AH10" s="142">
        <v>21</v>
      </c>
      <c r="AI10" s="5"/>
      <c r="AJ10" s="157" t="str">
        <v>M3</v>
      </c>
      <c r="AK10" s="142">
        <v>4</v>
      </c>
      <c r="AL10" s="142">
        <v>18</v>
      </c>
      <c r="AM10" s="142">
        <v>4</v>
      </c>
      <c r="AN10" s="142">
        <v>20</v>
      </c>
      <c r="AO10" s="142">
        <v>21</v>
      </c>
    </row>
    <row r="11" spans="1:41" ht="15.9" customHeight="1">
      <c r="A11" s="142" t="str">
        <v>A</v>
      </c>
      <c r="B11" s="118" t="str">
        <v>A</v>
      </c>
      <c r="C11" s="142">
        <f t="shared" si="0"/>
        <v>47</v>
      </c>
      <c r="D11" s="142">
        <f t="shared" si="0"/>
        <v>13</v>
      </c>
      <c r="E11" s="142">
        <f t="shared" si="0"/>
        <v>41</v>
      </c>
      <c r="F11" s="142">
        <f t="shared" si="0"/>
        <v>14</v>
      </c>
      <c r="G11" s="142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40</v>
      </c>
      <c r="AE11" s="142">
        <v>14</v>
      </c>
      <c r="AF11" s="142">
        <v>41</v>
      </c>
      <c r="AG11" s="142">
        <v>14</v>
      </c>
      <c r="AH11" s="142">
        <v>21</v>
      </c>
      <c r="AI11" s="5"/>
      <c r="AJ11" s="157" t="str">
        <v>M4</v>
      </c>
      <c r="AK11" s="142">
        <v>40</v>
      </c>
      <c r="AL11" s="142">
        <v>14</v>
      </c>
      <c r="AM11" s="142">
        <v>41</v>
      </c>
      <c r="AN11" s="142">
        <v>14</v>
      </c>
      <c r="AO11" s="142">
        <v>21</v>
      </c>
    </row>
    <row r="12" spans="1:41" ht="15.9" customHeight="1">
      <c r="A12" s="142" t="str">
        <v>K</v>
      </c>
      <c r="B12" s="118" t="str">
        <v>K</v>
      </c>
      <c r="C12" s="142">
        <f t="shared" si="0"/>
        <v>47</v>
      </c>
      <c r="D12" s="142">
        <f t="shared" si="0"/>
        <v>13</v>
      </c>
      <c r="E12" s="142">
        <f t="shared" si="0"/>
        <v>41</v>
      </c>
      <c r="F12" s="142">
        <f t="shared" si="0"/>
        <v>14</v>
      </c>
      <c r="G12" s="142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40</v>
      </c>
      <c r="AE12" s="142">
        <v>14</v>
      </c>
      <c r="AF12" s="142">
        <v>41</v>
      </c>
      <c r="AG12" s="142">
        <v>14</v>
      </c>
      <c r="AH12" s="142">
        <v>21</v>
      </c>
      <c r="AI12" s="5"/>
      <c r="AJ12" s="157" t="str">
        <v>M5</v>
      </c>
      <c r="AK12" s="142">
        <v>40</v>
      </c>
      <c r="AL12" s="142">
        <v>14</v>
      </c>
      <c r="AM12" s="142">
        <v>41</v>
      </c>
      <c r="AN12" s="142">
        <v>14</v>
      </c>
      <c r="AO12" s="142">
        <v>21</v>
      </c>
    </row>
    <row r="13" spans="1:41" ht="15.9" customHeight="1">
      <c r="A13" s="142" t="str">
        <v>Q</v>
      </c>
      <c r="B13" s="118" t="str">
        <v>Q</v>
      </c>
      <c r="C13" s="142">
        <f t="shared" si="0"/>
        <v>4</v>
      </c>
      <c r="D13" s="142">
        <f t="shared" si="0"/>
        <v>17</v>
      </c>
      <c r="E13" s="142">
        <f t="shared" si="0"/>
        <v>3</v>
      </c>
      <c r="F13" s="142">
        <f t="shared" si="0"/>
        <v>21</v>
      </c>
      <c r="G13" s="142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47</v>
      </c>
      <c r="AE13" s="142">
        <v>13</v>
      </c>
      <c r="AF13" s="142">
        <v>41</v>
      </c>
      <c r="AG13" s="142">
        <v>14</v>
      </c>
      <c r="AH13" s="142">
        <v>21</v>
      </c>
      <c r="AI13" s="5"/>
      <c r="AJ13" s="157" t="str">
        <v>A</v>
      </c>
      <c r="AK13" s="142">
        <v>47</v>
      </c>
      <c r="AL13" s="142">
        <v>13</v>
      </c>
      <c r="AM13" s="142">
        <v>41</v>
      </c>
      <c r="AN13" s="142">
        <v>14</v>
      </c>
      <c r="AO13" s="142">
        <v>21</v>
      </c>
    </row>
    <row r="14" spans="1:41" ht="15.9" customHeight="1">
      <c r="A14" s="142" t="str">
        <v>J</v>
      </c>
      <c r="B14" s="118" t="str">
        <v>J</v>
      </c>
      <c r="C14" s="142">
        <f t="shared" si="0"/>
        <v>4</v>
      </c>
      <c r="D14" s="142">
        <f t="shared" si="0"/>
        <v>17</v>
      </c>
      <c r="E14" s="142">
        <f t="shared" si="0"/>
        <v>3</v>
      </c>
      <c r="F14" s="142">
        <f t="shared" si="0"/>
        <v>21</v>
      </c>
      <c r="G14" s="142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47</v>
      </c>
      <c r="AE14" s="142">
        <v>13</v>
      </c>
      <c r="AF14" s="142">
        <v>41</v>
      </c>
      <c r="AG14" s="142">
        <v>14</v>
      </c>
      <c r="AH14" s="142">
        <v>21</v>
      </c>
      <c r="AI14" s="5"/>
      <c r="AJ14" s="157" t="str">
        <v>K</v>
      </c>
      <c r="AK14" s="142">
        <v>47</v>
      </c>
      <c r="AL14" s="142">
        <v>13</v>
      </c>
      <c r="AM14" s="142">
        <v>41</v>
      </c>
      <c r="AN14" s="142">
        <v>14</v>
      </c>
      <c r="AO14" s="142">
        <v>21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4</v>
      </c>
      <c r="AE15" s="142">
        <v>17</v>
      </c>
      <c r="AF15" s="142">
        <v>3</v>
      </c>
      <c r="AG15" s="142">
        <v>21</v>
      </c>
      <c r="AH15" s="142">
        <v>21</v>
      </c>
      <c r="AI15" s="5"/>
      <c r="AJ15" s="157" t="str">
        <v>Q</v>
      </c>
      <c r="AK15" s="142">
        <v>4</v>
      </c>
      <c r="AL15" s="142">
        <v>17</v>
      </c>
      <c r="AM15" s="142">
        <v>3</v>
      </c>
      <c r="AN15" s="142">
        <v>21</v>
      </c>
      <c r="AO15" s="142">
        <v>21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4</v>
      </c>
      <c r="AE16" s="142">
        <v>17</v>
      </c>
      <c r="AF16" s="142">
        <v>3</v>
      </c>
      <c r="AG16" s="142">
        <v>21</v>
      </c>
      <c r="AH16" s="142">
        <v>21</v>
      </c>
      <c r="AI16" s="5"/>
      <c r="AJ16" s="157" t="str">
        <v>J</v>
      </c>
      <c r="AK16" s="142">
        <v>4</v>
      </c>
      <c r="AL16" s="142">
        <v>17</v>
      </c>
      <c r="AM16" s="142">
        <v>3</v>
      </c>
      <c r="AN16" s="142">
        <v>21</v>
      </c>
      <c r="AO16" s="142">
        <v>21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7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7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7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7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7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7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7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7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7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>
      <c r="B26" s="5" t="s">
        <v>219</v>
      </c>
      <c r="C26" s="173">
        <f>SUM(C4:C14)/C24</f>
        <v>1</v>
      </c>
      <c r="D26" s="173">
        <f>SUM(D4:D14)/D24</f>
        <v>0.73499999999999999</v>
      </c>
      <c r="E26" s="173">
        <f>SUM(E4:E14)/E24</f>
        <v>0.94</v>
      </c>
      <c r="F26" s="173">
        <f>SUM(F4:F14)/F24</f>
        <v>0.84</v>
      </c>
      <c r="G26" s="173">
        <f>SUM(G4:G14)/G24</f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>
      <c r="B27" s="5" t="s">
        <v>218</v>
      </c>
      <c r="C27" s="173">
        <f>SUM(C15:C23)/C24</f>
        <v>0</v>
      </c>
      <c r="D27" s="173">
        <f>SUM(D15:D23)/D24</f>
        <v>0.26500000000000001</v>
      </c>
      <c r="E27" s="173">
        <f>SUM(E15:E23)/E24</f>
        <v>0.06</v>
      </c>
      <c r="F27" s="173">
        <f>SUM(F15:F23)/F24</f>
        <v>0.16</v>
      </c>
      <c r="G27" s="173">
        <f>SUM(G15:G23)/G24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3</v>
      </c>
      <c r="AE31" s="147">
        <v>3</v>
      </c>
      <c r="AF31" s="147">
        <v>3</v>
      </c>
      <c r="AG31" s="147">
        <v>6</v>
      </c>
      <c r="AH31" s="147">
        <v>6</v>
      </c>
      <c r="AI31" s="5"/>
      <c r="AJ31" s="147" t="str">
        <v>C1</v>
      </c>
      <c r="AK31" s="147">
        <v>3</v>
      </c>
      <c r="AL31" s="147">
        <v>3</v>
      </c>
      <c r="AM31" s="147">
        <v>3</v>
      </c>
      <c r="AN31" s="147">
        <v>6</v>
      </c>
      <c r="AO31" s="147">
        <v>6</v>
      </c>
    </row>
    <row r="32" spans="1:41" ht="16.5" customHeight="1"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4</v>
      </c>
      <c r="AE32" s="142">
        <v>17</v>
      </c>
      <c r="AF32" s="142">
        <v>4</v>
      </c>
      <c r="AG32" s="142">
        <v>21</v>
      </c>
      <c r="AH32" s="142">
        <v>22</v>
      </c>
      <c r="AI32" s="5"/>
      <c r="AJ32" s="157" t="str">
        <v>M1</v>
      </c>
      <c r="AK32" s="142">
        <v>4</v>
      </c>
      <c r="AL32" s="142">
        <v>17</v>
      </c>
      <c r="AM32" s="142">
        <v>4</v>
      </c>
      <c r="AN32" s="142">
        <v>21</v>
      </c>
      <c r="AO32" s="142">
        <v>22</v>
      </c>
    </row>
    <row r="33" spans="10:41" ht="16.5" customHeight="1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4</v>
      </c>
      <c r="AE33" s="142">
        <v>18</v>
      </c>
      <c r="AF33" s="142">
        <v>4</v>
      </c>
      <c r="AG33" s="142">
        <v>20</v>
      </c>
      <c r="AH33" s="142">
        <v>22</v>
      </c>
      <c r="AI33" s="5"/>
      <c r="AJ33" s="157" t="str">
        <v>M2</v>
      </c>
      <c r="AK33" s="142">
        <v>4</v>
      </c>
      <c r="AL33" s="142">
        <v>18</v>
      </c>
      <c r="AM33" s="142">
        <v>4</v>
      </c>
      <c r="AN33" s="142">
        <v>20</v>
      </c>
      <c r="AO33" s="142">
        <v>22</v>
      </c>
    </row>
    <row r="34" spans="10:41" ht="16.5" customHeight="1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4</v>
      </c>
      <c r="AE34" s="142">
        <v>18</v>
      </c>
      <c r="AF34" s="142">
        <v>4</v>
      </c>
      <c r="AG34" s="142">
        <v>20</v>
      </c>
      <c r="AH34" s="142">
        <v>21</v>
      </c>
      <c r="AI34" s="5"/>
      <c r="AJ34" s="157" t="str">
        <v>M3</v>
      </c>
      <c r="AK34" s="142">
        <v>4</v>
      </c>
      <c r="AL34" s="142">
        <v>18</v>
      </c>
      <c r="AM34" s="142">
        <v>4</v>
      </c>
      <c r="AN34" s="142">
        <v>20</v>
      </c>
      <c r="AO34" s="142">
        <v>21</v>
      </c>
    </row>
    <row r="35" spans="10:41" ht="16.5" customHeight="1"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40</v>
      </c>
      <c r="AE35" s="142">
        <v>14</v>
      </c>
      <c r="AF35" s="142">
        <v>41</v>
      </c>
      <c r="AG35" s="142">
        <v>14</v>
      </c>
      <c r="AH35" s="142">
        <v>21</v>
      </c>
      <c r="AI35" s="5"/>
      <c r="AJ35" s="157" t="str">
        <v>M4</v>
      </c>
      <c r="AK35" s="142">
        <v>40</v>
      </c>
      <c r="AL35" s="142">
        <v>14</v>
      </c>
      <c r="AM35" s="142">
        <v>41</v>
      </c>
      <c r="AN35" s="142">
        <v>14</v>
      </c>
      <c r="AO35" s="142">
        <v>21</v>
      </c>
    </row>
    <row r="36" spans="10:41" ht="16.5" customHeight="1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40</v>
      </c>
      <c r="AE36" s="142">
        <v>14</v>
      </c>
      <c r="AF36" s="142">
        <v>41</v>
      </c>
      <c r="AG36" s="142">
        <v>14</v>
      </c>
      <c r="AH36" s="142">
        <v>21</v>
      </c>
      <c r="AI36" s="5"/>
      <c r="AJ36" s="157" t="str">
        <v>M5</v>
      </c>
      <c r="AK36" s="142">
        <v>40</v>
      </c>
      <c r="AL36" s="142">
        <v>14</v>
      </c>
      <c r="AM36" s="142">
        <v>41</v>
      </c>
      <c r="AN36" s="142">
        <v>14</v>
      </c>
      <c r="AO36" s="142">
        <v>21</v>
      </c>
    </row>
    <row r="37" spans="10:41" ht="16.5" customHeight="1"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47</v>
      </c>
      <c r="AE37" s="142">
        <v>13</v>
      </c>
      <c r="AF37" s="142">
        <v>41</v>
      </c>
      <c r="AG37" s="142">
        <v>14</v>
      </c>
      <c r="AH37" s="142">
        <v>21</v>
      </c>
      <c r="AI37" s="5"/>
      <c r="AJ37" s="157" t="str">
        <v>A</v>
      </c>
      <c r="AK37" s="142">
        <v>47</v>
      </c>
      <c r="AL37" s="142">
        <v>13</v>
      </c>
      <c r="AM37" s="142">
        <v>41</v>
      </c>
      <c r="AN37" s="142">
        <v>14</v>
      </c>
      <c r="AO37" s="142">
        <v>21</v>
      </c>
    </row>
    <row r="38" spans="10:41" ht="16.5" customHeight="1"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47</v>
      </c>
      <c r="AE38" s="142">
        <v>13</v>
      </c>
      <c r="AF38" s="142">
        <v>41</v>
      </c>
      <c r="AG38" s="142">
        <v>14</v>
      </c>
      <c r="AH38" s="142">
        <v>21</v>
      </c>
      <c r="AI38" s="5"/>
      <c r="AJ38" s="157" t="str">
        <v>K</v>
      </c>
      <c r="AK38" s="142">
        <v>47</v>
      </c>
      <c r="AL38" s="142">
        <v>13</v>
      </c>
      <c r="AM38" s="142">
        <v>41</v>
      </c>
      <c r="AN38" s="142">
        <v>14</v>
      </c>
      <c r="AO38" s="142">
        <v>21</v>
      </c>
    </row>
    <row r="39" spans="10:41" ht="16.5" customHeight="1"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4</v>
      </c>
      <c r="AE39" s="142">
        <v>17</v>
      </c>
      <c r="AF39" s="142">
        <v>3</v>
      </c>
      <c r="AG39" s="142">
        <v>21</v>
      </c>
      <c r="AH39" s="142">
        <v>21</v>
      </c>
      <c r="AI39" s="5"/>
      <c r="AJ39" s="157" t="str">
        <v>Q</v>
      </c>
      <c r="AK39" s="142">
        <v>4</v>
      </c>
      <c r="AL39" s="142">
        <v>17</v>
      </c>
      <c r="AM39" s="142">
        <v>3</v>
      </c>
      <c r="AN39" s="142">
        <v>21</v>
      </c>
      <c r="AO39" s="142">
        <v>21</v>
      </c>
    </row>
    <row r="40" spans="10:41" ht="16.5" customHeight="1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4</v>
      </c>
      <c r="AE40" s="142">
        <v>17</v>
      </c>
      <c r="AF40" s="142">
        <v>3</v>
      </c>
      <c r="AG40" s="142">
        <v>21</v>
      </c>
      <c r="AH40" s="142">
        <v>21</v>
      </c>
      <c r="AI40" s="5"/>
      <c r="AJ40" s="157" t="str">
        <v>J</v>
      </c>
      <c r="AK40" s="142">
        <v>4</v>
      </c>
      <c r="AL40" s="142">
        <v>17</v>
      </c>
      <c r="AM40" s="142">
        <v>3</v>
      </c>
      <c r="AN40" s="142">
        <v>21</v>
      </c>
      <c r="AO40" s="142">
        <v>21</v>
      </c>
    </row>
    <row r="41" spans="10:41" ht="16.5" customHeight="1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7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0:41" ht="16.5" customHeight="1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7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0:41" ht="16.5" customHeight="1"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7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0:41" ht="16.5" customHeight="1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7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0:41" ht="16.5" customHeight="1"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7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0:41" ht="16.5" customHeight="1"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7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0:41" ht="16.5" customHeight="1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7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0:41" ht="16.5" customHeight="1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7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7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3</v>
      </c>
      <c r="AH55" s="147">
        <v>3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3</v>
      </c>
      <c r="AO55" s="147">
        <v>3</v>
      </c>
    </row>
    <row r="56" spans="10:41" ht="16.5" customHeight="1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4</v>
      </c>
      <c r="AE56" s="142">
        <v>17</v>
      </c>
      <c r="AF56" s="142">
        <v>4</v>
      </c>
      <c r="AG56" s="142">
        <v>21</v>
      </c>
      <c r="AH56" s="142">
        <v>22</v>
      </c>
      <c r="AI56" s="5"/>
      <c r="AJ56" s="157" t="str">
        <v>M1</v>
      </c>
      <c r="AK56" s="142">
        <v>4</v>
      </c>
      <c r="AL56" s="142">
        <v>17</v>
      </c>
      <c r="AM56" s="142">
        <v>4</v>
      </c>
      <c r="AN56" s="142">
        <v>21</v>
      </c>
      <c r="AO56" s="142">
        <v>22</v>
      </c>
    </row>
    <row r="57" spans="10:41" ht="16.5" customHeight="1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4</v>
      </c>
      <c r="AE57" s="142">
        <v>18</v>
      </c>
      <c r="AF57" s="142">
        <v>4</v>
      </c>
      <c r="AG57" s="142">
        <v>20</v>
      </c>
      <c r="AH57" s="142">
        <v>22</v>
      </c>
      <c r="AI57" s="5"/>
      <c r="AJ57" s="157" t="str">
        <v>M2</v>
      </c>
      <c r="AK57" s="142">
        <v>4</v>
      </c>
      <c r="AL57" s="142">
        <v>18</v>
      </c>
      <c r="AM57" s="142">
        <v>4</v>
      </c>
      <c r="AN57" s="142">
        <v>20</v>
      </c>
      <c r="AO57" s="142">
        <v>22</v>
      </c>
    </row>
    <row r="58" spans="10:41" ht="16.5" customHeight="1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4</v>
      </c>
      <c r="AE58" s="142">
        <v>18</v>
      </c>
      <c r="AF58" s="142">
        <v>4</v>
      </c>
      <c r="AG58" s="142">
        <v>20</v>
      </c>
      <c r="AH58" s="142">
        <v>21</v>
      </c>
      <c r="AI58" s="5"/>
      <c r="AJ58" s="157" t="str">
        <v>M3</v>
      </c>
      <c r="AK58" s="142">
        <v>4</v>
      </c>
      <c r="AL58" s="142">
        <v>18</v>
      </c>
      <c r="AM58" s="142">
        <v>4</v>
      </c>
      <c r="AN58" s="142">
        <v>20</v>
      </c>
      <c r="AO58" s="142">
        <v>21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40</v>
      </c>
      <c r="AE59" s="142">
        <v>14</v>
      </c>
      <c r="AF59" s="142">
        <v>41</v>
      </c>
      <c r="AG59" s="142">
        <v>14</v>
      </c>
      <c r="AH59" s="142">
        <v>21</v>
      </c>
      <c r="AI59" s="5"/>
      <c r="AJ59" s="157" t="str">
        <v>M4</v>
      </c>
      <c r="AK59" s="142">
        <v>40</v>
      </c>
      <c r="AL59" s="142">
        <v>14</v>
      </c>
      <c r="AM59" s="142">
        <v>41</v>
      </c>
      <c r="AN59" s="142">
        <v>14</v>
      </c>
      <c r="AO59" s="142">
        <v>21</v>
      </c>
    </row>
    <row r="60" spans="10:41" ht="16.5" customHeight="1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40</v>
      </c>
      <c r="AE60" s="142">
        <v>14</v>
      </c>
      <c r="AF60" s="142">
        <v>41</v>
      </c>
      <c r="AG60" s="142">
        <v>14</v>
      </c>
      <c r="AH60" s="142">
        <v>21</v>
      </c>
      <c r="AI60" s="5"/>
      <c r="AJ60" s="157" t="str">
        <v>M5</v>
      </c>
      <c r="AK60" s="142">
        <v>40</v>
      </c>
      <c r="AL60" s="142">
        <v>14</v>
      </c>
      <c r="AM60" s="142">
        <v>41</v>
      </c>
      <c r="AN60" s="142">
        <v>14</v>
      </c>
      <c r="AO60" s="142">
        <v>21</v>
      </c>
    </row>
    <row r="61" spans="10:41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47</v>
      </c>
      <c r="AE61" s="142">
        <v>13</v>
      </c>
      <c r="AF61" s="142">
        <v>41</v>
      </c>
      <c r="AG61" s="142">
        <v>14</v>
      </c>
      <c r="AH61" s="142">
        <v>21</v>
      </c>
      <c r="AI61" s="5"/>
      <c r="AJ61" s="157" t="str">
        <v>A</v>
      </c>
      <c r="AK61" s="142">
        <v>47</v>
      </c>
      <c r="AL61" s="142">
        <v>13</v>
      </c>
      <c r="AM61" s="142">
        <v>41</v>
      </c>
      <c r="AN61" s="142">
        <v>14</v>
      </c>
      <c r="AO61" s="142">
        <v>21</v>
      </c>
    </row>
    <row r="62" spans="10:41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47</v>
      </c>
      <c r="AE62" s="142">
        <v>13</v>
      </c>
      <c r="AF62" s="142">
        <v>41</v>
      </c>
      <c r="AG62" s="142">
        <v>14</v>
      </c>
      <c r="AH62" s="142">
        <v>21</v>
      </c>
      <c r="AI62" s="5"/>
      <c r="AJ62" s="157" t="str">
        <v>K</v>
      </c>
      <c r="AK62" s="142">
        <v>47</v>
      </c>
      <c r="AL62" s="142">
        <v>13</v>
      </c>
      <c r="AM62" s="142">
        <v>41</v>
      </c>
      <c r="AN62" s="142">
        <v>14</v>
      </c>
      <c r="AO62" s="142">
        <v>21</v>
      </c>
    </row>
    <row r="63" spans="10:41" ht="16.5" customHeight="1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4</v>
      </c>
      <c r="AE63" s="142">
        <v>17</v>
      </c>
      <c r="AF63" s="142">
        <v>3</v>
      </c>
      <c r="AG63" s="142">
        <v>21</v>
      </c>
      <c r="AH63" s="142">
        <v>21</v>
      </c>
      <c r="AI63" s="5"/>
      <c r="AJ63" s="157" t="str">
        <v>Q</v>
      </c>
      <c r="AK63" s="142">
        <v>4</v>
      </c>
      <c r="AL63" s="142">
        <v>17</v>
      </c>
      <c r="AM63" s="142">
        <v>3</v>
      </c>
      <c r="AN63" s="142">
        <v>21</v>
      </c>
      <c r="AO63" s="142">
        <v>21</v>
      </c>
    </row>
    <row r="64" spans="10:41" ht="16.5" customHeight="1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4</v>
      </c>
      <c r="AE64" s="142">
        <v>17</v>
      </c>
      <c r="AF64" s="142">
        <v>3</v>
      </c>
      <c r="AG64" s="142">
        <v>21</v>
      </c>
      <c r="AH64" s="142">
        <v>21</v>
      </c>
      <c r="AI64" s="5"/>
      <c r="AJ64" s="157" t="str">
        <v>J</v>
      </c>
      <c r="AK64" s="142">
        <v>4</v>
      </c>
      <c r="AL64" s="142">
        <v>17</v>
      </c>
      <c r="AM64" s="142">
        <v>3</v>
      </c>
      <c r="AN64" s="142">
        <v>21</v>
      </c>
      <c r="AO64" s="142">
        <v>21</v>
      </c>
    </row>
    <row r="65" spans="10:41" ht="16.5" customHeight="1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7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7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7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7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7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7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7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7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7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13" priority="27">
      <formula>_xlfn.LET(_xlpm.x, W4, AND(NOT(_xlfn.ISFORMULA(_xlpm.x)), _xlpm.x&lt;&gt;""))</formula>
    </cfRule>
  </conditionalFormatting>
  <conditionalFormatting sqref="W4:AA203">
    <cfRule type="expression" dxfId="112" priority="22">
      <formula>_xlfn.LET(_xlpm.x, W4, AND(NOT(_xlfn.ISFORMULA(_xlpm.x)), _xlpm.x&lt;&gt;""))</formula>
    </cfRule>
  </conditionalFormatting>
  <conditionalFormatting sqref="K1:O1048576">
    <cfRule type="cellIs" dxfId="111" priority="14" operator="equal">
      <formula>"C1"</formula>
    </cfRule>
    <cfRule type="cellIs" dxfId="110" priority="15" operator="between">
      <formula>"G1"</formula>
      <formula>"G5"</formula>
    </cfRule>
    <cfRule type="cellIs" dxfId="109" priority="16" operator="between">
      <formula>"GA"</formula>
      <formula>"GJ"</formula>
    </cfRule>
    <cfRule type="cellIs" dxfId="108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{A83016BC-089E-46C3-9B8D-B6B273DA674B}</x14:id>
        </ext>
      </extLst>
    </cfRule>
  </conditionalFormatting>
  <conditionalFormatting sqref="D52:D54">
    <cfRule type="cellIs" dxfId="107" priority="9" operator="equal">
      <formula>"C1"</formula>
    </cfRule>
    <cfRule type="cellIs" dxfId="106" priority="10" operator="between">
      <formula>"G1"</formula>
      <formula>"G4"</formula>
    </cfRule>
    <cfRule type="cellIs" dxfId="105" priority="11" operator="between">
      <formula>"GA"</formula>
      <formula>"GQ"</formula>
    </cfRule>
    <cfRule type="cellIs" dxfId="104" priority="12" operator="between">
      <formula>"M1"</formula>
      <formula>"M4"</formula>
    </cfRule>
  </conditionalFormatting>
  <conditionalFormatting sqref="E52:E54">
    <cfRule type="cellIs" dxfId="103" priority="5" operator="equal">
      <formula>"C1"</formula>
    </cfRule>
    <cfRule type="cellIs" dxfId="102" priority="6" operator="between">
      <formula>"G1"</formula>
      <formula>"G4"</formula>
    </cfRule>
    <cfRule type="cellIs" dxfId="101" priority="7" operator="between">
      <formula>"GA"</formula>
      <formula>"GQ"</formula>
    </cfRule>
    <cfRule type="cellIs" dxfId="100" priority="8" operator="between">
      <formula>"M1"</formula>
      <formula>"M4"</formula>
    </cfRule>
  </conditionalFormatting>
  <conditionalFormatting sqref="F52:F54">
    <cfRule type="cellIs" dxfId="99" priority="1" operator="equal">
      <formula>"C1"</formula>
    </cfRule>
    <cfRule type="cellIs" dxfId="98" priority="2" operator="between">
      <formula>"G1"</formula>
      <formula>"G4"</formula>
    </cfRule>
    <cfRule type="cellIs" dxfId="97" priority="3" operator="between">
      <formula>"GA"</formula>
      <formula>"GQ"</formula>
    </cfRule>
    <cfRule type="cellIs" dxfId="96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3016BC-089E-46C3-9B8D-B6B273DA67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topLeftCell="S1" workbookViewId="0">
      <selection activeCell="AM7" activeCellId="1" sqref="AF7 AM7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0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>
      <c r="A6" s="142" t="str">
        <v>M1</v>
      </c>
      <c r="B6" s="118" t="str">
        <v>M1</v>
      </c>
      <c r="C6" s="142">
        <f t="shared" si="0"/>
        <v>3</v>
      </c>
      <c r="D6" s="142">
        <f t="shared" si="0"/>
        <v>10</v>
      </c>
      <c r="E6" s="142">
        <f t="shared" si="0"/>
        <v>0</v>
      </c>
      <c r="F6" s="142">
        <f t="shared" si="0"/>
        <v>3</v>
      </c>
      <c r="G6" s="142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>
      <c r="A7" s="142" t="str">
        <v>M2</v>
      </c>
      <c r="B7" s="118" t="str">
        <v>M2</v>
      </c>
      <c r="C7" s="142">
        <f t="shared" si="0"/>
        <v>3</v>
      </c>
      <c r="D7" s="142">
        <f t="shared" si="0"/>
        <v>12</v>
      </c>
      <c r="E7" s="142">
        <f t="shared" si="0"/>
        <v>0</v>
      </c>
      <c r="F7" s="142">
        <f t="shared" si="0"/>
        <v>3</v>
      </c>
      <c r="G7" s="142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0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0</v>
      </c>
      <c r="AN7" s="147">
        <v>1</v>
      </c>
      <c r="AO7" s="147">
        <v>1</v>
      </c>
    </row>
    <row r="8" spans="1:41" ht="15.9" customHeight="1">
      <c r="A8" s="142" t="str">
        <v>M3</v>
      </c>
      <c r="B8" s="118" t="str">
        <v>M3</v>
      </c>
      <c r="C8" s="142">
        <f t="shared" si="0"/>
        <v>7</v>
      </c>
      <c r="D8" s="142">
        <f t="shared" si="0"/>
        <v>13</v>
      </c>
      <c r="E8" s="142">
        <f t="shared" si="0"/>
        <v>0</v>
      </c>
      <c r="F8" s="142">
        <f t="shared" si="0"/>
        <v>7</v>
      </c>
      <c r="G8" s="142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3</v>
      </c>
      <c r="AE8" s="142">
        <v>10</v>
      </c>
      <c r="AF8" s="142">
        <v>0</v>
      </c>
      <c r="AG8" s="142">
        <v>3</v>
      </c>
      <c r="AH8" s="142">
        <v>9</v>
      </c>
      <c r="AI8" s="5"/>
      <c r="AJ8" s="157" t="str">
        <v>M1</v>
      </c>
      <c r="AK8" s="142">
        <v>3</v>
      </c>
      <c r="AL8" s="142">
        <v>10</v>
      </c>
      <c r="AM8" s="142">
        <v>0</v>
      </c>
      <c r="AN8" s="142">
        <v>3</v>
      </c>
      <c r="AO8" s="142">
        <v>9</v>
      </c>
    </row>
    <row r="9" spans="1:41" ht="15.9" customHeight="1">
      <c r="A9" s="142" t="str">
        <v>M4</v>
      </c>
      <c r="B9" s="118" t="str">
        <v>M4</v>
      </c>
      <c r="C9" s="142">
        <f t="shared" si="0"/>
        <v>43</v>
      </c>
      <c r="D9" s="142">
        <f t="shared" si="0"/>
        <v>22</v>
      </c>
      <c r="E9" s="142">
        <f t="shared" si="0"/>
        <v>0</v>
      </c>
      <c r="F9" s="142">
        <f t="shared" si="0"/>
        <v>31</v>
      </c>
      <c r="G9" s="142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3</v>
      </c>
      <c r="AE9" s="142">
        <v>12</v>
      </c>
      <c r="AF9" s="142">
        <v>0</v>
      </c>
      <c r="AG9" s="142">
        <v>3</v>
      </c>
      <c r="AH9" s="142">
        <v>8</v>
      </c>
      <c r="AI9" s="5"/>
      <c r="AJ9" s="157" t="str">
        <v>M2</v>
      </c>
      <c r="AK9" s="142">
        <v>3</v>
      </c>
      <c r="AL9" s="142">
        <v>12</v>
      </c>
      <c r="AM9" s="142">
        <v>0</v>
      </c>
      <c r="AN9" s="142">
        <v>3</v>
      </c>
      <c r="AO9" s="142">
        <v>8</v>
      </c>
    </row>
    <row r="10" spans="1:41" ht="15.9" customHeight="1">
      <c r="A10" s="142" t="str">
        <v>M5</v>
      </c>
      <c r="B10" s="118" t="str">
        <v>M5</v>
      </c>
      <c r="C10" s="142">
        <f t="shared" si="0"/>
        <v>42</v>
      </c>
      <c r="D10" s="142">
        <f t="shared" si="0"/>
        <v>22</v>
      </c>
      <c r="E10" s="142">
        <f t="shared" si="0"/>
        <v>0</v>
      </c>
      <c r="F10" s="142">
        <f t="shared" si="0"/>
        <v>27</v>
      </c>
      <c r="G10" s="142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7</v>
      </c>
      <c r="AE10" s="142">
        <v>13</v>
      </c>
      <c r="AF10" s="142">
        <v>0</v>
      </c>
      <c r="AG10" s="142">
        <v>7</v>
      </c>
      <c r="AH10" s="142">
        <v>14</v>
      </c>
      <c r="AI10" s="5"/>
      <c r="AJ10" s="157" t="str">
        <v>M3</v>
      </c>
      <c r="AK10" s="142">
        <v>7</v>
      </c>
      <c r="AL10" s="142">
        <v>13</v>
      </c>
      <c r="AM10" s="142">
        <v>0</v>
      </c>
      <c r="AN10" s="142">
        <v>7</v>
      </c>
      <c r="AO10" s="142">
        <v>14</v>
      </c>
    </row>
    <row r="11" spans="1:41" ht="15.9" customHeight="1">
      <c r="A11" s="142" t="str">
        <v>A</v>
      </c>
      <c r="B11" s="118" t="str">
        <v>A</v>
      </c>
      <c r="C11" s="142">
        <f t="shared" si="0"/>
        <v>43</v>
      </c>
      <c r="D11" s="142">
        <f t="shared" si="0"/>
        <v>27</v>
      </c>
      <c r="E11" s="142">
        <f t="shared" si="0"/>
        <v>0</v>
      </c>
      <c r="F11" s="142">
        <f t="shared" si="0"/>
        <v>31</v>
      </c>
      <c r="G11" s="142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22</v>
      </c>
      <c r="AF11" s="142">
        <v>0</v>
      </c>
      <c r="AG11" s="142">
        <v>31</v>
      </c>
      <c r="AH11" s="142">
        <v>36</v>
      </c>
      <c r="AI11" s="5"/>
      <c r="AJ11" s="157" t="str">
        <v>M4</v>
      </c>
      <c r="AK11" s="142">
        <v>43</v>
      </c>
      <c r="AL11" s="142">
        <v>22</v>
      </c>
      <c r="AM11" s="142">
        <v>0</v>
      </c>
      <c r="AN11" s="142">
        <v>31</v>
      </c>
      <c r="AO11" s="142">
        <v>36</v>
      </c>
    </row>
    <row r="12" spans="1:41" ht="15.9" customHeight="1">
      <c r="A12" s="142" t="str">
        <v>K</v>
      </c>
      <c r="B12" s="118" t="str">
        <v>K</v>
      </c>
      <c r="C12" s="142">
        <f t="shared" si="0"/>
        <v>43</v>
      </c>
      <c r="D12" s="142">
        <f t="shared" si="0"/>
        <v>24</v>
      </c>
      <c r="E12" s="142">
        <f t="shared" si="0"/>
        <v>0</v>
      </c>
      <c r="F12" s="142">
        <f t="shared" si="0"/>
        <v>32</v>
      </c>
      <c r="G12" s="142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42</v>
      </c>
      <c r="AE12" s="142">
        <v>22</v>
      </c>
      <c r="AF12" s="142">
        <v>0</v>
      </c>
      <c r="AG12" s="142">
        <v>27</v>
      </c>
      <c r="AH12" s="142">
        <v>34</v>
      </c>
      <c r="AI12" s="5"/>
      <c r="AJ12" s="157" t="str">
        <v>M5</v>
      </c>
      <c r="AK12" s="142">
        <v>42</v>
      </c>
      <c r="AL12" s="142">
        <v>22</v>
      </c>
      <c r="AM12" s="142">
        <v>0</v>
      </c>
      <c r="AN12" s="142">
        <v>27</v>
      </c>
      <c r="AO12" s="142">
        <v>34</v>
      </c>
    </row>
    <row r="13" spans="1:41" ht="15.9" customHeight="1">
      <c r="A13" s="142" t="str">
        <v>Q</v>
      </c>
      <c r="B13" s="118" t="str">
        <v>Q</v>
      </c>
      <c r="C13" s="142">
        <f t="shared" si="0"/>
        <v>7</v>
      </c>
      <c r="D13" s="142">
        <f t="shared" si="0"/>
        <v>12</v>
      </c>
      <c r="E13" s="142">
        <f t="shared" si="0"/>
        <v>0</v>
      </c>
      <c r="F13" s="142">
        <f t="shared" si="0"/>
        <v>6</v>
      </c>
      <c r="G13" s="142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43</v>
      </c>
      <c r="AE13" s="142">
        <v>27</v>
      </c>
      <c r="AF13" s="142">
        <v>0</v>
      </c>
      <c r="AG13" s="142">
        <v>31</v>
      </c>
      <c r="AH13" s="142">
        <v>35</v>
      </c>
      <c r="AI13" s="5"/>
      <c r="AJ13" s="157" t="str">
        <v>A</v>
      </c>
      <c r="AK13" s="142">
        <v>43</v>
      </c>
      <c r="AL13" s="142">
        <v>27</v>
      </c>
      <c r="AM13" s="142">
        <v>0</v>
      </c>
      <c r="AN13" s="142">
        <v>31</v>
      </c>
      <c r="AO13" s="142">
        <v>35</v>
      </c>
    </row>
    <row r="14" spans="1:41" ht="15.9" customHeight="1">
      <c r="A14" s="142" t="str">
        <v>J</v>
      </c>
      <c r="B14" s="118" t="str">
        <v>J</v>
      </c>
      <c r="C14" s="142">
        <f t="shared" si="0"/>
        <v>7</v>
      </c>
      <c r="D14" s="142">
        <f t="shared" si="0"/>
        <v>8</v>
      </c>
      <c r="E14" s="142">
        <f t="shared" si="0"/>
        <v>0</v>
      </c>
      <c r="F14" s="142">
        <f t="shared" si="0"/>
        <v>7</v>
      </c>
      <c r="G14" s="142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43</v>
      </c>
      <c r="AE14" s="142">
        <v>24</v>
      </c>
      <c r="AF14" s="142">
        <v>0</v>
      </c>
      <c r="AG14" s="142">
        <v>32</v>
      </c>
      <c r="AH14" s="142">
        <v>34</v>
      </c>
      <c r="AI14" s="5"/>
      <c r="AJ14" s="157" t="str">
        <v>K</v>
      </c>
      <c r="AK14" s="142">
        <v>43</v>
      </c>
      <c r="AL14" s="142">
        <v>24</v>
      </c>
      <c r="AM14" s="142">
        <v>0</v>
      </c>
      <c r="AN14" s="142">
        <v>32</v>
      </c>
      <c r="AO14" s="142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7</v>
      </c>
      <c r="AE15" s="142">
        <v>12</v>
      </c>
      <c r="AF15" s="142">
        <v>0</v>
      </c>
      <c r="AG15" s="142">
        <v>6</v>
      </c>
      <c r="AH15" s="142">
        <v>13</v>
      </c>
      <c r="AI15" s="5"/>
      <c r="AJ15" s="157" t="str">
        <v>Q</v>
      </c>
      <c r="AK15" s="142">
        <v>7</v>
      </c>
      <c r="AL15" s="142">
        <v>12</v>
      </c>
      <c r="AM15" s="142">
        <v>0</v>
      </c>
      <c r="AN15" s="142">
        <v>6</v>
      </c>
      <c r="AO15" s="142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3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7</v>
      </c>
      <c r="AE16" s="142">
        <v>8</v>
      </c>
      <c r="AF16" s="142">
        <v>0</v>
      </c>
      <c r="AG16" s="142">
        <v>7</v>
      </c>
      <c r="AH16" s="142">
        <v>14</v>
      </c>
      <c r="AI16" s="5"/>
      <c r="AJ16" s="157" t="str">
        <v>J</v>
      </c>
      <c r="AK16" s="142">
        <v>7</v>
      </c>
      <c r="AL16" s="142">
        <v>8</v>
      </c>
      <c r="AM16" s="142">
        <v>0</v>
      </c>
      <c r="AN16" s="142">
        <v>7</v>
      </c>
      <c r="AO16" s="142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7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7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7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7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7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7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7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7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7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B26" s="5" t="s">
        <v>219</v>
      </c>
      <c r="C26" s="173">
        <f>SUM(C4:C14)/C24</f>
        <v>1</v>
      </c>
      <c r="D26" s="173">
        <f>SUM(D4:D14)/D24</f>
        <v>0.76</v>
      </c>
      <c r="E26" s="173">
        <f>SUM(E4:E14)/E24</f>
        <v>0</v>
      </c>
      <c r="F26" s="173">
        <f>SUM(F4:F14)/F24</f>
        <v>0.75</v>
      </c>
      <c r="G26" s="173">
        <f>SUM(G4:G14)/G24</f>
        <v>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198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198</v>
      </c>
      <c r="AN26" s="119">
        <f>SUM(AN6:AN25)</f>
        <v>198</v>
      </c>
      <c r="AO26" s="119">
        <f>SUM(AO6:AO25)</f>
        <v>198</v>
      </c>
    </row>
    <row r="27" spans="1:41" ht="16.5" customHeight="1">
      <c r="B27" s="5" t="s">
        <v>218</v>
      </c>
      <c r="C27" s="173">
        <f>SUM(C15:C23)/C24</f>
        <v>0</v>
      </c>
      <c r="D27" s="173">
        <f>SUM(D15:D23)/D24</f>
        <v>0.24</v>
      </c>
      <c r="E27" s="173">
        <f>SUM(E15:E23)/E24</f>
        <v>1</v>
      </c>
      <c r="F27" s="173">
        <f>SUM(F15:F23)/F24</f>
        <v>0.25</v>
      </c>
      <c r="G27" s="173">
        <f>SUM(G15:G23)/G24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3</v>
      </c>
      <c r="AE32" s="142">
        <v>10</v>
      </c>
      <c r="AF32" s="142">
        <v>0</v>
      </c>
      <c r="AG32" s="142">
        <v>3</v>
      </c>
      <c r="AH32" s="142">
        <v>9</v>
      </c>
      <c r="AI32" s="5"/>
      <c r="AJ32" s="157" t="str">
        <v>M1</v>
      </c>
      <c r="AK32" s="142">
        <v>3</v>
      </c>
      <c r="AL32" s="142">
        <v>10</v>
      </c>
      <c r="AM32" s="142">
        <v>0</v>
      </c>
      <c r="AN32" s="142">
        <v>3</v>
      </c>
      <c r="AO32" s="142">
        <v>9</v>
      </c>
    </row>
    <row r="33" spans="10:41" ht="16.5" customHeight="1"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3</v>
      </c>
      <c r="AE33" s="142">
        <v>12</v>
      </c>
      <c r="AF33" s="142">
        <v>0</v>
      </c>
      <c r="AG33" s="142">
        <v>3</v>
      </c>
      <c r="AH33" s="142">
        <v>8</v>
      </c>
      <c r="AI33" s="5"/>
      <c r="AJ33" s="157" t="str">
        <v>M2</v>
      </c>
      <c r="AK33" s="142">
        <v>3</v>
      </c>
      <c r="AL33" s="142">
        <v>12</v>
      </c>
      <c r="AM33" s="142">
        <v>0</v>
      </c>
      <c r="AN33" s="142">
        <v>3</v>
      </c>
      <c r="AO33" s="142">
        <v>8</v>
      </c>
    </row>
    <row r="34" spans="10:41" ht="16.5" customHeight="1"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7</v>
      </c>
      <c r="AE34" s="142">
        <v>13</v>
      </c>
      <c r="AF34" s="142">
        <v>0</v>
      </c>
      <c r="AG34" s="142">
        <v>7</v>
      </c>
      <c r="AH34" s="142">
        <v>14</v>
      </c>
      <c r="AI34" s="5"/>
      <c r="AJ34" s="157" t="str">
        <v>M3</v>
      </c>
      <c r="AK34" s="142">
        <v>7</v>
      </c>
      <c r="AL34" s="142">
        <v>13</v>
      </c>
      <c r="AM34" s="142">
        <v>0</v>
      </c>
      <c r="AN34" s="142">
        <v>7</v>
      </c>
      <c r="AO34" s="142">
        <v>14</v>
      </c>
    </row>
    <row r="35" spans="10:41" ht="16.5" customHeight="1"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22</v>
      </c>
      <c r="AF35" s="142">
        <v>0</v>
      </c>
      <c r="AG35" s="142">
        <v>31</v>
      </c>
      <c r="AH35" s="142">
        <v>36</v>
      </c>
      <c r="AI35" s="5"/>
      <c r="AJ35" s="157" t="str">
        <v>M4</v>
      </c>
      <c r="AK35" s="142">
        <v>43</v>
      </c>
      <c r="AL35" s="142">
        <v>22</v>
      </c>
      <c r="AM35" s="142">
        <v>0</v>
      </c>
      <c r="AN35" s="142">
        <v>31</v>
      </c>
      <c r="AO35" s="142">
        <v>36</v>
      </c>
    </row>
    <row r="36" spans="10:41" ht="16.5" customHeight="1"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42</v>
      </c>
      <c r="AE36" s="142">
        <v>22</v>
      </c>
      <c r="AF36" s="142">
        <v>0</v>
      </c>
      <c r="AG36" s="142">
        <v>27</v>
      </c>
      <c r="AH36" s="142">
        <v>34</v>
      </c>
      <c r="AI36" s="5"/>
      <c r="AJ36" s="157" t="str">
        <v>M5</v>
      </c>
      <c r="AK36" s="142">
        <v>42</v>
      </c>
      <c r="AL36" s="142">
        <v>22</v>
      </c>
      <c r="AM36" s="142">
        <v>0</v>
      </c>
      <c r="AN36" s="142">
        <v>27</v>
      </c>
      <c r="AO36" s="142">
        <v>34</v>
      </c>
    </row>
    <row r="37" spans="10:41" ht="16.5" customHeight="1"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43</v>
      </c>
      <c r="AE37" s="142">
        <v>27</v>
      </c>
      <c r="AF37" s="142">
        <v>0</v>
      </c>
      <c r="AG37" s="142">
        <v>31</v>
      </c>
      <c r="AH37" s="142">
        <v>35</v>
      </c>
      <c r="AI37" s="5"/>
      <c r="AJ37" s="157" t="str">
        <v>A</v>
      </c>
      <c r="AK37" s="142">
        <v>43</v>
      </c>
      <c r="AL37" s="142">
        <v>27</v>
      </c>
      <c r="AM37" s="142">
        <v>0</v>
      </c>
      <c r="AN37" s="142">
        <v>31</v>
      </c>
      <c r="AO37" s="142">
        <v>35</v>
      </c>
    </row>
    <row r="38" spans="10:41" ht="16.5" customHeight="1"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43</v>
      </c>
      <c r="AE38" s="142">
        <v>24</v>
      </c>
      <c r="AF38" s="142">
        <v>0</v>
      </c>
      <c r="AG38" s="142">
        <v>32</v>
      </c>
      <c r="AH38" s="142">
        <v>34</v>
      </c>
      <c r="AI38" s="5"/>
      <c r="AJ38" s="157" t="str">
        <v>K</v>
      </c>
      <c r="AK38" s="142">
        <v>43</v>
      </c>
      <c r="AL38" s="142">
        <v>24</v>
      </c>
      <c r="AM38" s="142">
        <v>0</v>
      </c>
      <c r="AN38" s="142">
        <v>32</v>
      </c>
      <c r="AO38" s="142">
        <v>34</v>
      </c>
    </row>
    <row r="39" spans="10:41" ht="16.5" customHeight="1"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7</v>
      </c>
      <c r="AE39" s="142">
        <v>12</v>
      </c>
      <c r="AF39" s="142">
        <v>0</v>
      </c>
      <c r="AG39" s="142">
        <v>6</v>
      </c>
      <c r="AH39" s="142">
        <v>13</v>
      </c>
      <c r="AI39" s="5"/>
      <c r="AJ39" s="157" t="str">
        <v>Q</v>
      </c>
      <c r="AK39" s="142">
        <v>7</v>
      </c>
      <c r="AL39" s="142">
        <v>12</v>
      </c>
      <c r="AM39" s="142">
        <v>0</v>
      </c>
      <c r="AN39" s="142">
        <v>6</v>
      </c>
      <c r="AO39" s="142">
        <v>13</v>
      </c>
    </row>
    <row r="40" spans="10:41" ht="16.5" customHeight="1"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7</v>
      </c>
      <c r="AE40" s="142">
        <v>8</v>
      </c>
      <c r="AF40" s="142">
        <v>0</v>
      </c>
      <c r="AG40" s="142">
        <v>7</v>
      </c>
      <c r="AH40" s="142">
        <v>14</v>
      </c>
      <c r="AI40" s="5"/>
      <c r="AJ40" s="157" t="str">
        <v>J</v>
      </c>
      <c r="AK40" s="142">
        <v>7</v>
      </c>
      <c r="AL40" s="142">
        <v>8</v>
      </c>
      <c r="AM40" s="142">
        <v>0</v>
      </c>
      <c r="AN40" s="142">
        <v>7</v>
      </c>
      <c r="AO40" s="142">
        <v>14</v>
      </c>
    </row>
    <row r="41" spans="10:41" ht="16.5" customHeight="1"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7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0:41" ht="16.5" customHeight="1"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7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0:41" ht="16.5" customHeight="1"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7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0:41" ht="16.5" customHeight="1"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7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0:41" ht="16.5" customHeight="1"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7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0:41" ht="16.5" customHeight="1"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7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0:41" ht="16.5" customHeight="1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7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0:41" ht="16.5" customHeight="1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7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7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3</v>
      </c>
      <c r="AE56" s="142">
        <v>10</v>
      </c>
      <c r="AF56" s="142">
        <v>0</v>
      </c>
      <c r="AG56" s="142">
        <v>3</v>
      </c>
      <c r="AH56" s="142">
        <v>9</v>
      </c>
      <c r="AI56" s="5"/>
      <c r="AJ56" s="157" t="str">
        <v>M1</v>
      </c>
      <c r="AK56" s="142">
        <v>3</v>
      </c>
      <c r="AL56" s="142">
        <v>10</v>
      </c>
      <c r="AM56" s="142">
        <v>0</v>
      </c>
      <c r="AN56" s="142">
        <v>3</v>
      </c>
      <c r="AO56" s="142">
        <v>9</v>
      </c>
    </row>
    <row r="57" spans="10:41" ht="16.5" customHeight="1">
      <c r="J57" s="9">
        <v>53</v>
      </c>
      <c r="K57" s="16" t="s">
        <v>37</v>
      </c>
      <c r="L57" s="16" t="s">
        <v>91</v>
      </c>
      <c r="M57" s="16" t="s">
        <v>220</v>
      </c>
      <c r="N57" s="16" t="s">
        <v>18</v>
      </c>
      <c r="O57" s="16" t="s">
        <v>19</v>
      </c>
      <c r="Q57" s="9">
        <v>7</v>
      </c>
      <c r="R57" s="9">
        <v>14</v>
      </c>
      <c r="S57" s="9">
        <v>12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3</v>
      </c>
      <c r="AE57" s="142">
        <v>12</v>
      </c>
      <c r="AF57" s="142">
        <v>0</v>
      </c>
      <c r="AG57" s="142">
        <v>3</v>
      </c>
      <c r="AH57" s="142">
        <v>8</v>
      </c>
      <c r="AI57" s="5"/>
      <c r="AJ57" s="157" t="str">
        <v>M2</v>
      </c>
      <c r="AK57" s="142">
        <v>3</v>
      </c>
      <c r="AL57" s="142">
        <v>12</v>
      </c>
      <c r="AM57" s="142">
        <v>0</v>
      </c>
      <c r="AN57" s="142">
        <v>3</v>
      </c>
      <c r="AO57" s="142">
        <v>8</v>
      </c>
    </row>
    <row r="58" spans="10:41" ht="16.5" customHeight="1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7</v>
      </c>
      <c r="AE58" s="142">
        <v>13</v>
      </c>
      <c r="AF58" s="142">
        <v>0</v>
      </c>
      <c r="AG58" s="142">
        <v>7</v>
      </c>
      <c r="AH58" s="142">
        <v>14</v>
      </c>
      <c r="AI58" s="5"/>
      <c r="AJ58" s="157" t="str">
        <v>M3</v>
      </c>
      <c r="AK58" s="142">
        <v>7</v>
      </c>
      <c r="AL58" s="142">
        <v>13</v>
      </c>
      <c r="AM58" s="142">
        <v>0</v>
      </c>
      <c r="AN58" s="142">
        <v>7</v>
      </c>
      <c r="AO58" s="142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22</v>
      </c>
      <c r="AF59" s="142">
        <v>0</v>
      </c>
      <c r="AG59" s="142">
        <v>31</v>
      </c>
      <c r="AH59" s="142">
        <v>36</v>
      </c>
      <c r="AI59" s="5"/>
      <c r="AJ59" s="157" t="str">
        <v>M4</v>
      </c>
      <c r="AK59" s="142">
        <v>43</v>
      </c>
      <c r="AL59" s="142">
        <v>22</v>
      </c>
      <c r="AM59" s="142">
        <v>0</v>
      </c>
      <c r="AN59" s="142">
        <v>31</v>
      </c>
      <c r="AO59" s="142">
        <v>36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42</v>
      </c>
      <c r="AE60" s="142">
        <v>22</v>
      </c>
      <c r="AF60" s="142">
        <v>0</v>
      </c>
      <c r="AG60" s="142">
        <v>27</v>
      </c>
      <c r="AH60" s="142">
        <v>34</v>
      </c>
      <c r="AI60" s="5"/>
      <c r="AJ60" s="157" t="str">
        <v>M5</v>
      </c>
      <c r="AK60" s="142">
        <v>42</v>
      </c>
      <c r="AL60" s="142">
        <v>22</v>
      </c>
      <c r="AM60" s="142">
        <v>0</v>
      </c>
      <c r="AN60" s="142">
        <v>27</v>
      </c>
      <c r="AO60" s="142">
        <v>34</v>
      </c>
    </row>
    <row r="61" spans="10:41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43</v>
      </c>
      <c r="AE61" s="142">
        <v>27</v>
      </c>
      <c r="AF61" s="142">
        <v>0</v>
      </c>
      <c r="AG61" s="142">
        <v>31</v>
      </c>
      <c r="AH61" s="142">
        <v>35</v>
      </c>
      <c r="AI61" s="5"/>
      <c r="AJ61" s="157" t="str">
        <v>A</v>
      </c>
      <c r="AK61" s="142">
        <v>43</v>
      </c>
      <c r="AL61" s="142">
        <v>27</v>
      </c>
      <c r="AM61" s="142">
        <v>0</v>
      </c>
      <c r="AN61" s="142">
        <v>31</v>
      </c>
      <c r="AO61" s="142">
        <v>35</v>
      </c>
    </row>
    <row r="62" spans="10:41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43</v>
      </c>
      <c r="AE62" s="142">
        <v>24</v>
      </c>
      <c r="AF62" s="142">
        <v>0</v>
      </c>
      <c r="AG62" s="142">
        <v>32</v>
      </c>
      <c r="AH62" s="142">
        <v>34</v>
      </c>
      <c r="AI62" s="5"/>
      <c r="AJ62" s="157" t="str">
        <v>K</v>
      </c>
      <c r="AK62" s="142">
        <v>43</v>
      </c>
      <c r="AL62" s="142">
        <v>24</v>
      </c>
      <c r="AM62" s="142">
        <v>0</v>
      </c>
      <c r="AN62" s="142">
        <v>32</v>
      </c>
      <c r="AO62" s="142">
        <v>34</v>
      </c>
    </row>
    <row r="63" spans="10:41" ht="16.5" customHeight="1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7</v>
      </c>
      <c r="AE63" s="142">
        <v>12</v>
      </c>
      <c r="AF63" s="142">
        <v>0</v>
      </c>
      <c r="AG63" s="142">
        <v>6</v>
      </c>
      <c r="AH63" s="142">
        <v>13</v>
      </c>
      <c r="AI63" s="5"/>
      <c r="AJ63" s="157" t="str">
        <v>Q</v>
      </c>
      <c r="AK63" s="142">
        <v>7</v>
      </c>
      <c r="AL63" s="142">
        <v>12</v>
      </c>
      <c r="AM63" s="142">
        <v>0</v>
      </c>
      <c r="AN63" s="142">
        <v>6</v>
      </c>
      <c r="AO63" s="142">
        <v>13</v>
      </c>
    </row>
    <row r="64" spans="10:41" ht="16.5" customHeight="1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7</v>
      </c>
      <c r="AE64" s="142">
        <v>8</v>
      </c>
      <c r="AF64" s="142">
        <v>0</v>
      </c>
      <c r="AG64" s="142">
        <v>7</v>
      </c>
      <c r="AH64" s="142">
        <v>14</v>
      </c>
      <c r="AI64" s="5"/>
      <c r="AJ64" s="157" t="str">
        <v>J</v>
      </c>
      <c r="AK64" s="142">
        <v>7</v>
      </c>
      <c r="AL64" s="142">
        <v>8</v>
      </c>
      <c r="AM64" s="142">
        <v>0</v>
      </c>
      <c r="AN64" s="142">
        <v>7</v>
      </c>
      <c r="AO64" s="142">
        <v>14</v>
      </c>
    </row>
    <row r="65" spans="10:41" ht="16.5" customHeight="1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7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7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7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35</v>
      </c>
      <c r="L68" s="16" t="s">
        <v>37</v>
      </c>
      <c r="M68" s="16" t="s">
        <v>220</v>
      </c>
      <c r="N68" s="16" t="s">
        <v>21</v>
      </c>
      <c r="O68" s="16" t="s">
        <v>18</v>
      </c>
      <c r="Q68" s="9">
        <v>8</v>
      </c>
      <c r="R68" s="9">
        <v>7</v>
      </c>
      <c r="S68" s="9">
        <v>12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7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7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7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7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7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7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5" priority="23">
      <formula>_xlfn.LET(_xlpm.x, W4, AND(NOT(_xlfn.ISFORMULA(_xlpm.x)), _xlpm.x&lt;&gt;""))</formula>
    </cfRule>
  </conditionalFormatting>
  <conditionalFormatting sqref="W4:AA203">
    <cfRule type="expression" dxfId="94" priority="18">
      <formula>_xlfn.LET(_xlpm.x, W4, AND(NOT(_xlfn.ISFORMULA(_xlpm.x)), _xlpm.x&lt;&gt;""))</formula>
    </cfRule>
  </conditionalFormatting>
  <conditionalFormatting sqref="K1:O1048576">
    <cfRule type="cellIs" dxfId="93" priority="14" operator="equal">
      <formula>"C1"</formula>
    </cfRule>
    <cfRule type="cellIs" dxfId="92" priority="15" operator="between">
      <formula>"G1"</formula>
      <formula>"G5"</formula>
    </cfRule>
    <cfRule type="cellIs" dxfId="91" priority="16" operator="between">
      <formula>"GA"</formula>
      <formula>"GJ"</formula>
    </cfRule>
    <cfRule type="cellIs" dxfId="90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{0A873879-5590-492F-90B7-845B63199361}</x14:id>
        </ext>
      </extLst>
    </cfRule>
  </conditionalFormatting>
  <conditionalFormatting sqref="D52:D54">
    <cfRule type="cellIs" dxfId="89" priority="9" operator="equal">
      <formula>"C1"</formula>
    </cfRule>
    <cfRule type="cellIs" dxfId="88" priority="10" operator="between">
      <formula>"G1"</formula>
      <formula>"G4"</formula>
    </cfRule>
    <cfRule type="cellIs" dxfId="87" priority="11" operator="between">
      <formula>"GA"</formula>
      <formula>"GQ"</formula>
    </cfRule>
    <cfRule type="cellIs" dxfId="86" priority="12" operator="between">
      <formula>"M1"</formula>
      <formula>"M4"</formula>
    </cfRule>
  </conditionalFormatting>
  <conditionalFormatting sqref="E52:E54">
    <cfRule type="cellIs" dxfId="85" priority="5" operator="equal">
      <formula>"C1"</formula>
    </cfRule>
    <cfRule type="cellIs" dxfId="84" priority="6" operator="between">
      <formula>"G1"</formula>
      <formula>"G4"</formula>
    </cfRule>
    <cfRule type="cellIs" dxfId="83" priority="7" operator="between">
      <formula>"GA"</formula>
      <formula>"GQ"</formula>
    </cfRule>
    <cfRule type="cellIs" dxfId="82" priority="8" operator="between">
      <formula>"M1"</formula>
      <formula>"M4"</formula>
    </cfRule>
  </conditionalFormatting>
  <conditionalFormatting sqref="F52:F54">
    <cfRule type="cellIs" dxfId="81" priority="1" operator="equal">
      <formula>"C1"</formula>
    </cfRule>
    <cfRule type="cellIs" dxfId="80" priority="2" operator="between">
      <formula>"G1"</formula>
      <formula>"G4"</formula>
    </cfRule>
    <cfRule type="cellIs" dxfId="79" priority="3" operator="between">
      <formula>"GA"</formula>
      <formula>"GQ"</formula>
    </cfRule>
    <cfRule type="cellIs" dxfId="78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873879-5590-492F-90B7-845B631993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P15" sqref="P15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0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>
      <c r="A6" s="142" t="str">
        <v>M1</v>
      </c>
      <c r="B6" s="118" t="str">
        <v>M1</v>
      </c>
      <c r="C6" s="142">
        <f t="shared" si="0"/>
        <v>3</v>
      </c>
      <c r="D6" s="142">
        <f t="shared" si="0"/>
        <v>10</v>
      </c>
      <c r="E6" s="142">
        <f t="shared" si="0"/>
        <v>0</v>
      </c>
      <c r="F6" s="142">
        <f t="shared" si="0"/>
        <v>3</v>
      </c>
      <c r="G6" s="142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>
      <c r="A7" s="142" t="str">
        <v>M2</v>
      </c>
      <c r="B7" s="118" t="str">
        <v>M2</v>
      </c>
      <c r="C7" s="142">
        <f t="shared" si="0"/>
        <v>3</v>
      </c>
      <c r="D7" s="142">
        <f t="shared" si="0"/>
        <v>12</v>
      </c>
      <c r="E7" s="142">
        <f t="shared" si="0"/>
        <v>0</v>
      </c>
      <c r="F7" s="142">
        <f t="shared" si="0"/>
        <v>3</v>
      </c>
      <c r="G7" s="142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1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1</v>
      </c>
      <c r="AN7" s="147">
        <v>1</v>
      </c>
      <c r="AO7" s="147">
        <v>1</v>
      </c>
    </row>
    <row r="8" spans="1:41" ht="15.9" customHeight="1">
      <c r="A8" s="142" t="str">
        <v>M3</v>
      </c>
      <c r="B8" s="118" t="str">
        <v>M3</v>
      </c>
      <c r="C8" s="142">
        <f t="shared" si="0"/>
        <v>7</v>
      </c>
      <c r="D8" s="142">
        <f t="shared" si="0"/>
        <v>13</v>
      </c>
      <c r="E8" s="142">
        <f t="shared" si="0"/>
        <v>0</v>
      </c>
      <c r="F8" s="142">
        <f t="shared" si="0"/>
        <v>7</v>
      </c>
      <c r="G8" s="142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3</v>
      </c>
      <c r="AE8" s="142">
        <v>10</v>
      </c>
      <c r="AF8" s="142">
        <v>0</v>
      </c>
      <c r="AG8" s="142">
        <v>3</v>
      </c>
      <c r="AH8" s="142">
        <v>9</v>
      </c>
      <c r="AI8" s="5"/>
      <c r="AJ8" s="157" t="str">
        <v>M1</v>
      </c>
      <c r="AK8" s="142">
        <v>3</v>
      </c>
      <c r="AL8" s="142">
        <v>10</v>
      </c>
      <c r="AM8" s="142">
        <v>0</v>
      </c>
      <c r="AN8" s="142">
        <v>3</v>
      </c>
      <c r="AO8" s="142">
        <v>9</v>
      </c>
    </row>
    <row r="9" spans="1:41" ht="15.9" customHeight="1">
      <c r="A9" s="142" t="str">
        <v>M4</v>
      </c>
      <c r="B9" s="118" t="str">
        <v>M4</v>
      </c>
      <c r="C9" s="142">
        <f t="shared" si="0"/>
        <v>43</v>
      </c>
      <c r="D9" s="142">
        <f t="shared" si="0"/>
        <v>23</v>
      </c>
      <c r="E9" s="142">
        <f t="shared" si="0"/>
        <v>0</v>
      </c>
      <c r="F9" s="142">
        <f t="shared" si="0"/>
        <v>33</v>
      </c>
      <c r="G9" s="142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3</v>
      </c>
      <c r="AE9" s="142">
        <v>12</v>
      </c>
      <c r="AF9" s="142">
        <v>0</v>
      </c>
      <c r="AG9" s="142">
        <v>3</v>
      </c>
      <c r="AH9" s="142">
        <v>8</v>
      </c>
      <c r="AI9" s="5"/>
      <c r="AJ9" s="157" t="str">
        <v>M2</v>
      </c>
      <c r="AK9" s="142">
        <v>3</v>
      </c>
      <c r="AL9" s="142">
        <v>12</v>
      </c>
      <c r="AM9" s="142">
        <v>0</v>
      </c>
      <c r="AN9" s="142">
        <v>3</v>
      </c>
      <c r="AO9" s="142">
        <v>8</v>
      </c>
    </row>
    <row r="10" spans="1:41" ht="15.9" customHeight="1">
      <c r="A10" s="142" t="str">
        <v>M5</v>
      </c>
      <c r="B10" s="118" t="str">
        <v>M5</v>
      </c>
      <c r="C10" s="142">
        <f t="shared" si="0"/>
        <v>42</v>
      </c>
      <c r="D10" s="142">
        <f t="shared" si="0"/>
        <v>23</v>
      </c>
      <c r="E10" s="142">
        <f t="shared" si="0"/>
        <v>0</v>
      </c>
      <c r="F10" s="142">
        <f t="shared" si="0"/>
        <v>33</v>
      </c>
      <c r="G10" s="142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7</v>
      </c>
      <c r="AE10" s="142">
        <v>13</v>
      </c>
      <c r="AF10" s="142">
        <v>0</v>
      </c>
      <c r="AG10" s="142">
        <v>7</v>
      </c>
      <c r="AH10" s="142">
        <v>14</v>
      </c>
      <c r="AI10" s="5"/>
      <c r="AJ10" s="157" t="str">
        <v>M3</v>
      </c>
      <c r="AK10" s="142">
        <v>7</v>
      </c>
      <c r="AL10" s="142">
        <v>13</v>
      </c>
      <c r="AM10" s="142">
        <v>0</v>
      </c>
      <c r="AN10" s="142">
        <v>7</v>
      </c>
      <c r="AO10" s="142">
        <v>14</v>
      </c>
    </row>
    <row r="11" spans="1:41" ht="15.9" customHeight="1">
      <c r="A11" s="142" t="str">
        <v>A</v>
      </c>
      <c r="B11" s="118" t="str">
        <v>A</v>
      </c>
      <c r="C11" s="142">
        <f t="shared" si="0"/>
        <v>43</v>
      </c>
      <c r="D11" s="142">
        <f t="shared" si="0"/>
        <v>27</v>
      </c>
      <c r="E11" s="142">
        <f t="shared" si="0"/>
        <v>0</v>
      </c>
      <c r="F11" s="142">
        <f t="shared" si="0"/>
        <v>33</v>
      </c>
      <c r="G11" s="142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23</v>
      </c>
      <c r="AF11" s="142">
        <v>0</v>
      </c>
      <c r="AG11" s="142">
        <v>33</v>
      </c>
      <c r="AH11" s="142">
        <v>35</v>
      </c>
      <c r="AI11" s="5"/>
      <c r="AJ11" s="157" t="str">
        <v>M4</v>
      </c>
      <c r="AK11" s="142">
        <v>43</v>
      </c>
      <c r="AL11" s="142">
        <v>23</v>
      </c>
      <c r="AM11" s="142">
        <v>0</v>
      </c>
      <c r="AN11" s="142">
        <v>33</v>
      </c>
      <c r="AO11" s="142">
        <v>35</v>
      </c>
    </row>
    <row r="12" spans="1:41" ht="15.9" customHeight="1">
      <c r="A12" s="142" t="str">
        <v>K</v>
      </c>
      <c r="B12" s="118" t="str">
        <v>K</v>
      </c>
      <c r="C12" s="142">
        <f t="shared" si="0"/>
        <v>43</v>
      </c>
      <c r="D12" s="142">
        <f t="shared" si="0"/>
        <v>25</v>
      </c>
      <c r="E12" s="142">
        <f t="shared" si="0"/>
        <v>0</v>
      </c>
      <c r="F12" s="142">
        <f t="shared" si="0"/>
        <v>34</v>
      </c>
      <c r="G12" s="142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42</v>
      </c>
      <c r="AE12" s="142">
        <v>23</v>
      </c>
      <c r="AF12" s="142">
        <v>0</v>
      </c>
      <c r="AG12" s="142">
        <v>33</v>
      </c>
      <c r="AH12" s="142">
        <v>34</v>
      </c>
      <c r="AI12" s="5"/>
      <c r="AJ12" s="157" t="str">
        <v>M5</v>
      </c>
      <c r="AK12" s="142">
        <v>42</v>
      </c>
      <c r="AL12" s="142">
        <v>23</v>
      </c>
      <c r="AM12" s="142">
        <v>0</v>
      </c>
      <c r="AN12" s="142">
        <v>33</v>
      </c>
      <c r="AO12" s="142">
        <v>34</v>
      </c>
    </row>
    <row r="13" spans="1:41" ht="15.9" customHeight="1">
      <c r="A13" s="142" t="str">
        <v>Q</v>
      </c>
      <c r="B13" s="118" t="str">
        <v>Q</v>
      </c>
      <c r="C13" s="142">
        <f t="shared" si="0"/>
        <v>7</v>
      </c>
      <c r="D13" s="142">
        <f t="shared" si="0"/>
        <v>12</v>
      </c>
      <c r="E13" s="142">
        <f t="shared" si="0"/>
        <v>0</v>
      </c>
      <c r="F13" s="142">
        <f t="shared" si="0"/>
        <v>6</v>
      </c>
      <c r="G13" s="142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43</v>
      </c>
      <c r="AE13" s="142">
        <v>27</v>
      </c>
      <c r="AF13" s="142">
        <v>0</v>
      </c>
      <c r="AG13" s="142">
        <v>33</v>
      </c>
      <c r="AH13" s="142">
        <v>34</v>
      </c>
      <c r="AI13" s="5"/>
      <c r="AJ13" s="157" t="str">
        <v>A</v>
      </c>
      <c r="AK13" s="142">
        <v>43</v>
      </c>
      <c r="AL13" s="142">
        <v>27</v>
      </c>
      <c r="AM13" s="142">
        <v>0</v>
      </c>
      <c r="AN13" s="142">
        <v>33</v>
      </c>
      <c r="AO13" s="142">
        <v>34</v>
      </c>
    </row>
    <row r="14" spans="1:41" ht="15.9" customHeight="1">
      <c r="A14" s="142" t="str">
        <v>J</v>
      </c>
      <c r="B14" s="118" t="str">
        <v>J</v>
      </c>
      <c r="C14" s="142">
        <f t="shared" si="0"/>
        <v>6</v>
      </c>
      <c r="D14" s="142">
        <f t="shared" si="0"/>
        <v>8</v>
      </c>
      <c r="E14" s="142">
        <f t="shared" si="0"/>
        <v>0</v>
      </c>
      <c r="F14" s="142">
        <f t="shared" si="0"/>
        <v>7</v>
      </c>
      <c r="G14" s="142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43</v>
      </c>
      <c r="AE14" s="142">
        <v>25</v>
      </c>
      <c r="AF14" s="142">
        <v>0</v>
      </c>
      <c r="AG14" s="142">
        <v>34</v>
      </c>
      <c r="AH14" s="142">
        <v>34</v>
      </c>
      <c r="AI14" s="5"/>
      <c r="AJ14" s="157" t="str">
        <v>K</v>
      </c>
      <c r="AK14" s="142">
        <v>43</v>
      </c>
      <c r="AL14" s="142">
        <v>25</v>
      </c>
      <c r="AM14" s="142">
        <v>0</v>
      </c>
      <c r="AN14" s="142">
        <v>34</v>
      </c>
      <c r="AO14" s="142">
        <v>34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7</v>
      </c>
      <c r="AE15" s="142">
        <v>12</v>
      </c>
      <c r="AF15" s="142">
        <v>0</v>
      </c>
      <c r="AG15" s="142">
        <v>6</v>
      </c>
      <c r="AH15" s="142">
        <v>13</v>
      </c>
      <c r="AI15" s="5"/>
      <c r="AJ15" s="157" t="str">
        <v>Q</v>
      </c>
      <c r="AK15" s="142">
        <v>7</v>
      </c>
      <c r="AL15" s="142">
        <v>12</v>
      </c>
      <c r="AM15" s="142">
        <v>0</v>
      </c>
      <c r="AN15" s="142">
        <v>6</v>
      </c>
      <c r="AO15" s="142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4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6</v>
      </c>
      <c r="AE16" s="142">
        <v>8</v>
      </c>
      <c r="AF16" s="142">
        <v>0</v>
      </c>
      <c r="AG16" s="142">
        <v>7</v>
      </c>
      <c r="AH16" s="142">
        <v>14</v>
      </c>
      <c r="AI16" s="5"/>
      <c r="AJ16" s="157" t="str">
        <v>J</v>
      </c>
      <c r="AK16" s="142">
        <v>6</v>
      </c>
      <c r="AL16" s="142">
        <v>8</v>
      </c>
      <c r="AM16" s="142">
        <v>0</v>
      </c>
      <c r="AN16" s="142">
        <v>7</v>
      </c>
      <c r="AO16" s="142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7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7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7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7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7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7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7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7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7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B26" s="5" t="s">
        <v>219</v>
      </c>
      <c r="C26" s="173">
        <f>SUM(C4:C14)/C24</f>
        <v>1</v>
      </c>
      <c r="D26" s="173">
        <f>SUM(D4:D14)/D24</f>
        <v>0.78</v>
      </c>
      <c r="E26" s="173">
        <f>SUM(E4:E14)/E24</f>
        <v>0</v>
      </c>
      <c r="F26" s="173">
        <f>SUM(F4:F14)/F24</f>
        <v>0.82</v>
      </c>
      <c r="G26" s="173">
        <f>SUM(G4:G14)/G24</f>
        <v>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>
      <c r="B27" s="5" t="s">
        <v>218</v>
      </c>
      <c r="C27" s="173">
        <f>SUM(C15:C23)/C24</f>
        <v>0</v>
      </c>
      <c r="D27" s="173">
        <f>SUM(D15:D23)/D24</f>
        <v>0.22</v>
      </c>
      <c r="E27" s="173">
        <f>SUM(E15:E23)/E24</f>
        <v>1</v>
      </c>
      <c r="F27" s="173">
        <f>SUM(F15:F23)/F24</f>
        <v>0.18</v>
      </c>
      <c r="G27" s="173">
        <f>SUM(G15:G23)/G24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3</v>
      </c>
      <c r="AE32" s="142">
        <v>10</v>
      </c>
      <c r="AF32" s="142">
        <v>0</v>
      </c>
      <c r="AG32" s="142">
        <v>3</v>
      </c>
      <c r="AH32" s="142">
        <v>9</v>
      </c>
      <c r="AI32" s="5"/>
      <c r="AJ32" s="157" t="str">
        <v>M1</v>
      </c>
      <c r="AK32" s="142">
        <v>3</v>
      </c>
      <c r="AL32" s="142">
        <v>10</v>
      </c>
      <c r="AM32" s="142">
        <v>0</v>
      </c>
      <c r="AN32" s="142">
        <v>3</v>
      </c>
      <c r="AO32" s="142">
        <v>9</v>
      </c>
    </row>
    <row r="33" spans="10:41" ht="16.5" customHeight="1"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3</v>
      </c>
      <c r="AE33" s="142">
        <v>12</v>
      </c>
      <c r="AF33" s="142">
        <v>0</v>
      </c>
      <c r="AG33" s="142">
        <v>3</v>
      </c>
      <c r="AH33" s="142">
        <v>8</v>
      </c>
      <c r="AI33" s="5"/>
      <c r="AJ33" s="157" t="str">
        <v>M2</v>
      </c>
      <c r="AK33" s="142">
        <v>3</v>
      </c>
      <c r="AL33" s="142">
        <v>12</v>
      </c>
      <c r="AM33" s="142">
        <v>0</v>
      </c>
      <c r="AN33" s="142">
        <v>3</v>
      </c>
      <c r="AO33" s="142">
        <v>8</v>
      </c>
    </row>
    <row r="34" spans="10:41" ht="16.5" customHeight="1"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7</v>
      </c>
      <c r="AE34" s="142">
        <v>13</v>
      </c>
      <c r="AF34" s="142">
        <v>0</v>
      </c>
      <c r="AG34" s="142">
        <v>7</v>
      </c>
      <c r="AH34" s="142">
        <v>14</v>
      </c>
      <c r="AI34" s="5"/>
      <c r="AJ34" s="157" t="str">
        <v>M3</v>
      </c>
      <c r="AK34" s="142">
        <v>7</v>
      </c>
      <c r="AL34" s="142">
        <v>13</v>
      </c>
      <c r="AM34" s="142">
        <v>0</v>
      </c>
      <c r="AN34" s="142">
        <v>7</v>
      </c>
      <c r="AO34" s="142">
        <v>14</v>
      </c>
    </row>
    <row r="35" spans="10:41" ht="16.5" customHeight="1"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23</v>
      </c>
      <c r="AF35" s="142">
        <v>0</v>
      </c>
      <c r="AG35" s="142">
        <v>33</v>
      </c>
      <c r="AH35" s="142">
        <v>35</v>
      </c>
      <c r="AI35" s="5"/>
      <c r="AJ35" s="157" t="str">
        <v>M4</v>
      </c>
      <c r="AK35" s="142">
        <v>43</v>
      </c>
      <c r="AL35" s="142">
        <v>23</v>
      </c>
      <c r="AM35" s="142">
        <v>0</v>
      </c>
      <c r="AN35" s="142">
        <v>33</v>
      </c>
      <c r="AO35" s="142">
        <v>35</v>
      </c>
    </row>
    <row r="36" spans="10:41" ht="16.5" customHeight="1"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42</v>
      </c>
      <c r="AE36" s="142">
        <v>23</v>
      </c>
      <c r="AF36" s="142">
        <v>0</v>
      </c>
      <c r="AG36" s="142">
        <v>33</v>
      </c>
      <c r="AH36" s="142">
        <v>34</v>
      </c>
      <c r="AI36" s="5"/>
      <c r="AJ36" s="157" t="str">
        <v>M5</v>
      </c>
      <c r="AK36" s="142">
        <v>42</v>
      </c>
      <c r="AL36" s="142">
        <v>23</v>
      </c>
      <c r="AM36" s="142">
        <v>0</v>
      </c>
      <c r="AN36" s="142">
        <v>33</v>
      </c>
      <c r="AO36" s="142">
        <v>34</v>
      </c>
    </row>
    <row r="37" spans="10:41" ht="16.5" customHeight="1"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43</v>
      </c>
      <c r="AE37" s="142">
        <v>27</v>
      </c>
      <c r="AF37" s="142">
        <v>0</v>
      </c>
      <c r="AG37" s="142">
        <v>33</v>
      </c>
      <c r="AH37" s="142">
        <v>34</v>
      </c>
      <c r="AI37" s="5"/>
      <c r="AJ37" s="157" t="str">
        <v>A</v>
      </c>
      <c r="AK37" s="142">
        <v>43</v>
      </c>
      <c r="AL37" s="142">
        <v>27</v>
      </c>
      <c r="AM37" s="142">
        <v>0</v>
      </c>
      <c r="AN37" s="142">
        <v>33</v>
      </c>
      <c r="AO37" s="142">
        <v>34</v>
      </c>
    </row>
    <row r="38" spans="10:41" ht="16.5" customHeight="1"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43</v>
      </c>
      <c r="AE38" s="142">
        <v>25</v>
      </c>
      <c r="AF38" s="142">
        <v>0</v>
      </c>
      <c r="AG38" s="142">
        <v>34</v>
      </c>
      <c r="AH38" s="142">
        <v>34</v>
      </c>
      <c r="AI38" s="5"/>
      <c r="AJ38" s="157" t="str">
        <v>K</v>
      </c>
      <c r="AK38" s="142">
        <v>43</v>
      </c>
      <c r="AL38" s="142">
        <v>25</v>
      </c>
      <c r="AM38" s="142">
        <v>0</v>
      </c>
      <c r="AN38" s="142">
        <v>34</v>
      </c>
      <c r="AO38" s="142">
        <v>34</v>
      </c>
    </row>
    <row r="39" spans="10:41" ht="16.5" customHeight="1"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7</v>
      </c>
      <c r="AE39" s="142">
        <v>12</v>
      </c>
      <c r="AF39" s="142">
        <v>0</v>
      </c>
      <c r="AG39" s="142">
        <v>6</v>
      </c>
      <c r="AH39" s="142">
        <v>13</v>
      </c>
      <c r="AI39" s="5"/>
      <c r="AJ39" s="157" t="str">
        <v>Q</v>
      </c>
      <c r="AK39" s="142">
        <v>7</v>
      </c>
      <c r="AL39" s="142">
        <v>12</v>
      </c>
      <c r="AM39" s="142">
        <v>0</v>
      </c>
      <c r="AN39" s="142">
        <v>6</v>
      </c>
      <c r="AO39" s="142">
        <v>13</v>
      </c>
    </row>
    <row r="40" spans="10:41" ht="16.5" customHeight="1"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6</v>
      </c>
      <c r="AE40" s="142">
        <v>8</v>
      </c>
      <c r="AF40" s="142">
        <v>0</v>
      </c>
      <c r="AG40" s="142">
        <v>7</v>
      </c>
      <c r="AH40" s="142">
        <v>14</v>
      </c>
      <c r="AI40" s="5"/>
      <c r="AJ40" s="157" t="str">
        <v>J</v>
      </c>
      <c r="AK40" s="142">
        <v>6</v>
      </c>
      <c r="AL40" s="142">
        <v>8</v>
      </c>
      <c r="AM40" s="142">
        <v>0</v>
      </c>
      <c r="AN40" s="142">
        <v>7</v>
      </c>
      <c r="AO40" s="142">
        <v>14</v>
      </c>
    </row>
    <row r="41" spans="10:41" ht="16.5" customHeight="1"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7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0:41" ht="16.5" customHeight="1"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7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0:41" ht="16.5" customHeight="1"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7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0:41" ht="16.5" customHeight="1"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7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0:41" ht="16.5" customHeight="1"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7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0:41" ht="16.5" customHeight="1"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7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0:41" ht="16.5" customHeight="1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7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0:41" ht="16.5" customHeight="1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7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7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3</v>
      </c>
      <c r="AE56" s="142">
        <v>10</v>
      </c>
      <c r="AF56" s="142">
        <v>0</v>
      </c>
      <c r="AG56" s="142">
        <v>3</v>
      </c>
      <c r="AH56" s="142">
        <v>9</v>
      </c>
      <c r="AI56" s="5"/>
      <c r="AJ56" s="157" t="str">
        <v>M1</v>
      </c>
      <c r="AK56" s="142">
        <v>3</v>
      </c>
      <c r="AL56" s="142">
        <v>10</v>
      </c>
      <c r="AM56" s="142">
        <v>0</v>
      </c>
      <c r="AN56" s="142">
        <v>3</v>
      </c>
      <c r="AO56" s="142">
        <v>9</v>
      </c>
    </row>
    <row r="57" spans="10:41" ht="16.5" customHeight="1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3</v>
      </c>
      <c r="AE57" s="142">
        <v>12</v>
      </c>
      <c r="AF57" s="142">
        <v>0</v>
      </c>
      <c r="AG57" s="142">
        <v>3</v>
      </c>
      <c r="AH57" s="142">
        <v>8</v>
      </c>
      <c r="AI57" s="5"/>
      <c r="AJ57" s="157" t="str">
        <v>M2</v>
      </c>
      <c r="AK57" s="142">
        <v>3</v>
      </c>
      <c r="AL57" s="142">
        <v>12</v>
      </c>
      <c r="AM57" s="142">
        <v>0</v>
      </c>
      <c r="AN57" s="142">
        <v>3</v>
      </c>
      <c r="AO57" s="142">
        <v>8</v>
      </c>
    </row>
    <row r="58" spans="10:41" ht="16.5" customHeight="1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7</v>
      </c>
      <c r="AE58" s="142">
        <v>13</v>
      </c>
      <c r="AF58" s="142">
        <v>0</v>
      </c>
      <c r="AG58" s="142">
        <v>7</v>
      </c>
      <c r="AH58" s="142">
        <v>14</v>
      </c>
      <c r="AI58" s="5"/>
      <c r="AJ58" s="157" t="str">
        <v>M3</v>
      </c>
      <c r="AK58" s="142">
        <v>7</v>
      </c>
      <c r="AL58" s="142">
        <v>13</v>
      </c>
      <c r="AM58" s="142">
        <v>0</v>
      </c>
      <c r="AN58" s="142">
        <v>7</v>
      </c>
      <c r="AO58" s="142">
        <v>14</v>
      </c>
    </row>
    <row r="59" spans="10:41" ht="16.5" customHeight="1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23</v>
      </c>
      <c r="AF59" s="142">
        <v>0</v>
      </c>
      <c r="AG59" s="142">
        <v>33</v>
      </c>
      <c r="AH59" s="142">
        <v>35</v>
      </c>
      <c r="AI59" s="5"/>
      <c r="AJ59" s="157" t="str">
        <v>M4</v>
      </c>
      <c r="AK59" s="142">
        <v>43</v>
      </c>
      <c r="AL59" s="142">
        <v>23</v>
      </c>
      <c r="AM59" s="142">
        <v>0</v>
      </c>
      <c r="AN59" s="142">
        <v>33</v>
      </c>
      <c r="AO59" s="142">
        <v>35</v>
      </c>
    </row>
    <row r="60" spans="10:41" ht="16.5" customHeight="1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42</v>
      </c>
      <c r="AE60" s="142">
        <v>23</v>
      </c>
      <c r="AF60" s="142">
        <v>0</v>
      </c>
      <c r="AG60" s="142">
        <v>33</v>
      </c>
      <c r="AH60" s="142">
        <v>34</v>
      </c>
      <c r="AI60" s="5"/>
      <c r="AJ60" s="157" t="str">
        <v>M5</v>
      </c>
      <c r="AK60" s="142">
        <v>42</v>
      </c>
      <c r="AL60" s="142">
        <v>23</v>
      </c>
      <c r="AM60" s="142">
        <v>0</v>
      </c>
      <c r="AN60" s="142">
        <v>33</v>
      </c>
      <c r="AO60" s="142">
        <v>34</v>
      </c>
    </row>
    <row r="61" spans="10:41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43</v>
      </c>
      <c r="AE61" s="142">
        <v>27</v>
      </c>
      <c r="AF61" s="142">
        <v>0</v>
      </c>
      <c r="AG61" s="142">
        <v>33</v>
      </c>
      <c r="AH61" s="142">
        <v>34</v>
      </c>
      <c r="AI61" s="5"/>
      <c r="AJ61" s="157" t="str">
        <v>A</v>
      </c>
      <c r="AK61" s="142">
        <v>43</v>
      </c>
      <c r="AL61" s="142">
        <v>27</v>
      </c>
      <c r="AM61" s="142">
        <v>0</v>
      </c>
      <c r="AN61" s="142">
        <v>33</v>
      </c>
      <c r="AO61" s="142">
        <v>34</v>
      </c>
    </row>
    <row r="62" spans="10:41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43</v>
      </c>
      <c r="AE62" s="142">
        <v>25</v>
      </c>
      <c r="AF62" s="142">
        <v>0</v>
      </c>
      <c r="AG62" s="142">
        <v>34</v>
      </c>
      <c r="AH62" s="142">
        <v>34</v>
      </c>
      <c r="AI62" s="5"/>
      <c r="AJ62" s="157" t="str">
        <v>K</v>
      </c>
      <c r="AK62" s="142">
        <v>43</v>
      </c>
      <c r="AL62" s="142">
        <v>25</v>
      </c>
      <c r="AM62" s="142">
        <v>0</v>
      </c>
      <c r="AN62" s="142">
        <v>34</v>
      </c>
      <c r="AO62" s="142">
        <v>34</v>
      </c>
    </row>
    <row r="63" spans="10:41" ht="16.5" customHeight="1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7</v>
      </c>
      <c r="AE63" s="142">
        <v>12</v>
      </c>
      <c r="AF63" s="142">
        <v>0</v>
      </c>
      <c r="AG63" s="142">
        <v>6</v>
      </c>
      <c r="AH63" s="142">
        <v>13</v>
      </c>
      <c r="AI63" s="5"/>
      <c r="AJ63" s="157" t="str">
        <v>Q</v>
      </c>
      <c r="AK63" s="142">
        <v>7</v>
      </c>
      <c r="AL63" s="142">
        <v>12</v>
      </c>
      <c r="AM63" s="142">
        <v>0</v>
      </c>
      <c r="AN63" s="142">
        <v>6</v>
      </c>
      <c r="AO63" s="142">
        <v>13</v>
      </c>
    </row>
    <row r="64" spans="10:41" ht="16.5" customHeight="1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6</v>
      </c>
      <c r="AE64" s="142">
        <v>8</v>
      </c>
      <c r="AF64" s="142">
        <v>0</v>
      </c>
      <c r="AG64" s="142">
        <v>7</v>
      </c>
      <c r="AH64" s="142">
        <v>14</v>
      </c>
      <c r="AI64" s="5"/>
      <c r="AJ64" s="157" t="str">
        <v>J</v>
      </c>
      <c r="AK64" s="142">
        <v>6</v>
      </c>
      <c r="AL64" s="142">
        <v>8</v>
      </c>
      <c r="AM64" s="142">
        <v>0</v>
      </c>
      <c r="AN64" s="142">
        <v>7</v>
      </c>
      <c r="AO64" s="142">
        <v>14</v>
      </c>
    </row>
    <row r="65" spans="10:41" ht="16.5" customHeight="1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7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7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7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7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7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7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7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7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7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134</v>
      </c>
      <c r="L116" s="16" t="s">
        <v>92</v>
      </c>
      <c r="M116" s="16" t="s">
        <v>220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12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37</v>
      </c>
      <c r="L160" s="16" t="s">
        <v>19</v>
      </c>
      <c r="M160" s="16" t="s">
        <v>220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12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19</v>
      </c>
      <c r="M172" s="16" t="s">
        <v>220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12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7" priority="35">
      <formula>_xlfn.LET(_xlpm.x, W4, AND(NOT(_xlfn.ISFORMULA(_xlpm.x)), _xlpm.x&lt;&gt;""))</formula>
    </cfRule>
  </conditionalFormatting>
  <conditionalFormatting sqref="W4:AA203">
    <cfRule type="expression" dxfId="76" priority="30">
      <formula>_xlfn.LET(_xlpm.x, W4, AND(NOT(_xlfn.ISFORMULA(_xlpm.x)), _xlpm.x&lt;&gt;""))</formula>
    </cfRule>
  </conditionalFormatting>
  <conditionalFormatting sqref="K1:O115 K117:O159 K116:L116 N116:O116 K161:O171 K160:L160 N160:O160 K173:O1048576 K172:L172 N172:O172">
    <cfRule type="cellIs" dxfId="75" priority="26" operator="equal">
      <formula>"C1"</formula>
    </cfRule>
    <cfRule type="cellIs" dxfId="74" priority="27" operator="between">
      <formula>"G1"</formula>
      <formula>"G5"</formula>
    </cfRule>
    <cfRule type="cellIs" dxfId="73" priority="28" operator="between">
      <formula>"GA"</formula>
      <formula>"GJ"</formula>
    </cfRule>
    <cfRule type="cellIs" dxfId="72" priority="29" operator="between">
      <formula>"M1"</formula>
      <formula>"M5"</formula>
    </cfRule>
  </conditionalFormatting>
  <conditionalFormatting sqref="C31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{A05AF7FA-9932-4F77-B15A-C9BC5BDEFB1D}</x14:id>
        </ext>
      </extLst>
    </cfRule>
  </conditionalFormatting>
  <conditionalFormatting sqref="D52:D54">
    <cfRule type="cellIs" dxfId="71" priority="21" operator="equal">
      <formula>"C1"</formula>
    </cfRule>
    <cfRule type="cellIs" dxfId="70" priority="22" operator="between">
      <formula>"G1"</formula>
      <formula>"G4"</formula>
    </cfRule>
    <cfRule type="cellIs" dxfId="69" priority="23" operator="between">
      <formula>"GA"</formula>
      <formula>"GQ"</formula>
    </cfRule>
    <cfRule type="cellIs" dxfId="68" priority="24" operator="between">
      <formula>"M1"</formula>
      <formula>"M4"</formula>
    </cfRule>
  </conditionalFormatting>
  <conditionalFormatting sqref="E52:E54">
    <cfRule type="cellIs" dxfId="67" priority="17" operator="equal">
      <formula>"C1"</formula>
    </cfRule>
    <cfRule type="cellIs" dxfId="66" priority="18" operator="between">
      <formula>"G1"</formula>
      <formula>"G4"</formula>
    </cfRule>
    <cfRule type="cellIs" dxfId="65" priority="19" operator="between">
      <formula>"GA"</formula>
      <formula>"GQ"</formula>
    </cfRule>
    <cfRule type="cellIs" dxfId="64" priority="20" operator="between">
      <formula>"M1"</formula>
      <formula>"M4"</formula>
    </cfRule>
  </conditionalFormatting>
  <conditionalFormatting sqref="F52:F54">
    <cfRule type="cellIs" dxfId="63" priority="13" operator="equal">
      <formula>"C1"</formula>
    </cfRule>
    <cfRule type="cellIs" dxfId="62" priority="14" operator="between">
      <formula>"G1"</formula>
      <formula>"G4"</formula>
    </cfRule>
    <cfRule type="cellIs" dxfId="61" priority="15" operator="between">
      <formula>"GA"</formula>
      <formula>"GQ"</formula>
    </cfRule>
    <cfRule type="cellIs" dxfId="60" priority="16" operator="between">
      <formula>"M1"</formula>
      <formula>"M4"</formula>
    </cfRule>
  </conditionalFormatting>
  <conditionalFormatting sqref="M116">
    <cfRule type="cellIs" dxfId="59" priority="9" operator="equal">
      <formula>"C1"</formula>
    </cfRule>
    <cfRule type="cellIs" dxfId="58" priority="10" operator="between">
      <formula>"G1"</formula>
      <formula>"G5"</formula>
    </cfRule>
    <cfRule type="cellIs" dxfId="57" priority="11" operator="between">
      <formula>"GA"</formula>
      <formula>"GJ"</formula>
    </cfRule>
    <cfRule type="cellIs" dxfId="56" priority="12" operator="between">
      <formula>"M1"</formula>
      <formula>"M5"</formula>
    </cfRule>
  </conditionalFormatting>
  <conditionalFormatting sqref="M160">
    <cfRule type="cellIs" dxfId="55" priority="5" operator="equal">
      <formula>"C1"</formula>
    </cfRule>
    <cfRule type="cellIs" dxfId="54" priority="6" operator="between">
      <formula>"G1"</formula>
      <formula>"G5"</formula>
    </cfRule>
    <cfRule type="cellIs" dxfId="53" priority="7" operator="between">
      <formula>"GA"</formula>
      <formula>"GJ"</formula>
    </cfRule>
    <cfRule type="cellIs" dxfId="52" priority="8" operator="between">
      <formula>"M1"</formula>
      <formula>"M5"</formula>
    </cfRule>
  </conditionalFormatting>
  <conditionalFormatting sqref="M172">
    <cfRule type="cellIs" dxfId="51" priority="1" operator="equal">
      <formula>"C1"</formula>
    </cfRule>
    <cfRule type="cellIs" dxfId="50" priority="2" operator="between">
      <formula>"G1"</formula>
      <formula>"G5"</formula>
    </cfRule>
    <cfRule type="cellIs" dxfId="49" priority="3" operator="between">
      <formula>"GA"</formula>
      <formula>"GJ"</formula>
    </cfRule>
    <cfRule type="cellIs" dxfId="4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5AF7FA-9932-4F77-B15A-C9BC5BDEFB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F26" sqref="F2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0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>
      <c r="A6" s="142" t="str">
        <v>M1</v>
      </c>
      <c r="B6" s="118" t="str">
        <v>M1</v>
      </c>
      <c r="C6" s="142">
        <f t="shared" si="0"/>
        <v>3</v>
      </c>
      <c r="D6" s="142">
        <f t="shared" si="0"/>
        <v>10</v>
      </c>
      <c r="E6" s="142">
        <f t="shared" si="0"/>
        <v>0</v>
      </c>
      <c r="F6" s="142">
        <f t="shared" si="0"/>
        <v>3</v>
      </c>
      <c r="G6" s="142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>
      <c r="A7" s="142" t="str">
        <v>M2</v>
      </c>
      <c r="B7" s="118" t="str">
        <v>M2</v>
      </c>
      <c r="C7" s="142">
        <f t="shared" si="0"/>
        <v>3</v>
      </c>
      <c r="D7" s="142">
        <f t="shared" si="0"/>
        <v>13</v>
      </c>
      <c r="E7" s="142">
        <f t="shared" si="0"/>
        <v>0</v>
      </c>
      <c r="F7" s="142">
        <f t="shared" si="0"/>
        <v>3</v>
      </c>
      <c r="G7" s="142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1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1</v>
      </c>
      <c r="AN7" s="147">
        <v>1</v>
      </c>
      <c r="AO7" s="147">
        <v>1</v>
      </c>
    </row>
    <row r="8" spans="1:41" ht="15.9" customHeight="1">
      <c r="A8" s="142" t="str">
        <v>M3</v>
      </c>
      <c r="B8" s="118" t="str">
        <v>M3</v>
      </c>
      <c r="C8" s="142">
        <f t="shared" si="0"/>
        <v>7</v>
      </c>
      <c r="D8" s="142">
        <f t="shared" si="0"/>
        <v>14</v>
      </c>
      <c r="E8" s="142">
        <f t="shared" si="0"/>
        <v>0</v>
      </c>
      <c r="F8" s="142">
        <f t="shared" si="0"/>
        <v>7</v>
      </c>
      <c r="G8" s="142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3</v>
      </c>
      <c r="AE8" s="142">
        <v>10</v>
      </c>
      <c r="AF8" s="142">
        <v>0</v>
      </c>
      <c r="AG8" s="142">
        <v>3</v>
      </c>
      <c r="AH8" s="142">
        <v>9</v>
      </c>
      <c r="AI8" s="5"/>
      <c r="AJ8" s="157" t="str">
        <v>M1</v>
      </c>
      <c r="AK8" s="142">
        <v>3</v>
      </c>
      <c r="AL8" s="142">
        <v>10</v>
      </c>
      <c r="AM8" s="142">
        <v>0</v>
      </c>
      <c r="AN8" s="142">
        <v>3</v>
      </c>
      <c r="AO8" s="142">
        <v>9</v>
      </c>
    </row>
    <row r="9" spans="1:41" ht="15.9" customHeight="1">
      <c r="A9" s="142" t="str">
        <v>M4</v>
      </c>
      <c r="B9" s="118" t="str">
        <v>M4</v>
      </c>
      <c r="C9" s="142">
        <f t="shared" si="0"/>
        <v>42</v>
      </c>
      <c r="D9" s="142">
        <f t="shared" si="0"/>
        <v>25</v>
      </c>
      <c r="E9" s="142">
        <f t="shared" si="0"/>
        <v>0</v>
      </c>
      <c r="F9" s="142">
        <f t="shared" si="0"/>
        <v>33</v>
      </c>
      <c r="G9" s="142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220</v>
      </c>
      <c r="N9" s="16" t="s">
        <v>135</v>
      </c>
      <c r="O9" s="16" t="s">
        <v>18</v>
      </c>
      <c r="Q9" s="9">
        <v>5</v>
      </c>
      <c r="R9" s="9">
        <v>9</v>
      </c>
      <c r="S9" s="9">
        <v>12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3</v>
      </c>
      <c r="AE9" s="142">
        <v>13</v>
      </c>
      <c r="AF9" s="142">
        <v>0</v>
      </c>
      <c r="AG9" s="142">
        <v>3</v>
      </c>
      <c r="AH9" s="142">
        <v>8</v>
      </c>
      <c r="AI9" s="5"/>
      <c r="AJ9" s="157" t="str">
        <v>M2</v>
      </c>
      <c r="AK9" s="142">
        <v>3</v>
      </c>
      <c r="AL9" s="142">
        <v>13</v>
      </c>
      <c r="AM9" s="142">
        <v>0</v>
      </c>
      <c r="AN9" s="142">
        <v>3</v>
      </c>
      <c r="AO9" s="142">
        <v>8</v>
      </c>
    </row>
    <row r="10" spans="1:41" ht="15.9" customHeight="1">
      <c r="A10" s="142" t="str">
        <v>M5</v>
      </c>
      <c r="B10" s="118" t="str">
        <v>M5</v>
      </c>
      <c r="C10" s="142">
        <f t="shared" si="0"/>
        <v>42</v>
      </c>
      <c r="D10" s="142">
        <f t="shared" si="0"/>
        <v>25</v>
      </c>
      <c r="E10" s="142">
        <f t="shared" si="0"/>
        <v>0</v>
      </c>
      <c r="F10" s="142">
        <f t="shared" si="0"/>
        <v>34</v>
      </c>
      <c r="G10" s="142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7</v>
      </c>
      <c r="AE10" s="142">
        <v>14</v>
      </c>
      <c r="AF10" s="142">
        <v>0</v>
      </c>
      <c r="AG10" s="142">
        <v>7</v>
      </c>
      <c r="AH10" s="142">
        <v>14</v>
      </c>
      <c r="AI10" s="5"/>
      <c r="AJ10" s="157" t="str">
        <v>M3</v>
      </c>
      <c r="AK10" s="142">
        <v>7</v>
      </c>
      <c r="AL10" s="142">
        <v>14</v>
      </c>
      <c r="AM10" s="142">
        <v>0</v>
      </c>
      <c r="AN10" s="142">
        <v>7</v>
      </c>
      <c r="AO10" s="142">
        <v>14</v>
      </c>
    </row>
    <row r="11" spans="1:41" ht="15.9" customHeight="1">
      <c r="A11" s="142" t="str">
        <v>A</v>
      </c>
      <c r="B11" s="118" t="str">
        <v>A</v>
      </c>
      <c r="C11" s="142">
        <f t="shared" si="0"/>
        <v>42</v>
      </c>
      <c r="D11" s="142">
        <f t="shared" si="0"/>
        <v>29</v>
      </c>
      <c r="E11" s="142">
        <f t="shared" si="0"/>
        <v>0</v>
      </c>
      <c r="F11" s="142">
        <f t="shared" si="0"/>
        <v>33</v>
      </c>
      <c r="G11" s="142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42</v>
      </c>
      <c r="AE11" s="142">
        <v>25</v>
      </c>
      <c r="AF11" s="142">
        <v>0</v>
      </c>
      <c r="AG11" s="142">
        <v>33</v>
      </c>
      <c r="AH11" s="142">
        <v>34</v>
      </c>
      <c r="AI11" s="5"/>
      <c r="AJ11" s="157" t="str">
        <v>M4</v>
      </c>
      <c r="AK11" s="142">
        <v>42</v>
      </c>
      <c r="AL11" s="142">
        <v>25</v>
      </c>
      <c r="AM11" s="142">
        <v>0</v>
      </c>
      <c r="AN11" s="142">
        <v>33</v>
      </c>
      <c r="AO11" s="142">
        <v>34</v>
      </c>
    </row>
    <row r="12" spans="1:41" ht="15.9" customHeight="1">
      <c r="A12" s="142" t="str">
        <v>K</v>
      </c>
      <c r="B12" s="118" t="str">
        <v>K</v>
      </c>
      <c r="C12" s="142">
        <f t="shared" si="0"/>
        <v>43</v>
      </c>
      <c r="D12" s="142">
        <f t="shared" si="0"/>
        <v>26</v>
      </c>
      <c r="E12" s="142">
        <f t="shared" si="0"/>
        <v>0</v>
      </c>
      <c r="F12" s="142">
        <f t="shared" si="0"/>
        <v>34</v>
      </c>
      <c r="G12" s="142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42</v>
      </c>
      <c r="AE12" s="142">
        <v>25</v>
      </c>
      <c r="AF12" s="142">
        <v>0</v>
      </c>
      <c r="AG12" s="142">
        <v>34</v>
      </c>
      <c r="AH12" s="142">
        <v>34</v>
      </c>
      <c r="AI12" s="5"/>
      <c r="AJ12" s="157" t="str">
        <v>M5</v>
      </c>
      <c r="AK12" s="142">
        <v>42</v>
      </c>
      <c r="AL12" s="142">
        <v>25</v>
      </c>
      <c r="AM12" s="142">
        <v>0</v>
      </c>
      <c r="AN12" s="142">
        <v>34</v>
      </c>
      <c r="AO12" s="142">
        <v>34</v>
      </c>
    </row>
    <row r="13" spans="1:41" ht="15.9" customHeight="1">
      <c r="A13" s="142" t="str">
        <v>Q</v>
      </c>
      <c r="B13" s="118" t="str">
        <v>Q</v>
      </c>
      <c r="C13" s="142">
        <f t="shared" si="0"/>
        <v>7</v>
      </c>
      <c r="D13" s="142">
        <f t="shared" si="0"/>
        <v>13</v>
      </c>
      <c r="E13" s="142">
        <f t="shared" si="0"/>
        <v>0</v>
      </c>
      <c r="F13" s="142">
        <f t="shared" si="0"/>
        <v>6</v>
      </c>
      <c r="G13" s="142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42</v>
      </c>
      <c r="AE13" s="142">
        <v>29</v>
      </c>
      <c r="AF13" s="142">
        <v>0</v>
      </c>
      <c r="AG13" s="142">
        <v>33</v>
      </c>
      <c r="AH13" s="142">
        <v>33</v>
      </c>
      <c r="AI13" s="5"/>
      <c r="AJ13" s="157" t="str">
        <v>A</v>
      </c>
      <c r="AK13" s="142">
        <v>42</v>
      </c>
      <c r="AL13" s="142">
        <v>29</v>
      </c>
      <c r="AM13" s="142">
        <v>0</v>
      </c>
      <c r="AN13" s="142">
        <v>33</v>
      </c>
      <c r="AO13" s="142">
        <v>33</v>
      </c>
    </row>
    <row r="14" spans="1:41" ht="15.9" customHeight="1">
      <c r="A14" s="142" t="str">
        <v>J</v>
      </c>
      <c r="B14" s="118" t="str">
        <v>J</v>
      </c>
      <c r="C14" s="142">
        <f t="shared" si="0"/>
        <v>6</v>
      </c>
      <c r="D14" s="142">
        <f t="shared" si="0"/>
        <v>8</v>
      </c>
      <c r="E14" s="142">
        <f t="shared" si="0"/>
        <v>0</v>
      </c>
      <c r="F14" s="142">
        <f t="shared" si="0"/>
        <v>7</v>
      </c>
      <c r="G14" s="142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43</v>
      </c>
      <c r="AE14" s="142">
        <v>26</v>
      </c>
      <c r="AF14" s="142">
        <v>0</v>
      </c>
      <c r="AG14" s="142">
        <v>34</v>
      </c>
      <c r="AH14" s="142">
        <v>33</v>
      </c>
      <c r="AI14" s="5"/>
      <c r="AJ14" s="157" t="str">
        <v>K</v>
      </c>
      <c r="AK14" s="142">
        <v>43</v>
      </c>
      <c r="AL14" s="142">
        <v>26</v>
      </c>
      <c r="AM14" s="142">
        <v>0</v>
      </c>
      <c r="AN14" s="142">
        <v>34</v>
      </c>
      <c r="AO14" s="142">
        <v>33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5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7</v>
      </c>
      <c r="AE15" s="142">
        <v>13</v>
      </c>
      <c r="AF15" s="142">
        <v>0</v>
      </c>
      <c r="AG15" s="142">
        <v>6</v>
      </c>
      <c r="AH15" s="142">
        <v>13</v>
      </c>
      <c r="AI15" s="5"/>
      <c r="AJ15" s="157" t="str">
        <v>Q</v>
      </c>
      <c r="AK15" s="142">
        <v>7</v>
      </c>
      <c r="AL15" s="142">
        <v>13</v>
      </c>
      <c r="AM15" s="142">
        <v>0</v>
      </c>
      <c r="AN15" s="142">
        <v>6</v>
      </c>
      <c r="AO15" s="142">
        <v>13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4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6</v>
      </c>
      <c r="AE16" s="142">
        <v>8</v>
      </c>
      <c r="AF16" s="142">
        <v>0</v>
      </c>
      <c r="AG16" s="142">
        <v>7</v>
      </c>
      <c r="AH16" s="142">
        <v>14</v>
      </c>
      <c r="AI16" s="5"/>
      <c r="AJ16" s="157" t="str">
        <v>J</v>
      </c>
      <c r="AK16" s="142">
        <v>6</v>
      </c>
      <c r="AL16" s="142">
        <v>8</v>
      </c>
      <c r="AM16" s="142">
        <v>0</v>
      </c>
      <c r="AN16" s="142">
        <v>7</v>
      </c>
      <c r="AO16" s="142">
        <v>14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7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7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7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7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7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7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7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7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7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>
      <c r="B26" s="5" t="s">
        <v>219</v>
      </c>
      <c r="C26" s="173">
        <f>SUM(C4:C14)/C24</f>
        <v>1</v>
      </c>
      <c r="D26" s="173">
        <f>SUM(D4:D14)/D24</f>
        <v>0.84</v>
      </c>
      <c r="E26" s="173">
        <f>SUM(E4:E14)/E24</f>
        <v>0</v>
      </c>
      <c r="F26" s="173">
        <f>SUM(F4:F14)/F24</f>
        <v>0.84</v>
      </c>
      <c r="G26" s="173">
        <f>SUM(G4:G14)/G24</f>
        <v>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>
      <c r="B27" s="5" t="s">
        <v>218</v>
      </c>
      <c r="C27" s="173">
        <f>SUM(C15:C23)/C24</f>
        <v>0</v>
      </c>
      <c r="D27" s="173">
        <f>SUM(D15:D23)/D24</f>
        <v>0.16</v>
      </c>
      <c r="E27" s="173">
        <f>SUM(E15:E23)/E24</f>
        <v>1</v>
      </c>
      <c r="F27" s="173">
        <f>SUM(F15:F23)/F24</f>
        <v>0.16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3</v>
      </c>
      <c r="AE32" s="142">
        <v>10</v>
      </c>
      <c r="AF32" s="142">
        <v>0</v>
      </c>
      <c r="AG32" s="142">
        <v>3</v>
      </c>
      <c r="AH32" s="142">
        <v>9</v>
      </c>
      <c r="AI32" s="5"/>
      <c r="AJ32" s="157" t="str">
        <v>M1</v>
      </c>
      <c r="AK32" s="142">
        <v>3</v>
      </c>
      <c r="AL32" s="142">
        <v>10</v>
      </c>
      <c r="AM32" s="142">
        <v>0</v>
      </c>
      <c r="AN32" s="142">
        <v>3</v>
      </c>
      <c r="AO32" s="142">
        <v>9</v>
      </c>
    </row>
    <row r="33" spans="10:41" ht="16.5" customHeight="1"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3</v>
      </c>
      <c r="AE33" s="142">
        <v>13</v>
      </c>
      <c r="AF33" s="142">
        <v>0</v>
      </c>
      <c r="AG33" s="142">
        <v>3</v>
      </c>
      <c r="AH33" s="142">
        <v>8</v>
      </c>
      <c r="AI33" s="5"/>
      <c r="AJ33" s="157" t="str">
        <v>M2</v>
      </c>
      <c r="AK33" s="142">
        <v>3</v>
      </c>
      <c r="AL33" s="142">
        <v>13</v>
      </c>
      <c r="AM33" s="142">
        <v>0</v>
      </c>
      <c r="AN33" s="142">
        <v>3</v>
      </c>
      <c r="AO33" s="142">
        <v>8</v>
      </c>
    </row>
    <row r="34" spans="10:41" ht="16.5" customHeight="1"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7</v>
      </c>
      <c r="AE34" s="142">
        <v>14</v>
      </c>
      <c r="AF34" s="142">
        <v>0</v>
      </c>
      <c r="AG34" s="142">
        <v>7</v>
      </c>
      <c r="AH34" s="142">
        <v>14</v>
      </c>
      <c r="AI34" s="5"/>
      <c r="AJ34" s="157" t="str">
        <v>M3</v>
      </c>
      <c r="AK34" s="142">
        <v>7</v>
      </c>
      <c r="AL34" s="142">
        <v>14</v>
      </c>
      <c r="AM34" s="142">
        <v>0</v>
      </c>
      <c r="AN34" s="142">
        <v>7</v>
      </c>
      <c r="AO34" s="142">
        <v>14</v>
      </c>
    </row>
    <row r="35" spans="10:41" ht="16.5" customHeight="1"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42</v>
      </c>
      <c r="AE35" s="142">
        <v>25</v>
      </c>
      <c r="AF35" s="142">
        <v>0</v>
      </c>
      <c r="AG35" s="142">
        <v>33</v>
      </c>
      <c r="AH35" s="142">
        <v>34</v>
      </c>
      <c r="AI35" s="5"/>
      <c r="AJ35" s="157" t="str">
        <v>M4</v>
      </c>
      <c r="AK35" s="142">
        <v>42</v>
      </c>
      <c r="AL35" s="142">
        <v>25</v>
      </c>
      <c r="AM35" s="142">
        <v>0</v>
      </c>
      <c r="AN35" s="142">
        <v>33</v>
      </c>
      <c r="AO35" s="142">
        <v>34</v>
      </c>
    </row>
    <row r="36" spans="10:41" ht="16.5" customHeight="1"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42</v>
      </c>
      <c r="AE36" s="142">
        <v>25</v>
      </c>
      <c r="AF36" s="142">
        <v>0</v>
      </c>
      <c r="AG36" s="142">
        <v>34</v>
      </c>
      <c r="AH36" s="142">
        <v>34</v>
      </c>
      <c r="AI36" s="5"/>
      <c r="AJ36" s="157" t="str">
        <v>M5</v>
      </c>
      <c r="AK36" s="142">
        <v>42</v>
      </c>
      <c r="AL36" s="142">
        <v>25</v>
      </c>
      <c r="AM36" s="142">
        <v>0</v>
      </c>
      <c r="AN36" s="142">
        <v>34</v>
      </c>
      <c r="AO36" s="142">
        <v>34</v>
      </c>
    </row>
    <row r="37" spans="10:41" ht="16.5" customHeight="1"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42</v>
      </c>
      <c r="AE37" s="142">
        <v>29</v>
      </c>
      <c r="AF37" s="142">
        <v>0</v>
      </c>
      <c r="AG37" s="142">
        <v>33</v>
      </c>
      <c r="AH37" s="142">
        <v>33</v>
      </c>
      <c r="AI37" s="5"/>
      <c r="AJ37" s="157" t="str">
        <v>A</v>
      </c>
      <c r="AK37" s="142">
        <v>42</v>
      </c>
      <c r="AL37" s="142">
        <v>29</v>
      </c>
      <c r="AM37" s="142">
        <v>0</v>
      </c>
      <c r="AN37" s="142">
        <v>33</v>
      </c>
      <c r="AO37" s="142">
        <v>33</v>
      </c>
    </row>
    <row r="38" spans="10:41" ht="16.5" customHeight="1"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43</v>
      </c>
      <c r="AE38" s="142">
        <v>26</v>
      </c>
      <c r="AF38" s="142">
        <v>0</v>
      </c>
      <c r="AG38" s="142">
        <v>34</v>
      </c>
      <c r="AH38" s="142">
        <v>33</v>
      </c>
      <c r="AI38" s="5"/>
      <c r="AJ38" s="157" t="str">
        <v>K</v>
      </c>
      <c r="AK38" s="142">
        <v>43</v>
      </c>
      <c r="AL38" s="142">
        <v>26</v>
      </c>
      <c r="AM38" s="142">
        <v>0</v>
      </c>
      <c r="AN38" s="142">
        <v>34</v>
      </c>
      <c r="AO38" s="142">
        <v>33</v>
      </c>
    </row>
    <row r="39" spans="10:41" ht="16.5" customHeight="1"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7</v>
      </c>
      <c r="AE39" s="142">
        <v>13</v>
      </c>
      <c r="AF39" s="142">
        <v>0</v>
      </c>
      <c r="AG39" s="142">
        <v>6</v>
      </c>
      <c r="AH39" s="142">
        <v>13</v>
      </c>
      <c r="AI39" s="5"/>
      <c r="AJ39" s="157" t="str">
        <v>Q</v>
      </c>
      <c r="AK39" s="142">
        <v>7</v>
      </c>
      <c r="AL39" s="142">
        <v>13</v>
      </c>
      <c r="AM39" s="142">
        <v>0</v>
      </c>
      <c r="AN39" s="142">
        <v>6</v>
      </c>
      <c r="AO39" s="142">
        <v>13</v>
      </c>
    </row>
    <row r="40" spans="10:41" ht="16.5" customHeight="1">
      <c r="J40" s="25">
        <v>36</v>
      </c>
      <c r="K40" s="16" t="s">
        <v>37</v>
      </c>
      <c r="L40" s="16" t="s">
        <v>35</v>
      </c>
      <c r="M40" s="16" t="s">
        <v>220</v>
      </c>
      <c r="N40" s="16" t="s">
        <v>134</v>
      </c>
      <c r="O40" s="16" t="s">
        <v>35</v>
      </c>
      <c r="Q40" s="9">
        <v>7</v>
      </c>
      <c r="R40" s="9">
        <v>8</v>
      </c>
      <c r="S40" s="9">
        <v>12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6</v>
      </c>
      <c r="AE40" s="142">
        <v>8</v>
      </c>
      <c r="AF40" s="142">
        <v>0</v>
      </c>
      <c r="AG40" s="142">
        <v>7</v>
      </c>
      <c r="AH40" s="142">
        <v>14</v>
      </c>
      <c r="AI40" s="5"/>
      <c r="AJ40" s="157" t="str">
        <v>J</v>
      </c>
      <c r="AK40" s="142">
        <v>6</v>
      </c>
      <c r="AL40" s="142">
        <v>8</v>
      </c>
      <c r="AM40" s="142">
        <v>0</v>
      </c>
      <c r="AN40" s="142">
        <v>7</v>
      </c>
      <c r="AO40" s="142">
        <v>14</v>
      </c>
    </row>
    <row r="41" spans="10:41" ht="16.5" customHeight="1"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7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0:41" ht="16.5" customHeight="1"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7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0:41" ht="16.5" customHeight="1"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7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0:41" ht="16.5" customHeight="1"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7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0:41" ht="16.5" customHeight="1"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7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0:41" ht="16.5" customHeight="1"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7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0:41" ht="16.5" customHeight="1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7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0:41" ht="16.5" customHeight="1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7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7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3</v>
      </c>
      <c r="AE56" s="142">
        <v>10</v>
      </c>
      <c r="AF56" s="142">
        <v>0</v>
      </c>
      <c r="AG56" s="142">
        <v>3</v>
      </c>
      <c r="AH56" s="142">
        <v>9</v>
      </c>
      <c r="AI56" s="5"/>
      <c r="AJ56" s="157" t="str">
        <v>M1</v>
      </c>
      <c r="AK56" s="142">
        <v>3</v>
      </c>
      <c r="AL56" s="142">
        <v>10</v>
      </c>
      <c r="AM56" s="142">
        <v>0</v>
      </c>
      <c r="AN56" s="142">
        <v>3</v>
      </c>
      <c r="AO56" s="142">
        <v>9</v>
      </c>
    </row>
    <row r="57" spans="10:41" ht="16.5" customHeight="1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3</v>
      </c>
      <c r="AE57" s="142">
        <v>13</v>
      </c>
      <c r="AF57" s="142">
        <v>0</v>
      </c>
      <c r="AG57" s="142">
        <v>3</v>
      </c>
      <c r="AH57" s="142">
        <v>8</v>
      </c>
      <c r="AI57" s="5"/>
      <c r="AJ57" s="157" t="str">
        <v>M2</v>
      </c>
      <c r="AK57" s="142">
        <v>3</v>
      </c>
      <c r="AL57" s="142">
        <v>13</v>
      </c>
      <c r="AM57" s="142">
        <v>0</v>
      </c>
      <c r="AN57" s="142">
        <v>3</v>
      </c>
      <c r="AO57" s="142">
        <v>8</v>
      </c>
    </row>
    <row r="58" spans="10:41" ht="16.5" customHeight="1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7</v>
      </c>
      <c r="AE58" s="142">
        <v>14</v>
      </c>
      <c r="AF58" s="142">
        <v>0</v>
      </c>
      <c r="AG58" s="142">
        <v>7</v>
      </c>
      <c r="AH58" s="142">
        <v>14</v>
      </c>
      <c r="AI58" s="5"/>
      <c r="AJ58" s="157" t="str">
        <v>M3</v>
      </c>
      <c r="AK58" s="142">
        <v>7</v>
      </c>
      <c r="AL58" s="142">
        <v>14</v>
      </c>
      <c r="AM58" s="142">
        <v>0</v>
      </c>
      <c r="AN58" s="142">
        <v>7</v>
      </c>
      <c r="AO58" s="142">
        <v>14</v>
      </c>
    </row>
    <row r="59" spans="10:41" ht="16.5" customHeight="1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42</v>
      </c>
      <c r="AE59" s="142">
        <v>25</v>
      </c>
      <c r="AF59" s="142">
        <v>0</v>
      </c>
      <c r="AG59" s="142">
        <v>33</v>
      </c>
      <c r="AH59" s="142">
        <v>34</v>
      </c>
      <c r="AI59" s="5"/>
      <c r="AJ59" s="157" t="str">
        <v>M4</v>
      </c>
      <c r="AK59" s="142">
        <v>42</v>
      </c>
      <c r="AL59" s="142">
        <v>25</v>
      </c>
      <c r="AM59" s="142">
        <v>0</v>
      </c>
      <c r="AN59" s="142">
        <v>33</v>
      </c>
      <c r="AO59" s="142">
        <v>34</v>
      </c>
    </row>
    <row r="60" spans="10:41" ht="16.5" customHeight="1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42</v>
      </c>
      <c r="AE60" s="142">
        <v>25</v>
      </c>
      <c r="AF60" s="142">
        <v>0</v>
      </c>
      <c r="AG60" s="142">
        <v>34</v>
      </c>
      <c r="AH60" s="142">
        <v>34</v>
      </c>
      <c r="AI60" s="5"/>
      <c r="AJ60" s="157" t="str">
        <v>M5</v>
      </c>
      <c r="AK60" s="142">
        <v>42</v>
      </c>
      <c r="AL60" s="142">
        <v>25</v>
      </c>
      <c r="AM60" s="142">
        <v>0</v>
      </c>
      <c r="AN60" s="142">
        <v>34</v>
      </c>
      <c r="AO60" s="142">
        <v>34</v>
      </c>
    </row>
    <row r="61" spans="10:41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42</v>
      </c>
      <c r="AE61" s="142">
        <v>29</v>
      </c>
      <c r="AF61" s="142">
        <v>0</v>
      </c>
      <c r="AG61" s="142">
        <v>33</v>
      </c>
      <c r="AH61" s="142">
        <v>33</v>
      </c>
      <c r="AI61" s="5"/>
      <c r="AJ61" s="157" t="str">
        <v>A</v>
      </c>
      <c r="AK61" s="142">
        <v>42</v>
      </c>
      <c r="AL61" s="142">
        <v>29</v>
      </c>
      <c r="AM61" s="142">
        <v>0</v>
      </c>
      <c r="AN61" s="142">
        <v>33</v>
      </c>
      <c r="AO61" s="142">
        <v>33</v>
      </c>
    </row>
    <row r="62" spans="10:41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43</v>
      </c>
      <c r="AE62" s="142">
        <v>26</v>
      </c>
      <c r="AF62" s="142">
        <v>0</v>
      </c>
      <c r="AG62" s="142">
        <v>34</v>
      </c>
      <c r="AH62" s="142">
        <v>33</v>
      </c>
      <c r="AI62" s="5"/>
      <c r="AJ62" s="157" t="str">
        <v>K</v>
      </c>
      <c r="AK62" s="142">
        <v>43</v>
      </c>
      <c r="AL62" s="142">
        <v>26</v>
      </c>
      <c r="AM62" s="142">
        <v>0</v>
      </c>
      <c r="AN62" s="142">
        <v>34</v>
      </c>
      <c r="AO62" s="142">
        <v>33</v>
      </c>
    </row>
    <row r="63" spans="10:41" ht="16.5" customHeight="1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7</v>
      </c>
      <c r="AE63" s="142">
        <v>13</v>
      </c>
      <c r="AF63" s="142">
        <v>0</v>
      </c>
      <c r="AG63" s="142">
        <v>6</v>
      </c>
      <c r="AH63" s="142">
        <v>13</v>
      </c>
      <c r="AI63" s="5"/>
      <c r="AJ63" s="157" t="str">
        <v>Q</v>
      </c>
      <c r="AK63" s="142">
        <v>7</v>
      </c>
      <c r="AL63" s="142">
        <v>13</v>
      </c>
      <c r="AM63" s="142">
        <v>0</v>
      </c>
      <c r="AN63" s="142">
        <v>6</v>
      </c>
      <c r="AO63" s="142">
        <v>13</v>
      </c>
    </row>
    <row r="64" spans="10:41" ht="16.5" customHeight="1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6</v>
      </c>
      <c r="AE64" s="142">
        <v>8</v>
      </c>
      <c r="AF64" s="142">
        <v>0</v>
      </c>
      <c r="AG64" s="142">
        <v>7</v>
      </c>
      <c r="AH64" s="142">
        <v>14</v>
      </c>
      <c r="AI64" s="5"/>
      <c r="AJ64" s="157" t="str">
        <v>J</v>
      </c>
      <c r="AK64" s="142">
        <v>6</v>
      </c>
      <c r="AL64" s="142">
        <v>8</v>
      </c>
      <c r="AM64" s="142">
        <v>0</v>
      </c>
      <c r="AN64" s="142">
        <v>7</v>
      </c>
      <c r="AO64" s="142">
        <v>14</v>
      </c>
    </row>
    <row r="65" spans="10:41" ht="16.5" customHeight="1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7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7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7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7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7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7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7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7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7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36</v>
      </c>
      <c r="L91" s="16" t="s">
        <v>90</v>
      </c>
      <c r="M91" s="16" t="s">
        <v>220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12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19</v>
      </c>
      <c r="L103" s="16" t="s">
        <v>134</v>
      </c>
      <c r="M103" s="16" t="s">
        <v>221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>
      <c r="J140" s="9">
        <v>136</v>
      </c>
      <c r="K140" s="16" t="s">
        <v>19</v>
      </c>
      <c r="L140" s="16" t="s">
        <v>19</v>
      </c>
      <c r="M140" s="16" t="s">
        <v>221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47" priority="35">
      <formula>_xlfn.LET(_xlpm.x, W4, AND(NOT(_xlfn.ISFORMULA(_xlpm.x)), _xlpm.x&lt;&gt;""))</formula>
    </cfRule>
  </conditionalFormatting>
  <conditionalFormatting sqref="W4:AA203">
    <cfRule type="expression" dxfId="46" priority="30">
      <formula>_xlfn.LET(_xlpm.x, W4, AND(NOT(_xlfn.ISFORMULA(_xlpm.x)), _xlpm.x&lt;&gt;""))</formula>
    </cfRule>
  </conditionalFormatting>
  <conditionalFormatting sqref="K1:O8 K10:O39 K9:L9 N9:O9 K41:O90 K40:L40 N40:O40 K91:L91 N91:O91 K92:O1048576">
    <cfRule type="cellIs" dxfId="45" priority="26" operator="equal">
      <formula>"C1"</formula>
    </cfRule>
    <cfRule type="cellIs" dxfId="44" priority="27" operator="between">
      <formula>"G1"</formula>
      <formula>"G5"</formula>
    </cfRule>
    <cfRule type="cellIs" dxfId="43" priority="28" operator="between">
      <formula>"GA"</formula>
      <formula>"GJ"</formula>
    </cfRule>
    <cfRule type="cellIs" dxfId="42" priority="29" operator="between">
      <formula>"M1"</formula>
      <formula>"M5"</formula>
    </cfRule>
  </conditionalFormatting>
  <conditionalFormatting sqref="C31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{46D34CE6-15B7-49B5-9867-BDF1B514DE29}</x14:id>
        </ext>
      </extLst>
    </cfRule>
  </conditionalFormatting>
  <conditionalFormatting sqref="D52:D54">
    <cfRule type="cellIs" dxfId="41" priority="21" operator="equal">
      <formula>"C1"</formula>
    </cfRule>
    <cfRule type="cellIs" dxfId="40" priority="22" operator="between">
      <formula>"G1"</formula>
      <formula>"G4"</formula>
    </cfRule>
    <cfRule type="cellIs" dxfId="39" priority="23" operator="between">
      <formula>"GA"</formula>
      <formula>"GQ"</formula>
    </cfRule>
    <cfRule type="cellIs" dxfId="38" priority="24" operator="between">
      <formula>"M1"</formula>
      <formula>"M4"</formula>
    </cfRule>
  </conditionalFormatting>
  <conditionalFormatting sqref="E52:E54">
    <cfRule type="cellIs" dxfId="37" priority="17" operator="equal">
      <formula>"C1"</formula>
    </cfRule>
    <cfRule type="cellIs" dxfId="36" priority="18" operator="between">
      <formula>"G1"</formula>
      <formula>"G4"</formula>
    </cfRule>
    <cfRule type="cellIs" dxfId="35" priority="19" operator="between">
      <formula>"GA"</formula>
      <formula>"GQ"</formula>
    </cfRule>
    <cfRule type="cellIs" dxfId="34" priority="20" operator="between">
      <formula>"M1"</formula>
      <formula>"M4"</formula>
    </cfRule>
  </conditionalFormatting>
  <conditionalFormatting sqref="F52:F54">
    <cfRule type="cellIs" dxfId="33" priority="13" operator="equal">
      <formula>"C1"</formula>
    </cfRule>
    <cfRule type="cellIs" dxfId="32" priority="14" operator="between">
      <formula>"G1"</formula>
      <formula>"G4"</formula>
    </cfRule>
    <cfRule type="cellIs" dxfId="31" priority="15" operator="between">
      <formula>"GA"</formula>
      <formula>"GQ"</formula>
    </cfRule>
    <cfRule type="cellIs" dxfId="30" priority="16" operator="between">
      <formula>"M1"</formula>
      <formula>"M4"</formula>
    </cfRule>
  </conditionalFormatting>
  <conditionalFormatting sqref="M9">
    <cfRule type="cellIs" dxfId="29" priority="9" operator="equal">
      <formula>"C1"</formula>
    </cfRule>
    <cfRule type="cellIs" dxfId="28" priority="10" operator="between">
      <formula>"G1"</formula>
      <formula>"G5"</formula>
    </cfRule>
    <cfRule type="cellIs" dxfId="27" priority="11" operator="between">
      <formula>"GA"</formula>
      <formula>"GJ"</formula>
    </cfRule>
    <cfRule type="cellIs" dxfId="26" priority="12" operator="between">
      <formula>"M1"</formula>
      <formula>"M5"</formula>
    </cfRule>
  </conditionalFormatting>
  <conditionalFormatting sqref="M40">
    <cfRule type="cellIs" dxfId="25" priority="5" operator="equal">
      <formula>"C1"</formula>
    </cfRule>
    <cfRule type="cellIs" dxfId="24" priority="6" operator="between">
      <formula>"G1"</formula>
      <formula>"G5"</formula>
    </cfRule>
    <cfRule type="cellIs" dxfId="23" priority="7" operator="between">
      <formula>"GA"</formula>
      <formula>"GJ"</formula>
    </cfRule>
    <cfRule type="cellIs" dxfId="22" priority="8" operator="between">
      <formula>"M1"</formula>
      <formula>"M5"</formula>
    </cfRule>
  </conditionalFormatting>
  <conditionalFormatting sqref="M91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D34CE6-15B7-49B5-9867-BDF1B514DE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A10" sqref="A1:H104857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4" width="11" style="5" bestFit="1" customWidth="1"/>
    <col min="5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>
      <c r="A6" s="142" t="str">
        <v>M1</v>
      </c>
      <c r="B6" s="118" t="str">
        <v>M1</v>
      </c>
      <c r="C6" s="142">
        <f t="shared" si="0"/>
        <v>16</v>
      </c>
      <c r="D6" s="142">
        <f t="shared" si="0"/>
        <v>8</v>
      </c>
      <c r="E6" s="142">
        <f t="shared" si="0"/>
        <v>9</v>
      </c>
      <c r="F6" s="142">
        <f t="shared" si="0"/>
        <v>3</v>
      </c>
      <c r="G6" s="142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>
      <c r="A7" s="142" t="str">
        <v>M2</v>
      </c>
      <c r="B7" s="118" t="str">
        <v>M2</v>
      </c>
      <c r="C7" s="142">
        <f t="shared" si="0"/>
        <v>16</v>
      </c>
      <c r="D7" s="142">
        <f t="shared" si="0"/>
        <v>10</v>
      </c>
      <c r="E7" s="142">
        <f t="shared" si="0"/>
        <v>11</v>
      </c>
      <c r="F7" s="142">
        <f t="shared" si="0"/>
        <v>5</v>
      </c>
      <c r="G7" s="142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1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1</v>
      </c>
      <c r="AN7" s="147">
        <v>1</v>
      </c>
      <c r="AO7" s="147">
        <v>1</v>
      </c>
    </row>
    <row r="8" spans="1:41" ht="15.9" customHeight="1">
      <c r="A8" s="142" t="str">
        <v>M3</v>
      </c>
      <c r="B8" s="118" t="str">
        <v>M3</v>
      </c>
      <c r="C8" s="142">
        <f t="shared" si="0"/>
        <v>8</v>
      </c>
      <c r="D8" s="142">
        <f t="shared" si="0"/>
        <v>10</v>
      </c>
      <c r="E8" s="142">
        <f t="shared" si="0"/>
        <v>8</v>
      </c>
      <c r="F8" s="142">
        <f t="shared" si="0"/>
        <v>11</v>
      </c>
      <c r="G8" s="142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58">
        <v>0</v>
      </c>
      <c r="AE8" s="158">
        <v>0</v>
      </c>
      <c r="AF8" s="158">
        <v>0</v>
      </c>
      <c r="AG8" s="158">
        <v>0</v>
      </c>
      <c r="AH8" s="158">
        <v>0</v>
      </c>
      <c r="AI8" s="5"/>
      <c r="AJ8" s="157" t="str">
        <v>M1</v>
      </c>
      <c r="AK8" s="158">
        <v>0</v>
      </c>
      <c r="AL8" s="158">
        <v>0</v>
      </c>
      <c r="AM8" s="158">
        <v>0</v>
      </c>
      <c r="AN8" s="158">
        <v>0</v>
      </c>
      <c r="AO8" s="158">
        <v>0</v>
      </c>
    </row>
    <row r="9" spans="1:41" ht="15.9" customHeight="1">
      <c r="A9" s="142" t="str">
        <v>M4</v>
      </c>
      <c r="B9" s="118" t="str">
        <v>M4</v>
      </c>
      <c r="C9" s="142">
        <f t="shared" si="0"/>
        <v>12</v>
      </c>
      <c r="D9" s="142">
        <f t="shared" si="0"/>
        <v>13</v>
      </c>
      <c r="E9" s="142">
        <f t="shared" si="0"/>
        <v>9</v>
      </c>
      <c r="F9" s="142">
        <f t="shared" si="0"/>
        <v>8</v>
      </c>
      <c r="G9" s="142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57">
        <v>15</v>
      </c>
      <c r="AE9" s="157">
        <v>53</v>
      </c>
      <c r="AF9" s="157">
        <v>5</v>
      </c>
      <c r="AG9" s="157">
        <v>48</v>
      </c>
      <c r="AH9" s="157">
        <v>58</v>
      </c>
      <c r="AI9" s="5"/>
      <c r="AJ9" s="157" t="str">
        <v>M2</v>
      </c>
      <c r="AK9" s="157">
        <v>15</v>
      </c>
      <c r="AL9" s="157">
        <v>53</v>
      </c>
      <c r="AM9" s="157">
        <v>5</v>
      </c>
      <c r="AN9" s="157">
        <v>48</v>
      </c>
      <c r="AO9" s="157">
        <v>58</v>
      </c>
    </row>
    <row r="10" spans="1:41" ht="15.9" customHeight="1">
      <c r="A10" s="142" t="str">
        <v>M5</v>
      </c>
      <c r="B10" s="118" t="str">
        <v>M5</v>
      </c>
      <c r="C10" s="142">
        <f t="shared" si="0"/>
        <v>0</v>
      </c>
      <c r="D10" s="142">
        <f t="shared" si="0"/>
        <v>0</v>
      </c>
      <c r="E10" s="142">
        <f t="shared" si="0"/>
        <v>0</v>
      </c>
      <c r="F10" s="142">
        <f t="shared" si="0"/>
        <v>0</v>
      </c>
      <c r="G10" s="142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57">
        <v>3</v>
      </c>
      <c r="AE10" s="157">
        <v>38</v>
      </c>
      <c r="AF10" s="157">
        <v>20</v>
      </c>
      <c r="AG10" s="157">
        <v>40</v>
      </c>
      <c r="AH10" s="157">
        <v>48</v>
      </c>
      <c r="AI10" s="5"/>
      <c r="AJ10" s="157" t="str">
        <v>M3</v>
      </c>
      <c r="AK10" s="157">
        <v>3</v>
      </c>
      <c r="AL10" s="157">
        <v>38</v>
      </c>
      <c r="AM10" s="157">
        <v>20</v>
      </c>
      <c r="AN10" s="157">
        <v>40</v>
      </c>
      <c r="AO10" s="157">
        <v>48</v>
      </c>
    </row>
    <row r="11" spans="1:41" ht="15.9" customHeight="1">
      <c r="A11" s="142" t="str">
        <v>A</v>
      </c>
      <c r="B11" s="118" t="str">
        <v>A</v>
      </c>
      <c r="C11" s="142">
        <f t="shared" si="0"/>
        <v>12</v>
      </c>
      <c r="D11" s="142">
        <f t="shared" si="0"/>
        <v>11</v>
      </c>
      <c r="E11" s="142">
        <f t="shared" si="0"/>
        <v>8</v>
      </c>
      <c r="F11" s="142">
        <f t="shared" si="0"/>
        <v>11</v>
      </c>
      <c r="G11" s="142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57">
        <v>38</v>
      </c>
      <c r="AE11" s="157">
        <v>27</v>
      </c>
      <c r="AF11" s="157">
        <v>33</v>
      </c>
      <c r="AG11" s="157">
        <v>20</v>
      </c>
      <c r="AH11" s="157">
        <v>24</v>
      </c>
      <c r="AI11" s="5"/>
      <c r="AJ11" s="157" t="str">
        <v>M4</v>
      </c>
      <c r="AK11" s="157">
        <v>38</v>
      </c>
      <c r="AL11" s="157">
        <v>27</v>
      </c>
      <c r="AM11" s="157">
        <v>33</v>
      </c>
      <c r="AN11" s="157">
        <v>20</v>
      </c>
      <c r="AO11" s="157">
        <v>24</v>
      </c>
    </row>
    <row r="12" spans="1:41" ht="15.9" customHeight="1">
      <c r="A12" s="142" t="str">
        <v>K</v>
      </c>
      <c r="B12" s="118" t="str">
        <v>K</v>
      </c>
      <c r="C12" s="142">
        <f t="shared" si="0"/>
        <v>12</v>
      </c>
      <c r="D12" s="142">
        <f t="shared" si="0"/>
        <v>15</v>
      </c>
      <c r="E12" s="142">
        <f t="shared" si="0"/>
        <v>10</v>
      </c>
      <c r="F12" s="142">
        <f t="shared" si="0"/>
        <v>12</v>
      </c>
      <c r="G12" s="142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57">
        <v>11</v>
      </c>
      <c r="AE12" s="157">
        <v>27</v>
      </c>
      <c r="AF12" s="157">
        <v>5</v>
      </c>
      <c r="AG12" s="157">
        <v>28</v>
      </c>
      <c r="AH12" s="157">
        <v>30</v>
      </c>
      <c r="AI12" s="5"/>
      <c r="AJ12" s="157" t="str">
        <v>M5</v>
      </c>
      <c r="AK12" s="157">
        <v>11</v>
      </c>
      <c r="AL12" s="157">
        <v>27</v>
      </c>
      <c r="AM12" s="157">
        <v>5</v>
      </c>
      <c r="AN12" s="157">
        <v>28</v>
      </c>
      <c r="AO12" s="157">
        <v>30</v>
      </c>
    </row>
    <row r="13" spans="1:41" ht="15.9" customHeight="1">
      <c r="A13" s="142" t="str">
        <v>Q</v>
      </c>
      <c r="B13" s="118" t="str">
        <v>Q</v>
      </c>
      <c r="C13" s="142">
        <f t="shared" si="0"/>
        <v>12</v>
      </c>
      <c r="D13" s="142">
        <f t="shared" si="0"/>
        <v>14</v>
      </c>
      <c r="E13" s="142">
        <f t="shared" si="0"/>
        <v>11</v>
      </c>
      <c r="F13" s="142">
        <f t="shared" si="0"/>
        <v>9</v>
      </c>
      <c r="G13" s="142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57">
        <v>33</v>
      </c>
      <c r="AE13" s="157">
        <v>14</v>
      </c>
      <c r="AF13" s="157">
        <v>35</v>
      </c>
      <c r="AG13" s="157">
        <v>8</v>
      </c>
      <c r="AH13" s="157">
        <v>10</v>
      </c>
      <c r="AI13" s="5"/>
      <c r="AJ13" s="157" t="str">
        <v>A</v>
      </c>
      <c r="AK13" s="157">
        <v>33</v>
      </c>
      <c r="AL13" s="157">
        <v>14</v>
      </c>
      <c r="AM13" s="157">
        <v>35</v>
      </c>
      <c r="AN13" s="157">
        <v>8</v>
      </c>
      <c r="AO13" s="157">
        <v>10</v>
      </c>
    </row>
    <row r="14" spans="1:41" ht="15.9" customHeight="1">
      <c r="A14" s="142" t="str">
        <v>J</v>
      </c>
      <c r="B14" s="118" t="str">
        <v>J</v>
      </c>
      <c r="C14" s="142">
        <f t="shared" si="0"/>
        <v>9</v>
      </c>
      <c r="D14" s="142">
        <f t="shared" si="0"/>
        <v>17</v>
      </c>
      <c r="E14" s="142">
        <f t="shared" si="0"/>
        <v>7</v>
      </c>
      <c r="F14" s="142">
        <f t="shared" si="0"/>
        <v>12</v>
      </c>
      <c r="G14" s="142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57">
        <v>40</v>
      </c>
      <c r="AE14" s="157">
        <v>3</v>
      </c>
      <c r="AF14" s="157">
        <v>23</v>
      </c>
      <c r="AG14" s="157">
        <v>1</v>
      </c>
      <c r="AH14" s="157">
        <v>1</v>
      </c>
      <c r="AI14" s="5"/>
      <c r="AJ14" s="157" t="str">
        <v>K</v>
      </c>
      <c r="AK14" s="157">
        <v>40</v>
      </c>
      <c r="AL14" s="157">
        <v>3</v>
      </c>
      <c r="AM14" s="157">
        <v>23</v>
      </c>
      <c r="AN14" s="157">
        <v>1</v>
      </c>
      <c r="AO14" s="157">
        <v>1</v>
      </c>
    </row>
    <row r="15" spans="1:41" ht="15.9" customHeight="1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57">
        <v>11</v>
      </c>
      <c r="AE15" s="157">
        <v>33</v>
      </c>
      <c r="AF15" s="157">
        <v>8</v>
      </c>
      <c r="AG15" s="157">
        <v>20</v>
      </c>
      <c r="AH15" s="157">
        <v>28</v>
      </c>
      <c r="AI15" s="5"/>
      <c r="AJ15" s="157" t="str">
        <v>Q</v>
      </c>
      <c r="AK15" s="157">
        <v>11</v>
      </c>
      <c r="AL15" s="157">
        <v>33</v>
      </c>
      <c r="AM15" s="157">
        <v>8</v>
      </c>
      <c r="AN15" s="157">
        <v>20</v>
      </c>
      <c r="AO15" s="157">
        <v>28</v>
      </c>
    </row>
    <row r="16" spans="1:41" ht="15.9" customHeight="1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57">
        <v>44</v>
      </c>
      <c r="AE16" s="157">
        <v>1</v>
      </c>
      <c r="AF16" s="157">
        <v>39</v>
      </c>
      <c r="AG16" s="157">
        <v>5</v>
      </c>
      <c r="AH16" s="157">
        <v>1</v>
      </c>
      <c r="AI16" s="5"/>
      <c r="AJ16" s="157" t="str">
        <v>J</v>
      </c>
      <c r="AK16" s="157">
        <v>44</v>
      </c>
      <c r="AL16" s="157">
        <v>1</v>
      </c>
      <c r="AM16" s="157">
        <v>39</v>
      </c>
      <c r="AN16" s="157">
        <v>5</v>
      </c>
      <c r="AO16" s="157">
        <v>1</v>
      </c>
    </row>
    <row r="17" spans="1:41" ht="15.9" customHeight="1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48">
        <v>0</v>
      </c>
      <c r="AE17" s="148">
        <v>0</v>
      </c>
      <c r="AF17" s="147">
        <v>1</v>
      </c>
      <c r="AG17" s="147">
        <v>8</v>
      </c>
      <c r="AH17" s="148">
        <v>0</v>
      </c>
      <c r="AI17" s="5"/>
      <c r="AJ17" s="147" t="str">
        <v>G1</v>
      </c>
      <c r="AK17" s="148">
        <v>0</v>
      </c>
      <c r="AL17" s="148">
        <v>0</v>
      </c>
      <c r="AM17" s="147">
        <v>1</v>
      </c>
      <c r="AN17" s="147">
        <v>8</v>
      </c>
      <c r="AO17" s="148">
        <v>0</v>
      </c>
    </row>
    <row r="18" spans="1:41" ht="15.9" customHeight="1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48">
        <v>0</v>
      </c>
      <c r="AE18" s="148">
        <v>0</v>
      </c>
      <c r="AF18" s="147">
        <v>3</v>
      </c>
      <c r="AG18" s="147">
        <v>7</v>
      </c>
      <c r="AH18" s="148">
        <v>0</v>
      </c>
      <c r="AI18" s="5"/>
      <c r="AJ18" s="147" t="str">
        <v>G2</v>
      </c>
      <c r="AK18" s="148">
        <v>0</v>
      </c>
      <c r="AL18" s="148">
        <v>0</v>
      </c>
      <c r="AM18" s="147">
        <v>3</v>
      </c>
      <c r="AN18" s="147">
        <v>7</v>
      </c>
      <c r="AO18" s="148">
        <v>0</v>
      </c>
    </row>
    <row r="19" spans="1:41" ht="15.9" customHeight="1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48">
        <v>0</v>
      </c>
      <c r="AE19" s="148">
        <v>0</v>
      </c>
      <c r="AF19" s="147">
        <v>6</v>
      </c>
      <c r="AG19" s="147">
        <v>3</v>
      </c>
      <c r="AH19" s="148">
        <v>0</v>
      </c>
      <c r="AI19" s="5"/>
      <c r="AJ19" s="147" t="str">
        <v>G3</v>
      </c>
      <c r="AK19" s="148">
        <v>0</v>
      </c>
      <c r="AL19" s="148">
        <v>0</v>
      </c>
      <c r="AM19" s="147">
        <v>6</v>
      </c>
      <c r="AN19" s="147">
        <v>3</v>
      </c>
      <c r="AO19" s="148">
        <v>0</v>
      </c>
    </row>
    <row r="20" spans="1:41" ht="15.9" customHeight="1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48">
        <v>0</v>
      </c>
      <c r="AE20" s="148">
        <v>0</v>
      </c>
      <c r="AF20" s="147">
        <v>1</v>
      </c>
      <c r="AG20" s="147">
        <v>5</v>
      </c>
      <c r="AH20" s="148">
        <v>0</v>
      </c>
      <c r="AI20" s="5"/>
      <c r="AJ20" s="147" t="str">
        <v>G4</v>
      </c>
      <c r="AK20" s="148">
        <v>0</v>
      </c>
      <c r="AL20" s="148">
        <v>0</v>
      </c>
      <c r="AM20" s="147">
        <v>1</v>
      </c>
      <c r="AN20" s="147">
        <v>5</v>
      </c>
      <c r="AO20" s="148">
        <v>0</v>
      </c>
    </row>
    <row r="21" spans="1:41" ht="15.9" customHeight="1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48">
        <v>0</v>
      </c>
      <c r="AE21" s="148">
        <v>0</v>
      </c>
      <c r="AF21" s="147">
        <v>6</v>
      </c>
      <c r="AG21" s="147">
        <v>1</v>
      </c>
      <c r="AH21" s="148">
        <v>0</v>
      </c>
      <c r="AI21" s="5"/>
      <c r="AJ21" s="147" t="str">
        <v>G5</v>
      </c>
      <c r="AK21" s="148">
        <v>0</v>
      </c>
      <c r="AL21" s="148">
        <v>0</v>
      </c>
      <c r="AM21" s="147">
        <v>6</v>
      </c>
      <c r="AN21" s="147">
        <v>1</v>
      </c>
      <c r="AO21" s="148">
        <v>0</v>
      </c>
    </row>
    <row r="22" spans="1:41" ht="15.9" customHeight="1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48">
        <v>0</v>
      </c>
      <c r="AE22" s="148">
        <v>0</v>
      </c>
      <c r="AF22" s="147">
        <v>4</v>
      </c>
      <c r="AG22" s="147">
        <v>1</v>
      </c>
      <c r="AH22" s="148">
        <v>0</v>
      </c>
      <c r="AI22" s="5"/>
      <c r="AJ22" s="147" t="str">
        <v>GA</v>
      </c>
      <c r="AK22" s="148">
        <v>0</v>
      </c>
      <c r="AL22" s="148">
        <v>0</v>
      </c>
      <c r="AM22" s="147">
        <v>4</v>
      </c>
      <c r="AN22" s="147">
        <v>1</v>
      </c>
      <c r="AO22" s="148">
        <v>0</v>
      </c>
    </row>
    <row r="23" spans="1:41" ht="15.9" customHeight="1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48">
        <v>0</v>
      </c>
      <c r="AE23" s="148">
        <v>0</v>
      </c>
      <c r="AF23" s="147">
        <v>1</v>
      </c>
      <c r="AG23" s="147">
        <v>3</v>
      </c>
      <c r="AH23" s="148">
        <v>0</v>
      </c>
      <c r="AI23" s="5"/>
      <c r="AJ23" s="147" t="str">
        <v>GK</v>
      </c>
      <c r="AK23" s="148">
        <v>0</v>
      </c>
      <c r="AL23" s="148">
        <v>0</v>
      </c>
      <c r="AM23" s="147">
        <v>1</v>
      </c>
      <c r="AN23" s="147">
        <v>3</v>
      </c>
      <c r="AO23" s="148">
        <v>0</v>
      </c>
    </row>
    <row r="24" spans="1:41" ht="15.9" customHeight="1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48">
        <v>0</v>
      </c>
      <c r="AE24" s="148">
        <v>0</v>
      </c>
      <c r="AF24" s="147">
        <v>1</v>
      </c>
      <c r="AG24" s="147">
        <v>1</v>
      </c>
      <c r="AH24" s="148">
        <v>0</v>
      </c>
      <c r="AI24" s="5"/>
      <c r="AJ24" s="147" t="str">
        <v>GQ</v>
      </c>
      <c r="AK24" s="148">
        <v>0</v>
      </c>
      <c r="AL24" s="148">
        <v>0</v>
      </c>
      <c r="AM24" s="147">
        <v>1</v>
      </c>
      <c r="AN24" s="147">
        <v>1</v>
      </c>
      <c r="AO24" s="148">
        <v>0</v>
      </c>
    </row>
    <row r="25" spans="1:41" ht="16.5" customHeight="1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48">
        <v>0</v>
      </c>
      <c r="AE25" s="148">
        <v>0</v>
      </c>
      <c r="AF25" s="147">
        <v>6</v>
      </c>
      <c r="AG25" s="147">
        <v>1</v>
      </c>
      <c r="AH25" s="148">
        <v>0</v>
      </c>
      <c r="AI25" s="5"/>
      <c r="AJ25" s="147" t="str">
        <v>GJ</v>
      </c>
      <c r="AK25" s="148">
        <v>0</v>
      </c>
      <c r="AL25" s="148">
        <v>0</v>
      </c>
      <c r="AM25" s="147">
        <v>6</v>
      </c>
      <c r="AN25" s="147">
        <v>1</v>
      </c>
      <c r="AO25" s="148">
        <v>0</v>
      </c>
    </row>
    <row r="26" spans="1:41" ht="16.5" customHeight="1">
      <c r="B26" s="5" t="s">
        <v>219</v>
      </c>
      <c r="C26" s="173">
        <f>SUM(C4:C14)/C24</f>
        <v>1</v>
      </c>
      <c r="D26" s="173">
        <f>SUM(D4:D14)/D24</f>
        <v>1</v>
      </c>
      <c r="E26" s="173">
        <f>SUM(E4:E14)/E24</f>
        <v>0.75</v>
      </c>
      <c r="F26" s="173">
        <f>SUM(F4:F14)/F24</f>
        <v>0.72</v>
      </c>
      <c r="G26" s="173">
        <f>SUM(G4:G14)/G24</f>
        <v>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>
      <c r="B27" s="5" t="s">
        <v>218</v>
      </c>
      <c r="C27" s="173">
        <f>SUM(C15:C23)/C24</f>
        <v>0</v>
      </c>
      <c r="D27" s="173">
        <f>SUM(D15:D23)/D24</f>
        <v>0</v>
      </c>
      <c r="E27" s="173">
        <f>SUM(E15:E23)/E24</f>
        <v>0.25</v>
      </c>
      <c r="F27" s="173">
        <f>SUM(F15:F23)/F24</f>
        <v>0.28000000000000003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58">
        <v>0</v>
      </c>
      <c r="AE32" s="158">
        <v>0</v>
      </c>
      <c r="AF32" s="158">
        <v>0</v>
      </c>
      <c r="AG32" s="158">
        <v>0</v>
      </c>
      <c r="AH32" s="158">
        <v>0</v>
      </c>
      <c r="AI32" s="5"/>
      <c r="AJ32" s="157" t="str">
        <v>M1</v>
      </c>
      <c r="AK32" s="158">
        <v>0</v>
      </c>
      <c r="AL32" s="158">
        <v>0</v>
      </c>
      <c r="AM32" s="158">
        <v>0</v>
      </c>
      <c r="AN32" s="158">
        <v>0</v>
      </c>
      <c r="AO32" s="158">
        <v>0</v>
      </c>
    </row>
    <row r="33" spans="10:41" ht="16.5" customHeight="1"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57">
        <v>15</v>
      </c>
      <c r="AE33" s="157">
        <v>53</v>
      </c>
      <c r="AF33" s="157">
        <v>5</v>
      </c>
      <c r="AG33" s="157">
        <v>48</v>
      </c>
      <c r="AH33" s="157">
        <v>58</v>
      </c>
      <c r="AI33" s="5"/>
      <c r="AJ33" s="157" t="str">
        <v>M2</v>
      </c>
      <c r="AK33" s="157">
        <v>15</v>
      </c>
      <c r="AL33" s="157">
        <v>53</v>
      </c>
      <c r="AM33" s="157">
        <v>5</v>
      </c>
      <c r="AN33" s="157">
        <v>48</v>
      </c>
      <c r="AO33" s="157">
        <v>58</v>
      </c>
    </row>
    <row r="34" spans="10:41" ht="16.5" customHeight="1"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57">
        <v>3</v>
      </c>
      <c r="AE34" s="157">
        <v>38</v>
      </c>
      <c r="AF34" s="157">
        <v>20</v>
      </c>
      <c r="AG34" s="157">
        <v>40</v>
      </c>
      <c r="AH34" s="157">
        <v>48</v>
      </c>
      <c r="AI34" s="5"/>
      <c r="AJ34" s="157" t="str">
        <v>M3</v>
      </c>
      <c r="AK34" s="157">
        <v>3</v>
      </c>
      <c r="AL34" s="157">
        <v>38</v>
      </c>
      <c r="AM34" s="157">
        <v>20</v>
      </c>
      <c r="AN34" s="157">
        <v>40</v>
      </c>
      <c r="AO34" s="157">
        <v>48</v>
      </c>
    </row>
    <row r="35" spans="10:41" ht="16.5" customHeight="1"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57">
        <v>38</v>
      </c>
      <c r="AE35" s="157">
        <v>27</v>
      </c>
      <c r="AF35" s="157">
        <v>33</v>
      </c>
      <c r="AG35" s="157">
        <v>20</v>
      </c>
      <c r="AH35" s="157">
        <v>24</v>
      </c>
      <c r="AI35" s="5"/>
      <c r="AJ35" s="157" t="str">
        <v>M4</v>
      </c>
      <c r="AK35" s="157">
        <v>38</v>
      </c>
      <c r="AL35" s="157">
        <v>27</v>
      </c>
      <c r="AM35" s="157">
        <v>33</v>
      </c>
      <c r="AN35" s="157">
        <v>20</v>
      </c>
      <c r="AO35" s="157">
        <v>24</v>
      </c>
    </row>
    <row r="36" spans="10:41" ht="16.5" customHeight="1"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57">
        <v>11</v>
      </c>
      <c r="AE36" s="157">
        <v>27</v>
      </c>
      <c r="AF36" s="157">
        <v>5</v>
      </c>
      <c r="AG36" s="157">
        <v>28</v>
      </c>
      <c r="AH36" s="157">
        <v>30</v>
      </c>
      <c r="AI36" s="5"/>
      <c r="AJ36" s="157" t="str">
        <v>M5</v>
      </c>
      <c r="AK36" s="157">
        <v>11</v>
      </c>
      <c r="AL36" s="157">
        <v>27</v>
      </c>
      <c r="AM36" s="157">
        <v>5</v>
      </c>
      <c r="AN36" s="157">
        <v>28</v>
      </c>
      <c r="AO36" s="157">
        <v>30</v>
      </c>
    </row>
    <row r="37" spans="10:41" ht="16.5" customHeight="1"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57">
        <v>33</v>
      </c>
      <c r="AE37" s="157">
        <v>14</v>
      </c>
      <c r="AF37" s="157">
        <v>35</v>
      </c>
      <c r="AG37" s="157">
        <v>8</v>
      </c>
      <c r="AH37" s="157">
        <v>10</v>
      </c>
      <c r="AI37" s="5"/>
      <c r="AJ37" s="157" t="str">
        <v>A</v>
      </c>
      <c r="AK37" s="157">
        <v>33</v>
      </c>
      <c r="AL37" s="157">
        <v>14</v>
      </c>
      <c r="AM37" s="157">
        <v>35</v>
      </c>
      <c r="AN37" s="157">
        <v>8</v>
      </c>
      <c r="AO37" s="157">
        <v>10</v>
      </c>
    </row>
    <row r="38" spans="10:41" ht="16.5" customHeight="1"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57">
        <v>40</v>
      </c>
      <c r="AE38" s="157">
        <v>3</v>
      </c>
      <c r="AF38" s="157">
        <v>23</v>
      </c>
      <c r="AG38" s="157">
        <v>1</v>
      </c>
      <c r="AH38" s="157">
        <v>1</v>
      </c>
      <c r="AI38" s="5"/>
      <c r="AJ38" s="157" t="str">
        <v>K</v>
      </c>
      <c r="AK38" s="157">
        <v>40</v>
      </c>
      <c r="AL38" s="157">
        <v>3</v>
      </c>
      <c r="AM38" s="157">
        <v>23</v>
      </c>
      <c r="AN38" s="157">
        <v>1</v>
      </c>
      <c r="AO38" s="157">
        <v>1</v>
      </c>
    </row>
    <row r="39" spans="10:41" ht="16.5" customHeight="1"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57">
        <v>11</v>
      </c>
      <c r="AE39" s="157">
        <v>33</v>
      </c>
      <c r="AF39" s="157">
        <v>8</v>
      </c>
      <c r="AG39" s="157">
        <v>20</v>
      </c>
      <c r="AH39" s="157">
        <v>28</v>
      </c>
      <c r="AI39" s="5"/>
      <c r="AJ39" s="157" t="str">
        <v>Q</v>
      </c>
      <c r="AK39" s="157">
        <v>11</v>
      </c>
      <c r="AL39" s="157">
        <v>33</v>
      </c>
      <c r="AM39" s="157">
        <v>8</v>
      </c>
      <c r="AN39" s="157">
        <v>20</v>
      </c>
      <c r="AO39" s="157">
        <v>28</v>
      </c>
    </row>
    <row r="40" spans="10:41" ht="16.5" customHeight="1"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57">
        <v>44</v>
      </c>
      <c r="AE40" s="157">
        <v>1</v>
      </c>
      <c r="AF40" s="157">
        <v>39</v>
      </c>
      <c r="AG40" s="157">
        <v>5</v>
      </c>
      <c r="AH40" s="157">
        <v>1</v>
      </c>
      <c r="AI40" s="5"/>
      <c r="AJ40" s="157" t="str">
        <v>J</v>
      </c>
      <c r="AK40" s="157">
        <v>44</v>
      </c>
      <c r="AL40" s="157">
        <v>1</v>
      </c>
      <c r="AM40" s="157">
        <v>39</v>
      </c>
      <c r="AN40" s="157">
        <v>5</v>
      </c>
      <c r="AO40" s="157">
        <v>1</v>
      </c>
    </row>
    <row r="41" spans="10:41" ht="16.5" customHeight="1"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48">
        <v>0</v>
      </c>
      <c r="AE41" s="148">
        <v>0</v>
      </c>
      <c r="AF41" s="147">
        <v>1</v>
      </c>
      <c r="AG41" s="147">
        <v>8</v>
      </c>
      <c r="AH41" s="148">
        <v>0</v>
      </c>
      <c r="AI41" s="5"/>
      <c r="AJ41" s="147" t="str">
        <v>G1</v>
      </c>
      <c r="AK41" s="148">
        <v>0</v>
      </c>
      <c r="AL41" s="148">
        <v>0</v>
      </c>
      <c r="AM41" s="147">
        <v>1</v>
      </c>
      <c r="AN41" s="147">
        <v>8</v>
      </c>
      <c r="AO41" s="148">
        <v>0</v>
      </c>
    </row>
    <row r="42" spans="10:41" ht="16.5" customHeight="1"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48">
        <v>0</v>
      </c>
      <c r="AE42" s="148">
        <v>0</v>
      </c>
      <c r="AF42" s="147">
        <v>3</v>
      </c>
      <c r="AG42" s="147">
        <v>7</v>
      </c>
      <c r="AH42" s="148">
        <v>0</v>
      </c>
      <c r="AI42" s="5"/>
      <c r="AJ42" s="147" t="str">
        <v>G2</v>
      </c>
      <c r="AK42" s="148">
        <v>0</v>
      </c>
      <c r="AL42" s="148">
        <v>0</v>
      </c>
      <c r="AM42" s="147">
        <v>3</v>
      </c>
      <c r="AN42" s="147">
        <v>7</v>
      </c>
      <c r="AO42" s="148">
        <v>0</v>
      </c>
    </row>
    <row r="43" spans="10:41" ht="16.5" customHeight="1"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48">
        <v>0</v>
      </c>
      <c r="AE43" s="148">
        <v>0</v>
      </c>
      <c r="AF43" s="147">
        <v>6</v>
      </c>
      <c r="AG43" s="147">
        <v>3</v>
      </c>
      <c r="AH43" s="148">
        <v>0</v>
      </c>
      <c r="AI43" s="5"/>
      <c r="AJ43" s="147" t="str">
        <v>G3</v>
      </c>
      <c r="AK43" s="148">
        <v>0</v>
      </c>
      <c r="AL43" s="148">
        <v>0</v>
      </c>
      <c r="AM43" s="147">
        <v>6</v>
      </c>
      <c r="AN43" s="147">
        <v>3</v>
      </c>
      <c r="AO43" s="148">
        <v>0</v>
      </c>
    </row>
    <row r="44" spans="10:41" ht="16.5" customHeight="1"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48">
        <v>0</v>
      </c>
      <c r="AE44" s="148">
        <v>0</v>
      </c>
      <c r="AF44" s="147">
        <v>1</v>
      </c>
      <c r="AG44" s="147">
        <v>5</v>
      </c>
      <c r="AH44" s="148">
        <v>0</v>
      </c>
      <c r="AI44" s="5"/>
      <c r="AJ44" s="147" t="str">
        <v>G4</v>
      </c>
      <c r="AK44" s="148">
        <v>0</v>
      </c>
      <c r="AL44" s="148">
        <v>0</v>
      </c>
      <c r="AM44" s="147">
        <v>1</v>
      </c>
      <c r="AN44" s="147">
        <v>5</v>
      </c>
      <c r="AO44" s="148">
        <v>0</v>
      </c>
    </row>
    <row r="45" spans="10:41" ht="16.5" customHeight="1"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48">
        <v>0</v>
      </c>
      <c r="AE45" s="148">
        <v>0</v>
      </c>
      <c r="AF45" s="147">
        <v>6</v>
      </c>
      <c r="AG45" s="147">
        <v>1</v>
      </c>
      <c r="AH45" s="148">
        <v>0</v>
      </c>
      <c r="AI45" s="5"/>
      <c r="AJ45" s="147" t="str">
        <v>G5</v>
      </c>
      <c r="AK45" s="148">
        <v>0</v>
      </c>
      <c r="AL45" s="148">
        <v>0</v>
      </c>
      <c r="AM45" s="147">
        <v>6</v>
      </c>
      <c r="AN45" s="147">
        <v>1</v>
      </c>
      <c r="AO45" s="148">
        <v>0</v>
      </c>
    </row>
    <row r="46" spans="10:41" ht="16.5" customHeight="1"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48">
        <v>0</v>
      </c>
      <c r="AE46" s="148">
        <v>0</v>
      </c>
      <c r="AF46" s="147">
        <v>4</v>
      </c>
      <c r="AG46" s="147">
        <v>1</v>
      </c>
      <c r="AH46" s="148">
        <v>0</v>
      </c>
      <c r="AI46" s="5"/>
      <c r="AJ46" s="147" t="str">
        <v>GA</v>
      </c>
      <c r="AK46" s="148">
        <v>0</v>
      </c>
      <c r="AL46" s="148">
        <v>0</v>
      </c>
      <c r="AM46" s="147">
        <v>4</v>
      </c>
      <c r="AN46" s="147">
        <v>1</v>
      </c>
      <c r="AO46" s="148">
        <v>0</v>
      </c>
    </row>
    <row r="47" spans="10:41" ht="16.5" customHeight="1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48">
        <v>0</v>
      </c>
      <c r="AE47" s="148">
        <v>0</v>
      </c>
      <c r="AF47" s="147">
        <v>1</v>
      </c>
      <c r="AG47" s="147">
        <v>3</v>
      </c>
      <c r="AH47" s="148">
        <v>0</v>
      </c>
      <c r="AI47" s="5"/>
      <c r="AJ47" s="147" t="str">
        <v>GK</v>
      </c>
      <c r="AK47" s="148">
        <v>0</v>
      </c>
      <c r="AL47" s="148">
        <v>0</v>
      </c>
      <c r="AM47" s="147">
        <v>1</v>
      </c>
      <c r="AN47" s="147">
        <v>3</v>
      </c>
      <c r="AO47" s="148">
        <v>0</v>
      </c>
    </row>
    <row r="48" spans="10:41" ht="16.5" customHeight="1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48">
        <v>0</v>
      </c>
      <c r="AE48" s="148">
        <v>0</v>
      </c>
      <c r="AF48" s="147">
        <v>1</v>
      </c>
      <c r="AG48" s="147">
        <v>3</v>
      </c>
      <c r="AH48" s="148">
        <v>0</v>
      </c>
      <c r="AI48" s="5"/>
      <c r="AJ48" s="147" t="str">
        <v>GQ</v>
      </c>
      <c r="AK48" s="148">
        <v>0</v>
      </c>
      <c r="AL48" s="148">
        <v>0</v>
      </c>
      <c r="AM48" s="147">
        <v>1</v>
      </c>
      <c r="AN48" s="147">
        <v>3</v>
      </c>
      <c r="AO48" s="148">
        <v>0</v>
      </c>
    </row>
    <row r="49" spans="10:41" ht="16.5" customHeight="1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48">
        <v>0</v>
      </c>
      <c r="AE49" s="148">
        <v>0</v>
      </c>
      <c r="AF49" s="147">
        <v>6</v>
      </c>
      <c r="AG49" s="147">
        <v>1</v>
      </c>
      <c r="AH49" s="148">
        <v>0</v>
      </c>
      <c r="AI49" s="5"/>
      <c r="AJ49" s="147" t="str">
        <v>GJ</v>
      </c>
      <c r="AK49" s="148">
        <v>0</v>
      </c>
      <c r="AL49" s="148">
        <v>0</v>
      </c>
      <c r="AM49" s="147">
        <v>6</v>
      </c>
      <c r="AN49" s="147">
        <v>1</v>
      </c>
      <c r="AO49" s="148">
        <v>0</v>
      </c>
    </row>
    <row r="50" spans="10:41" ht="16.5" customHeight="1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58">
        <v>0</v>
      </c>
      <c r="AE56" s="158">
        <v>0</v>
      </c>
      <c r="AF56" s="158">
        <v>0</v>
      </c>
      <c r="AG56" s="158">
        <v>0</v>
      </c>
      <c r="AH56" s="158">
        <v>0</v>
      </c>
      <c r="AI56" s="5"/>
      <c r="AJ56" s="157" t="str">
        <v>M1</v>
      </c>
      <c r="AK56" s="158">
        <v>0</v>
      </c>
      <c r="AL56" s="158">
        <v>0</v>
      </c>
      <c r="AM56" s="158">
        <v>0</v>
      </c>
      <c r="AN56" s="158">
        <v>0</v>
      </c>
      <c r="AO56" s="158">
        <v>0</v>
      </c>
    </row>
    <row r="57" spans="10:41" ht="16.5" customHeight="1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57">
        <v>15</v>
      </c>
      <c r="AE57" s="157">
        <v>53</v>
      </c>
      <c r="AF57" s="157">
        <v>5</v>
      </c>
      <c r="AG57" s="157">
        <v>48</v>
      </c>
      <c r="AH57" s="157">
        <v>58</v>
      </c>
      <c r="AI57" s="5"/>
      <c r="AJ57" s="157" t="str">
        <v>M2</v>
      </c>
      <c r="AK57" s="157">
        <v>15</v>
      </c>
      <c r="AL57" s="157">
        <v>53</v>
      </c>
      <c r="AM57" s="157">
        <v>5</v>
      </c>
      <c r="AN57" s="157">
        <v>48</v>
      </c>
      <c r="AO57" s="157">
        <v>58</v>
      </c>
    </row>
    <row r="58" spans="10:41" ht="16.5" customHeight="1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57">
        <v>3</v>
      </c>
      <c r="AE58" s="157">
        <v>38</v>
      </c>
      <c r="AF58" s="157">
        <v>20</v>
      </c>
      <c r="AG58" s="157">
        <v>40</v>
      </c>
      <c r="AH58" s="157">
        <v>48</v>
      </c>
      <c r="AI58" s="5"/>
      <c r="AJ58" s="157" t="str">
        <v>M3</v>
      </c>
      <c r="AK58" s="157">
        <v>3</v>
      </c>
      <c r="AL58" s="157">
        <v>38</v>
      </c>
      <c r="AM58" s="157">
        <v>20</v>
      </c>
      <c r="AN58" s="157">
        <v>40</v>
      </c>
      <c r="AO58" s="157">
        <v>48</v>
      </c>
    </row>
    <row r="59" spans="10:41" ht="16.5" customHeight="1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57">
        <v>38</v>
      </c>
      <c r="AE59" s="157">
        <v>27</v>
      </c>
      <c r="AF59" s="157">
        <v>33</v>
      </c>
      <c r="AG59" s="157">
        <v>20</v>
      </c>
      <c r="AH59" s="157">
        <v>24</v>
      </c>
      <c r="AI59" s="5"/>
      <c r="AJ59" s="157" t="str">
        <v>M4</v>
      </c>
      <c r="AK59" s="157">
        <v>38</v>
      </c>
      <c r="AL59" s="157">
        <v>27</v>
      </c>
      <c r="AM59" s="157">
        <v>33</v>
      </c>
      <c r="AN59" s="157">
        <v>20</v>
      </c>
      <c r="AO59" s="157">
        <v>24</v>
      </c>
    </row>
    <row r="60" spans="10:41" ht="16.5" customHeight="1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57">
        <v>11</v>
      </c>
      <c r="AE60" s="157">
        <v>27</v>
      </c>
      <c r="AF60" s="157">
        <v>5</v>
      </c>
      <c r="AG60" s="157">
        <v>28</v>
      </c>
      <c r="AH60" s="157">
        <v>30</v>
      </c>
      <c r="AI60" s="5"/>
      <c r="AJ60" s="157" t="str">
        <v>M5</v>
      </c>
      <c r="AK60" s="157">
        <v>11</v>
      </c>
      <c r="AL60" s="157">
        <v>27</v>
      </c>
      <c r="AM60" s="157">
        <v>5</v>
      </c>
      <c r="AN60" s="157">
        <v>28</v>
      </c>
      <c r="AO60" s="157">
        <v>30</v>
      </c>
    </row>
    <row r="61" spans="10:41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57">
        <v>33</v>
      </c>
      <c r="AE61" s="157">
        <v>14</v>
      </c>
      <c r="AF61" s="157">
        <v>35</v>
      </c>
      <c r="AG61" s="157">
        <v>8</v>
      </c>
      <c r="AH61" s="157">
        <v>10</v>
      </c>
      <c r="AI61" s="5"/>
      <c r="AJ61" s="157" t="str">
        <v>A</v>
      </c>
      <c r="AK61" s="157">
        <v>33</v>
      </c>
      <c r="AL61" s="157">
        <v>14</v>
      </c>
      <c r="AM61" s="157">
        <v>35</v>
      </c>
      <c r="AN61" s="157">
        <v>8</v>
      </c>
      <c r="AO61" s="157">
        <v>10</v>
      </c>
    </row>
    <row r="62" spans="10:41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57">
        <v>40</v>
      </c>
      <c r="AE62" s="157">
        <v>3</v>
      </c>
      <c r="AF62" s="157">
        <v>23</v>
      </c>
      <c r="AG62" s="157">
        <v>1</v>
      </c>
      <c r="AH62" s="157">
        <v>1</v>
      </c>
      <c r="AI62" s="5"/>
      <c r="AJ62" s="157" t="str">
        <v>K</v>
      </c>
      <c r="AK62" s="157">
        <v>40</v>
      </c>
      <c r="AL62" s="157">
        <v>3</v>
      </c>
      <c r="AM62" s="157">
        <v>23</v>
      </c>
      <c r="AN62" s="157">
        <v>1</v>
      </c>
      <c r="AO62" s="157">
        <v>1</v>
      </c>
    </row>
    <row r="63" spans="10:41" ht="16.5" customHeight="1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57">
        <v>11</v>
      </c>
      <c r="AE63" s="157">
        <v>33</v>
      </c>
      <c r="AF63" s="157">
        <v>8</v>
      </c>
      <c r="AG63" s="157">
        <v>20</v>
      </c>
      <c r="AH63" s="157">
        <v>28</v>
      </c>
      <c r="AI63" s="5"/>
      <c r="AJ63" s="157" t="str">
        <v>Q</v>
      </c>
      <c r="AK63" s="157">
        <v>11</v>
      </c>
      <c r="AL63" s="157">
        <v>33</v>
      </c>
      <c r="AM63" s="157">
        <v>8</v>
      </c>
      <c r="AN63" s="157">
        <v>20</v>
      </c>
      <c r="AO63" s="157">
        <v>28</v>
      </c>
    </row>
    <row r="64" spans="10:41" ht="16.5" customHeight="1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57">
        <v>44</v>
      </c>
      <c r="AE64" s="157">
        <v>1</v>
      </c>
      <c r="AF64" s="157">
        <v>39</v>
      </c>
      <c r="AG64" s="157">
        <v>5</v>
      </c>
      <c r="AH64" s="157">
        <v>1</v>
      </c>
      <c r="AI64" s="5"/>
      <c r="AJ64" s="157" t="str">
        <v>J</v>
      </c>
      <c r="AK64" s="157">
        <v>44</v>
      </c>
      <c r="AL64" s="157">
        <v>1</v>
      </c>
      <c r="AM64" s="157">
        <v>39</v>
      </c>
      <c r="AN64" s="157">
        <v>5</v>
      </c>
      <c r="AO64" s="157">
        <v>1</v>
      </c>
    </row>
    <row r="65" spans="10:41" ht="16.5" customHeight="1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48">
        <v>0</v>
      </c>
      <c r="AE65" s="148">
        <v>0</v>
      </c>
      <c r="AF65" s="147">
        <v>1</v>
      </c>
      <c r="AG65" s="147">
        <v>8</v>
      </c>
      <c r="AH65" s="148">
        <v>0</v>
      </c>
      <c r="AI65" s="5"/>
      <c r="AJ65" s="147" t="str">
        <v>G1</v>
      </c>
      <c r="AK65" s="148">
        <v>0</v>
      </c>
      <c r="AL65" s="148">
        <v>0</v>
      </c>
      <c r="AM65" s="147">
        <v>1</v>
      </c>
      <c r="AN65" s="147">
        <v>8</v>
      </c>
      <c r="AO65" s="148">
        <v>0</v>
      </c>
    </row>
    <row r="66" spans="10:41" ht="16.5" customHeight="1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48">
        <v>0</v>
      </c>
      <c r="AE66" s="148">
        <v>0</v>
      </c>
      <c r="AF66" s="147">
        <v>3</v>
      </c>
      <c r="AG66" s="147">
        <v>7</v>
      </c>
      <c r="AH66" s="148">
        <v>0</v>
      </c>
      <c r="AI66" s="5"/>
      <c r="AJ66" s="147" t="str">
        <v>G2</v>
      </c>
      <c r="AK66" s="148">
        <v>0</v>
      </c>
      <c r="AL66" s="148">
        <v>0</v>
      </c>
      <c r="AM66" s="147">
        <v>3</v>
      </c>
      <c r="AN66" s="147">
        <v>7</v>
      </c>
      <c r="AO66" s="148">
        <v>0</v>
      </c>
    </row>
    <row r="67" spans="10:41" ht="16.5" customHeight="1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48">
        <v>0</v>
      </c>
      <c r="AE67" s="148">
        <v>0</v>
      </c>
      <c r="AF67" s="147">
        <v>6</v>
      </c>
      <c r="AG67" s="147">
        <v>3</v>
      </c>
      <c r="AH67" s="148">
        <v>0</v>
      </c>
      <c r="AI67" s="5"/>
      <c r="AJ67" s="147" t="str">
        <v>G3</v>
      </c>
      <c r="AK67" s="148">
        <v>0</v>
      </c>
      <c r="AL67" s="148">
        <v>0</v>
      </c>
      <c r="AM67" s="147">
        <v>6</v>
      </c>
      <c r="AN67" s="147">
        <v>3</v>
      </c>
      <c r="AO67" s="148">
        <v>0</v>
      </c>
    </row>
    <row r="68" spans="10:41" ht="16.5" customHeight="1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48">
        <v>0</v>
      </c>
      <c r="AE68" s="148">
        <v>0</v>
      </c>
      <c r="AF68" s="147">
        <v>1</v>
      </c>
      <c r="AG68" s="147">
        <v>5</v>
      </c>
      <c r="AH68" s="148">
        <v>0</v>
      </c>
      <c r="AI68" s="5"/>
      <c r="AJ68" s="147" t="str">
        <v>G4</v>
      </c>
      <c r="AK68" s="148">
        <v>0</v>
      </c>
      <c r="AL68" s="148">
        <v>0</v>
      </c>
      <c r="AM68" s="147">
        <v>1</v>
      </c>
      <c r="AN68" s="147">
        <v>5</v>
      </c>
      <c r="AO68" s="148">
        <v>0</v>
      </c>
    </row>
    <row r="69" spans="10:41" ht="16.5" customHeight="1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48">
        <v>0</v>
      </c>
      <c r="AE69" s="148">
        <v>0</v>
      </c>
      <c r="AF69" s="147">
        <v>6</v>
      </c>
      <c r="AG69" s="147">
        <v>1</v>
      </c>
      <c r="AH69" s="148">
        <v>0</v>
      </c>
      <c r="AI69" s="5"/>
      <c r="AJ69" s="147" t="str">
        <v>G5</v>
      </c>
      <c r="AK69" s="148">
        <v>0</v>
      </c>
      <c r="AL69" s="148">
        <v>0</v>
      </c>
      <c r="AM69" s="147">
        <v>6</v>
      </c>
      <c r="AN69" s="147">
        <v>1</v>
      </c>
      <c r="AO69" s="148">
        <v>0</v>
      </c>
    </row>
    <row r="70" spans="10:41" ht="16.5" customHeight="1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48">
        <v>0</v>
      </c>
      <c r="AE70" s="148">
        <v>0</v>
      </c>
      <c r="AF70" s="147">
        <v>4</v>
      </c>
      <c r="AG70" s="147">
        <v>1</v>
      </c>
      <c r="AH70" s="148">
        <v>0</v>
      </c>
      <c r="AI70" s="5"/>
      <c r="AJ70" s="147" t="str">
        <v>GA</v>
      </c>
      <c r="AK70" s="148">
        <v>0</v>
      </c>
      <c r="AL70" s="148">
        <v>0</v>
      </c>
      <c r="AM70" s="147">
        <v>4</v>
      </c>
      <c r="AN70" s="147">
        <v>1</v>
      </c>
      <c r="AO70" s="148">
        <v>0</v>
      </c>
    </row>
    <row r="71" spans="10:41" ht="16.5" customHeight="1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48">
        <v>0</v>
      </c>
      <c r="AE71" s="148">
        <v>0</v>
      </c>
      <c r="AF71" s="147">
        <v>1</v>
      </c>
      <c r="AG71" s="147">
        <v>3</v>
      </c>
      <c r="AH71" s="148">
        <v>0</v>
      </c>
      <c r="AI71" s="5"/>
      <c r="AJ71" s="147" t="str">
        <v>GK</v>
      </c>
      <c r="AK71" s="148">
        <v>0</v>
      </c>
      <c r="AL71" s="148">
        <v>0</v>
      </c>
      <c r="AM71" s="147">
        <v>1</v>
      </c>
      <c r="AN71" s="147">
        <v>3</v>
      </c>
      <c r="AO71" s="148">
        <v>0</v>
      </c>
    </row>
    <row r="72" spans="10:41" ht="16.5" customHeight="1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48">
        <v>0</v>
      </c>
      <c r="AE72" s="148">
        <v>0</v>
      </c>
      <c r="AF72" s="147">
        <v>1</v>
      </c>
      <c r="AG72" s="147">
        <v>3</v>
      </c>
      <c r="AH72" s="148">
        <v>0</v>
      </c>
      <c r="AI72" s="5"/>
      <c r="AJ72" s="147" t="str">
        <v>GQ</v>
      </c>
      <c r="AK72" s="148">
        <v>0</v>
      </c>
      <c r="AL72" s="148">
        <v>0</v>
      </c>
      <c r="AM72" s="147">
        <v>1</v>
      </c>
      <c r="AN72" s="147">
        <v>3</v>
      </c>
      <c r="AO72" s="148">
        <v>0</v>
      </c>
    </row>
    <row r="73" spans="10:41" ht="16.5" customHeight="1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48">
        <v>0</v>
      </c>
      <c r="AE73" s="148">
        <v>0</v>
      </c>
      <c r="AF73" s="147">
        <v>6</v>
      </c>
      <c r="AG73" s="147">
        <v>1</v>
      </c>
      <c r="AH73" s="148">
        <v>0</v>
      </c>
      <c r="AI73" s="5"/>
      <c r="AJ73" s="147" t="str">
        <v>GJ</v>
      </c>
      <c r="AK73" s="148">
        <v>0</v>
      </c>
      <c r="AL73" s="148">
        <v>0</v>
      </c>
      <c r="AM73" s="147">
        <v>6</v>
      </c>
      <c r="AN73" s="147">
        <v>1</v>
      </c>
      <c r="AO73" s="148">
        <v>0</v>
      </c>
    </row>
    <row r="74" spans="10:41" ht="16.5" customHeight="1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" priority="23">
      <formula>_xlfn.LET(_xlpm.x, W4, AND(NOT(_xlfn.ISFORMULA(_xlpm.x)), _xlpm.x&lt;&gt;""))</formula>
    </cfRule>
  </conditionalFormatting>
  <conditionalFormatting sqref="W4:AA203">
    <cfRule type="expression" dxfId="16" priority="18">
      <formula>_xlfn.LET(_xlpm.x, W4, AND(NOT(_xlfn.ISFORMULA(_xlpm.x)), _xlpm.x&lt;&gt;""))</formula>
    </cfRule>
  </conditionalFormatting>
  <conditionalFormatting sqref="K1:O1048576">
    <cfRule type="cellIs" dxfId="15" priority="14" operator="equal">
      <formula>"C1"</formula>
    </cfRule>
    <cfRule type="cellIs" dxfId="14" priority="15" operator="between">
      <formula>"G1"</formula>
      <formula>"G5"</formula>
    </cfRule>
    <cfRule type="cellIs" dxfId="13" priority="16" operator="between">
      <formula>"GA"</formula>
      <formula>"GJ"</formula>
    </cfRule>
    <cfRule type="cellIs" dxfId="12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{DC113E94-03B3-4E2C-BB4D-AC1094BBD6AD}</x14:id>
        </ext>
      </extLst>
    </cfRule>
  </conditionalFormatting>
  <conditionalFormatting sqref="D52:D54">
    <cfRule type="cellIs" dxfId="11" priority="9" operator="equal">
      <formula>"C1"</formula>
    </cfRule>
    <cfRule type="cellIs" dxfId="10" priority="10" operator="between">
      <formula>"G1"</formula>
      <formula>"G4"</formula>
    </cfRule>
    <cfRule type="cellIs" dxfId="9" priority="11" operator="between">
      <formula>"GA"</formula>
      <formula>"GQ"</formula>
    </cfRule>
    <cfRule type="cellIs" dxfId="8" priority="12" operator="between">
      <formula>"M1"</formula>
      <formula>"M4"</formula>
    </cfRule>
  </conditionalFormatting>
  <conditionalFormatting sqref="E52:E54">
    <cfRule type="cellIs" dxfId="7" priority="5" operator="equal">
      <formula>"C1"</formula>
    </cfRule>
    <cfRule type="cellIs" dxfId="6" priority="6" operator="between">
      <formula>"G1"</formula>
      <formula>"G4"</formula>
    </cfRule>
    <cfRule type="cellIs" dxfId="5" priority="7" operator="between">
      <formula>"GA"</formula>
      <formula>"GQ"</formula>
    </cfRule>
    <cfRule type="cellIs" dxfId="4" priority="8" operator="between">
      <formula>"M1"</formula>
      <formula>"M4"</formula>
    </cfRule>
  </conditionalFormatting>
  <conditionalFormatting sqref="F52:F54">
    <cfRule type="cellIs" dxfId="3" priority="1" operator="equal">
      <formula>"C1"</formula>
    </cfRule>
    <cfRule type="cellIs" dxfId="2" priority="2" operator="between">
      <formula>"G1"</formula>
      <formula>"G4"</formula>
    </cfRule>
    <cfRule type="cellIs" dxfId="1" priority="3" operator="between">
      <formula>"GA"</formula>
      <formula>"GQ"</formula>
    </cfRule>
    <cfRule type="cellIs" dxfId="0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113E94-03B3-4E2C-BB4D-AC1094BBD6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2026-06-01T02:24:50Z</dcterms:modified>
</cp:coreProperties>
</file>