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EC0F291E-2A28-4EC3-9889-BDF50E06D70A}" xr6:coauthVersionLast="47" xr6:coauthVersionMax="47" xr10:uidLastSave="{00000000-0000-0000-0000-000000000000}"/>
  <bookViews>
    <workbookView xWindow="-108" yWindow="-108" windowWidth="23256" windowHeight="12456" tabRatio="742" activeTab="6" xr2:uid="{9B98D3CB-61CD-4B6C-B23B-95ADD37DB253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4" i="53" l="1"/>
  <c r="F13" i="53"/>
  <c r="G161" i="77"/>
  <c r="I152" i="77"/>
  <c r="Q158" i="77"/>
  <c r="P158" i="77"/>
  <c r="Q87" i="77"/>
  <c r="P87" i="77"/>
  <c r="Q15" i="77"/>
  <c r="P15" i="77"/>
  <c r="Q228" i="48"/>
  <c r="P228" i="48"/>
  <c r="Q158" i="48"/>
  <c r="P158" i="48"/>
  <c r="Q87" i="48"/>
  <c r="P87" i="48"/>
  <c r="G18" i="48"/>
  <c r="Q15" i="48"/>
  <c r="P15" i="48" l="1"/>
  <c r="G231" i="48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I178" i="77" a="1"/>
  <c r="I178" i="77" s="1"/>
  <c r="G90" i="77"/>
  <c r="I94" i="77" s="1" a="1"/>
  <c r="I94" i="77" s="1"/>
  <c r="G18" i="77"/>
  <c r="I22" i="77" s="1" a="1"/>
  <c r="I22" i="77" s="1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H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H159" i="77"/>
  <c r="E159" i="77" a="1"/>
  <c r="E159" i="77" s="1"/>
  <c r="B157" i="77"/>
  <c r="D152" i="77" a="1"/>
  <c r="C152" i="77" s="1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H89" i="77"/>
  <c r="H88" i="77"/>
  <c r="C88" i="77" a="1"/>
  <c r="M81" i="77"/>
  <c r="C80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16" i="77"/>
  <c r="E16" i="77" a="1"/>
  <c r="E16" i="77" s="1"/>
  <c r="B3" i="77"/>
  <c r="F159" i="77" s="1" a="1"/>
  <c r="F159" i="77" s="1"/>
  <c r="H24" i="53"/>
  <c r="H22" i="53"/>
  <c r="H20" i="53"/>
  <c r="H18" i="53"/>
  <c r="H16" i="53"/>
  <c r="H11" i="53"/>
  <c r="H7" i="53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H13" i="53"/>
  <c r="H9" i="53"/>
  <c r="H5" i="53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<sst xmlns="http://schemas.openxmlformats.org/spreadsheetml/2006/main" count="9244" uniqueCount="329">
  <si>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</si>
  <si>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</si>
  <si>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</si>
  <si>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</si>
  <si>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</si>
  <si>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</si>
  <si>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</si>
  <si>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</si>
  <si>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</si>
  <si>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</si>
  <si>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</si>
  <si>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</si>
  <si>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</si>
  <si>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</si>
  <si>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</si>
  <si>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</si>
  <si>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</si>
  <si>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</si>
  <si>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</si>
  <si>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</si>
  <si>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</si>
  <si>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</si>
  <si>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</si>
  <si>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</si>
  <si>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</si>
  <si>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</si>
  <si>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</si>
  <si>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</si>
  <si>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</si>
  <si>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</si>
  <si>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</si>
  <si>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</si>
  <si>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</si>
  <si>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</si>
  <si>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</si>
  <si>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</si>
  <si>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</si>
  <si>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</si>
  <si>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</si>
  <si>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</si>
  <si>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</si>
  <si>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</si>
  <si>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</si>
  <si>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</si>
  <si>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</si>
  <si>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</si>
  <si>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</si>
  <si>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</si>
  <si>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</si>
  <si>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</si>
  <si>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</si>
  <si>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</si>
  <si>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</si>
  <si>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</si>
  <si>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</si>
  <si>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</si>
  <si>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</si>
  <si>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</si>
  <si>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</si>
  <si>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</si>
  <si>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</si>
  <si>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</si>
  <si>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</si>
  <si>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</si>
  <si>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</si>
  <si>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</si>
  <si>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</si>
  <si>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</si>
  <si>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</si>
  <si>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</si>
  <si>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</si>
  <si>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</si>
  <si>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</si>
  <si>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</si>
  <si>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</si>
  <si>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</si>
  <si>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</si>
  <si>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</si>
  <si>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</si>
  <si>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</si>
  <si>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</si>
  <si>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</si>
  <si>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</si>
  <si>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</si>
  <si>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</si>
  <si>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</si>
  <si>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</si>
  <si>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</si>
  <si>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</si>
  <si>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</si>
  <si>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</si>
  <si>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</si>
  <si>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</si>
  <si>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</si>
  <si>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</si>
  <si>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</si>
  <si>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H026192</t>
    <phoneticPr fontId="22" type="noConversion"/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</si>
  <si>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</si>
  <si>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</si>
  <si>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</si>
  <si>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</si>
  <si>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</si>
  <si>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</si>
  <si>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</si>
  <si>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</si>
  <si>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</si>
  <si>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</si>
  <si>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</si>
  <si>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</si>
  <si>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</si>
  <si>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</si>
  <si>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</si>
  <si>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</si>
  <si>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</si>
  <si>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</si>
  <si>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</si>
  <si>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</si>
  <si>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</si>
  <si>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</si>
  <si>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</si>
  <si>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</si>
  <si>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</si>
  <si>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</si>
  <si>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</si>
  <si>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</si>
  <si>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</si>
  <si>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</si>
  <si>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</si>
  <si>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</si>
  <si>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</si>
  <si>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</si>
  <si>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</si>
  <si>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</si>
  <si>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</si>
  <si>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</si>
  <si>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</si>
  <si>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</si>
  <si>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</si>
  <si>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</si>
  <si>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</si>
  <si>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</si>
  <si>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</si>
  <si>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</si>
  <si>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</si>
  <si>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</si>
  <si>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</si>
  <si>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</si>
  <si>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</si>
  <si>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</si>
  <si>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</si>
  <si>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</si>
  <si>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</si>
  <si>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</si>
  <si>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</si>
  <si>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</si>
  <si>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</si>
  <si>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</si>
  <si>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</si>
  <si>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</si>
  <si>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</si>
  <si>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</si>
  <si>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</si>
  <si>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</si>
  <si>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</si>
  <si>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</si>
  <si>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</si>
  <si>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</si>
  <si>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</si>
  <si>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</si>
  <si>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</si>
  <si>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</si>
  <si>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</si>
  <si>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</si>
  <si>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</si>
  <si>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</si>
  <si>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</si>
  <si>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</si>
  <si>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</si>
  <si>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</si>
  <si>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</si>
  <si>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</si>
  <si>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</si>
  <si>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</si>
  <si>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</si>
  <si>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</si>
  <si>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</si>
  <si>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</si>
  <si>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</si>
  <si>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</si>
  <si>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</si>
  <si>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</si>
  <si>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</si>
  <si>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</si>
  <si>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</si>
  <si>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</si>
  <si>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</si>
  <si>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</si>
  <si>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</si>
  <si>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</si>
  <si>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</si>
  <si>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</si>
  <si>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</si>
  <si>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</si>
  <si>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</si>
  <si>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</si>
  <si>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</si>
  <si>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</si>
  <si>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</si>
  <si>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</si>
  <si>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</si>
  <si>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</si>
  <si>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</si>
  <si>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</si>
  <si>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</si>
  <si>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</si>
  <si>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</si>
  <si>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</si>
  <si>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</si>
  <si>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</si>
  <si>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</si>
  <si>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</si>
  <si>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</si>
  <si>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</si>
  <si>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</si>
  <si>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</si>
  <si>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</si>
  <si>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</si>
  <si>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</si>
  <si>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</si>
  <si>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</si>
  <si>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</si>
  <si>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</si>
  <si>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</si>
  <si>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</si>
  <si>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</si>
  <si>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</si>
  <si>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</si>
  <si>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</si>
  <si>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</si>
  <si>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</si>
  <si>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</si>
  <si>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</si>
  <si>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</si>
  <si>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</si>
  <si>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</si>
  <si>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</si>
  <si>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</si>
  <si>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</si>
  <si>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</si>
  <si>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</si>
  <si>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</si>
  <si>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</si>
  <si>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</si>
  <si>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</si>
  <si>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</si>
  <si>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</si>
  <si>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</si>
  <si>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</si>
  <si>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</si>
  <si>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</si>
  <si>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</si>
  <si>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</si>
  <si>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</si>
  <si>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</si>
  <si>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</si>
  <si>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</si>
  <si>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</si>
  <si>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</si>
  <si>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</si>
  <si>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</si>
  <si>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</si>
  <si>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AB</t>
    <phoneticPr fontId="20" type="noConversion"/>
  </si>
  <si>
    <t>Newbie</t>
  </si>
  <si>
    <t>Oldhand</t>
  </si>
  <si>
    <t>But Feature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</si>
  <si>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</si>
  <si>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</si>
  <si>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</si>
  <si>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</si>
  <si>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Rainbow M1</t>
    <phoneticPr fontId="20" type="noConversion"/>
  </si>
  <si>
    <t>Rainbow M2</t>
    <phoneticPr fontId="20" type="noConversion"/>
  </si>
  <si>
    <t>Rainbow M3</t>
    <phoneticPr fontId="20" type="noConversion"/>
  </si>
  <si>
    <t>Rainbow M4</t>
    <phoneticPr fontId="20" type="noConversion"/>
  </si>
  <si>
    <t>Rainbow M5</t>
    <phoneticPr fontId="20" type="noConversion"/>
  </si>
  <si>
    <t>Rainbow A</t>
    <phoneticPr fontId="20" type="noConversion"/>
  </si>
  <si>
    <t>Rainbow K</t>
    <phoneticPr fontId="20" type="noConversion"/>
  </si>
  <si>
    <t>Rainbow Q</t>
    <phoneticPr fontId="20" type="noConversion"/>
  </si>
  <si>
    <t>Rainbow J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</si>
  <si>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</si>
  <si>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</si>
  <si>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</si>
  <si>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</si>
  <si>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</si>
  <si>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</si>
  <si>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</si>
  <si>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</si>
  <si>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</si>
  <si>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</si>
  <si>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</si>
  <si>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</si>
  <si>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</si>
  <si>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</si>
  <si>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</si>
  <si>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</si>
  <si>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</si>
  <si>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</si>
  <si>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</si>
  <si>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</si>
  <si>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</si>
  <si>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</si>
  <si>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</si>
  <si>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Rainbow M1</t>
  </si>
  <si>
    <t>Rainbow M2</t>
  </si>
  <si>
    <t>Rainbow M3</t>
  </si>
  <si>
    <t>Rainbow M4</t>
  </si>
  <si>
    <t>Rainbow M5</t>
  </si>
  <si>
    <t>Rainbow A</t>
  </si>
  <si>
    <t>Rainbow K</t>
  </si>
  <si>
    <t>Rainbow Q</t>
  </si>
  <si>
    <t>Rainbow J</t>
  </si>
  <si>
    <t>Normal Symbol</t>
  </si>
  <si>
    <t>Rainbow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</si>
  <si>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</si>
  <si>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</si>
  <si>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</si>
  <si>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</si>
  <si>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目標</t>
    </r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</si>
  <si>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</si>
  <si>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2.0.0.3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</si>
</sst>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5" fillId="33" borderId="14" xfId="0" applyFont="1" applyFill="1" applyBorder="1" applyAlignment="1">
      <alignment horizontal="center" vertical="center"/>
    </xf>
    <xf numFmtId="0" fontId="25" fillId="33" borderId="10" xfId="0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25" fillId="35" borderId="15" xfId="0" applyNumberFormat="1" applyFont="1" applyFill="1" applyBorder="1" applyAlignment="1">
      <alignment horizontal="center"/>
    </xf>
    <xf numFmtId="0" fontId="19" fillId="0" borderId="15" xfId="0" applyFont="1" applyBorder="1" applyAlignment="1">
      <alignment horizontal="center" vertical="center"/>
    </xf>
    <xf numFmtId="0" fontId="25" fillId="33" borderId="15" xfId="0" applyFont="1" applyFill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zoomScale="85" zoomScaleNormal="85" workbookViewId="0">
      <selection activeCell="E14" sqref="E14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96</v>
      </c>
      <c r="C2" s="5"/>
    </row>
    <row r="3" spans="1:9">
      <c r="A3" s="16" t="s">
        <v>34</v>
      </c>
      <c r="B3" s="36" t="s">
        <v>328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7">
        <f>SUM(B18:B19)</f>
        <v>0.91999962972648186</v>
      </c>
      <c r="D11" s="97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82">
        <f>B22+B23</f>
        <v>0.91999953421879854</v>
      </c>
      <c r="D12" s="182" t="s">
        <v>264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100"/>
      <c r="G17" s="7"/>
      <c r="H17" s="7"/>
      <c r="I17" s="11"/>
    </row>
    <row r="18" spans="1:9">
      <c r="A18" s="211" t="str">
        <f>D11</f>
        <v>Normal Bet</v>
      </c>
      <c r="B18" s="39">
        <f>Multiplier_Weight_Oldhand!C7</f>
        <v>0.67999976892735525</v>
      </c>
      <c r="C18" s="212">
        <f>1/D18</f>
        <v>4.1956200146938917E-3</v>
      </c>
      <c r="D18" s="214">
        <f>Multiplier_Weight_Oldhand!G7</f>
        <v>238.34379579127807</v>
      </c>
      <c r="E18" s="27" t="s">
        <v>43</v>
      </c>
      <c r="F18" s="100"/>
      <c r="G18" s="7"/>
      <c r="H18" s="7"/>
      <c r="I18" s="11"/>
    </row>
    <row r="19" spans="1:9">
      <c r="A19" s="211"/>
      <c r="B19" s="39">
        <f>Multiplier_Weight_Oldhand!D7</f>
        <v>0.23999986079912661</v>
      </c>
      <c r="C19" s="213"/>
      <c r="D19" s="215"/>
      <c r="E19" s="27" t="s">
        <v>51</v>
      </c>
      <c r="F19" s="100"/>
      <c r="G19" s="7"/>
      <c r="H19" s="7"/>
      <c r="I19" s="11"/>
    </row>
    <row r="20" spans="1:9">
      <c r="A20" s="42"/>
      <c r="B20" s="43"/>
      <c r="C20" s="44"/>
      <c r="D20" s="41"/>
      <c r="E20" s="7"/>
      <c r="F20" s="100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100"/>
      <c r="G21" s="7"/>
      <c r="H21" s="7"/>
      <c r="I21" s="11"/>
    </row>
    <row r="22" spans="1:9">
      <c r="A22" s="211" t="str">
        <f>D12</f>
        <v>Extra Bet</v>
      </c>
      <c r="B22" s="39">
        <f>Multiplier_Weight_Oldhand!C8</f>
        <v>0.32020989855910986</v>
      </c>
      <c r="C22" s="212">
        <f>1/D22</f>
        <v>2.0970757162946694E-2</v>
      </c>
      <c r="D22" s="214">
        <f>Multiplier_Weight_Oldhand!G8</f>
        <v>47.685450374052472</v>
      </c>
      <c r="E22" s="27" t="s">
        <v>43</v>
      </c>
      <c r="F22" s="100"/>
      <c r="G22" s="7"/>
      <c r="H22" s="7"/>
      <c r="I22" s="11"/>
    </row>
    <row r="23" spans="1:9">
      <c r="A23" s="211"/>
      <c r="B23" s="39">
        <f>Multiplier_Weight_Oldhand!D8</f>
        <v>0.59978963565968868</v>
      </c>
      <c r="C23" s="213"/>
      <c r="D23" s="215"/>
      <c r="E23" s="27" t="s">
        <v>51</v>
      </c>
      <c r="F23" s="100"/>
      <c r="G23" s="7"/>
      <c r="H23" s="7"/>
      <c r="I23" s="11"/>
    </row>
    <row r="24" spans="1:9">
      <c r="A24" s="42"/>
      <c r="B24" s="43"/>
      <c r="C24" s="44"/>
      <c r="D24" s="41"/>
      <c r="E24" s="7"/>
      <c r="F24" s="100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100"/>
      <c r="G25" s="7"/>
      <c r="H25" s="7"/>
      <c r="I25" s="11"/>
    </row>
    <row r="26" spans="1:9">
      <c r="A26" s="211" t="str">
        <f>D13</f>
        <v>Buy Feature</v>
      </c>
      <c r="B26" s="39">
        <f>Multiplier_Weight_Oldhand!C9</f>
        <v>0</v>
      </c>
      <c r="C26" s="212">
        <f>1/D26</f>
        <v>1</v>
      </c>
      <c r="D26" s="216">
        <v>1</v>
      </c>
      <c r="E26" s="27" t="s">
        <v>43</v>
      </c>
      <c r="F26" s="100"/>
      <c r="G26" s="7"/>
      <c r="H26" s="7"/>
      <c r="I26" s="11"/>
    </row>
    <row r="27" spans="1:9">
      <c r="A27" s="211"/>
      <c r="B27" s="39">
        <f>Multiplier_Weight_Oldhand!D9</f>
        <v>0.92500031791134818</v>
      </c>
      <c r="C27" s="213"/>
      <c r="D27" s="217"/>
      <c r="E27" s="27" t="s">
        <v>51</v>
      </c>
      <c r="F27" s="100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7" t="s">
        <v>126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9" t="s">
        <v>20</v>
      </c>
      <c r="B45" s="129" t="s">
        <v>20</v>
      </c>
      <c r="C45" s="129">
        <v>250</v>
      </c>
      <c r="D45" s="129">
        <v>1250</v>
      </c>
      <c r="E45" s="129">
        <v>5000</v>
      </c>
      <c r="F45" s="130">
        <v>2</v>
      </c>
    </row>
    <row r="46" spans="1:7">
      <c r="A46" s="129" t="s">
        <v>21</v>
      </c>
      <c r="B46" s="129" t="s">
        <v>21</v>
      </c>
      <c r="C46" s="129">
        <v>100</v>
      </c>
      <c r="D46" s="129">
        <v>500</v>
      </c>
      <c r="E46" s="129">
        <v>2000</v>
      </c>
      <c r="F46" s="131">
        <v>3</v>
      </c>
    </row>
    <row r="47" spans="1:7">
      <c r="A47" s="129" t="s">
        <v>22</v>
      </c>
      <c r="B47" s="129" t="s">
        <v>22</v>
      </c>
      <c r="C47" s="129">
        <v>75</v>
      </c>
      <c r="D47" s="129">
        <v>250</v>
      </c>
      <c r="E47" s="129">
        <v>1000</v>
      </c>
      <c r="F47" s="130">
        <v>4</v>
      </c>
    </row>
    <row r="48" spans="1:7">
      <c r="A48" s="129" t="s">
        <v>23</v>
      </c>
      <c r="B48" s="129" t="s">
        <v>23</v>
      </c>
      <c r="C48" s="129">
        <v>50</v>
      </c>
      <c r="D48" s="129">
        <v>200</v>
      </c>
      <c r="E48" s="129">
        <v>750</v>
      </c>
      <c r="F48" s="131">
        <v>5</v>
      </c>
    </row>
    <row r="49" spans="1:9">
      <c r="A49" s="129" t="s">
        <v>97</v>
      </c>
      <c r="B49" s="129" t="s">
        <v>97</v>
      </c>
      <c r="C49" s="132">
        <v>25</v>
      </c>
      <c r="D49" s="132">
        <v>100</v>
      </c>
      <c r="E49" s="132">
        <v>500</v>
      </c>
      <c r="F49" s="130">
        <v>6</v>
      </c>
    </row>
    <row r="50" spans="1:9">
      <c r="A50" s="129" t="s">
        <v>17</v>
      </c>
      <c r="B50" s="129" t="s">
        <v>17</v>
      </c>
      <c r="C50" s="129">
        <v>10</v>
      </c>
      <c r="D50" s="129">
        <v>50</v>
      </c>
      <c r="E50" s="129">
        <v>250</v>
      </c>
      <c r="F50" s="131">
        <v>7</v>
      </c>
    </row>
    <row r="51" spans="1:9">
      <c r="A51" s="129" t="s">
        <v>25</v>
      </c>
      <c r="B51" s="129" t="s">
        <v>25</v>
      </c>
      <c r="C51" s="129">
        <v>10</v>
      </c>
      <c r="D51" s="129">
        <v>50</v>
      </c>
      <c r="E51" s="129">
        <v>250</v>
      </c>
      <c r="F51" s="130">
        <v>8</v>
      </c>
    </row>
    <row r="52" spans="1:9">
      <c r="A52" s="129" t="s">
        <v>26</v>
      </c>
      <c r="B52" s="129" t="s">
        <v>26</v>
      </c>
      <c r="C52" s="129">
        <v>10</v>
      </c>
      <c r="D52" s="129">
        <v>50</v>
      </c>
      <c r="E52" s="129">
        <v>250</v>
      </c>
      <c r="F52" s="131">
        <v>9</v>
      </c>
    </row>
    <row r="53" spans="1:9">
      <c r="A53" s="129" t="s">
        <v>27</v>
      </c>
      <c r="B53" s="129" t="s">
        <v>27</v>
      </c>
      <c r="C53" s="129">
        <v>10</v>
      </c>
      <c r="D53" s="129">
        <v>50</v>
      </c>
      <c r="E53" s="129">
        <v>250</v>
      </c>
      <c r="F53" s="130">
        <v>10</v>
      </c>
    </row>
    <row r="54" spans="1:9">
      <c r="A54" s="8" t="s">
        <v>79</v>
      </c>
      <c r="B54" s="8" t="s">
        <v>279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80</v>
      </c>
      <c r="B55" s="8" t="s">
        <v>280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81</v>
      </c>
      <c r="B56" s="8" t="s">
        <v>281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82</v>
      </c>
      <c r="B57" s="8" t="s">
        <v>282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98</v>
      </c>
      <c r="B58" s="8" t="s">
        <v>283</v>
      </c>
      <c r="C58" s="120">
        <v>25</v>
      </c>
      <c r="D58" s="120">
        <v>100</v>
      </c>
      <c r="E58" s="120">
        <v>500</v>
      </c>
      <c r="F58" s="34">
        <v>15</v>
      </c>
    </row>
    <row r="59" spans="1:9">
      <c r="A59" s="8" t="s">
        <v>84</v>
      </c>
      <c r="B59" s="8" t="s">
        <v>284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85</v>
      </c>
      <c r="B60" s="8" t="s">
        <v>285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87</v>
      </c>
      <c r="B61" s="8" t="s">
        <v>286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89</v>
      </c>
      <c r="B62" s="8" t="s">
        <v>287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132</v>
      </c>
    </row>
    <row r="5" spans="2:2">
      <c r="B5" s="22" t="s">
        <v>133</v>
      </c>
    </row>
    <row r="7" spans="2:2">
      <c r="B7" s="22" t="s">
        <v>134</v>
      </c>
    </row>
    <row r="8" spans="2:2">
      <c r="B8" s="22" t="s">
        <v>135</v>
      </c>
    </row>
    <row r="9" spans="2:2">
      <c r="B9" s="22" t="s">
        <v>136</v>
      </c>
    </row>
    <row r="10" spans="2:2">
      <c r="B10" s="22" t="s">
        <v>137</v>
      </c>
    </row>
    <row r="11" spans="2:2">
      <c r="B11" s="22" t="s">
        <v>288</v>
      </c>
    </row>
    <row r="12" spans="2:2">
      <c r="B12" s="22" t="s">
        <v>289</v>
      </c>
    </row>
    <row r="13" spans="2:2">
      <c r="B13" s="22" t="s">
        <v>138</v>
      </c>
    </row>
    <row r="14" spans="2:2">
      <c r="B14" s="22" t="s">
        <v>290</v>
      </c>
    </row>
    <row r="15" spans="2:2">
      <c r="B15" s="22" t="s">
        <v>291</v>
      </c>
    </row>
    <row r="16" spans="2:2">
      <c r="B16" s="22" t="s">
        <v>139</v>
      </c>
    </row>
    <row r="18" spans="2:2">
      <c r="B18" s="22" t="s">
        <v>140</v>
      </c>
    </row>
    <row r="19" spans="2:2">
      <c r="B19" s="22" t="s">
        <v>131</v>
      </c>
    </row>
    <row r="20" spans="2:2">
      <c r="B20" s="22" t="s">
        <v>141</v>
      </c>
    </row>
    <row r="21" spans="2:2">
      <c r="B21" s="22" t="s">
        <v>142</v>
      </c>
    </row>
    <row r="22" spans="2:2">
      <c r="B22" s="22" t="s">
        <v>292</v>
      </c>
    </row>
    <row r="23" spans="2:2">
      <c r="B23" s="22" t="s">
        <v>143</v>
      </c>
    </row>
    <row r="24" spans="2:2">
      <c r="B24" s="22" t="s">
        <v>293</v>
      </c>
    </row>
    <row r="25" spans="2:2">
      <c r="B25" s="22" t="s">
        <v>144</v>
      </c>
    </row>
    <row r="26" spans="2:2">
      <c r="B26" s="22" t="s">
        <v>145</v>
      </c>
    </row>
    <row r="28" spans="2:2">
      <c r="B28" s="22" t="s">
        <v>146</v>
      </c>
    </row>
    <row r="30" spans="2:2">
      <c r="B30" s="22" t="s">
        <v>147</v>
      </c>
    </row>
    <row r="31" spans="2:2">
      <c r="B31" s="22" t="s">
        <v>148</v>
      </c>
    </row>
    <row r="33" spans="2:2">
      <c r="B33" s="22" t="s">
        <v>149</v>
      </c>
    </row>
    <row r="35" spans="2:2">
      <c r="B35" s="22" t="s">
        <v>150</v>
      </c>
    </row>
    <row r="37" spans="2:2">
      <c r="B37" s="22" t="s">
        <v>151</v>
      </c>
    </row>
    <row r="38" spans="2:2">
      <c r="B38" s="22" t="s">
        <v>152</v>
      </c>
    </row>
    <row r="39" spans="2:2">
      <c r="B39" s="22" t="s">
        <v>153</v>
      </c>
    </row>
    <row r="40" spans="2:2">
      <c r="B40" s="22" t="s">
        <v>154</v>
      </c>
    </row>
    <row r="42" spans="2:2">
      <c r="B42" s="22" t="s">
        <v>155</v>
      </c>
    </row>
    <row r="43" spans="2:2">
      <c r="B43" s="22" t="s">
        <v>131</v>
      </c>
    </row>
    <row r="44" spans="2:2">
      <c r="B44" s="22" t="s">
        <v>156</v>
      </c>
    </row>
    <row r="46" spans="2:2">
      <c r="B46" s="22" t="s">
        <v>157</v>
      </c>
    </row>
    <row r="47" spans="2:2">
      <c r="B47" s="22" t="s">
        <v>158</v>
      </c>
    </row>
    <row r="48" spans="2:2">
      <c r="B48" s="22" t="s">
        <v>294</v>
      </c>
    </row>
    <row r="49" spans="2:2">
      <c r="B49" s="22" t="s">
        <v>159</v>
      </c>
    </row>
    <row r="50" spans="2:2">
      <c r="B50" s="22" t="s">
        <v>160</v>
      </c>
    </row>
    <row r="51" spans="2:2">
      <c r="B51" s="22" t="s">
        <v>161</v>
      </c>
    </row>
    <row r="53" spans="2:2">
      <c r="B53" s="22" t="s">
        <v>162</v>
      </c>
    </row>
    <row r="55" spans="2:2">
      <c r="B55" s="22" t="s">
        <v>163</v>
      </c>
    </row>
    <row r="56" spans="2:2">
      <c r="B56" s="22" t="s">
        <v>295</v>
      </c>
    </row>
    <row r="57" spans="2:2">
      <c r="B57" s="22" t="s">
        <v>164</v>
      </c>
    </row>
    <row r="58" spans="2:2">
      <c r="B58" s="22" t="s">
        <v>296</v>
      </c>
    </row>
    <row r="59" spans="2:2">
      <c r="B59" s="22" t="s">
        <v>165</v>
      </c>
    </row>
    <row r="60" spans="2:2">
      <c r="B60" s="22" t="s">
        <v>166</v>
      </c>
    </row>
    <row r="62" spans="2:2">
      <c r="B62" s="22" t="s">
        <v>167</v>
      </c>
    </row>
    <row r="64" spans="2:2">
      <c r="B64" s="22" t="s">
        <v>168</v>
      </c>
    </row>
    <row r="65" spans="2:2">
      <c r="B65" s="22" t="s">
        <v>169</v>
      </c>
    </row>
    <row r="67" spans="2:2">
      <c r="B67" s="22" t="s">
        <v>170</v>
      </c>
    </row>
    <row r="69" spans="2:2">
      <c r="B69" s="22" t="s">
        <v>171</v>
      </c>
    </row>
    <row r="70" spans="2:2">
      <c r="B70" s="22" t="s">
        <v>172</v>
      </c>
    </row>
    <row r="71" spans="2:2">
      <c r="B71" s="22" t="s">
        <v>297</v>
      </c>
    </row>
    <row r="72" spans="2:2">
      <c r="B72" s="22" t="s">
        <v>173</v>
      </c>
    </row>
    <row r="73" spans="2:2">
      <c r="B73" s="22" t="s">
        <v>298</v>
      </c>
    </row>
    <row r="74" spans="2:2">
      <c r="B74" s="22" t="s">
        <v>174</v>
      </c>
    </row>
    <row r="75" spans="2:2">
      <c r="B75" s="22" t="s">
        <v>175</v>
      </c>
    </row>
    <row r="77" spans="2:2">
      <c r="B77" s="22" t="s">
        <v>176</v>
      </c>
    </row>
    <row r="79" spans="2:2">
      <c r="B79" s="22" t="s">
        <v>177</v>
      </c>
    </row>
    <row r="80" spans="2:2">
      <c r="B80" s="22" t="s">
        <v>178</v>
      </c>
    </row>
    <row r="81" spans="2:2">
      <c r="B81" s="22" t="s">
        <v>179</v>
      </c>
    </row>
    <row r="82" spans="2:2">
      <c r="B82" s="22" t="s">
        <v>299</v>
      </c>
    </row>
    <row r="83" spans="2:2">
      <c r="B83" s="22" t="s">
        <v>180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zoomScale="70" zoomScaleNormal="70" workbookViewId="0">
      <selection activeCell="M30" sqref="M30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4"/>
  </cols>
  <sheetData>
    <row r="3" spans="2:38">
      <c r="B3" s="15" t="s">
        <v>121</v>
      </c>
      <c r="I3" s="15" t="s">
        <v>112</v>
      </c>
      <c r="N3" s="15" t="s">
        <v>108</v>
      </c>
      <c r="Y3" s="15">
        <v>4.7619047619047619</v>
      </c>
      <c r="AA3" s="15">
        <v>10</v>
      </c>
      <c r="AC3" s="15" t="s">
        <v>107</v>
      </c>
    </row>
    <row r="4" spans="2:38">
      <c r="B4" s="122" t="s">
        <v>116</v>
      </c>
      <c r="C4" s="122" t="s">
        <v>120</v>
      </c>
      <c r="D4" s="122" t="s">
        <v>322</v>
      </c>
      <c r="E4" s="122" t="s">
        <v>323</v>
      </c>
      <c r="F4" s="122" t="s">
        <v>324</v>
      </c>
      <c r="G4" s="122" t="s">
        <v>325</v>
      </c>
      <c r="I4" s="121" t="s">
        <v>105</v>
      </c>
      <c r="J4" s="122" t="s">
        <v>91</v>
      </c>
      <c r="K4" s="122" t="s">
        <v>117</v>
      </c>
      <c r="N4" s="122" t="s">
        <v>106</v>
      </c>
      <c r="O4" s="122">
        <v>0</v>
      </c>
      <c r="P4" s="122">
        <v>2</v>
      </c>
      <c r="Q4" s="122">
        <v>3</v>
      </c>
      <c r="R4" s="122">
        <v>5</v>
      </c>
      <c r="S4" s="122">
        <v>8</v>
      </c>
      <c r="T4" s="122">
        <v>10</v>
      </c>
      <c r="U4" s="122">
        <v>15</v>
      </c>
      <c r="V4" s="122">
        <v>20</v>
      </c>
      <c r="W4" s="122">
        <v>25</v>
      </c>
      <c r="X4" s="122">
        <v>50</v>
      </c>
      <c r="Y4" s="122">
        <v>100</v>
      </c>
      <c r="Z4" s="122">
        <v>500</v>
      </c>
      <c r="AA4" s="122">
        <v>1000</v>
      </c>
      <c r="AC4" s="122" t="s">
        <v>106</v>
      </c>
      <c r="AD4" s="122">
        <v>1</v>
      </c>
      <c r="AE4" s="122">
        <v>2</v>
      </c>
      <c r="AF4" s="122">
        <v>3</v>
      </c>
      <c r="AG4" s="122">
        <v>4</v>
      </c>
      <c r="AH4" s="122">
        <v>5</v>
      </c>
      <c r="AI4" s="122">
        <v>6</v>
      </c>
      <c r="AJ4" s="122">
        <v>7</v>
      </c>
      <c r="AK4" s="122">
        <v>8</v>
      </c>
      <c r="AL4" s="122">
        <v>9</v>
      </c>
    </row>
    <row r="5" spans="2:38">
      <c r="B5" s="113">
        <v>0</v>
      </c>
      <c r="C5" s="135">
        <v>1</v>
      </c>
      <c r="D5" s="135">
        <v>1</v>
      </c>
      <c r="E5" s="135">
        <v>1</v>
      </c>
      <c r="F5" s="135">
        <v>1</v>
      </c>
      <c r="G5" s="135">
        <v>1</v>
      </c>
      <c r="I5" s="113" t="s">
        <v>99</v>
      </c>
      <c r="J5" s="123">
        <v>7000</v>
      </c>
      <c r="K5" s="204"/>
      <c r="L5" s="127">
        <v>0.7</v>
      </c>
      <c r="N5" s="113" t="s">
        <v>99</v>
      </c>
      <c r="O5" s="193">
        <v>0</v>
      </c>
      <c r="P5" s="194">
        <v>0</v>
      </c>
      <c r="Q5" s="194">
        <v>0</v>
      </c>
      <c r="R5" s="194">
        <v>0</v>
      </c>
      <c r="S5" s="194">
        <v>0</v>
      </c>
      <c r="T5" s="124">
        <v>2680</v>
      </c>
      <c r="U5" s="124">
        <v>3000</v>
      </c>
      <c r="V5" s="124">
        <v>2000</v>
      </c>
      <c r="W5" s="124">
        <v>500</v>
      </c>
      <c r="X5" s="124">
        <v>100</v>
      </c>
      <c r="Y5" s="124">
        <v>1200</v>
      </c>
      <c r="Z5" s="124">
        <v>20</v>
      </c>
      <c r="AA5" s="124">
        <v>500</v>
      </c>
      <c r="AB5" s="138">
        <v>75.930000000000007</v>
      </c>
      <c r="AC5" s="113" t="s">
        <v>99</v>
      </c>
      <c r="AD5" s="124">
        <v>300</v>
      </c>
      <c r="AE5" s="124">
        <v>600</v>
      </c>
      <c r="AF5" s="124">
        <v>1080</v>
      </c>
      <c r="AG5" s="124">
        <v>1440</v>
      </c>
      <c r="AH5" s="124">
        <v>2250</v>
      </c>
      <c r="AI5" s="124">
        <v>2700</v>
      </c>
      <c r="AJ5" s="124">
        <v>3150</v>
      </c>
      <c r="AK5" s="124">
        <v>3600</v>
      </c>
      <c r="AL5" s="124">
        <v>4050</v>
      </c>
    </row>
    <row r="6" spans="2:38">
      <c r="B6" s="113">
        <v>1</v>
      </c>
      <c r="C6" s="135">
        <v>0</v>
      </c>
      <c r="D6" s="135">
        <v>0</v>
      </c>
      <c r="E6" s="135">
        <v>0</v>
      </c>
      <c r="F6" s="135">
        <v>0</v>
      </c>
      <c r="G6" s="135">
        <v>0</v>
      </c>
      <c r="I6" s="113" t="s">
        <v>100</v>
      </c>
      <c r="J6" s="124">
        <v>1000</v>
      </c>
      <c r="K6" s="113"/>
      <c r="L6" s="127">
        <v>0.1</v>
      </c>
      <c r="N6" s="113" t="s">
        <v>100</v>
      </c>
      <c r="O6" s="193">
        <v>0</v>
      </c>
      <c r="P6" s="194">
        <v>0</v>
      </c>
      <c r="Q6" s="194">
        <v>0</v>
      </c>
      <c r="R6" s="194">
        <v>0</v>
      </c>
      <c r="S6" s="194">
        <v>0</v>
      </c>
      <c r="T6" s="124">
        <v>2680</v>
      </c>
      <c r="U6" s="124">
        <v>3000</v>
      </c>
      <c r="V6" s="124">
        <v>2000</v>
      </c>
      <c r="W6" s="124">
        <v>500</v>
      </c>
      <c r="X6" s="124">
        <v>100</v>
      </c>
      <c r="Y6" s="124">
        <v>1200</v>
      </c>
      <c r="Z6" s="124">
        <v>20</v>
      </c>
      <c r="AA6" s="124">
        <v>500</v>
      </c>
      <c r="AB6" s="138">
        <v>75.930000000000007</v>
      </c>
      <c r="AC6" s="113" t="s">
        <v>100</v>
      </c>
      <c r="AD6" s="194">
        <v>0</v>
      </c>
      <c r="AE6" s="194">
        <v>0</v>
      </c>
      <c r="AF6" s="124">
        <v>525</v>
      </c>
      <c r="AG6" s="124">
        <v>700</v>
      </c>
      <c r="AH6" s="124">
        <v>1750</v>
      </c>
      <c r="AI6" s="124">
        <v>2100</v>
      </c>
      <c r="AJ6" s="124">
        <v>3675</v>
      </c>
      <c r="AK6" s="124">
        <v>4200</v>
      </c>
      <c r="AL6" s="124">
        <v>4725</v>
      </c>
    </row>
    <row r="7" spans="2:38">
      <c r="B7" s="113">
        <v>2</v>
      </c>
      <c r="C7" s="135">
        <v>2</v>
      </c>
      <c r="D7" s="135">
        <v>2</v>
      </c>
      <c r="E7" s="135">
        <v>2</v>
      </c>
      <c r="F7" s="135">
        <v>2</v>
      </c>
      <c r="G7" s="135">
        <v>2</v>
      </c>
      <c r="I7" s="113" t="s">
        <v>115</v>
      </c>
      <c r="J7" s="124">
        <v>2000</v>
      </c>
      <c r="K7" s="113"/>
      <c r="L7" s="127">
        <v>0.2</v>
      </c>
      <c r="N7" s="113" t="s">
        <v>115</v>
      </c>
      <c r="O7" s="193">
        <v>10000</v>
      </c>
      <c r="P7" s="194">
        <v>0</v>
      </c>
      <c r="Q7" s="194">
        <v>0</v>
      </c>
      <c r="R7" s="194">
        <v>0</v>
      </c>
      <c r="S7" s="194">
        <v>0</v>
      </c>
      <c r="T7" s="194">
        <v>0</v>
      </c>
      <c r="U7" s="194">
        <v>0</v>
      </c>
      <c r="V7" s="194">
        <v>0</v>
      </c>
      <c r="W7" s="194">
        <v>0</v>
      </c>
      <c r="X7" s="194">
        <v>0</v>
      </c>
      <c r="Y7" s="194">
        <v>0</v>
      </c>
      <c r="Z7" s="194">
        <v>0</v>
      </c>
      <c r="AA7" s="194">
        <v>0</v>
      </c>
      <c r="AB7" s="138">
        <v>0</v>
      </c>
      <c r="AC7" s="113" t="s">
        <v>115</v>
      </c>
      <c r="AD7" s="194">
        <v>0</v>
      </c>
      <c r="AE7" s="194">
        <v>0</v>
      </c>
      <c r="AF7" s="194">
        <v>0</v>
      </c>
      <c r="AG7" s="194">
        <v>0</v>
      </c>
      <c r="AH7" s="194">
        <v>0</v>
      </c>
      <c r="AI7" s="194">
        <v>0</v>
      </c>
      <c r="AJ7" s="194">
        <v>0</v>
      </c>
      <c r="AK7" s="194">
        <v>0</v>
      </c>
      <c r="AL7" s="194">
        <v>0</v>
      </c>
    </row>
    <row r="8" spans="2:38">
      <c r="B8" s="113">
        <v>3</v>
      </c>
      <c r="C8" s="135">
        <v>0</v>
      </c>
      <c r="D8" s="135">
        <v>1</v>
      </c>
      <c r="E8" s="135">
        <v>2</v>
      </c>
      <c r="F8" s="135">
        <v>1</v>
      </c>
      <c r="G8" s="135">
        <v>0</v>
      </c>
      <c r="J8" s="47">
        <v>10000</v>
      </c>
      <c r="K8" s="47">
        <v>0</v>
      </c>
      <c r="L8" s="47"/>
      <c r="N8" s="113" t="s">
        <v>102</v>
      </c>
      <c r="O8" s="193">
        <v>0</v>
      </c>
      <c r="P8" s="194">
        <v>0</v>
      </c>
      <c r="Q8" s="194">
        <v>0</v>
      </c>
      <c r="R8" s="194">
        <v>0</v>
      </c>
      <c r="S8" s="194">
        <v>0</v>
      </c>
      <c r="T8" s="124">
        <v>3600</v>
      </c>
      <c r="U8" s="124">
        <v>2500</v>
      </c>
      <c r="V8" s="124">
        <v>1500</v>
      </c>
      <c r="W8" s="124">
        <v>250</v>
      </c>
      <c r="X8" s="124">
        <v>50</v>
      </c>
      <c r="Y8" s="124">
        <v>1000</v>
      </c>
      <c r="Z8" s="124">
        <v>100</v>
      </c>
      <c r="AA8" s="124">
        <v>1000</v>
      </c>
      <c r="AB8" s="138">
        <v>126.22499999999999</v>
      </c>
      <c r="AC8" s="113" t="s">
        <v>102</v>
      </c>
      <c r="AD8" s="194">
        <v>0</v>
      </c>
      <c r="AE8" s="194">
        <v>0</v>
      </c>
      <c r="AF8" s="124">
        <v>525</v>
      </c>
      <c r="AG8" s="124">
        <v>700</v>
      </c>
      <c r="AH8" s="124">
        <v>1750</v>
      </c>
      <c r="AI8" s="124">
        <v>2100</v>
      </c>
      <c r="AJ8" s="124">
        <v>3675</v>
      </c>
      <c r="AK8" s="124">
        <v>4200</v>
      </c>
      <c r="AL8" s="124">
        <v>4725</v>
      </c>
    </row>
    <row r="9" spans="2:38">
      <c r="B9" s="113">
        <v>4</v>
      </c>
      <c r="C9" s="135">
        <v>2</v>
      </c>
      <c r="D9" s="135">
        <v>1</v>
      </c>
      <c r="E9" s="135">
        <v>0</v>
      </c>
      <c r="F9" s="135">
        <v>1</v>
      </c>
      <c r="G9" s="135">
        <v>2</v>
      </c>
      <c r="L9" s="47"/>
      <c r="N9" s="113" t="s">
        <v>103</v>
      </c>
      <c r="O9" s="193">
        <v>0</v>
      </c>
      <c r="P9" s="194">
        <v>0</v>
      </c>
      <c r="Q9" s="194">
        <v>0</v>
      </c>
      <c r="R9" s="194">
        <v>0</v>
      </c>
      <c r="S9" s="194">
        <v>0</v>
      </c>
      <c r="T9" s="124">
        <v>3430</v>
      </c>
      <c r="U9" s="124">
        <v>2500</v>
      </c>
      <c r="V9" s="124">
        <v>2000</v>
      </c>
      <c r="W9" s="124">
        <v>500</v>
      </c>
      <c r="X9" s="124">
        <v>100</v>
      </c>
      <c r="Y9" s="124">
        <v>700</v>
      </c>
      <c r="Z9" s="124">
        <v>70</v>
      </c>
      <c r="AA9" s="124">
        <v>700</v>
      </c>
      <c r="AB9" s="138">
        <v>93.43</v>
      </c>
      <c r="AC9" s="113" t="s">
        <v>103</v>
      </c>
      <c r="AD9" s="194">
        <v>0</v>
      </c>
      <c r="AE9" s="194">
        <v>0</v>
      </c>
      <c r="AF9" s="124">
        <v>525</v>
      </c>
      <c r="AG9" s="124">
        <v>700</v>
      </c>
      <c r="AH9" s="124">
        <v>1750</v>
      </c>
      <c r="AI9" s="124">
        <v>2100</v>
      </c>
      <c r="AJ9" s="124">
        <v>3675</v>
      </c>
      <c r="AK9" s="124">
        <v>4200</v>
      </c>
      <c r="AL9" s="124">
        <v>4725</v>
      </c>
    </row>
    <row r="10" spans="2:38">
      <c r="B10" s="113">
        <v>5</v>
      </c>
      <c r="C10" s="135">
        <v>0</v>
      </c>
      <c r="D10" s="135">
        <v>0</v>
      </c>
      <c r="E10" s="135">
        <v>1</v>
      </c>
      <c r="F10" s="135">
        <v>0</v>
      </c>
      <c r="G10" s="135">
        <v>0</v>
      </c>
      <c r="I10" s="15" t="s">
        <v>111</v>
      </c>
      <c r="L10" s="47"/>
      <c r="N10" s="113" t="s">
        <v>104</v>
      </c>
      <c r="O10" s="193">
        <v>0</v>
      </c>
      <c r="P10" s="194">
        <v>0</v>
      </c>
      <c r="Q10" s="194">
        <v>0</v>
      </c>
      <c r="R10" s="194">
        <v>0</v>
      </c>
      <c r="S10" s="194">
        <v>0</v>
      </c>
      <c r="T10" s="124">
        <v>4480</v>
      </c>
      <c r="U10" s="124">
        <v>2500</v>
      </c>
      <c r="V10" s="124">
        <v>2000</v>
      </c>
      <c r="W10" s="124">
        <v>500</v>
      </c>
      <c r="X10" s="124">
        <v>100</v>
      </c>
      <c r="Y10" s="124">
        <v>200</v>
      </c>
      <c r="Z10" s="124">
        <v>20</v>
      </c>
      <c r="AA10" s="124">
        <v>200</v>
      </c>
      <c r="AB10" s="138">
        <v>36.980000000000004</v>
      </c>
      <c r="AC10" s="113" t="s">
        <v>104</v>
      </c>
      <c r="AD10" s="194">
        <v>0</v>
      </c>
      <c r="AE10" s="194">
        <v>0</v>
      </c>
      <c r="AF10" s="124">
        <v>525</v>
      </c>
      <c r="AG10" s="124">
        <v>700</v>
      </c>
      <c r="AH10" s="124">
        <v>1750</v>
      </c>
      <c r="AI10" s="124">
        <v>2100</v>
      </c>
      <c r="AJ10" s="124">
        <v>3675</v>
      </c>
      <c r="AK10" s="124">
        <v>4200</v>
      </c>
      <c r="AL10" s="124">
        <v>4725</v>
      </c>
    </row>
    <row r="11" spans="2:38" ht="15.6" customHeight="1">
      <c r="B11" s="113">
        <v>6</v>
      </c>
      <c r="C11" s="135">
        <v>2</v>
      </c>
      <c r="D11" s="135">
        <v>2</v>
      </c>
      <c r="E11" s="135">
        <v>1</v>
      </c>
      <c r="F11" s="135">
        <v>2</v>
      </c>
      <c r="G11" s="135">
        <v>2</v>
      </c>
      <c r="I11" s="121" t="s">
        <v>105</v>
      </c>
      <c r="J11" s="122" t="s">
        <v>91</v>
      </c>
      <c r="K11" s="122" t="s">
        <v>117</v>
      </c>
      <c r="N11" s="113" t="s">
        <v>114</v>
      </c>
      <c r="O11" s="193">
        <v>10000</v>
      </c>
      <c r="P11" s="194">
        <v>0</v>
      </c>
      <c r="Q11" s="194">
        <v>0</v>
      </c>
      <c r="R11" s="194">
        <v>0</v>
      </c>
      <c r="S11" s="194">
        <v>0</v>
      </c>
      <c r="T11" s="194">
        <v>0</v>
      </c>
      <c r="U11" s="194">
        <v>0</v>
      </c>
      <c r="V11" s="194">
        <v>0</v>
      </c>
      <c r="W11" s="194">
        <v>0</v>
      </c>
      <c r="X11" s="194">
        <v>0</v>
      </c>
      <c r="Y11" s="194">
        <v>0</v>
      </c>
      <c r="Z11" s="194">
        <v>0</v>
      </c>
      <c r="AA11" s="194">
        <v>0</v>
      </c>
      <c r="AB11" s="138">
        <v>0</v>
      </c>
      <c r="AC11" s="113" t="s">
        <v>114</v>
      </c>
      <c r="AD11" s="194">
        <v>0</v>
      </c>
      <c r="AE11" s="194">
        <v>0</v>
      </c>
      <c r="AF11" s="194">
        <v>0</v>
      </c>
      <c r="AG11" s="194">
        <v>0</v>
      </c>
      <c r="AH11" s="194">
        <v>0</v>
      </c>
      <c r="AI11" s="194">
        <v>0</v>
      </c>
      <c r="AJ11" s="194">
        <v>0</v>
      </c>
      <c r="AK11" s="194">
        <v>0</v>
      </c>
      <c r="AL11" s="194">
        <v>0</v>
      </c>
    </row>
    <row r="12" spans="2:38" ht="15.6" customHeight="1">
      <c r="B12" s="113">
        <v>7</v>
      </c>
      <c r="C12" s="135">
        <v>1</v>
      </c>
      <c r="D12" s="135">
        <v>2</v>
      </c>
      <c r="E12" s="135">
        <v>2</v>
      </c>
      <c r="F12" s="135">
        <v>2</v>
      </c>
      <c r="G12" s="135">
        <v>1</v>
      </c>
      <c r="I12" s="113" t="s">
        <v>102</v>
      </c>
      <c r="J12" s="123">
        <v>10000</v>
      </c>
      <c r="K12" s="204"/>
      <c r="L12" s="127">
        <v>1</v>
      </c>
    </row>
    <row r="13" spans="2:38" ht="15.6" customHeight="1">
      <c r="B13" s="113">
        <v>8</v>
      </c>
      <c r="C13" s="135">
        <v>1</v>
      </c>
      <c r="D13" s="135">
        <v>0</v>
      </c>
      <c r="E13" s="135">
        <v>0</v>
      </c>
      <c r="F13" s="135">
        <v>0</v>
      </c>
      <c r="G13" s="135">
        <v>1</v>
      </c>
      <c r="I13" s="113" t="s">
        <v>103</v>
      </c>
      <c r="J13" s="124">
        <v>0</v>
      </c>
      <c r="K13" s="113"/>
      <c r="L13" s="127">
        <v>0</v>
      </c>
    </row>
    <row r="14" spans="2:38" ht="15.6" customHeight="1">
      <c r="B14" s="113">
        <v>9</v>
      </c>
      <c r="C14" s="135">
        <v>0</v>
      </c>
      <c r="D14" s="135">
        <v>1</v>
      </c>
      <c r="E14" s="135">
        <v>1</v>
      </c>
      <c r="F14" s="135">
        <v>1</v>
      </c>
      <c r="G14" s="135">
        <v>0</v>
      </c>
      <c r="I14" s="113" t="s">
        <v>104</v>
      </c>
      <c r="J14" s="124">
        <v>0</v>
      </c>
      <c r="K14" s="113"/>
      <c r="L14" s="127">
        <v>0</v>
      </c>
      <c r="N14" s="15" t="s">
        <v>124</v>
      </c>
      <c r="AD14" s="159"/>
      <c r="AE14" s="159"/>
      <c r="AF14" s="159"/>
      <c r="AG14" s="159"/>
      <c r="AH14" s="159"/>
      <c r="AI14" s="159"/>
      <c r="AJ14" s="159"/>
      <c r="AK14" s="159"/>
      <c r="AL14" s="159"/>
    </row>
    <row r="15" spans="2:38" ht="15.6" customHeight="1">
      <c r="B15" s="113">
        <v>10</v>
      </c>
      <c r="C15" s="135">
        <v>2</v>
      </c>
      <c r="D15" s="135">
        <v>1</v>
      </c>
      <c r="E15" s="135">
        <v>1</v>
      </c>
      <c r="F15" s="135">
        <v>1</v>
      </c>
      <c r="G15" s="135">
        <v>2</v>
      </c>
      <c r="J15" s="47">
        <v>10000</v>
      </c>
      <c r="K15" s="47">
        <v>0</v>
      </c>
      <c r="L15" s="47"/>
      <c r="N15" s="122" t="s">
        <v>106</v>
      </c>
      <c r="O15" s="122">
        <v>0</v>
      </c>
      <c r="P15" s="122">
        <v>2</v>
      </c>
      <c r="Q15" s="122">
        <v>3</v>
      </c>
      <c r="R15" s="122">
        <v>5</v>
      </c>
      <c r="S15" s="122">
        <v>8</v>
      </c>
      <c r="T15" s="122">
        <v>10</v>
      </c>
      <c r="U15" s="122">
        <v>15</v>
      </c>
      <c r="V15" s="122">
        <v>20</v>
      </c>
      <c r="W15" s="122">
        <v>25</v>
      </c>
      <c r="X15" s="122">
        <v>50</v>
      </c>
      <c r="Y15" s="122">
        <v>100</v>
      </c>
      <c r="Z15" s="122">
        <v>500</v>
      </c>
      <c r="AA15" s="122">
        <v>1000</v>
      </c>
    </row>
    <row r="16" spans="2:38" ht="15.6" customHeight="1">
      <c r="B16" s="113">
        <v>11</v>
      </c>
      <c r="C16" s="135">
        <v>1</v>
      </c>
      <c r="D16" s="135">
        <v>1</v>
      </c>
      <c r="E16" s="135">
        <v>0</v>
      </c>
      <c r="F16" s="135">
        <v>1</v>
      </c>
      <c r="G16" s="135">
        <v>1</v>
      </c>
      <c r="L16" s="47"/>
      <c r="N16" s="204" t="s">
        <v>99</v>
      </c>
      <c r="O16" s="193">
        <v>10000</v>
      </c>
      <c r="P16" s="193">
        <v>0</v>
      </c>
      <c r="Q16" s="193">
        <v>0</v>
      </c>
      <c r="R16" s="193">
        <v>0</v>
      </c>
      <c r="S16" s="193">
        <v>0</v>
      </c>
      <c r="T16" s="193">
        <v>0</v>
      </c>
      <c r="U16" s="193">
        <v>0</v>
      </c>
      <c r="V16" s="193">
        <v>0</v>
      </c>
      <c r="W16" s="193">
        <v>0</v>
      </c>
      <c r="X16" s="193">
        <v>0</v>
      </c>
      <c r="Y16" s="193">
        <v>0</v>
      </c>
      <c r="Z16" s="193">
        <v>0</v>
      </c>
      <c r="AA16" s="193">
        <v>0</v>
      </c>
      <c r="AB16" s="138">
        <v>0</v>
      </c>
      <c r="AD16" s="153"/>
      <c r="AE16" s="153"/>
    </row>
    <row r="17" spans="2:31" ht="15.6" customHeight="1">
      <c r="B17" s="113">
        <v>12</v>
      </c>
      <c r="C17" s="135">
        <v>1</v>
      </c>
      <c r="D17" s="135">
        <v>1</v>
      </c>
      <c r="E17" s="135">
        <v>2</v>
      </c>
      <c r="F17" s="135">
        <v>1</v>
      </c>
      <c r="G17" s="135">
        <v>1</v>
      </c>
      <c r="I17" s="15" t="s">
        <v>113</v>
      </c>
      <c r="L17" s="47"/>
      <c r="N17" s="113" t="s">
        <v>100</v>
      </c>
      <c r="O17" s="194">
        <v>0</v>
      </c>
      <c r="P17" s="123">
        <v>3600</v>
      </c>
      <c r="Q17" s="123">
        <v>3400</v>
      </c>
      <c r="R17" s="123">
        <v>1500</v>
      </c>
      <c r="S17" s="123">
        <v>1500</v>
      </c>
      <c r="T17" s="193">
        <v>0</v>
      </c>
      <c r="U17" s="193">
        <v>0</v>
      </c>
      <c r="V17" s="193">
        <v>0</v>
      </c>
      <c r="W17" s="193">
        <v>0</v>
      </c>
      <c r="X17" s="193">
        <v>0</v>
      </c>
      <c r="Y17" s="193">
        <v>0</v>
      </c>
      <c r="Z17" s="193">
        <v>0</v>
      </c>
      <c r="AA17" s="193">
        <v>0</v>
      </c>
      <c r="AB17" s="138">
        <v>3.6900000000000004</v>
      </c>
      <c r="AD17" s="153"/>
      <c r="AE17" s="153"/>
    </row>
    <row r="18" spans="2:31" ht="15.6" customHeight="1">
      <c r="B18" s="113">
        <v>13</v>
      </c>
      <c r="C18" s="135">
        <v>1</v>
      </c>
      <c r="D18" s="135">
        <v>0</v>
      </c>
      <c r="E18" s="135">
        <v>1</v>
      </c>
      <c r="F18" s="135">
        <v>0</v>
      </c>
      <c r="G18" s="135">
        <v>1</v>
      </c>
      <c r="I18" s="121" t="s">
        <v>105</v>
      </c>
      <c r="J18" s="122" t="s">
        <v>91</v>
      </c>
      <c r="K18" s="122" t="s">
        <v>117</v>
      </c>
      <c r="N18" s="113" t="s">
        <v>115</v>
      </c>
      <c r="O18" s="194">
        <v>10000</v>
      </c>
      <c r="P18" s="193">
        <v>0</v>
      </c>
      <c r="Q18" s="193">
        <v>0</v>
      </c>
      <c r="R18" s="193">
        <v>0</v>
      </c>
      <c r="S18" s="193">
        <v>0</v>
      </c>
      <c r="T18" s="193">
        <v>0</v>
      </c>
      <c r="U18" s="193">
        <v>0</v>
      </c>
      <c r="V18" s="193">
        <v>0</v>
      </c>
      <c r="W18" s="193">
        <v>0</v>
      </c>
      <c r="X18" s="193">
        <v>0</v>
      </c>
      <c r="Y18" s="193">
        <v>0</v>
      </c>
      <c r="Z18" s="193">
        <v>0</v>
      </c>
      <c r="AA18" s="193">
        <v>0</v>
      </c>
      <c r="AB18" s="138">
        <v>0</v>
      </c>
      <c r="AD18" s="153"/>
      <c r="AE18" s="153"/>
    </row>
    <row r="19" spans="2:31" ht="15.6" customHeight="1">
      <c r="B19" s="113">
        <v>14</v>
      </c>
      <c r="C19" s="135">
        <v>1</v>
      </c>
      <c r="D19" s="135">
        <v>2</v>
      </c>
      <c r="E19" s="135">
        <v>1</v>
      </c>
      <c r="F19" s="135">
        <v>2</v>
      </c>
      <c r="G19" s="135">
        <v>1</v>
      </c>
      <c r="I19" s="113" t="s">
        <v>102</v>
      </c>
      <c r="J19" s="123">
        <v>10000</v>
      </c>
      <c r="K19" s="204"/>
      <c r="L19" s="127">
        <v>1</v>
      </c>
      <c r="N19" s="113" t="s">
        <v>102</v>
      </c>
      <c r="O19" s="194">
        <v>0</v>
      </c>
      <c r="P19" s="123">
        <v>6000</v>
      </c>
      <c r="Q19" s="124">
        <v>2800</v>
      </c>
      <c r="R19" s="124">
        <v>900</v>
      </c>
      <c r="S19" s="124">
        <v>300</v>
      </c>
      <c r="T19" s="194">
        <v>0</v>
      </c>
      <c r="U19" s="194">
        <v>0</v>
      </c>
      <c r="V19" s="194">
        <v>0</v>
      </c>
      <c r="W19" s="194">
        <v>0</v>
      </c>
      <c r="X19" s="194">
        <v>0</v>
      </c>
      <c r="Y19" s="194">
        <v>0</v>
      </c>
      <c r="Z19" s="194">
        <v>0</v>
      </c>
      <c r="AA19" s="194">
        <v>0</v>
      </c>
      <c r="AB19" s="138">
        <v>2.7300000000000004</v>
      </c>
    </row>
    <row r="20" spans="2:31" ht="15.6" customHeight="1">
      <c r="B20" s="113">
        <v>15</v>
      </c>
      <c r="C20" s="135">
        <v>0</v>
      </c>
      <c r="D20" s="135">
        <v>1</v>
      </c>
      <c r="E20" s="135">
        <v>0</v>
      </c>
      <c r="F20" s="135">
        <v>1</v>
      </c>
      <c r="G20" s="135">
        <v>0</v>
      </c>
      <c r="I20" s="113" t="s">
        <v>103</v>
      </c>
      <c r="J20" s="124">
        <v>0</v>
      </c>
      <c r="K20" s="113"/>
      <c r="L20" s="127">
        <v>0</v>
      </c>
      <c r="N20" s="113" t="s">
        <v>103</v>
      </c>
      <c r="O20" s="194">
        <v>0</v>
      </c>
      <c r="P20" s="123">
        <v>6000</v>
      </c>
      <c r="Q20" s="124">
        <v>2800</v>
      </c>
      <c r="R20" s="124">
        <v>900</v>
      </c>
      <c r="S20" s="124">
        <v>300</v>
      </c>
      <c r="T20" s="194">
        <v>0</v>
      </c>
      <c r="U20" s="194">
        <v>0</v>
      </c>
      <c r="V20" s="194">
        <v>0</v>
      </c>
      <c r="W20" s="194">
        <v>0</v>
      </c>
      <c r="X20" s="194">
        <v>0</v>
      </c>
      <c r="Y20" s="194">
        <v>0</v>
      </c>
      <c r="Z20" s="194">
        <v>0</v>
      </c>
      <c r="AA20" s="194">
        <v>0</v>
      </c>
      <c r="AB20" s="138">
        <v>2.7300000000000004</v>
      </c>
    </row>
    <row r="21" spans="2:31" ht="15.6" customHeight="1">
      <c r="B21" s="113">
        <v>16</v>
      </c>
      <c r="C21" s="135">
        <v>2</v>
      </c>
      <c r="D21" s="135">
        <v>1</v>
      </c>
      <c r="E21" s="135">
        <v>2</v>
      </c>
      <c r="F21" s="135">
        <v>1</v>
      </c>
      <c r="G21" s="135">
        <v>2</v>
      </c>
      <c r="I21" s="113" t="s">
        <v>104</v>
      </c>
      <c r="J21" s="124">
        <v>0</v>
      </c>
      <c r="K21" s="113"/>
      <c r="L21" s="127">
        <v>0</v>
      </c>
      <c r="N21" s="113" t="s">
        <v>104</v>
      </c>
      <c r="O21" s="194">
        <v>0</v>
      </c>
      <c r="P21" s="123">
        <v>6000</v>
      </c>
      <c r="Q21" s="124">
        <v>2800</v>
      </c>
      <c r="R21" s="124">
        <v>900</v>
      </c>
      <c r="S21" s="124">
        <v>300</v>
      </c>
      <c r="T21" s="194">
        <v>0</v>
      </c>
      <c r="U21" s="194">
        <v>0</v>
      </c>
      <c r="V21" s="194">
        <v>0</v>
      </c>
      <c r="W21" s="194">
        <v>0</v>
      </c>
      <c r="X21" s="194">
        <v>0</v>
      </c>
      <c r="Y21" s="194">
        <v>0</v>
      </c>
      <c r="Z21" s="194">
        <v>0</v>
      </c>
      <c r="AA21" s="194">
        <v>0</v>
      </c>
      <c r="AB21" s="138">
        <v>2.7300000000000004</v>
      </c>
    </row>
    <row r="22" spans="2:31" ht="15.6" customHeight="1">
      <c r="B22" s="113">
        <v>17</v>
      </c>
      <c r="C22" s="135">
        <v>0</v>
      </c>
      <c r="D22" s="135">
        <v>0</v>
      </c>
      <c r="E22" s="135">
        <v>1</v>
      </c>
      <c r="F22" s="135">
        <v>2</v>
      </c>
      <c r="G22" s="135">
        <v>2</v>
      </c>
      <c r="J22" s="47">
        <v>10000</v>
      </c>
      <c r="K22" s="47">
        <v>0</v>
      </c>
      <c r="N22" s="113" t="s">
        <v>114</v>
      </c>
      <c r="O22" s="194">
        <v>10000</v>
      </c>
      <c r="P22" s="193">
        <v>0</v>
      </c>
      <c r="Q22" s="193">
        <v>0</v>
      </c>
      <c r="R22" s="193">
        <v>0</v>
      </c>
      <c r="S22" s="193">
        <v>0</v>
      </c>
      <c r="T22" s="193">
        <v>0</v>
      </c>
      <c r="U22" s="193">
        <v>0</v>
      </c>
      <c r="V22" s="193">
        <v>0</v>
      </c>
      <c r="W22" s="193">
        <v>0</v>
      </c>
      <c r="X22" s="193">
        <v>0</v>
      </c>
      <c r="Y22" s="193">
        <v>0</v>
      </c>
      <c r="Z22" s="193">
        <v>0</v>
      </c>
      <c r="AA22" s="193">
        <v>0</v>
      </c>
      <c r="AB22" s="138">
        <v>0</v>
      </c>
    </row>
    <row r="23" spans="2:31" ht="15.6" customHeight="1">
      <c r="B23" s="113">
        <v>18</v>
      </c>
      <c r="C23" s="135">
        <v>2</v>
      </c>
      <c r="D23" s="135">
        <v>2</v>
      </c>
      <c r="E23" s="135">
        <v>1</v>
      </c>
      <c r="F23" s="135">
        <v>0</v>
      </c>
      <c r="G23" s="135">
        <v>0</v>
      </c>
      <c r="P23" s="159"/>
      <c r="Q23" s="159"/>
      <c r="R23" s="159"/>
      <c r="S23" s="159"/>
    </row>
    <row r="24" spans="2:31" ht="15.6" customHeight="1">
      <c r="B24" s="113">
        <v>19</v>
      </c>
      <c r="C24" s="135">
        <v>0</v>
      </c>
      <c r="D24" s="135">
        <v>2</v>
      </c>
      <c r="E24" s="135">
        <v>0</v>
      </c>
      <c r="F24" s="135">
        <v>2</v>
      </c>
      <c r="G24" s="135">
        <v>0</v>
      </c>
      <c r="I24" s="15" t="s">
        <v>119</v>
      </c>
    </row>
    <row r="25" spans="2:31" ht="15.6" customHeight="1">
      <c r="I25" s="122" t="s">
        <v>118</v>
      </c>
      <c r="N25" s="15" t="s">
        <v>125</v>
      </c>
    </row>
    <row r="26" spans="2:31" ht="15.6" customHeight="1">
      <c r="I26" s="134">
        <v>0</v>
      </c>
      <c r="N26" s="122" t="s">
        <v>106</v>
      </c>
      <c r="O26" s="122">
        <v>0</v>
      </c>
      <c r="P26" s="122">
        <v>2</v>
      </c>
      <c r="Q26" s="122">
        <v>3</v>
      </c>
      <c r="R26" s="122">
        <v>5</v>
      </c>
      <c r="S26" s="122">
        <v>8</v>
      </c>
      <c r="T26" s="122">
        <v>10</v>
      </c>
      <c r="U26" s="122">
        <v>15</v>
      </c>
      <c r="V26" s="122">
        <v>20</v>
      </c>
      <c r="W26" s="122">
        <v>25</v>
      </c>
      <c r="X26" s="122">
        <v>50</v>
      </c>
      <c r="Y26" s="122">
        <v>100</v>
      </c>
      <c r="Z26" s="122">
        <v>500</v>
      </c>
      <c r="AA26" s="122">
        <v>1000</v>
      </c>
    </row>
    <row r="27" spans="2:31" ht="15.6" customHeight="1">
      <c r="I27" s="135">
        <v>2</v>
      </c>
      <c r="N27" s="204" t="s">
        <v>99</v>
      </c>
      <c r="O27" s="193">
        <v>10000</v>
      </c>
      <c r="P27" s="193">
        <v>0</v>
      </c>
      <c r="Q27" s="193">
        <v>0</v>
      </c>
      <c r="R27" s="193">
        <v>0</v>
      </c>
      <c r="S27" s="193">
        <v>0</v>
      </c>
      <c r="T27" s="193">
        <v>0</v>
      </c>
      <c r="U27" s="193">
        <v>0</v>
      </c>
      <c r="V27" s="193">
        <v>0</v>
      </c>
      <c r="W27" s="193">
        <v>0</v>
      </c>
      <c r="X27" s="193">
        <v>0</v>
      </c>
      <c r="Y27" s="193">
        <v>0</v>
      </c>
      <c r="Z27" s="193">
        <v>0</v>
      </c>
      <c r="AA27" s="193">
        <v>0</v>
      </c>
      <c r="AB27" s="138">
        <v>0</v>
      </c>
    </row>
    <row r="28" spans="2:31">
      <c r="I28" s="135">
        <v>3</v>
      </c>
      <c r="N28" s="113" t="s">
        <v>100</v>
      </c>
      <c r="O28" s="193">
        <v>0</v>
      </c>
      <c r="P28" s="123">
        <v>3500</v>
      </c>
      <c r="Q28" s="123">
        <v>3400</v>
      </c>
      <c r="R28" s="123">
        <v>1500</v>
      </c>
      <c r="S28" s="123">
        <v>1500</v>
      </c>
      <c r="T28" s="124">
        <v>20</v>
      </c>
      <c r="U28" s="124">
        <v>20</v>
      </c>
      <c r="V28" s="124">
        <v>5</v>
      </c>
      <c r="W28" s="124">
        <v>5</v>
      </c>
      <c r="X28" s="124">
        <v>5</v>
      </c>
      <c r="Y28" s="124">
        <v>20</v>
      </c>
      <c r="Z28" s="124">
        <v>5</v>
      </c>
      <c r="AA28" s="124">
        <v>20</v>
      </c>
      <c r="AB28" s="138">
        <v>6.2174999999999994</v>
      </c>
    </row>
    <row r="29" spans="2:31">
      <c r="I29" s="135">
        <v>5</v>
      </c>
      <c r="N29" s="113" t="s">
        <v>115</v>
      </c>
      <c r="O29" s="193">
        <v>10000</v>
      </c>
      <c r="P29" s="193">
        <v>0</v>
      </c>
      <c r="Q29" s="193">
        <v>0</v>
      </c>
      <c r="R29" s="193">
        <v>0</v>
      </c>
      <c r="S29" s="193">
        <v>0</v>
      </c>
      <c r="T29" s="193">
        <v>0</v>
      </c>
      <c r="U29" s="193">
        <v>0</v>
      </c>
      <c r="V29" s="193">
        <v>0</v>
      </c>
      <c r="W29" s="193">
        <v>0</v>
      </c>
      <c r="X29" s="193">
        <v>0</v>
      </c>
      <c r="Y29" s="193">
        <v>0</v>
      </c>
      <c r="Z29" s="193">
        <v>0</v>
      </c>
      <c r="AA29" s="193">
        <v>0</v>
      </c>
      <c r="AB29" s="138">
        <v>0</v>
      </c>
      <c r="AD29" s="153"/>
      <c r="AE29" s="153"/>
    </row>
    <row r="30" spans="2:31">
      <c r="I30" s="135">
        <v>8</v>
      </c>
      <c r="N30" s="113" t="s">
        <v>102</v>
      </c>
      <c r="O30" s="193">
        <v>0</v>
      </c>
      <c r="P30" s="123">
        <v>5800</v>
      </c>
      <c r="Q30" s="124">
        <v>2800</v>
      </c>
      <c r="R30" s="124">
        <v>900</v>
      </c>
      <c r="S30" s="124">
        <v>300</v>
      </c>
      <c r="T30" s="124">
        <v>20</v>
      </c>
      <c r="U30" s="124">
        <v>20</v>
      </c>
      <c r="V30" s="124">
        <v>5</v>
      </c>
      <c r="W30" s="124">
        <v>5</v>
      </c>
      <c r="X30" s="124">
        <v>5</v>
      </c>
      <c r="Y30" s="124">
        <v>70</v>
      </c>
      <c r="Z30" s="124">
        <v>5</v>
      </c>
      <c r="AA30" s="124">
        <v>70</v>
      </c>
      <c r="AB30" s="138">
        <v>10.737500000000001</v>
      </c>
    </row>
    <row r="31" spans="2:31">
      <c r="I31" s="135">
        <v>10</v>
      </c>
      <c r="N31" s="113" t="s">
        <v>103</v>
      </c>
      <c r="O31" s="193">
        <v>0</v>
      </c>
      <c r="P31" s="123">
        <v>5880</v>
      </c>
      <c r="Q31" s="124">
        <v>2800</v>
      </c>
      <c r="R31" s="124">
        <v>900</v>
      </c>
      <c r="S31" s="124">
        <v>300</v>
      </c>
      <c r="T31" s="124">
        <v>20</v>
      </c>
      <c r="U31" s="124">
        <v>20</v>
      </c>
      <c r="V31" s="124">
        <v>5</v>
      </c>
      <c r="W31" s="124">
        <v>5</v>
      </c>
      <c r="X31" s="124">
        <v>5</v>
      </c>
      <c r="Y31" s="124">
        <v>30</v>
      </c>
      <c r="Z31" s="124">
        <v>5</v>
      </c>
      <c r="AA31" s="124">
        <v>30</v>
      </c>
      <c r="AB31" s="138">
        <v>6.3535000000000004</v>
      </c>
      <c r="AD31" s="153"/>
      <c r="AE31" s="153"/>
    </row>
    <row r="32" spans="2:31">
      <c r="I32" s="135">
        <v>15</v>
      </c>
      <c r="N32" s="113" t="s">
        <v>104</v>
      </c>
      <c r="O32" s="193">
        <v>0</v>
      </c>
      <c r="P32" s="123">
        <v>5900</v>
      </c>
      <c r="Q32" s="124">
        <v>2800</v>
      </c>
      <c r="R32" s="124">
        <v>900</v>
      </c>
      <c r="S32" s="124">
        <v>300</v>
      </c>
      <c r="T32" s="124">
        <v>20</v>
      </c>
      <c r="U32" s="124">
        <v>20</v>
      </c>
      <c r="V32" s="124">
        <v>5</v>
      </c>
      <c r="W32" s="124">
        <v>5</v>
      </c>
      <c r="X32" s="124">
        <v>5</v>
      </c>
      <c r="Y32" s="124">
        <v>20</v>
      </c>
      <c r="Z32" s="124">
        <v>5</v>
      </c>
      <c r="AA32" s="124">
        <v>20</v>
      </c>
      <c r="AB32" s="138">
        <v>5.2575000000000003</v>
      </c>
      <c r="AD32" s="153"/>
      <c r="AE32" s="153"/>
    </row>
    <row r="33" spans="9:31">
      <c r="I33" s="135">
        <v>20</v>
      </c>
      <c r="N33" s="113" t="s">
        <v>114</v>
      </c>
      <c r="O33" s="193">
        <v>10000</v>
      </c>
      <c r="P33" s="193">
        <v>0</v>
      </c>
      <c r="Q33" s="193">
        <v>0</v>
      </c>
      <c r="R33" s="193">
        <v>0</v>
      </c>
      <c r="S33" s="193">
        <v>0</v>
      </c>
      <c r="T33" s="193">
        <v>0</v>
      </c>
      <c r="U33" s="193">
        <v>0</v>
      </c>
      <c r="V33" s="193">
        <v>0</v>
      </c>
      <c r="W33" s="193">
        <v>0</v>
      </c>
      <c r="X33" s="193">
        <v>0</v>
      </c>
      <c r="Y33" s="193">
        <v>0</v>
      </c>
      <c r="Z33" s="193">
        <v>0</v>
      </c>
      <c r="AA33" s="193">
        <v>0</v>
      </c>
      <c r="AB33" s="138">
        <v>0</v>
      </c>
      <c r="AD33" s="153"/>
      <c r="AE33" s="153"/>
    </row>
    <row r="34" spans="9:31">
      <c r="I34" s="135">
        <v>25</v>
      </c>
    </row>
    <row r="35" spans="9:31">
      <c r="I35" s="135">
        <v>50</v>
      </c>
    </row>
    <row r="36" spans="9:31">
      <c r="I36" s="135">
        <v>100</v>
      </c>
      <c r="N36" s="15" t="s">
        <v>110</v>
      </c>
    </row>
    <row r="37" spans="9:31">
      <c r="I37" s="135">
        <v>500</v>
      </c>
      <c r="N37" s="122" t="s">
        <v>106</v>
      </c>
      <c r="O37" s="122">
        <v>0</v>
      </c>
      <c r="P37" s="122">
        <v>2</v>
      </c>
      <c r="Q37" s="122">
        <v>3</v>
      </c>
      <c r="R37" s="122">
        <v>5</v>
      </c>
      <c r="S37" s="122">
        <v>8</v>
      </c>
      <c r="T37" s="122">
        <v>10</v>
      </c>
      <c r="U37" s="122">
        <v>15</v>
      </c>
      <c r="V37" s="122">
        <v>20</v>
      </c>
      <c r="W37" s="122">
        <v>25</v>
      </c>
      <c r="X37" s="122">
        <v>50</v>
      </c>
      <c r="Y37" s="122">
        <v>100</v>
      </c>
      <c r="Z37" s="122">
        <v>500</v>
      </c>
      <c r="AA37" s="122">
        <v>1000</v>
      </c>
    </row>
    <row r="38" spans="9:31">
      <c r="I38" s="135">
        <v>1000</v>
      </c>
      <c r="N38" s="113" t="s">
        <v>99</v>
      </c>
      <c r="O38" s="123">
        <v>8500</v>
      </c>
      <c r="P38" s="123">
        <v>500</v>
      </c>
      <c r="Q38" s="123">
        <v>400</v>
      </c>
      <c r="R38" s="123">
        <v>300</v>
      </c>
      <c r="S38" s="123">
        <v>300</v>
      </c>
      <c r="T38" s="193">
        <v>0</v>
      </c>
      <c r="U38" s="193">
        <v>0</v>
      </c>
      <c r="V38" s="193">
        <v>0</v>
      </c>
      <c r="W38" s="193">
        <v>0</v>
      </c>
      <c r="X38" s="193">
        <v>0</v>
      </c>
      <c r="Y38" s="193">
        <v>0</v>
      </c>
      <c r="Z38" s="193">
        <v>0</v>
      </c>
      <c r="AA38" s="193">
        <v>0</v>
      </c>
      <c r="AB38" s="138">
        <v>4.0666666666666664</v>
      </c>
      <c r="AC38" s="138"/>
      <c r="AD38" s="153"/>
      <c r="AE38" s="153"/>
    </row>
    <row r="39" spans="9:31">
      <c r="N39" s="113" t="s">
        <v>100</v>
      </c>
      <c r="O39" s="123">
        <v>8500</v>
      </c>
      <c r="P39" s="123">
        <v>500</v>
      </c>
      <c r="Q39" s="123">
        <v>400</v>
      </c>
      <c r="R39" s="123">
        <v>300</v>
      </c>
      <c r="S39" s="123">
        <v>300</v>
      </c>
      <c r="T39" s="193">
        <v>0</v>
      </c>
      <c r="U39" s="193">
        <v>0</v>
      </c>
      <c r="V39" s="193">
        <v>0</v>
      </c>
      <c r="W39" s="193">
        <v>0</v>
      </c>
      <c r="X39" s="193">
        <v>0</v>
      </c>
      <c r="Y39" s="193">
        <v>0</v>
      </c>
      <c r="Z39" s="193">
        <v>0</v>
      </c>
      <c r="AA39" s="193">
        <v>0</v>
      </c>
      <c r="AB39" s="138">
        <v>4.0666666666666664</v>
      </c>
      <c r="AC39" s="138"/>
      <c r="AD39" s="153"/>
      <c r="AE39" s="153"/>
    </row>
    <row r="40" spans="9:31">
      <c r="N40" s="113" t="s">
        <v>115</v>
      </c>
      <c r="O40" s="124">
        <v>8500</v>
      </c>
      <c r="P40" s="123">
        <v>500</v>
      </c>
      <c r="Q40" s="123">
        <v>400</v>
      </c>
      <c r="R40" s="123">
        <v>300</v>
      </c>
      <c r="S40" s="123">
        <v>300</v>
      </c>
      <c r="T40" s="193">
        <v>0</v>
      </c>
      <c r="U40" s="193">
        <v>0</v>
      </c>
      <c r="V40" s="193">
        <v>0</v>
      </c>
      <c r="W40" s="193">
        <v>0</v>
      </c>
      <c r="X40" s="193">
        <v>0</v>
      </c>
      <c r="Y40" s="193">
        <v>0</v>
      </c>
      <c r="Z40" s="193">
        <v>0</v>
      </c>
      <c r="AA40" s="193">
        <v>0</v>
      </c>
      <c r="AB40" s="138">
        <v>4.0666666666666664</v>
      </c>
      <c r="AC40" s="138"/>
      <c r="AD40" s="153"/>
      <c r="AE40" s="153"/>
    </row>
    <row r="41" spans="9:31">
      <c r="I41" s="15" t="s">
        <v>122</v>
      </c>
      <c r="N41" s="113" t="s">
        <v>102</v>
      </c>
      <c r="O41" s="124">
        <v>6710</v>
      </c>
      <c r="P41" s="123">
        <v>2100</v>
      </c>
      <c r="Q41" s="123">
        <v>860</v>
      </c>
      <c r="R41" s="124">
        <v>220</v>
      </c>
      <c r="S41" s="124">
        <v>110</v>
      </c>
      <c r="T41" s="194">
        <v>0</v>
      </c>
      <c r="U41" s="194">
        <v>0</v>
      </c>
      <c r="V41" s="194">
        <v>0</v>
      </c>
      <c r="W41" s="194">
        <v>0</v>
      </c>
      <c r="X41" s="194">
        <v>0</v>
      </c>
      <c r="Y41" s="194">
        <v>0</v>
      </c>
      <c r="Z41" s="194">
        <v>0</v>
      </c>
      <c r="AA41" s="194">
        <v>0</v>
      </c>
      <c r="AB41" s="138">
        <v>2.6626139817629175</v>
      </c>
      <c r="AC41" s="138"/>
      <c r="AD41" s="153"/>
      <c r="AE41" s="153"/>
    </row>
    <row r="42" spans="9:31">
      <c r="I42" s="121"/>
      <c r="J42" s="122" t="s">
        <v>123</v>
      </c>
      <c r="K42" s="122" t="s">
        <v>90</v>
      </c>
      <c r="N42" s="113" t="s">
        <v>103</v>
      </c>
      <c r="O42" s="124">
        <v>6710</v>
      </c>
      <c r="P42" s="123">
        <v>2100</v>
      </c>
      <c r="Q42" s="123">
        <v>860</v>
      </c>
      <c r="R42" s="124">
        <v>220</v>
      </c>
      <c r="S42" s="124">
        <v>110</v>
      </c>
      <c r="T42" s="194">
        <v>0</v>
      </c>
      <c r="U42" s="194">
        <v>0</v>
      </c>
      <c r="V42" s="194">
        <v>0</v>
      </c>
      <c r="W42" s="194">
        <v>0</v>
      </c>
      <c r="X42" s="194">
        <v>0</v>
      </c>
      <c r="Y42" s="194">
        <v>0</v>
      </c>
      <c r="Z42" s="194">
        <v>0</v>
      </c>
      <c r="AA42" s="194">
        <v>0</v>
      </c>
      <c r="AB42" s="138">
        <v>2.6626139817629175</v>
      </c>
      <c r="AC42" s="138"/>
      <c r="AD42" s="153"/>
      <c r="AE42" s="153"/>
    </row>
    <row r="43" spans="9:31">
      <c r="I43" s="113" t="s">
        <v>43</v>
      </c>
      <c r="J43" s="123">
        <v>10</v>
      </c>
      <c r="K43" s="123">
        <v>0</v>
      </c>
      <c r="N43" s="113" t="s">
        <v>104</v>
      </c>
      <c r="O43" s="124">
        <v>6710</v>
      </c>
      <c r="P43" s="123">
        <v>2100</v>
      </c>
      <c r="Q43" s="123">
        <v>860</v>
      </c>
      <c r="R43" s="124">
        <v>220</v>
      </c>
      <c r="S43" s="124">
        <v>110</v>
      </c>
      <c r="T43" s="194">
        <v>0</v>
      </c>
      <c r="U43" s="194">
        <v>0</v>
      </c>
      <c r="V43" s="194">
        <v>0</v>
      </c>
      <c r="W43" s="194">
        <v>0</v>
      </c>
      <c r="X43" s="194">
        <v>0</v>
      </c>
      <c r="Y43" s="194">
        <v>0</v>
      </c>
      <c r="Z43" s="194">
        <v>0</v>
      </c>
      <c r="AA43" s="194">
        <v>0</v>
      </c>
      <c r="AB43" s="138">
        <v>2.6626139817629175</v>
      </c>
      <c r="AC43" s="138"/>
      <c r="AD43" s="153"/>
      <c r="AE43" s="153"/>
    </row>
    <row r="44" spans="9:31">
      <c r="I44" s="113" t="s">
        <v>44</v>
      </c>
      <c r="J44" s="124">
        <v>10</v>
      </c>
      <c r="K44" s="124">
        <v>0</v>
      </c>
      <c r="N44" s="113" t="s">
        <v>114</v>
      </c>
      <c r="O44" s="194">
        <v>10000</v>
      </c>
      <c r="P44" s="193">
        <v>0</v>
      </c>
      <c r="Q44" s="193">
        <v>0</v>
      </c>
      <c r="R44" s="193">
        <v>0</v>
      </c>
      <c r="S44" s="193">
        <v>0</v>
      </c>
      <c r="T44" s="193">
        <v>0</v>
      </c>
      <c r="U44" s="193">
        <v>0</v>
      </c>
      <c r="V44" s="193">
        <v>0</v>
      </c>
      <c r="W44" s="193">
        <v>0</v>
      </c>
      <c r="X44" s="193">
        <v>0</v>
      </c>
      <c r="Y44" s="193">
        <v>0</v>
      </c>
      <c r="Z44" s="193">
        <v>0</v>
      </c>
      <c r="AA44" s="193">
        <v>0</v>
      </c>
      <c r="AB44" s="138" t="e">
        <v>#DIV/0!</v>
      </c>
      <c r="AC44" s="138"/>
      <c r="AD44" s="153"/>
      <c r="AE44" s="153"/>
    </row>
    <row r="46" spans="9:31">
      <c r="P46" s="159"/>
      <c r="Q46" s="159"/>
      <c r="R46" s="159"/>
      <c r="S46" s="159"/>
    </row>
    <row r="47" spans="9:31">
      <c r="N47" s="15" t="s">
        <v>109</v>
      </c>
    </row>
    <row r="48" spans="9:31">
      <c r="N48" s="122" t="s">
        <v>106</v>
      </c>
      <c r="O48" s="122">
        <v>0</v>
      </c>
      <c r="P48" s="122">
        <v>2</v>
      </c>
      <c r="Q48" s="122">
        <v>3</v>
      </c>
      <c r="R48" s="122">
        <v>5</v>
      </c>
      <c r="S48" s="122">
        <v>8</v>
      </c>
      <c r="T48" s="122">
        <v>10</v>
      </c>
      <c r="U48" s="122">
        <v>15</v>
      </c>
      <c r="V48" s="122">
        <v>20</v>
      </c>
      <c r="W48" s="122">
        <v>25</v>
      </c>
      <c r="X48" s="122">
        <v>50</v>
      </c>
      <c r="Y48" s="122">
        <v>100</v>
      </c>
      <c r="Z48" s="122">
        <v>500</v>
      </c>
      <c r="AA48" s="122">
        <v>1000</v>
      </c>
    </row>
    <row r="49" spans="14:31">
      <c r="N49" s="113" t="s">
        <v>99</v>
      </c>
      <c r="O49" s="123">
        <v>8400</v>
      </c>
      <c r="P49" s="123">
        <v>500</v>
      </c>
      <c r="Q49" s="123">
        <v>400</v>
      </c>
      <c r="R49" s="123">
        <v>300</v>
      </c>
      <c r="S49" s="123">
        <v>300</v>
      </c>
      <c r="T49" s="124">
        <v>20</v>
      </c>
      <c r="U49" s="124">
        <v>20</v>
      </c>
      <c r="V49" s="124">
        <v>5</v>
      </c>
      <c r="W49" s="124">
        <v>5</v>
      </c>
      <c r="X49" s="124">
        <v>5</v>
      </c>
      <c r="Y49" s="124">
        <v>20</v>
      </c>
      <c r="Z49" s="124">
        <v>5</v>
      </c>
      <c r="AA49" s="124">
        <v>20</v>
      </c>
      <c r="AB49" s="138">
        <v>19.734375</v>
      </c>
      <c r="AC49" s="138"/>
      <c r="AD49" s="153"/>
      <c r="AE49" s="153"/>
    </row>
    <row r="50" spans="14:31">
      <c r="N50" s="113" t="s">
        <v>100</v>
      </c>
      <c r="O50" s="123">
        <v>8400</v>
      </c>
      <c r="P50" s="123">
        <v>500</v>
      </c>
      <c r="Q50" s="123">
        <v>400</v>
      </c>
      <c r="R50" s="123">
        <v>300</v>
      </c>
      <c r="S50" s="123">
        <v>300</v>
      </c>
      <c r="T50" s="124">
        <v>20</v>
      </c>
      <c r="U50" s="124">
        <v>20</v>
      </c>
      <c r="V50" s="124">
        <v>5</v>
      </c>
      <c r="W50" s="124">
        <v>5</v>
      </c>
      <c r="X50" s="124">
        <v>5</v>
      </c>
      <c r="Y50" s="124">
        <v>20</v>
      </c>
      <c r="Z50" s="124">
        <v>5</v>
      </c>
      <c r="AA50" s="124">
        <v>20</v>
      </c>
      <c r="AB50" s="138">
        <v>19.734375</v>
      </c>
      <c r="AC50" s="138"/>
      <c r="AD50" s="153"/>
      <c r="AE50" s="153"/>
    </row>
    <row r="51" spans="14:31">
      <c r="N51" s="113" t="s">
        <v>115</v>
      </c>
      <c r="O51" s="123">
        <v>8500</v>
      </c>
      <c r="P51" s="123">
        <v>500</v>
      </c>
      <c r="Q51" s="123">
        <v>400</v>
      </c>
      <c r="R51" s="123">
        <v>300</v>
      </c>
      <c r="S51" s="123">
        <v>300</v>
      </c>
      <c r="T51" s="193">
        <v>0</v>
      </c>
      <c r="U51" s="193">
        <v>0</v>
      </c>
      <c r="V51" s="193">
        <v>0</v>
      </c>
      <c r="W51" s="193">
        <v>0</v>
      </c>
      <c r="X51" s="193">
        <v>0</v>
      </c>
      <c r="Y51" s="193">
        <v>0</v>
      </c>
      <c r="Z51" s="193">
        <v>0</v>
      </c>
      <c r="AA51" s="193">
        <v>0</v>
      </c>
      <c r="AB51" s="138">
        <v>4.0666666666666664</v>
      </c>
      <c r="AC51" s="138"/>
      <c r="AD51" s="153"/>
      <c r="AE51" s="153"/>
    </row>
    <row r="52" spans="14:31">
      <c r="N52" s="113" t="s">
        <v>102</v>
      </c>
      <c r="O52" s="123">
        <v>6550</v>
      </c>
      <c r="P52" s="123">
        <v>2000</v>
      </c>
      <c r="Q52" s="123">
        <v>1000</v>
      </c>
      <c r="R52" s="124">
        <v>200</v>
      </c>
      <c r="S52" s="124">
        <v>50</v>
      </c>
      <c r="T52" s="124">
        <v>20</v>
      </c>
      <c r="U52" s="124">
        <v>20</v>
      </c>
      <c r="V52" s="124">
        <v>5</v>
      </c>
      <c r="W52" s="124">
        <v>5</v>
      </c>
      <c r="X52" s="124">
        <v>5</v>
      </c>
      <c r="Y52" s="124">
        <v>70</v>
      </c>
      <c r="Z52" s="124">
        <v>5</v>
      </c>
      <c r="AA52" s="124">
        <v>70</v>
      </c>
      <c r="AB52" s="138">
        <v>25.760869565217391</v>
      </c>
      <c r="AC52" s="138"/>
      <c r="AD52" s="153"/>
      <c r="AE52" s="153"/>
    </row>
    <row r="53" spans="14:31">
      <c r="N53" s="113" t="s">
        <v>103</v>
      </c>
      <c r="O53" s="123">
        <v>6630</v>
      </c>
      <c r="P53" s="123">
        <v>2000</v>
      </c>
      <c r="Q53" s="123">
        <v>1000</v>
      </c>
      <c r="R53" s="124">
        <v>200</v>
      </c>
      <c r="S53" s="124">
        <v>50</v>
      </c>
      <c r="T53" s="124">
        <v>20</v>
      </c>
      <c r="U53" s="124">
        <v>20</v>
      </c>
      <c r="V53" s="124">
        <v>5</v>
      </c>
      <c r="W53" s="124">
        <v>5</v>
      </c>
      <c r="X53" s="124">
        <v>5</v>
      </c>
      <c r="Y53" s="124">
        <v>30</v>
      </c>
      <c r="Z53" s="124">
        <v>5</v>
      </c>
      <c r="AA53" s="124">
        <v>30</v>
      </c>
      <c r="AB53" s="138">
        <v>13.316023738872405</v>
      </c>
      <c r="AC53" s="138"/>
      <c r="AD53" s="153"/>
      <c r="AE53" s="153"/>
    </row>
    <row r="54" spans="14:31">
      <c r="N54" s="113" t="s">
        <v>104</v>
      </c>
      <c r="O54" s="123">
        <v>6650</v>
      </c>
      <c r="P54" s="123">
        <v>2000</v>
      </c>
      <c r="Q54" s="123">
        <v>1000</v>
      </c>
      <c r="R54" s="124">
        <v>200</v>
      </c>
      <c r="S54" s="124">
        <v>50</v>
      </c>
      <c r="T54" s="124">
        <v>20</v>
      </c>
      <c r="U54" s="124">
        <v>20</v>
      </c>
      <c r="V54" s="124">
        <v>5</v>
      </c>
      <c r="W54" s="124">
        <v>5</v>
      </c>
      <c r="X54" s="124">
        <v>5</v>
      </c>
      <c r="Y54" s="124">
        <v>20</v>
      </c>
      <c r="Z54" s="124">
        <v>5</v>
      </c>
      <c r="AA54" s="124">
        <v>20</v>
      </c>
      <c r="AB54" s="138">
        <v>10.111940298507463</v>
      </c>
      <c r="AC54" s="138"/>
      <c r="AD54" s="153"/>
      <c r="AE54" s="153"/>
    </row>
    <row r="55" spans="14:31">
      <c r="N55" s="113" t="s">
        <v>114</v>
      </c>
      <c r="O55" s="194">
        <v>10000</v>
      </c>
      <c r="P55" s="193">
        <v>0</v>
      </c>
      <c r="Q55" s="193">
        <v>0</v>
      </c>
      <c r="R55" s="193">
        <v>0</v>
      </c>
      <c r="S55" s="193">
        <v>0</v>
      </c>
      <c r="T55" s="193">
        <v>0</v>
      </c>
      <c r="U55" s="193">
        <v>0</v>
      </c>
      <c r="V55" s="193">
        <v>0</v>
      </c>
      <c r="W55" s="193">
        <v>0</v>
      </c>
      <c r="X55" s="193">
        <v>0</v>
      </c>
      <c r="Y55" s="193">
        <v>0</v>
      </c>
      <c r="Z55" s="193">
        <v>0</v>
      </c>
      <c r="AA55" s="193">
        <v>0</v>
      </c>
      <c r="AB55" s="138" t="e">
        <v>#DIV/0!</v>
      </c>
      <c r="AC55" s="138"/>
      <c r="AD55" s="153"/>
      <c r="AE55" s="153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263</v>
      </c>
      <c r="D2" s="15" t="s">
        <v>263</v>
      </c>
      <c r="E2" s="15" t="s">
        <v>263</v>
      </c>
      <c r="F2" s="15" t="s">
        <v>263</v>
      </c>
      <c r="G2" s="15" t="s">
        <v>262</v>
      </c>
      <c r="H2" s="15" t="s">
        <v>262</v>
      </c>
      <c r="I2" s="15" t="s">
        <v>262</v>
      </c>
      <c r="J2" s="15" t="s">
        <v>262</v>
      </c>
      <c r="K2" s="15" t="s">
        <v>262</v>
      </c>
    </row>
    <row r="3" spans="2:11">
      <c r="B3" s="122" t="s">
        <v>300</v>
      </c>
      <c r="C3" s="122" t="s">
        <v>265</v>
      </c>
      <c r="D3" s="122" t="s">
        <v>266</v>
      </c>
      <c r="E3" s="122" t="s">
        <v>267</v>
      </c>
      <c r="F3" s="122" t="s">
        <v>268</v>
      </c>
      <c r="G3" s="122" t="s">
        <v>265</v>
      </c>
      <c r="H3" s="122" t="s">
        <v>266</v>
      </c>
      <c r="I3" s="122" t="s">
        <v>267</v>
      </c>
      <c r="J3" s="122" t="s">
        <v>268</v>
      </c>
      <c r="K3" s="122" t="s">
        <v>269</v>
      </c>
    </row>
    <row r="4" spans="2:11">
      <c r="B4" s="170" t="s">
        <v>261</v>
      </c>
      <c r="C4" s="124" cm="1">
        <f t="array" ref="C4:C68">_xlfn.ANCHORARRAY(Multiplier_Weight_Newbie!L16)</f>
        <v>723587210</v>
      </c>
      <c r="D4" s="124" cm="1">
        <f t="array" ref="D4:D67">_xlfn.ANCHORARRAY(Multiplier_Weight_Newbie!L159)</f>
        <v>0</v>
      </c>
      <c r="E4" s="124" cm="1">
        <f t="array" ref="E4:E68">_xlfn.ANCHORARRAY(Multiplier_Weight_Newbie!L88)</f>
        <v>712239224</v>
      </c>
      <c r="F4" s="124" cm="1">
        <f t="array" ref="F4:F67">_xlfn.ANCHORARRAY(Multiplier_Weight_Newbie!L159)</f>
        <v>0</v>
      </c>
      <c r="G4" s="183" cm="1">
        <f t="array" ref="G4:G68">_xlfn.ANCHORARRAY(Multiplier_Weight_Oldhand!L16)</f>
        <v>717064058</v>
      </c>
      <c r="H4" s="183" cm="1">
        <f t="array" ref="H4:H67">_xlfn.ANCHORARRAY(Multiplier_Weight_Oldhand!L159)</f>
        <v>0</v>
      </c>
      <c r="I4" s="183" cm="1">
        <f t="array" ref="I4:I68">_xlfn.ANCHORARRAY(Multiplier_Weight_Oldhand!L88)</f>
        <v>713993007</v>
      </c>
      <c r="J4" s="183" cm="1">
        <f t="array" ref="J4:J67">_xlfn.ANCHORARRAY(Multiplier_Weight_Oldhand!L159)</f>
        <v>0</v>
      </c>
      <c r="K4" s="183" cm="1">
        <f t="array" ref="K4:K67">_xlfn.ANCHORARRAY(Multiplier_Weight_Oldhand!L229)</f>
        <v>0</v>
      </c>
    </row>
    <row r="5" spans="2:11">
      <c r="B5" s="170" t="s">
        <v>260</v>
      </c>
      <c r="C5" s="124">
        <v>160415136</v>
      </c>
      <c r="D5" s="124">
        <v>0</v>
      </c>
      <c r="E5" s="124">
        <v>158937086</v>
      </c>
      <c r="F5" s="124">
        <v>0</v>
      </c>
      <c r="G5" s="183">
        <v>160624918</v>
      </c>
      <c r="H5" s="183">
        <v>0</v>
      </c>
      <c r="I5" s="183">
        <v>158288156</v>
      </c>
      <c r="J5" s="183">
        <v>0</v>
      </c>
      <c r="K5" s="183">
        <v>0</v>
      </c>
    </row>
    <row r="6" spans="2:11">
      <c r="B6" s="170" t="s">
        <v>259</v>
      </c>
      <c r="C6" s="124">
        <v>45710314</v>
      </c>
      <c r="D6" s="124">
        <v>0</v>
      </c>
      <c r="E6" s="124">
        <v>44871706</v>
      </c>
      <c r="F6" s="124">
        <v>0</v>
      </c>
      <c r="G6" s="183">
        <v>45423348</v>
      </c>
      <c r="H6" s="183">
        <v>0</v>
      </c>
      <c r="I6" s="183">
        <v>44420834</v>
      </c>
      <c r="J6" s="183">
        <v>0</v>
      </c>
      <c r="K6" s="183">
        <v>0</v>
      </c>
    </row>
    <row r="7" spans="2:11">
      <c r="B7" s="170" t="s">
        <v>258</v>
      </c>
      <c r="C7" s="124">
        <v>21670241</v>
      </c>
      <c r="D7" s="124">
        <v>0</v>
      </c>
      <c r="E7" s="124">
        <v>21427846</v>
      </c>
      <c r="F7" s="124">
        <v>0</v>
      </c>
      <c r="G7" s="183">
        <v>21536650</v>
      </c>
      <c r="H7" s="183">
        <v>0</v>
      </c>
      <c r="I7" s="183">
        <v>21063762</v>
      </c>
      <c r="J7" s="183">
        <v>0</v>
      </c>
      <c r="K7" s="183">
        <v>0</v>
      </c>
    </row>
    <row r="8" spans="2:11">
      <c r="B8" s="170" t="s">
        <v>257</v>
      </c>
      <c r="C8" s="124">
        <v>8525376</v>
      </c>
      <c r="D8" s="124">
        <v>0</v>
      </c>
      <c r="E8" s="124">
        <v>8384402</v>
      </c>
      <c r="F8" s="124">
        <v>0</v>
      </c>
      <c r="G8" s="183">
        <v>11596788</v>
      </c>
      <c r="H8" s="183">
        <v>0</v>
      </c>
      <c r="I8" s="183">
        <v>8571059</v>
      </c>
      <c r="J8" s="183">
        <v>0</v>
      </c>
      <c r="K8" s="183">
        <v>0</v>
      </c>
    </row>
    <row r="9" spans="2:11">
      <c r="B9" s="170" t="s">
        <v>256</v>
      </c>
      <c r="C9" s="124">
        <v>6645130</v>
      </c>
      <c r="D9" s="124">
        <v>0</v>
      </c>
      <c r="E9" s="124">
        <v>6529037</v>
      </c>
      <c r="F9" s="124">
        <v>0</v>
      </c>
      <c r="G9" s="183">
        <v>9134906</v>
      </c>
      <c r="H9" s="183">
        <v>0</v>
      </c>
      <c r="I9" s="183">
        <v>6723725</v>
      </c>
      <c r="J9" s="183">
        <v>0</v>
      </c>
      <c r="K9" s="183">
        <v>0</v>
      </c>
    </row>
    <row r="10" spans="2:11">
      <c r="B10" s="170" t="s">
        <v>255</v>
      </c>
      <c r="C10" s="124">
        <v>5548434</v>
      </c>
      <c r="D10" s="124">
        <v>0</v>
      </c>
      <c r="E10" s="124">
        <v>5153736</v>
      </c>
      <c r="F10" s="124">
        <v>0</v>
      </c>
      <c r="G10" s="183">
        <v>7190264</v>
      </c>
      <c r="H10" s="183">
        <v>0</v>
      </c>
      <c r="I10" s="183">
        <v>4998284</v>
      </c>
      <c r="J10" s="183">
        <v>0</v>
      </c>
      <c r="K10" s="183">
        <v>0</v>
      </c>
    </row>
    <row r="11" spans="2:11">
      <c r="B11" s="188" t="s">
        <v>254</v>
      </c>
      <c r="C11" s="124">
        <v>3385827</v>
      </c>
      <c r="D11" s="124">
        <v>0</v>
      </c>
      <c r="E11" s="124">
        <v>3147189</v>
      </c>
      <c r="F11" s="124">
        <v>0</v>
      </c>
      <c r="G11" s="183">
        <v>3320505</v>
      </c>
      <c r="H11" s="183">
        <v>0</v>
      </c>
      <c r="I11" s="183">
        <v>3058524</v>
      </c>
      <c r="J11" s="183">
        <v>0</v>
      </c>
      <c r="K11" s="183">
        <v>0</v>
      </c>
    </row>
    <row r="12" spans="2:11">
      <c r="B12" s="188" t="s">
        <v>253</v>
      </c>
      <c r="C12" s="124">
        <v>2859033</v>
      </c>
      <c r="D12" s="124">
        <v>0</v>
      </c>
      <c r="E12" s="124">
        <v>2662547</v>
      </c>
      <c r="F12" s="124">
        <v>0</v>
      </c>
      <c r="G12" s="183">
        <v>2829517</v>
      </c>
      <c r="H12" s="183">
        <v>0</v>
      </c>
      <c r="I12" s="183">
        <v>2601703</v>
      </c>
      <c r="J12" s="183">
        <v>0</v>
      </c>
      <c r="K12" s="183">
        <v>0</v>
      </c>
    </row>
    <row r="13" spans="2:11">
      <c r="B13" s="188" t="s">
        <v>252</v>
      </c>
      <c r="C13" s="124">
        <v>2592993</v>
      </c>
      <c r="D13" s="124">
        <v>0</v>
      </c>
      <c r="E13" s="124">
        <v>2410067</v>
      </c>
      <c r="F13" s="124">
        <v>0</v>
      </c>
      <c r="G13" s="183">
        <v>2562449</v>
      </c>
      <c r="H13" s="183">
        <v>0</v>
      </c>
      <c r="I13" s="183">
        <v>2341697</v>
      </c>
      <c r="J13" s="183">
        <v>0</v>
      </c>
      <c r="K13" s="183">
        <v>0</v>
      </c>
    </row>
    <row r="14" spans="2:11">
      <c r="B14" s="188" t="s">
        <v>251</v>
      </c>
      <c r="C14" s="124">
        <v>2306546</v>
      </c>
      <c r="D14" s="124">
        <v>0</v>
      </c>
      <c r="E14" s="124">
        <v>2144599</v>
      </c>
      <c r="F14" s="124">
        <v>0</v>
      </c>
      <c r="G14" s="183">
        <v>2284096</v>
      </c>
      <c r="H14" s="183">
        <v>0</v>
      </c>
      <c r="I14" s="183">
        <v>2103462</v>
      </c>
      <c r="J14" s="183">
        <v>0</v>
      </c>
      <c r="K14" s="183">
        <v>0</v>
      </c>
    </row>
    <row r="15" spans="2:11">
      <c r="B15" s="188" t="s">
        <v>250</v>
      </c>
      <c r="C15" s="124">
        <v>3041243</v>
      </c>
      <c r="D15" s="124">
        <v>134544439</v>
      </c>
      <c r="E15" s="124">
        <v>2867047</v>
      </c>
      <c r="F15" s="124">
        <v>134544439</v>
      </c>
      <c r="G15" s="183">
        <v>3122514</v>
      </c>
      <c r="H15" s="183">
        <v>140657519</v>
      </c>
      <c r="I15" s="183">
        <v>2778723</v>
      </c>
      <c r="J15" s="183">
        <v>140657519</v>
      </c>
      <c r="K15" s="183">
        <v>124227685</v>
      </c>
    </row>
    <row r="16" spans="2:11">
      <c r="B16" s="188" t="s">
        <v>249</v>
      </c>
      <c r="C16" s="124">
        <v>4043881</v>
      </c>
      <c r="D16" s="124">
        <v>134519792</v>
      </c>
      <c r="E16" s="124">
        <v>3727538</v>
      </c>
      <c r="F16" s="124">
        <v>134519792</v>
      </c>
      <c r="G16" s="183">
        <v>4943360</v>
      </c>
      <c r="H16" s="183">
        <v>139483295</v>
      </c>
      <c r="I16" s="183">
        <v>3615414</v>
      </c>
      <c r="J16" s="183">
        <v>139483295</v>
      </c>
      <c r="K16" s="183">
        <v>123193249</v>
      </c>
    </row>
    <row r="17" spans="2:11">
      <c r="B17" s="188" t="s">
        <v>248</v>
      </c>
      <c r="C17" s="124">
        <v>1670332</v>
      </c>
      <c r="D17" s="124">
        <v>134545231</v>
      </c>
      <c r="E17" s="124">
        <v>1569275</v>
      </c>
      <c r="F17" s="124">
        <v>134545231</v>
      </c>
      <c r="G17" s="183">
        <v>1632517</v>
      </c>
      <c r="H17" s="183">
        <v>140212709</v>
      </c>
      <c r="I17" s="183">
        <v>1515940</v>
      </c>
      <c r="J17" s="183">
        <v>140212709</v>
      </c>
      <c r="K17" s="183">
        <v>123820857</v>
      </c>
    </row>
    <row r="18" spans="2:11">
      <c r="B18" s="188" t="s">
        <v>247</v>
      </c>
      <c r="C18" s="124">
        <v>668974</v>
      </c>
      <c r="D18" s="124">
        <v>135553855</v>
      </c>
      <c r="E18" s="124">
        <v>640359</v>
      </c>
      <c r="F18" s="124">
        <v>135553855</v>
      </c>
      <c r="G18" s="183">
        <v>484318</v>
      </c>
      <c r="H18" s="183">
        <v>139744400</v>
      </c>
      <c r="I18" s="183">
        <v>607139</v>
      </c>
      <c r="J18" s="183">
        <v>139744400</v>
      </c>
      <c r="K18" s="183">
        <v>123451025</v>
      </c>
    </row>
    <row r="19" spans="2:11">
      <c r="B19" s="188" t="s">
        <v>246</v>
      </c>
      <c r="C19" s="124">
        <v>578461</v>
      </c>
      <c r="D19" s="124">
        <v>37465432</v>
      </c>
      <c r="E19" s="124">
        <v>533210</v>
      </c>
      <c r="F19" s="124">
        <v>37465432</v>
      </c>
      <c r="G19" s="183">
        <v>399246</v>
      </c>
      <c r="H19" s="183">
        <v>36792875</v>
      </c>
      <c r="I19" s="183">
        <v>505549</v>
      </c>
      <c r="J19" s="183">
        <v>36792875</v>
      </c>
      <c r="K19" s="183">
        <v>32672669</v>
      </c>
    </row>
    <row r="20" spans="2:11">
      <c r="B20" s="188" t="s">
        <v>245</v>
      </c>
      <c r="C20" s="124">
        <v>982066</v>
      </c>
      <c r="D20" s="124">
        <v>30596580</v>
      </c>
      <c r="E20" s="124">
        <v>920584</v>
      </c>
      <c r="F20" s="124">
        <v>30596580</v>
      </c>
      <c r="G20" s="183">
        <v>516972</v>
      </c>
      <c r="H20" s="183">
        <v>29973236</v>
      </c>
      <c r="I20" s="183">
        <v>872828</v>
      </c>
      <c r="J20" s="183">
        <v>29973236</v>
      </c>
      <c r="K20" s="183">
        <v>26641369</v>
      </c>
    </row>
    <row r="21" spans="2:11">
      <c r="B21" s="188" t="s">
        <v>244</v>
      </c>
      <c r="C21" s="124">
        <v>219533</v>
      </c>
      <c r="D21" s="124">
        <v>30130767</v>
      </c>
      <c r="E21" s="124">
        <v>215007</v>
      </c>
      <c r="F21" s="124">
        <v>30130767</v>
      </c>
      <c r="G21" s="183">
        <v>206616</v>
      </c>
      <c r="H21" s="183">
        <v>29617720</v>
      </c>
      <c r="I21" s="183">
        <v>191862</v>
      </c>
      <c r="J21" s="183">
        <v>29617720</v>
      </c>
      <c r="K21" s="183">
        <v>26317044</v>
      </c>
    </row>
    <row r="22" spans="2:11">
      <c r="B22" s="188" t="s">
        <v>243</v>
      </c>
      <c r="C22" s="124">
        <v>220344</v>
      </c>
      <c r="D22" s="124">
        <v>27696471</v>
      </c>
      <c r="E22" s="124">
        <v>203107</v>
      </c>
      <c r="F22" s="124">
        <v>27696471</v>
      </c>
      <c r="G22" s="183">
        <v>218294</v>
      </c>
      <c r="H22" s="183">
        <v>27089906</v>
      </c>
      <c r="I22" s="183">
        <v>192570</v>
      </c>
      <c r="J22" s="183">
        <v>27089906</v>
      </c>
      <c r="K22" s="183">
        <v>24088437</v>
      </c>
    </row>
    <row r="23" spans="2:11">
      <c r="B23" s="188" t="s">
        <v>242</v>
      </c>
      <c r="C23" s="124">
        <v>635431</v>
      </c>
      <c r="D23" s="124">
        <v>21748262</v>
      </c>
      <c r="E23" s="124">
        <v>585723</v>
      </c>
      <c r="F23" s="124">
        <v>21748262</v>
      </c>
      <c r="G23" s="183">
        <v>362451</v>
      </c>
      <c r="H23" s="183">
        <v>20696065</v>
      </c>
      <c r="I23" s="183">
        <v>572167</v>
      </c>
      <c r="J23" s="183">
        <v>20696065</v>
      </c>
      <c r="K23" s="183">
        <v>19407769</v>
      </c>
    </row>
    <row r="24" spans="2:11">
      <c r="B24" s="188" t="s">
        <v>241</v>
      </c>
      <c r="C24" s="124">
        <v>154542</v>
      </c>
      <c r="D24" s="124">
        <v>64097756</v>
      </c>
      <c r="E24" s="124">
        <v>142453</v>
      </c>
      <c r="F24" s="124">
        <v>64097756</v>
      </c>
      <c r="G24" s="183">
        <v>145449</v>
      </c>
      <c r="H24" s="183">
        <v>60878188</v>
      </c>
      <c r="I24" s="183">
        <v>135063</v>
      </c>
      <c r="J24" s="183">
        <v>60878188</v>
      </c>
      <c r="K24" s="183">
        <v>63365378</v>
      </c>
    </row>
    <row r="25" spans="2:11">
      <c r="B25" s="188" t="s">
        <v>240</v>
      </c>
      <c r="C25" s="124">
        <v>136354</v>
      </c>
      <c r="D25" s="124">
        <v>57740348</v>
      </c>
      <c r="E25" s="124">
        <v>125688</v>
      </c>
      <c r="F25" s="124">
        <v>57740348</v>
      </c>
      <c r="G25" s="183">
        <v>128332</v>
      </c>
      <c r="H25" s="183">
        <v>54668849</v>
      </c>
      <c r="I25" s="183">
        <v>119167</v>
      </c>
      <c r="J25" s="183">
        <v>54668849</v>
      </c>
      <c r="K25" s="183">
        <v>56902356</v>
      </c>
    </row>
    <row r="26" spans="2:11">
      <c r="B26" s="188" t="s">
        <v>239</v>
      </c>
      <c r="C26" s="124">
        <v>117494</v>
      </c>
      <c r="D26" s="124">
        <v>29360206</v>
      </c>
      <c r="E26" s="124">
        <v>108302</v>
      </c>
      <c r="F26" s="124">
        <v>29360206</v>
      </c>
      <c r="G26" s="183">
        <v>0</v>
      </c>
      <c r="H26" s="183">
        <v>27836151</v>
      </c>
      <c r="I26" s="183">
        <v>0</v>
      </c>
      <c r="J26" s="183">
        <v>27836151</v>
      </c>
      <c r="K26" s="183">
        <v>26064426</v>
      </c>
    </row>
    <row r="27" spans="2:11">
      <c r="B27" s="188" t="s">
        <v>238</v>
      </c>
      <c r="C27" s="124">
        <v>106339</v>
      </c>
      <c r="D27" s="124">
        <v>25723090</v>
      </c>
      <c r="E27" s="124">
        <v>98021</v>
      </c>
      <c r="F27" s="124">
        <v>25723090</v>
      </c>
      <c r="G27" s="183">
        <v>0</v>
      </c>
      <c r="H27" s="183">
        <v>24594054</v>
      </c>
      <c r="I27" s="183">
        <v>0</v>
      </c>
      <c r="J27" s="183">
        <v>24594054</v>
      </c>
      <c r="K27" s="183">
        <v>22954836</v>
      </c>
    </row>
    <row r="28" spans="2:11">
      <c r="B28" s="188" t="s">
        <v>237</v>
      </c>
      <c r="C28" s="124">
        <v>0</v>
      </c>
      <c r="D28" s="124">
        <v>40692526</v>
      </c>
      <c r="E28" s="124">
        <v>0</v>
      </c>
      <c r="F28" s="124">
        <v>40692526</v>
      </c>
      <c r="G28" s="183">
        <v>88201</v>
      </c>
      <c r="H28" s="183">
        <v>38380480</v>
      </c>
      <c r="I28" s="183">
        <v>112616</v>
      </c>
      <c r="J28" s="183">
        <v>38380480</v>
      </c>
      <c r="K28" s="183">
        <v>50934366</v>
      </c>
    </row>
    <row r="29" spans="2:11">
      <c r="B29" s="188" t="s">
        <v>236</v>
      </c>
      <c r="C29" s="124">
        <v>0</v>
      </c>
      <c r="D29" s="124">
        <v>17973278</v>
      </c>
      <c r="E29" s="124">
        <v>0</v>
      </c>
      <c r="F29" s="124">
        <v>17973278</v>
      </c>
      <c r="G29" s="183">
        <v>0</v>
      </c>
      <c r="H29" s="183">
        <v>16844639</v>
      </c>
      <c r="I29" s="183">
        <v>0</v>
      </c>
      <c r="J29" s="183">
        <v>16844639</v>
      </c>
      <c r="K29" s="183">
        <v>24236560</v>
      </c>
    </row>
    <row r="30" spans="2:11">
      <c r="B30" s="188" t="s">
        <v>235</v>
      </c>
      <c r="C30" s="124">
        <v>0</v>
      </c>
      <c r="D30" s="124">
        <v>27580475</v>
      </c>
      <c r="E30" s="124">
        <v>0</v>
      </c>
      <c r="F30" s="124">
        <v>27580475</v>
      </c>
      <c r="G30" s="183">
        <v>0</v>
      </c>
      <c r="H30" s="183">
        <v>25739439</v>
      </c>
      <c r="I30" s="183">
        <v>0</v>
      </c>
      <c r="J30" s="183">
        <v>25739439</v>
      </c>
      <c r="K30" s="183">
        <v>37715526</v>
      </c>
    </row>
    <row r="31" spans="2:11">
      <c r="B31" s="188" t="s">
        <v>234</v>
      </c>
      <c r="C31" s="124">
        <v>0</v>
      </c>
      <c r="D31" s="124">
        <v>8217899</v>
      </c>
      <c r="E31" s="124">
        <v>0</v>
      </c>
      <c r="F31" s="124">
        <v>8217899</v>
      </c>
      <c r="G31" s="183">
        <v>0</v>
      </c>
      <c r="H31" s="183">
        <v>7539038</v>
      </c>
      <c r="I31" s="183">
        <v>0</v>
      </c>
      <c r="J31" s="183">
        <v>7539038</v>
      </c>
      <c r="K31" s="183">
        <v>18571346</v>
      </c>
    </row>
    <row r="32" spans="2:11">
      <c r="B32" s="188" t="s">
        <v>233</v>
      </c>
      <c r="C32" s="124">
        <v>0</v>
      </c>
      <c r="D32" s="124">
        <v>7148036</v>
      </c>
      <c r="E32" s="124">
        <v>0</v>
      </c>
      <c r="F32" s="124">
        <v>7148036</v>
      </c>
      <c r="G32" s="183">
        <v>0</v>
      </c>
      <c r="H32" s="183">
        <v>6495101</v>
      </c>
      <c r="I32" s="183">
        <v>0</v>
      </c>
      <c r="J32" s="183">
        <v>6495101</v>
      </c>
      <c r="K32" s="183">
        <v>16121098</v>
      </c>
    </row>
    <row r="33" spans="2:11">
      <c r="B33" s="188" t="s">
        <v>232</v>
      </c>
      <c r="C33" s="124">
        <v>0</v>
      </c>
      <c r="D33" s="124">
        <v>19157551</v>
      </c>
      <c r="E33" s="124">
        <v>0</v>
      </c>
      <c r="F33" s="124">
        <v>19157551</v>
      </c>
      <c r="G33" s="183">
        <v>0</v>
      </c>
      <c r="H33" s="183">
        <v>18141927</v>
      </c>
      <c r="I33" s="183">
        <v>0</v>
      </c>
      <c r="J33" s="183">
        <v>18141927</v>
      </c>
      <c r="K33" s="183">
        <v>31471866</v>
      </c>
    </row>
    <row r="34" spans="2:11">
      <c r="B34" s="188" t="s">
        <v>231</v>
      </c>
      <c r="C34" s="124">
        <v>0</v>
      </c>
      <c r="D34" s="124">
        <v>5203805</v>
      </c>
      <c r="E34" s="124">
        <v>0</v>
      </c>
      <c r="F34" s="124">
        <v>5203805</v>
      </c>
      <c r="G34" s="183">
        <v>0</v>
      </c>
      <c r="H34" s="183">
        <v>5092193</v>
      </c>
      <c r="I34" s="183">
        <v>0</v>
      </c>
      <c r="J34" s="183">
        <v>5092193</v>
      </c>
      <c r="K34" s="183">
        <v>12367218</v>
      </c>
    </row>
    <row r="35" spans="2:11">
      <c r="B35" s="188" t="s">
        <v>230</v>
      </c>
      <c r="C35" s="124">
        <v>0</v>
      </c>
      <c r="D35" s="124">
        <v>4787354</v>
      </c>
      <c r="E35" s="124">
        <v>0</v>
      </c>
      <c r="F35" s="124">
        <v>4787354</v>
      </c>
      <c r="G35" s="183">
        <v>0</v>
      </c>
      <c r="H35" s="183">
        <v>4164155</v>
      </c>
      <c r="I35" s="183">
        <v>0</v>
      </c>
      <c r="J35" s="183">
        <v>4164155</v>
      </c>
      <c r="K35" s="183">
        <v>10293920</v>
      </c>
    </row>
    <row r="36" spans="2:11">
      <c r="B36" s="188" t="s">
        <v>229</v>
      </c>
      <c r="C36" s="124">
        <v>0</v>
      </c>
      <c r="D36" s="124">
        <v>483855</v>
      </c>
      <c r="E36" s="124">
        <v>0</v>
      </c>
      <c r="F36" s="124">
        <v>483855</v>
      </c>
      <c r="G36" s="183">
        <v>0</v>
      </c>
      <c r="H36" s="183">
        <v>473477</v>
      </c>
      <c r="I36" s="183">
        <v>0</v>
      </c>
      <c r="J36" s="183">
        <v>473477</v>
      </c>
      <c r="K36" s="183">
        <v>492821</v>
      </c>
    </row>
    <row r="37" spans="2:11">
      <c r="B37" s="188" t="s">
        <v>228</v>
      </c>
      <c r="C37" s="124">
        <v>0</v>
      </c>
      <c r="D37" s="124">
        <v>436720</v>
      </c>
      <c r="E37" s="124">
        <v>0</v>
      </c>
      <c r="F37" s="124">
        <v>436720</v>
      </c>
      <c r="G37" s="183">
        <v>0</v>
      </c>
      <c r="H37" s="183">
        <v>427353</v>
      </c>
      <c r="I37" s="183">
        <v>0</v>
      </c>
      <c r="J37" s="183">
        <v>427353</v>
      </c>
      <c r="K37" s="183">
        <v>444813</v>
      </c>
    </row>
    <row r="38" spans="2:11">
      <c r="B38" s="188" t="s">
        <v>227</v>
      </c>
      <c r="C38" s="124">
        <v>0</v>
      </c>
      <c r="D38" s="124">
        <v>392897</v>
      </c>
      <c r="E38" s="124">
        <v>0</v>
      </c>
      <c r="F38" s="124">
        <v>392897</v>
      </c>
      <c r="G38" s="183">
        <v>0</v>
      </c>
      <c r="H38" s="183">
        <v>384470</v>
      </c>
      <c r="I38" s="183">
        <v>0</v>
      </c>
      <c r="J38" s="183">
        <v>384470</v>
      </c>
      <c r="K38" s="183">
        <v>400178</v>
      </c>
    </row>
    <row r="39" spans="2:11">
      <c r="B39" s="188" t="s">
        <v>226</v>
      </c>
      <c r="C39" s="124">
        <v>0</v>
      </c>
      <c r="D39" s="124">
        <v>353665</v>
      </c>
      <c r="E39" s="124">
        <v>0</v>
      </c>
      <c r="F39" s="124">
        <v>353665</v>
      </c>
      <c r="G39" s="183">
        <v>0</v>
      </c>
      <c r="H39" s="183">
        <v>346080</v>
      </c>
      <c r="I39" s="183">
        <v>0</v>
      </c>
      <c r="J39" s="183">
        <v>346080</v>
      </c>
      <c r="K39" s="183">
        <v>360219</v>
      </c>
    </row>
    <row r="40" spans="2:11">
      <c r="B40" s="188" t="s">
        <v>225</v>
      </c>
      <c r="C40" s="124">
        <v>0</v>
      </c>
      <c r="D40" s="124">
        <v>316952</v>
      </c>
      <c r="E40" s="124">
        <v>0</v>
      </c>
      <c r="F40" s="124">
        <v>316952</v>
      </c>
      <c r="G40" s="183">
        <v>0</v>
      </c>
      <c r="H40" s="183">
        <v>310154</v>
      </c>
      <c r="I40" s="183">
        <v>0</v>
      </c>
      <c r="J40" s="183">
        <v>310154</v>
      </c>
      <c r="K40" s="183">
        <v>322826</v>
      </c>
    </row>
    <row r="41" spans="2:11">
      <c r="B41" s="188" t="s">
        <v>224</v>
      </c>
      <c r="C41" s="124">
        <v>0</v>
      </c>
      <c r="D41" s="124">
        <v>283578</v>
      </c>
      <c r="E41" s="124">
        <v>0</v>
      </c>
      <c r="F41" s="124">
        <v>283578</v>
      </c>
      <c r="G41" s="183">
        <v>0</v>
      </c>
      <c r="H41" s="183">
        <v>277496</v>
      </c>
      <c r="I41" s="183">
        <v>0</v>
      </c>
      <c r="J41" s="183">
        <v>277496</v>
      </c>
      <c r="K41" s="183">
        <v>288833</v>
      </c>
    </row>
    <row r="42" spans="2:11">
      <c r="B42" s="188" t="s">
        <v>223</v>
      </c>
      <c r="C42" s="124">
        <v>0</v>
      </c>
      <c r="D42" s="124">
        <v>255303</v>
      </c>
      <c r="E42" s="124">
        <v>0</v>
      </c>
      <c r="F42" s="124">
        <v>255303</v>
      </c>
      <c r="G42" s="183">
        <v>0</v>
      </c>
      <c r="H42" s="183">
        <v>249827</v>
      </c>
      <c r="I42" s="183">
        <v>0</v>
      </c>
      <c r="J42" s="183">
        <v>249827</v>
      </c>
      <c r="K42" s="183">
        <v>260034</v>
      </c>
    </row>
    <row r="43" spans="2:11">
      <c r="B43" s="188" t="s">
        <v>222</v>
      </c>
      <c r="C43" s="124">
        <v>0</v>
      </c>
      <c r="D43" s="124">
        <v>228830</v>
      </c>
      <c r="E43" s="124">
        <v>0</v>
      </c>
      <c r="F43" s="124">
        <v>228830</v>
      </c>
      <c r="G43" s="183">
        <v>0</v>
      </c>
      <c r="H43" s="183">
        <v>223922</v>
      </c>
      <c r="I43" s="183">
        <v>0</v>
      </c>
      <c r="J43" s="183">
        <v>223922</v>
      </c>
      <c r="K43" s="183">
        <v>233071</v>
      </c>
    </row>
    <row r="44" spans="2:11">
      <c r="B44" s="188" t="s">
        <v>221</v>
      </c>
      <c r="C44" s="124">
        <v>0</v>
      </c>
      <c r="D44" s="124">
        <v>205883</v>
      </c>
      <c r="E44" s="124">
        <v>0</v>
      </c>
      <c r="F44" s="124">
        <v>205883</v>
      </c>
      <c r="G44" s="183">
        <v>0</v>
      </c>
      <c r="H44" s="183">
        <v>201467</v>
      </c>
      <c r="I44" s="183">
        <v>0</v>
      </c>
      <c r="J44" s="183">
        <v>201467</v>
      </c>
      <c r="K44" s="183">
        <v>209698</v>
      </c>
    </row>
    <row r="45" spans="2:11">
      <c r="B45" s="188" t="s">
        <v>220</v>
      </c>
      <c r="C45" s="124">
        <v>0</v>
      </c>
      <c r="D45" s="124">
        <v>185078</v>
      </c>
      <c r="E45" s="124">
        <v>0</v>
      </c>
      <c r="F45" s="124">
        <v>185078</v>
      </c>
      <c r="G45" s="183">
        <v>0</v>
      </c>
      <c r="H45" s="183">
        <v>181109</v>
      </c>
      <c r="I45" s="183">
        <v>0</v>
      </c>
      <c r="J45" s="183">
        <v>181109</v>
      </c>
      <c r="K45" s="183">
        <v>188508</v>
      </c>
    </row>
    <row r="46" spans="2:11">
      <c r="B46" s="188" t="s">
        <v>219</v>
      </c>
      <c r="C46" s="124">
        <v>0</v>
      </c>
      <c r="D46" s="124">
        <v>167044</v>
      </c>
      <c r="E46" s="124">
        <v>0</v>
      </c>
      <c r="F46" s="124">
        <v>167044</v>
      </c>
      <c r="G46" s="183">
        <v>0</v>
      </c>
      <c r="H46" s="183">
        <v>163461</v>
      </c>
      <c r="I46" s="183">
        <v>0</v>
      </c>
      <c r="J46" s="183">
        <v>163461</v>
      </c>
      <c r="K46" s="183">
        <v>170140</v>
      </c>
    </row>
    <row r="47" spans="2:11">
      <c r="B47" s="188" t="s">
        <v>218</v>
      </c>
      <c r="C47" s="124">
        <v>0</v>
      </c>
      <c r="D47" s="124">
        <v>151260</v>
      </c>
      <c r="E47" s="124">
        <v>0</v>
      </c>
      <c r="F47" s="124">
        <v>151260</v>
      </c>
      <c r="G47" s="183">
        <v>0</v>
      </c>
      <c r="H47" s="183">
        <v>148016</v>
      </c>
      <c r="I47" s="183">
        <v>0</v>
      </c>
      <c r="J47" s="183">
        <v>148016</v>
      </c>
      <c r="K47" s="183">
        <v>154063</v>
      </c>
    </row>
    <row r="48" spans="2:11">
      <c r="B48" s="170" t="s">
        <v>217</v>
      </c>
      <c r="C48" s="124">
        <v>0</v>
      </c>
      <c r="D48" s="124">
        <v>135797</v>
      </c>
      <c r="E48" s="124">
        <v>0</v>
      </c>
      <c r="F48" s="124">
        <v>135797</v>
      </c>
      <c r="G48" s="183">
        <v>0</v>
      </c>
      <c r="H48" s="183">
        <v>132884</v>
      </c>
      <c r="I48" s="183">
        <v>0</v>
      </c>
      <c r="J48" s="183">
        <v>132884</v>
      </c>
      <c r="K48" s="183">
        <v>138313</v>
      </c>
    </row>
    <row r="49" spans="2:11">
      <c r="B49" s="170" t="s">
        <v>216</v>
      </c>
      <c r="C49" s="124">
        <v>0</v>
      </c>
      <c r="D49" s="124">
        <v>1195433</v>
      </c>
      <c r="E49" s="124">
        <v>0</v>
      </c>
      <c r="F49" s="124">
        <v>1195433</v>
      </c>
      <c r="G49" s="183">
        <v>0</v>
      </c>
      <c r="H49" s="183">
        <v>1169793</v>
      </c>
      <c r="I49" s="183">
        <v>0</v>
      </c>
      <c r="J49" s="183">
        <v>1169793</v>
      </c>
      <c r="K49" s="183">
        <v>1217585</v>
      </c>
    </row>
    <row r="50" spans="2:11">
      <c r="B50" s="170" t="s">
        <v>215</v>
      </c>
      <c r="C50" s="124">
        <v>0</v>
      </c>
      <c r="D50" s="124">
        <v>563736</v>
      </c>
      <c r="E50" s="124">
        <v>0</v>
      </c>
      <c r="F50" s="124">
        <v>563736</v>
      </c>
      <c r="G50" s="183">
        <v>0</v>
      </c>
      <c r="H50" s="183">
        <v>275822</v>
      </c>
      <c r="I50" s="183">
        <v>0</v>
      </c>
      <c r="J50" s="183">
        <v>275822</v>
      </c>
      <c r="K50" s="183">
        <v>0</v>
      </c>
    </row>
    <row r="51" spans="2:11">
      <c r="B51" s="170" t="s">
        <v>214</v>
      </c>
      <c r="C51" s="124">
        <v>0</v>
      </c>
      <c r="D51" s="124">
        <v>106892</v>
      </c>
      <c r="E51" s="124">
        <v>0</v>
      </c>
      <c r="F51" s="124">
        <v>106892</v>
      </c>
      <c r="G51" s="183">
        <v>0</v>
      </c>
      <c r="H51" s="183">
        <v>104599</v>
      </c>
      <c r="I51" s="183">
        <v>0</v>
      </c>
      <c r="J51" s="183">
        <v>104599</v>
      </c>
      <c r="K51" s="183">
        <v>0</v>
      </c>
    </row>
    <row r="52" spans="2:11">
      <c r="B52" s="170" t="s">
        <v>213</v>
      </c>
      <c r="C52" s="124">
        <v>0</v>
      </c>
      <c r="D52" s="124">
        <v>53904</v>
      </c>
      <c r="E52" s="124">
        <v>0</v>
      </c>
      <c r="F52" s="124">
        <v>53904</v>
      </c>
      <c r="G52" s="183">
        <v>0</v>
      </c>
      <c r="H52" s="183">
        <v>52747</v>
      </c>
      <c r="I52" s="183">
        <v>0</v>
      </c>
      <c r="J52" s="183">
        <v>52747</v>
      </c>
      <c r="K52" s="183">
        <v>54902</v>
      </c>
    </row>
    <row r="53" spans="2:11">
      <c r="B53" s="170" t="s">
        <v>212</v>
      </c>
      <c r="C53" s="124">
        <v>0</v>
      </c>
      <c r="D53" s="124">
        <v>0</v>
      </c>
      <c r="E53" s="124">
        <v>0</v>
      </c>
      <c r="F53" s="124">
        <v>0</v>
      </c>
      <c r="G53" s="183">
        <v>0</v>
      </c>
      <c r="H53" s="183">
        <v>33335</v>
      </c>
      <c r="I53" s="183">
        <v>0</v>
      </c>
      <c r="J53" s="183">
        <v>33335</v>
      </c>
      <c r="K53" s="183">
        <v>34697</v>
      </c>
    </row>
    <row r="54" spans="2:11">
      <c r="B54" s="170" t="s">
        <v>211</v>
      </c>
      <c r="C54" s="124">
        <v>0</v>
      </c>
      <c r="D54" s="124">
        <v>0</v>
      </c>
      <c r="E54" s="124">
        <v>0</v>
      </c>
      <c r="F54" s="124">
        <v>0</v>
      </c>
      <c r="G54" s="183">
        <v>0</v>
      </c>
      <c r="H54" s="183">
        <v>24351</v>
      </c>
      <c r="I54" s="183">
        <v>0</v>
      </c>
      <c r="J54" s="183">
        <v>24351</v>
      </c>
      <c r="K54" s="183">
        <v>25346</v>
      </c>
    </row>
    <row r="55" spans="2:11">
      <c r="B55" s="170" t="s">
        <v>210</v>
      </c>
      <c r="C55" s="124">
        <v>0</v>
      </c>
      <c r="D55" s="124">
        <v>0</v>
      </c>
      <c r="E55" s="124">
        <v>0</v>
      </c>
      <c r="F55" s="124">
        <v>0</v>
      </c>
      <c r="G55" s="183">
        <v>0</v>
      </c>
      <c r="H55" s="183">
        <v>20013</v>
      </c>
      <c r="I55" s="183">
        <v>0</v>
      </c>
      <c r="J55" s="183">
        <v>20013</v>
      </c>
      <c r="K55" s="183">
        <v>20830</v>
      </c>
    </row>
    <row r="56" spans="2:11">
      <c r="B56" s="170" t="s">
        <v>209</v>
      </c>
      <c r="C56" s="124">
        <v>0</v>
      </c>
      <c r="D56" s="124">
        <v>0</v>
      </c>
      <c r="E56" s="124">
        <v>0</v>
      </c>
      <c r="F56" s="124">
        <v>0</v>
      </c>
      <c r="G56" s="183">
        <v>0</v>
      </c>
      <c r="H56" s="183">
        <v>17986</v>
      </c>
      <c r="I56" s="183">
        <v>0</v>
      </c>
      <c r="J56" s="183">
        <v>17986</v>
      </c>
      <c r="K56" s="183">
        <v>18721</v>
      </c>
    </row>
    <row r="57" spans="2:11">
      <c r="B57" s="170" t="s">
        <v>208</v>
      </c>
      <c r="C57" s="124">
        <v>0</v>
      </c>
      <c r="D57" s="124">
        <v>0</v>
      </c>
      <c r="E57" s="124">
        <v>0</v>
      </c>
      <c r="F57" s="124">
        <v>0</v>
      </c>
      <c r="G57" s="183">
        <v>0</v>
      </c>
      <c r="H57" s="183">
        <v>16508</v>
      </c>
      <c r="I57" s="183">
        <v>0</v>
      </c>
      <c r="J57" s="183">
        <v>16508</v>
      </c>
      <c r="K57" s="183">
        <v>17182</v>
      </c>
    </row>
    <row r="58" spans="2:11">
      <c r="B58" s="170" t="s">
        <v>207</v>
      </c>
      <c r="C58" s="124">
        <v>0</v>
      </c>
      <c r="D58" s="124">
        <v>0</v>
      </c>
      <c r="E58" s="124">
        <v>0</v>
      </c>
      <c r="F58" s="124">
        <v>0</v>
      </c>
      <c r="G58" s="183">
        <v>0</v>
      </c>
      <c r="H58" s="183">
        <v>123166</v>
      </c>
      <c r="I58" s="183">
        <v>0</v>
      </c>
      <c r="J58" s="183">
        <v>123166</v>
      </c>
      <c r="K58" s="183">
        <v>128198</v>
      </c>
    </row>
    <row r="59" spans="2:11">
      <c r="B59" s="170" t="s">
        <v>206</v>
      </c>
      <c r="C59" s="124">
        <v>0</v>
      </c>
      <c r="D59" s="124">
        <v>0</v>
      </c>
      <c r="E59" s="124">
        <v>0</v>
      </c>
      <c r="F59" s="124">
        <v>0</v>
      </c>
      <c r="G59" s="183">
        <v>0</v>
      </c>
      <c r="H59" s="183">
        <v>0</v>
      </c>
      <c r="I59" s="183">
        <v>0</v>
      </c>
      <c r="J59" s="183">
        <v>0</v>
      </c>
      <c r="K59" s="183">
        <v>0</v>
      </c>
    </row>
    <row r="60" spans="2:11">
      <c r="B60" s="170" t="s">
        <v>205</v>
      </c>
      <c r="C60" s="124">
        <v>0</v>
      </c>
      <c r="D60" s="124">
        <v>0</v>
      </c>
      <c r="E60" s="124">
        <v>0</v>
      </c>
      <c r="F60" s="124">
        <v>0</v>
      </c>
      <c r="G60" s="183">
        <v>0</v>
      </c>
      <c r="H60" s="183">
        <v>0</v>
      </c>
      <c r="I60" s="183">
        <v>0</v>
      </c>
      <c r="J60" s="183">
        <v>0</v>
      </c>
      <c r="K60" s="183">
        <v>0</v>
      </c>
    </row>
    <row r="61" spans="2:11">
      <c r="B61" s="170" t="s">
        <v>204</v>
      </c>
      <c r="C61" s="124">
        <v>0</v>
      </c>
      <c r="D61" s="124">
        <v>0</v>
      </c>
      <c r="E61" s="124">
        <v>0</v>
      </c>
      <c r="F61" s="124">
        <v>0</v>
      </c>
      <c r="G61" s="183">
        <v>0</v>
      </c>
      <c r="H61" s="183">
        <v>0</v>
      </c>
      <c r="I61" s="183">
        <v>0</v>
      </c>
      <c r="J61" s="183">
        <v>0</v>
      </c>
      <c r="K61" s="183">
        <v>0</v>
      </c>
    </row>
    <row r="62" spans="2:11">
      <c r="B62" s="170" t="s">
        <v>203</v>
      </c>
      <c r="C62" s="124">
        <v>0</v>
      </c>
      <c r="D62" s="124">
        <v>0</v>
      </c>
      <c r="E62" s="124">
        <v>0</v>
      </c>
      <c r="F62" s="124">
        <v>0</v>
      </c>
      <c r="G62" s="183">
        <v>0</v>
      </c>
      <c r="H62" s="183">
        <v>0</v>
      </c>
      <c r="I62" s="183">
        <v>0</v>
      </c>
      <c r="J62" s="183">
        <v>0</v>
      </c>
      <c r="K62" s="183">
        <v>0</v>
      </c>
    </row>
    <row r="63" spans="2:11">
      <c r="B63" s="170" t="s">
        <v>202</v>
      </c>
      <c r="C63" s="124">
        <v>0</v>
      </c>
      <c r="D63" s="124">
        <v>0</v>
      </c>
      <c r="E63" s="124">
        <v>0</v>
      </c>
      <c r="F63" s="124">
        <v>0</v>
      </c>
      <c r="G63" s="183">
        <v>0</v>
      </c>
      <c r="H63" s="183">
        <v>0</v>
      </c>
      <c r="I63" s="183">
        <v>0</v>
      </c>
      <c r="J63" s="183">
        <v>0</v>
      </c>
      <c r="K63" s="183">
        <v>0</v>
      </c>
    </row>
    <row r="64" spans="2:11">
      <c r="B64" s="170" t="s">
        <v>201</v>
      </c>
      <c r="C64" s="124">
        <v>0</v>
      </c>
      <c r="D64" s="124">
        <v>0</v>
      </c>
      <c r="E64" s="124">
        <v>0</v>
      </c>
      <c r="F64" s="124">
        <v>0</v>
      </c>
      <c r="G64" s="183">
        <v>0</v>
      </c>
      <c r="H64" s="183">
        <v>0</v>
      </c>
      <c r="I64" s="183">
        <v>0</v>
      </c>
      <c r="J64" s="183">
        <v>0</v>
      </c>
      <c r="K64" s="183">
        <v>0</v>
      </c>
    </row>
    <row r="65" spans="2:11">
      <c r="B65" s="170" t="s">
        <v>200</v>
      </c>
      <c r="C65" s="124">
        <v>0</v>
      </c>
      <c r="D65" s="124">
        <v>0</v>
      </c>
      <c r="E65" s="124">
        <v>0</v>
      </c>
      <c r="F65" s="124">
        <v>0</v>
      </c>
      <c r="G65" s="183">
        <v>0</v>
      </c>
      <c r="H65" s="183">
        <v>0</v>
      </c>
      <c r="I65" s="183">
        <v>0</v>
      </c>
      <c r="J65" s="183">
        <v>0</v>
      </c>
      <c r="K65" s="183">
        <v>0</v>
      </c>
    </row>
    <row r="66" spans="2:11">
      <c r="B66" s="170" t="s">
        <v>199</v>
      </c>
      <c r="C66" s="124">
        <v>0</v>
      </c>
      <c r="D66" s="124">
        <v>0</v>
      </c>
      <c r="E66" s="124">
        <v>0</v>
      </c>
      <c r="F66" s="124">
        <v>0</v>
      </c>
      <c r="G66" s="183">
        <v>0</v>
      </c>
      <c r="H66" s="183">
        <v>0</v>
      </c>
      <c r="I66" s="183">
        <v>0</v>
      </c>
      <c r="J66" s="183">
        <v>0</v>
      </c>
      <c r="K66" s="183">
        <v>0</v>
      </c>
    </row>
    <row r="67" spans="2:11">
      <c r="B67" s="170" t="s">
        <v>198</v>
      </c>
      <c r="C67" s="124">
        <v>0</v>
      </c>
      <c r="D67" s="124">
        <v>0</v>
      </c>
      <c r="E67" s="124">
        <v>0</v>
      </c>
      <c r="F67" s="124">
        <v>0</v>
      </c>
      <c r="G67" s="183">
        <v>0</v>
      </c>
      <c r="H67" s="183">
        <v>0</v>
      </c>
      <c r="I67" s="183">
        <v>0</v>
      </c>
      <c r="J67" s="183">
        <v>0</v>
      </c>
      <c r="K67" s="183">
        <v>0</v>
      </c>
    </row>
    <row r="68" spans="2:11">
      <c r="B68" s="170" t="s">
        <v>197</v>
      </c>
      <c r="C68" s="124">
        <v>4195668</v>
      </c>
      <c r="D68" s="133"/>
      <c r="E68" s="124">
        <v>20978340</v>
      </c>
      <c r="F68" s="133"/>
      <c r="G68" s="183">
        <v>4195668</v>
      </c>
      <c r="H68" s="133"/>
      <c r="I68" s="183">
        <v>20978340</v>
      </c>
      <c r="J68" s="133"/>
      <c r="K68" s="133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314"/>
  <sheetViews>
    <sheetView zoomScale="85" zoomScaleNormal="85" workbookViewId="0">
      <selection activeCell="E14" sqref="E14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22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22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22">
      <c r="A3" s="48" t="s">
        <v>68</v>
      </c>
      <c r="B3" s="63">
        <f>Overview!A7</f>
        <v>100</v>
      </c>
      <c r="C3" s="1"/>
      <c r="F3" s="99"/>
      <c r="G3" s="96"/>
    </row>
    <row r="4" spans="1:22">
      <c r="F4" s="99"/>
      <c r="G4" s="99"/>
      <c r="I4" s="1"/>
      <c r="L4" s="117"/>
      <c r="M4" s="118"/>
      <c r="N4" s="115"/>
      <c r="O4" s="116"/>
    </row>
    <row r="5" spans="1:22">
      <c r="A5" s="48"/>
      <c r="B5" s="48"/>
      <c r="C5" s="1" t="s">
        <v>75</v>
      </c>
      <c r="I5" s="99"/>
      <c r="L5" s="119"/>
      <c r="M5" s="118"/>
      <c r="N5" s="115"/>
      <c r="O5" s="116"/>
    </row>
    <row r="6" spans="1:22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91" t="s">
        <v>92</v>
      </c>
      <c r="J6" s="192" t="s">
        <v>93</v>
      </c>
      <c r="L6" s="96"/>
      <c r="M6" s="96"/>
      <c r="N6" s="109"/>
    </row>
    <row r="7" spans="1:22">
      <c r="A7" s="54" t="s">
        <v>47</v>
      </c>
      <c r="B7" s="54" cm="1">
        <f t="array" ref="B7:B8">Overview!B11:B12</f>
        <v>1</v>
      </c>
      <c r="C7" s="77">
        <f>SUM(N16:N80)</f>
        <v>0.6899995229883632</v>
      </c>
      <c r="D7" s="77">
        <f>SUM(_xlfn.ANCHORARRAY(N159))*F7</f>
        <v>0.2400004688647655</v>
      </c>
      <c r="E7" s="93">
        <f>SUM(C7:D7)</f>
        <v>0.92999999185312876</v>
      </c>
      <c r="F7" s="69">
        <f>M80</f>
        <v>4.1955970860180518E-3</v>
      </c>
      <c r="G7" s="70">
        <f>1/F7</f>
        <v>238.345098325225</v>
      </c>
      <c r="H7" s="90">
        <f>D7*G7</f>
        <v>57.202935349672636</v>
      </c>
      <c r="I7" s="189" cm="1">
        <f t="array" ref="I7">LOOKUP(2,1/(L16:L79&lt;&gt;0),B16:B79)</f>
        <v>100</v>
      </c>
      <c r="J7" s="189" cm="1">
        <f t="array" ref="J7">LOOKUP(2,1/(_xlfn.ANCHORARRAY(L159)&lt;&gt;0),B16:B79)</f>
        <v>5000</v>
      </c>
      <c r="L7" s="99"/>
      <c r="M7" s="96"/>
      <c r="N7" s="109"/>
    </row>
    <row r="8" spans="1:22">
      <c r="A8" s="179" t="s">
        <v>264</v>
      </c>
      <c r="B8" s="179">
        <v>2</v>
      </c>
      <c r="C8" s="180">
        <f>SUM(_xlfn.ANCHORARRAY(N88))/B8</f>
        <v>0.33036156822467999</v>
      </c>
      <c r="D8" s="77">
        <f>SUM(_xlfn.ANCHORARRAY(N159))*F8/B8</f>
        <v>0.59963828260358598</v>
      </c>
      <c r="E8" s="93">
        <f>SUM(C8:D8)</f>
        <v>0.92999985082826597</v>
      </c>
      <c r="F8" s="181">
        <f>M152</f>
        <v>2.0965297635098287E-2</v>
      </c>
      <c r="G8" s="70">
        <f>1/F8</f>
        <v>47.697868039129887</v>
      </c>
      <c r="H8" s="90">
        <f>D8*G8</f>
        <v>28.601467674836318</v>
      </c>
      <c r="I8" s="189" cm="1">
        <f t="array" ref="I8">LOOKUP(2,1/(L88:L151&lt;&gt;0),B16:B79)</f>
        <v>100</v>
      </c>
      <c r="J8" s="190"/>
      <c r="L8" s="99"/>
      <c r="M8" s="96"/>
      <c r="N8" s="109"/>
    </row>
    <row r="9" spans="1:22">
      <c r="A9" s="48"/>
      <c r="B9" s="48"/>
      <c r="C9" s="48"/>
      <c r="D9" s="48"/>
      <c r="E9" s="48"/>
      <c r="F9" s="48"/>
      <c r="G9" s="48"/>
      <c r="H9" s="48"/>
      <c r="I9" s="190"/>
      <c r="J9" s="190"/>
      <c r="L9" s="102"/>
      <c r="M9" s="96"/>
      <c r="N9" s="109"/>
    </row>
    <row r="10" spans="1:22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11"/>
      <c r="M10" s="99"/>
      <c r="N10" s="99"/>
    </row>
    <row r="11" spans="1:22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11"/>
      <c r="M11" s="99"/>
      <c r="N11" s="99"/>
    </row>
    <row r="12" spans="1:22" s="53" customFormat="1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22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22">
      <c r="A14" s="65" t="s">
        <v>69</v>
      </c>
      <c r="B14" s="197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22">
      <c r="A15" s="121" t="s">
        <v>52</v>
      </c>
      <c r="B15" s="122" t="s">
        <v>53</v>
      </c>
      <c r="C15" s="198" t="s">
        <v>65</v>
      </c>
      <c r="D15" s="18" t="s">
        <v>66</v>
      </c>
      <c r="E15" s="18" t="s">
        <v>67</v>
      </c>
      <c r="F15" s="18" t="s">
        <v>78</v>
      </c>
      <c r="H15" s="18" t="s">
        <v>55</v>
      </c>
      <c r="I15" s="18" t="s">
        <v>302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tr">
        <f>U15</f>
        <v>目前</v>
      </c>
      <c r="Q15" s="184" t="str">
        <f>V15</f>
        <v>目標</v>
      </c>
      <c r="R15" s="81" t="s">
        <v>327</v>
      </c>
      <c r="S15" s="81" t="s">
        <v>74</v>
      </c>
      <c r="U15" s="22" t="s">
        <v>77</v>
      </c>
      <c r="V15" s="22" t="s">
        <v>326</v>
      </c>
    </row>
    <row r="16" spans="1:22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209">
        <v>0.97</v>
      </c>
      <c r="J16" s="55" cm="1">
        <f t="array" ref="J16:J80">E16:E80*I16:I80</f>
        <v>0.72651597170148763</v>
      </c>
      <c r="K16" s="55" cm="1">
        <f t="array" ref="K16:K79">J16:J79/SUM(_xlfn.ANCHORARRAY(J16))</f>
        <v>0.72358721063714726</v>
      </c>
      <c r="L16" s="108" cm="1">
        <f t="array" ref="L16:L80">INT(K16:K80*$B$2)</f>
        <v>723587210</v>
      </c>
      <c r="M16" s="55" cm="1">
        <f t="array" ref="M16:M80">_xlfn.LET(_xlpm.x, L16:L80, _xlpm.x/SUM(_xlpm.x))</f>
        <v>0.72357498013568577</v>
      </c>
      <c r="N16" s="55" cm="1">
        <f t="array" ref="N16:N80">M16:M80*F16:F80</f>
        <v>0</v>
      </c>
      <c r="O16" s="110"/>
      <c r="P16" s="55" cm="1">
        <f t="array" ref="P16:P79">M16:M79</f>
        <v>0.72357498013568577</v>
      </c>
      <c r="Q16" s="208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16706</v>
      </c>
      <c r="H17" s="57" t="str">
        <f t="shared" ref="H17:H79" si="0">"("&amp;$A17&amp;", "&amp;$B17&amp;"]"</f>
        <v>(0, 1]</v>
      </c>
      <c r="I17" s="209">
        <v>1.18</v>
      </c>
      <c r="J17" s="55">
        <v>0.16106442614279243</v>
      </c>
      <c r="K17" s="55">
        <v>0.16041513660407439</v>
      </c>
      <c r="L17" s="108">
        <v>160415136</v>
      </c>
      <c r="M17" s="55">
        <v>0.16041242470919756</v>
      </c>
      <c r="N17" s="55">
        <v>6.991263301710969E-2</v>
      </c>
      <c r="O17" s="110"/>
      <c r="P17" s="55">
        <v>0.16041242470919756</v>
      </c>
      <c r="Q17" s="208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1.0167060000000001</v>
      </c>
      <c r="H18" s="57" t="str">
        <f t="shared" si="0"/>
        <v>(1, 2]</v>
      </c>
      <c r="I18" s="209">
        <v>1.32</v>
      </c>
      <c r="J18" s="55">
        <v>4.5895329878503137E-2</v>
      </c>
      <c r="K18" s="55">
        <v>4.571031473717263E-2</v>
      </c>
      <c r="L18" s="108">
        <v>45710314</v>
      </c>
      <c r="M18" s="55">
        <v>4.5709541417330961E-2</v>
      </c>
      <c r="N18" s="55">
        <v>6.8439123511323682E-2</v>
      </c>
      <c r="O18" s="110"/>
      <c r="P18" s="55">
        <v>4.5709541417330961E-2</v>
      </c>
      <c r="Q18" s="208">
        <v>4.5756934610305687E-2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209">
        <v>1.34</v>
      </c>
      <c r="J19" s="55">
        <v>2.1757952833554427E-2</v>
      </c>
      <c r="K19" s="55">
        <v>2.1670241279258616E-2</v>
      </c>
      <c r="L19" s="108">
        <v>21670241</v>
      </c>
      <c r="M19" s="55">
        <v>2.1669874735777216E-2</v>
      </c>
      <c r="N19" s="55">
        <v>5.456119507897321E-2</v>
      </c>
      <c r="O19" s="110"/>
      <c r="P19" s="55">
        <v>2.1669874735777216E-2</v>
      </c>
      <c r="Q19" s="208">
        <v>2.1758000231243222E-2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85"/>
      <c r="H20" s="57" t="str">
        <f t="shared" si="0"/>
        <v>(3, 4]</v>
      </c>
      <c r="I20" s="209">
        <v>1.06</v>
      </c>
      <c r="J20" s="55">
        <v>8.559883000443488E-3</v>
      </c>
      <c r="K20" s="55">
        <v>8.5253760480522075E-3</v>
      </c>
      <c r="L20" s="108">
        <v>8525376</v>
      </c>
      <c r="M20" s="55">
        <v>8.5252319065303155E-3</v>
      </c>
      <c r="N20" s="55">
        <v>3.0413312360749845E-2</v>
      </c>
      <c r="O20" s="110"/>
      <c r="P20" s="55">
        <v>8.5252319065303155E-3</v>
      </c>
      <c r="Q20" s="208">
        <v>8.5068854662453865E-3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85"/>
      <c r="H21" s="57" t="str">
        <f t="shared" si="0"/>
        <v>(4, 5]</v>
      </c>
      <c r="I21" s="209">
        <v>1.18</v>
      </c>
      <c r="J21" s="55">
        <v>6.6720274733178464E-3</v>
      </c>
      <c r="K21" s="55">
        <v>6.6451309217688166E-3</v>
      </c>
      <c r="L21" s="108">
        <v>6645130</v>
      </c>
      <c r="M21" s="55">
        <v>6.6450176859110723E-3</v>
      </c>
      <c r="N21" s="55">
        <v>3.0543359214299522E-2</v>
      </c>
      <c r="O21" s="110"/>
      <c r="P21" s="55">
        <v>6.6450176859110723E-3</v>
      </c>
      <c r="Q21" s="208">
        <v>6.6698354145381805E-3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110">
        <v>1.3</v>
      </c>
      <c r="H22" s="57" t="str">
        <f t="shared" si="0"/>
        <v>(5, 6]</v>
      </c>
      <c r="I22" s="209" cm="1">
        <f t="array" ref="I22:I79">G22:G79*G18</f>
        <v>1.3217178000000003</v>
      </c>
      <c r="J22" s="55">
        <v>5.5708925996587775E-3</v>
      </c>
      <c r="K22" s="55">
        <v>5.5484349882985052E-3</v>
      </c>
      <c r="L22" s="108">
        <v>5548434</v>
      </c>
      <c r="M22" s="55">
        <v>5.5483402219535689E-3</v>
      </c>
      <c r="N22" s="55">
        <v>3.0989417931422156E-2</v>
      </c>
      <c r="O22" s="110"/>
      <c r="P22" s="55">
        <v>5.5483402219535689E-3</v>
      </c>
      <c r="Q22" s="208">
        <v>5.4541948981352501E-3</v>
      </c>
      <c r="R22" s="55">
        <v>5.37539654564681E-3</v>
      </c>
      <c r="S22" s="78">
        <v>0.98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110">
        <v>1.19</v>
      </c>
      <c r="H23" s="57" t="str">
        <f t="shared" si="0"/>
        <v>(6, 7]</v>
      </c>
      <c r="I23" s="209">
        <v>1.2098801400000001</v>
      </c>
      <c r="J23" s="55">
        <v>3.3995318992001387E-3</v>
      </c>
      <c r="K23" s="55">
        <v>3.385827566396494E-3</v>
      </c>
      <c r="L23" s="108">
        <v>3385827</v>
      </c>
      <c r="M23" s="55">
        <v>3.3857697737192847E-3</v>
      </c>
      <c r="N23" s="55">
        <v>2.2210868597305925E-2</v>
      </c>
      <c r="O23" s="110"/>
      <c r="P23" s="55">
        <v>3.3857697737192847E-3</v>
      </c>
      <c r="Q23" s="208">
        <v>3.3318405313007824E-3</v>
      </c>
      <c r="R23" s="55">
        <v>2.5114557631300671E-3</v>
      </c>
      <c r="S23" s="78">
        <v>0.98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110">
        <v>0.97</v>
      </c>
      <c r="H24" s="57" t="str">
        <f t="shared" si="0"/>
        <v>(7, 8]</v>
      </c>
      <c r="I24" s="209">
        <v>0.98620482000000009</v>
      </c>
      <c r="J24" s="55">
        <v>2.8706053221342616E-3</v>
      </c>
      <c r="K24" s="55">
        <v>2.859033219901099E-3</v>
      </c>
      <c r="L24" s="108">
        <v>2859033</v>
      </c>
      <c r="M24" s="55">
        <v>2.858984677440982E-3</v>
      </c>
      <c r="N24" s="55">
        <v>2.178936844833131E-2</v>
      </c>
      <c r="O24" s="110"/>
      <c r="P24" s="55">
        <v>2.858984677440982E-3</v>
      </c>
      <c r="Q24" s="208">
        <v>2.8156200112303422E-3</v>
      </c>
      <c r="R24" s="55">
        <v>3.0842439196334154E-3</v>
      </c>
      <c r="S24" s="78">
        <v>0.98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110">
        <v>1.2</v>
      </c>
      <c r="H25" s="57" t="str">
        <f t="shared" si="0"/>
        <v>(8, 9]</v>
      </c>
      <c r="I25" s="209">
        <v>1.2200472</v>
      </c>
      <c r="J25" s="55">
        <v>2.603488466079986E-3</v>
      </c>
      <c r="K25" s="55">
        <v>2.5929931763025889E-3</v>
      </c>
      <c r="L25" s="108">
        <v>2592993</v>
      </c>
      <c r="M25" s="55">
        <v>2.5929491739730614E-3</v>
      </c>
      <c r="N25" s="55">
        <v>2.2295760260780846E-2</v>
      </c>
      <c r="O25" s="110"/>
      <c r="P25" s="55">
        <v>2.5929491739730614E-3</v>
      </c>
      <c r="Q25" s="208">
        <v>2.5445965127515817E-3</v>
      </c>
      <c r="R25" s="55">
        <v>2.687698272823405E-3</v>
      </c>
      <c r="S25" s="78">
        <v>0.98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110">
        <v>1.1499999999999999</v>
      </c>
      <c r="H26" s="57" t="str">
        <f t="shared" si="0"/>
        <v>(9, 10]</v>
      </c>
      <c r="I26" s="209">
        <v>1.1692119000000001</v>
      </c>
      <c r="J26" s="55">
        <v>2.315882817404242E-3</v>
      </c>
      <c r="K26" s="55">
        <v>2.3065469353460628E-3</v>
      </c>
      <c r="L26" s="108">
        <v>2306546</v>
      </c>
      <c r="M26" s="55">
        <v>2.3065070154184254E-3</v>
      </c>
      <c r="N26" s="55">
        <v>2.2249284104178198E-2</v>
      </c>
      <c r="O26" s="110"/>
      <c r="P26" s="55">
        <v>2.3065070154184254E-3</v>
      </c>
      <c r="Q26" s="208">
        <v>2.2718729170527617E-3</v>
      </c>
      <c r="R26" s="55">
        <v>2.2470919985900597E-3</v>
      </c>
      <c r="S26" s="78">
        <v>0.98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110">
        <v>0.44</v>
      </c>
      <c r="H27" s="57" t="str">
        <f t="shared" si="0"/>
        <v>(10, 15]</v>
      </c>
      <c r="I27" s="209">
        <v>0.44735064000000008</v>
      </c>
      <c r="J27" s="55">
        <v>3.0535532780996653E-3</v>
      </c>
      <c r="K27" s="55">
        <v>3.0412436685423659E-3</v>
      </c>
      <c r="L27" s="108">
        <v>3041243</v>
      </c>
      <c r="M27" s="55">
        <v>3.0411915977796144E-3</v>
      </c>
      <c r="N27" s="55">
        <v>3.7855422335120015E-2</v>
      </c>
      <c r="O27" s="110"/>
      <c r="P27" s="55">
        <v>3.0411915977796144E-3</v>
      </c>
      <c r="Q27" s="208">
        <v>3.0238589193723043E-3</v>
      </c>
      <c r="R27" s="55">
        <v>4.9788508988367992E-3</v>
      </c>
      <c r="S27" s="78">
        <v>0.99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110">
        <v>0.87</v>
      </c>
      <c r="H28" s="105" t="str">
        <f t="shared" si="0"/>
        <v>(15, 20]</v>
      </c>
      <c r="I28" s="209">
        <v>0.88453422000000004</v>
      </c>
      <c r="J28" s="55">
        <v>4.0602491800052105E-3</v>
      </c>
      <c r="K28" s="55">
        <v>4.043881336526051E-3</v>
      </c>
      <c r="L28" s="108">
        <v>4043881</v>
      </c>
      <c r="M28" s="55">
        <v>4.0438126514785646E-3</v>
      </c>
      <c r="N28" s="55">
        <v>7.0709613529987905E-2</v>
      </c>
      <c r="O28" s="110"/>
      <c r="P28" s="55">
        <v>4.0438126514785646E-3</v>
      </c>
      <c r="Q28" s="208">
        <v>3.9646257171216332E-3</v>
      </c>
      <c r="R28" s="55">
        <v>2.3352132534367291E-3</v>
      </c>
      <c r="S28" s="78">
        <v>0.98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110">
        <v>0.52</v>
      </c>
      <c r="H29" s="57" t="str">
        <f t="shared" si="0"/>
        <v>(20, 25]</v>
      </c>
      <c r="I29" s="209">
        <v>0.52868712000000007</v>
      </c>
      <c r="J29" s="55">
        <v>1.6770928423028072E-3</v>
      </c>
      <c r="K29" s="55">
        <v>1.670332076663592E-3</v>
      </c>
      <c r="L29" s="108">
        <v>1670332</v>
      </c>
      <c r="M29" s="55">
        <v>1.6703037685257044E-3</v>
      </c>
      <c r="N29" s="55">
        <v>3.7647359075771936E-2</v>
      </c>
      <c r="O29" s="110"/>
      <c r="P29" s="55">
        <v>1.6703037685257044E-3</v>
      </c>
      <c r="Q29" s="208">
        <v>1.6558466895929445E-3</v>
      </c>
      <c r="R29" s="55">
        <v>1.8064857243567148E-3</v>
      </c>
      <c r="S29" s="78">
        <v>0.99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110">
        <v>0.26</v>
      </c>
      <c r="H30" s="57" t="str">
        <f t="shared" si="0"/>
        <v>(25, 30]</v>
      </c>
      <c r="I30" s="209">
        <v>0.26434356000000003</v>
      </c>
      <c r="J30" s="55">
        <v>6.716819538277757E-4</v>
      </c>
      <c r="K30" s="55">
        <v>6.6897424191143101E-4</v>
      </c>
      <c r="L30" s="108">
        <v>668974</v>
      </c>
      <c r="M30" s="55">
        <v>6.6896269319255961E-4</v>
      </c>
      <c r="N30" s="55">
        <v>1.8426287890362898E-2</v>
      </c>
      <c r="O30" s="110"/>
      <c r="P30" s="55">
        <v>6.6896269319255961E-4</v>
      </c>
      <c r="Q30" s="208">
        <v>6.70909365952092E-4</v>
      </c>
      <c r="R30" s="55">
        <v>8.8121254846669017E-4</v>
      </c>
      <c r="S30" s="78">
        <v>1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110">
        <v>0.3</v>
      </c>
      <c r="H31" s="57" t="str">
        <f t="shared" si="0"/>
        <v>(30, 35]</v>
      </c>
      <c r="I31" s="209">
        <v>0.3050118</v>
      </c>
      <c r="J31" s="55">
        <v>5.8080307037603569E-4</v>
      </c>
      <c r="K31" s="55">
        <v>5.7846171315221182E-4</v>
      </c>
      <c r="L31" s="108">
        <v>578461</v>
      </c>
      <c r="M31" s="55">
        <v>5.7845122301742853E-4</v>
      </c>
      <c r="N31" s="55">
        <v>1.8818173700705813E-2</v>
      </c>
      <c r="O31" s="110"/>
      <c r="P31" s="55">
        <v>5.7845122301742853E-4</v>
      </c>
      <c r="Q31" s="208">
        <v>5.6786647344428387E-4</v>
      </c>
      <c r="R31" s="55">
        <v>4.8466690165667957E-4</v>
      </c>
      <c r="S31" s="78">
        <v>0.98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110">
        <v>0.59</v>
      </c>
      <c r="H32" s="105" t="str">
        <f t="shared" si="0"/>
        <v>(35, 40]</v>
      </c>
      <c r="I32" s="209">
        <v>0.59985653999999999</v>
      </c>
      <c r="J32" s="55">
        <v>9.8604122331520422E-4</v>
      </c>
      <c r="K32" s="55">
        <v>9.8206625338313671E-4</v>
      </c>
      <c r="L32" s="108">
        <v>982066</v>
      </c>
      <c r="M32" s="55">
        <v>9.8204940140101749E-4</v>
      </c>
      <c r="N32" s="55">
        <v>3.6870970750864138E-2</v>
      </c>
      <c r="O32" s="110"/>
      <c r="P32" s="55">
        <v>9.8204940140101749E-4</v>
      </c>
      <c r="Q32" s="208">
        <v>9.7218159420446463E-4</v>
      </c>
      <c r="R32" s="55">
        <v>7.0497003877335212E-4</v>
      </c>
      <c r="S32" s="78">
        <v>0.99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110">
        <v>0.16</v>
      </c>
      <c r="H33" s="57" t="str">
        <f t="shared" si="0"/>
        <v>(40, 45]</v>
      </c>
      <c r="I33" s="209">
        <v>0.16267296000000003</v>
      </c>
      <c r="J33" s="55">
        <v>2.2042220225346252E-4</v>
      </c>
      <c r="K33" s="55">
        <v>2.1953362720649665E-4</v>
      </c>
      <c r="L33" s="108">
        <v>219533</v>
      </c>
      <c r="M33" s="55">
        <v>2.1952928951594861E-4</v>
      </c>
      <c r="N33" s="55">
        <v>9.3576481472465826E-3</v>
      </c>
      <c r="O33" s="110"/>
      <c r="P33" s="55">
        <v>2.1952928951594861E-4</v>
      </c>
      <c r="Q33" s="208">
        <v>2.2260372959427685E-4</v>
      </c>
      <c r="R33" s="55">
        <v>3.5248501938667606E-4</v>
      </c>
      <c r="S33" s="78">
        <v>1.01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110">
        <v>0.19</v>
      </c>
      <c r="H34" s="57" t="str">
        <f t="shared" si="0"/>
        <v>(45, 50]</v>
      </c>
      <c r="I34" s="209">
        <v>0.19317414000000002</v>
      </c>
      <c r="J34" s="55">
        <v>2.2123587612525843E-4</v>
      </c>
      <c r="K34" s="55">
        <v>2.2034402096271684E-4</v>
      </c>
      <c r="L34" s="108">
        <v>220344</v>
      </c>
      <c r="M34" s="55">
        <v>2.2034027580865827E-4</v>
      </c>
      <c r="N34" s="55">
        <v>1.0502791932289405E-2</v>
      </c>
      <c r="O34" s="110"/>
      <c r="P34" s="55">
        <v>2.2034027580865827E-4</v>
      </c>
      <c r="Q34" s="208">
        <v>2.1215213191966382E-4</v>
      </c>
      <c r="R34" s="55">
        <v>1.3218188227000352E-4</v>
      </c>
      <c r="S34" s="78">
        <v>0.96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110">
        <v>0.33</v>
      </c>
      <c r="H35" s="105" t="str">
        <f t="shared" si="0"/>
        <v>(50, 60]</v>
      </c>
      <c r="I35" s="209">
        <v>0.33551298000000007</v>
      </c>
      <c r="J35" s="55">
        <v>6.380036500531818E-4</v>
      </c>
      <c r="K35" s="55">
        <v>6.3543170350009129E-4</v>
      </c>
      <c r="L35" s="108">
        <v>635431</v>
      </c>
      <c r="M35" s="55">
        <v>6.3542026012676338E-4</v>
      </c>
      <c r="N35" s="55">
        <v>3.4885376324239332E-2</v>
      </c>
      <c r="O35" s="110"/>
      <c r="P35" s="55">
        <v>6.3542026012676338E-4</v>
      </c>
      <c r="Q35" s="208">
        <v>6.2280361502472517E-4</v>
      </c>
      <c r="R35" s="55">
        <v>3.0842439196334157E-4</v>
      </c>
      <c r="S35" s="78">
        <v>0.98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110">
        <v>0.11</v>
      </c>
      <c r="H36" s="57" t="str">
        <f t="shared" si="0"/>
        <v>(60, 70]</v>
      </c>
      <c r="I36" s="209">
        <v>0.11183766000000002</v>
      </c>
      <c r="J36" s="55">
        <v>1.5516799171889648E-4</v>
      </c>
      <c r="K36" s="55">
        <v>1.5454247212912906E-4</v>
      </c>
      <c r="L36" s="108">
        <v>154542</v>
      </c>
      <c r="M36" s="55">
        <v>1.5453938797526444E-4</v>
      </c>
      <c r="N36" s="55">
        <v>1.0045840349343825E-2</v>
      </c>
      <c r="O36" s="110"/>
      <c r="P36" s="55">
        <v>1.5453938797526444E-4</v>
      </c>
      <c r="Q36" s="208">
        <v>1.5079862341928023E-4</v>
      </c>
      <c r="R36" s="55">
        <v>1.7624250969333803E-4</v>
      </c>
      <c r="S36" s="78">
        <v>0.98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110">
        <v>0.12</v>
      </c>
      <c r="H37" s="57" t="str">
        <f t="shared" si="0"/>
        <v>(70, 80]</v>
      </c>
      <c r="I37" s="209">
        <v>0.12200472000000001</v>
      </c>
      <c r="J37" s="55">
        <v>1.3690668555025026E-4</v>
      </c>
      <c r="K37" s="55">
        <v>1.3635478168893747E-4</v>
      </c>
      <c r="L37" s="108">
        <v>136354</v>
      </c>
      <c r="M37" s="55">
        <v>1.3635169538364462E-4</v>
      </c>
      <c r="N37" s="55">
        <v>1.0226401495516811E-2</v>
      </c>
      <c r="O37" s="110"/>
      <c r="P37" s="55">
        <v>1.3635169538364462E-4</v>
      </c>
      <c r="Q37" s="208">
        <v>1.2982942429562834E-4</v>
      </c>
      <c r="R37" s="55">
        <v>1.3218188227000352E-4</v>
      </c>
      <c r="S37" s="78">
        <v>0.95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110">
        <v>0.13</v>
      </c>
      <c r="H38" s="57" t="str">
        <f t="shared" si="0"/>
        <v>(80, 90]</v>
      </c>
      <c r="I38" s="209">
        <v>0.13217178000000002</v>
      </c>
      <c r="J38" s="55">
        <v>1.1796960376024031E-4</v>
      </c>
      <c r="K38" s="55">
        <v>1.1749403984185942E-4</v>
      </c>
      <c r="L38" s="108">
        <v>117494</v>
      </c>
      <c r="M38" s="55">
        <v>1.1749201414997684E-4</v>
      </c>
      <c r="N38" s="55">
        <v>9.9909284086713464E-3</v>
      </c>
      <c r="O38" s="110"/>
      <c r="P38" s="55">
        <v>1.1749201414997684E-4</v>
      </c>
      <c r="Q38" s="208">
        <v>1.1201240542940448E-4</v>
      </c>
      <c r="R38" s="55">
        <v>0</v>
      </c>
      <c r="S38" s="78">
        <v>0.95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110">
        <v>0.14000000000000001</v>
      </c>
      <c r="H39" s="57" t="str">
        <f t="shared" si="0"/>
        <v>(90, 100]</v>
      </c>
      <c r="I39" s="209">
        <v>0.14233884000000002</v>
      </c>
      <c r="J39" s="55">
        <v>1.067701162529602E-4</v>
      </c>
      <c r="K39" s="55">
        <v>1.0633970016921682E-4</v>
      </c>
      <c r="L39" s="108">
        <v>106339</v>
      </c>
      <c r="M39" s="55">
        <v>1.0633720268860015E-4</v>
      </c>
      <c r="N39" s="55">
        <v>1.0127979567907126E-2</v>
      </c>
      <c r="O39" s="110"/>
      <c r="P39" s="55">
        <v>1.0633720268860015E-4</v>
      </c>
      <c r="Q39" s="208">
        <v>1.0128479197082886E-4</v>
      </c>
      <c r="R39" s="55">
        <v>8.8121254846669015E-5</v>
      </c>
      <c r="S39" s="78">
        <v>0.95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110">
        <v>0</v>
      </c>
      <c r="H40" s="57" t="str">
        <f t="shared" si="0"/>
        <v>(100, 120]</v>
      </c>
      <c r="I40" s="209">
        <v>0</v>
      </c>
      <c r="J40" s="55">
        <v>0</v>
      </c>
      <c r="K40" s="55">
        <v>0</v>
      </c>
      <c r="L40" s="108">
        <v>0</v>
      </c>
      <c r="M40" s="55">
        <v>0</v>
      </c>
      <c r="N40" s="55">
        <v>0</v>
      </c>
      <c r="O40" s="110"/>
      <c r="P40" s="55">
        <v>0</v>
      </c>
      <c r="Q40" s="208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110">
        <v>0</v>
      </c>
      <c r="H41" s="57" t="str">
        <f t="shared" si="0"/>
        <v>(120, 140]</v>
      </c>
      <c r="I41" s="209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8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110">
        <v>0</v>
      </c>
      <c r="H42" s="57" t="str">
        <f t="shared" si="0"/>
        <v>(140, 160]</v>
      </c>
      <c r="I42" s="209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8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110">
        <v>0</v>
      </c>
      <c r="H43" s="57" t="str">
        <f t="shared" si="0"/>
        <v>(160, 180]</v>
      </c>
      <c r="I43" s="209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8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110">
        <v>0</v>
      </c>
      <c r="H44" s="57" t="str">
        <f t="shared" si="0"/>
        <v>(180, 200]</v>
      </c>
      <c r="I44" s="209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8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110">
        <v>0</v>
      </c>
      <c r="H45" s="57" t="str">
        <f t="shared" si="0"/>
        <v>(200, 250]</v>
      </c>
      <c r="I45" s="209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8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110">
        <v>0</v>
      </c>
      <c r="H46" s="57" t="str">
        <f t="shared" si="0"/>
        <v>(250, 300]</v>
      </c>
      <c r="I46" s="209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8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110">
        <v>0</v>
      </c>
      <c r="H47" s="57" t="str">
        <f t="shared" si="0"/>
        <v>(300, 350]</v>
      </c>
      <c r="I47" s="209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8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110">
        <v>0</v>
      </c>
      <c r="H48" s="57" t="str">
        <f t="shared" si="0"/>
        <v>(350, 400]</v>
      </c>
      <c r="I48" s="209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8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110">
        <v>0</v>
      </c>
      <c r="H49" s="57" t="str">
        <f t="shared" si="0"/>
        <v>(400, 450]</v>
      </c>
      <c r="I49" s="209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8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110">
        <v>0</v>
      </c>
      <c r="H50" s="57" t="str">
        <f t="shared" si="0"/>
        <v>(450, 500]</v>
      </c>
      <c r="I50" s="209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8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110">
        <v>0</v>
      </c>
      <c r="H51" s="57" t="str">
        <f t="shared" si="0"/>
        <v>(500, 550]</v>
      </c>
      <c r="I51" s="209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8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110">
        <v>0</v>
      </c>
      <c r="H52" s="57" t="str">
        <f t="shared" si="0"/>
        <v>(550, 600]</v>
      </c>
      <c r="I52" s="209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8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110">
        <v>0</v>
      </c>
      <c r="H53" s="57" t="str">
        <f t="shared" si="0"/>
        <v>(600, 650]</v>
      </c>
      <c r="I53" s="209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8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110">
        <v>0</v>
      </c>
      <c r="H54" s="57" t="str">
        <f t="shared" si="0"/>
        <v>(650, 700]</v>
      </c>
      <c r="I54" s="209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8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110">
        <v>0</v>
      </c>
      <c r="H55" s="57" t="str">
        <f t="shared" si="0"/>
        <v>(700, 750]</v>
      </c>
      <c r="I55" s="209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8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110">
        <v>0</v>
      </c>
      <c r="H56" s="57" t="str">
        <f t="shared" si="0"/>
        <v>(750, 800]</v>
      </c>
      <c r="I56" s="209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8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110">
        <v>0</v>
      </c>
      <c r="H57" s="57" t="str">
        <f t="shared" si="0"/>
        <v>(800, 850]</v>
      </c>
      <c r="I57" s="209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8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110">
        <v>0</v>
      </c>
      <c r="H58" s="57" t="str">
        <f t="shared" si="0"/>
        <v>(850, 900]</v>
      </c>
      <c r="I58" s="209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8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110">
        <v>0</v>
      </c>
      <c r="H59" s="57" t="str">
        <f t="shared" si="0"/>
        <v>(900, 950]</v>
      </c>
      <c r="I59" s="209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8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110">
        <v>0</v>
      </c>
      <c r="H60" s="57" t="str">
        <f t="shared" si="0"/>
        <v>(950, 1000]</v>
      </c>
      <c r="I60" s="209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8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110">
        <v>0</v>
      </c>
      <c r="H61" s="57" t="str">
        <f t="shared" si="0"/>
        <v>(1000, 2000]</v>
      </c>
      <c r="I61" s="209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8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110">
        <v>0</v>
      </c>
      <c r="H62" s="57" t="str">
        <f t="shared" si="0"/>
        <v>(2000, 3000]</v>
      </c>
      <c r="I62" s="209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8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110">
        <v>0</v>
      </c>
      <c r="H63" s="57" t="str">
        <f t="shared" si="0"/>
        <v>(3000, 4000]</v>
      </c>
      <c r="I63" s="209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8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110">
        <v>0</v>
      </c>
      <c r="H64" s="57" t="str">
        <f t="shared" si="0"/>
        <v>(4000, 5000]</v>
      </c>
      <c r="I64" s="209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8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110">
        <v>0</v>
      </c>
      <c r="H65" s="57" t="str">
        <f t="shared" si="0"/>
        <v>(5000, 6000]</v>
      </c>
      <c r="I65" s="209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8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110">
        <v>0</v>
      </c>
      <c r="H66" s="57" t="str">
        <f t="shared" si="0"/>
        <v>(6000, 7000]</v>
      </c>
      <c r="I66" s="209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8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110">
        <v>0</v>
      </c>
      <c r="H67" s="57" t="str">
        <f t="shared" si="0"/>
        <v>(7000, 8000]</v>
      </c>
      <c r="I67" s="209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8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110">
        <v>0</v>
      </c>
      <c r="H68" s="57" t="str">
        <f t="shared" si="0"/>
        <v>(8000, 9000]</v>
      </c>
      <c r="I68" s="209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8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110">
        <v>0</v>
      </c>
      <c r="H69" s="57" t="str">
        <f t="shared" si="0"/>
        <v>(9000, 10000]</v>
      </c>
      <c r="I69" s="209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8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110">
        <v>0</v>
      </c>
      <c r="H70" s="57" t="str">
        <f t="shared" si="0"/>
        <v>(10000, 20000]</v>
      </c>
      <c r="I70" s="209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8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110">
        <v>0</v>
      </c>
      <c r="H71" s="57" t="str">
        <f t="shared" si="0"/>
        <v>(20000, 30000]</v>
      </c>
      <c r="I71" s="209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8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110">
        <v>0</v>
      </c>
      <c r="H72" s="57" t="str">
        <f t="shared" si="0"/>
        <v>(30000, 40000]</v>
      </c>
      <c r="I72" s="209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8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110">
        <v>0</v>
      </c>
      <c r="H73" s="57" t="str">
        <f t="shared" si="0"/>
        <v>(40000, 50000]</v>
      </c>
      <c r="I73" s="209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8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110">
        <v>0</v>
      </c>
      <c r="H74" s="57" t="str">
        <f t="shared" si="0"/>
        <v>(50000, 60000]</v>
      </c>
      <c r="I74" s="209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8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110">
        <v>0</v>
      </c>
      <c r="H75" s="57" t="str">
        <f t="shared" si="0"/>
        <v>(60000, 70000]</v>
      </c>
      <c r="I75" s="209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8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110">
        <v>0</v>
      </c>
      <c r="H76" s="57" t="str">
        <f t="shared" si="0"/>
        <v>(70000, 80000]</v>
      </c>
      <c r="I76" s="209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8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110">
        <v>0</v>
      </c>
      <c r="H77" s="57" t="str">
        <f t="shared" si="0"/>
        <v>(80000, 90000]</v>
      </c>
      <c r="I77" s="209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8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110">
        <v>0</v>
      </c>
      <c r="H78" s="57" t="str">
        <f t="shared" si="0"/>
        <v>(90000, 100000]</v>
      </c>
      <c r="I78" s="209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8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110">
        <v>0</v>
      </c>
      <c r="H79" s="57" t="str">
        <f t="shared" si="0"/>
        <v>(100000, 9999999]</v>
      </c>
      <c r="I79" s="209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8">
        <v>0</v>
      </c>
      <c r="R79" s="55">
        <v>0</v>
      </c>
      <c r="S79" s="78">
        <v>0</v>
      </c>
    </row>
    <row r="80" spans="1:20">
      <c r="A80" s="219" t="s">
        <v>72</v>
      </c>
      <c r="B80" s="220"/>
      <c r="C80" s="68">
        <f>E80*B14</f>
        <v>13362000</v>
      </c>
      <c r="D80" s="91" cm="1">
        <f t="array" ref="D80:D81">Multiplier_Weight_Oldhand!D80:D81</f>
        <v>360008300</v>
      </c>
      <c r="E80" s="178">
        <f>Multiplier_Weight_Oldhand!E80</f>
        <v>1.3362000000000001E-2</v>
      </c>
      <c r="F80" s="88">
        <v>0.26942695704235892</v>
      </c>
      <c r="G80" s="94"/>
      <c r="H80" s="57" t="s">
        <v>72</v>
      </c>
      <c r="I80" s="209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4.1955970860180518E-3</v>
      </c>
      <c r="N80" s="55">
        <v>1.1304069558616318E-3</v>
      </c>
      <c r="P80" s="47"/>
      <c r="Q80" s="47"/>
      <c r="R80" s="47"/>
      <c r="S80" s="47"/>
      <c r="T80" s="47"/>
    </row>
    <row r="81" spans="1:22">
      <c r="A81" s="219" t="s">
        <v>73</v>
      </c>
      <c r="B81" s="220"/>
      <c r="C81" s="68">
        <v>10000000</v>
      </c>
      <c r="D81" s="91">
        <v>0</v>
      </c>
      <c r="E81" s="55">
        <v>1</v>
      </c>
      <c r="F81" s="88">
        <v>0</v>
      </c>
      <c r="G81" s="85"/>
      <c r="H81" s="57" t="s">
        <v>73</v>
      </c>
      <c r="I81" s="76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2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2" s="177" customFormat="1">
      <c r="A84" s="221" t="s">
        <v>264</v>
      </c>
      <c r="B84" s="221"/>
      <c r="C84" s="221"/>
      <c r="D84" s="221"/>
      <c r="E84" s="172"/>
      <c r="F84" s="172"/>
      <c r="G84" s="173"/>
      <c r="H84" s="174"/>
      <c r="I84" s="175"/>
      <c r="J84" s="176"/>
      <c r="K84" s="176"/>
      <c r="L84" s="176"/>
      <c r="M84" s="176"/>
      <c r="N84" s="176"/>
      <c r="O84" s="173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5" t="s">
        <v>69</v>
      </c>
      <c r="B86" s="197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78</v>
      </c>
      <c r="H87" s="18" t="s">
        <v>55</v>
      </c>
      <c r="I87" s="18" t="s">
        <v>302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tr">
        <f>U87</f>
        <v>目前</v>
      </c>
      <c r="Q87" s="184" t="str">
        <f>V87</f>
        <v>目標</v>
      </c>
      <c r="R87" s="81" t="s">
        <v>327</v>
      </c>
      <c r="S87" s="81" t="s">
        <v>74</v>
      </c>
      <c r="U87" s="22" t="s">
        <v>77</v>
      </c>
      <c r="V87" s="22" t="s">
        <v>326</v>
      </c>
    </row>
    <row r="88" spans="1:22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9">
        <v>0.98</v>
      </c>
      <c r="J88" s="55" cm="1">
        <f t="array" ref="J88:J152">E88:E152*I88:I152</f>
        <v>0.7340058270798534</v>
      </c>
      <c r="K88" s="55" cm="1">
        <f t="array" ref="K88:K151">J88:J151/SUM(_xlfn.ANCHORARRAY(J88))</f>
        <v>0.71223922428041886</v>
      </c>
      <c r="L88" s="108" cm="1">
        <f t="array" ref="L88:L152">INT(K88:K152*$B$2)</f>
        <v>712239224</v>
      </c>
      <c r="M88" s="55" cm="1">
        <f t="array" ref="M88:M152">_xlfn.LET(_xlpm.x, L88:L152, _xlpm.x/SUM(_xlpm.x))</f>
        <v>0.71179642042942581</v>
      </c>
      <c r="N88" s="55" cm="1">
        <f t="array" ref="N88:N152">M88:M152*F88:F152</f>
        <v>0</v>
      </c>
      <c r="O88" s="110"/>
      <c r="P88" s="55" cm="1">
        <f t="array" ref="P88:P151">M88:M151</f>
        <v>0.71179642042942581</v>
      </c>
      <c r="Q88" s="208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2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-38081</v>
      </c>
      <c r="H89" s="57" t="str">
        <f t="shared" ref="H89:H151" si="1">"("&amp;$A89&amp;", "&amp;$B89&amp;"]"</f>
        <v>(0, 1]</v>
      </c>
      <c r="I89" s="209">
        <v>1.2</v>
      </c>
      <c r="J89" s="55">
        <v>0.16379433167063637</v>
      </c>
      <c r="K89" s="55">
        <v>0.15893708663695938</v>
      </c>
      <c r="L89" s="108">
        <v>158937086</v>
      </c>
      <c r="M89" s="55">
        <v>0.15883827382172341</v>
      </c>
      <c r="N89" s="55">
        <v>6.9226569992321893E-2</v>
      </c>
      <c r="O89" s="110"/>
      <c r="P89" s="55">
        <v>0.15883827382172341</v>
      </c>
      <c r="Q89" s="208">
        <v>0.16136085442046003</v>
      </c>
      <c r="R89" s="55"/>
      <c r="S89" s="78">
        <v>1.02</v>
      </c>
    </row>
    <row r="90" spans="1:22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0.96191899999999997</v>
      </c>
      <c r="H90" s="57" t="str">
        <f t="shared" si="1"/>
        <v>(1, 2]</v>
      </c>
      <c r="I90" s="209">
        <v>1.33</v>
      </c>
      <c r="J90" s="55">
        <v>4.6243021771522098E-2</v>
      </c>
      <c r="K90" s="55">
        <v>4.4871706381355826E-2</v>
      </c>
      <c r="L90" s="108">
        <v>44871706</v>
      </c>
      <c r="M90" s="55">
        <v>4.4843808980339996E-2</v>
      </c>
      <c r="N90" s="55">
        <v>6.7142895911006542E-2</v>
      </c>
      <c r="O90" s="110"/>
      <c r="P90" s="55">
        <v>4.4843808980339996E-2</v>
      </c>
      <c r="Q90" s="208">
        <v>4.5756934610305687E-2</v>
      </c>
      <c r="R90" s="55"/>
      <c r="S90" s="78">
        <v>1.02</v>
      </c>
    </row>
    <row r="91" spans="1:22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85"/>
      <c r="H91" s="57" t="str">
        <f t="shared" si="1"/>
        <v>(2, 3]</v>
      </c>
      <c r="I91" s="209">
        <v>1.36</v>
      </c>
      <c r="J91" s="55">
        <v>2.2082698398234346E-2</v>
      </c>
      <c r="K91" s="55">
        <v>2.1427846206275133E-2</v>
      </c>
      <c r="L91" s="108">
        <v>21427846</v>
      </c>
      <c r="M91" s="55">
        <v>2.1414524174412766E-2</v>
      </c>
      <c r="N91" s="55">
        <v>5.3918264191646539E-2</v>
      </c>
      <c r="O91" s="110"/>
      <c r="P91" s="55">
        <v>2.1414524174412766E-2</v>
      </c>
      <c r="Q91" s="208">
        <v>2.1758000231243222E-2</v>
      </c>
      <c r="R91" s="55"/>
      <c r="S91" s="78">
        <v>1.02</v>
      </c>
    </row>
    <row r="92" spans="1:22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85"/>
      <c r="H92" s="57" t="str">
        <f t="shared" si="1"/>
        <v>(3, 4]</v>
      </c>
      <c r="I92" s="209">
        <v>1.07</v>
      </c>
      <c r="J92" s="55">
        <v>8.6406366136552188E-3</v>
      </c>
      <c r="K92" s="55">
        <v>8.3844025373510482E-3</v>
      </c>
      <c r="L92" s="108">
        <v>8384402</v>
      </c>
      <c r="M92" s="55">
        <v>8.3791893649503898E-3</v>
      </c>
      <c r="N92" s="55">
        <v>2.9892313344684864E-2</v>
      </c>
      <c r="O92" s="110"/>
      <c r="P92" s="55">
        <v>8.3791893649503898E-3</v>
      </c>
      <c r="Q92" s="208">
        <v>8.5068854662453865E-3</v>
      </c>
      <c r="R92" s="55"/>
      <c r="S92" s="78">
        <v>1.02</v>
      </c>
    </row>
    <row r="93" spans="1:22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85"/>
      <c r="H93" s="57" t="str">
        <f t="shared" si="1"/>
        <v>(4, 5]</v>
      </c>
      <c r="I93" s="209">
        <v>1.19</v>
      </c>
      <c r="J93" s="55">
        <v>6.7285700790239303E-3</v>
      </c>
      <c r="K93" s="55">
        <v>6.5290374501060667E-3</v>
      </c>
      <c r="L93" s="108">
        <v>6529037</v>
      </c>
      <c r="M93" s="55">
        <v>6.5249778569500365E-3</v>
      </c>
      <c r="N93" s="55">
        <v>2.9991604532930708E-2</v>
      </c>
      <c r="O93" s="110"/>
      <c r="P93" s="55">
        <v>6.5249778569500365E-3</v>
      </c>
      <c r="Q93" s="208">
        <v>6.6698354145381805E-3</v>
      </c>
      <c r="R93" s="55"/>
      <c r="S93" s="78">
        <v>1.02</v>
      </c>
    </row>
    <row r="94" spans="1:22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110">
        <v>1.31</v>
      </c>
      <c r="H94" s="57" t="str">
        <f t="shared" si="1"/>
        <v>(5, 6]</v>
      </c>
      <c r="I94" s="209" cm="1">
        <f t="array" ref="I94:I151">G94:G151*G90</f>
        <v>1.26011389</v>
      </c>
      <c r="J94" s="55">
        <v>5.3112390137503131E-3</v>
      </c>
      <c r="K94" s="55">
        <v>5.1537366810439182E-3</v>
      </c>
      <c r="L94" s="108">
        <v>5153736</v>
      </c>
      <c r="M94" s="55">
        <v>5.1505318901648514E-3</v>
      </c>
      <c r="N94" s="55">
        <v>2.8767519461385331E-2</v>
      </c>
      <c r="O94" s="110"/>
      <c r="P94" s="55">
        <v>5.1505318901648514E-3</v>
      </c>
      <c r="Q94" s="208">
        <v>5.4541948981352501E-3</v>
      </c>
      <c r="R94" s="55"/>
      <c r="S94" s="78">
        <v>1.06</v>
      </c>
    </row>
    <row r="95" spans="1:22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110">
        <v>1.2</v>
      </c>
      <c r="H95" s="57" t="str">
        <f t="shared" si="1"/>
        <v>(6, 7]</v>
      </c>
      <c r="I95" s="209">
        <v>1.1543028</v>
      </c>
      <c r="J95" s="55">
        <v>3.2433701985851568E-3</v>
      </c>
      <c r="K95" s="55">
        <v>3.1471895577243232E-3</v>
      </c>
      <c r="L95" s="108">
        <v>3147189</v>
      </c>
      <c r="M95" s="55">
        <v>3.1452323729574097E-3</v>
      </c>
      <c r="N95" s="55">
        <v>2.0632927698155331E-2</v>
      </c>
      <c r="O95" s="110"/>
      <c r="P95" s="55">
        <v>3.1452323729574097E-3</v>
      </c>
      <c r="Q95" s="208">
        <v>3.3318405313007824E-3</v>
      </c>
      <c r="R95" s="55"/>
      <c r="S95" s="78">
        <v>1.06</v>
      </c>
    </row>
    <row r="96" spans="1:22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110">
        <v>0.98</v>
      </c>
      <c r="H96" s="57" t="str">
        <f t="shared" si="1"/>
        <v>(7, 8]</v>
      </c>
      <c r="I96" s="209">
        <v>0.94268061999999997</v>
      </c>
      <c r="J96" s="55">
        <v>2.7439168314395634E-3</v>
      </c>
      <c r="K96" s="55">
        <v>2.6625472488270665E-3</v>
      </c>
      <c r="L96" s="108">
        <v>2662547</v>
      </c>
      <c r="M96" s="55">
        <v>2.6608916779134119E-3</v>
      </c>
      <c r="N96" s="55">
        <v>2.0279629208453748E-2</v>
      </c>
      <c r="O96" s="110"/>
      <c r="P96" s="55">
        <v>2.6608916779134119E-3</v>
      </c>
      <c r="Q96" s="208">
        <v>2.8156200112303422E-3</v>
      </c>
      <c r="R96" s="55"/>
      <c r="S96" s="78">
        <v>1.06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110">
        <v>1.21</v>
      </c>
      <c r="H97" s="57" t="str">
        <f t="shared" si="1"/>
        <v>(8, 9]</v>
      </c>
      <c r="I97" s="209">
        <v>1.16392199</v>
      </c>
      <c r="J97" s="55">
        <v>2.4837215120708973E-3</v>
      </c>
      <c r="K97" s="55">
        <v>2.4100679011278647E-3</v>
      </c>
      <c r="L97" s="108">
        <v>2410067</v>
      </c>
      <c r="M97" s="55">
        <v>2.4085686463051143E-3</v>
      </c>
      <c r="N97" s="55">
        <v>2.0710343900558922E-2</v>
      </c>
      <c r="O97" s="110"/>
      <c r="P97" s="55">
        <v>2.4085686463051143E-3</v>
      </c>
      <c r="Q97" s="208">
        <v>2.5445965127515817E-3</v>
      </c>
      <c r="R97" s="55"/>
      <c r="S97" s="78">
        <v>1.06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110">
        <v>1.1599999999999999</v>
      </c>
      <c r="H98" s="57" t="str">
        <f t="shared" si="1"/>
        <v>(9, 10]</v>
      </c>
      <c r="I98" s="209">
        <v>1.11582604</v>
      </c>
      <c r="J98" s="55">
        <v>2.2101403118187711E-3</v>
      </c>
      <c r="K98" s="55">
        <v>2.144599624642259E-3</v>
      </c>
      <c r="L98" s="108">
        <v>2144599</v>
      </c>
      <c r="M98" s="55">
        <v>2.1432656894174733E-3</v>
      </c>
      <c r="N98" s="55">
        <v>2.0674607497751716E-2</v>
      </c>
      <c r="O98" s="110"/>
      <c r="P98" s="55">
        <v>2.1432656894174733E-3</v>
      </c>
      <c r="Q98" s="208">
        <v>2.2718729170527617E-3</v>
      </c>
      <c r="R98" s="55"/>
      <c r="S98" s="78">
        <v>1.06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110">
        <v>0.45</v>
      </c>
      <c r="H99" s="57" t="str">
        <f t="shared" si="1"/>
        <v>(10, 15]</v>
      </c>
      <c r="I99" s="209">
        <v>0.43286354999999999</v>
      </c>
      <c r="J99" s="55">
        <v>2.9546664157502002E-3</v>
      </c>
      <c r="K99" s="55">
        <v>2.8670471518373718E-3</v>
      </c>
      <c r="L99" s="108">
        <v>2867047</v>
      </c>
      <c r="M99" s="55">
        <v>2.8652645389871481E-3</v>
      </c>
      <c r="N99" s="55">
        <v>3.5665559284193973E-2</v>
      </c>
      <c r="O99" s="110"/>
      <c r="P99" s="55">
        <v>2.8652645389871481E-3</v>
      </c>
      <c r="Q99" s="208">
        <v>3.0238589193723043E-3</v>
      </c>
      <c r="R99" s="55"/>
      <c r="S99" s="78">
        <v>1.06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110">
        <v>0.87</v>
      </c>
      <c r="H100" s="105" t="str">
        <f t="shared" si="1"/>
        <v>(15, 20]</v>
      </c>
      <c r="I100" s="209">
        <v>0.83686952999999997</v>
      </c>
      <c r="J100" s="55">
        <v>3.8414554758026726E-3</v>
      </c>
      <c r="K100" s="55">
        <v>3.7275388930881146E-3</v>
      </c>
      <c r="L100" s="108">
        <v>3727538</v>
      </c>
      <c r="M100" s="55">
        <v>3.7252205663622102E-3</v>
      </c>
      <c r="N100" s="55">
        <v>6.5138751288372043E-2</v>
      </c>
      <c r="O100" s="110"/>
      <c r="P100" s="55">
        <v>3.7252205663622102E-3</v>
      </c>
      <c r="Q100" s="208">
        <v>3.9646257171216332E-3</v>
      </c>
      <c r="R100" s="55"/>
      <c r="S100" s="78">
        <v>1.06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110">
        <v>0.53</v>
      </c>
      <c r="H101" s="57" t="str">
        <f t="shared" si="1"/>
        <v>(20, 25]</v>
      </c>
      <c r="I101" s="209">
        <v>0.50981706999999998</v>
      </c>
      <c r="J101" s="55">
        <v>1.617233570927147E-3</v>
      </c>
      <c r="K101" s="55">
        <v>1.5692752585083917E-3</v>
      </c>
      <c r="L101" s="108">
        <v>1569275</v>
      </c>
      <c r="M101" s="55">
        <v>1.5682993719388124E-3</v>
      </c>
      <c r="N101" s="55">
        <v>3.5348258625915611E-2</v>
      </c>
      <c r="O101" s="110"/>
      <c r="P101" s="55">
        <v>1.5682993719388124E-3</v>
      </c>
      <c r="Q101" s="208">
        <v>1.6558466895929445E-3</v>
      </c>
      <c r="R101" s="55"/>
      <c r="S101" s="78">
        <v>1.06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110">
        <v>0.27</v>
      </c>
      <c r="H102" s="57" t="str">
        <f t="shared" si="1"/>
        <v>(25, 30]</v>
      </c>
      <c r="I102" s="209">
        <v>0.25971812999999999</v>
      </c>
      <c r="J102" s="55">
        <v>6.599289992269765E-4</v>
      </c>
      <c r="K102" s="55">
        <v>6.4035911044401012E-4</v>
      </c>
      <c r="L102" s="108">
        <v>640359</v>
      </c>
      <c r="M102" s="55">
        <v>6.399608848132838E-4</v>
      </c>
      <c r="N102" s="55">
        <v>1.7627445629089217E-2</v>
      </c>
      <c r="O102" s="110"/>
      <c r="P102" s="55">
        <v>6.399608848132838E-4</v>
      </c>
      <c r="Q102" s="208">
        <v>6.70909365952092E-4</v>
      </c>
      <c r="R102" s="55"/>
      <c r="S102" s="78">
        <v>1.05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110">
        <v>0.3</v>
      </c>
      <c r="H103" s="57" t="str">
        <f t="shared" si="1"/>
        <v>(30, 35]</v>
      </c>
      <c r="I103" s="209">
        <v>0.28857569999999999</v>
      </c>
      <c r="J103" s="55">
        <v>5.4950547026676926E-4</v>
      </c>
      <c r="K103" s="55">
        <v>5.3321014008526641E-4</v>
      </c>
      <c r="L103" s="108">
        <v>533210</v>
      </c>
      <c r="M103" s="55">
        <v>5.3287850001529E-4</v>
      </c>
      <c r="N103" s="55">
        <v>1.7335601993112494E-2</v>
      </c>
      <c r="O103" s="110"/>
      <c r="P103" s="55">
        <v>5.3287850001529E-4</v>
      </c>
      <c r="Q103" s="208">
        <v>5.6786647344428387E-4</v>
      </c>
      <c r="R103" s="55"/>
      <c r="S103" s="78">
        <v>1.07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110">
        <v>0.6</v>
      </c>
      <c r="H104" s="105" t="str">
        <f t="shared" si="1"/>
        <v>(35, 40]</v>
      </c>
      <c r="I104" s="209">
        <v>0.57715139999999998</v>
      </c>
      <c r="J104" s="55">
        <v>9.4871862611364171E-4</v>
      </c>
      <c r="K104" s="55">
        <v>9.2058481471708135E-4</v>
      </c>
      <c r="L104" s="108">
        <v>920584</v>
      </c>
      <c r="M104" s="55">
        <v>9.2001166718192774E-4</v>
      </c>
      <c r="N104" s="55">
        <v>3.4541768695877197E-2</v>
      </c>
      <c r="O104" s="110"/>
      <c r="P104" s="55">
        <v>9.2001166718192774E-4</v>
      </c>
      <c r="Q104" s="208">
        <v>9.7218159420446463E-4</v>
      </c>
      <c r="R104" s="55"/>
      <c r="S104" s="78">
        <v>1.06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110">
        <v>0.17</v>
      </c>
      <c r="H105" s="57" t="str">
        <f t="shared" si="1"/>
        <v>(40, 45]</v>
      </c>
      <c r="I105" s="209">
        <v>0.16352622999999999</v>
      </c>
      <c r="J105" s="55">
        <v>2.2157838489449152E-4</v>
      </c>
      <c r="K105" s="55">
        <v>2.1500758052890993E-4</v>
      </c>
      <c r="L105" s="108">
        <v>215007</v>
      </c>
      <c r="M105" s="55">
        <v>2.1487332880626293E-4</v>
      </c>
      <c r="N105" s="55">
        <v>9.159183321870842E-3</v>
      </c>
      <c r="O105" s="110"/>
      <c r="P105" s="55">
        <v>2.1487332880626293E-4</v>
      </c>
      <c r="Q105" s="208">
        <v>2.2260372959427685E-4</v>
      </c>
      <c r="R105" s="55"/>
      <c r="S105" s="78">
        <v>1.04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110">
        <v>0.19</v>
      </c>
      <c r="H106" s="57" t="str">
        <f t="shared" si="1"/>
        <v>(45, 50]</v>
      </c>
      <c r="I106" s="209">
        <v>0.18276460999999999</v>
      </c>
      <c r="J106" s="55">
        <v>2.0931418987055496E-4</v>
      </c>
      <c r="K106" s="55">
        <v>2.0310707452744726E-4</v>
      </c>
      <c r="L106" s="108">
        <v>203107</v>
      </c>
      <c r="M106" s="55">
        <v>2.0298072711052962E-4</v>
      </c>
      <c r="N106" s="55">
        <v>9.675327559987271E-3</v>
      </c>
      <c r="O106" s="110"/>
      <c r="P106" s="55">
        <v>2.0298072711052962E-4</v>
      </c>
      <c r="Q106" s="208">
        <v>2.1215213191966382E-4</v>
      </c>
      <c r="R106" s="55"/>
      <c r="S106" s="78">
        <v>1.05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110">
        <v>0.33</v>
      </c>
      <c r="H107" s="105" t="str">
        <f t="shared" si="1"/>
        <v>(50, 60]</v>
      </c>
      <c r="I107" s="209">
        <v>0.31743326999999999</v>
      </c>
      <c r="J107" s="55">
        <v>6.0362369559686523E-4</v>
      </c>
      <c r="K107" s="55">
        <v>5.8572351451158017E-4</v>
      </c>
      <c r="L107" s="108">
        <v>585723</v>
      </c>
      <c r="M107" s="55">
        <v>5.8535885235546162E-4</v>
      </c>
      <c r="N107" s="55">
        <v>3.2136941691269558E-2</v>
      </c>
      <c r="O107" s="110"/>
      <c r="P107" s="55">
        <v>5.8535885235546162E-4</v>
      </c>
      <c r="Q107" s="208">
        <v>6.2280361502472517E-4</v>
      </c>
      <c r="R107" s="55"/>
      <c r="S107" s="78">
        <v>1.06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110">
        <v>0.11</v>
      </c>
      <c r="H108" s="57" t="str">
        <f t="shared" si="1"/>
        <v>(60, 70]</v>
      </c>
      <c r="I108" s="209">
        <v>0.10581109</v>
      </c>
      <c r="J108" s="55">
        <v>1.4680649020095205E-4</v>
      </c>
      <c r="K108" s="55">
        <v>1.4245301173703302E-4</v>
      </c>
      <c r="L108" s="108">
        <v>142453</v>
      </c>
      <c r="M108" s="55">
        <v>1.4236443608086515E-4</v>
      </c>
      <c r="N108" s="55">
        <v>9.2544070157806503E-3</v>
      </c>
      <c r="O108" s="110"/>
      <c r="P108" s="55">
        <v>1.4236443608086515E-4</v>
      </c>
      <c r="Q108" s="208">
        <v>1.5079862341928023E-4</v>
      </c>
      <c r="R108" s="55"/>
      <c r="S108" s="78">
        <v>1.06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110">
        <v>0.12</v>
      </c>
      <c r="H109" s="57" t="str">
        <f t="shared" si="1"/>
        <v>(70, 80]</v>
      </c>
      <c r="I109" s="209">
        <v>0.11543028</v>
      </c>
      <c r="J109" s="55">
        <v>1.2952922679497432E-4</v>
      </c>
      <c r="K109" s="55">
        <v>1.2568809757426943E-4</v>
      </c>
      <c r="L109" s="108">
        <v>125688</v>
      </c>
      <c r="M109" s="55">
        <v>1.2560985898599382E-4</v>
      </c>
      <c r="N109" s="55">
        <v>9.4207618480415534E-3</v>
      </c>
      <c r="O109" s="110"/>
      <c r="P109" s="55">
        <v>1.2560985898599382E-4</v>
      </c>
      <c r="Q109" s="208">
        <v>1.2982942429562834E-4</v>
      </c>
      <c r="R109" s="55"/>
      <c r="S109" s="78">
        <v>1.03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110">
        <v>0.13</v>
      </c>
      <c r="H110" s="57" t="str">
        <f t="shared" si="1"/>
        <v>(80, 90]</v>
      </c>
      <c r="I110" s="209">
        <v>0.12504947</v>
      </c>
      <c r="J110" s="55">
        <v>1.1161260313153122E-4</v>
      </c>
      <c r="K110" s="55">
        <v>1.0830278308631424E-4</v>
      </c>
      <c r="L110" s="108">
        <v>108302</v>
      </c>
      <c r="M110" s="55">
        <v>1.082346679706981E-4</v>
      </c>
      <c r="N110" s="55">
        <v>9.2037303714209203E-3</v>
      </c>
      <c r="O110" s="110"/>
      <c r="P110" s="55">
        <v>1.082346679706981E-4</v>
      </c>
      <c r="Q110" s="208">
        <v>1.1201240542940448E-4</v>
      </c>
      <c r="R110" s="55"/>
      <c r="S110" s="78">
        <v>1.03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110">
        <v>0.14000000000000001</v>
      </c>
      <c r="H111" s="57" t="str">
        <f t="shared" si="1"/>
        <v>(90, 100]</v>
      </c>
      <c r="I111" s="209">
        <v>0.13466866</v>
      </c>
      <c r="J111" s="55">
        <v>1.0101661980546117E-4</v>
      </c>
      <c r="K111" s="55">
        <v>9.8021018737558802E-5</v>
      </c>
      <c r="L111" s="108">
        <v>98021</v>
      </c>
      <c r="M111" s="55">
        <v>9.7960059732560793E-5</v>
      </c>
      <c r="N111" s="55">
        <v>9.3301070402212038E-3</v>
      </c>
      <c r="O111" s="110"/>
      <c r="P111" s="55">
        <v>9.7960059732560793E-5</v>
      </c>
      <c r="Q111" s="208">
        <v>1.0128479197082886E-4</v>
      </c>
      <c r="R111" s="55"/>
      <c r="S111" s="78">
        <v>1.03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110">
        <v>0</v>
      </c>
      <c r="H112" s="57" t="str">
        <f t="shared" si="1"/>
        <v>(100, 120]</v>
      </c>
      <c r="I112" s="209">
        <v>0</v>
      </c>
      <c r="J112" s="55">
        <v>0</v>
      </c>
      <c r="K112" s="55">
        <v>0</v>
      </c>
      <c r="L112" s="108">
        <v>0</v>
      </c>
      <c r="M112" s="55">
        <v>0</v>
      </c>
      <c r="N112" s="55">
        <v>0</v>
      </c>
      <c r="O112" s="110"/>
      <c r="P112" s="55">
        <v>0</v>
      </c>
      <c r="Q112" s="208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110">
        <v>0</v>
      </c>
      <c r="H113" s="57" t="str">
        <f t="shared" si="1"/>
        <v>(120, 140]</v>
      </c>
      <c r="I113" s="209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8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110">
        <v>0</v>
      </c>
      <c r="H114" s="57" t="str">
        <f t="shared" si="1"/>
        <v>(140, 160]</v>
      </c>
      <c r="I114" s="209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8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110">
        <v>0</v>
      </c>
      <c r="H115" s="57" t="str">
        <f t="shared" si="1"/>
        <v>(160, 180]</v>
      </c>
      <c r="I115" s="209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8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110">
        <v>0</v>
      </c>
      <c r="H116" s="57" t="str">
        <f t="shared" si="1"/>
        <v>(180, 200]</v>
      </c>
      <c r="I116" s="209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8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110">
        <v>0</v>
      </c>
      <c r="H117" s="57" t="str">
        <f t="shared" si="1"/>
        <v>(200, 250]</v>
      </c>
      <c r="I117" s="209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8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110">
        <v>0</v>
      </c>
      <c r="H118" s="57" t="str">
        <f t="shared" si="1"/>
        <v>(250, 300]</v>
      </c>
      <c r="I118" s="209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8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110">
        <v>0</v>
      </c>
      <c r="H119" s="57" t="str">
        <f t="shared" si="1"/>
        <v>(300, 350]</v>
      </c>
      <c r="I119" s="209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8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110">
        <v>0</v>
      </c>
      <c r="H120" s="57" t="str">
        <f t="shared" si="1"/>
        <v>(350, 400]</v>
      </c>
      <c r="I120" s="209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8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110">
        <v>0</v>
      </c>
      <c r="H121" s="57" t="str">
        <f t="shared" si="1"/>
        <v>(400, 450]</v>
      </c>
      <c r="I121" s="209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8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110">
        <v>0</v>
      </c>
      <c r="H122" s="57" t="str">
        <f t="shared" si="1"/>
        <v>(450, 500]</v>
      </c>
      <c r="I122" s="209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8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110">
        <v>0</v>
      </c>
      <c r="H123" s="57" t="str">
        <f t="shared" si="1"/>
        <v>(500, 550]</v>
      </c>
      <c r="I123" s="209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8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110">
        <v>0</v>
      </c>
      <c r="H124" s="57" t="str">
        <f t="shared" si="1"/>
        <v>(550, 600]</v>
      </c>
      <c r="I124" s="209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8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110">
        <v>0</v>
      </c>
      <c r="H125" s="57" t="str">
        <f t="shared" si="1"/>
        <v>(600, 650]</v>
      </c>
      <c r="I125" s="209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8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110">
        <v>0</v>
      </c>
      <c r="H126" s="57" t="str">
        <f t="shared" si="1"/>
        <v>(650, 700]</v>
      </c>
      <c r="I126" s="209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8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110">
        <v>0</v>
      </c>
      <c r="H127" s="57" t="str">
        <f t="shared" si="1"/>
        <v>(700, 750]</v>
      </c>
      <c r="I127" s="209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8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110">
        <v>0</v>
      </c>
      <c r="H128" s="57" t="str">
        <f t="shared" si="1"/>
        <v>(750, 800]</v>
      </c>
      <c r="I128" s="209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8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110">
        <v>0</v>
      </c>
      <c r="H129" s="57" t="str">
        <f t="shared" si="1"/>
        <v>(800, 850]</v>
      </c>
      <c r="I129" s="209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8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110">
        <v>0</v>
      </c>
      <c r="H130" s="57" t="str">
        <f t="shared" si="1"/>
        <v>(850, 900]</v>
      </c>
      <c r="I130" s="209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8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110">
        <v>0</v>
      </c>
      <c r="H131" s="57" t="str">
        <f t="shared" si="1"/>
        <v>(900, 950]</v>
      </c>
      <c r="I131" s="209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8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110">
        <v>0</v>
      </c>
      <c r="H132" s="57" t="str">
        <f t="shared" si="1"/>
        <v>(950, 1000]</v>
      </c>
      <c r="I132" s="209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8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110">
        <v>0</v>
      </c>
      <c r="H133" s="57" t="str">
        <f t="shared" si="1"/>
        <v>(1000, 2000]</v>
      </c>
      <c r="I133" s="209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8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110">
        <v>0</v>
      </c>
      <c r="H134" s="57" t="str">
        <f t="shared" si="1"/>
        <v>(2000, 3000]</v>
      </c>
      <c r="I134" s="209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8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110">
        <v>0</v>
      </c>
      <c r="H135" s="57" t="str">
        <f t="shared" si="1"/>
        <v>(3000, 4000]</v>
      </c>
      <c r="I135" s="209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8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110">
        <v>0</v>
      </c>
      <c r="H136" s="57" t="str">
        <f t="shared" si="1"/>
        <v>(4000, 5000]</v>
      </c>
      <c r="I136" s="209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8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110">
        <v>0</v>
      </c>
      <c r="H137" s="57" t="str">
        <f t="shared" si="1"/>
        <v>(5000, 6000]</v>
      </c>
      <c r="I137" s="209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8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110">
        <v>0</v>
      </c>
      <c r="H138" s="57" t="str">
        <f t="shared" si="1"/>
        <v>(6000, 7000]</v>
      </c>
      <c r="I138" s="209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8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110">
        <v>0</v>
      </c>
      <c r="H139" s="57" t="str">
        <f t="shared" si="1"/>
        <v>(7000, 8000]</v>
      </c>
      <c r="I139" s="209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8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110">
        <v>0</v>
      </c>
      <c r="H140" s="57" t="str">
        <f t="shared" si="1"/>
        <v>(8000, 9000]</v>
      </c>
      <c r="I140" s="209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8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110">
        <v>0</v>
      </c>
      <c r="H141" s="57" t="str">
        <f t="shared" si="1"/>
        <v>(9000, 10000]</v>
      </c>
      <c r="I141" s="209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8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110">
        <v>0</v>
      </c>
      <c r="H142" s="57" t="str">
        <f t="shared" si="1"/>
        <v>(10000, 20000]</v>
      </c>
      <c r="I142" s="209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8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110">
        <v>0</v>
      </c>
      <c r="H143" s="57" t="str">
        <f t="shared" si="1"/>
        <v>(20000, 30000]</v>
      </c>
      <c r="I143" s="209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8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110">
        <v>0</v>
      </c>
      <c r="H144" s="57" t="str">
        <f t="shared" si="1"/>
        <v>(30000, 40000]</v>
      </c>
      <c r="I144" s="209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8">
        <v>0</v>
      </c>
      <c r="R144" s="55"/>
      <c r="S144" s="78">
        <v>0</v>
      </c>
    </row>
    <row r="145" spans="1:22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110">
        <v>0</v>
      </c>
      <c r="H145" s="57" t="str">
        <f t="shared" si="1"/>
        <v>(40000, 50000]</v>
      </c>
      <c r="I145" s="209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8">
        <v>0</v>
      </c>
      <c r="R145" s="55"/>
      <c r="S145" s="78">
        <v>0</v>
      </c>
    </row>
    <row r="146" spans="1:22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110">
        <v>0</v>
      </c>
      <c r="H146" s="57" t="str">
        <f t="shared" si="1"/>
        <v>(50000, 60000]</v>
      </c>
      <c r="I146" s="209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8">
        <v>0</v>
      </c>
      <c r="R146" s="55"/>
      <c r="S146" s="78">
        <v>0</v>
      </c>
    </row>
    <row r="147" spans="1:22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110">
        <v>0</v>
      </c>
      <c r="H147" s="57" t="str">
        <f t="shared" si="1"/>
        <v>(60000, 70000]</v>
      </c>
      <c r="I147" s="209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8">
        <v>0</v>
      </c>
      <c r="R147" s="55"/>
      <c r="S147" s="78">
        <v>0</v>
      </c>
    </row>
    <row r="148" spans="1:22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110">
        <v>0</v>
      </c>
      <c r="H148" s="57" t="str">
        <f t="shared" si="1"/>
        <v>(70000, 80000]</v>
      </c>
      <c r="I148" s="209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8">
        <v>0</v>
      </c>
      <c r="R148" s="55"/>
      <c r="S148" s="78">
        <v>0</v>
      </c>
    </row>
    <row r="149" spans="1:22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110">
        <v>0</v>
      </c>
      <c r="H149" s="57" t="str">
        <f t="shared" si="1"/>
        <v>(80000, 90000]</v>
      </c>
      <c r="I149" s="209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8">
        <v>0</v>
      </c>
      <c r="R149" s="55"/>
      <c r="S149" s="78">
        <v>0</v>
      </c>
    </row>
    <row r="150" spans="1:22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110">
        <v>0</v>
      </c>
      <c r="H150" s="57" t="str">
        <f t="shared" si="1"/>
        <v>(90000, 100000]</v>
      </c>
      <c r="I150" s="209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8">
        <v>0</v>
      </c>
      <c r="R150" s="55"/>
      <c r="S150" s="78">
        <v>0</v>
      </c>
    </row>
    <row r="151" spans="1:22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110">
        <v>0</v>
      </c>
      <c r="H151" s="57" t="str">
        <f t="shared" si="1"/>
        <v>(100000, 9999999]</v>
      </c>
      <c r="I151" s="209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8">
        <v>0</v>
      </c>
      <c r="R151" s="55"/>
      <c r="S151" s="78">
        <v>0</v>
      </c>
    </row>
    <row r="152" spans="1:22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8">
        <v>1.3362000000000001E-2</v>
      </c>
      <c r="F152" s="88">
        <v>0.26942695704235892</v>
      </c>
      <c r="G152" s="110"/>
      <c r="H152" s="57" t="s">
        <v>72</v>
      </c>
      <c r="I152" s="209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2.0965297635098287E-2</v>
      </c>
      <c r="N152" s="55">
        <v>5.6486163453118949E-3</v>
      </c>
      <c r="P152" s="47"/>
      <c r="Q152" s="47"/>
      <c r="R152" s="47"/>
      <c r="S152" s="47"/>
      <c r="T152" s="47"/>
    </row>
    <row r="153" spans="1:22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2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2" s="75" customFormat="1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2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2">
      <c r="A157" s="65" t="s">
        <v>69</v>
      </c>
      <c r="B157" s="197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2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78</v>
      </c>
      <c r="H158" s="18" t="s">
        <v>55</v>
      </c>
      <c r="I158" s="18" t="s">
        <v>302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tr">
        <f>U158</f>
        <v>目前</v>
      </c>
      <c r="Q158" s="184" t="str">
        <f>V158</f>
        <v>目標</v>
      </c>
      <c r="R158" s="81" t="s">
        <v>327</v>
      </c>
      <c r="S158" s="81" t="s">
        <v>74</v>
      </c>
      <c r="U158" s="22" t="s">
        <v>77</v>
      </c>
      <c r="V158" s="22" t="s">
        <v>326</v>
      </c>
    </row>
    <row r="159" spans="1:22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9.9999999999999995E-7</v>
      </c>
      <c r="H159" s="57" t="str">
        <f>"("&amp;$A159&amp;", "&amp;$B159&amp;"]"</f>
        <v>(-1, 0]</v>
      </c>
      <c r="I159" s="209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8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2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-70169</v>
      </c>
      <c r="H160" s="57" t="str">
        <f t="shared" ref="H160:H222" si="2">"("&amp;$A160&amp;", "&amp;$B160&amp;"]"</f>
        <v>(0, 1]</v>
      </c>
      <c r="I160" s="209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8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0.92983099999999996</v>
      </c>
      <c r="H161" s="57" t="str">
        <f t="shared" si="2"/>
        <v>(1, 2]</v>
      </c>
      <c r="I161" s="209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8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85"/>
      <c r="H162" s="57" t="str">
        <f t="shared" si="2"/>
        <v>(2, 3]</v>
      </c>
      <c r="I162" s="209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8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85"/>
      <c r="H163" s="57" t="str">
        <f t="shared" si="2"/>
        <v>(3, 4]</v>
      </c>
      <c r="I163" s="209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8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85"/>
      <c r="H164" s="57" t="str">
        <f t="shared" si="2"/>
        <v>(4, 5]</v>
      </c>
      <c r="I164" s="209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8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85"/>
      <c r="H165" s="57" t="str">
        <f t="shared" si="2"/>
        <v>(5, 6]</v>
      </c>
      <c r="I165" s="209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8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85"/>
      <c r="H166" s="57" t="str">
        <f t="shared" si="2"/>
        <v>(6, 7]</v>
      </c>
      <c r="I166" s="209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8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85"/>
      <c r="H167" s="57" t="str">
        <f t="shared" si="2"/>
        <v>(7, 8]</v>
      </c>
      <c r="I167" s="209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8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85"/>
      <c r="H168" s="57" t="str">
        <f t="shared" si="2"/>
        <v>(8, 9]</v>
      </c>
      <c r="I168" s="209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8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85"/>
      <c r="H169" s="57" t="str">
        <f t="shared" si="2"/>
        <v>(9, 10]</v>
      </c>
      <c r="I169" s="209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8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94"/>
      <c r="H170" s="57" t="str">
        <f t="shared" si="2"/>
        <v>(10, 15]</v>
      </c>
      <c r="I170" s="209">
        <v>35.61</v>
      </c>
      <c r="J170" s="55">
        <v>0.13127294703474693</v>
      </c>
      <c r="K170" s="55">
        <v>0.13454443939053701</v>
      </c>
      <c r="L170" s="108">
        <v>134544439</v>
      </c>
      <c r="M170" s="55">
        <v>0.13454444169088883</v>
      </c>
      <c r="N170" s="55">
        <v>1.6917401502615936</v>
      </c>
      <c r="O170" s="110"/>
      <c r="P170" s="55">
        <v>0.13454444169088883</v>
      </c>
      <c r="Q170" s="208">
        <v>0.13126626188785775</v>
      </c>
      <c r="R170" s="55">
        <v>7.2289156626506021E-2</v>
      </c>
      <c r="S170" s="78">
        <v>0.98</v>
      </c>
      <c r="T170" s="95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94"/>
      <c r="H171" s="105" t="str">
        <f t="shared" si="2"/>
        <v>(15, 20]</v>
      </c>
      <c r="I171" s="209">
        <v>33.590000000000003</v>
      </c>
      <c r="J171" s="55">
        <v>0.13124889896975683</v>
      </c>
      <c r="K171" s="55">
        <v>0.13451979201653036</v>
      </c>
      <c r="L171" s="108">
        <v>134519792</v>
      </c>
      <c r="M171" s="55">
        <v>0.13451979469039591</v>
      </c>
      <c r="N171" s="55">
        <v>2.3635638699786092</v>
      </c>
      <c r="O171" s="110"/>
      <c r="P171" s="55">
        <v>0.13451979469039591</v>
      </c>
      <c r="Q171" s="208">
        <v>0.13125249088755481</v>
      </c>
      <c r="R171" s="55">
        <v>7.2289156626506021E-2</v>
      </c>
      <c r="S171" s="78">
        <v>0.98</v>
      </c>
      <c r="T171" s="95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94"/>
      <c r="H172" s="57" t="str">
        <f t="shared" si="2"/>
        <v>(20, 25]</v>
      </c>
      <c r="I172" s="209">
        <v>32</v>
      </c>
      <c r="J172" s="55">
        <v>0.13127372029164586</v>
      </c>
      <c r="K172" s="55">
        <v>0.13454523191800227</v>
      </c>
      <c r="L172" s="108">
        <v>134545231</v>
      </c>
      <c r="M172" s="55">
        <v>0.13454523369090468</v>
      </c>
      <c r="N172" s="55">
        <v>3.035507097707935</v>
      </c>
      <c r="O172" s="110"/>
      <c r="P172" s="55">
        <v>0.13454523369090468</v>
      </c>
      <c r="Q172" s="208">
        <v>0.1312781858881201</v>
      </c>
      <c r="R172" s="55">
        <v>7.2289156626506021E-2</v>
      </c>
      <c r="S172" s="78">
        <v>0.98</v>
      </c>
      <c r="T172" s="95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94"/>
      <c r="H173" s="57" t="str">
        <f t="shared" si="2"/>
        <v>(25, 30]</v>
      </c>
      <c r="I173" s="209">
        <v>30.95</v>
      </c>
      <c r="J173" s="55">
        <v>0.13225781882119267</v>
      </c>
      <c r="K173" s="55">
        <v>0.13555385546119036</v>
      </c>
      <c r="L173" s="108">
        <v>135553855</v>
      </c>
      <c r="M173" s="55">
        <v>0.13555385771107714</v>
      </c>
      <c r="N173" s="55">
        <v>3.7351850414125969</v>
      </c>
      <c r="O173" s="110"/>
      <c r="P173" s="55">
        <v>0.13555385771107714</v>
      </c>
      <c r="Q173" s="208">
        <v>0.13224971290949369</v>
      </c>
      <c r="R173" s="55">
        <v>8.4337349397590355E-2</v>
      </c>
      <c r="S173" s="78">
        <v>0.98</v>
      </c>
      <c r="T173" s="95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94"/>
      <c r="H174" s="57" t="str">
        <f t="shared" si="2"/>
        <v>(30, 35]</v>
      </c>
      <c r="I174" s="209">
        <v>8.2200000000000006</v>
      </c>
      <c r="J174" s="55">
        <v>3.6554448102298076E-2</v>
      </c>
      <c r="K174" s="55">
        <v>3.7465432431042819E-2</v>
      </c>
      <c r="L174" s="108">
        <v>37465432</v>
      </c>
      <c r="M174" s="55">
        <v>3.7465432749308657E-2</v>
      </c>
      <c r="N174" s="55">
        <v>1.2198243034884737</v>
      </c>
      <c r="O174" s="110"/>
      <c r="P174" s="55">
        <v>3.7465432749308657E-2</v>
      </c>
      <c r="Q174" s="208">
        <v>3.6550552804112159E-2</v>
      </c>
      <c r="R174" s="55">
        <v>3.614457831325301E-2</v>
      </c>
      <c r="S174" s="78">
        <v>0.98</v>
      </c>
      <c r="T174" s="95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94"/>
      <c r="H175" s="105" t="str">
        <f t="shared" si="2"/>
        <v>(35, 40]</v>
      </c>
      <c r="I175" s="209">
        <v>6.44</v>
      </c>
      <c r="J175" s="55">
        <v>2.9852614839690671E-2</v>
      </c>
      <c r="K175" s="55">
        <v>3.0596580778251822E-2</v>
      </c>
      <c r="L175" s="108">
        <v>30596580</v>
      </c>
      <c r="M175" s="55">
        <v>3.0596580611931611E-2</v>
      </c>
      <c r="N175" s="55">
        <v>1.149047652897337</v>
      </c>
      <c r="O175" s="110"/>
      <c r="P175" s="55">
        <v>3.0596580611931611E-2</v>
      </c>
      <c r="Q175" s="208">
        <v>2.9855874656829241E-2</v>
      </c>
      <c r="R175" s="55">
        <v>2.4096385542168676E-2</v>
      </c>
      <c r="S175" s="78">
        <v>0.98</v>
      </c>
      <c r="T175" s="95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94"/>
      <c r="H176" s="57" t="str">
        <f t="shared" si="2"/>
        <v>(40, 45]</v>
      </c>
      <c r="I176" s="209">
        <v>6.09</v>
      </c>
      <c r="J176" s="55">
        <v>2.9398128418882768E-2</v>
      </c>
      <c r="K176" s="55">
        <v>3.0130767965486787E-2</v>
      </c>
      <c r="L176" s="108">
        <v>30130767</v>
      </c>
      <c r="M176" s="55">
        <v>3.0130767602615353E-2</v>
      </c>
      <c r="N176" s="55">
        <v>1.2822088861728507</v>
      </c>
      <c r="O176" s="110"/>
      <c r="P176" s="55">
        <v>3.0130767602615353E-2</v>
      </c>
      <c r="Q176" s="208">
        <v>2.9391089646603974E-2</v>
      </c>
      <c r="R176" s="55">
        <v>3.614457831325301E-2</v>
      </c>
      <c r="S176" s="78">
        <v>0.98</v>
      </c>
      <c r="T176" s="95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94"/>
      <c r="H177" s="57" t="str">
        <f t="shared" si="2"/>
        <v>(45, 50]</v>
      </c>
      <c r="I177" s="209">
        <v>5.43</v>
      </c>
      <c r="J177" s="55">
        <v>2.7023022320625544E-2</v>
      </c>
      <c r="K177" s="55">
        <v>2.7696471138140635E-2</v>
      </c>
      <c r="L177" s="108">
        <v>27696471</v>
      </c>
      <c r="M177" s="55">
        <v>2.769647155392943E-2</v>
      </c>
      <c r="N177" s="55">
        <v>1.3171046570112122</v>
      </c>
      <c r="O177" s="110"/>
      <c r="P177" s="55">
        <v>2.769647155392943E-2</v>
      </c>
      <c r="Q177" s="208">
        <v>2.7000172594003797E-2</v>
      </c>
      <c r="R177" s="55">
        <v>2.4096385542168676E-2</v>
      </c>
      <c r="S177" s="78">
        <v>0.97</v>
      </c>
      <c r="T177" s="95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10">
        <v>2.1800000000000002</v>
      </c>
      <c r="H178" s="105" t="str">
        <f t="shared" si="2"/>
        <v>(50, 60]</v>
      </c>
      <c r="I178" s="209" cm="1">
        <f t="array" ref="I178:I222">G178:G222*G161</f>
        <v>2.0270315800000001</v>
      </c>
      <c r="J178" s="55">
        <v>2.1219446216066241E-2</v>
      </c>
      <c r="K178" s="55">
        <v>2.1748262378558463E-2</v>
      </c>
      <c r="L178" s="108">
        <v>21748262</v>
      </c>
      <c r="M178" s="55">
        <v>2.1748262434965249E-2</v>
      </c>
      <c r="N178" s="55">
        <v>1.1982284159466867</v>
      </c>
      <c r="O178" s="110"/>
      <c r="P178" s="55">
        <v>2.1748262434965249E-2</v>
      </c>
      <c r="Q178" s="208">
        <v>2.2800440501609689E-2</v>
      </c>
      <c r="R178" s="55">
        <v>2.4096385542168676E-2</v>
      </c>
      <c r="S178" s="78">
        <v>1.05</v>
      </c>
      <c r="T178" s="95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10">
        <v>6.12</v>
      </c>
      <c r="H179" s="57" t="str">
        <f t="shared" si="2"/>
        <v>(60, 70]</v>
      </c>
      <c r="I179" s="209">
        <v>5.6905657199999995</v>
      </c>
      <c r="J179" s="55">
        <v>6.2539198753710487E-2</v>
      </c>
      <c r="K179" s="55">
        <v>6.4097756821320906E-2</v>
      </c>
      <c r="L179" s="108">
        <v>64097756</v>
      </c>
      <c r="M179" s="55">
        <v>6.4097757281955145E-2</v>
      </c>
      <c r="N179" s="55">
        <v>4.1707898679388506</v>
      </c>
      <c r="O179" s="110"/>
      <c r="P179" s="55">
        <v>6.4097757281955145E-2</v>
      </c>
      <c r="Q179" s="208">
        <v>6.7250440479509691E-2</v>
      </c>
      <c r="R179" s="55">
        <v>6.0240963855421686E-2</v>
      </c>
      <c r="S179" s="78">
        <v>1.05</v>
      </c>
      <c r="T179" s="95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10">
        <v>5.24</v>
      </c>
      <c r="H180" s="57" t="str">
        <f t="shared" si="2"/>
        <v>(70, 80]</v>
      </c>
      <c r="I180" s="209">
        <v>4.8723144400000002</v>
      </c>
      <c r="J180" s="55">
        <v>5.6336372438144877E-2</v>
      </c>
      <c r="K180" s="55">
        <v>5.7740348016872077E-2</v>
      </c>
      <c r="L180" s="108">
        <v>57740348</v>
      </c>
      <c r="M180" s="55">
        <v>5.7740349154806983E-2</v>
      </c>
      <c r="N180" s="55">
        <v>4.3343690327206374</v>
      </c>
      <c r="O180" s="110"/>
      <c r="P180" s="55">
        <v>5.7740349154806983E-2</v>
      </c>
      <c r="Q180" s="208">
        <v>6.064221133412865E-2</v>
      </c>
      <c r="R180" s="55">
        <v>4.8192771084337352E-2</v>
      </c>
      <c r="S180" s="78">
        <v>1.05</v>
      </c>
      <c r="T180" s="95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10">
        <v>2.57</v>
      </c>
      <c r="H181" s="57" t="str">
        <f t="shared" si="2"/>
        <v>(80, 90]</v>
      </c>
      <c r="I181" s="209">
        <v>2.3896656699999999</v>
      </c>
      <c r="J181" s="55">
        <v>2.8646303341031965E-2</v>
      </c>
      <c r="K181" s="55">
        <v>2.9360206430120259E-2</v>
      </c>
      <c r="L181" s="108">
        <v>29360206</v>
      </c>
      <c r="M181" s="55">
        <v>2.9360206587204132E-2</v>
      </c>
      <c r="N181" s="55">
        <v>2.4971971402367701</v>
      </c>
      <c r="O181" s="110"/>
      <c r="P181" s="55">
        <v>2.9360206587204132E-2</v>
      </c>
      <c r="Q181" s="208">
        <v>3.0830899678279792E-2</v>
      </c>
      <c r="R181" s="55">
        <v>2.4096385542168676E-2</v>
      </c>
      <c r="S181" s="78">
        <v>1.05</v>
      </c>
      <c r="T181" s="95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10">
        <v>2.1800000000000002</v>
      </c>
      <c r="H182" s="57" t="str">
        <f t="shared" si="2"/>
        <v>(90, 100]</v>
      </c>
      <c r="I182" s="210">
        <v>2.0270315800000001</v>
      </c>
      <c r="J182" s="107">
        <v>2.5097625254697574E-2</v>
      </c>
      <c r="K182" s="107">
        <v>2.5723090676354438E-2</v>
      </c>
      <c r="L182" s="108">
        <v>25723090</v>
      </c>
      <c r="M182" s="107">
        <v>2.572309051446181E-2</v>
      </c>
      <c r="N182" s="107">
        <v>2.4449363644920439</v>
      </c>
      <c r="O182" s="110"/>
      <c r="P182" s="55">
        <v>2.572309051446181E-2</v>
      </c>
      <c r="Q182" s="208">
        <v>2.7035605594783324E-2</v>
      </c>
      <c r="R182" s="55">
        <v>1.2048192771084338E-2</v>
      </c>
      <c r="S182" s="78">
        <v>1.05</v>
      </c>
      <c r="T182" s="95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10">
        <v>1.66</v>
      </c>
      <c r="H183" s="57" t="str">
        <f t="shared" si="2"/>
        <v>(100, 120]</v>
      </c>
      <c r="I183" s="210">
        <v>1.54351946</v>
      </c>
      <c r="J183" s="107">
        <v>3.970307421648453E-2</v>
      </c>
      <c r="K183" s="107">
        <v>4.0692526397871263E-2</v>
      </c>
      <c r="L183" s="108">
        <v>40692526</v>
      </c>
      <c r="M183" s="107">
        <v>4.0692526813850535E-2</v>
      </c>
      <c r="N183" s="107">
        <v>4.4802126116387431</v>
      </c>
      <c r="O183" s="110"/>
      <c r="P183" s="55">
        <v>4.0692526813850535E-2</v>
      </c>
      <c r="Q183" s="208">
        <v>4.2740282940286221E-2</v>
      </c>
      <c r="R183" s="55">
        <v>6.0240963855421686E-2</v>
      </c>
      <c r="S183" s="78">
        <v>1.05</v>
      </c>
      <c r="T183" s="95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10">
        <v>0.71</v>
      </c>
      <c r="H184" s="57" t="str">
        <f t="shared" si="2"/>
        <v>(120, 140]</v>
      </c>
      <c r="I184" s="210">
        <v>0.66018000999999993</v>
      </c>
      <c r="J184" s="107">
        <v>1.7536252121014478E-2</v>
      </c>
      <c r="K184" s="107">
        <v>1.7973278302409804E-2</v>
      </c>
      <c r="L184" s="108">
        <v>17973278</v>
      </c>
      <c r="M184" s="107">
        <v>1.7973278359465567E-2</v>
      </c>
      <c r="N184" s="107">
        <v>2.3378105780545484</v>
      </c>
      <c r="O184" s="110"/>
      <c r="P184" s="55">
        <v>1.7973278359465567E-2</v>
      </c>
      <c r="Q184" s="208">
        <v>1.8780093413162054E-2</v>
      </c>
      <c r="R184" s="55">
        <v>7.2289156626506021E-2</v>
      </c>
      <c r="S184" s="78">
        <v>1.04</v>
      </c>
      <c r="T184" s="95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10">
        <v>1.08</v>
      </c>
      <c r="H185" s="57" t="str">
        <f t="shared" si="2"/>
        <v>(140, 160]</v>
      </c>
      <c r="I185" s="210">
        <v>1.0042174800000001</v>
      </c>
      <c r="J185" s="107">
        <v>2.6909847430940412E-2</v>
      </c>
      <c r="K185" s="107">
        <v>2.7580475783197157E-2</v>
      </c>
      <c r="L185" s="108">
        <v>27580475</v>
      </c>
      <c r="M185" s="107">
        <v>2.7580475551609512E-2</v>
      </c>
      <c r="N185" s="107">
        <v>4.1382343467885914</v>
      </c>
      <c r="O185" s="110"/>
      <c r="P185" s="55">
        <v>2.7580475551609512E-2</v>
      </c>
      <c r="Q185" s="208">
        <v>2.8816647633966248E-2</v>
      </c>
      <c r="R185" s="55">
        <v>2.4096385542168676E-2</v>
      </c>
      <c r="S185" s="78">
        <v>1.04</v>
      </c>
      <c r="T185" s="95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10">
        <v>0.32</v>
      </c>
      <c r="H186" s="57" t="str">
        <f t="shared" si="2"/>
        <v>(160, 180]</v>
      </c>
      <c r="I186" s="210">
        <v>0.29754592000000002</v>
      </c>
      <c r="J186" s="107">
        <v>8.018079003248654E-3</v>
      </c>
      <c r="K186" s="107">
        <v>8.2178999470132949E-3</v>
      </c>
      <c r="L186" s="108">
        <v>8217899</v>
      </c>
      <c r="M186" s="107">
        <v>8.2178991643579828E-3</v>
      </c>
      <c r="N186" s="107">
        <v>1.3972301035102048</v>
      </c>
      <c r="O186" s="110"/>
      <c r="P186" s="55">
        <v>8.2178991643579828E-3</v>
      </c>
      <c r="Q186" s="208">
        <v>8.5080991871781825E-3</v>
      </c>
      <c r="R186" s="55">
        <v>3.614457831325301E-2</v>
      </c>
      <c r="S186" s="78">
        <v>1.04</v>
      </c>
      <c r="T186" s="95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10">
        <v>0.28000000000000003</v>
      </c>
      <c r="H187" s="57" t="str">
        <f t="shared" si="2"/>
        <v>(180, 200]</v>
      </c>
      <c r="I187" s="210">
        <v>0.26035268</v>
      </c>
      <c r="J187" s="107">
        <v>6.9742299869205064E-3</v>
      </c>
      <c r="K187" s="107">
        <v>7.1480368573009906E-3</v>
      </c>
      <c r="L187" s="108">
        <v>7148036</v>
      </c>
      <c r="M187" s="107">
        <v>7.1480361429607231E-3</v>
      </c>
      <c r="N187" s="107">
        <v>1.3582131290566044</v>
      </c>
      <c r="O187" s="110"/>
      <c r="P187" s="55">
        <v>7.1480361429607231E-3</v>
      </c>
      <c r="Q187" s="208">
        <v>7.4870671647154774E-3</v>
      </c>
      <c r="R187" s="55">
        <v>0</v>
      </c>
      <c r="S187" s="78">
        <v>1.05</v>
      </c>
      <c r="T187" s="95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10">
        <v>0.31</v>
      </c>
      <c r="H188" s="57" t="str">
        <f t="shared" si="2"/>
        <v>(200, 250]</v>
      </c>
      <c r="I188" s="210">
        <v>0.28824760999999999</v>
      </c>
      <c r="J188" s="107">
        <v>1.8691729615585028E-2</v>
      </c>
      <c r="K188" s="107">
        <v>1.9157551797041011E-2</v>
      </c>
      <c r="L188" s="108">
        <v>19157551</v>
      </c>
      <c r="M188" s="107">
        <v>1.9157551383151027E-2</v>
      </c>
      <c r="N188" s="107">
        <v>4.3068273413835145</v>
      </c>
      <c r="O188" s="110"/>
      <c r="P188" s="55">
        <v>1.9157551383151027E-2</v>
      </c>
      <c r="Q188" s="208">
        <v>2.0060522441331493E-2</v>
      </c>
      <c r="R188" s="55">
        <v>6.0240963855421686E-2</v>
      </c>
      <c r="S188" s="78">
        <v>1.05</v>
      </c>
      <c r="T188" s="95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10">
        <v>0.09</v>
      </c>
      <c r="H189" s="57" t="str">
        <f t="shared" si="2"/>
        <v>(250, 300]</v>
      </c>
      <c r="I189" s="210">
        <v>8.3684789999999995E-2</v>
      </c>
      <c r="J189" s="107">
        <v>5.0772732073865266E-3</v>
      </c>
      <c r="K189" s="107">
        <v>5.2038054507879501E-3</v>
      </c>
      <c r="L189" s="108">
        <v>5203805</v>
      </c>
      <c r="M189" s="107">
        <v>5.2038051040761025E-3</v>
      </c>
      <c r="N189" s="107">
        <v>1.4295239012000447</v>
      </c>
      <c r="O189" s="110"/>
      <c r="P189" s="55">
        <v>5.2038051040761025E-3</v>
      </c>
      <c r="Q189" s="208">
        <v>5.6530021243660468E-3</v>
      </c>
      <c r="R189" s="55">
        <v>2.4096385542168676E-2</v>
      </c>
      <c r="S189" s="78">
        <v>1.0900000000000001</v>
      </c>
      <c r="T189" s="95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10">
        <v>0.09</v>
      </c>
      <c r="H190" s="57" t="str">
        <f t="shared" si="2"/>
        <v>(300, 350]</v>
      </c>
      <c r="I190" s="210">
        <v>8.3684789999999995E-2</v>
      </c>
      <c r="J190" s="107">
        <v>4.6709480244483915E-3</v>
      </c>
      <c r="K190" s="107">
        <v>4.7873541164989569E-3</v>
      </c>
      <c r="L190" s="108">
        <v>4787354</v>
      </c>
      <c r="M190" s="107">
        <v>4.7873540957470819E-3</v>
      </c>
      <c r="N190" s="107">
        <v>1.5540513461440766</v>
      </c>
      <c r="O190" s="110"/>
      <c r="P190" s="55">
        <v>4.7873540957470819E-3</v>
      </c>
      <c r="Q190" s="208">
        <v>4.8534741067764306E-3</v>
      </c>
      <c r="R190" s="55">
        <v>1.2048192771084338E-2</v>
      </c>
      <c r="S190" s="78">
        <v>1.01</v>
      </c>
      <c r="T190" s="95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10">
        <v>0.01</v>
      </c>
      <c r="H191" s="57" t="str">
        <f t="shared" si="2"/>
        <v>(350, 400]</v>
      </c>
      <c r="I191" s="210">
        <v>9.2983100000000006E-3</v>
      </c>
      <c r="J191" s="107">
        <v>4.7209020451335009E-4</v>
      </c>
      <c r="K191" s="107">
        <v>4.8385530562668156E-4</v>
      </c>
      <c r="L191" s="108">
        <v>483855</v>
      </c>
      <c r="M191" s="107">
        <v>4.8385500967710021E-4</v>
      </c>
      <c r="N191" s="107">
        <v>0.181266598201962</v>
      </c>
      <c r="O191" s="110"/>
      <c r="P191" s="55">
        <v>4.8385500967710021E-4</v>
      </c>
      <c r="Q191" s="208">
        <v>6.8415601505143232E-4</v>
      </c>
      <c r="R191" s="55">
        <v>0</v>
      </c>
      <c r="S191" s="78">
        <v>1.41</v>
      </c>
      <c r="T191" s="95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10">
        <v>0.01</v>
      </c>
      <c r="H192" s="57" t="str">
        <f t="shared" si="2"/>
        <v>(400, 450]</v>
      </c>
      <c r="I192" s="210">
        <v>9.2983100000000006E-3</v>
      </c>
      <c r="J192" s="107">
        <v>4.2610146257762233E-4</v>
      </c>
      <c r="K192" s="107">
        <v>4.3672046450529819E-4</v>
      </c>
      <c r="L192" s="108">
        <v>436720</v>
      </c>
      <c r="M192" s="107">
        <v>4.3672000873440017E-4</v>
      </c>
      <c r="N192" s="107">
        <v>0.1854378639156411</v>
      </c>
      <c r="O192" s="110"/>
      <c r="P192" s="55">
        <v>4.3672000873440017E-4</v>
      </c>
      <c r="Q192" s="208">
        <v>6.1849301360684635E-4</v>
      </c>
      <c r="R192" s="55">
        <v>0</v>
      </c>
      <c r="S192" s="78">
        <v>1.42</v>
      </c>
      <c r="T192" s="95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10">
        <v>0.01</v>
      </c>
      <c r="H193" s="57" t="str">
        <f t="shared" si="2"/>
        <v>(450, 500]</v>
      </c>
      <c r="I193" s="210">
        <v>9.2983100000000006E-3</v>
      </c>
      <c r="J193" s="107">
        <v>3.8334438454103013E-4</v>
      </c>
      <c r="K193" s="107">
        <v>3.9289782454515439E-4</v>
      </c>
      <c r="L193" s="108">
        <v>392897</v>
      </c>
      <c r="M193" s="107">
        <v>3.9289700785794017E-4</v>
      </c>
      <c r="N193" s="107">
        <v>0.18646215036926939</v>
      </c>
      <c r="O193" s="110"/>
      <c r="P193" s="55">
        <v>3.9289700785794017E-4</v>
      </c>
      <c r="Q193" s="208">
        <v>5.5034501210759026E-4</v>
      </c>
      <c r="R193" s="55">
        <v>0</v>
      </c>
      <c r="S193" s="78">
        <v>1.4</v>
      </c>
      <c r="T193" s="95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10">
        <v>0.01</v>
      </c>
      <c r="H194" s="57" t="str">
        <f t="shared" si="2"/>
        <v>(500, 550]</v>
      </c>
      <c r="I194" s="210">
        <v>9.2983100000000006E-3</v>
      </c>
      <c r="J194" s="107">
        <v>3.4506625485484441E-4</v>
      </c>
      <c r="K194" s="107">
        <v>3.5366575414619446E-4</v>
      </c>
      <c r="L194" s="108">
        <v>353665</v>
      </c>
      <c r="M194" s="107">
        <v>3.5366500707330014E-4</v>
      </c>
      <c r="N194" s="107">
        <v>0.18551756305021913</v>
      </c>
      <c r="O194" s="110"/>
      <c r="P194" s="55">
        <v>3.5366500707330014E-4</v>
      </c>
      <c r="Q194" s="208">
        <v>4.9546201090016424E-4</v>
      </c>
      <c r="R194" s="55">
        <v>0</v>
      </c>
      <c r="S194" s="78">
        <v>1.4</v>
      </c>
      <c r="T194" s="95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10">
        <v>0.01</v>
      </c>
      <c r="H195" s="57" t="str">
        <f t="shared" si="2"/>
        <v>(550, 600]</v>
      </c>
      <c r="I195" s="209">
        <v>9.2983100000000006E-3</v>
      </c>
      <c r="J195" s="55">
        <v>3.0924580451990738E-4</v>
      </c>
      <c r="K195" s="55">
        <v>3.1695261166029436E-4</v>
      </c>
      <c r="L195" s="108">
        <v>316952</v>
      </c>
      <c r="M195" s="55">
        <v>3.1695200633904014E-4</v>
      </c>
      <c r="N195" s="55">
        <v>0.18212130957175954</v>
      </c>
      <c r="O195" s="110"/>
      <c r="P195" s="55">
        <v>3.1695200633904014E-4</v>
      </c>
      <c r="Q195" s="208">
        <v>4.4155900971429822E-4</v>
      </c>
      <c r="R195" s="55">
        <v>0</v>
      </c>
      <c r="S195" s="78">
        <v>1.39</v>
      </c>
      <c r="T195" s="95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10">
        <v>0.01</v>
      </c>
      <c r="H196" s="57" t="str">
        <f t="shared" si="2"/>
        <v>(600, 650]</v>
      </c>
      <c r="I196" s="209">
        <v>9.2983100000000006E-3</v>
      </c>
      <c r="J196" s="55">
        <v>2.7668346719635393E-4</v>
      </c>
      <c r="K196" s="55">
        <v>2.8357877859411495E-4</v>
      </c>
      <c r="L196" s="108">
        <v>283578</v>
      </c>
      <c r="M196" s="55">
        <v>2.8357800567156011E-4</v>
      </c>
      <c r="N196" s="55">
        <v>0.17711969630508004</v>
      </c>
      <c r="O196" s="110"/>
      <c r="P196" s="55">
        <v>2.8357800567156011E-4</v>
      </c>
      <c r="Q196" s="208">
        <v>3.923070086307542E-4</v>
      </c>
      <c r="R196" s="55">
        <v>0</v>
      </c>
      <c r="S196" s="78">
        <v>1.38</v>
      </c>
      <c r="T196" s="95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10">
        <v>0.01</v>
      </c>
      <c r="H197" s="57" t="str">
        <f t="shared" si="2"/>
        <v>(650, 700]</v>
      </c>
      <c r="I197" s="209">
        <v>9.2983100000000006E-3</v>
      </c>
      <c r="J197" s="55">
        <v>2.4909565106322076E-4</v>
      </c>
      <c r="K197" s="55">
        <v>2.5530343824802572E-4</v>
      </c>
      <c r="L197" s="108">
        <v>255303</v>
      </c>
      <c r="M197" s="55">
        <v>2.5530300510606012E-4</v>
      </c>
      <c r="N197" s="55">
        <v>0.17222438111198549</v>
      </c>
      <c r="O197" s="110"/>
      <c r="P197" s="55">
        <v>2.5530300510606012E-4</v>
      </c>
      <c r="Q197" s="208">
        <v>3.4953800768983617E-4</v>
      </c>
      <c r="R197" s="55">
        <v>0</v>
      </c>
      <c r="S197" s="78">
        <v>1.37</v>
      </c>
      <c r="T197" s="95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10">
        <v>0.01</v>
      </c>
      <c r="H198" s="57" t="str">
        <f t="shared" si="2"/>
        <v>(700, 750]</v>
      </c>
      <c r="I198" s="209">
        <v>9.2983100000000006E-3</v>
      </c>
      <c r="J198" s="55">
        <v>2.2326670089457514E-4</v>
      </c>
      <c r="K198" s="55">
        <v>2.2883079709092044E-4</v>
      </c>
      <c r="L198" s="108">
        <v>228830</v>
      </c>
      <c r="M198" s="55">
        <v>2.288300045766001E-4</v>
      </c>
      <c r="N198" s="55">
        <v>0.16581077054188662</v>
      </c>
      <c r="O198" s="110"/>
      <c r="P198" s="55">
        <v>2.288300045766001E-4</v>
      </c>
      <c r="Q198" s="208">
        <v>3.0851800678739614E-4</v>
      </c>
      <c r="R198" s="55">
        <v>0</v>
      </c>
      <c r="S198" s="78">
        <v>1.35</v>
      </c>
      <c r="T198" s="95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10">
        <v>0.01</v>
      </c>
      <c r="H199" s="57" t="str">
        <f t="shared" si="2"/>
        <v>(750, 800]</v>
      </c>
      <c r="I199" s="209">
        <v>9.2983100000000006E-3</v>
      </c>
      <c r="J199" s="55">
        <v>2.0087752737670017E-4</v>
      </c>
      <c r="K199" s="55">
        <v>2.0588365628678657E-4</v>
      </c>
      <c r="L199" s="108">
        <v>205883</v>
      </c>
      <c r="M199" s="55">
        <v>2.0588300411766009E-4</v>
      </c>
      <c r="N199" s="55">
        <v>0.15947302564980789</v>
      </c>
      <c r="O199" s="110"/>
      <c r="P199" s="55">
        <v>2.0588300411766009E-4</v>
      </c>
      <c r="Q199" s="208">
        <v>2.7821700612077412E-4</v>
      </c>
      <c r="R199" s="55">
        <v>0</v>
      </c>
      <c r="S199" s="78">
        <v>1.35</v>
      </c>
      <c r="T199" s="95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10">
        <v>0.01</v>
      </c>
      <c r="H200" s="57" t="str">
        <f t="shared" si="2"/>
        <v>(800, 850]</v>
      </c>
      <c r="I200" s="209">
        <v>9.2983100000000006E-3</v>
      </c>
      <c r="J200" s="55">
        <v>1.8057852975568152E-4</v>
      </c>
      <c r="K200" s="55">
        <v>1.850787812778718E-4</v>
      </c>
      <c r="L200" s="108">
        <v>185078</v>
      </c>
      <c r="M200" s="55">
        <v>1.8507800370156009E-4</v>
      </c>
      <c r="N200" s="55">
        <v>0.15261318038022104</v>
      </c>
      <c r="O200" s="110"/>
      <c r="P200" s="55">
        <v>1.8507800370156009E-4</v>
      </c>
      <c r="Q200" s="208">
        <v>2.487020054714441E-4</v>
      </c>
      <c r="R200" s="55">
        <v>0</v>
      </c>
      <c r="S200" s="78">
        <v>1.34</v>
      </c>
      <c r="T200" s="95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10">
        <v>0.01</v>
      </c>
      <c r="H201" s="57" t="str">
        <f t="shared" si="2"/>
        <v>(850, 900]</v>
      </c>
      <c r="I201" s="209">
        <v>9.2983100000000006E-3</v>
      </c>
      <c r="J201" s="55">
        <v>1.6298290981810946E-4</v>
      </c>
      <c r="K201" s="55">
        <v>1.6704465563580057E-4</v>
      </c>
      <c r="L201" s="79">
        <v>167044</v>
      </c>
      <c r="M201" s="55">
        <v>1.6704400334088007E-4</v>
      </c>
      <c r="N201" s="55">
        <v>0.1460911823312821</v>
      </c>
      <c r="O201" s="110"/>
      <c r="P201" s="55">
        <v>1.6704400334088007E-4</v>
      </c>
      <c r="Q201" s="208">
        <v>2.218730048812061E-4</v>
      </c>
      <c r="R201" s="55">
        <v>0</v>
      </c>
      <c r="S201" s="78">
        <v>1.33</v>
      </c>
      <c r="T201" s="95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10">
        <v>0.01</v>
      </c>
      <c r="H202" s="57" t="str">
        <f t="shared" si="2"/>
        <v>(900, 950]</v>
      </c>
      <c r="I202" s="209">
        <v>9.2983100000000006E-3</v>
      </c>
      <c r="J202" s="55">
        <v>1.4758256619711586E-4</v>
      </c>
      <c r="K202" s="55">
        <v>1.5126051544764917E-4</v>
      </c>
      <c r="L202" s="79">
        <v>151260</v>
      </c>
      <c r="M202" s="55">
        <v>1.5126000302520006E-4</v>
      </c>
      <c r="N202" s="55">
        <v>0.13985357479797228</v>
      </c>
      <c r="O202" s="110"/>
      <c r="P202" s="55">
        <v>1.5126000302520006E-4</v>
      </c>
      <c r="Q202" s="208">
        <v>1.9943400438754809E-4</v>
      </c>
      <c r="R202" s="55">
        <v>0</v>
      </c>
      <c r="S202" s="78">
        <v>1.32</v>
      </c>
      <c r="T202" s="95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10">
        <v>0.01</v>
      </c>
      <c r="H203" s="57" t="str">
        <f t="shared" si="2"/>
        <v>(950, 1000]</v>
      </c>
      <c r="I203" s="209">
        <v>9.2983100000000006E-3</v>
      </c>
      <c r="J203" s="55">
        <v>1.324954357474793E-4</v>
      </c>
      <c r="K203" s="55">
        <v>1.3579739410993018E-4</v>
      </c>
      <c r="L203" s="79">
        <v>135797</v>
      </c>
      <c r="M203" s="55">
        <v>1.3579700271594005E-4</v>
      </c>
      <c r="N203" s="55">
        <v>0.13234868295055585</v>
      </c>
      <c r="O203" s="110"/>
      <c r="P203" s="55">
        <v>1.3579700271594005E-4</v>
      </c>
      <c r="Q203" s="208">
        <v>1.7992900395843807E-4</v>
      </c>
      <c r="R203" s="55">
        <v>0</v>
      </c>
      <c r="S203" s="78">
        <v>1.32</v>
      </c>
      <c r="T203" s="95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10">
        <v>0.01</v>
      </c>
      <c r="H204" s="57" t="str">
        <f t="shared" si="2"/>
        <v>(1000, 2000]</v>
      </c>
      <c r="I204" s="209">
        <v>9.2983100000000006E-3</v>
      </c>
      <c r="J204" s="55">
        <v>1.1663661764654586E-3</v>
      </c>
      <c r="K204" s="55">
        <v>1.1954335366226802E-3</v>
      </c>
      <c r="L204" s="79">
        <v>1195433</v>
      </c>
      <c r="M204" s="55">
        <v>1.1954330239086605E-3</v>
      </c>
      <c r="N204" s="55">
        <v>1.6309772717027595</v>
      </c>
      <c r="O204" s="110"/>
      <c r="P204" s="55">
        <v>1.1954330239086605E-3</v>
      </c>
      <c r="Q204" s="208">
        <v>1.4766200324856408E-4</v>
      </c>
      <c r="R204" s="55">
        <v>0</v>
      </c>
      <c r="S204" s="78">
        <v>0.12</v>
      </c>
      <c r="T204" s="95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10">
        <v>0.02</v>
      </c>
      <c r="H205" s="57" t="str">
        <f t="shared" si="2"/>
        <v>(2000, 3000]</v>
      </c>
      <c r="I205" s="209">
        <v>1.8596620000000001E-2</v>
      </c>
      <c r="J205" s="55">
        <v>5.5002877801531085E-4</v>
      </c>
      <c r="K205" s="55">
        <v>5.6373620961784328E-4</v>
      </c>
      <c r="L205" s="79">
        <v>563736</v>
      </c>
      <c r="M205" s="55">
        <v>5.6373601127472021E-4</v>
      </c>
      <c r="N205" s="55">
        <v>1.3565567305811232</v>
      </c>
      <c r="O205" s="110"/>
      <c r="P205" s="55">
        <v>5.6373601127472021E-4</v>
      </c>
      <c r="Q205" s="208">
        <v>4.7172001037784021E-4</v>
      </c>
      <c r="R205" s="55">
        <v>0</v>
      </c>
      <c r="S205" s="78">
        <v>0.84</v>
      </c>
      <c r="T205" s="95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10">
        <v>0.01</v>
      </c>
      <c r="H206" s="57" t="str">
        <f t="shared" si="2"/>
        <v>(3000, 4000]</v>
      </c>
      <c r="I206" s="209">
        <v>9.2983100000000006E-3</v>
      </c>
      <c r="J206" s="55">
        <v>1.0429302576921658E-4</v>
      </c>
      <c r="K206" s="55">
        <v>1.0689214344177023E-4</v>
      </c>
      <c r="L206" s="79">
        <v>106892</v>
      </c>
      <c r="M206" s="55">
        <v>1.0689200213784004E-4</v>
      </c>
      <c r="N206" s="55">
        <v>0.3671408940330021</v>
      </c>
      <c r="O206" s="110"/>
      <c r="P206" s="55">
        <v>1.0689200213784004E-4</v>
      </c>
      <c r="Q206" s="208">
        <v>6.3183001390026028E-5</v>
      </c>
      <c r="R206" s="55">
        <v>0</v>
      </c>
      <c r="S206" s="78">
        <v>0.59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10">
        <v>0.01</v>
      </c>
      <c r="H207" s="57" t="str">
        <f t="shared" si="2"/>
        <v>(4000, 5000]</v>
      </c>
      <c r="I207" s="209">
        <v>9.2983100000000006E-3</v>
      </c>
      <c r="J207" s="55">
        <v>5.2593363675744422E-5</v>
      </c>
      <c r="K207" s="55">
        <v>5.3904058614168739E-5</v>
      </c>
      <c r="L207" s="79">
        <v>53904</v>
      </c>
      <c r="M207" s="55">
        <v>5.3904001078080019E-5</v>
      </c>
      <c r="N207" s="55">
        <v>0.24011463613616957</v>
      </c>
      <c r="O207" s="110"/>
      <c r="P207" s="55">
        <v>5.3904001078080019E-5</v>
      </c>
      <c r="Q207" s="208">
        <v>3.2266000709852017E-5</v>
      </c>
      <c r="R207" s="55">
        <v>0</v>
      </c>
      <c r="S207" s="78">
        <v>0.6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10">
        <v>0</v>
      </c>
      <c r="H208" s="57" t="str">
        <f t="shared" si="2"/>
        <v>(5000, 6000]</v>
      </c>
      <c r="I208" s="209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10"/>
      <c r="P208" s="55">
        <v>0</v>
      </c>
      <c r="Q208" s="208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10">
        <v>0</v>
      </c>
      <c r="H209" s="57" t="str">
        <f t="shared" si="2"/>
        <v>(6000, 7000]</v>
      </c>
      <c r="I209" s="209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10"/>
      <c r="P209" s="55">
        <v>0</v>
      </c>
      <c r="Q209" s="208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10">
        <v>0</v>
      </c>
      <c r="H210" s="57" t="str">
        <f t="shared" si="2"/>
        <v>(7000, 8000]</v>
      </c>
      <c r="I210" s="209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10"/>
      <c r="P210" s="55">
        <v>0</v>
      </c>
      <c r="Q210" s="208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10">
        <v>0</v>
      </c>
      <c r="H211" s="57" t="str">
        <f t="shared" si="2"/>
        <v>(8000, 9000]</v>
      </c>
      <c r="I211" s="209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10"/>
      <c r="P211" s="55">
        <v>0</v>
      </c>
      <c r="Q211" s="208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10">
        <v>0</v>
      </c>
      <c r="H212" s="57" t="str">
        <f t="shared" si="2"/>
        <v>(9000, 10000]</v>
      </c>
      <c r="I212" s="209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10"/>
      <c r="P212" s="55">
        <v>0</v>
      </c>
      <c r="Q212" s="208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10">
        <v>0</v>
      </c>
      <c r="H213" s="57" t="str">
        <f t="shared" si="2"/>
        <v>(10000, 20000]</v>
      </c>
      <c r="I213" s="209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10"/>
      <c r="P213" s="55">
        <v>0</v>
      </c>
      <c r="Q213" s="208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10">
        <v>0</v>
      </c>
      <c r="H214" s="57" t="str">
        <f t="shared" si="2"/>
        <v>(20000, 30000]</v>
      </c>
      <c r="I214" s="209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8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10">
        <v>0</v>
      </c>
      <c r="H215" s="57" t="str">
        <f t="shared" si="2"/>
        <v>(30000, 40000]</v>
      </c>
      <c r="I215" s="209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8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10">
        <v>0</v>
      </c>
      <c r="H216" s="57" t="str">
        <f t="shared" si="2"/>
        <v>(40000, 50000]</v>
      </c>
      <c r="I216" s="209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8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10">
        <v>0</v>
      </c>
      <c r="H217" s="57" t="str">
        <f t="shared" si="2"/>
        <v>(50000, 60000]</v>
      </c>
      <c r="I217" s="209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8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10">
        <v>0</v>
      </c>
      <c r="H218" s="57" t="str">
        <f t="shared" si="2"/>
        <v>(60000, 70000]</v>
      </c>
      <c r="I218" s="209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8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10">
        <v>0</v>
      </c>
      <c r="H219" s="57" t="str">
        <f t="shared" si="2"/>
        <v>(70000, 80000]</v>
      </c>
      <c r="I219" s="209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8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10">
        <v>0</v>
      </c>
      <c r="H220" s="57" t="str">
        <f t="shared" si="2"/>
        <v>(80000, 90000]</v>
      </c>
      <c r="I220" s="209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8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10">
        <v>0</v>
      </c>
      <c r="H221" s="57" t="str">
        <f t="shared" si="2"/>
        <v>(90000, 100000]</v>
      </c>
      <c r="I221" s="209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8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10">
        <v>0</v>
      </c>
      <c r="H222" s="57" t="str">
        <f t="shared" si="2"/>
        <v>(100000, 9999999]</v>
      </c>
      <c r="I222" s="209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8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292"/>
  <sheetViews>
    <sheetView zoomScale="70" zoomScaleNormal="70" workbookViewId="0">
      <selection activeCell="D17" sqref="D17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22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22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22">
      <c r="A3" s="48" t="s">
        <v>68</v>
      </c>
      <c r="B3" s="63">
        <f>Overview!A7</f>
        <v>100</v>
      </c>
      <c r="C3" s="1"/>
      <c r="F3" s="99"/>
      <c r="G3" s="96"/>
    </row>
    <row r="4" spans="1:22">
      <c r="F4" s="99"/>
      <c r="G4" s="99"/>
      <c r="I4" s="1"/>
      <c r="L4" s="117"/>
      <c r="M4" s="118"/>
      <c r="N4" s="115"/>
      <c r="O4" s="116"/>
    </row>
    <row r="5" spans="1:22">
      <c r="A5" s="48"/>
      <c r="B5" s="48"/>
      <c r="C5" s="1" t="s">
        <v>75</v>
      </c>
      <c r="I5" s="99"/>
      <c r="K5" s="207"/>
      <c r="L5" s="119"/>
      <c r="M5" s="118"/>
      <c r="N5" s="115"/>
      <c r="O5" s="116"/>
    </row>
    <row r="6" spans="1:22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91" t="s">
        <v>92</v>
      </c>
      <c r="J6" s="192" t="s">
        <v>93</v>
      </c>
      <c r="L6" s="96"/>
      <c r="M6" s="96"/>
      <c r="N6" s="109"/>
    </row>
    <row r="7" spans="1:22">
      <c r="A7" s="54" t="s">
        <v>47</v>
      </c>
      <c r="B7" s="54" cm="1">
        <f t="array" ref="B7:B9">Overview!B11:B13</f>
        <v>1</v>
      </c>
      <c r="C7" s="77">
        <f>SUM(N16:N80)</f>
        <v>0.67999976892735525</v>
      </c>
      <c r="D7" s="77">
        <f>SUM(_xlfn.ANCHORARRAY(N159))*F7</f>
        <v>0.23999986079912661</v>
      </c>
      <c r="E7" s="93">
        <f>SUM(C7:D7)</f>
        <v>0.91999962972648186</v>
      </c>
      <c r="F7" s="69">
        <f>M80</f>
        <v>4.1956200146938917E-3</v>
      </c>
      <c r="G7" s="70">
        <f>1/F7</f>
        <v>238.34379579127807</v>
      </c>
      <c r="H7" s="90">
        <f>D7*G7</f>
        <v>57.202477812242194</v>
      </c>
      <c r="I7" s="189" cm="1">
        <f t="array" ref="I7">LOOKUP(2,1/(L16:L79&lt;&gt;0),B16:B79)</f>
        <v>120</v>
      </c>
      <c r="J7" s="189" cm="1">
        <f t="array" ref="J7">LOOKUP(2,1/(_xlfn.ANCHORARRAY(L159)&lt;&gt;0),B16:B79)</f>
        <v>20000</v>
      </c>
      <c r="L7" s="99"/>
      <c r="M7" s="96"/>
      <c r="N7" s="109"/>
    </row>
    <row r="8" spans="1:22">
      <c r="A8" s="179" t="s">
        <v>264</v>
      </c>
      <c r="B8" s="179">
        <v>2</v>
      </c>
      <c r="C8" s="180">
        <f>SUM(_xlfn.ANCHORARRAY(N88))/B8</f>
        <v>0.32020989855910986</v>
      </c>
      <c r="D8" s="77">
        <f>SUM(_xlfn.ANCHORARRAY(N159))*F8/B8</f>
        <v>0.59978963565968868</v>
      </c>
      <c r="E8" s="93">
        <f>SUM(C8:D8)</f>
        <v>0.91999953421879854</v>
      </c>
      <c r="F8" s="181">
        <f>M152</f>
        <v>2.0970757162946694E-2</v>
      </c>
      <c r="G8" s="70">
        <f>1/F8</f>
        <v>47.685450374052472</v>
      </c>
      <c r="H8" s="90">
        <f>D8*G8</f>
        <v>28.601238906121097</v>
      </c>
      <c r="I8" s="189" cm="1">
        <f t="array" ref="I8">LOOKUP(2,1/(L88:L151&lt;&gt;0),B16:B79)</f>
        <v>120</v>
      </c>
      <c r="J8" s="189">
        <f>J7</f>
        <v>20000</v>
      </c>
      <c r="L8" s="99"/>
      <c r="M8" s="96"/>
      <c r="N8" s="109"/>
    </row>
    <row r="9" spans="1:22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90"/>
      <c r="J9" s="190" cm="1">
        <f t="array" ref="J9">LOOKUP(2,1/(_xlfn.ANCHORARRAY(L229)&lt;&gt;0),B16:B79)</f>
        <v>20000</v>
      </c>
      <c r="L9" s="102"/>
      <c r="M9" s="96"/>
      <c r="N9" s="109"/>
    </row>
    <row r="10" spans="1:22">
      <c r="A10" s="48"/>
      <c r="B10" s="48"/>
      <c r="C10" s="1"/>
      <c r="D10" s="98"/>
      <c r="E10" s="48"/>
      <c r="F10" s="1"/>
      <c r="H10" s="12"/>
      <c r="I10" s="48"/>
      <c r="J10" s="48"/>
      <c r="K10" s="48"/>
      <c r="L10" s="111"/>
      <c r="M10" s="99"/>
      <c r="N10" s="99"/>
    </row>
    <row r="11" spans="1:22">
      <c r="A11" s="48"/>
      <c r="B11" s="48"/>
      <c r="C11" s="1"/>
      <c r="D11" s="1"/>
      <c r="E11" s="98"/>
      <c r="F11" s="1"/>
      <c r="H11" s="12"/>
      <c r="I11" s="48"/>
      <c r="J11" s="48"/>
      <c r="K11" s="48"/>
      <c r="L11" s="111"/>
      <c r="M11" s="99"/>
      <c r="N11" s="99"/>
    </row>
    <row r="12" spans="1:22" s="53" customFormat="1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22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22">
      <c r="A14" s="65" t="s">
        <v>69</v>
      </c>
      <c r="B14" s="171">
        <v>1000000000</v>
      </c>
      <c r="C14" s="200" t="s">
        <v>301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22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78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tr">
        <f>U15</f>
        <v>目前</v>
      </c>
      <c r="Q15" s="184" t="str">
        <f>V15</f>
        <v>目標</v>
      </c>
      <c r="R15" s="81" t="s">
        <v>327</v>
      </c>
      <c r="S15" s="81" t="s">
        <v>74</v>
      </c>
      <c r="U15" s="22" t="s">
        <v>77</v>
      </c>
      <c r="V15" s="22" t="s">
        <v>326</v>
      </c>
    </row>
    <row r="16" spans="1:22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9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0.7170640585721576</v>
      </c>
      <c r="L16" s="108" cm="1">
        <f t="array" ref="L16:L80">INT(K16:K80*$B$2)</f>
        <v>717064058</v>
      </c>
      <c r="M16" s="55" cm="1">
        <f t="array" ref="M16:M80">_xlfn.LET(_xlpm.x, L16:L80, _xlpm.x/SUM(_xlpm.x))</f>
        <v>0.71705585703216312</v>
      </c>
      <c r="N16" s="55" cm="1">
        <f t="array" ref="N16:N80">M16:M80*F16:F80</f>
        <v>0</v>
      </c>
      <c r="O16" s="110"/>
      <c r="P16" s="55" cm="1">
        <f t="array" ref="P16:P79">M16:M79</f>
        <v>0.71705585703216312</v>
      </c>
      <c r="Q16" s="208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-44364</v>
      </c>
      <c r="H17" s="57" t="str">
        <f t="shared" ref="H17:H79" si="0">"("&amp;$A17&amp;", "&amp;$B17&amp;"]"</f>
        <v>(0, 1]</v>
      </c>
      <c r="I17" s="199">
        <v>1.18</v>
      </c>
      <c r="J17" s="55">
        <v>0.16106442614279243</v>
      </c>
      <c r="K17" s="55">
        <v>0.16062491817702609</v>
      </c>
      <c r="L17" s="108">
        <v>160624918</v>
      </c>
      <c r="M17" s="55">
        <v>0.16062308095382313</v>
      </c>
      <c r="N17" s="55">
        <v>7.0004443441083836E-2</v>
      </c>
      <c r="O17" s="110"/>
      <c r="P17" s="55">
        <v>0.16062308095382313</v>
      </c>
      <c r="Q17" s="208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0.95563600000000004</v>
      </c>
      <c r="H18" s="57" t="str">
        <f t="shared" si="0"/>
        <v>(1, 2]</v>
      </c>
      <c r="I18" s="199">
        <v>1.31</v>
      </c>
      <c r="J18" s="55">
        <v>4.5547637985484168E-2</v>
      </c>
      <c r="K18" s="55">
        <v>4.5423348903184183E-2</v>
      </c>
      <c r="L18" s="108">
        <v>45423348</v>
      </c>
      <c r="M18" s="55">
        <v>4.5422828499110453E-2</v>
      </c>
      <c r="N18" s="55">
        <v>6.80098393790846E-2</v>
      </c>
      <c r="O18" s="110"/>
      <c r="P18" s="55">
        <v>4.5422828499110453E-2</v>
      </c>
      <c r="Q18" s="208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9">
        <v>1.33</v>
      </c>
      <c r="J19" s="55">
        <v>2.159558005121447E-2</v>
      </c>
      <c r="K19" s="55">
        <v>2.1536650654542862E-2</v>
      </c>
      <c r="L19" s="108">
        <v>21536650</v>
      </c>
      <c r="M19" s="55">
        <v>2.1536403688151018E-2</v>
      </c>
      <c r="N19" s="55">
        <v>5.4225136843486288E-2</v>
      </c>
      <c r="O19" s="110"/>
      <c r="P19" s="55">
        <v>2.1536403688151018E-2</v>
      </c>
      <c r="Q19" s="208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6"/>
      <c r="H20" s="57" t="str">
        <f t="shared" si="0"/>
        <v>(3, 4]</v>
      </c>
      <c r="I20" s="199">
        <v>1.44</v>
      </c>
      <c r="J20" s="55">
        <v>1.1628520302489266E-2</v>
      </c>
      <c r="K20" s="55">
        <v>1.1596788731307379E-2</v>
      </c>
      <c r="L20" s="108">
        <v>11596788</v>
      </c>
      <c r="M20" s="55">
        <v>1.1596655369052545E-2</v>
      </c>
      <c r="N20" s="55">
        <v>4.1370452551419711E-2</v>
      </c>
      <c r="O20" s="110"/>
      <c r="P20" s="55">
        <v>1.1596655369052545E-2</v>
      </c>
      <c r="Q20" s="208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6"/>
      <c r="H21" s="57" t="str">
        <f t="shared" si="0"/>
        <v>(4, 5]</v>
      </c>
      <c r="I21" s="199">
        <v>1.62</v>
      </c>
      <c r="J21" s="55">
        <v>9.1599021243855185E-3</v>
      </c>
      <c r="K21" s="55">
        <v>9.1349068473667531E-3</v>
      </c>
      <c r="L21" s="108">
        <v>9134906</v>
      </c>
      <c r="M21" s="55">
        <v>9.1348015252749552E-3</v>
      </c>
      <c r="N21" s="55">
        <v>4.1987476561478936E-2</v>
      </c>
      <c r="O21" s="110"/>
      <c r="P21" s="55">
        <v>9.1348015252749552E-3</v>
      </c>
      <c r="Q21" s="208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6">
        <v>1.79</v>
      </c>
      <c r="H22" s="57" t="str">
        <f t="shared" si="0"/>
        <v>(5, 6]</v>
      </c>
      <c r="I22" s="199" cm="1">
        <f t="array" ref="I22:I79">G22:G79*G18</f>
        <v>1.7105884400000002</v>
      </c>
      <c r="J22" s="55">
        <v>7.2099388246551965E-3</v>
      </c>
      <c r="K22" s="55">
        <v>7.1902645513099786E-3</v>
      </c>
      <c r="L22" s="108">
        <v>7190264</v>
      </c>
      <c r="M22" s="55">
        <v>7.1901817658911434E-3</v>
      </c>
      <c r="N22" s="55">
        <v>4.0159676377530602E-2</v>
      </c>
      <c r="O22" s="110"/>
      <c r="P22" s="55">
        <v>7.1901817658911434E-3</v>
      </c>
      <c r="Q22" s="208">
        <v>7.5282777778765504E-3</v>
      </c>
      <c r="R22" s="55">
        <v>5.37539654564681E-3</v>
      </c>
      <c r="S22" s="78">
        <v>1.05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6">
        <v>1.24</v>
      </c>
      <c r="H23" s="57" t="str">
        <f t="shared" si="0"/>
        <v>(6, 7]</v>
      </c>
      <c r="I23" s="199">
        <v>1.18498864</v>
      </c>
      <c r="J23" s="55">
        <v>3.3295915427372742E-3</v>
      </c>
      <c r="K23" s="55">
        <v>3.3205058492615223E-3</v>
      </c>
      <c r="L23" s="108">
        <v>3320505</v>
      </c>
      <c r="M23" s="55">
        <v>3.3204670238186486E-3</v>
      </c>
      <c r="N23" s="55">
        <v>2.1782478336295222E-2</v>
      </c>
      <c r="O23" s="110"/>
      <c r="P23" s="55">
        <v>3.3204670238186486E-3</v>
      </c>
      <c r="Q23" s="208">
        <v>3.4769539997344823E-3</v>
      </c>
      <c r="R23" s="55">
        <v>2.5114557631300671E-3</v>
      </c>
      <c r="S23" s="78">
        <v>1.05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6">
        <v>1.02</v>
      </c>
      <c r="H24" s="57" t="str">
        <f t="shared" si="0"/>
        <v>(7, 8]</v>
      </c>
      <c r="I24" s="199">
        <v>0.97474872000000001</v>
      </c>
      <c r="J24" s="55">
        <v>2.8372593670507097E-3</v>
      </c>
      <c r="K24" s="55">
        <v>2.8295171354318018E-3</v>
      </c>
      <c r="L24" s="108">
        <v>2829517</v>
      </c>
      <c r="M24" s="55">
        <v>2.8294846391841814E-3</v>
      </c>
      <c r="N24" s="55">
        <v>2.156453786148373E-2</v>
      </c>
      <c r="O24" s="110"/>
      <c r="P24" s="55">
        <v>2.8294846391841814E-3</v>
      </c>
      <c r="Q24" s="208">
        <v>2.960660064440217E-3</v>
      </c>
      <c r="R24" s="55">
        <v>3.0842439196334154E-3</v>
      </c>
      <c r="S24" s="78">
        <v>1.05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6">
        <v>1.26</v>
      </c>
      <c r="H25" s="57" t="str">
        <f t="shared" si="0"/>
        <v>(8, 9]</v>
      </c>
      <c r="I25" s="199">
        <v>1.2041013600000001</v>
      </c>
      <c r="J25" s="55">
        <v>2.5694612493280793E-3</v>
      </c>
      <c r="K25" s="55">
        <v>2.5624497774975061E-3</v>
      </c>
      <c r="L25" s="108">
        <v>2562449</v>
      </c>
      <c r="M25" s="55">
        <v>2.5624196936059641E-3</v>
      </c>
      <c r="N25" s="55">
        <v>2.2033249147187347E-2</v>
      </c>
      <c r="O25" s="110"/>
      <c r="P25" s="55">
        <v>2.5624196936059641E-3</v>
      </c>
      <c r="Q25" s="208">
        <v>2.6694708929012037E-3</v>
      </c>
      <c r="R25" s="55">
        <v>2.687698272823405E-3</v>
      </c>
      <c r="S25" s="78">
        <v>1.04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6">
        <v>1.21</v>
      </c>
      <c r="H26" s="57" t="str">
        <f t="shared" si="0"/>
        <v>(9, 10]</v>
      </c>
      <c r="I26" s="199">
        <v>1.15631956</v>
      </c>
      <c r="J26" s="55">
        <v>2.2903466860305075E-3</v>
      </c>
      <c r="K26" s="55">
        <v>2.2840968539789251E-3</v>
      </c>
      <c r="L26" s="108">
        <v>2284096</v>
      </c>
      <c r="M26" s="55">
        <v>2.2840698770928156E-3</v>
      </c>
      <c r="N26" s="55">
        <v>2.2032848488871527E-2</v>
      </c>
      <c r="O26" s="110"/>
      <c r="P26" s="55">
        <v>2.2840698770928156E-3</v>
      </c>
      <c r="Q26" s="208">
        <v>2.3901200778528079E-3</v>
      </c>
      <c r="R26" s="55">
        <v>2.2470919985900597E-3</v>
      </c>
      <c r="S26" s="78">
        <v>1.05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6">
        <v>0.48</v>
      </c>
      <c r="H27" s="57" t="str">
        <f t="shared" si="0"/>
        <v>(10, 15]</v>
      </c>
      <c r="I27" s="199">
        <v>0.45870527999999999</v>
      </c>
      <c r="J27" s="55">
        <v>3.1310584722213084E-3</v>
      </c>
      <c r="K27" s="55">
        <v>3.1225145300686108E-3</v>
      </c>
      <c r="L27" s="108">
        <v>3122514</v>
      </c>
      <c r="M27" s="55">
        <v>3.1224782882158177E-3</v>
      </c>
      <c r="N27" s="55">
        <v>3.886724349066091E-2</v>
      </c>
      <c r="O27" s="110"/>
      <c r="P27" s="55">
        <v>3.1224782882158177E-3</v>
      </c>
      <c r="Q27" s="208">
        <v>3.2553520455735068E-3</v>
      </c>
      <c r="R27" s="55">
        <v>4.9788508988367992E-3</v>
      </c>
      <c r="S27" s="78">
        <v>1.04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6">
        <v>1.1299999999999999</v>
      </c>
      <c r="H28" s="105" t="str">
        <f t="shared" si="0"/>
        <v>(15, 20]</v>
      </c>
      <c r="I28" s="199">
        <v>1.0798686799999999</v>
      </c>
      <c r="J28" s="55">
        <v>4.9568867131938761E-3</v>
      </c>
      <c r="K28" s="55">
        <v>4.9433605035396188E-3</v>
      </c>
      <c r="L28" s="108">
        <v>4943360</v>
      </c>
      <c r="M28" s="55">
        <v>4.9433034634382891E-3</v>
      </c>
      <c r="N28" s="55">
        <v>8.6437999874541149E-2</v>
      </c>
      <c r="O28" s="110"/>
      <c r="P28" s="55">
        <v>4.9433034634382891E-3</v>
      </c>
      <c r="Q28" s="208">
        <v>5.1523509285082278E-3</v>
      </c>
      <c r="R28" s="55">
        <v>2.3352132534367291E-3</v>
      </c>
      <c r="S28" s="78">
        <v>1.04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6">
        <v>0.54</v>
      </c>
      <c r="H29" s="57" t="str">
        <f t="shared" si="0"/>
        <v>(20, 25]</v>
      </c>
      <c r="I29" s="199">
        <v>0.51604344000000002</v>
      </c>
      <c r="J29" s="55">
        <v>1.6369847624457317E-3</v>
      </c>
      <c r="K29" s="55">
        <v>1.6325178055877651E-3</v>
      </c>
      <c r="L29" s="108">
        <v>1632517</v>
      </c>
      <c r="M29" s="55">
        <v>1.6324983291166099E-3</v>
      </c>
      <c r="N29" s="55">
        <v>3.6795253620901427E-2</v>
      </c>
      <c r="O29" s="110"/>
      <c r="P29" s="55">
        <v>1.6324983291166099E-3</v>
      </c>
      <c r="Q29" s="208">
        <v>1.7133368664346144E-3</v>
      </c>
      <c r="R29" s="55">
        <v>1.8064857243567148E-3</v>
      </c>
      <c r="S29" s="78">
        <v>1.05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6">
        <v>0.2</v>
      </c>
      <c r="H30" s="57" t="str">
        <f t="shared" si="0"/>
        <v>(25, 30]</v>
      </c>
      <c r="I30" s="199">
        <v>0.19112720000000002</v>
      </c>
      <c r="J30" s="55">
        <v>4.8564334658136572E-4</v>
      </c>
      <c r="K30" s="55">
        <v>4.843181370086777E-4</v>
      </c>
      <c r="L30" s="108">
        <v>484318</v>
      </c>
      <c r="M30" s="55">
        <v>4.8431246091838449E-4</v>
      </c>
      <c r="N30" s="55">
        <v>1.3340177149764468E-2</v>
      </c>
      <c r="O30" s="110"/>
      <c r="P30" s="55">
        <v>4.8431246091838449E-4</v>
      </c>
      <c r="Q30" s="208">
        <v>4.9677799614168574E-4</v>
      </c>
      <c r="R30" s="55">
        <v>8.8121254846669017E-4</v>
      </c>
      <c r="S30" s="78">
        <v>1.03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6">
        <v>0.22</v>
      </c>
      <c r="H31" s="57" t="str">
        <f t="shared" si="0"/>
        <v>(30, 35]</v>
      </c>
      <c r="I31" s="199">
        <v>0.21023992</v>
      </c>
      <c r="J31" s="55">
        <v>4.0033858051266249E-4</v>
      </c>
      <c r="K31" s="55">
        <v>3.9924614812797865E-4</v>
      </c>
      <c r="L31" s="108">
        <v>399246</v>
      </c>
      <c r="M31" s="55">
        <v>3.9924143387572077E-4</v>
      </c>
      <c r="N31" s="55">
        <v>1.2988121300878992E-2</v>
      </c>
      <c r="O31" s="110"/>
      <c r="P31" s="55">
        <v>3.9924143387572077E-4</v>
      </c>
      <c r="Q31" s="208">
        <v>4.1474145548396282E-4</v>
      </c>
      <c r="R31" s="55">
        <v>4.8466690165667957E-4</v>
      </c>
      <c r="S31" s="78">
        <v>1.04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6">
        <v>0.33</v>
      </c>
      <c r="H32" s="105" t="str">
        <f t="shared" si="0"/>
        <v>(35, 40]</v>
      </c>
      <c r="I32" s="199">
        <v>0.31535988000000004</v>
      </c>
      <c r="J32" s="55">
        <v>5.1838701610177674E-4</v>
      </c>
      <c r="K32" s="55">
        <v>5.1697245654705177E-4</v>
      </c>
      <c r="L32" s="108">
        <v>516972</v>
      </c>
      <c r="M32" s="55">
        <v>5.1696608745885775E-4</v>
      </c>
      <c r="N32" s="55">
        <v>1.9409452785869256E-2</v>
      </c>
      <c r="O32" s="110"/>
      <c r="P32" s="55">
        <v>5.1696608745885775E-4</v>
      </c>
      <c r="Q32" s="208">
        <v>5.3879471219703441E-4</v>
      </c>
      <c r="R32" s="55">
        <v>7.0497003877335212E-4</v>
      </c>
      <c r="S32" s="78">
        <v>1.04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6">
        <v>0.16</v>
      </c>
      <c r="H33" s="57" t="str">
        <f t="shared" si="0"/>
        <v>(40, 45]</v>
      </c>
      <c r="I33" s="199">
        <v>0.15290176</v>
      </c>
      <c r="J33" s="55">
        <v>2.0718220574353832E-4</v>
      </c>
      <c r="K33" s="55">
        <v>2.0661685290945814E-4</v>
      </c>
      <c r="L33" s="108">
        <v>206616</v>
      </c>
      <c r="M33" s="55">
        <v>2.066136369598341E-4</v>
      </c>
      <c r="N33" s="55">
        <v>8.8071059736774138E-3</v>
      </c>
      <c r="O33" s="110"/>
      <c r="P33" s="55">
        <v>2.066136369598341E-4</v>
      </c>
      <c r="Q33" s="208">
        <v>2.2212092595070716E-4</v>
      </c>
      <c r="R33" s="55">
        <v>3.5248501938667606E-4</v>
      </c>
      <c r="S33" s="78">
        <v>1.08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6">
        <v>0.2</v>
      </c>
      <c r="H34" s="57" t="str">
        <f t="shared" si="0"/>
        <v>(45, 50]</v>
      </c>
      <c r="I34" s="199">
        <v>0.19112720000000002</v>
      </c>
      <c r="J34" s="55">
        <v>2.1889158426364677E-4</v>
      </c>
      <c r="K34" s="55">
        <v>2.1829427921481E-4</v>
      </c>
      <c r="L34" s="108">
        <v>218294</v>
      </c>
      <c r="M34" s="55">
        <v>2.1829150340007563E-4</v>
      </c>
      <c r="N34" s="55">
        <v>1.0405134659941046E-2</v>
      </c>
      <c r="O34" s="110"/>
      <c r="P34" s="55">
        <v>2.1829150340007563E-4</v>
      </c>
      <c r="Q34" s="208">
        <v>2.2429880756541837E-4</v>
      </c>
      <c r="R34" s="55">
        <v>1.3218188227000352E-4</v>
      </c>
      <c r="S34" s="78">
        <v>1.03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6">
        <v>0.2</v>
      </c>
      <c r="H35" s="105" t="str">
        <f t="shared" si="0"/>
        <v>(50, 60]</v>
      </c>
      <c r="I35" s="199">
        <v>0.19112720000000002</v>
      </c>
      <c r="J35" s="55">
        <v>3.6344302156192133E-4</v>
      </c>
      <c r="K35" s="55">
        <v>3.6245126871553525E-4</v>
      </c>
      <c r="L35" s="108">
        <v>362451</v>
      </c>
      <c r="M35" s="55">
        <v>3.6244685469532286E-4</v>
      </c>
      <c r="N35" s="55">
        <v>1.9898790953031292E-2</v>
      </c>
      <c r="O35" s="110"/>
      <c r="P35" s="55">
        <v>3.6244685469532286E-4</v>
      </c>
      <c r="Q35" s="208">
        <v>3.7520660451939152E-4</v>
      </c>
      <c r="R35" s="55">
        <v>3.0842439196334157E-4</v>
      </c>
      <c r="S35" s="78">
        <v>1.04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6">
        <v>0.11</v>
      </c>
      <c r="H36" s="57" t="str">
        <f t="shared" si="0"/>
        <v>(60, 70]</v>
      </c>
      <c r="I36" s="199">
        <v>0.10511996</v>
      </c>
      <c r="J36" s="55">
        <v>1.4584758911059768E-4</v>
      </c>
      <c r="K36" s="55">
        <v>1.4544960441132527E-4</v>
      </c>
      <c r="L36" s="108">
        <v>145449</v>
      </c>
      <c r="M36" s="55">
        <v>1.4544733651881224E-4</v>
      </c>
      <c r="N36" s="55">
        <v>9.4548111070502216E-3</v>
      </c>
      <c r="O36" s="110"/>
      <c r="P36" s="55">
        <v>1.4544733651881224E-4</v>
      </c>
      <c r="Q36" s="208">
        <v>1.5254370802911894E-4</v>
      </c>
      <c r="R36" s="55">
        <v>1.7624250969333803E-4</v>
      </c>
      <c r="S36" s="78">
        <v>1.05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6">
        <v>0.12</v>
      </c>
      <c r="H37" s="57" t="str">
        <f t="shared" si="0"/>
        <v>(70, 80]</v>
      </c>
      <c r="I37" s="199">
        <v>0.11467632</v>
      </c>
      <c r="J37" s="55">
        <v>1.2868317621072262E-4</v>
      </c>
      <c r="K37" s="55">
        <v>1.2833202926686187E-4</v>
      </c>
      <c r="L37" s="108">
        <v>128332</v>
      </c>
      <c r="M37" s="55">
        <v>1.2833053228370226E-4</v>
      </c>
      <c r="N37" s="55">
        <v>9.6248128310690486E-3</v>
      </c>
      <c r="O37" s="110"/>
      <c r="P37" s="55">
        <v>1.2833053228370226E-4</v>
      </c>
      <c r="Q37" s="208">
        <v>1.3574462119388114E-4</v>
      </c>
      <c r="R37" s="55">
        <v>1.3218188227000352E-4</v>
      </c>
      <c r="S37" s="78">
        <v>1.06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6">
        <v>0</v>
      </c>
      <c r="H38" s="57" t="str">
        <f t="shared" si="0"/>
        <v>(80, 90]</v>
      </c>
      <c r="I38" s="199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8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6">
        <v>0</v>
      </c>
      <c r="H39" s="57" t="str">
        <f t="shared" si="0"/>
        <v>(90, 100]</v>
      </c>
      <c r="I39" s="199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8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6">
        <v>0.08</v>
      </c>
      <c r="H40" s="57" t="str">
        <f t="shared" si="0"/>
        <v>(100, 120]</v>
      </c>
      <c r="I40" s="199">
        <v>7.6450879999999999E-2</v>
      </c>
      <c r="J40" s="55">
        <v>8.8442689360751769E-5</v>
      </c>
      <c r="K40" s="55">
        <v>8.8201349498072306E-5</v>
      </c>
      <c r="L40" s="108">
        <v>88201</v>
      </c>
      <c r="M40" s="55">
        <v>8.81999912567E-5</v>
      </c>
      <c r="N40" s="55">
        <v>9.6703130585832596E-3</v>
      </c>
      <c r="O40" s="110"/>
      <c r="P40" s="55">
        <v>8.81999912567E-5</v>
      </c>
      <c r="Q40" s="208">
        <v>8.9040159954985172E-5</v>
      </c>
      <c r="R40" s="55">
        <v>0</v>
      </c>
      <c r="S40" s="78">
        <v>1.01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6">
        <v>0</v>
      </c>
      <c r="H41" s="57" t="str">
        <f t="shared" si="0"/>
        <v>(120, 140]</v>
      </c>
      <c r="I41" s="199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8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6">
        <v>0</v>
      </c>
      <c r="H42" s="57" t="str">
        <f t="shared" si="0"/>
        <v>(140, 160]</v>
      </c>
      <c r="I42" s="199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8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6">
        <v>0</v>
      </c>
      <c r="H43" s="57" t="str">
        <f t="shared" si="0"/>
        <v>(160, 180]</v>
      </c>
      <c r="I43" s="199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8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6">
        <v>0</v>
      </c>
      <c r="H44" s="57" t="str">
        <f t="shared" si="0"/>
        <v>(180, 200]</v>
      </c>
      <c r="I44" s="199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8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6">
        <v>0</v>
      </c>
      <c r="H45" s="57" t="str">
        <f t="shared" si="0"/>
        <v>(200, 250]</v>
      </c>
      <c r="I45" s="199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8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6">
        <v>0</v>
      </c>
      <c r="H46" s="57" t="str">
        <f t="shared" si="0"/>
        <v>(250, 300]</v>
      </c>
      <c r="I46" s="199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8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6">
        <v>0</v>
      </c>
      <c r="H47" s="57" t="str">
        <f t="shared" si="0"/>
        <v>(300, 350]</v>
      </c>
      <c r="I47" s="199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8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6">
        <v>0</v>
      </c>
      <c r="H48" s="57" t="str">
        <f t="shared" si="0"/>
        <v>(350, 400]</v>
      </c>
      <c r="I48" s="199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8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6">
        <v>0</v>
      </c>
      <c r="H49" s="57" t="str">
        <f t="shared" si="0"/>
        <v>(400, 450]</v>
      </c>
      <c r="I49" s="199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8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6">
        <v>0</v>
      </c>
      <c r="H50" s="57" t="str">
        <f t="shared" si="0"/>
        <v>(450, 500]</v>
      </c>
      <c r="I50" s="199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8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6">
        <v>0</v>
      </c>
      <c r="H51" s="57" t="str">
        <f t="shared" si="0"/>
        <v>(500, 550]</v>
      </c>
      <c r="I51" s="199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8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6">
        <v>0</v>
      </c>
      <c r="H52" s="57" t="str">
        <f t="shared" si="0"/>
        <v>(550, 600]</v>
      </c>
      <c r="I52" s="199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8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6">
        <v>0</v>
      </c>
      <c r="H53" s="57" t="str">
        <f t="shared" si="0"/>
        <v>(600, 650]</v>
      </c>
      <c r="I53" s="199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8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6">
        <v>0</v>
      </c>
      <c r="H54" s="57" t="str">
        <f t="shared" si="0"/>
        <v>(650, 700]</v>
      </c>
      <c r="I54" s="199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8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6">
        <v>0</v>
      </c>
      <c r="H55" s="57" t="str">
        <f t="shared" si="0"/>
        <v>(700, 750]</v>
      </c>
      <c r="I55" s="199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8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6">
        <v>0</v>
      </c>
      <c r="H56" s="57" t="str">
        <f t="shared" si="0"/>
        <v>(750, 800]</v>
      </c>
      <c r="I56" s="199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8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6">
        <v>0</v>
      </c>
      <c r="H57" s="57" t="str">
        <f t="shared" si="0"/>
        <v>(800, 850]</v>
      </c>
      <c r="I57" s="199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8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6">
        <v>0</v>
      </c>
      <c r="H58" s="57" t="str">
        <f t="shared" si="0"/>
        <v>(850, 900]</v>
      </c>
      <c r="I58" s="199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8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6">
        <v>0</v>
      </c>
      <c r="H59" s="57" t="str">
        <f t="shared" si="0"/>
        <v>(900, 950]</v>
      </c>
      <c r="I59" s="199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8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6">
        <v>0</v>
      </c>
      <c r="H60" s="57" t="str">
        <f t="shared" si="0"/>
        <v>(950, 1000]</v>
      </c>
      <c r="I60" s="199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8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6">
        <v>0</v>
      </c>
      <c r="H61" s="57" t="str">
        <f t="shared" si="0"/>
        <v>(1000, 2000]</v>
      </c>
      <c r="I61" s="199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8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6">
        <v>0</v>
      </c>
      <c r="H62" s="57" t="str">
        <f t="shared" si="0"/>
        <v>(2000, 3000]</v>
      </c>
      <c r="I62" s="199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8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6">
        <v>0</v>
      </c>
      <c r="H63" s="57" t="str">
        <f t="shared" si="0"/>
        <v>(3000, 4000]</v>
      </c>
      <c r="I63" s="199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8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6">
        <v>0</v>
      </c>
      <c r="H64" s="57" t="str">
        <f t="shared" si="0"/>
        <v>(4000, 5000]</v>
      </c>
      <c r="I64" s="199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8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6">
        <v>0</v>
      </c>
      <c r="H65" s="57" t="str">
        <f t="shared" si="0"/>
        <v>(5000, 6000]</v>
      </c>
      <c r="I65" s="199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8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6">
        <v>0</v>
      </c>
      <c r="H66" s="57" t="str">
        <f t="shared" si="0"/>
        <v>(6000, 7000]</v>
      </c>
      <c r="I66" s="199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8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6">
        <v>0</v>
      </c>
      <c r="H67" s="57" t="str">
        <f t="shared" si="0"/>
        <v>(7000, 8000]</v>
      </c>
      <c r="I67" s="199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8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6">
        <v>0</v>
      </c>
      <c r="H68" s="57" t="str">
        <f t="shared" si="0"/>
        <v>(8000, 9000]</v>
      </c>
      <c r="I68" s="199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8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6">
        <v>0</v>
      </c>
      <c r="H69" s="57" t="str">
        <f t="shared" si="0"/>
        <v>(9000, 10000]</v>
      </c>
      <c r="I69" s="199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8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6">
        <v>0</v>
      </c>
      <c r="H70" s="57" t="str">
        <f t="shared" si="0"/>
        <v>(10000, 20000]</v>
      </c>
      <c r="I70" s="199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8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6">
        <v>0</v>
      </c>
      <c r="H71" s="57" t="str">
        <f t="shared" si="0"/>
        <v>(20000, 30000]</v>
      </c>
      <c r="I71" s="199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8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6">
        <v>0</v>
      </c>
      <c r="H72" s="57" t="str">
        <f t="shared" si="0"/>
        <v>(30000, 40000]</v>
      </c>
      <c r="I72" s="199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8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6">
        <v>0</v>
      </c>
      <c r="H73" s="57" t="str">
        <f t="shared" si="0"/>
        <v>(40000, 50000]</v>
      </c>
      <c r="I73" s="199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8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6">
        <v>0</v>
      </c>
      <c r="H74" s="57" t="str">
        <f t="shared" si="0"/>
        <v>(50000, 60000]</v>
      </c>
      <c r="I74" s="199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8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6">
        <v>0</v>
      </c>
      <c r="H75" s="57" t="str">
        <f t="shared" si="0"/>
        <v>(60000, 70000]</v>
      </c>
      <c r="I75" s="199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8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6">
        <v>0</v>
      </c>
      <c r="H76" s="57" t="str">
        <f t="shared" si="0"/>
        <v>(70000, 80000]</v>
      </c>
      <c r="I76" s="199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8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6">
        <v>0</v>
      </c>
      <c r="H77" s="57" t="str">
        <f t="shared" si="0"/>
        <v>(80000, 90000]</v>
      </c>
      <c r="I77" s="199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8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6">
        <v>0</v>
      </c>
      <c r="H78" s="57" t="str">
        <f t="shared" si="0"/>
        <v>(90000, 100000]</v>
      </c>
      <c r="I78" s="199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8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6">
        <v>0</v>
      </c>
      <c r="H79" s="57" t="str">
        <f t="shared" si="0"/>
        <v>(100000, 9999999]</v>
      </c>
      <c r="I79" s="199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8">
        <v>0</v>
      </c>
      <c r="R79" s="55">
        <v>0</v>
      </c>
      <c r="S79" s="78">
        <v>0</v>
      </c>
    </row>
    <row r="80" spans="1:20">
      <c r="A80" s="219" t="s">
        <v>72</v>
      </c>
      <c r="B80" s="220"/>
      <c r="C80" s="68">
        <f>E80*B14</f>
        <v>13362000</v>
      </c>
      <c r="D80" s="67">
        <v>360008300</v>
      </c>
      <c r="E80" s="205">
        <v>1.3362000000000001E-2</v>
      </c>
      <c r="F80" s="88">
        <v>0.26942695704235892</v>
      </c>
      <c r="G80" s="206"/>
      <c r="H80" s="57" t="s">
        <v>72</v>
      </c>
      <c r="I80" s="199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4.1956200146938917E-3</v>
      </c>
      <c r="N80" s="55">
        <v>1.1304131334649923E-3</v>
      </c>
      <c r="P80" s="47"/>
      <c r="Q80" s="47"/>
      <c r="R80" s="47"/>
      <c r="S80" s="47"/>
      <c r="T80" s="47"/>
    </row>
    <row r="81" spans="1:22">
      <c r="A81" s="219" t="s">
        <v>73</v>
      </c>
      <c r="B81" s="220"/>
      <c r="C81" s="68">
        <v>10000000</v>
      </c>
      <c r="D81" s="67">
        <v>0</v>
      </c>
      <c r="E81" s="55">
        <v>1</v>
      </c>
      <c r="F81" s="88">
        <v>0</v>
      </c>
      <c r="G81" s="206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2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2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2" s="177" customFormat="1">
      <c r="A84" s="221" t="s">
        <v>264</v>
      </c>
      <c r="B84" s="221"/>
      <c r="C84" s="221"/>
      <c r="D84" s="221"/>
      <c r="E84" s="172"/>
      <c r="F84" s="172"/>
      <c r="G84" s="173"/>
      <c r="H84" s="174"/>
      <c r="I84" s="175"/>
      <c r="J84" s="176"/>
      <c r="K84" s="176"/>
      <c r="L84" s="176"/>
      <c r="M84" s="176"/>
      <c r="N84" s="176"/>
      <c r="O84" s="173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5" t="s">
        <v>69</v>
      </c>
      <c r="B86" s="197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78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tr">
        <f>U87</f>
        <v>目前</v>
      </c>
      <c r="Q87" s="184" t="str">
        <f>V87</f>
        <v>目標</v>
      </c>
      <c r="R87" s="81" t="s">
        <v>327</v>
      </c>
      <c r="S87" s="81" t="s">
        <v>74</v>
      </c>
      <c r="U87" s="22" t="s">
        <v>77</v>
      </c>
      <c r="V87" s="22" t="s">
        <v>326</v>
      </c>
    </row>
    <row r="88" spans="1:22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9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0.71399300744205052</v>
      </c>
      <c r="L88" s="108" cm="1">
        <f t="array" ref="L88:L152">INT(K88:K152*$B$2)</f>
        <v>713993007</v>
      </c>
      <c r="M88" s="55" cm="1">
        <f t="array" ref="M88:M152">_xlfn.LET(_xlpm.x, L88:L152, _xlpm.x/SUM(_xlpm.x))</f>
        <v>0.71373492687405671</v>
      </c>
      <c r="N88" s="55" cm="1">
        <f t="array" ref="N88:N152">M88:M152*F88:F152</f>
        <v>0</v>
      </c>
      <c r="O88" s="110"/>
      <c r="P88" s="55" cm="1">
        <f t="array" ref="P88:P151">M88:M151</f>
        <v>0.71373492687405671</v>
      </c>
      <c r="Q88" s="208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2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-99505</v>
      </c>
      <c r="H89" s="57" t="str">
        <f t="shared" ref="H89:H151" si="1">"("&amp;$A89&amp;", "&amp;$B89&amp;"]"</f>
        <v>(0, 1]</v>
      </c>
      <c r="I89" s="209">
        <v>1.18</v>
      </c>
      <c r="J89" s="55">
        <v>0.16106442614279243</v>
      </c>
      <c r="K89" s="55">
        <v>0.15828815675489563</v>
      </c>
      <c r="L89" s="108">
        <v>158288156</v>
      </c>
      <c r="M89" s="55">
        <v>0.15823094111577102</v>
      </c>
      <c r="N89" s="55">
        <v>6.8961875853650836E-2</v>
      </c>
      <c r="O89" s="110"/>
      <c r="P89" s="55">
        <v>0.15823094111577102</v>
      </c>
      <c r="Q89" s="208">
        <v>0.15819743034039788</v>
      </c>
      <c r="R89" s="55"/>
      <c r="S89" s="78">
        <v>1</v>
      </c>
    </row>
    <row r="90" spans="1:22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0.90049500000000005</v>
      </c>
      <c r="H90" s="57" t="str">
        <f t="shared" si="1"/>
        <v>(1, 2]</v>
      </c>
      <c r="I90" s="209">
        <v>1.3</v>
      </c>
      <c r="J90" s="55">
        <v>4.5199946092465207E-2</v>
      </c>
      <c r="K90" s="55">
        <v>4.4420834095630815E-2</v>
      </c>
      <c r="L90" s="108">
        <v>44420834</v>
      </c>
      <c r="M90" s="55">
        <v>4.4404777632051251E-2</v>
      </c>
      <c r="N90" s="55">
        <v>6.6485551301124199E-2</v>
      </c>
      <c r="O90" s="110"/>
      <c r="P90" s="55">
        <v>4.4404777632051251E-2</v>
      </c>
      <c r="Q90" s="208">
        <v>4.4334957957697756E-2</v>
      </c>
      <c r="R90" s="55"/>
      <c r="S90" s="78">
        <v>1</v>
      </c>
    </row>
    <row r="91" spans="1:22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6"/>
      <c r="H91" s="57" t="str">
        <f t="shared" si="1"/>
        <v>(2, 3]</v>
      </c>
      <c r="I91" s="209">
        <v>1.32</v>
      </c>
      <c r="J91" s="55">
        <v>2.1433207268874512E-2</v>
      </c>
      <c r="K91" s="55">
        <v>2.10637628257405E-2</v>
      </c>
      <c r="L91" s="108">
        <v>21063762</v>
      </c>
      <c r="M91" s="55">
        <v>2.1056148286285013E-2</v>
      </c>
      <c r="N91" s="55">
        <v>5.3015932406984406E-2</v>
      </c>
      <c r="O91" s="110"/>
      <c r="P91" s="55">
        <v>2.1056148286285013E-2</v>
      </c>
      <c r="Q91" s="208">
        <v>2.1022686010241088E-2</v>
      </c>
      <c r="R91" s="55"/>
      <c r="S91" s="78">
        <v>1</v>
      </c>
    </row>
    <row r="92" spans="1:22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6"/>
      <c r="H92" s="57" t="str">
        <f t="shared" si="1"/>
        <v>(3, 4]</v>
      </c>
      <c r="I92" s="209">
        <v>1.08</v>
      </c>
      <c r="J92" s="55">
        <v>8.7213902268669496E-3</v>
      </c>
      <c r="K92" s="55">
        <v>8.5710595220265962E-3</v>
      </c>
      <c r="L92" s="108">
        <v>8571059</v>
      </c>
      <c r="M92" s="55">
        <v>8.5679609024493231E-3</v>
      </c>
      <c r="N92" s="55">
        <v>3.056574578590401E-2</v>
      </c>
      <c r="O92" s="110"/>
      <c r="P92" s="55">
        <v>8.5679609024493231E-3</v>
      </c>
      <c r="Q92" s="208">
        <v>8.5021580020264356E-3</v>
      </c>
      <c r="R92" s="55"/>
      <c r="S92" s="78">
        <v>0.99</v>
      </c>
    </row>
    <row r="93" spans="1:22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6"/>
      <c r="H93" s="57" t="str">
        <f t="shared" si="1"/>
        <v>(4, 5]</v>
      </c>
      <c r="I93" s="209">
        <v>1.21</v>
      </c>
      <c r="J93" s="55">
        <v>6.8416552904360974E-3</v>
      </c>
      <c r="K93" s="55">
        <v>6.7237255985714249E-3</v>
      </c>
      <c r="L93" s="108">
        <v>6723725</v>
      </c>
      <c r="M93" s="55">
        <v>6.7212946403497013E-3</v>
      </c>
      <c r="N93" s="55">
        <v>3.0893960902558592E-2</v>
      </c>
      <c r="O93" s="110"/>
      <c r="P93" s="55">
        <v>6.7212946403497013E-3</v>
      </c>
      <c r="Q93" s="208">
        <v>6.6995414411689979E-3</v>
      </c>
      <c r="R93" s="55"/>
      <c r="S93" s="78">
        <v>1</v>
      </c>
    </row>
    <row r="94" spans="1:22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6">
        <v>1.34</v>
      </c>
      <c r="H94" s="57" t="str">
        <f t="shared" si="1"/>
        <v>(5, 6]</v>
      </c>
      <c r="I94" s="199" cm="1">
        <f t="array" ref="I94:I151">G94:G151*G90</f>
        <v>1.2066633000000002</v>
      </c>
      <c r="J94" s="55">
        <v>5.0859507591180502E-3</v>
      </c>
      <c r="K94" s="55">
        <v>4.9982841666926575E-3</v>
      </c>
      <c r="L94" s="108">
        <v>4998284</v>
      </c>
      <c r="M94" s="55">
        <v>4.9964773187698283E-3</v>
      </c>
      <c r="N94" s="55">
        <v>2.7907070875641333E-2</v>
      </c>
      <c r="O94" s="110"/>
      <c r="P94" s="55">
        <v>4.9964773187698283E-3</v>
      </c>
      <c r="Q94" s="208">
        <v>5.5126358034368909E-3</v>
      </c>
      <c r="R94" s="55"/>
      <c r="S94" s="78">
        <v>1.1000000000000001</v>
      </c>
    </row>
    <row r="95" spans="1:22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6">
        <v>1.23</v>
      </c>
      <c r="H95" s="57" t="str">
        <f t="shared" si="1"/>
        <v>(6, 7]</v>
      </c>
      <c r="I95" s="199">
        <v>1.1076088500000001</v>
      </c>
      <c r="J95" s="55">
        <v>3.1121691256221309E-3</v>
      </c>
      <c r="K95" s="55">
        <v>3.0585246301842481E-3</v>
      </c>
      <c r="L95" s="108">
        <v>3058524</v>
      </c>
      <c r="M95" s="55">
        <v>3.0574184649998222E-3</v>
      </c>
      <c r="N95" s="55">
        <v>2.0056862784999897E-2</v>
      </c>
      <c r="O95" s="110"/>
      <c r="P95" s="55">
        <v>3.0574184649998222E-3</v>
      </c>
      <c r="Q95" s="208">
        <v>3.3734937393716416E-3</v>
      </c>
      <c r="R95" s="55"/>
      <c r="S95" s="78">
        <v>1.1000000000000001</v>
      </c>
    </row>
    <row r="96" spans="1:22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6">
        <v>1.01</v>
      </c>
      <c r="H96" s="57" t="str">
        <f t="shared" si="1"/>
        <v>(7, 8]</v>
      </c>
      <c r="I96" s="199">
        <v>0.90949995000000006</v>
      </c>
      <c r="J96" s="55">
        <v>2.6473358718231014E-3</v>
      </c>
      <c r="K96" s="55">
        <v>2.6017037125906982E-3</v>
      </c>
      <c r="L96" s="108">
        <v>2601703</v>
      </c>
      <c r="M96" s="55">
        <v>2.6007625876551671E-3</v>
      </c>
      <c r="N96" s="55">
        <v>1.982136340785751E-2</v>
      </c>
      <c r="O96" s="110"/>
      <c r="P96" s="55">
        <v>2.6007625876551671E-3</v>
      </c>
      <c r="Q96" s="208">
        <v>2.8725629428765611E-3</v>
      </c>
      <c r="R96" s="55"/>
      <c r="S96" s="78">
        <v>1.1000000000000001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6">
        <v>1.24</v>
      </c>
      <c r="H97" s="57" t="str">
        <f t="shared" si="1"/>
        <v>(8, 9]</v>
      </c>
      <c r="I97" s="199">
        <v>1.1166138000000001</v>
      </c>
      <c r="J97" s="55">
        <v>2.382769412007785E-3</v>
      </c>
      <c r="K97" s="55">
        <v>2.3416975879222523E-3</v>
      </c>
      <c r="L97" s="108">
        <v>2341697</v>
      </c>
      <c r="M97" s="55">
        <v>2.3408505695017233E-3</v>
      </c>
      <c r="N97" s="55">
        <v>2.0128062527331653E-2</v>
      </c>
      <c r="O97" s="110"/>
      <c r="P97" s="55">
        <v>2.3408505695017233E-3</v>
      </c>
      <c r="Q97" s="208">
        <v>2.5900388573001747E-3</v>
      </c>
      <c r="R97" s="55"/>
      <c r="S97" s="78">
        <v>1.1100000000000001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6">
        <v>1.2</v>
      </c>
      <c r="H98" s="57" t="str">
        <f t="shared" si="1"/>
        <v>(9, 10]</v>
      </c>
      <c r="I98" s="199">
        <v>1.0805940000000001</v>
      </c>
      <c r="J98" s="55">
        <v>2.1403554626754306E-3</v>
      </c>
      <c r="K98" s="55">
        <v>2.1034621306557618E-3</v>
      </c>
      <c r="L98" s="108">
        <v>2103462</v>
      </c>
      <c r="M98" s="55">
        <v>2.1027016819961052E-3</v>
      </c>
      <c r="N98" s="55">
        <v>2.0283314464828388E-2</v>
      </c>
      <c r="O98" s="110"/>
      <c r="P98" s="55">
        <v>2.1027016819961052E-3</v>
      </c>
      <c r="Q98" s="208">
        <v>2.319000181430489E-3</v>
      </c>
      <c r="R98" s="55"/>
      <c r="S98" s="78">
        <v>1.1000000000000001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6">
        <v>0.46</v>
      </c>
      <c r="H99" s="57" t="str">
        <f t="shared" si="1"/>
        <v>(10, 15]</v>
      </c>
      <c r="I99" s="199">
        <v>0.41422770000000003</v>
      </c>
      <c r="J99" s="55">
        <v>2.8274606944000001E-3</v>
      </c>
      <c r="K99" s="55">
        <v>2.77872372150454E-3</v>
      </c>
      <c r="L99" s="108">
        <v>2778723</v>
      </c>
      <c r="M99" s="55">
        <v>2.7777186019530011E-3</v>
      </c>
      <c r="N99" s="55">
        <v>3.4575825765736576E-2</v>
      </c>
      <c r="O99" s="110"/>
      <c r="P99" s="55">
        <v>2.7777186019530011E-3</v>
      </c>
      <c r="Q99" s="208">
        <v>3.0882977216676651E-3</v>
      </c>
      <c r="R99" s="55"/>
      <c r="S99" s="78">
        <v>1.1100000000000001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6">
        <v>0.89</v>
      </c>
      <c r="H100" s="105" t="str">
        <f t="shared" si="1"/>
        <v>(15, 20]</v>
      </c>
      <c r="I100" s="199">
        <v>0.80144055000000003</v>
      </c>
      <c r="J100" s="55">
        <v>3.6788269604317004E-3</v>
      </c>
      <c r="K100" s="55">
        <v>3.6154149773004211E-3</v>
      </c>
      <c r="L100" s="108">
        <v>3615414</v>
      </c>
      <c r="M100" s="55">
        <v>3.6141071713737959E-3</v>
      </c>
      <c r="N100" s="55">
        <v>6.3195836050999973E-2</v>
      </c>
      <c r="O100" s="110"/>
      <c r="P100" s="55">
        <v>3.6141071713737959E-3</v>
      </c>
      <c r="Q100" s="208">
        <v>3.9992306554785398E-3</v>
      </c>
      <c r="R100" s="55"/>
      <c r="S100" s="78">
        <v>1.1100000000000001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6">
        <v>0.54</v>
      </c>
      <c r="H101" s="57" t="str">
        <f t="shared" si="1"/>
        <v>(20, 25]</v>
      </c>
      <c r="I101" s="199">
        <v>0.48626730000000007</v>
      </c>
      <c r="J101" s="55">
        <v>1.5425293664727672E-3</v>
      </c>
      <c r="K101" s="55">
        <v>1.515940769830865E-3</v>
      </c>
      <c r="L101" s="108">
        <v>1515940</v>
      </c>
      <c r="M101" s="55">
        <v>1.5153920478740172E-3</v>
      </c>
      <c r="N101" s="55">
        <v>3.4155768335024594E-2</v>
      </c>
      <c r="O101" s="110"/>
      <c r="P101" s="55">
        <v>1.5153920478740172E-3</v>
      </c>
      <c r="Q101" s="208">
        <v>1.6623546183661599E-3</v>
      </c>
      <c r="R101" s="55"/>
      <c r="S101" s="78">
        <v>1.1000000000000001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6">
        <v>0.27</v>
      </c>
      <c r="H102" s="57" t="str">
        <f t="shared" si="1"/>
        <v>(25, 30]</v>
      </c>
      <c r="I102" s="199">
        <v>0.24313365000000003</v>
      </c>
      <c r="J102" s="55">
        <v>6.1778877863821822E-4</v>
      </c>
      <c r="K102" s="55">
        <v>6.0713994627098358E-4</v>
      </c>
      <c r="L102" s="108">
        <v>607139</v>
      </c>
      <c r="M102" s="55">
        <v>6.0691954335539858E-4</v>
      </c>
      <c r="N102" s="55">
        <v>1.6717336177273306E-2</v>
      </c>
      <c r="O102" s="110"/>
      <c r="P102" s="55">
        <v>6.0691954335539858E-4</v>
      </c>
      <c r="Q102" s="208">
        <v>6.6943944982116607E-4</v>
      </c>
      <c r="R102" s="55"/>
      <c r="S102" s="78">
        <v>1.1000000000000001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6">
        <v>0.3</v>
      </c>
      <c r="H103" s="57" t="str">
        <f t="shared" si="1"/>
        <v>(30, 35]</v>
      </c>
      <c r="I103" s="199">
        <v>0.27014850000000001</v>
      </c>
      <c r="J103" s="55">
        <v>5.1441642014335345E-4</v>
      </c>
      <c r="K103" s="55">
        <v>5.0554941832254598E-4</v>
      </c>
      <c r="L103" s="108">
        <v>505549</v>
      </c>
      <c r="M103" s="55">
        <v>5.0536626410719525E-4</v>
      </c>
      <c r="N103" s="55">
        <v>1.6440574005250976E-2</v>
      </c>
      <c r="O103" s="110"/>
      <c r="P103" s="55">
        <v>5.0536626410719525E-4</v>
      </c>
      <c r="Q103" s="208">
        <v>5.6336084551439922E-4</v>
      </c>
      <c r="R103" s="55"/>
      <c r="S103" s="78">
        <v>1.1100000000000001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6">
        <v>0.6</v>
      </c>
      <c r="H104" s="105" t="str">
        <f t="shared" si="1"/>
        <v>(35, 40]</v>
      </c>
      <c r="I104" s="199">
        <v>0.54029700000000003</v>
      </c>
      <c r="J104" s="55">
        <v>8.8813754507625269E-4</v>
      </c>
      <c r="K104" s="55">
        <v>8.728287078755972E-4</v>
      </c>
      <c r="L104" s="108">
        <v>872828</v>
      </c>
      <c r="M104" s="55">
        <v>8.725125073299621E-4</v>
      </c>
      <c r="N104" s="55">
        <v>3.2758416319617983E-2</v>
      </c>
      <c r="O104" s="110"/>
      <c r="P104" s="55">
        <v>8.725125073299621E-4</v>
      </c>
      <c r="Q104" s="208">
        <v>9.5839796379459594E-4</v>
      </c>
      <c r="R104" s="55"/>
      <c r="S104" s="78">
        <v>1.1000000000000001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6">
        <v>0.16</v>
      </c>
      <c r="H105" s="57" t="str">
        <f t="shared" si="1"/>
        <v>(40, 45]</v>
      </c>
      <c r="I105" s="199">
        <v>0.14407920000000002</v>
      </c>
      <c r="J105" s="55">
        <v>1.9522761842482659E-4</v>
      </c>
      <c r="K105" s="55">
        <v>1.9186247769397194E-4</v>
      </c>
      <c r="L105" s="108">
        <v>191862</v>
      </c>
      <c r="M105" s="55">
        <v>1.9179264950407317E-4</v>
      </c>
      <c r="N105" s="55">
        <v>8.1753470584476073E-3</v>
      </c>
      <c r="O105" s="110"/>
      <c r="P105" s="55">
        <v>1.9179264950407317E-4</v>
      </c>
      <c r="Q105" s="208">
        <v>2.1551086827985066E-4</v>
      </c>
      <c r="R105" s="55"/>
      <c r="S105" s="78">
        <v>1.1200000000000001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6">
        <v>0.19</v>
      </c>
      <c r="H106" s="57" t="str">
        <f t="shared" si="1"/>
        <v>(45, 50]</v>
      </c>
      <c r="I106" s="199">
        <v>0.17109405</v>
      </c>
      <c r="J106" s="55">
        <v>1.9594828816925892E-4</v>
      </c>
      <c r="K106" s="55">
        <v>1.925707252456323E-4</v>
      </c>
      <c r="L106" s="108">
        <v>192570</v>
      </c>
      <c r="M106" s="55">
        <v>1.9250039359018132E-4</v>
      </c>
      <c r="N106" s="55">
        <v>9.1757694926242143E-3</v>
      </c>
      <c r="O106" s="110"/>
      <c r="P106" s="55">
        <v>1.9250039359018132E-4</v>
      </c>
      <c r="Q106" s="208">
        <v>2.1762402372980407E-4</v>
      </c>
      <c r="R106" s="55"/>
      <c r="S106" s="78">
        <v>1.1299999999999999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6">
        <v>0.34</v>
      </c>
      <c r="H107" s="105" t="str">
        <f t="shared" si="1"/>
        <v>(50, 60]</v>
      </c>
      <c r="I107" s="199">
        <v>0.30616830000000006</v>
      </c>
      <c r="J107" s="55">
        <v>5.8220249163110646E-4</v>
      </c>
      <c r="K107" s="55">
        <v>5.7216706050716791E-4</v>
      </c>
      <c r="L107" s="108">
        <v>572167</v>
      </c>
      <c r="M107" s="55">
        <v>5.7196018434498247E-4</v>
      </c>
      <c r="N107" s="55">
        <v>3.1401337863189126E-2</v>
      </c>
      <c r="O107" s="110"/>
      <c r="P107" s="55">
        <v>5.7196018434498247E-4</v>
      </c>
      <c r="Q107" s="208">
        <v>6.2696042711481799E-4</v>
      </c>
      <c r="R107" s="55"/>
      <c r="S107" s="78">
        <v>1.1000000000000001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6">
        <v>0.11</v>
      </c>
      <c r="H108" s="57" t="str">
        <f t="shared" si="1"/>
        <v>(60, 70]</v>
      </c>
      <c r="I108" s="199">
        <v>9.9054450000000002E-2</v>
      </c>
      <c r="J108" s="55">
        <v>1.3743206069690518E-4</v>
      </c>
      <c r="K108" s="55">
        <v>1.3506314266723346E-4</v>
      </c>
      <c r="L108" s="108">
        <v>135063</v>
      </c>
      <c r="M108" s="55">
        <v>1.3501418008760794E-4</v>
      </c>
      <c r="N108" s="55">
        <v>8.7766032713599181E-3</v>
      </c>
      <c r="O108" s="110"/>
      <c r="P108" s="55">
        <v>1.3501418008760794E-4</v>
      </c>
      <c r="Q108" s="208">
        <v>1.4800484793845838E-4</v>
      </c>
      <c r="R108" s="55"/>
      <c r="S108" s="78">
        <v>1.1000000000000001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6">
        <v>0.12</v>
      </c>
      <c r="H109" s="57" t="str">
        <f t="shared" si="1"/>
        <v>(70, 80]</v>
      </c>
      <c r="I109" s="199">
        <v>0.1080594</v>
      </c>
      <c r="J109" s="55">
        <v>1.2125804884064085E-4</v>
      </c>
      <c r="K109" s="55">
        <v>1.1916792244156927E-4</v>
      </c>
      <c r="L109" s="108">
        <v>119167</v>
      </c>
      <c r="M109" s="55">
        <v>1.1912392586052417E-4</v>
      </c>
      <c r="N109" s="55">
        <v>8.9343157057511884E-3</v>
      </c>
      <c r="O109" s="110"/>
      <c r="P109" s="55">
        <v>1.1912392586052417E-4</v>
      </c>
      <c r="Q109" s="208">
        <v>1.3170536223981115E-4</v>
      </c>
      <c r="R109" s="55"/>
      <c r="S109" s="78">
        <v>1.1100000000000001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6">
        <v>0</v>
      </c>
      <c r="H110" s="57" t="str">
        <f t="shared" si="1"/>
        <v>(80, 90]</v>
      </c>
      <c r="I110" s="199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8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6">
        <v>0</v>
      </c>
      <c r="H111" s="57" t="str">
        <f t="shared" si="1"/>
        <v>(90, 100]</v>
      </c>
      <c r="I111" s="199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8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6">
        <v>0.11</v>
      </c>
      <c r="H112" s="57" t="str">
        <f t="shared" si="1"/>
        <v>(100, 120]</v>
      </c>
      <c r="I112" s="199">
        <v>9.9054450000000002E-2</v>
      </c>
      <c r="J112" s="55">
        <v>1.1459177384420058E-4</v>
      </c>
      <c r="K112" s="55">
        <v>1.1261655410482498E-4</v>
      </c>
      <c r="L112" s="108">
        <v>112616</v>
      </c>
      <c r="M112" s="55">
        <v>1.1257529378694429E-4</v>
      </c>
      <c r="N112" s="55">
        <v>1.2342839472776448E-2</v>
      </c>
      <c r="O112" s="110"/>
      <c r="P112" s="55">
        <v>1.1257529378694429E-4</v>
      </c>
      <c r="Q112" s="208">
        <v>1.1983310714090074E-4</v>
      </c>
      <c r="R112" s="55"/>
      <c r="S112" s="78">
        <v>1.06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6">
        <v>0</v>
      </c>
      <c r="H113" s="57" t="str">
        <f t="shared" si="1"/>
        <v>(120, 140]</v>
      </c>
      <c r="I113" s="199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8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6">
        <v>0</v>
      </c>
      <c r="H114" s="57" t="str">
        <f t="shared" si="1"/>
        <v>(140, 160]</v>
      </c>
      <c r="I114" s="199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8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6">
        <v>0</v>
      </c>
      <c r="H115" s="57" t="str">
        <f t="shared" si="1"/>
        <v>(160, 180]</v>
      </c>
      <c r="I115" s="199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8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6">
        <v>0</v>
      </c>
      <c r="H116" s="57" t="str">
        <f t="shared" si="1"/>
        <v>(180, 200]</v>
      </c>
      <c r="I116" s="199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8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6">
        <v>0</v>
      </c>
      <c r="H117" s="57" t="str">
        <f t="shared" si="1"/>
        <v>(200, 250]</v>
      </c>
      <c r="I117" s="199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8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6">
        <v>0</v>
      </c>
      <c r="H118" s="57" t="str">
        <f t="shared" si="1"/>
        <v>(250, 300]</v>
      </c>
      <c r="I118" s="199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8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6">
        <v>0</v>
      </c>
      <c r="H119" s="57" t="str">
        <f t="shared" si="1"/>
        <v>(300, 350]</v>
      </c>
      <c r="I119" s="199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8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6">
        <v>0</v>
      </c>
      <c r="H120" s="57" t="str">
        <f t="shared" si="1"/>
        <v>(350, 400]</v>
      </c>
      <c r="I120" s="199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8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6">
        <v>0</v>
      </c>
      <c r="H121" s="57" t="str">
        <f t="shared" si="1"/>
        <v>(400, 450]</v>
      </c>
      <c r="I121" s="199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8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6">
        <v>0</v>
      </c>
      <c r="H122" s="57" t="str">
        <f t="shared" si="1"/>
        <v>(450, 500]</v>
      </c>
      <c r="I122" s="199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8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6">
        <v>0</v>
      </c>
      <c r="H123" s="57" t="str">
        <f t="shared" si="1"/>
        <v>(500, 550]</v>
      </c>
      <c r="I123" s="199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8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6">
        <v>0</v>
      </c>
      <c r="H124" s="57" t="str">
        <f t="shared" si="1"/>
        <v>(550, 600]</v>
      </c>
      <c r="I124" s="199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8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6">
        <v>0</v>
      </c>
      <c r="H125" s="57" t="str">
        <f t="shared" si="1"/>
        <v>(600, 650]</v>
      </c>
      <c r="I125" s="199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8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6">
        <v>0</v>
      </c>
      <c r="H126" s="57" t="str">
        <f t="shared" si="1"/>
        <v>(650, 700]</v>
      </c>
      <c r="I126" s="199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8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6">
        <v>0</v>
      </c>
      <c r="H127" s="57" t="str">
        <f t="shared" si="1"/>
        <v>(700, 750]</v>
      </c>
      <c r="I127" s="199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8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6">
        <v>0</v>
      </c>
      <c r="H128" s="57" t="str">
        <f t="shared" si="1"/>
        <v>(750, 800]</v>
      </c>
      <c r="I128" s="199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8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6">
        <v>0</v>
      </c>
      <c r="H129" s="57" t="str">
        <f t="shared" si="1"/>
        <v>(800, 850]</v>
      </c>
      <c r="I129" s="199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8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6">
        <v>0</v>
      </c>
      <c r="H130" s="57" t="str">
        <f t="shared" si="1"/>
        <v>(850, 900]</v>
      </c>
      <c r="I130" s="199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8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6">
        <v>0</v>
      </c>
      <c r="H131" s="57" t="str">
        <f t="shared" si="1"/>
        <v>(900, 950]</v>
      </c>
      <c r="I131" s="199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8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6">
        <v>0</v>
      </c>
      <c r="H132" s="57" t="str">
        <f t="shared" si="1"/>
        <v>(950, 1000]</v>
      </c>
      <c r="I132" s="199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8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6">
        <v>0</v>
      </c>
      <c r="H133" s="57" t="str">
        <f t="shared" si="1"/>
        <v>(1000, 2000]</v>
      </c>
      <c r="I133" s="199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8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6">
        <v>0</v>
      </c>
      <c r="H134" s="57" t="str">
        <f t="shared" si="1"/>
        <v>(2000, 3000]</v>
      </c>
      <c r="I134" s="199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8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6">
        <v>0</v>
      </c>
      <c r="H135" s="57" t="str">
        <f t="shared" si="1"/>
        <v>(3000, 4000]</v>
      </c>
      <c r="I135" s="199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8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6">
        <v>0</v>
      </c>
      <c r="H136" s="57" t="str">
        <f t="shared" si="1"/>
        <v>(4000, 5000]</v>
      </c>
      <c r="I136" s="199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8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6">
        <v>0</v>
      </c>
      <c r="H137" s="57" t="str">
        <f t="shared" si="1"/>
        <v>(5000, 6000]</v>
      </c>
      <c r="I137" s="199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8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6">
        <v>0</v>
      </c>
      <c r="H138" s="57" t="str">
        <f t="shared" si="1"/>
        <v>(6000, 7000]</v>
      </c>
      <c r="I138" s="199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8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6">
        <v>0</v>
      </c>
      <c r="H139" s="57" t="str">
        <f t="shared" si="1"/>
        <v>(7000, 8000]</v>
      </c>
      <c r="I139" s="199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8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6">
        <v>0</v>
      </c>
      <c r="H140" s="57" t="str">
        <f t="shared" si="1"/>
        <v>(8000, 9000]</v>
      </c>
      <c r="I140" s="199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8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6">
        <v>0</v>
      </c>
      <c r="H141" s="57" t="str">
        <f t="shared" si="1"/>
        <v>(9000, 10000]</v>
      </c>
      <c r="I141" s="199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8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6">
        <v>0</v>
      </c>
      <c r="H142" s="57" t="str">
        <f t="shared" si="1"/>
        <v>(10000, 20000]</v>
      </c>
      <c r="I142" s="199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8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6">
        <v>0</v>
      </c>
      <c r="H143" s="57" t="str">
        <f t="shared" si="1"/>
        <v>(20000, 30000]</v>
      </c>
      <c r="I143" s="199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8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6">
        <v>0</v>
      </c>
      <c r="H144" s="57" t="str">
        <f t="shared" si="1"/>
        <v>(30000, 40000]</v>
      </c>
      <c r="I144" s="199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8">
        <v>0</v>
      </c>
      <c r="R144" s="55"/>
      <c r="S144" s="78">
        <v>0</v>
      </c>
    </row>
    <row r="145" spans="1:22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6">
        <v>0</v>
      </c>
      <c r="H145" s="57" t="str">
        <f t="shared" si="1"/>
        <v>(40000, 50000]</v>
      </c>
      <c r="I145" s="199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8">
        <v>0</v>
      </c>
      <c r="R145" s="55"/>
      <c r="S145" s="78">
        <v>0</v>
      </c>
    </row>
    <row r="146" spans="1:22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6">
        <v>0</v>
      </c>
      <c r="H146" s="57" t="str">
        <f t="shared" si="1"/>
        <v>(50000, 60000]</v>
      </c>
      <c r="I146" s="199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8">
        <v>0</v>
      </c>
      <c r="R146" s="55"/>
      <c r="S146" s="78">
        <v>0</v>
      </c>
    </row>
    <row r="147" spans="1:22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6">
        <v>0</v>
      </c>
      <c r="H147" s="57" t="str">
        <f t="shared" si="1"/>
        <v>(60000, 70000]</v>
      </c>
      <c r="I147" s="199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8">
        <v>0</v>
      </c>
      <c r="R147" s="55"/>
      <c r="S147" s="78">
        <v>0</v>
      </c>
    </row>
    <row r="148" spans="1:22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6">
        <v>0</v>
      </c>
      <c r="H148" s="57" t="str">
        <f t="shared" si="1"/>
        <v>(70000, 80000]</v>
      </c>
      <c r="I148" s="199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8">
        <v>0</v>
      </c>
      <c r="R148" s="55"/>
      <c r="S148" s="78">
        <v>0</v>
      </c>
    </row>
    <row r="149" spans="1:22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6">
        <v>0</v>
      </c>
      <c r="H149" s="57" t="str">
        <f t="shared" si="1"/>
        <v>(80000, 90000]</v>
      </c>
      <c r="I149" s="199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8">
        <v>0</v>
      </c>
      <c r="R149" s="55"/>
      <c r="S149" s="78">
        <v>0</v>
      </c>
    </row>
    <row r="150" spans="1:22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6">
        <v>0</v>
      </c>
      <c r="H150" s="57" t="str">
        <f t="shared" si="1"/>
        <v>(90000, 100000]</v>
      </c>
      <c r="I150" s="199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8">
        <v>0</v>
      </c>
      <c r="R150" s="55"/>
      <c r="S150" s="78">
        <v>0</v>
      </c>
    </row>
    <row r="151" spans="1:22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6">
        <v>0</v>
      </c>
      <c r="H151" s="57" t="str">
        <f t="shared" si="1"/>
        <v>(100000, 9999999]</v>
      </c>
      <c r="I151" s="199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8">
        <v>0</v>
      </c>
      <c r="R151" s="55"/>
      <c r="S151" s="78">
        <v>0</v>
      </c>
    </row>
    <row r="152" spans="1:22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8">
        <v>1.3362000000000001E-2</v>
      </c>
      <c r="F152" s="88">
        <v>0.26942695704235892</v>
      </c>
      <c r="G152" s="206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2.0970757162946694E-2</v>
      </c>
      <c r="N152" s="55">
        <v>5.6500872892869796E-3</v>
      </c>
      <c r="P152" s="47"/>
      <c r="Q152" s="47"/>
      <c r="R152" s="47"/>
      <c r="S152" s="47"/>
      <c r="T152" s="47"/>
    </row>
    <row r="153" spans="1:22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2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2" s="75" customFormat="1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2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2">
      <c r="A157" s="65" t="s">
        <v>69</v>
      </c>
      <c r="B157" s="197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2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78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tr">
        <f>U158</f>
        <v>目前</v>
      </c>
      <c r="Q158" s="184" t="str">
        <f>V158</f>
        <v>目標</v>
      </c>
      <c r="R158" s="81" t="s">
        <v>327</v>
      </c>
      <c r="S158" s="81" t="s">
        <v>74</v>
      </c>
      <c r="U158" s="22" t="s">
        <v>77</v>
      </c>
      <c r="V158" s="22" t="s">
        <v>326</v>
      </c>
    </row>
    <row r="159" spans="1:22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9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8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2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-9715</v>
      </c>
      <c r="H160" s="57" t="str">
        <f t="shared" ref="H160:H222" si="2">"("&amp;$A160&amp;", "&amp;$B160&amp;"]"</f>
        <v>(0, 1]</v>
      </c>
      <c r="I160" s="209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8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0.90284999999999993</v>
      </c>
      <c r="H161" s="57" t="str">
        <f t="shared" si="2"/>
        <v>(1, 2]</v>
      </c>
      <c r="I161" s="209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8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10"/>
      <c r="H162" s="57" t="str">
        <f t="shared" si="2"/>
        <v>(2, 3]</v>
      </c>
      <c r="I162" s="209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8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10"/>
      <c r="H163" s="57" t="str">
        <f t="shared" si="2"/>
        <v>(3, 4]</v>
      </c>
      <c r="I163" s="209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8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10"/>
      <c r="H164" s="57" t="str">
        <f t="shared" si="2"/>
        <v>(4, 5]</v>
      </c>
      <c r="I164" s="209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8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10"/>
      <c r="H165" s="57" t="str">
        <f t="shared" si="2"/>
        <v>(5, 6]</v>
      </c>
      <c r="I165" s="209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8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10"/>
      <c r="H166" s="57" t="str">
        <f t="shared" si="2"/>
        <v>(6, 7]</v>
      </c>
      <c r="I166" s="209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8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10"/>
      <c r="H167" s="57" t="str">
        <f t="shared" si="2"/>
        <v>(7, 8]</v>
      </c>
      <c r="I167" s="209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8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10"/>
      <c r="H168" s="57" t="str">
        <f t="shared" si="2"/>
        <v>(8, 9]</v>
      </c>
      <c r="I168" s="209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8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10"/>
      <c r="H169" s="57" t="str">
        <f t="shared" si="2"/>
        <v>(9, 10]</v>
      </c>
      <c r="I169" s="209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8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10"/>
      <c r="H170" s="57" t="str">
        <f t="shared" si="2"/>
        <v>(10, 15]</v>
      </c>
      <c r="I170" s="209">
        <v>36.94</v>
      </c>
      <c r="J170" s="55">
        <v>0.13617586811186608</v>
      </c>
      <c r="K170" s="55">
        <v>0.14065751921480785</v>
      </c>
      <c r="L170" s="108">
        <v>140657519</v>
      </c>
      <c r="M170" s="55">
        <v>0.14065752251643807</v>
      </c>
      <c r="N170" s="55">
        <v>1.7686050444512453</v>
      </c>
      <c r="O170" s="110"/>
      <c r="P170" s="55">
        <v>0.14065752251643807</v>
      </c>
      <c r="Q170" s="208">
        <v>0.13618589472371789</v>
      </c>
      <c r="R170" s="55">
        <v>7.2289156626506021E-2</v>
      </c>
      <c r="S170" s="78">
        <v>0.97</v>
      </c>
      <c r="T170" s="95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10"/>
      <c r="H171" s="105" t="str">
        <f t="shared" si="2"/>
        <v>(15, 20]</v>
      </c>
      <c r="I171" s="209">
        <v>34.56</v>
      </c>
      <c r="J171" s="55">
        <v>0.13503905770749616</v>
      </c>
      <c r="K171" s="55">
        <v>0.13948329551780966</v>
      </c>
      <c r="L171" s="108">
        <v>139483295</v>
      </c>
      <c r="M171" s="55">
        <v>0.13948329848708246</v>
      </c>
      <c r="N171" s="55">
        <v>2.4507745163325585</v>
      </c>
      <c r="O171" s="110"/>
      <c r="P171" s="55">
        <v>0.13948329848708246</v>
      </c>
      <c r="Q171" s="208">
        <v>0.13504160770083215</v>
      </c>
      <c r="R171" s="55">
        <v>7.2289156626506021E-2</v>
      </c>
      <c r="S171" s="78">
        <v>0.97</v>
      </c>
      <c r="T171" s="95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10"/>
      <c r="H172" s="57" t="str">
        <f t="shared" si="2"/>
        <v>(20, 25]</v>
      </c>
      <c r="I172" s="209">
        <v>33.090000000000003</v>
      </c>
      <c r="J172" s="55">
        <v>0.13574523138908007</v>
      </c>
      <c r="K172" s="55">
        <v>0.14021270991085602</v>
      </c>
      <c r="L172" s="108">
        <v>140212709</v>
      </c>
      <c r="M172" s="55">
        <v>0.1402127125053178</v>
      </c>
      <c r="N172" s="55">
        <v>3.1633724385700495</v>
      </c>
      <c r="O172" s="110"/>
      <c r="P172" s="55">
        <v>0.1402127125053178</v>
      </c>
      <c r="Q172" s="208">
        <v>0.13575890371517807</v>
      </c>
      <c r="R172" s="55">
        <v>7.2289156626506021E-2</v>
      </c>
      <c r="S172" s="78">
        <v>0.97</v>
      </c>
      <c r="T172" s="95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10"/>
      <c r="H173" s="57" t="str">
        <f t="shared" si="2"/>
        <v>(25, 30]</v>
      </c>
      <c r="I173" s="209">
        <v>31.66</v>
      </c>
      <c r="J173" s="55">
        <v>0.13529184309786624</v>
      </c>
      <c r="K173" s="55">
        <v>0.13974440026710336</v>
      </c>
      <c r="L173" s="108">
        <v>139744400</v>
      </c>
      <c r="M173" s="55">
        <v>0.13974440349361009</v>
      </c>
      <c r="N173" s="55">
        <v>3.8506554838372877</v>
      </c>
      <c r="O173" s="110"/>
      <c r="P173" s="55">
        <v>0.13974440349361009</v>
      </c>
      <c r="Q173" s="208">
        <v>0.1353130747062615</v>
      </c>
      <c r="R173" s="55">
        <v>8.4337349397590355E-2</v>
      </c>
      <c r="S173" s="78">
        <v>0.97</v>
      </c>
      <c r="T173" s="95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10"/>
      <c r="H174" s="57" t="str">
        <f t="shared" si="2"/>
        <v>(30, 35]</v>
      </c>
      <c r="I174" s="209">
        <v>8.01</v>
      </c>
      <c r="J174" s="55">
        <v>3.5620575340560533E-2</v>
      </c>
      <c r="K174" s="55">
        <v>3.6792875491651202E-2</v>
      </c>
      <c r="L174" s="108">
        <v>36792875</v>
      </c>
      <c r="M174" s="55">
        <v>3.6792875919821895E-2</v>
      </c>
      <c r="N174" s="55">
        <v>1.1979267540440397</v>
      </c>
      <c r="O174" s="110"/>
      <c r="P174" s="55">
        <v>3.6792875919821895E-2</v>
      </c>
      <c r="Q174" s="208">
        <v>3.5604833712096676E-2</v>
      </c>
      <c r="R174" s="55">
        <v>3.614457831325301E-2</v>
      </c>
      <c r="S174" s="78">
        <v>0.97</v>
      </c>
      <c r="T174" s="95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10"/>
      <c r="H175" s="105" t="str">
        <f t="shared" si="2"/>
        <v>(35, 40]</v>
      </c>
      <c r="I175" s="209">
        <v>6.26</v>
      </c>
      <c r="J175" s="55">
        <v>2.9018224983922918E-2</v>
      </c>
      <c r="K175" s="55">
        <v>2.9973236777185563E-2</v>
      </c>
      <c r="L175" s="108">
        <v>29973236</v>
      </c>
      <c r="M175" s="55">
        <v>2.9973236749330917E-2</v>
      </c>
      <c r="N175" s="55">
        <v>1.1256381153626109</v>
      </c>
      <c r="O175" s="110"/>
      <c r="P175" s="55">
        <v>2.9973236749330917E-2</v>
      </c>
      <c r="Q175" s="208">
        <v>2.903870258077405E-2</v>
      </c>
      <c r="R175" s="55">
        <v>2.4096385542168676E-2</v>
      </c>
      <c r="S175" s="78">
        <v>0.97</v>
      </c>
      <c r="T175" s="95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10"/>
      <c r="H176" s="57" t="str">
        <f t="shared" si="2"/>
        <v>(40, 45]</v>
      </c>
      <c r="I176" s="209">
        <v>5.94</v>
      </c>
      <c r="J176" s="55">
        <v>2.8674036585905362E-2</v>
      </c>
      <c r="K176" s="55">
        <v>2.9617720877937556E-2</v>
      </c>
      <c r="L176" s="108">
        <v>29617720</v>
      </c>
      <c r="M176" s="55">
        <v>2.961772074044302E-2</v>
      </c>
      <c r="N176" s="55">
        <v>1.2603762779108771</v>
      </c>
      <c r="O176" s="110"/>
      <c r="P176" s="55">
        <v>2.961772074044302E-2</v>
      </c>
      <c r="Q176" s="208">
        <v>2.8675389573507792E-2</v>
      </c>
      <c r="R176" s="55">
        <v>3.614457831325301E-2</v>
      </c>
      <c r="S176" s="78">
        <v>0.97</v>
      </c>
      <c r="T176" s="95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10"/>
      <c r="H177" s="57" t="str">
        <f t="shared" si="2"/>
        <v>(45, 50]</v>
      </c>
      <c r="I177" s="209">
        <v>5.27</v>
      </c>
      <c r="J177" s="55">
        <v>2.622676383603989E-2</v>
      </c>
      <c r="K177" s="55">
        <v>2.7089906525725741E-2</v>
      </c>
      <c r="L177" s="108">
        <v>27089906</v>
      </c>
      <c r="M177" s="55">
        <v>2.7089906677247668E-2</v>
      </c>
      <c r="N177" s="55">
        <v>1.288259487246487</v>
      </c>
      <c r="O177" s="110"/>
      <c r="P177" s="55">
        <v>2.7089906677247668E-2</v>
      </c>
      <c r="Q177" s="208">
        <v>2.6210230524204611E-2</v>
      </c>
      <c r="R177" s="55">
        <v>2.4096385542168676E-2</v>
      </c>
      <c r="S177" s="78">
        <v>0.97</v>
      </c>
      <c r="T177" s="95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10">
        <v>2.12</v>
      </c>
      <c r="H178" s="105" t="str">
        <f t="shared" si="2"/>
        <v>(50, 60]</v>
      </c>
      <c r="I178" s="209" cm="1">
        <f t="array" ref="I178:I222">G178:G222*G161</f>
        <v>1.914042</v>
      </c>
      <c r="J178" s="55">
        <v>2.0036644557008758E-2</v>
      </c>
      <c r="K178" s="55">
        <v>2.0696065726289674E-2</v>
      </c>
      <c r="L178" s="108">
        <v>20696065</v>
      </c>
      <c r="M178" s="55">
        <v>2.0696065517401638E-2</v>
      </c>
      <c r="N178" s="55">
        <v>1.1402572447063923</v>
      </c>
      <c r="O178" s="110"/>
      <c r="P178" s="55">
        <v>2.0696065517401638E-2</v>
      </c>
      <c r="Q178" s="208">
        <v>2.2162742443254849E-2</v>
      </c>
      <c r="R178" s="55">
        <v>2.4096385542168676E-2</v>
      </c>
      <c r="S178" s="78">
        <v>1.07</v>
      </c>
      <c r="T178" s="95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10">
        <v>5.94</v>
      </c>
      <c r="H179" s="57" t="str">
        <f t="shared" si="2"/>
        <v>(60, 70]</v>
      </c>
      <c r="I179" s="209">
        <v>5.3629290000000003</v>
      </c>
      <c r="J179" s="55">
        <v>5.8938478024121277E-2</v>
      </c>
      <c r="K179" s="55">
        <v>6.0878188038127029E-2</v>
      </c>
      <c r="L179" s="108">
        <v>60878188</v>
      </c>
      <c r="M179" s="55">
        <v>6.0878189521954736E-2</v>
      </c>
      <c r="N179" s="55">
        <v>3.961295165441161</v>
      </c>
      <c r="O179" s="110"/>
      <c r="P179" s="55">
        <v>6.0878189521954736E-2</v>
      </c>
      <c r="Q179" s="208">
        <v>6.5256171305123428E-2</v>
      </c>
      <c r="R179" s="55">
        <v>6.0240963855421686E-2</v>
      </c>
      <c r="S179" s="78">
        <v>1.07</v>
      </c>
      <c r="T179" s="95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10">
        <v>5.07</v>
      </c>
      <c r="H180" s="57" t="str">
        <f t="shared" si="2"/>
        <v>(70, 80]</v>
      </c>
      <c r="I180" s="209">
        <v>4.5774495000000002</v>
      </c>
      <c r="J180" s="55">
        <v>5.2926982243124698E-2</v>
      </c>
      <c r="K180" s="55">
        <v>5.4668849371523866E-2</v>
      </c>
      <c r="L180" s="108">
        <v>54668849</v>
      </c>
      <c r="M180" s="55">
        <v>5.4668850366721262E-2</v>
      </c>
      <c r="N180" s="55">
        <v>4.1038022033544976</v>
      </c>
      <c r="O180" s="110"/>
      <c r="P180" s="55">
        <v>5.4668850366721262E-2</v>
      </c>
      <c r="Q180" s="208">
        <v>5.8653581173071623E-2</v>
      </c>
      <c r="R180" s="55">
        <v>4.8192771084337352E-2</v>
      </c>
      <c r="S180" s="78">
        <v>1.07</v>
      </c>
      <c r="T180" s="95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10">
        <v>2.4900000000000002</v>
      </c>
      <c r="H181" s="57" t="str">
        <f t="shared" si="2"/>
        <v>(80, 90]</v>
      </c>
      <c r="I181" s="209">
        <v>2.2480964999999999</v>
      </c>
      <c r="J181" s="55">
        <v>2.6949231889376504E-2</v>
      </c>
      <c r="K181" s="55">
        <v>2.7836151550657766E-2</v>
      </c>
      <c r="L181" s="108">
        <v>27836151</v>
      </c>
      <c r="M181" s="55">
        <v>2.7836151695903793E-2</v>
      </c>
      <c r="N181" s="55">
        <v>2.3675704802602779</v>
      </c>
      <c r="O181" s="110"/>
      <c r="P181" s="55">
        <v>2.7836151695903793E-2</v>
      </c>
      <c r="Q181" s="208">
        <v>2.985243959704879E-2</v>
      </c>
      <c r="R181" s="55">
        <v>2.4096385542168676E-2</v>
      </c>
      <c r="S181" s="78">
        <v>1.07</v>
      </c>
      <c r="T181" s="95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10">
        <v>2.13</v>
      </c>
      <c r="H182" s="57" t="str">
        <f t="shared" si="2"/>
        <v>(90, 100]</v>
      </c>
      <c r="I182" s="210">
        <v>1.9230704999999997</v>
      </c>
      <c r="J182" s="107">
        <v>2.3810434540622146E-2</v>
      </c>
      <c r="K182" s="107">
        <v>2.4594054000516771E-2</v>
      </c>
      <c r="L182" s="108">
        <v>24594054</v>
      </c>
      <c r="M182" s="107">
        <v>2.4594054614851365E-2</v>
      </c>
      <c r="N182" s="107">
        <v>2.3376234066566459</v>
      </c>
      <c r="O182" s="110"/>
      <c r="P182" s="55">
        <v>2.4594054614851365E-2</v>
      </c>
      <c r="Q182" s="208">
        <v>2.6317903526358072E-2</v>
      </c>
      <c r="R182" s="55">
        <v>1.2048192771084338E-2</v>
      </c>
      <c r="S182" s="78">
        <v>1.07</v>
      </c>
      <c r="T182" s="95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10">
        <v>1.6</v>
      </c>
      <c r="H183" s="57" t="str">
        <f t="shared" si="2"/>
        <v>(100, 120]</v>
      </c>
      <c r="I183" s="210">
        <v>1.4445600000000001</v>
      </c>
      <c r="J183" s="107">
        <v>3.7157596244471645E-2</v>
      </c>
      <c r="K183" s="107">
        <v>3.8380480919272486E-2</v>
      </c>
      <c r="L183" s="108">
        <v>38380480</v>
      </c>
      <c r="M183" s="107">
        <v>3.8380480959512027E-2</v>
      </c>
      <c r="N183" s="107">
        <v>4.2256583284240481</v>
      </c>
      <c r="O183" s="110"/>
      <c r="P183" s="55">
        <v>3.8380480959512027E-2</v>
      </c>
      <c r="Q183" s="208">
        <v>4.1131499822629994E-2</v>
      </c>
      <c r="R183" s="55">
        <v>6.0240963855421686E-2</v>
      </c>
      <c r="S183" s="78">
        <v>1.07</v>
      </c>
      <c r="T183" s="95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10">
        <v>0.68</v>
      </c>
      <c r="H184" s="57" t="str">
        <f t="shared" si="2"/>
        <v>(120, 140]</v>
      </c>
      <c r="I184" s="210">
        <v>0.61393799999999998</v>
      </c>
      <c r="J184" s="107">
        <v>1.6307933278184819E-2</v>
      </c>
      <c r="K184" s="107">
        <v>1.6844639731216856E-2</v>
      </c>
      <c r="L184" s="108">
        <v>16844639</v>
      </c>
      <c r="M184" s="107">
        <v>1.6844639421115984E-2</v>
      </c>
      <c r="N184" s="107">
        <v>2.1910068622211303</v>
      </c>
      <c r="O184" s="110"/>
      <c r="P184" s="55">
        <v>1.6844639421115984E-2</v>
      </c>
      <c r="Q184" s="208">
        <v>1.8029524360590486E-2</v>
      </c>
      <c r="R184" s="55">
        <v>7.2289156626506021E-2</v>
      </c>
      <c r="S184" s="78">
        <v>1.07</v>
      </c>
      <c r="T184" s="95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10">
        <v>1.03</v>
      </c>
      <c r="H185" s="57" t="str">
        <f t="shared" si="2"/>
        <v>(140, 160]</v>
      </c>
      <c r="I185" s="210">
        <v>0.92993549999999991</v>
      </c>
      <c r="J185" s="107">
        <v>2.4919325667997018E-2</v>
      </c>
      <c r="K185" s="107">
        <v>2.5739439575938484E-2</v>
      </c>
      <c r="L185" s="108">
        <v>25739439</v>
      </c>
      <c r="M185" s="107">
        <v>2.573943964348599E-2</v>
      </c>
      <c r="N185" s="107">
        <v>3.8620013277309022</v>
      </c>
      <c r="O185" s="110"/>
      <c r="P185" s="55">
        <v>2.573943964348599E-2</v>
      </c>
      <c r="Q185" s="208">
        <v>2.759787055195741E-2</v>
      </c>
      <c r="R185" s="55">
        <v>2.4096385542168676E-2</v>
      </c>
      <c r="S185" s="78">
        <v>1.07</v>
      </c>
      <c r="T185" s="95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10">
        <v>0.3</v>
      </c>
      <c r="H186" s="57" t="str">
        <f t="shared" si="2"/>
        <v>(160, 180]</v>
      </c>
      <c r="I186" s="210">
        <v>0.27085499999999996</v>
      </c>
      <c r="J186" s="107">
        <v>7.2988289956216288E-3</v>
      </c>
      <c r="K186" s="107">
        <v>7.5390389937068968E-3</v>
      </c>
      <c r="L186" s="108">
        <v>7539038</v>
      </c>
      <c r="M186" s="107">
        <v>7.539038188475955E-3</v>
      </c>
      <c r="N186" s="107">
        <v>1.2818082697020521</v>
      </c>
      <c r="O186" s="110"/>
      <c r="P186" s="55">
        <v>7.539038188475955E-3</v>
      </c>
      <c r="Q186" s="208">
        <v>8.2157541643150828E-3</v>
      </c>
      <c r="R186" s="55">
        <v>3.614457831325301E-2</v>
      </c>
      <c r="S186" s="78">
        <v>1.0900000000000001</v>
      </c>
      <c r="T186" s="95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10">
        <v>0.26</v>
      </c>
      <c r="H187" s="57" t="str">
        <f t="shared" si="2"/>
        <v>(180, 200]</v>
      </c>
      <c r="I187" s="210">
        <v>0.23474099999999998</v>
      </c>
      <c r="J187" s="107">
        <v>6.2881539047714291E-3</v>
      </c>
      <c r="K187" s="107">
        <v>6.495101819064408E-3</v>
      </c>
      <c r="L187" s="108">
        <v>6495101</v>
      </c>
      <c r="M187" s="107">
        <v>6.4951011623775295E-3</v>
      </c>
      <c r="N187" s="107">
        <v>1.2341476031818166</v>
      </c>
      <c r="O187" s="110"/>
      <c r="P187" s="55">
        <v>6.4951011623775295E-3</v>
      </c>
      <c r="Q187" s="208">
        <v>7.0812481416249627E-3</v>
      </c>
      <c r="R187" s="55">
        <v>0</v>
      </c>
      <c r="S187" s="78">
        <v>1.0900000000000001</v>
      </c>
      <c r="T187" s="95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10">
        <v>0.3</v>
      </c>
      <c r="H188" s="57" t="str">
        <f t="shared" si="2"/>
        <v>(200, 250]</v>
      </c>
      <c r="I188" s="210">
        <v>0.27085499999999996</v>
      </c>
      <c r="J188" s="107">
        <v>1.7563886913162199E-2</v>
      </c>
      <c r="K188" s="107">
        <v>1.8141927752906691E-2</v>
      </c>
      <c r="L188" s="108">
        <v>18141927</v>
      </c>
      <c r="M188" s="107">
        <v>1.8141927453548187E-2</v>
      </c>
      <c r="N188" s="107">
        <v>4.0785039601175823</v>
      </c>
      <c r="O188" s="110"/>
      <c r="P188" s="55">
        <v>1.8141927453548187E-2</v>
      </c>
      <c r="Q188" s="208">
        <v>1.9172624383452488E-2</v>
      </c>
      <c r="R188" s="55">
        <v>6.0240963855421686E-2</v>
      </c>
      <c r="S188" s="78">
        <v>1.06</v>
      </c>
      <c r="T188" s="95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10">
        <v>0.09</v>
      </c>
      <c r="H189" s="57" t="str">
        <f t="shared" si="2"/>
        <v>(250, 300]</v>
      </c>
      <c r="I189" s="210">
        <v>8.1256499999999995E-2</v>
      </c>
      <c r="J189" s="107">
        <v>4.9299454581412383E-3</v>
      </c>
      <c r="K189" s="107">
        <v>5.0921937023145113E-3</v>
      </c>
      <c r="L189" s="108">
        <v>5092193</v>
      </c>
      <c r="M189" s="107">
        <v>5.0921931273048282E-3</v>
      </c>
      <c r="N189" s="107">
        <v>1.3988632624436574</v>
      </c>
      <c r="O189" s="110"/>
      <c r="P189" s="55">
        <v>5.0921931273048282E-3</v>
      </c>
      <c r="Q189" s="208">
        <v>5.5840271116805425E-3</v>
      </c>
      <c r="R189" s="55">
        <v>2.4096385542168676E-2</v>
      </c>
      <c r="S189" s="78">
        <v>1.1000000000000001</v>
      </c>
      <c r="T189" s="95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10">
        <v>0.08</v>
      </c>
      <c r="H190" s="57" t="str">
        <f t="shared" si="2"/>
        <v>(300, 350]</v>
      </c>
      <c r="I190" s="210">
        <v>7.2228000000000001E-2</v>
      </c>
      <c r="J190" s="107">
        <v>4.0314761369402785E-3</v>
      </c>
      <c r="K190" s="107">
        <v>4.1641550743035383E-3</v>
      </c>
      <c r="L190" s="108">
        <v>4164155</v>
      </c>
      <c r="M190" s="107">
        <v>4.1641551041038775E-3</v>
      </c>
      <c r="N190" s="107">
        <v>1.3517510331717983</v>
      </c>
      <c r="O190" s="110"/>
      <c r="P190" s="55">
        <v>4.1641551041038775E-3</v>
      </c>
      <c r="Q190" s="208">
        <v>4.5717610914352219E-3</v>
      </c>
      <c r="R190" s="55">
        <v>1.2048192771084338E-2</v>
      </c>
      <c r="S190" s="78">
        <v>1.1000000000000001</v>
      </c>
      <c r="T190" s="95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10">
        <v>0.01</v>
      </c>
      <c r="H191" s="57" t="str">
        <f t="shared" si="2"/>
        <v>(350, 400]</v>
      </c>
      <c r="I191" s="210">
        <v>9.0285000000000001E-3</v>
      </c>
      <c r="J191" s="107">
        <v>4.5839151538814909E-4</v>
      </c>
      <c r="K191" s="107">
        <v>4.7347752782928764E-4</v>
      </c>
      <c r="L191" s="108">
        <v>473477</v>
      </c>
      <c r="M191" s="107">
        <v>4.734770118369253E-4</v>
      </c>
      <c r="N191" s="107">
        <v>0.17737868895846523</v>
      </c>
      <c r="O191" s="110"/>
      <c r="P191" s="55">
        <v>4.734770118369253E-4</v>
      </c>
      <c r="Q191" s="208">
        <v>4.676890093537802E-4</v>
      </c>
      <c r="R191" s="55">
        <v>0</v>
      </c>
      <c r="S191" s="78">
        <v>0.99</v>
      </c>
      <c r="T191" s="95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10">
        <v>0.01</v>
      </c>
      <c r="H192" s="57" t="str">
        <f t="shared" si="2"/>
        <v>(400, 450]</v>
      </c>
      <c r="I192" s="210">
        <v>9.0285000000000001E-3</v>
      </c>
      <c r="J192" s="107">
        <v>4.1373723342005841E-4</v>
      </c>
      <c r="K192" s="107">
        <v>4.2735363957332686E-4</v>
      </c>
      <c r="L192" s="108">
        <v>427353</v>
      </c>
      <c r="M192" s="107">
        <v>4.2735301068382524E-4</v>
      </c>
      <c r="N192" s="107">
        <v>0.18146049609401471</v>
      </c>
      <c r="O192" s="110"/>
      <c r="P192" s="55">
        <v>4.2735301068382524E-4</v>
      </c>
      <c r="Q192" s="208">
        <v>4.2307500846150019E-4</v>
      </c>
      <c r="R192" s="55">
        <v>0</v>
      </c>
      <c r="S192" s="78">
        <v>0.99</v>
      </c>
      <c r="T192" s="95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10">
        <v>0.01</v>
      </c>
      <c r="H193" s="57" t="str">
        <f t="shared" si="2"/>
        <v>(450, 500]</v>
      </c>
      <c r="I193" s="210">
        <v>9.0285000000000001E-3</v>
      </c>
      <c r="J193" s="107">
        <v>3.7222084183348268E-4</v>
      </c>
      <c r="K193" s="107">
        <v>3.8447091205128794E-4</v>
      </c>
      <c r="L193" s="108">
        <v>384470</v>
      </c>
      <c r="M193" s="107">
        <v>3.8447000961175024E-4</v>
      </c>
      <c r="N193" s="107">
        <v>0.18246284219762055</v>
      </c>
      <c r="O193" s="110"/>
      <c r="P193" s="55">
        <v>3.8447000961175024E-4</v>
      </c>
      <c r="Q193" s="208">
        <v>3.8122800762456017E-4</v>
      </c>
      <c r="R193" s="55">
        <v>0</v>
      </c>
      <c r="S193" s="78">
        <v>0.99</v>
      </c>
      <c r="T193" s="95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10">
        <v>0.01</v>
      </c>
      <c r="H194" s="57" t="str">
        <f t="shared" si="2"/>
        <v>(500, 550]</v>
      </c>
      <c r="I194" s="210">
        <v>9.0285000000000001E-3</v>
      </c>
      <c r="J194" s="107">
        <v>3.3505343250084826E-4</v>
      </c>
      <c r="K194" s="107">
        <v>3.4608029508767843E-4</v>
      </c>
      <c r="L194" s="108">
        <v>346080</v>
      </c>
      <c r="M194" s="107">
        <v>3.460800086520002E-4</v>
      </c>
      <c r="N194" s="107">
        <v>0.18153879671847492</v>
      </c>
      <c r="O194" s="110"/>
      <c r="P194" s="55">
        <v>3.460800086520002E-4</v>
      </c>
      <c r="Q194" s="208">
        <v>3.4286000685720014E-4</v>
      </c>
      <c r="R194" s="55">
        <v>0</v>
      </c>
      <c r="S194" s="78">
        <v>0.99</v>
      </c>
      <c r="T194" s="95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10">
        <v>0.01</v>
      </c>
      <c r="H195" s="57" t="str">
        <f t="shared" si="2"/>
        <v>(550, 600]</v>
      </c>
      <c r="I195" s="209">
        <v>9.0285000000000001E-3</v>
      </c>
      <c r="J195" s="55">
        <v>3.0027238778960731E-4</v>
      </c>
      <c r="K195" s="55">
        <v>3.1015457981510461E-4</v>
      </c>
      <c r="L195" s="108">
        <v>310154</v>
      </c>
      <c r="M195" s="55">
        <v>3.1015400775385017E-4</v>
      </c>
      <c r="N195" s="55">
        <v>0.17821516485571245</v>
      </c>
      <c r="O195" s="110"/>
      <c r="P195" s="55">
        <v>3.1015400775385017E-4</v>
      </c>
      <c r="Q195" s="208">
        <v>3.0862000617240011E-4</v>
      </c>
      <c r="R195" s="55">
        <v>0</v>
      </c>
      <c r="S195" s="78">
        <v>1</v>
      </c>
      <c r="T195" s="95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10">
        <v>0.01</v>
      </c>
      <c r="H196" s="57" t="str">
        <f t="shared" si="2"/>
        <v>(600, 650]</v>
      </c>
      <c r="I196" s="209">
        <v>9.0285000000000001E-3</v>
      </c>
      <c r="J196" s="55">
        <v>2.686549150955691E-4</v>
      </c>
      <c r="K196" s="55">
        <v>2.774965521142493E-4</v>
      </c>
      <c r="L196" s="108">
        <v>277496</v>
      </c>
      <c r="M196" s="55">
        <v>2.7749600693740016E-4</v>
      </c>
      <c r="N196" s="55">
        <v>0.17332094694096345</v>
      </c>
      <c r="O196" s="110"/>
      <c r="P196" s="55">
        <v>2.7749600693740016E-4</v>
      </c>
      <c r="Q196" s="208">
        <v>2.7654500553090012E-4</v>
      </c>
      <c r="R196" s="55">
        <v>0</v>
      </c>
      <c r="S196" s="78">
        <v>1</v>
      </c>
      <c r="T196" s="95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10">
        <v>0.01</v>
      </c>
      <c r="H197" s="57" t="str">
        <f t="shared" si="2"/>
        <v>(650, 700]</v>
      </c>
      <c r="I197" s="209">
        <v>9.0285000000000001E-3</v>
      </c>
      <c r="J197" s="55">
        <v>2.4186761740835574E-4</v>
      </c>
      <c r="K197" s="55">
        <v>2.4982766414316781E-4</v>
      </c>
      <c r="L197" s="108">
        <v>249827</v>
      </c>
      <c r="M197" s="55">
        <v>2.4982700624567514E-4</v>
      </c>
      <c r="N197" s="55">
        <v>0.16853033718834287</v>
      </c>
      <c r="O197" s="110"/>
      <c r="P197" s="55">
        <v>2.4982700624567514E-4</v>
      </c>
      <c r="Q197" s="208">
        <v>2.4799200495984009E-4</v>
      </c>
      <c r="R197" s="55">
        <v>0</v>
      </c>
      <c r="S197" s="78">
        <v>0.99</v>
      </c>
      <c r="T197" s="95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10">
        <v>0.01</v>
      </c>
      <c r="H198" s="57" t="str">
        <f t="shared" si="2"/>
        <v>(700, 750]</v>
      </c>
      <c r="I198" s="209">
        <v>9.0285000000000001E-3</v>
      </c>
      <c r="J198" s="55">
        <v>2.1678814849436851E-4</v>
      </c>
      <c r="K198" s="55">
        <v>2.2392281088555197E-4</v>
      </c>
      <c r="L198" s="108">
        <v>223922</v>
      </c>
      <c r="M198" s="55">
        <v>2.2392200559805014E-4</v>
      </c>
      <c r="N198" s="55">
        <v>0.16225442270210957</v>
      </c>
      <c r="O198" s="110"/>
      <c r="P198" s="55">
        <v>2.2392200559805014E-4</v>
      </c>
      <c r="Q198" s="208">
        <v>2.2297200445944008E-4</v>
      </c>
      <c r="R198" s="55">
        <v>0</v>
      </c>
      <c r="S198" s="78">
        <v>1</v>
      </c>
      <c r="T198" s="95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10">
        <v>0.01</v>
      </c>
      <c r="H199" s="57" t="str">
        <f t="shared" si="2"/>
        <v>(750, 800]</v>
      </c>
      <c r="I199" s="209">
        <v>9.0285000000000001E-3</v>
      </c>
      <c r="J199" s="55">
        <v>1.9504864388480674E-4</v>
      </c>
      <c r="K199" s="55">
        <v>2.0146784269083566E-4</v>
      </c>
      <c r="L199" s="108">
        <v>201467</v>
      </c>
      <c r="M199" s="55">
        <v>2.0146700503667514E-4</v>
      </c>
      <c r="N199" s="55">
        <v>0.15605247747134349</v>
      </c>
      <c r="O199" s="110"/>
      <c r="P199" s="55">
        <v>2.0146700503667514E-4</v>
      </c>
      <c r="Q199" s="208">
        <v>2.0106800402136009E-4</v>
      </c>
      <c r="R199" s="55">
        <v>0</v>
      </c>
      <c r="S199" s="78">
        <v>1</v>
      </c>
      <c r="T199" s="95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10">
        <v>0.01</v>
      </c>
      <c r="H200" s="57" t="str">
        <f t="shared" si="2"/>
        <v>(800, 850]</v>
      </c>
      <c r="I200" s="209">
        <v>9.0285000000000001E-3</v>
      </c>
      <c r="J200" s="55">
        <v>1.7533866432708424E-4</v>
      </c>
      <c r="K200" s="55">
        <v>1.8110919275671973E-4</v>
      </c>
      <c r="L200" s="108">
        <v>181109</v>
      </c>
      <c r="M200" s="55">
        <v>1.8110900452772511E-4</v>
      </c>
      <c r="N200" s="55">
        <v>0.14934038958536161</v>
      </c>
      <c r="O200" s="110"/>
      <c r="P200" s="55">
        <v>1.8110900452772511E-4</v>
      </c>
      <c r="Q200" s="208">
        <v>1.8029400360588009E-4</v>
      </c>
      <c r="R200" s="55">
        <v>0</v>
      </c>
      <c r="S200" s="78">
        <v>1</v>
      </c>
      <c r="T200" s="95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10">
        <v>0.01</v>
      </c>
      <c r="H201" s="57" t="str">
        <f t="shared" si="2"/>
        <v>(850, 900]</v>
      </c>
      <c r="I201" s="209">
        <v>9.0285000000000001E-3</v>
      </c>
      <c r="J201" s="55">
        <v>1.5825361826964267E-4</v>
      </c>
      <c r="K201" s="55">
        <v>1.6346186487527505E-4</v>
      </c>
      <c r="L201" s="79">
        <v>163461</v>
      </c>
      <c r="M201" s="55">
        <v>1.6346100408652509E-4</v>
      </c>
      <c r="N201" s="55">
        <v>0.14295760921945569</v>
      </c>
      <c r="O201" s="110"/>
      <c r="P201" s="55">
        <v>1.6346100408652509E-4</v>
      </c>
      <c r="Q201" s="208">
        <v>1.6296000325920006E-4</v>
      </c>
      <c r="R201" s="55">
        <v>0</v>
      </c>
      <c r="S201" s="78">
        <v>1</v>
      </c>
      <c r="T201" s="95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10">
        <v>0.01</v>
      </c>
      <c r="H202" s="57" t="str">
        <f t="shared" si="2"/>
        <v>(900, 950]</v>
      </c>
      <c r="I202" s="209">
        <v>9.0285000000000001E-3</v>
      </c>
      <c r="J202" s="55">
        <v>1.433001479742728E-4</v>
      </c>
      <c r="K202" s="55">
        <v>1.4801626453093793E-4</v>
      </c>
      <c r="L202" s="79">
        <v>148016</v>
      </c>
      <c r="M202" s="55">
        <v>1.4801600370040009E-4</v>
      </c>
      <c r="N202" s="55">
        <v>0.13685420356207526</v>
      </c>
      <c r="O202" s="110"/>
      <c r="P202" s="55">
        <v>1.4801600370040009E-4</v>
      </c>
      <c r="Q202" s="208">
        <v>1.4697800293956005E-4</v>
      </c>
      <c r="R202" s="55">
        <v>0</v>
      </c>
      <c r="S202" s="78">
        <v>0.99</v>
      </c>
      <c r="T202" s="95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10">
        <v>0.01</v>
      </c>
      <c r="H203" s="57" t="str">
        <f t="shared" si="2"/>
        <v>(950, 1000]</v>
      </c>
      <c r="I203" s="209">
        <v>9.0285000000000001E-3</v>
      </c>
      <c r="J203" s="55">
        <v>1.2865080231204561E-4</v>
      </c>
      <c r="K203" s="55">
        <v>1.3288479779208532E-4</v>
      </c>
      <c r="L203" s="79">
        <v>132884</v>
      </c>
      <c r="M203" s="55">
        <v>1.3288400332210008E-4</v>
      </c>
      <c r="N203" s="55">
        <v>0.12950965391825134</v>
      </c>
      <c r="O203" s="110"/>
      <c r="P203" s="55">
        <v>1.3288400332210008E-4</v>
      </c>
      <c r="Q203" s="208">
        <v>1.3304700266094006E-4</v>
      </c>
      <c r="R203" s="55">
        <v>0</v>
      </c>
      <c r="S203" s="78">
        <v>1</v>
      </c>
      <c r="T203" s="95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10">
        <v>0.01</v>
      </c>
      <c r="H204" s="57" t="str">
        <f t="shared" si="2"/>
        <v>(1000, 2000]</v>
      </c>
      <c r="I204" s="209">
        <v>9.0285000000000001E-3</v>
      </c>
      <c r="J204" s="55">
        <v>1.1325216113700653E-3</v>
      </c>
      <c r="K204" s="55">
        <v>1.1697937565678662E-3</v>
      </c>
      <c r="L204" s="79">
        <v>1169793</v>
      </c>
      <c r="M204" s="55">
        <v>1.1697930292448257E-3</v>
      </c>
      <c r="N204" s="55">
        <v>1.5959955975253446</v>
      </c>
      <c r="O204" s="110"/>
      <c r="P204" s="55">
        <v>1.1697930292448257E-3</v>
      </c>
      <c r="Q204" s="208">
        <v>6.5201501304030021E-4</v>
      </c>
      <c r="R204" s="55">
        <v>0</v>
      </c>
      <c r="S204" s="78">
        <v>0.56000000000000005</v>
      </c>
      <c r="T204" s="95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10">
        <v>0.01</v>
      </c>
      <c r="H205" s="57" t="str">
        <f t="shared" si="2"/>
        <v>(2000, 3000]</v>
      </c>
      <c r="I205" s="209">
        <v>9.0285000000000001E-3</v>
      </c>
      <c r="J205" s="55">
        <v>2.6703426871717729E-4</v>
      </c>
      <c r="K205" s="55">
        <v>2.7582256903435593E-4</v>
      </c>
      <c r="L205" s="79">
        <v>275822</v>
      </c>
      <c r="M205" s="55">
        <v>2.7582200689555016E-4</v>
      </c>
      <c r="N205" s="55">
        <v>0.66372946275062716</v>
      </c>
      <c r="O205" s="110"/>
      <c r="P205" s="55">
        <v>2.7582200689555016E-4</v>
      </c>
      <c r="Q205" s="208">
        <v>6.1764001235280026E-5</v>
      </c>
      <c r="R205" s="55">
        <v>0</v>
      </c>
      <c r="S205" s="78">
        <v>0.22</v>
      </c>
      <c r="T205" s="95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10">
        <v>0.01</v>
      </c>
      <c r="H206" s="57" t="str">
        <f t="shared" si="2"/>
        <v>(3000, 4000]</v>
      </c>
      <c r="I206" s="209">
        <v>9.0285000000000001E-3</v>
      </c>
      <c r="J206" s="55">
        <v>1.0126674451135441E-4</v>
      </c>
      <c r="K206" s="55">
        <v>1.0459950987957524E-4</v>
      </c>
      <c r="L206" s="79">
        <v>104599</v>
      </c>
      <c r="M206" s="55">
        <v>1.0459900261497507E-4</v>
      </c>
      <c r="N206" s="55">
        <v>0.35926515143294957</v>
      </c>
      <c r="O206" s="110"/>
      <c r="P206" s="55">
        <v>1.0459900261497507E-4</v>
      </c>
      <c r="Q206" s="208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10">
        <v>0.01</v>
      </c>
      <c r="H207" s="57" t="str">
        <f t="shared" si="2"/>
        <v>(4000, 5000]</v>
      </c>
      <c r="I207" s="209">
        <v>9.0285000000000001E-3</v>
      </c>
      <c r="J207" s="55">
        <v>5.1067256732294201E-5</v>
      </c>
      <c r="K207" s="55">
        <v>5.2747918883612288E-5</v>
      </c>
      <c r="L207" s="79">
        <v>52747</v>
      </c>
      <c r="M207" s="55">
        <v>5.2747001318675036E-5</v>
      </c>
      <c r="N207" s="55">
        <v>0.23496079651976054</v>
      </c>
      <c r="O207" s="110"/>
      <c r="P207" s="55">
        <v>5.2747001318675036E-5</v>
      </c>
      <c r="Q207" s="208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10">
        <v>0.01</v>
      </c>
      <c r="H208" s="57" t="str">
        <f t="shared" si="2"/>
        <v>(5000, 6000]</v>
      </c>
      <c r="I208" s="209">
        <v>9.0285000000000001E-3</v>
      </c>
      <c r="J208" s="55">
        <v>3.2273030236590413E-5</v>
      </c>
      <c r="K208" s="55">
        <v>3.333516013934435E-5</v>
      </c>
      <c r="L208" s="79">
        <v>33335</v>
      </c>
      <c r="M208" s="55">
        <v>3.3335000833375021E-5</v>
      </c>
      <c r="N208" s="55">
        <v>0.18228599102309434</v>
      </c>
      <c r="O208" s="110"/>
      <c r="P208" s="55">
        <v>3.3335000833375021E-5</v>
      </c>
      <c r="Q208" s="208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10">
        <v>0.01</v>
      </c>
      <c r="H209" s="57" t="str">
        <f t="shared" si="2"/>
        <v>(6000, 7000]</v>
      </c>
      <c r="I209" s="209">
        <v>9.0285000000000001E-3</v>
      </c>
      <c r="J209" s="55">
        <v>2.3575741561225888E-5</v>
      </c>
      <c r="K209" s="55">
        <v>2.4351637097164325E-5</v>
      </c>
      <c r="L209" s="79">
        <v>24351</v>
      </c>
      <c r="M209" s="55">
        <v>2.4351000608775015E-5</v>
      </c>
      <c r="N209" s="55">
        <v>0.1577841220649763</v>
      </c>
      <c r="O209" s="110"/>
      <c r="P209" s="55">
        <v>2.4351000608775015E-5</v>
      </c>
      <c r="Q209" s="208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10">
        <v>0.01</v>
      </c>
      <c r="H210" s="57" t="str">
        <f t="shared" si="2"/>
        <v>(7000, 8000]</v>
      </c>
      <c r="I210" s="209">
        <v>9.0285000000000001E-3</v>
      </c>
      <c r="J210" s="55">
        <v>1.9375442461265482E-5</v>
      </c>
      <c r="K210" s="55">
        <v>2.0013102968082906E-5</v>
      </c>
      <c r="L210" s="79">
        <v>20013</v>
      </c>
      <c r="M210" s="55">
        <v>2.0013000500325011E-5</v>
      </c>
      <c r="N210" s="55">
        <v>0.14976442083510949</v>
      </c>
      <c r="O210" s="110"/>
      <c r="P210" s="55">
        <v>2.0013000500325011E-5</v>
      </c>
      <c r="Q210" s="208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10">
        <v>0.01</v>
      </c>
      <c r="H211" s="57" t="str">
        <f t="shared" si="2"/>
        <v>(8000, 9000]</v>
      </c>
      <c r="I211" s="209">
        <v>9.0285000000000001E-3</v>
      </c>
      <c r="J211" s="55">
        <v>1.7413500661235703E-5</v>
      </c>
      <c r="K211" s="55">
        <v>1.7986592175367963E-5</v>
      </c>
      <c r="L211" s="79">
        <v>17986</v>
      </c>
      <c r="M211" s="55">
        <v>1.7986000449650012E-5</v>
      </c>
      <c r="N211" s="55">
        <v>0.1526916091640767</v>
      </c>
      <c r="O211" s="110"/>
      <c r="P211" s="55">
        <v>1.7986000449650012E-5</v>
      </c>
      <c r="Q211" s="208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10">
        <v>0.01</v>
      </c>
      <c r="H212" s="57" t="str">
        <f t="shared" si="2"/>
        <v>(9000, 10000]</v>
      </c>
      <c r="I212" s="209">
        <v>9.0285000000000001E-3</v>
      </c>
      <c r="J212" s="55">
        <v>1.5982087387910497E-5</v>
      </c>
      <c r="K212" s="55">
        <v>1.650807000555389E-5</v>
      </c>
      <c r="L212" s="79">
        <v>16508</v>
      </c>
      <c r="M212" s="55">
        <v>1.650800041270001E-5</v>
      </c>
      <c r="N212" s="55">
        <v>0.15677725104435516</v>
      </c>
      <c r="O212" s="110"/>
      <c r="P212" s="55">
        <v>1.650800041270001E-5</v>
      </c>
      <c r="Q212" s="208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10">
        <v>0.01</v>
      </c>
      <c r="H213" s="57" t="str">
        <f t="shared" si="2"/>
        <v>(10000, 20000]</v>
      </c>
      <c r="I213" s="209">
        <v>9.0285000000000001E-3</v>
      </c>
      <c r="J213" s="55">
        <v>1.1924253782764515E-4</v>
      </c>
      <c r="K213" s="55">
        <v>1.2316690018775023E-4</v>
      </c>
      <c r="L213" s="79">
        <v>123166</v>
      </c>
      <c r="M213" s="55">
        <v>1.2316600307915007E-4</v>
      </c>
      <c r="N213" s="55">
        <v>1.7894501153025846</v>
      </c>
      <c r="O213" s="110"/>
      <c r="P213" s="55">
        <v>1.2316600307915007E-4</v>
      </c>
      <c r="Q213" s="208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10">
        <v>0</v>
      </c>
      <c r="H214" s="57" t="str">
        <f t="shared" si="2"/>
        <v>(20000, 30000]</v>
      </c>
      <c r="I214" s="209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8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10">
        <v>0</v>
      </c>
      <c r="H215" s="57" t="str">
        <f t="shared" si="2"/>
        <v>(30000, 40000]</v>
      </c>
      <c r="I215" s="209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8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10">
        <v>0</v>
      </c>
      <c r="H216" s="57" t="str">
        <f t="shared" si="2"/>
        <v>(40000, 50000]</v>
      </c>
      <c r="I216" s="209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8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10">
        <v>0</v>
      </c>
      <c r="H217" s="57" t="str">
        <f t="shared" si="2"/>
        <v>(50000, 60000]</v>
      </c>
      <c r="I217" s="209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8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10">
        <v>0</v>
      </c>
      <c r="H218" s="57" t="str">
        <f t="shared" si="2"/>
        <v>(60000, 70000]</v>
      </c>
      <c r="I218" s="209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8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10">
        <v>0</v>
      </c>
      <c r="H219" s="57" t="str">
        <f t="shared" si="2"/>
        <v>(70000, 80000]</v>
      </c>
      <c r="I219" s="209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8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10">
        <v>0</v>
      </c>
      <c r="H220" s="57" t="str">
        <f t="shared" si="2"/>
        <v>(80000, 90000]</v>
      </c>
      <c r="I220" s="209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8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10">
        <v>0</v>
      </c>
      <c r="H221" s="57" t="str">
        <f t="shared" si="2"/>
        <v>(90000, 100000]</v>
      </c>
      <c r="I221" s="209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8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10">
        <v>0</v>
      </c>
      <c r="H222" s="57" t="str">
        <f t="shared" si="2"/>
        <v>(100000, 9999999]</v>
      </c>
      <c r="I222" s="209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8">
        <v>0</v>
      </c>
      <c r="R222" s="55">
        <v>0</v>
      </c>
      <c r="S222" s="78">
        <v>0</v>
      </c>
    </row>
    <row r="225" spans="1:22" s="168" customFormat="1">
      <c r="A225" s="222" t="s">
        <v>49</v>
      </c>
      <c r="B225" s="222"/>
      <c r="C225" s="222"/>
      <c r="D225" s="222"/>
      <c r="E225" s="163"/>
      <c r="F225" s="163"/>
      <c r="G225" s="164"/>
      <c r="H225" s="165"/>
      <c r="I225" s="166"/>
      <c r="J225" s="167"/>
      <c r="K225" s="167"/>
      <c r="L225" s="167"/>
      <c r="M225" s="167"/>
      <c r="N225" s="167"/>
      <c r="O225" s="164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5" t="s">
        <v>69</v>
      </c>
      <c r="B227" s="197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78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tr">
        <f>U228</f>
        <v>目前</v>
      </c>
      <c r="Q228" s="184" t="str">
        <f>V228</f>
        <v>目標</v>
      </c>
      <c r="R228" s="81" t="s">
        <v>327</v>
      </c>
      <c r="S228" s="81" t="s">
        <v>74</v>
      </c>
      <c r="U228" s="22" t="s">
        <v>77</v>
      </c>
      <c r="V228" s="22" t="s">
        <v>326</v>
      </c>
    </row>
    <row r="229" spans="1:22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9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8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10"/>
      <c r="P229" s="55" cm="1">
        <f t="array" ref="P229:P292">_xlfn.ANCHORARRAY(M229)</f>
        <v>0</v>
      </c>
      <c r="Q229" s="208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2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9">
        <v>0</v>
      </c>
      <c r="J230" s="55">
        <v>0</v>
      </c>
      <c r="K230" s="55">
        <v>0</v>
      </c>
      <c r="L230" s="108">
        <v>0</v>
      </c>
      <c r="M230" s="55">
        <v>0</v>
      </c>
      <c r="N230" s="55">
        <v>0</v>
      </c>
      <c r="O230" s="110"/>
      <c r="P230" s="55">
        <v>0</v>
      </c>
      <c r="Q230" s="208">
        <v>0</v>
      </c>
      <c r="R230" s="55">
        <v>0</v>
      </c>
      <c r="S230" s="78">
        <v>0</v>
      </c>
    </row>
    <row r="231" spans="1:22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9">
        <v>0</v>
      </c>
      <c r="J231" s="55">
        <v>0</v>
      </c>
      <c r="K231" s="55">
        <v>0</v>
      </c>
      <c r="L231" s="108">
        <v>0</v>
      </c>
      <c r="M231" s="55">
        <v>0</v>
      </c>
      <c r="N231" s="55">
        <v>0</v>
      </c>
      <c r="O231" s="110"/>
      <c r="P231" s="55">
        <v>0</v>
      </c>
      <c r="Q231" s="208">
        <v>0</v>
      </c>
      <c r="R231" s="55">
        <v>0</v>
      </c>
      <c r="S231" s="78">
        <v>0</v>
      </c>
    </row>
    <row r="232" spans="1:22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10"/>
      <c r="H232" s="57" t="str">
        <f t="shared" si="3"/>
        <v>(2, 3]</v>
      </c>
      <c r="I232" s="209">
        <v>0</v>
      </c>
      <c r="J232" s="55">
        <v>0</v>
      </c>
      <c r="K232" s="55">
        <v>0</v>
      </c>
      <c r="L232" s="108">
        <v>0</v>
      </c>
      <c r="M232" s="55">
        <v>0</v>
      </c>
      <c r="N232" s="55">
        <v>0</v>
      </c>
      <c r="O232" s="110"/>
      <c r="P232" s="55">
        <v>0</v>
      </c>
      <c r="Q232" s="208">
        <v>0</v>
      </c>
      <c r="R232" s="55">
        <v>0</v>
      </c>
      <c r="S232" s="78">
        <v>0</v>
      </c>
    </row>
    <row r="233" spans="1:22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10"/>
      <c r="H233" s="57" t="str">
        <f t="shared" si="3"/>
        <v>(3, 4]</v>
      </c>
      <c r="I233" s="209">
        <v>0</v>
      </c>
      <c r="J233" s="55">
        <v>0</v>
      </c>
      <c r="K233" s="55">
        <v>0</v>
      </c>
      <c r="L233" s="108">
        <v>0</v>
      </c>
      <c r="M233" s="55">
        <v>0</v>
      </c>
      <c r="N233" s="55">
        <v>0</v>
      </c>
      <c r="O233" s="110"/>
      <c r="P233" s="55">
        <v>0</v>
      </c>
      <c r="Q233" s="208">
        <v>0</v>
      </c>
      <c r="R233" s="55">
        <v>3.614457831325301E-2</v>
      </c>
      <c r="S233" s="78">
        <v>0</v>
      </c>
    </row>
    <row r="234" spans="1:22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10"/>
      <c r="H234" s="57" t="str">
        <f t="shared" si="3"/>
        <v>(4, 5]</v>
      </c>
      <c r="I234" s="209">
        <v>0</v>
      </c>
      <c r="J234" s="55">
        <v>0</v>
      </c>
      <c r="K234" s="55">
        <v>0</v>
      </c>
      <c r="L234" s="108">
        <v>0</v>
      </c>
      <c r="M234" s="55">
        <v>0</v>
      </c>
      <c r="N234" s="55">
        <v>0</v>
      </c>
      <c r="O234" s="110"/>
      <c r="P234" s="55">
        <v>0</v>
      </c>
      <c r="Q234" s="208">
        <v>0</v>
      </c>
      <c r="R234" s="55">
        <v>0</v>
      </c>
      <c r="S234" s="78">
        <v>0</v>
      </c>
    </row>
    <row r="235" spans="1:22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10"/>
      <c r="H235" s="57" t="str">
        <f t="shared" si="3"/>
        <v>(5, 6]</v>
      </c>
      <c r="I235" s="209">
        <v>0</v>
      </c>
      <c r="J235" s="55">
        <v>0</v>
      </c>
      <c r="K235" s="55">
        <v>0</v>
      </c>
      <c r="L235" s="108">
        <v>0</v>
      </c>
      <c r="M235" s="55">
        <v>0</v>
      </c>
      <c r="N235" s="55">
        <v>0</v>
      </c>
      <c r="O235" s="110"/>
      <c r="P235" s="55">
        <v>0</v>
      </c>
      <c r="Q235" s="208">
        <v>0</v>
      </c>
      <c r="R235" s="55">
        <v>0</v>
      </c>
      <c r="S235" s="78">
        <v>0</v>
      </c>
    </row>
    <row r="236" spans="1:22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10"/>
      <c r="H236" s="57" t="str">
        <f t="shared" si="3"/>
        <v>(6, 7]</v>
      </c>
      <c r="I236" s="209">
        <v>0</v>
      </c>
      <c r="J236" s="55">
        <v>0</v>
      </c>
      <c r="K236" s="55">
        <v>0</v>
      </c>
      <c r="L236" s="108">
        <v>0</v>
      </c>
      <c r="M236" s="55">
        <v>0</v>
      </c>
      <c r="N236" s="55">
        <v>0</v>
      </c>
      <c r="O236" s="110"/>
      <c r="P236" s="55">
        <v>0</v>
      </c>
      <c r="Q236" s="208">
        <v>0</v>
      </c>
      <c r="R236" s="55">
        <v>1.2048192771084338E-2</v>
      </c>
      <c r="S236" s="78">
        <v>0</v>
      </c>
    </row>
    <row r="237" spans="1:22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10"/>
      <c r="H237" s="57" t="str">
        <f t="shared" si="3"/>
        <v>(7, 8]</v>
      </c>
      <c r="I237" s="209">
        <v>0</v>
      </c>
      <c r="J237" s="55">
        <v>0</v>
      </c>
      <c r="K237" s="55">
        <v>0</v>
      </c>
      <c r="L237" s="108">
        <v>0</v>
      </c>
      <c r="M237" s="55">
        <v>0</v>
      </c>
      <c r="N237" s="55">
        <v>0</v>
      </c>
      <c r="O237" s="110"/>
      <c r="P237" s="55">
        <v>0</v>
      </c>
      <c r="Q237" s="208">
        <v>0</v>
      </c>
      <c r="R237" s="55">
        <v>3.614457831325301E-2</v>
      </c>
      <c r="S237" s="78">
        <v>0</v>
      </c>
    </row>
    <row r="238" spans="1:22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10"/>
      <c r="H238" s="57" t="str">
        <f t="shared" si="3"/>
        <v>(8, 9]</v>
      </c>
      <c r="I238" s="209">
        <v>0</v>
      </c>
      <c r="J238" s="55">
        <v>0</v>
      </c>
      <c r="K238" s="55">
        <v>0</v>
      </c>
      <c r="L238" s="108">
        <v>0</v>
      </c>
      <c r="M238" s="55">
        <v>0</v>
      </c>
      <c r="N238" s="55">
        <v>0</v>
      </c>
      <c r="O238" s="110"/>
      <c r="P238" s="55">
        <v>0</v>
      </c>
      <c r="Q238" s="208">
        <v>0</v>
      </c>
      <c r="R238" s="55">
        <v>2.4096385542168676E-2</v>
      </c>
      <c r="S238" s="78">
        <v>0</v>
      </c>
    </row>
    <row r="239" spans="1:22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10"/>
      <c r="H239" s="57" t="str">
        <f t="shared" si="3"/>
        <v>(9, 10]</v>
      </c>
      <c r="I239" s="209">
        <v>0</v>
      </c>
      <c r="J239" s="55">
        <v>0</v>
      </c>
      <c r="K239" s="55">
        <v>0</v>
      </c>
      <c r="L239" s="108">
        <v>0</v>
      </c>
      <c r="M239" s="55">
        <v>0</v>
      </c>
      <c r="N239" s="55">
        <v>0</v>
      </c>
      <c r="O239" s="110"/>
      <c r="P239" s="55">
        <v>0</v>
      </c>
      <c r="Q239" s="208">
        <v>0</v>
      </c>
      <c r="R239" s="55">
        <v>1.2048192771084338E-2</v>
      </c>
      <c r="S239" s="78">
        <v>0</v>
      </c>
    </row>
    <row r="240" spans="1:22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10"/>
      <c r="H240" s="57" t="str">
        <f t="shared" si="3"/>
        <v>(10, 15]</v>
      </c>
      <c r="I240" s="209">
        <v>33.07</v>
      </c>
      <c r="J240" s="55">
        <v>0.1219094736994968</v>
      </c>
      <c r="K240" s="55">
        <v>0.12422768551587982</v>
      </c>
      <c r="L240" s="108">
        <v>124227685</v>
      </c>
      <c r="M240" s="55">
        <v>0.12422768773300913</v>
      </c>
      <c r="N240" s="55">
        <v>1.5620189468319228</v>
      </c>
      <c r="O240" s="110"/>
      <c r="P240" s="55">
        <v>0.12422768773300913</v>
      </c>
      <c r="Q240" s="208">
        <v>0.12191531431639097</v>
      </c>
      <c r="R240" s="55">
        <v>7.2289156626506021E-2</v>
      </c>
      <c r="S240" s="78">
        <v>0.98</v>
      </c>
      <c r="T240" s="96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10"/>
      <c r="H241" s="105" t="str">
        <f t="shared" si="3"/>
        <v>(15, 20]</v>
      </c>
      <c r="I241" s="209">
        <v>30.94</v>
      </c>
      <c r="J241" s="55">
        <v>0.12089434159345866</v>
      </c>
      <c r="K241" s="55">
        <v>0.1231932498137224</v>
      </c>
      <c r="L241" s="108">
        <v>123193249</v>
      </c>
      <c r="M241" s="55">
        <v>0.12319325171025154</v>
      </c>
      <c r="N241" s="55">
        <v>2.1645522091204885</v>
      </c>
      <c r="O241" s="110"/>
      <c r="P241" s="55">
        <v>0.12319325171025154</v>
      </c>
      <c r="Q241" s="208">
        <v>0.12091058729730116</v>
      </c>
      <c r="R241" s="55">
        <v>7.2289156626506021E-2</v>
      </c>
      <c r="S241" s="78">
        <v>0.98</v>
      </c>
      <c r="T241" s="96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10"/>
      <c r="H242" s="57" t="str">
        <f t="shared" si="3"/>
        <v>(20, 25]</v>
      </c>
      <c r="I242" s="209">
        <v>29.62</v>
      </c>
      <c r="J242" s="55">
        <v>0.1215102373449547</v>
      </c>
      <c r="K242" s="55">
        <v>0.12382085734417582</v>
      </c>
      <c r="L242" s="108">
        <v>123820857</v>
      </c>
      <c r="M242" s="55">
        <v>0.12382085972405892</v>
      </c>
      <c r="N242" s="55">
        <v>2.793551939566683</v>
      </c>
      <c r="O242" s="110"/>
      <c r="P242" s="55">
        <v>0.12382085972405892</v>
      </c>
      <c r="Q242" s="208">
        <v>0.121521263308904</v>
      </c>
      <c r="R242" s="55">
        <v>7.2289156626506021E-2</v>
      </c>
      <c r="S242" s="78">
        <v>0.98</v>
      </c>
      <c r="T242" s="96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10"/>
      <c r="H243" s="57" t="str">
        <f t="shared" si="3"/>
        <v>(25, 30]</v>
      </c>
      <c r="I243" s="209">
        <v>28.35</v>
      </c>
      <c r="J243" s="55">
        <v>0.12114730738548668</v>
      </c>
      <c r="K243" s="55">
        <v>0.12345102596437493</v>
      </c>
      <c r="L243" s="108">
        <v>123451025</v>
      </c>
      <c r="M243" s="55">
        <v>0.1234510277159226</v>
      </c>
      <c r="N243" s="55">
        <v>3.4016916955204071</v>
      </c>
      <c r="O243" s="110"/>
      <c r="P243" s="55">
        <v>0.1234510277159226</v>
      </c>
      <c r="Q243" s="208">
        <v>0.12114459730174734</v>
      </c>
      <c r="R243" s="55">
        <v>8.4337349397590355E-2</v>
      </c>
      <c r="S243" s="78">
        <v>0.98</v>
      </c>
      <c r="T243" s="96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10"/>
      <c r="H244" s="57" t="str">
        <f t="shared" si="3"/>
        <v>(30, 35]</v>
      </c>
      <c r="I244" s="209">
        <v>7.21</v>
      </c>
      <c r="J244" s="55">
        <v>3.2062964819655607E-2</v>
      </c>
      <c r="K244" s="55">
        <v>3.2672669231114365E-2</v>
      </c>
      <c r="L244" s="108">
        <v>32672669</v>
      </c>
      <c r="M244" s="55">
        <v>3.2672669718798737E-2</v>
      </c>
      <c r="N244" s="55">
        <v>1.0637783593618855</v>
      </c>
      <c r="O244" s="110"/>
      <c r="P244" s="55">
        <v>3.2672669718798737E-2</v>
      </c>
      <c r="Q244" s="208">
        <v>3.2069605609322503E-2</v>
      </c>
      <c r="R244" s="55">
        <v>3.614457831325301E-2</v>
      </c>
      <c r="S244" s="78">
        <v>0.98</v>
      </c>
      <c r="T244" s="96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10"/>
      <c r="H245" s="105" t="str">
        <f t="shared" si="3"/>
        <v>(35, 40]</v>
      </c>
      <c r="I245" s="209">
        <v>5.64</v>
      </c>
      <c r="J245" s="55">
        <v>2.6144215480722884E-2</v>
      </c>
      <c r="K245" s="55">
        <v>2.6641369864367194E-2</v>
      </c>
      <c r="L245" s="108">
        <v>26641369</v>
      </c>
      <c r="M245" s="55">
        <v>2.6641369586110131E-2</v>
      </c>
      <c r="N245" s="55">
        <v>1.0005105989181236</v>
      </c>
      <c r="O245" s="110"/>
      <c r="P245" s="55">
        <v>2.6641369586110131E-2</v>
      </c>
      <c r="Q245" s="208">
        <v>2.6163045497097866E-2</v>
      </c>
      <c r="R245" s="55">
        <v>2.4096385542168676E-2</v>
      </c>
      <c r="S245" s="78">
        <v>0.98</v>
      </c>
      <c r="T245" s="96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10"/>
      <c r="H246" s="57" t="str">
        <f t="shared" si="3"/>
        <v>(40, 45]</v>
      </c>
      <c r="I246" s="209">
        <v>5.35</v>
      </c>
      <c r="J246" s="55">
        <v>2.5825942042860886E-2</v>
      </c>
      <c r="K246" s="55">
        <v>2.6317044187724219E-2</v>
      </c>
      <c r="L246" s="108">
        <v>26317044</v>
      </c>
      <c r="M246" s="55">
        <v>2.631704457897498E-2</v>
      </c>
      <c r="N246" s="55">
        <v>1.1199166533692886</v>
      </c>
      <c r="O246" s="110"/>
      <c r="P246" s="55">
        <v>2.631704457897498E-2</v>
      </c>
      <c r="Q246" s="208">
        <v>2.5833983490845685E-2</v>
      </c>
      <c r="R246" s="55">
        <v>3.614457831325301E-2</v>
      </c>
      <c r="S246" s="78">
        <v>0.98</v>
      </c>
      <c r="T246" s="96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10"/>
      <c r="H247" s="57" t="str">
        <f t="shared" si="3"/>
        <v>(45, 50]</v>
      </c>
      <c r="I247" s="209">
        <v>4.75</v>
      </c>
      <c r="J247" s="55">
        <v>2.3638923761136528E-2</v>
      </c>
      <c r="K247" s="55">
        <v>2.4088437902463431E-2</v>
      </c>
      <c r="L247" s="108">
        <v>24088437</v>
      </c>
      <c r="M247" s="55">
        <v>2.4088437529945626E-2</v>
      </c>
      <c r="N247" s="55">
        <v>1.1455247354897735</v>
      </c>
      <c r="O247" s="110"/>
      <c r="P247" s="55">
        <v>2.4088437529945626E-2</v>
      </c>
      <c r="Q247" s="208">
        <v>2.3657307449488841E-2</v>
      </c>
      <c r="R247" s="55">
        <v>2.4096385542168676E-2</v>
      </c>
      <c r="S247" s="78">
        <v>0.98</v>
      </c>
      <c r="T247" s="96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10">
        <v>1.91</v>
      </c>
      <c r="H248" s="105" t="str">
        <f t="shared" si="3"/>
        <v>(50, 60]</v>
      </c>
      <c r="I248" s="209" cm="1">
        <f t="array" ref="I248:I292">G248:G292*G231</f>
        <v>1.8193705</v>
      </c>
      <c r="J248" s="55">
        <v>1.9045600893819101E-2</v>
      </c>
      <c r="K248" s="55">
        <v>1.9407769113419484E-2</v>
      </c>
      <c r="L248" s="108">
        <v>19407769</v>
      </c>
      <c r="M248" s="55">
        <v>1.9407769426970926E-2</v>
      </c>
      <c r="N248" s="55">
        <v>1.0692781038061383</v>
      </c>
      <c r="O248" s="110"/>
      <c r="P248" s="55">
        <v>1.9407769426970926E-2</v>
      </c>
      <c r="Q248" s="208">
        <v>1.9965948379353018E-2</v>
      </c>
      <c r="R248" s="55">
        <v>2.4096385542168676E-2</v>
      </c>
      <c r="S248" s="78">
        <v>1.03</v>
      </c>
      <c r="T248" s="96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10">
        <v>5.94</v>
      </c>
      <c r="H249" s="57" t="str">
        <f t="shared" si="3"/>
        <v>(60, 70]</v>
      </c>
      <c r="I249" s="209">
        <v>5.6581470000000005</v>
      </c>
      <c r="J249" s="55">
        <v>6.2182917696047765E-2</v>
      </c>
      <c r="K249" s="55">
        <v>6.3365378502461253E-2</v>
      </c>
      <c r="L249" s="108">
        <v>63365378</v>
      </c>
      <c r="M249" s="55">
        <v>6.3365379394038343E-2</v>
      </c>
      <c r="N249" s="55">
        <v>4.1231346237625335</v>
      </c>
      <c r="O249" s="110"/>
      <c r="P249" s="55">
        <v>6.3365379394038343E-2</v>
      </c>
      <c r="Q249" s="208">
        <v>6.533174024130306E-2</v>
      </c>
      <c r="R249" s="55">
        <v>6.0240963855421686E-2</v>
      </c>
      <c r="S249" s="78">
        <v>1.03</v>
      </c>
      <c r="T249" s="96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10">
        <v>5.07</v>
      </c>
      <c r="H250" s="57" t="str">
        <f t="shared" si="3"/>
        <v>(70, 80]</v>
      </c>
      <c r="I250" s="209">
        <v>4.8294285000000006</v>
      </c>
      <c r="J250" s="55">
        <v>5.58405016732441E-2</v>
      </c>
      <c r="K250" s="55">
        <v>5.6902356071293264E-2</v>
      </c>
      <c r="L250" s="108">
        <v>56902356</v>
      </c>
      <c r="M250" s="55">
        <v>5.6902357251851859E-2</v>
      </c>
      <c r="N250" s="55">
        <v>4.2714638683597297</v>
      </c>
      <c r="O250" s="110"/>
      <c r="P250" s="55">
        <v>5.6902357251851859E-2</v>
      </c>
      <c r="Q250" s="208">
        <v>5.8671827114764714E-2</v>
      </c>
      <c r="R250" s="55">
        <v>4.8192771084337352E-2</v>
      </c>
      <c r="S250" s="78">
        <v>1.03</v>
      </c>
      <c r="T250" s="96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10">
        <v>2.2400000000000002</v>
      </c>
      <c r="H251" s="57" t="str">
        <f t="shared" si="3"/>
        <v>(80, 90]</v>
      </c>
      <c r="I251" s="209">
        <v>2.1337120000000001</v>
      </c>
      <c r="J251" s="55">
        <v>2.5578038786655877E-2</v>
      </c>
      <c r="K251" s="55">
        <v>2.606442684129788E-2</v>
      </c>
      <c r="L251" s="108">
        <v>26064426</v>
      </c>
      <c r="M251" s="55">
        <v>2.6064426573417385E-2</v>
      </c>
      <c r="N251" s="55">
        <v>2.2168785259643249</v>
      </c>
      <c r="O251" s="110"/>
      <c r="P251" s="55">
        <v>2.6064426573417385E-2</v>
      </c>
      <c r="Q251" s="208">
        <v>2.6865522510444929E-2</v>
      </c>
      <c r="R251" s="55">
        <v>2.4096385542168676E-2</v>
      </c>
      <c r="S251" s="78">
        <v>1.03</v>
      </c>
      <c r="T251" s="96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10">
        <v>1.91</v>
      </c>
      <c r="H252" s="57" t="str">
        <f t="shared" si="3"/>
        <v>(90, 100]</v>
      </c>
      <c r="I252" s="209">
        <v>1.8193705</v>
      </c>
      <c r="J252" s="55">
        <v>2.2526476380033383E-2</v>
      </c>
      <c r="K252" s="55">
        <v>2.2954836392926146E-2</v>
      </c>
      <c r="L252" s="108">
        <v>22954836</v>
      </c>
      <c r="M252" s="55">
        <v>2.2954836505006404E-2</v>
      </c>
      <c r="N252" s="55">
        <v>2.1818184902979119</v>
      </c>
      <c r="O252" s="110"/>
      <c r="P252" s="55">
        <v>2.2954836505006404E-2</v>
      </c>
      <c r="Q252" s="208">
        <v>2.3695970450223439E-2</v>
      </c>
      <c r="R252" s="55">
        <v>1.2048192771084338E-2</v>
      </c>
      <c r="S252" s="78">
        <v>1.03</v>
      </c>
      <c r="T252" s="96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10">
        <v>2.04</v>
      </c>
      <c r="H253" s="169" t="str">
        <f t="shared" si="3"/>
        <v>(100, 120]</v>
      </c>
      <c r="I253" s="209">
        <v>1.9432020000000001</v>
      </c>
      <c r="J253" s="55">
        <v>4.9983881138512619E-2</v>
      </c>
      <c r="K253" s="55">
        <v>5.0934366940539849E-2</v>
      </c>
      <c r="L253" s="108">
        <v>50934366</v>
      </c>
      <c r="M253" s="55">
        <v>5.0934367120556073E-2</v>
      </c>
      <c r="N253" s="55">
        <v>5.6078305233599206</v>
      </c>
      <c r="O253" s="110"/>
      <c r="P253" s="55">
        <v>5.0934367120556073E-2</v>
      </c>
      <c r="Q253" s="208">
        <v>5.239324999547175E-2</v>
      </c>
      <c r="R253" s="55">
        <v>6.0240963855421686E-2</v>
      </c>
      <c r="S253" s="78">
        <v>1.03</v>
      </c>
      <c r="T253" s="96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10">
        <v>0.94</v>
      </c>
      <c r="H254" s="170" t="str">
        <f t="shared" si="3"/>
        <v>(120, 140]</v>
      </c>
      <c r="I254" s="209">
        <v>0.895397</v>
      </c>
      <c r="J254" s="55">
        <v>2.3784282017869644E-2</v>
      </c>
      <c r="K254" s="55">
        <v>2.4236560269467404E-2</v>
      </c>
      <c r="L254" s="108">
        <v>24236560</v>
      </c>
      <c r="M254" s="55">
        <v>2.4236560533204332E-2</v>
      </c>
      <c r="N254" s="55">
        <v>3.1524848420513343</v>
      </c>
      <c r="O254" s="110"/>
      <c r="P254" s="55">
        <v>2.4236560533204332E-2</v>
      </c>
      <c r="Q254" s="208">
        <v>2.4912952473346097E-2</v>
      </c>
      <c r="R254" s="55">
        <v>7.2289156626506021E-2</v>
      </c>
      <c r="S254" s="78">
        <v>1.03</v>
      </c>
      <c r="T254" s="96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10">
        <v>1.45</v>
      </c>
      <c r="H255" s="169" t="str">
        <f t="shared" si="3"/>
        <v>(140, 160]</v>
      </c>
      <c r="I255" s="209">
        <v>1.3811975000000001</v>
      </c>
      <c r="J255" s="55">
        <v>3.7011717817336059E-2</v>
      </c>
      <c r="K255" s="55">
        <v>3.771552695525654E-2</v>
      </c>
      <c r="L255" s="108">
        <v>37715526</v>
      </c>
      <c r="M255" s="55">
        <v>3.7715526829741587E-2</v>
      </c>
      <c r="N255" s="55">
        <v>5.658919413554317</v>
      </c>
      <c r="O255" s="110"/>
      <c r="P255" s="55">
        <v>3.7715526829741587E-2</v>
      </c>
      <c r="Q255" s="208">
        <v>3.8985507740724644E-2</v>
      </c>
      <c r="R255" s="55">
        <v>2.4096385542168676E-2</v>
      </c>
      <c r="S255" s="78">
        <v>1.03</v>
      </c>
      <c r="T255" s="96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10">
        <v>0.71</v>
      </c>
      <c r="H256" s="170" t="str">
        <f t="shared" si="3"/>
        <v>(160, 180]</v>
      </c>
      <c r="I256" s="209">
        <v>0.67631049999999993</v>
      </c>
      <c r="J256" s="55">
        <v>1.8224787016829527E-2</v>
      </c>
      <c r="K256" s="55">
        <v>1.8571346765890704E-2</v>
      </c>
      <c r="L256" s="108">
        <v>18571346</v>
      </c>
      <c r="M256" s="55">
        <v>1.8571346408569622E-2</v>
      </c>
      <c r="N256" s="55">
        <v>3.1575520392500223</v>
      </c>
      <c r="O256" s="110"/>
      <c r="P256" s="55">
        <v>1.8571346408569622E-2</v>
      </c>
      <c r="Q256" s="208">
        <v>1.9015299361290688E-2</v>
      </c>
      <c r="R256" s="55">
        <v>3.614457831325301E-2</v>
      </c>
      <c r="S256" s="78">
        <v>1.02</v>
      </c>
      <c r="T256" s="96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10">
        <v>0.62</v>
      </c>
      <c r="H257" s="170" t="str">
        <f t="shared" si="3"/>
        <v>(180, 200]</v>
      </c>
      <c r="I257" s="209">
        <v>0.59058100000000002</v>
      </c>
      <c r="J257" s="55">
        <v>1.5820262422132546E-2</v>
      </c>
      <c r="K257" s="55">
        <v>1.612109810103696E-2</v>
      </c>
      <c r="L257" s="108">
        <v>16121098</v>
      </c>
      <c r="M257" s="55">
        <v>1.6121098354664163E-2</v>
      </c>
      <c r="N257" s="55">
        <v>3.0632032354341727</v>
      </c>
      <c r="O257" s="110"/>
      <c r="P257" s="55">
        <v>1.6121098354664163E-2</v>
      </c>
      <c r="Q257" s="208">
        <v>1.6718380317649224E-2</v>
      </c>
      <c r="R257" s="55">
        <v>0</v>
      </c>
      <c r="S257" s="78">
        <v>1.04</v>
      </c>
      <c r="T257" s="96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10">
        <v>0.5</v>
      </c>
      <c r="H258" s="170" t="str">
        <f t="shared" si="3"/>
        <v>(200, 250]</v>
      </c>
      <c r="I258" s="209">
        <v>0.476275</v>
      </c>
      <c r="J258" s="55">
        <v>3.0884570118943081E-2</v>
      </c>
      <c r="K258" s="55">
        <v>3.1471866357873024E-2</v>
      </c>
      <c r="L258" s="108">
        <v>31471866</v>
      </c>
      <c r="M258" s="55">
        <v>3.147186669238107E-2</v>
      </c>
      <c r="N258" s="55">
        <v>7.0752202744623274</v>
      </c>
      <c r="O258" s="110"/>
      <c r="P258" s="55">
        <v>3.147186669238107E-2</v>
      </c>
      <c r="Q258" s="208">
        <v>3.2599244619385646E-2</v>
      </c>
      <c r="R258" s="55">
        <v>6.0240963855421686E-2</v>
      </c>
      <c r="S258" s="78">
        <v>1.04</v>
      </c>
      <c r="T258" s="96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10">
        <v>0.21</v>
      </c>
      <c r="H259" s="170" t="str">
        <f t="shared" si="3"/>
        <v>(250, 300]</v>
      </c>
      <c r="I259" s="209">
        <v>0.2000355</v>
      </c>
      <c r="J259" s="55">
        <v>1.2136433450764083E-2</v>
      </c>
      <c r="K259" s="55">
        <v>1.2367218004093046E-2</v>
      </c>
      <c r="L259" s="108">
        <v>12367218</v>
      </c>
      <c r="M259" s="55">
        <v>1.2367218272078801E-2</v>
      </c>
      <c r="N259" s="55">
        <v>3.3973666879734883</v>
      </c>
      <c r="O259" s="110"/>
      <c r="P259" s="55">
        <v>1.2367218272078801E-2</v>
      </c>
      <c r="Q259" s="208">
        <v>1.2487138237255627E-2</v>
      </c>
      <c r="R259" s="55">
        <v>2.4096385542168676E-2</v>
      </c>
      <c r="S259" s="78">
        <v>1.01</v>
      </c>
      <c r="T259" s="96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10">
        <v>0.19</v>
      </c>
      <c r="H260" s="170" t="str">
        <f t="shared" si="3"/>
        <v>(300, 350]</v>
      </c>
      <c r="I260" s="209">
        <v>0.18098449999999999</v>
      </c>
      <c r="J260" s="55">
        <v>1.010182606338356E-2</v>
      </c>
      <c r="K260" s="55">
        <v>1.0293920835319881E-2</v>
      </c>
      <c r="L260" s="108">
        <v>10293920</v>
      </c>
      <c r="M260" s="55">
        <v>1.0293920226466245E-2</v>
      </c>
      <c r="N260" s="55">
        <v>3.3415703674919368</v>
      </c>
      <c r="O260" s="110"/>
      <c r="P260" s="55">
        <v>1.0293920226466245E-2</v>
      </c>
      <c r="Q260" s="208">
        <v>1.0798395205169509E-2</v>
      </c>
      <c r="R260" s="55">
        <v>1.2048192771084338E-2</v>
      </c>
      <c r="S260" s="78">
        <v>1.05</v>
      </c>
      <c r="T260" s="96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10">
        <v>0.01</v>
      </c>
      <c r="H261" s="170" t="str">
        <f t="shared" si="3"/>
        <v>(350, 400]</v>
      </c>
      <c r="I261" s="209">
        <v>9.525500000000001E-3</v>
      </c>
      <c r="J261" s="55">
        <v>4.8362500745747518E-4</v>
      </c>
      <c r="K261" s="55">
        <v>4.9282154627405502E-4</v>
      </c>
      <c r="L261" s="108">
        <v>492821</v>
      </c>
      <c r="M261" s="55">
        <v>4.9282101084206222E-4</v>
      </c>
      <c r="N261" s="55">
        <v>0.18462553114291075</v>
      </c>
      <c r="O261" s="110"/>
      <c r="P261" s="55">
        <v>4.9282101084206222E-4</v>
      </c>
      <c r="Q261" s="208">
        <v>4.4834600851857416E-4</v>
      </c>
      <c r="R261" s="55">
        <v>0</v>
      </c>
      <c r="S261" s="78">
        <v>0.91</v>
      </c>
      <c r="T261" s="96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10">
        <v>0.01</v>
      </c>
      <c r="H262" s="170" t="str">
        <f t="shared" si="3"/>
        <v>(400, 450]</v>
      </c>
      <c r="I262" s="209">
        <v>9.525500000000001E-3</v>
      </c>
      <c r="J262" s="55">
        <v>4.3651260086866771E-4</v>
      </c>
      <c r="K262" s="55">
        <v>4.4481325740195897E-4</v>
      </c>
      <c r="L262" s="108">
        <v>444813</v>
      </c>
      <c r="M262" s="55">
        <v>4.448130097858862E-4</v>
      </c>
      <c r="N262" s="55">
        <v>0.18887427350906394</v>
      </c>
      <c r="O262" s="110"/>
      <c r="P262" s="55">
        <v>4.448130097858862E-4</v>
      </c>
      <c r="Q262" s="208">
        <v>4.0557800770598215E-4</v>
      </c>
      <c r="R262" s="55">
        <v>0</v>
      </c>
      <c r="S262" s="78">
        <v>0.91</v>
      </c>
      <c r="T262" s="96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10">
        <v>0.01</v>
      </c>
      <c r="H263" s="170" t="str">
        <f t="shared" si="3"/>
        <v>(450, 500]</v>
      </c>
      <c r="I263" s="209">
        <v>9.525500000000001E-3</v>
      </c>
      <c r="J263" s="55">
        <v>3.927108189494201E-4</v>
      </c>
      <c r="K263" s="55">
        <v>4.0017854752935042E-4</v>
      </c>
      <c r="L263" s="108">
        <v>400178</v>
      </c>
      <c r="M263" s="55">
        <v>4.001780088039162E-4</v>
      </c>
      <c r="N263" s="55">
        <v>0.1899175879676088</v>
      </c>
      <c r="O263" s="110"/>
      <c r="P263" s="55">
        <v>4.001780088039162E-4</v>
      </c>
      <c r="Q263" s="208">
        <v>3.6546100694375913E-4</v>
      </c>
      <c r="R263" s="55">
        <v>0</v>
      </c>
      <c r="S263" s="78">
        <v>0.91</v>
      </c>
      <c r="T263" s="96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10">
        <v>0.01</v>
      </c>
      <c r="H264" s="170" t="str">
        <f t="shared" si="3"/>
        <v>(500, 550]</v>
      </c>
      <c r="I264" s="209">
        <v>9.525500000000001E-3</v>
      </c>
      <c r="J264" s="55">
        <v>3.5349742164111762E-4</v>
      </c>
      <c r="K264" s="55">
        <v>3.6021947428428925E-4</v>
      </c>
      <c r="L264" s="108">
        <v>360219</v>
      </c>
      <c r="M264" s="55">
        <v>3.6021900792481819E-4</v>
      </c>
      <c r="N264" s="55">
        <v>0.18895551207510156</v>
      </c>
      <c r="O264" s="110"/>
      <c r="P264" s="55">
        <v>3.6021900792481819E-4</v>
      </c>
      <c r="Q264" s="208">
        <v>3.2868000624492014E-4</v>
      </c>
      <c r="R264" s="55">
        <v>0</v>
      </c>
      <c r="S264" s="78">
        <v>0.91</v>
      </c>
      <c r="T264" s="96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10">
        <v>0.01</v>
      </c>
      <c r="H265" s="170" t="str">
        <f t="shared" si="3"/>
        <v>(550, 600]</v>
      </c>
      <c r="I265" s="209">
        <v>9.525500000000001E-3</v>
      </c>
      <c r="J265" s="55">
        <v>3.1680175332446197E-4</v>
      </c>
      <c r="K265" s="55">
        <v>3.2282600677844647E-4</v>
      </c>
      <c r="L265" s="108">
        <v>322826</v>
      </c>
      <c r="M265" s="55">
        <v>3.2282600710217216E-4</v>
      </c>
      <c r="N265" s="55">
        <v>0.18549652313725684</v>
      </c>
      <c r="O265" s="110"/>
      <c r="P265" s="55">
        <v>3.2282600710217216E-4</v>
      </c>
      <c r="Q265" s="208">
        <v>2.9585600562126408E-4</v>
      </c>
      <c r="R265" s="55">
        <v>0</v>
      </c>
      <c r="S265" s="78">
        <v>0.92</v>
      </c>
      <c r="T265" s="96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10">
        <v>0.01</v>
      </c>
      <c r="H266" s="170" t="str">
        <f t="shared" si="3"/>
        <v>(600, 650]</v>
      </c>
      <c r="I266" s="209">
        <v>9.525500000000001E-3</v>
      </c>
      <c r="J266" s="55">
        <v>2.8344380503326615E-4</v>
      </c>
      <c r="K266" s="55">
        <v>2.8883372886911481E-4</v>
      </c>
      <c r="L266" s="108">
        <v>288833</v>
      </c>
      <c r="M266" s="55">
        <v>2.8883300635432614E-4</v>
      </c>
      <c r="N266" s="55">
        <v>0.18040191180275342</v>
      </c>
      <c r="O266" s="110"/>
      <c r="P266" s="55">
        <v>2.8883300635432614E-4</v>
      </c>
      <c r="Q266" s="208">
        <v>2.6510800503705211E-4</v>
      </c>
      <c r="R266" s="55">
        <v>0</v>
      </c>
      <c r="S266" s="78">
        <v>0.92</v>
      </c>
      <c r="T266" s="96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10">
        <v>0.01</v>
      </c>
      <c r="H267" s="170" t="str">
        <f t="shared" si="3"/>
        <v>(650, 700]</v>
      </c>
      <c r="I267" s="209">
        <v>9.525500000000001E-3</v>
      </c>
      <c r="J267" s="55">
        <v>2.5518192275829794E-4</v>
      </c>
      <c r="K267" s="55">
        <v>2.6003442298419354E-4</v>
      </c>
      <c r="L267" s="108">
        <v>260034</v>
      </c>
      <c r="M267" s="55">
        <v>2.6003400572074812E-4</v>
      </c>
      <c r="N267" s="55">
        <v>0.17541585804962112</v>
      </c>
      <c r="O267" s="110"/>
      <c r="P267" s="55">
        <v>2.6003400572074812E-4</v>
      </c>
      <c r="Q267" s="208">
        <v>2.3773600451698409E-4</v>
      </c>
      <c r="R267" s="55">
        <v>0</v>
      </c>
      <c r="S267" s="78">
        <v>0.91</v>
      </c>
      <c r="T267" s="96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10">
        <v>0.01</v>
      </c>
      <c r="H268" s="170" t="str">
        <f t="shared" si="3"/>
        <v>(700, 750]</v>
      </c>
      <c r="I268" s="209">
        <v>9.525500000000001E-3</v>
      </c>
      <c r="J268" s="55">
        <v>2.287218816506737E-4</v>
      </c>
      <c r="K268" s="55">
        <v>2.3307122180134105E-4</v>
      </c>
      <c r="L268" s="108">
        <v>233071</v>
      </c>
      <c r="M268" s="55">
        <v>2.3307100512756212E-4</v>
      </c>
      <c r="N268" s="55">
        <v>0.16888380972013906</v>
      </c>
      <c r="O268" s="110"/>
      <c r="P268" s="55">
        <v>2.3307100512756212E-4</v>
      </c>
      <c r="Q268" s="208">
        <v>2.1375100406126907E-4</v>
      </c>
      <c r="R268" s="55">
        <v>0</v>
      </c>
      <c r="S268" s="78">
        <v>0.92</v>
      </c>
      <c r="T268" s="96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10">
        <v>0.01</v>
      </c>
      <c r="H269" s="170" t="str">
        <f t="shared" si="3"/>
        <v>(750, 800]</v>
      </c>
      <c r="I269" s="209">
        <v>9.525500000000001E-3</v>
      </c>
      <c r="J269" s="55">
        <v>2.0578566288140075E-4</v>
      </c>
      <c r="K269" s="55">
        <v>2.0969885142087225E-4</v>
      </c>
      <c r="L269" s="108">
        <v>209698</v>
      </c>
      <c r="M269" s="55">
        <v>2.0969800461335611E-4</v>
      </c>
      <c r="N269" s="55">
        <v>0.16242805185273074</v>
      </c>
      <c r="O269" s="110"/>
      <c r="P269" s="55">
        <v>2.0969800461335611E-4</v>
      </c>
      <c r="Q269" s="208">
        <v>1.9275200366228806E-4</v>
      </c>
      <c r="R269" s="55">
        <v>0</v>
      </c>
      <c r="S269" s="78">
        <v>0.92</v>
      </c>
      <c r="T269" s="96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10">
        <v>0.01</v>
      </c>
      <c r="H270" s="57" t="str">
        <f t="shared" si="3"/>
        <v>(800, 850]</v>
      </c>
      <c r="I270" s="209">
        <v>9.525500000000001E-3</v>
      </c>
      <c r="J270" s="55">
        <v>1.8499069026390219E-4</v>
      </c>
      <c r="K270" s="55">
        <v>1.8850844479992556E-4</v>
      </c>
      <c r="L270" s="108">
        <v>188508</v>
      </c>
      <c r="M270" s="55">
        <v>1.8850800414717608E-4</v>
      </c>
      <c r="N270" s="55">
        <v>0.15544151906035464</v>
      </c>
      <c r="O270" s="110"/>
      <c r="P270" s="55">
        <v>1.8850800414717608E-4</v>
      </c>
      <c r="Q270" s="208">
        <v>1.7283700328390306E-4</v>
      </c>
      <c r="R270" s="55">
        <v>0</v>
      </c>
      <c r="S270" s="78">
        <v>0.92</v>
      </c>
      <c r="T270" s="96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10">
        <v>0.01</v>
      </c>
      <c r="H271" s="57" t="str">
        <f t="shared" si="3"/>
        <v>(850, 900]</v>
      </c>
      <c r="I271" s="209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10"/>
      <c r="P271" s="55">
        <v>1.7014000374308009E-4</v>
      </c>
      <c r="Q271" s="208">
        <v>1.5622000296818006E-4</v>
      </c>
      <c r="R271" s="55">
        <v>0</v>
      </c>
      <c r="S271" s="78">
        <v>0.92</v>
      </c>
      <c r="T271" s="96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10">
        <v>0.01</v>
      </c>
      <c r="H272" s="57" t="str">
        <f t="shared" si="3"/>
        <v>(900, 950]</v>
      </c>
      <c r="I272" s="209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10"/>
      <c r="P272" s="55">
        <v>1.5406300338938607E-4</v>
      </c>
      <c r="Q272" s="208">
        <v>1.4089900267708104E-4</v>
      </c>
      <c r="R272" s="55">
        <v>0</v>
      </c>
      <c r="S272" s="78">
        <v>0.91</v>
      </c>
      <c r="T272" s="96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10">
        <v>0.01</v>
      </c>
      <c r="H273" s="57" t="str">
        <f t="shared" si="3"/>
        <v>(950, 1000]</v>
      </c>
      <c r="I273" s="209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10"/>
      <c r="P273" s="55">
        <v>1.3831300304288605E-4</v>
      </c>
      <c r="Q273" s="208">
        <v>1.2754400242333605E-4</v>
      </c>
      <c r="R273" s="55">
        <v>0</v>
      </c>
      <c r="S273" s="78">
        <v>0.92</v>
      </c>
      <c r="T273" s="96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10">
        <v>0.01</v>
      </c>
      <c r="H274" s="57" t="str">
        <f t="shared" si="3"/>
        <v>(1000, 2000]</v>
      </c>
      <c r="I274" s="209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10"/>
      <c r="P274" s="55">
        <v>1.2175850267868707E-3</v>
      </c>
      <c r="Q274" s="208">
        <v>6.5612401246635619E-4</v>
      </c>
      <c r="R274" s="55">
        <v>0</v>
      </c>
      <c r="S274" s="78">
        <v>0.54</v>
      </c>
      <c r="T274" s="96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10">
        <v>0</v>
      </c>
      <c r="H275" s="57" t="str">
        <f t="shared" si="3"/>
        <v>(2000, 3000]</v>
      </c>
      <c r="I275" s="209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10"/>
      <c r="P275" s="55">
        <v>0</v>
      </c>
      <c r="Q275" s="208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10">
        <v>0</v>
      </c>
      <c r="H276" s="57" t="str">
        <f t="shared" si="3"/>
        <v>(3000, 4000]</v>
      </c>
      <c r="I276" s="209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10"/>
      <c r="P276" s="55">
        <v>0</v>
      </c>
      <c r="Q276" s="208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10">
        <v>0.01</v>
      </c>
      <c r="H277" s="57" t="str">
        <f t="shared" si="3"/>
        <v>(4000, 5000]</v>
      </c>
      <c r="I277" s="209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10"/>
      <c r="P277" s="55">
        <v>5.490200120784403E-5</v>
      </c>
      <c r="Q277" s="208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10">
        <v>0.01</v>
      </c>
      <c r="H278" s="57" t="str">
        <f t="shared" si="3"/>
        <v>(5000, 6000]</v>
      </c>
      <c r="I278" s="209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10"/>
      <c r="P278" s="55">
        <v>3.469700076333402E-5</v>
      </c>
      <c r="Q278" s="208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10">
        <v>0.01</v>
      </c>
      <c r="H279" s="57" t="str">
        <f t="shared" si="3"/>
        <v>(6000, 7000]</v>
      </c>
      <c r="I279" s="209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10"/>
      <c r="P279" s="55">
        <v>2.5346000557612012E-5</v>
      </c>
      <c r="Q279" s="208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10">
        <v>0.01</v>
      </c>
      <c r="H280" s="57" t="str">
        <f t="shared" si="3"/>
        <v>(7000, 8000]</v>
      </c>
      <c r="I280" s="209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10"/>
      <c r="P280" s="55">
        <v>2.0830000458260009E-5</v>
      </c>
      <c r="Q280" s="208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10">
        <v>0.01</v>
      </c>
      <c r="H281" s="57" t="str">
        <f t="shared" si="3"/>
        <v>(8000, 9000]</v>
      </c>
      <c r="I281" s="209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10"/>
      <c r="P281" s="55">
        <v>1.8721000411862008E-5</v>
      </c>
      <c r="Q281" s="208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10">
        <v>0.01</v>
      </c>
      <c r="H282" s="57" t="str">
        <f t="shared" si="3"/>
        <v>(9000, 10000]</v>
      </c>
      <c r="I282" s="209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10"/>
      <c r="P282" s="55">
        <v>1.7182000378004007E-5</v>
      </c>
      <c r="Q282" s="208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10">
        <v>0.01</v>
      </c>
      <c r="H283" s="57" t="str">
        <f t="shared" si="3"/>
        <v>(10000, 20000]</v>
      </c>
      <c r="I283" s="209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10"/>
      <c r="P283" s="55">
        <v>1.2819800282035606E-4</v>
      </c>
      <c r="Q283" s="208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10">
        <v>0</v>
      </c>
      <c r="H284" s="57" t="str">
        <f t="shared" si="3"/>
        <v>(20000, 30000]</v>
      </c>
      <c r="I284" s="209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10"/>
      <c r="P284" s="55">
        <v>0</v>
      </c>
      <c r="Q284" s="208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10">
        <v>0</v>
      </c>
      <c r="H285" s="57" t="str">
        <f t="shared" si="3"/>
        <v>(30000, 40000]</v>
      </c>
      <c r="I285" s="209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10"/>
      <c r="P285" s="55">
        <v>0</v>
      </c>
      <c r="Q285" s="208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10">
        <v>0</v>
      </c>
      <c r="H286" s="57" t="str">
        <f t="shared" si="3"/>
        <v>(40000, 50000]</v>
      </c>
      <c r="I286" s="209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10"/>
      <c r="P286" s="55">
        <v>0</v>
      </c>
      <c r="Q286" s="208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10">
        <v>0</v>
      </c>
      <c r="H287" s="57" t="str">
        <f t="shared" si="3"/>
        <v>(50000, 60000]</v>
      </c>
      <c r="I287" s="209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10"/>
      <c r="P287" s="55">
        <v>0</v>
      </c>
      <c r="Q287" s="208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10">
        <v>0</v>
      </c>
      <c r="H288" s="57" t="str">
        <f t="shared" si="3"/>
        <v>(60000, 70000]</v>
      </c>
      <c r="I288" s="209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10"/>
      <c r="P288" s="55">
        <v>0</v>
      </c>
      <c r="Q288" s="208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10">
        <v>0</v>
      </c>
      <c r="H289" s="57" t="str">
        <f t="shared" si="3"/>
        <v>(70000, 80000]</v>
      </c>
      <c r="I289" s="209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10"/>
      <c r="P289" s="55">
        <v>0</v>
      </c>
      <c r="Q289" s="208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10">
        <v>0</v>
      </c>
      <c r="H290" s="57" t="str">
        <f t="shared" si="3"/>
        <v>(80000, 90000]</v>
      </c>
      <c r="I290" s="209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10"/>
      <c r="P290" s="55">
        <v>0</v>
      </c>
      <c r="Q290" s="208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10">
        <v>0</v>
      </c>
      <c r="H291" s="57" t="str">
        <f t="shared" si="3"/>
        <v>(90000, 100000]</v>
      </c>
      <c r="I291" s="209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10"/>
      <c r="P291" s="55">
        <v>0</v>
      </c>
      <c r="Q291" s="208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10">
        <v>0</v>
      </c>
      <c r="H292" s="57" t="str">
        <f t="shared" si="3"/>
        <v>(100000, 9999999]</v>
      </c>
      <c r="I292" s="209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10"/>
      <c r="P292" s="55">
        <v>0</v>
      </c>
      <c r="Q292" s="208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abSelected="1" topLeftCell="A3" workbookViewId="0">
      <selection activeCell="J17" sqref="J17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9.6640625" style="22" customWidth="1"/>
    <col min="5" max="5" width="20.33203125" style="15" customWidth="1"/>
    <col min="6" max="6" width="19.77734375" style="22" bestFit="1" customWidth="1"/>
    <col min="7" max="7" width="16.77734375" style="22" customWidth="1"/>
    <col min="8" max="8" width="20.5546875" style="22" customWidth="1"/>
    <col min="9" max="10" width="16.5546875" style="22" customWidth="1"/>
    <col min="11" max="11" width="24.109375" style="22" bestFit="1" customWidth="1"/>
    <col min="12" max="12" width="16.5546875" style="22" customWidth="1"/>
    <col min="13" max="13" width="8.88671875" style="22"/>
    <col min="14" max="14" width="12.44140625" style="22" bestFit="1" customWidth="1"/>
    <col min="15" max="15" width="11" style="22" bestFit="1" customWidth="1"/>
    <col min="16" max="16384" width="8.88671875" style="22"/>
  </cols>
  <sheetData>
    <row r="2" spans="1:8">
      <c r="B2" s="92" t="s">
        <v>56</v>
      </c>
      <c r="C2" s="112">
        <v>10000000000</v>
      </c>
    </row>
    <row r="4" spans="1:8">
      <c r="B4" s="184" t="s">
        <v>270</v>
      </c>
      <c r="C4" s="184" t="s">
        <v>46</v>
      </c>
      <c r="D4" s="186" t="s">
        <v>271</v>
      </c>
      <c r="E4" s="122" t="s">
        <v>275</v>
      </c>
      <c r="F4" s="184" t="s">
        <v>276</v>
      </c>
      <c r="G4" s="186" t="s">
        <v>277</v>
      </c>
      <c r="H4" s="184" t="s">
        <v>278</v>
      </c>
    </row>
    <row r="5" spans="1:8">
      <c r="A5" s="15"/>
      <c r="B5" s="223" t="s">
        <v>272</v>
      </c>
      <c r="C5" s="223" t="s">
        <v>47</v>
      </c>
      <c r="D5" s="223" t="s">
        <v>17</v>
      </c>
      <c r="E5" s="20" t="s">
        <v>92</v>
      </c>
      <c r="F5" s="232">
        <v>100000000</v>
      </c>
      <c r="G5" s="187">
        <v>32879427</v>
      </c>
      <c r="H5" s="227">
        <f>SUM(G5:G6)/F5*$C$2</f>
        <v>3414224400</v>
      </c>
    </row>
    <row r="6" spans="1:8">
      <c r="B6" s="224"/>
      <c r="C6" s="224"/>
      <c r="D6" s="224"/>
      <c r="E6" s="8" t="s">
        <v>93</v>
      </c>
      <c r="F6" s="233"/>
      <c r="G6" s="101">
        <v>1262817</v>
      </c>
      <c r="H6" s="228"/>
    </row>
    <row r="7" spans="1:8">
      <c r="B7" s="223" t="s">
        <v>272</v>
      </c>
      <c r="C7" s="223" t="s">
        <v>264</v>
      </c>
      <c r="D7" s="223" t="s">
        <v>17</v>
      </c>
      <c r="E7" s="20" t="s">
        <v>92</v>
      </c>
      <c r="F7" s="232">
        <v>100000000</v>
      </c>
      <c r="G7" s="187">
        <v>34010792</v>
      </c>
      <c r="H7" s="227">
        <f>SUM(G7:G8)/F7*$C$2</f>
        <v>4030831300</v>
      </c>
    </row>
    <row r="8" spans="1:8">
      <c r="B8" s="224"/>
      <c r="C8" s="224"/>
      <c r="D8" s="224"/>
      <c r="E8" s="8" t="s">
        <v>93</v>
      </c>
      <c r="F8" s="233"/>
      <c r="G8" s="101">
        <v>6297521</v>
      </c>
      <c r="H8" s="228"/>
    </row>
    <row r="9" spans="1:8">
      <c r="A9" s="15"/>
      <c r="B9" s="223" t="s">
        <v>273</v>
      </c>
      <c r="C9" s="223" t="s">
        <v>47</v>
      </c>
      <c r="D9" s="223" t="s">
        <v>17</v>
      </c>
      <c r="E9" s="20" t="s">
        <v>92</v>
      </c>
      <c r="F9" s="232">
        <v>100000000</v>
      </c>
      <c r="G9" s="101">
        <v>32848919</v>
      </c>
      <c r="H9" s="227">
        <f>SUM(G9:G10)/F9*$C$2</f>
        <v>3410413800</v>
      </c>
    </row>
    <row r="10" spans="1:8">
      <c r="B10" s="224"/>
      <c r="C10" s="224"/>
      <c r="D10" s="224"/>
      <c r="E10" s="8" t="s">
        <v>93</v>
      </c>
      <c r="F10" s="233"/>
      <c r="G10" s="101">
        <v>1255219</v>
      </c>
      <c r="H10" s="228"/>
    </row>
    <row r="11" spans="1:8">
      <c r="B11" s="223" t="s">
        <v>273</v>
      </c>
      <c r="C11" s="223" t="s">
        <v>264</v>
      </c>
      <c r="D11" s="223" t="s">
        <v>17</v>
      </c>
      <c r="E11" s="20" t="s">
        <v>92</v>
      </c>
      <c r="F11" s="232">
        <v>100000000</v>
      </c>
      <c r="G11" s="101">
        <v>34018785</v>
      </c>
      <c r="H11" s="227">
        <f>SUM(G11:G12)/F11*$C$2</f>
        <v>4029110000</v>
      </c>
    </row>
    <row r="12" spans="1:8">
      <c r="B12" s="224"/>
      <c r="C12" s="224"/>
      <c r="D12" s="224"/>
      <c r="E12" s="8" t="s">
        <v>93</v>
      </c>
      <c r="F12" s="233"/>
      <c r="G12" s="101">
        <v>6272315</v>
      </c>
      <c r="H12" s="228"/>
    </row>
    <row r="13" spans="1:8">
      <c r="A13" s="15"/>
      <c r="B13" s="223" t="s">
        <v>273</v>
      </c>
      <c r="C13" s="223" t="s">
        <v>274</v>
      </c>
      <c r="D13" s="223" t="s">
        <v>17</v>
      </c>
      <c r="E13" s="20" t="s">
        <v>92</v>
      </c>
      <c r="F13" s="234">
        <f>G13</f>
        <v>1000000</v>
      </c>
      <c r="G13" s="101">
        <v>1000000</v>
      </c>
      <c r="H13" s="227">
        <f>SUM(G13:G14)/F13*$C$2</f>
        <v>41025290000</v>
      </c>
    </row>
    <row r="14" spans="1:8">
      <c r="B14" s="224"/>
      <c r="C14" s="224"/>
      <c r="D14" s="224"/>
      <c r="E14" s="8" t="s">
        <v>93</v>
      </c>
      <c r="F14" s="235"/>
      <c r="G14" s="101">
        <v>3102529</v>
      </c>
      <c r="H14" s="228"/>
    </row>
    <row r="15" spans="1:8">
      <c r="B15" s="185"/>
      <c r="C15" s="185"/>
      <c r="D15" s="185"/>
      <c r="F15" s="48"/>
    </row>
    <row r="16" spans="1:8">
      <c r="B16" s="230" t="s">
        <v>272</v>
      </c>
      <c r="C16" s="230" t="s">
        <v>47</v>
      </c>
      <c r="D16" s="230" t="s">
        <v>90</v>
      </c>
      <c r="E16" s="125" t="s">
        <v>92</v>
      </c>
      <c r="F16" s="231"/>
      <c r="G16" s="114"/>
      <c r="H16" s="229" t="e">
        <f>SUM(G16:G17)/F16*$C$2</f>
        <v>#DIV/0!</v>
      </c>
    </row>
    <row r="17" spans="2:8">
      <c r="B17" s="230"/>
      <c r="C17" s="230"/>
      <c r="D17" s="230"/>
      <c r="E17" s="125" t="s">
        <v>93</v>
      </c>
      <c r="F17" s="231"/>
      <c r="G17" s="114"/>
      <c r="H17" s="229"/>
    </row>
    <row r="18" spans="2:8">
      <c r="B18" s="230" t="s">
        <v>272</v>
      </c>
      <c r="C18" s="230" t="s">
        <v>264</v>
      </c>
      <c r="D18" s="230" t="s">
        <v>90</v>
      </c>
      <c r="E18" s="125" t="s">
        <v>92</v>
      </c>
      <c r="F18" s="231"/>
      <c r="G18" s="114"/>
      <c r="H18" s="229" t="e">
        <f>SUM(G18:G19)/F18*$C$2</f>
        <v>#DIV/0!</v>
      </c>
    </row>
    <row r="19" spans="2:8">
      <c r="B19" s="230"/>
      <c r="C19" s="230"/>
      <c r="D19" s="230"/>
      <c r="E19" s="125" t="s">
        <v>93</v>
      </c>
      <c r="F19" s="231"/>
      <c r="G19" s="114"/>
      <c r="H19" s="229"/>
    </row>
    <row r="20" spans="2:8">
      <c r="B20" s="223" t="s">
        <v>273</v>
      </c>
      <c r="C20" s="223" t="s">
        <v>47</v>
      </c>
      <c r="D20" s="223" t="s">
        <v>90</v>
      </c>
      <c r="E20" s="20" t="s">
        <v>92</v>
      </c>
      <c r="F20" s="225"/>
      <c r="G20" s="101"/>
      <c r="H20" s="227" t="e">
        <f>SUM(G20:G21)/F20*$C$2</f>
        <v>#DIV/0!</v>
      </c>
    </row>
    <row r="21" spans="2:8">
      <c r="B21" s="224"/>
      <c r="C21" s="224"/>
      <c r="D21" s="224"/>
      <c r="E21" s="8" t="s">
        <v>93</v>
      </c>
      <c r="F21" s="226"/>
      <c r="G21" s="101"/>
      <c r="H21" s="228"/>
    </row>
    <row r="22" spans="2:8">
      <c r="B22" s="223" t="s">
        <v>273</v>
      </c>
      <c r="C22" s="223" t="s">
        <v>264</v>
      </c>
      <c r="D22" s="223" t="s">
        <v>90</v>
      </c>
      <c r="E22" s="20" t="s">
        <v>92</v>
      </c>
      <c r="F22" s="225"/>
      <c r="G22" s="101"/>
      <c r="H22" s="227" t="e">
        <f>SUM(G22:G23)/F22*$C$2</f>
        <v>#DIV/0!</v>
      </c>
    </row>
    <row r="23" spans="2:8">
      <c r="B23" s="224"/>
      <c r="C23" s="224"/>
      <c r="D23" s="224"/>
      <c r="E23" s="8" t="s">
        <v>93</v>
      </c>
      <c r="F23" s="226"/>
      <c r="G23" s="101"/>
      <c r="H23" s="228"/>
    </row>
    <row r="24" spans="2:8">
      <c r="B24" s="223" t="s">
        <v>273</v>
      </c>
      <c r="C24" s="223" t="s">
        <v>274</v>
      </c>
      <c r="D24" s="223" t="s">
        <v>90</v>
      </c>
      <c r="E24" s="20" t="s">
        <v>92</v>
      </c>
      <c r="F24" s="234">
        <f>G24</f>
        <v>0</v>
      </c>
      <c r="G24" s="101"/>
      <c r="H24" s="227" t="e">
        <f>SUM(G24:G25)/F24*$C$2</f>
        <v>#DIV/0!</v>
      </c>
    </row>
    <row r="25" spans="2:8">
      <c r="B25" s="224"/>
      <c r="C25" s="224"/>
      <c r="D25" s="224"/>
      <c r="E25" s="8" t="s">
        <v>93</v>
      </c>
      <c r="F25" s="235"/>
      <c r="G25" s="101"/>
      <c r="H25" s="228"/>
    </row>
    <row r="26" spans="2:8">
      <c r="E26" s="22"/>
    </row>
    <row r="27" spans="2:8">
      <c r="E27" s="22"/>
    </row>
    <row r="28" spans="2:8">
      <c r="E28" s="22"/>
    </row>
    <row r="29" spans="2:8">
      <c r="E29" s="22"/>
    </row>
    <row r="30" spans="2:8">
      <c r="E30" s="22"/>
    </row>
    <row r="31" spans="2:8">
      <c r="E31" s="22"/>
    </row>
    <row r="32" spans="2:8">
      <c r="E32" s="22"/>
    </row>
    <row r="33" spans="5:5">
      <c r="E33" s="22"/>
    </row>
    <row r="34" spans="5:5">
      <c r="E34" s="22"/>
    </row>
    <row r="35" spans="5:5">
      <c r="E35" s="22"/>
    </row>
    <row r="36" spans="5:5">
      <c r="E36" s="22"/>
    </row>
    <row r="37" spans="5:5">
      <c r="E37" s="22"/>
    </row>
    <row r="38" spans="5:5">
      <c r="E38" s="22"/>
    </row>
    <row r="39" spans="5:5">
      <c r="E39" s="22"/>
    </row>
    <row r="40" spans="5:5">
      <c r="E40" s="22"/>
    </row>
    <row r="41" spans="5:5">
      <c r="E41" s="22"/>
    </row>
    <row r="42" spans="5:5">
      <c r="E42" s="22"/>
    </row>
  </sheetData>
  <mergeCells count="50">
    <mergeCell ref="B5:B6"/>
    <mergeCell ref="C5:C6"/>
    <mergeCell ref="D5:D6"/>
    <mergeCell ref="F5:F6"/>
    <mergeCell ref="B13:B14"/>
    <mergeCell ref="C13:C14"/>
    <mergeCell ref="D13:D14"/>
    <mergeCell ref="F13:F14"/>
    <mergeCell ref="B9:B10"/>
    <mergeCell ref="C9:C10"/>
    <mergeCell ref="D9:D10"/>
    <mergeCell ref="F9:F10"/>
    <mergeCell ref="B7:B8"/>
    <mergeCell ref="C7:C8"/>
    <mergeCell ref="D7:D8"/>
    <mergeCell ref="F7:F8"/>
    <mergeCell ref="H5:H6"/>
    <mergeCell ref="H7:H8"/>
    <mergeCell ref="H9:H10"/>
    <mergeCell ref="H11:H12"/>
    <mergeCell ref="H13:H14"/>
    <mergeCell ref="B11:B12"/>
    <mergeCell ref="C11:C12"/>
    <mergeCell ref="D11:D12"/>
    <mergeCell ref="F11:F12"/>
    <mergeCell ref="B16:B17"/>
    <mergeCell ref="C16:C17"/>
    <mergeCell ref="D16:D17"/>
    <mergeCell ref="F16:F17"/>
    <mergeCell ref="H16:H17"/>
    <mergeCell ref="B20:B21"/>
    <mergeCell ref="C20:C21"/>
    <mergeCell ref="D20:D21"/>
    <mergeCell ref="F20:F21"/>
    <mergeCell ref="H20:H21"/>
    <mergeCell ref="B18:B19"/>
    <mergeCell ref="C18:C19"/>
    <mergeCell ref="D18:D19"/>
    <mergeCell ref="F18:F19"/>
    <mergeCell ref="H18:H19"/>
    <mergeCell ref="B24:B25"/>
    <mergeCell ref="C24:C25"/>
    <mergeCell ref="D24:D25"/>
    <mergeCell ref="F24:F25"/>
    <mergeCell ref="H24:H25"/>
    <mergeCell ref="B22:B23"/>
    <mergeCell ref="C22:C23"/>
    <mergeCell ref="D22:D23"/>
    <mergeCell ref="F22:F23"/>
    <mergeCell ref="H22:H23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zoomScale="70" zoomScaleNormal="70" workbookViewId="0">
      <selection activeCell="AC28" sqref="AC28:AO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303</v>
      </c>
      <c r="W2" s="25" t="s">
        <v>304</v>
      </c>
      <c r="AC2" s="25" t="s">
        <v>305</v>
      </c>
      <c r="AH2" s="5"/>
      <c r="AI2" s="5"/>
      <c r="AJ2" s="25" t="s">
        <v>94</v>
      </c>
      <c r="AO2" s="5"/>
    </row>
    <row r="3" spans="1:41" ht="15.9" customHeight="1">
      <c r="A3" s="122" t="s">
        <v>36</v>
      </c>
      <c r="B3" s="122" t="s">
        <v>37</v>
      </c>
      <c r="C3" s="122" t="s">
        <v>7</v>
      </c>
      <c r="D3" s="122" t="s">
        <v>8</v>
      </c>
      <c r="E3" s="122" t="s">
        <v>9</v>
      </c>
      <c r="F3" s="122" t="s">
        <v>10</v>
      </c>
      <c r="G3" s="122" t="s">
        <v>11</v>
      </c>
      <c r="H3" s="122" t="s">
        <v>310</v>
      </c>
      <c r="I3" s="14"/>
      <c r="J3" s="122"/>
      <c r="K3" s="122" t="s">
        <v>7</v>
      </c>
      <c r="L3" s="122" t="s">
        <v>8</v>
      </c>
      <c r="M3" s="122" t="s">
        <v>9</v>
      </c>
      <c r="N3" s="122" t="s">
        <v>10</v>
      </c>
      <c r="O3" s="122" t="s">
        <v>11</v>
      </c>
      <c r="Q3" s="122" t="s">
        <v>7</v>
      </c>
      <c r="R3" s="122" t="s">
        <v>8</v>
      </c>
      <c r="S3" s="122" t="s">
        <v>9</v>
      </c>
      <c r="T3" s="122" t="s">
        <v>10</v>
      </c>
      <c r="U3" s="122" t="s">
        <v>11</v>
      </c>
      <c r="W3" s="122" t="s">
        <v>7</v>
      </c>
      <c r="X3" s="122" t="s">
        <v>8</v>
      </c>
      <c r="Y3" s="122" t="s">
        <v>9</v>
      </c>
      <c r="Z3" s="122" t="s">
        <v>10</v>
      </c>
      <c r="AA3" s="122" t="s">
        <v>11</v>
      </c>
      <c r="AO3" s="5"/>
    </row>
    <row r="4" spans="1:41" ht="15.9" customHeight="1">
      <c r="A4" s="203" t="s">
        <v>306</v>
      </c>
      <c r="B4" s="201" t="s">
        <v>38</v>
      </c>
      <c r="C4" s="203">
        <v>0</v>
      </c>
      <c r="D4" s="203">
        <v>0</v>
      </c>
      <c r="E4" s="203">
        <v>0</v>
      </c>
      <c r="F4" s="203">
        <v>0</v>
      </c>
      <c r="G4" s="203">
        <v>0</v>
      </c>
      <c r="H4" s="201">
        <v>0</v>
      </c>
      <c r="I4" s="82"/>
      <c r="J4" s="23">
        <v>0</v>
      </c>
      <c r="K4" s="24" t="s">
        <v>13</v>
      </c>
      <c r="L4" s="24" t="s">
        <v>98</v>
      </c>
      <c r="M4" s="24" t="s">
        <v>97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307</v>
      </c>
      <c r="AH4" s="5"/>
      <c r="AI4" s="5"/>
      <c r="AJ4" s="25" t="s">
        <v>307</v>
      </c>
      <c r="AO4" s="5"/>
    </row>
    <row r="5" spans="1:41" ht="15.9" customHeight="1">
      <c r="A5" s="203" t="s">
        <v>14</v>
      </c>
      <c r="B5" s="201" t="s">
        <v>39</v>
      </c>
      <c r="C5" s="203">
        <v>0</v>
      </c>
      <c r="D5" s="203">
        <v>6</v>
      </c>
      <c r="E5" s="203">
        <v>0</v>
      </c>
      <c r="F5" s="203">
        <v>9</v>
      </c>
      <c r="G5" s="203">
        <v>0</v>
      </c>
      <c r="H5" s="201">
        <v>1</v>
      </c>
      <c r="I5" s="82"/>
      <c r="J5" s="195">
        <v>1</v>
      </c>
      <c r="K5" s="196" t="s">
        <v>97</v>
      </c>
      <c r="L5" s="196" t="s">
        <v>95</v>
      </c>
      <c r="M5" s="196" t="s">
        <v>13</v>
      </c>
      <c r="N5" s="196" t="s">
        <v>30</v>
      </c>
      <c r="O5" s="196" t="s">
        <v>12</v>
      </c>
      <c r="Q5" s="195">
        <v>6</v>
      </c>
      <c r="R5" s="195">
        <v>17</v>
      </c>
      <c r="S5" s="195">
        <v>5</v>
      </c>
      <c r="T5" s="195">
        <v>10</v>
      </c>
      <c r="U5" s="195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22" t="s">
        <v>36</v>
      </c>
      <c r="AD5" s="122" t="s">
        <v>7</v>
      </c>
      <c r="AE5" s="122" t="s">
        <v>8</v>
      </c>
      <c r="AF5" s="122" t="s">
        <v>9</v>
      </c>
      <c r="AG5" s="122" t="s">
        <v>10</v>
      </c>
      <c r="AH5" s="122" t="s">
        <v>11</v>
      </c>
      <c r="AI5" s="5"/>
      <c r="AJ5" s="122" t="s">
        <v>36</v>
      </c>
      <c r="AK5" s="122" t="s">
        <v>7</v>
      </c>
      <c r="AL5" s="122" t="s">
        <v>8</v>
      </c>
      <c r="AM5" s="122" t="s">
        <v>9</v>
      </c>
      <c r="AN5" s="122" t="s">
        <v>10</v>
      </c>
      <c r="AO5" s="122" t="s">
        <v>11</v>
      </c>
    </row>
    <row r="6" spans="1:41" ht="15.9" customHeight="1">
      <c r="A6" s="202" t="s">
        <v>15</v>
      </c>
      <c r="B6" s="136" t="s">
        <v>15</v>
      </c>
      <c r="C6" s="202">
        <v>4</v>
      </c>
      <c r="D6" s="202">
        <v>22</v>
      </c>
      <c r="E6" s="202">
        <v>5</v>
      </c>
      <c r="F6" s="202">
        <v>21</v>
      </c>
      <c r="G6" s="202">
        <v>23</v>
      </c>
      <c r="H6" s="136">
        <v>2</v>
      </c>
      <c r="I6" s="82"/>
      <c r="J6" s="23">
        <v>2</v>
      </c>
      <c r="K6" s="196" t="s">
        <v>30</v>
      </c>
      <c r="L6" s="196" t="s">
        <v>14</v>
      </c>
      <c r="M6" s="196" t="s">
        <v>29</v>
      </c>
      <c r="N6" s="196" t="s">
        <v>88</v>
      </c>
      <c r="O6" s="196" t="s">
        <v>15</v>
      </c>
      <c r="Q6" s="195">
        <v>10</v>
      </c>
      <c r="R6" s="195">
        <v>1</v>
      </c>
      <c r="S6" s="195">
        <v>8</v>
      </c>
      <c r="T6" s="195">
        <v>19</v>
      </c>
      <c r="U6" s="195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201" t="s">
        <v>306</v>
      </c>
      <c r="AD6" s="126">
        <v>0</v>
      </c>
      <c r="AE6" s="126">
        <v>0</v>
      </c>
      <c r="AF6" s="126">
        <v>0</v>
      </c>
      <c r="AG6" s="126">
        <v>0</v>
      </c>
      <c r="AH6" s="126">
        <v>0</v>
      </c>
      <c r="AI6" s="5"/>
      <c r="AJ6" s="201" t="s">
        <v>306</v>
      </c>
      <c r="AK6" s="126">
        <v>0</v>
      </c>
      <c r="AL6" s="126">
        <v>0</v>
      </c>
      <c r="AM6" s="126">
        <v>0</v>
      </c>
      <c r="AN6" s="126">
        <v>0</v>
      </c>
      <c r="AO6" s="126">
        <v>0</v>
      </c>
    </row>
    <row r="7" spans="1:41" ht="15.9" customHeight="1">
      <c r="A7" s="202" t="s">
        <v>16</v>
      </c>
      <c r="B7" s="136" t="s">
        <v>16</v>
      </c>
      <c r="C7" s="202">
        <v>4</v>
      </c>
      <c r="D7" s="202">
        <v>10</v>
      </c>
      <c r="E7" s="202">
        <v>5</v>
      </c>
      <c r="F7" s="202">
        <v>21</v>
      </c>
      <c r="G7" s="202">
        <v>23</v>
      </c>
      <c r="H7" s="136">
        <v>3</v>
      </c>
      <c r="I7" s="82"/>
      <c r="J7" s="195">
        <v>3</v>
      </c>
      <c r="K7" s="196" t="s">
        <v>31</v>
      </c>
      <c r="L7" s="24" t="s">
        <v>30</v>
      </c>
      <c r="M7" s="196" t="s">
        <v>13</v>
      </c>
      <c r="N7" s="196" t="s">
        <v>15</v>
      </c>
      <c r="O7" s="196" t="s">
        <v>13</v>
      </c>
      <c r="Q7" s="195">
        <v>7</v>
      </c>
      <c r="R7" s="195">
        <v>10</v>
      </c>
      <c r="S7" s="195">
        <v>5</v>
      </c>
      <c r="T7" s="195">
        <v>2</v>
      </c>
      <c r="U7" s="195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201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201" t="s">
        <v>14</v>
      </c>
      <c r="AK7" s="201">
        <v>0</v>
      </c>
      <c r="AL7" s="201">
        <v>6</v>
      </c>
      <c r="AM7" s="201">
        <v>0</v>
      </c>
      <c r="AN7" s="201">
        <v>9</v>
      </c>
      <c r="AO7" s="201">
        <v>0</v>
      </c>
    </row>
    <row r="8" spans="1:41" ht="15.9" customHeight="1">
      <c r="A8" s="202" t="s">
        <v>12</v>
      </c>
      <c r="B8" s="136" t="s">
        <v>12</v>
      </c>
      <c r="C8" s="202">
        <v>4</v>
      </c>
      <c r="D8" s="202">
        <v>9</v>
      </c>
      <c r="E8" s="202">
        <v>5</v>
      </c>
      <c r="F8" s="202">
        <v>21</v>
      </c>
      <c r="G8" s="202">
        <v>22</v>
      </c>
      <c r="H8" s="136">
        <v>4</v>
      </c>
      <c r="I8" s="82"/>
      <c r="J8" s="23">
        <v>4</v>
      </c>
      <c r="K8" s="196" t="s">
        <v>97</v>
      </c>
      <c r="L8" s="196" t="s">
        <v>79</v>
      </c>
      <c r="M8" s="196" t="s">
        <v>12</v>
      </c>
      <c r="N8" s="196" t="s">
        <v>80</v>
      </c>
      <c r="O8" s="196" t="s">
        <v>31</v>
      </c>
      <c r="Q8" s="195">
        <v>6</v>
      </c>
      <c r="R8" s="195">
        <v>11</v>
      </c>
      <c r="S8" s="195">
        <v>4</v>
      </c>
      <c r="T8" s="195">
        <v>12</v>
      </c>
      <c r="U8" s="195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6" t="s">
        <v>15</v>
      </c>
      <c r="AD8" s="202">
        <v>4</v>
      </c>
      <c r="AE8" s="202">
        <v>22</v>
      </c>
      <c r="AF8" s="202">
        <v>5</v>
      </c>
      <c r="AG8" s="202">
        <v>21</v>
      </c>
      <c r="AH8" s="202">
        <v>23</v>
      </c>
      <c r="AI8" s="5"/>
      <c r="AJ8" s="136" t="s">
        <v>15</v>
      </c>
      <c r="AK8" s="202">
        <v>4</v>
      </c>
      <c r="AL8" s="202">
        <v>22</v>
      </c>
      <c r="AM8" s="202">
        <v>5</v>
      </c>
      <c r="AN8" s="202">
        <v>21</v>
      </c>
      <c r="AO8" s="202">
        <v>23</v>
      </c>
    </row>
    <row r="9" spans="1:41" ht="15.9" customHeight="1">
      <c r="A9" s="202" t="s">
        <v>13</v>
      </c>
      <c r="B9" s="136" t="s">
        <v>13</v>
      </c>
      <c r="C9" s="202">
        <v>43</v>
      </c>
      <c r="D9" s="202">
        <v>13</v>
      </c>
      <c r="E9" s="202">
        <v>41</v>
      </c>
      <c r="F9" s="202">
        <v>14</v>
      </c>
      <c r="G9" s="202">
        <v>22</v>
      </c>
      <c r="H9" s="136">
        <v>5</v>
      </c>
      <c r="I9" s="82"/>
      <c r="J9" s="195">
        <v>5</v>
      </c>
      <c r="K9" s="196" t="s">
        <v>29</v>
      </c>
      <c r="L9" s="196" t="s">
        <v>29</v>
      </c>
      <c r="M9" s="196" t="s">
        <v>13</v>
      </c>
      <c r="N9" s="196" t="s">
        <v>15</v>
      </c>
      <c r="O9" s="196" t="s">
        <v>29</v>
      </c>
      <c r="Q9" s="195">
        <v>8</v>
      </c>
      <c r="R9" s="195">
        <v>8</v>
      </c>
      <c r="S9" s="195">
        <v>5</v>
      </c>
      <c r="T9" s="195">
        <v>2</v>
      </c>
      <c r="U9" s="195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6" t="s">
        <v>16</v>
      </c>
      <c r="AD9" s="202">
        <v>4</v>
      </c>
      <c r="AE9" s="202">
        <v>10</v>
      </c>
      <c r="AF9" s="202">
        <v>5</v>
      </c>
      <c r="AG9" s="202">
        <v>21</v>
      </c>
      <c r="AH9" s="202">
        <v>23</v>
      </c>
      <c r="AI9" s="5"/>
      <c r="AJ9" s="136" t="s">
        <v>16</v>
      </c>
      <c r="AK9" s="202">
        <v>4</v>
      </c>
      <c r="AL9" s="202">
        <v>10</v>
      </c>
      <c r="AM9" s="202">
        <v>5</v>
      </c>
      <c r="AN9" s="202">
        <v>21</v>
      </c>
      <c r="AO9" s="202">
        <v>23</v>
      </c>
    </row>
    <row r="10" spans="1:41" ht="15.9" customHeight="1">
      <c r="A10" s="202" t="s">
        <v>97</v>
      </c>
      <c r="B10" s="136" t="s">
        <v>97</v>
      </c>
      <c r="C10" s="202">
        <v>43</v>
      </c>
      <c r="D10" s="202">
        <v>14</v>
      </c>
      <c r="E10" s="202">
        <v>41</v>
      </c>
      <c r="F10" s="202">
        <v>14</v>
      </c>
      <c r="G10" s="202">
        <v>22</v>
      </c>
      <c r="H10" s="136">
        <v>6</v>
      </c>
      <c r="I10" s="82"/>
      <c r="J10" s="23">
        <v>6</v>
      </c>
      <c r="K10" s="196" t="s">
        <v>97</v>
      </c>
      <c r="L10" s="196" t="s">
        <v>79</v>
      </c>
      <c r="M10" s="196" t="s">
        <v>31</v>
      </c>
      <c r="N10" s="196" t="s">
        <v>13</v>
      </c>
      <c r="O10" s="196" t="s">
        <v>31</v>
      </c>
      <c r="Q10" s="195">
        <v>6</v>
      </c>
      <c r="R10" s="195">
        <v>11</v>
      </c>
      <c r="S10" s="195">
        <v>7</v>
      </c>
      <c r="T10" s="195">
        <v>5</v>
      </c>
      <c r="U10" s="195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6" t="s">
        <v>12</v>
      </c>
      <c r="AD10" s="202">
        <v>4</v>
      </c>
      <c r="AE10" s="202">
        <v>9</v>
      </c>
      <c r="AF10" s="202">
        <v>5</v>
      </c>
      <c r="AG10" s="202">
        <v>21</v>
      </c>
      <c r="AH10" s="202">
        <v>22</v>
      </c>
      <c r="AI10" s="5"/>
      <c r="AJ10" s="136" t="s">
        <v>12</v>
      </c>
      <c r="AK10" s="202">
        <v>4</v>
      </c>
      <c r="AL10" s="202">
        <v>9</v>
      </c>
      <c r="AM10" s="202">
        <v>5</v>
      </c>
      <c r="AN10" s="202">
        <v>21</v>
      </c>
      <c r="AO10" s="202">
        <v>22</v>
      </c>
    </row>
    <row r="11" spans="1:41" ht="15.9" customHeight="1">
      <c r="A11" s="202" t="s">
        <v>31</v>
      </c>
      <c r="B11" s="136" t="s">
        <v>31</v>
      </c>
      <c r="C11" s="202">
        <v>47</v>
      </c>
      <c r="D11" s="202">
        <v>14</v>
      </c>
      <c r="E11" s="202">
        <v>41</v>
      </c>
      <c r="F11" s="202">
        <v>14</v>
      </c>
      <c r="G11" s="202">
        <v>22</v>
      </c>
      <c r="H11" s="136">
        <v>7</v>
      </c>
      <c r="I11" s="82"/>
      <c r="J11" s="195">
        <v>7</v>
      </c>
      <c r="K11" s="196" t="s">
        <v>29</v>
      </c>
      <c r="L11" s="196" t="s">
        <v>79</v>
      </c>
      <c r="M11" s="196" t="s">
        <v>13</v>
      </c>
      <c r="N11" s="196" t="s">
        <v>14</v>
      </c>
      <c r="O11" s="196" t="s">
        <v>31</v>
      </c>
      <c r="Q11" s="195">
        <v>8</v>
      </c>
      <c r="R11" s="195">
        <v>11</v>
      </c>
      <c r="S11" s="195">
        <v>5</v>
      </c>
      <c r="T11" s="195">
        <v>1</v>
      </c>
      <c r="U11" s="195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6" t="s">
        <v>13</v>
      </c>
      <c r="AD11" s="202">
        <v>43</v>
      </c>
      <c r="AE11" s="202">
        <v>13</v>
      </c>
      <c r="AF11" s="202">
        <v>41</v>
      </c>
      <c r="AG11" s="202">
        <v>14</v>
      </c>
      <c r="AH11" s="202">
        <v>22</v>
      </c>
      <c r="AI11" s="5"/>
      <c r="AJ11" s="136" t="s">
        <v>13</v>
      </c>
      <c r="AK11" s="202">
        <v>43</v>
      </c>
      <c r="AL11" s="202">
        <v>13</v>
      </c>
      <c r="AM11" s="202">
        <v>41</v>
      </c>
      <c r="AN11" s="202">
        <v>14</v>
      </c>
      <c r="AO11" s="202">
        <v>22</v>
      </c>
    </row>
    <row r="12" spans="1:41" ht="15.9" customHeight="1">
      <c r="A12" s="202" t="s">
        <v>29</v>
      </c>
      <c r="B12" s="136" t="s">
        <v>29</v>
      </c>
      <c r="C12" s="202">
        <v>47</v>
      </c>
      <c r="D12" s="202">
        <v>18</v>
      </c>
      <c r="E12" s="202">
        <v>41</v>
      </c>
      <c r="F12" s="202">
        <v>14</v>
      </c>
      <c r="G12" s="202">
        <v>22</v>
      </c>
      <c r="H12" s="136">
        <v>8</v>
      </c>
      <c r="I12" s="82"/>
      <c r="J12" s="23">
        <v>8</v>
      </c>
      <c r="K12" s="196" t="s">
        <v>97</v>
      </c>
      <c r="L12" s="196" t="s">
        <v>30</v>
      </c>
      <c r="M12" s="196" t="s">
        <v>97</v>
      </c>
      <c r="N12" s="196" t="s">
        <v>28</v>
      </c>
      <c r="O12" s="196" t="s">
        <v>12</v>
      </c>
      <c r="Q12" s="195">
        <v>6</v>
      </c>
      <c r="R12" s="195">
        <v>10</v>
      </c>
      <c r="S12" s="195">
        <v>6</v>
      </c>
      <c r="T12" s="195">
        <v>9</v>
      </c>
      <c r="U12" s="195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6" t="s">
        <v>97</v>
      </c>
      <c r="AD12" s="202">
        <v>43</v>
      </c>
      <c r="AE12" s="202">
        <v>14</v>
      </c>
      <c r="AF12" s="202">
        <v>41</v>
      </c>
      <c r="AG12" s="202">
        <v>14</v>
      </c>
      <c r="AH12" s="202">
        <v>22</v>
      </c>
      <c r="AI12" s="5"/>
      <c r="AJ12" s="136" t="s">
        <v>97</v>
      </c>
      <c r="AK12" s="202">
        <v>43</v>
      </c>
      <c r="AL12" s="202">
        <v>14</v>
      </c>
      <c r="AM12" s="202">
        <v>41</v>
      </c>
      <c r="AN12" s="202">
        <v>14</v>
      </c>
      <c r="AO12" s="202">
        <v>22</v>
      </c>
    </row>
    <row r="13" spans="1:41" ht="15.9" customHeight="1">
      <c r="A13" s="202" t="s">
        <v>28</v>
      </c>
      <c r="B13" s="136" t="s">
        <v>28</v>
      </c>
      <c r="C13" s="202">
        <v>4</v>
      </c>
      <c r="D13" s="202">
        <v>5</v>
      </c>
      <c r="E13" s="202">
        <v>5</v>
      </c>
      <c r="F13" s="202">
        <v>20</v>
      </c>
      <c r="G13" s="202">
        <v>22</v>
      </c>
      <c r="H13" s="136">
        <v>9</v>
      </c>
      <c r="I13" s="82"/>
      <c r="J13" s="195">
        <v>9</v>
      </c>
      <c r="K13" s="196" t="s">
        <v>29</v>
      </c>
      <c r="L13" s="196" t="s">
        <v>12</v>
      </c>
      <c r="M13" s="196" t="s">
        <v>28</v>
      </c>
      <c r="N13" s="196" t="s">
        <v>28</v>
      </c>
      <c r="O13" s="196" t="s">
        <v>97</v>
      </c>
      <c r="Q13" s="195">
        <v>8</v>
      </c>
      <c r="R13" s="195">
        <v>4</v>
      </c>
      <c r="S13" s="195">
        <v>9</v>
      </c>
      <c r="T13" s="195">
        <v>9</v>
      </c>
      <c r="U13" s="195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6" t="s">
        <v>31</v>
      </c>
      <c r="AD13" s="202">
        <v>47</v>
      </c>
      <c r="AE13" s="202">
        <v>14</v>
      </c>
      <c r="AF13" s="202">
        <v>41</v>
      </c>
      <c r="AG13" s="202">
        <v>14</v>
      </c>
      <c r="AH13" s="202">
        <v>22</v>
      </c>
      <c r="AI13" s="5"/>
      <c r="AJ13" s="136" t="s">
        <v>31</v>
      </c>
      <c r="AK13" s="202">
        <v>47</v>
      </c>
      <c r="AL13" s="202">
        <v>14</v>
      </c>
      <c r="AM13" s="202">
        <v>41</v>
      </c>
      <c r="AN13" s="202">
        <v>14</v>
      </c>
      <c r="AO13" s="202">
        <v>22</v>
      </c>
    </row>
    <row r="14" spans="1:41" ht="15.9" customHeight="1">
      <c r="A14" s="202" t="s">
        <v>30</v>
      </c>
      <c r="B14" s="136" t="s">
        <v>30</v>
      </c>
      <c r="C14" s="202">
        <v>4</v>
      </c>
      <c r="D14" s="202">
        <v>9</v>
      </c>
      <c r="E14" s="202">
        <v>4</v>
      </c>
      <c r="F14" s="202">
        <v>20</v>
      </c>
      <c r="G14" s="202">
        <v>22</v>
      </c>
      <c r="H14" s="136">
        <v>10</v>
      </c>
      <c r="I14" s="82"/>
      <c r="J14" s="23">
        <v>10</v>
      </c>
      <c r="K14" s="196" t="s">
        <v>97</v>
      </c>
      <c r="L14" s="196" t="s">
        <v>15</v>
      </c>
      <c r="M14" s="196" t="s">
        <v>97</v>
      </c>
      <c r="N14" s="196" t="s">
        <v>30</v>
      </c>
      <c r="O14" s="196" t="s">
        <v>28</v>
      </c>
      <c r="Q14" s="195">
        <v>6</v>
      </c>
      <c r="R14" s="195">
        <v>2</v>
      </c>
      <c r="S14" s="195">
        <v>6</v>
      </c>
      <c r="T14" s="195">
        <v>10</v>
      </c>
      <c r="U14" s="195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6" t="s">
        <v>29</v>
      </c>
      <c r="AD14" s="202">
        <v>47</v>
      </c>
      <c r="AE14" s="202">
        <v>18</v>
      </c>
      <c r="AF14" s="202">
        <v>41</v>
      </c>
      <c r="AG14" s="202">
        <v>14</v>
      </c>
      <c r="AH14" s="202">
        <v>22</v>
      </c>
      <c r="AI14" s="5"/>
      <c r="AJ14" s="136" t="s">
        <v>29</v>
      </c>
      <c r="AK14" s="202">
        <v>47</v>
      </c>
      <c r="AL14" s="202">
        <v>18</v>
      </c>
      <c r="AM14" s="202">
        <v>41</v>
      </c>
      <c r="AN14" s="202">
        <v>14</v>
      </c>
      <c r="AO14" s="202">
        <v>22</v>
      </c>
    </row>
    <row r="15" spans="1:41" ht="15.9" customHeight="1">
      <c r="A15" s="203" t="s">
        <v>79</v>
      </c>
      <c r="B15" s="201" t="s">
        <v>311</v>
      </c>
      <c r="C15" s="203">
        <v>0</v>
      </c>
      <c r="D15" s="203">
        <v>16</v>
      </c>
      <c r="E15" s="203">
        <v>0</v>
      </c>
      <c r="F15" s="203">
        <v>4</v>
      </c>
      <c r="G15" s="203">
        <v>0</v>
      </c>
      <c r="H15" s="201">
        <v>11</v>
      </c>
      <c r="I15" s="82"/>
      <c r="J15" s="195">
        <v>11</v>
      </c>
      <c r="K15" s="196" t="s">
        <v>97</v>
      </c>
      <c r="L15" s="196" t="s">
        <v>86</v>
      </c>
      <c r="M15" s="196" t="s">
        <v>29</v>
      </c>
      <c r="N15" s="196" t="s">
        <v>16</v>
      </c>
      <c r="O15" s="196" t="s">
        <v>29</v>
      </c>
      <c r="Q15" s="195">
        <v>6</v>
      </c>
      <c r="R15" s="195">
        <v>18</v>
      </c>
      <c r="S15" s="195">
        <v>8</v>
      </c>
      <c r="T15" s="195">
        <v>3</v>
      </c>
      <c r="U15" s="195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6" t="s">
        <v>28</v>
      </c>
      <c r="AD15" s="202">
        <v>4</v>
      </c>
      <c r="AE15" s="202">
        <v>5</v>
      </c>
      <c r="AF15" s="202">
        <v>5</v>
      </c>
      <c r="AG15" s="202">
        <v>20</v>
      </c>
      <c r="AH15" s="202">
        <v>22</v>
      </c>
      <c r="AI15" s="5"/>
      <c r="AJ15" s="136" t="s">
        <v>28</v>
      </c>
      <c r="AK15" s="202">
        <v>4</v>
      </c>
      <c r="AL15" s="202">
        <v>5</v>
      </c>
      <c r="AM15" s="202">
        <v>5</v>
      </c>
      <c r="AN15" s="202">
        <v>20</v>
      </c>
      <c r="AO15" s="202">
        <v>22</v>
      </c>
    </row>
    <row r="16" spans="1:41" ht="15.9" customHeight="1">
      <c r="A16" s="203" t="s">
        <v>80</v>
      </c>
      <c r="B16" s="201" t="s">
        <v>312</v>
      </c>
      <c r="C16" s="203">
        <v>0</v>
      </c>
      <c r="D16" s="203">
        <v>5</v>
      </c>
      <c r="E16" s="203">
        <v>0</v>
      </c>
      <c r="F16" s="203">
        <v>4</v>
      </c>
      <c r="G16" s="203">
        <v>0</v>
      </c>
      <c r="H16" s="201">
        <v>12</v>
      </c>
      <c r="I16" s="82"/>
      <c r="J16" s="23">
        <v>12</v>
      </c>
      <c r="K16" s="196" t="s">
        <v>97</v>
      </c>
      <c r="L16" s="196" t="s">
        <v>13</v>
      </c>
      <c r="M16" s="196" t="s">
        <v>97</v>
      </c>
      <c r="N16" s="196" t="s">
        <v>31</v>
      </c>
      <c r="O16" s="196" t="s">
        <v>29</v>
      </c>
      <c r="Q16" s="195">
        <v>6</v>
      </c>
      <c r="R16" s="195">
        <v>5</v>
      </c>
      <c r="S16" s="195">
        <v>6</v>
      </c>
      <c r="T16" s="195">
        <v>7</v>
      </c>
      <c r="U16" s="195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6" t="s">
        <v>30</v>
      </c>
      <c r="AD16" s="202">
        <v>4</v>
      </c>
      <c r="AE16" s="202">
        <v>9</v>
      </c>
      <c r="AF16" s="202">
        <v>4</v>
      </c>
      <c r="AG16" s="202">
        <v>20</v>
      </c>
      <c r="AH16" s="202">
        <v>22</v>
      </c>
      <c r="AI16" s="5"/>
      <c r="AJ16" s="136" t="s">
        <v>30</v>
      </c>
      <c r="AK16" s="202">
        <v>4</v>
      </c>
      <c r="AL16" s="202">
        <v>9</v>
      </c>
      <c r="AM16" s="202">
        <v>4</v>
      </c>
      <c r="AN16" s="202">
        <v>20</v>
      </c>
      <c r="AO16" s="202">
        <v>22</v>
      </c>
    </row>
    <row r="17" spans="1:41" ht="15.9" customHeight="1">
      <c r="A17" s="203" t="s">
        <v>81</v>
      </c>
      <c r="B17" s="201" t="s">
        <v>313</v>
      </c>
      <c r="C17" s="203">
        <v>0</v>
      </c>
      <c r="D17" s="203">
        <v>7</v>
      </c>
      <c r="E17" s="203">
        <v>0</v>
      </c>
      <c r="F17" s="203">
        <v>4</v>
      </c>
      <c r="G17" s="203">
        <v>0</v>
      </c>
      <c r="H17" s="201">
        <v>13</v>
      </c>
      <c r="I17" s="82"/>
      <c r="J17" s="195">
        <v>13</v>
      </c>
      <c r="K17" s="196" t="s">
        <v>29</v>
      </c>
      <c r="L17" s="196" t="s">
        <v>83</v>
      </c>
      <c r="M17" s="196" t="s">
        <v>29</v>
      </c>
      <c r="N17" s="196" t="s">
        <v>13</v>
      </c>
      <c r="O17" s="196" t="s">
        <v>12</v>
      </c>
      <c r="Q17" s="195">
        <v>8</v>
      </c>
      <c r="R17" s="195">
        <v>16</v>
      </c>
      <c r="S17" s="195">
        <v>8</v>
      </c>
      <c r="T17" s="195">
        <v>5</v>
      </c>
      <c r="U17" s="195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201" t="s">
        <v>79</v>
      </c>
      <c r="AD17" s="203">
        <v>0</v>
      </c>
      <c r="AE17" s="203">
        <v>48</v>
      </c>
      <c r="AF17" s="203">
        <v>0</v>
      </c>
      <c r="AG17" s="203">
        <v>12</v>
      </c>
      <c r="AH17" s="203">
        <v>0</v>
      </c>
      <c r="AI17" s="5"/>
      <c r="AJ17" s="201" t="s">
        <v>79</v>
      </c>
      <c r="AK17" s="203">
        <v>0</v>
      </c>
      <c r="AL17" s="203">
        <v>48</v>
      </c>
      <c r="AM17" s="203">
        <v>0</v>
      </c>
      <c r="AN17" s="203">
        <v>12</v>
      </c>
      <c r="AO17" s="203">
        <v>0</v>
      </c>
    </row>
    <row r="18" spans="1:41" ht="15.9" customHeight="1">
      <c r="A18" s="203" t="s">
        <v>82</v>
      </c>
      <c r="B18" s="201" t="s">
        <v>314</v>
      </c>
      <c r="C18" s="203">
        <v>0</v>
      </c>
      <c r="D18" s="203">
        <v>10</v>
      </c>
      <c r="E18" s="203">
        <v>3</v>
      </c>
      <c r="F18" s="203">
        <v>3</v>
      </c>
      <c r="G18" s="203">
        <v>0</v>
      </c>
      <c r="H18" s="201">
        <v>14</v>
      </c>
      <c r="I18" s="82"/>
      <c r="J18" s="23">
        <v>14</v>
      </c>
      <c r="K18" s="196" t="s">
        <v>31</v>
      </c>
      <c r="L18" s="196" t="s">
        <v>12</v>
      </c>
      <c r="M18" s="196" t="s">
        <v>12</v>
      </c>
      <c r="N18" s="196" t="s">
        <v>14</v>
      </c>
      <c r="O18" s="196" t="s">
        <v>30</v>
      </c>
      <c r="Q18" s="195">
        <v>7</v>
      </c>
      <c r="R18" s="195">
        <v>4</v>
      </c>
      <c r="S18" s="195">
        <v>4</v>
      </c>
      <c r="T18" s="195">
        <v>1</v>
      </c>
      <c r="U18" s="195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201" t="s">
        <v>80</v>
      </c>
      <c r="AD18" s="203">
        <v>0</v>
      </c>
      <c r="AE18" s="203">
        <v>15</v>
      </c>
      <c r="AF18" s="203">
        <v>0</v>
      </c>
      <c r="AG18" s="203">
        <v>12</v>
      </c>
      <c r="AH18" s="203">
        <v>0</v>
      </c>
      <c r="AI18" s="5"/>
      <c r="AJ18" s="201" t="s">
        <v>80</v>
      </c>
      <c r="AK18" s="203">
        <v>0</v>
      </c>
      <c r="AL18" s="203">
        <v>15</v>
      </c>
      <c r="AM18" s="203">
        <v>0</v>
      </c>
      <c r="AN18" s="203">
        <v>12</v>
      </c>
      <c r="AO18" s="203">
        <v>0</v>
      </c>
    </row>
    <row r="19" spans="1:41" ht="15.9" customHeight="1">
      <c r="A19" s="203" t="s">
        <v>98</v>
      </c>
      <c r="B19" s="201" t="s">
        <v>315</v>
      </c>
      <c r="C19" s="203">
        <v>0</v>
      </c>
      <c r="D19" s="203">
        <v>11</v>
      </c>
      <c r="E19" s="203">
        <v>3</v>
      </c>
      <c r="F19" s="203">
        <v>3</v>
      </c>
      <c r="G19" s="203">
        <v>0</v>
      </c>
      <c r="H19" s="201">
        <v>15</v>
      </c>
      <c r="I19" s="82"/>
      <c r="J19" s="195">
        <v>15</v>
      </c>
      <c r="K19" s="196" t="s">
        <v>15</v>
      </c>
      <c r="L19" s="196" t="s">
        <v>79</v>
      </c>
      <c r="M19" s="196" t="s">
        <v>29</v>
      </c>
      <c r="N19" s="196" t="s">
        <v>30</v>
      </c>
      <c r="O19" s="196" t="s">
        <v>31</v>
      </c>
      <c r="Q19" s="195">
        <v>2</v>
      </c>
      <c r="R19" s="195">
        <v>11</v>
      </c>
      <c r="S19" s="195">
        <v>8</v>
      </c>
      <c r="T19" s="195">
        <v>10</v>
      </c>
      <c r="U19" s="195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201" t="s">
        <v>81</v>
      </c>
      <c r="AD19" s="203">
        <v>0</v>
      </c>
      <c r="AE19" s="203">
        <v>21</v>
      </c>
      <c r="AF19" s="203">
        <v>0</v>
      </c>
      <c r="AG19" s="203">
        <v>12</v>
      </c>
      <c r="AH19" s="203">
        <v>0</v>
      </c>
      <c r="AI19" s="5"/>
      <c r="AJ19" s="201" t="s">
        <v>81</v>
      </c>
      <c r="AK19" s="203">
        <v>0</v>
      </c>
      <c r="AL19" s="203">
        <v>21</v>
      </c>
      <c r="AM19" s="203">
        <v>0</v>
      </c>
      <c r="AN19" s="203">
        <v>12</v>
      </c>
      <c r="AO19" s="203">
        <v>0</v>
      </c>
    </row>
    <row r="20" spans="1:41" ht="15.9" customHeight="1">
      <c r="A20" s="203" t="s">
        <v>83</v>
      </c>
      <c r="B20" s="201" t="s">
        <v>316</v>
      </c>
      <c r="C20" s="203">
        <v>0</v>
      </c>
      <c r="D20" s="203">
        <v>11</v>
      </c>
      <c r="E20" s="203">
        <v>3</v>
      </c>
      <c r="F20" s="203">
        <v>3</v>
      </c>
      <c r="G20" s="203">
        <v>0</v>
      </c>
      <c r="H20" s="201">
        <v>16</v>
      </c>
      <c r="I20" s="82"/>
      <c r="J20" s="23">
        <v>16</v>
      </c>
      <c r="K20" s="196" t="s">
        <v>12</v>
      </c>
      <c r="L20" s="196" t="s">
        <v>79</v>
      </c>
      <c r="M20" s="196" t="s">
        <v>13</v>
      </c>
      <c r="N20" s="196" t="s">
        <v>15</v>
      </c>
      <c r="O20" s="196" t="s">
        <v>15</v>
      </c>
      <c r="Q20" s="195">
        <v>4</v>
      </c>
      <c r="R20" s="195">
        <v>11</v>
      </c>
      <c r="S20" s="195">
        <v>5</v>
      </c>
      <c r="T20" s="195">
        <v>2</v>
      </c>
      <c r="U20" s="195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201" t="s">
        <v>82</v>
      </c>
      <c r="AD20" s="203">
        <v>0</v>
      </c>
      <c r="AE20" s="203">
        <v>30</v>
      </c>
      <c r="AF20" s="203">
        <v>9</v>
      </c>
      <c r="AG20" s="203">
        <v>9</v>
      </c>
      <c r="AH20" s="203">
        <v>0</v>
      </c>
      <c r="AI20" s="5"/>
      <c r="AJ20" s="201" t="s">
        <v>82</v>
      </c>
      <c r="AK20" s="203">
        <v>0</v>
      </c>
      <c r="AL20" s="203">
        <v>30</v>
      </c>
      <c r="AM20" s="203">
        <v>9</v>
      </c>
      <c r="AN20" s="203">
        <v>9</v>
      </c>
      <c r="AO20" s="203">
        <v>0</v>
      </c>
    </row>
    <row r="21" spans="1:41" ht="15.9" customHeight="1">
      <c r="A21" s="203" t="s">
        <v>95</v>
      </c>
      <c r="B21" s="201" t="s">
        <v>317</v>
      </c>
      <c r="C21" s="203">
        <v>0</v>
      </c>
      <c r="D21" s="203">
        <v>8</v>
      </c>
      <c r="E21" s="203">
        <v>3</v>
      </c>
      <c r="F21" s="203">
        <v>3</v>
      </c>
      <c r="G21" s="203">
        <v>0</v>
      </c>
      <c r="H21" s="201">
        <v>17</v>
      </c>
      <c r="I21" s="82"/>
      <c r="J21" s="195">
        <v>17</v>
      </c>
      <c r="K21" s="196" t="s">
        <v>13</v>
      </c>
      <c r="L21" s="196" t="s">
        <v>97</v>
      </c>
      <c r="M21" s="196" t="s">
        <v>31</v>
      </c>
      <c r="N21" s="196" t="s">
        <v>12</v>
      </c>
      <c r="O21" s="196" t="s">
        <v>12</v>
      </c>
      <c r="Q21" s="195">
        <v>5</v>
      </c>
      <c r="R21" s="195">
        <v>6</v>
      </c>
      <c r="S21" s="195">
        <v>7</v>
      </c>
      <c r="T21" s="195">
        <v>4</v>
      </c>
      <c r="U21" s="195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201" t="s">
        <v>98</v>
      </c>
      <c r="AD21" s="203">
        <v>0</v>
      </c>
      <c r="AE21" s="203">
        <v>33</v>
      </c>
      <c r="AF21" s="203">
        <v>9</v>
      </c>
      <c r="AG21" s="203">
        <v>9</v>
      </c>
      <c r="AH21" s="203">
        <v>0</v>
      </c>
      <c r="AI21" s="5"/>
      <c r="AJ21" s="201" t="s">
        <v>98</v>
      </c>
      <c r="AK21" s="203">
        <v>0</v>
      </c>
      <c r="AL21" s="203">
        <v>33</v>
      </c>
      <c r="AM21" s="203">
        <v>9</v>
      </c>
      <c r="AN21" s="203">
        <v>9</v>
      </c>
      <c r="AO21" s="203">
        <v>0</v>
      </c>
    </row>
    <row r="22" spans="1:41" ht="15.9" customHeight="1">
      <c r="A22" s="203" t="s">
        <v>86</v>
      </c>
      <c r="B22" s="201" t="s">
        <v>318</v>
      </c>
      <c r="C22" s="203">
        <v>0</v>
      </c>
      <c r="D22" s="203">
        <v>6</v>
      </c>
      <c r="E22" s="203">
        <v>0</v>
      </c>
      <c r="F22" s="203">
        <v>4</v>
      </c>
      <c r="G22" s="203">
        <v>0</v>
      </c>
      <c r="H22" s="201">
        <v>18</v>
      </c>
      <c r="I22" s="82"/>
      <c r="J22" s="23">
        <v>18</v>
      </c>
      <c r="K22" s="196" t="s">
        <v>13</v>
      </c>
      <c r="L22" s="196" t="s">
        <v>12</v>
      </c>
      <c r="M22" s="196" t="s">
        <v>13</v>
      </c>
      <c r="N22" s="196" t="s">
        <v>30</v>
      </c>
      <c r="O22" s="196" t="s">
        <v>12</v>
      </c>
      <c r="Q22" s="195">
        <v>5</v>
      </c>
      <c r="R22" s="195">
        <v>4</v>
      </c>
      <c r="S22" s="195">
        <v>5</v>
      </c>
      <c r="T22" s="195">
        <v>10</v>
      </c>
      <c r="U22" s="195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201" t="s">
        <v>83</v>
      </c>
      <c r="AD22" s="203">
        <v>0</v>
      </c>
      <c r="AE22" s="203">
        <v>33</v>
      </c>
      <c r="AF22" s="203">
        <v>9</v>
      </c>
      <c r="AG22" s="203">
        <v>9</v>
      </c>
      <c r="AH22" s="203">
        <v>0</v>
      </c>
      <c r="AI22" s="5"/>
      <c r="AJ22" s="201" t="s">
        <v>83</v>
      </c>
      <c r="AK22" s="203">
        <v>0</v>
      </c>
      <c r="AL22" s="203">
        <v>33</v>
      </c>
      <c r="AM22" s="203">
        <v>9</v>
      </c>
      <c r="AN22" s="203">
        <v>9</v>
      </c>
      <c r="AO22" s="203">
        <v>0</v>
      </c>
    </row>
    <row r="23" spans="1:41" ht="15.9" customHeight="1">
      <c r="A23" s="203" t="s">
        <v>88</v>
      </c>
      <c r="B23" s="201" t="s">
        <v>319</v>
      </c>
      <c r="C23" s="203">
        <v>0</v>
      </c>
      <c r="D23" s="203">
        <v>6</v>
      </c>
      <c r="E23" s="203">
        <v>0</v>
      </c>
      <c r="F23" s="203">
        <v>4</v>
      </c>
      <c r="G23" s="203">
        <v>0</v>
      </c>
      <c r="H23" s="201">
        <v>19</v>
      </c>
      <c r="I23" s="82"/>
      <c r="J23" s="195">
        <v>19</v>
      </c>
      <c r="K23" s="196" t="s">
        <v>29</v>
      </c>
      <c r="L23" s="196" t="s">
        <v>83</v>
      </c>
      <c r="M23" s="196" t="s">
        <v>31</v>
      </c>
      <c r="N23" s="196" t="s">
        <v>28</v>
      </c>
      <c r="O23" s="196" t="s">
        <v>16</v>
      </c>
      <c r="Q23" s="195">
        <v>8</v>
      </c>
      <c r="R23" s="195">
        <v>16</v>
      </c>
      <c r="S23" s="195">
        <v>7</v>
      </c>
      <c r="T23" s="195">
        <v>9</v>
      </c>
      <c r="U23" s="195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201" t="s">
        <v>95</v>
      </c>
      <c r="AD23" s="203">
        <v>0</v>
      </c>
      <c r="AE23" s="203">
        <v>24</v>
      </c>
      <c r="AF23" s="203">
        <v>9</v>
      </c>
      <c r="AG23" s="203">
        <v>9</v>
      </c>
      <c r="AH23" s="203">
        <v>0</v>
      </c>
      <c r="AI23" s="5"/>
      <c r="AJ23" s="201" t="s">
        <v>95</v>
      </c>
      <c r="AK23" s="203">
        <v>0</v>
      </c>
      <c r="AL23" s="203">
        <v>24</v>
      </c>
      <c r="AM23" s="203">
        <v>9</v>
      </c>
      <c r="AN23" s="203">
        <v>9</v>
      </c>
      <c r="AO23" s="203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6" t="s">
        <v>31</v>
      </c>
      <c r="L24" s="196" t="s">
        <v>31</v>
      </c>
      <c r="M24" s="196" t="s">
        <v>13</v>
      </c>
      <c r="N24" s="196" t="s">
        <v>95</v>
      </c>
      <c r="O24" s="196" t="s">
        <v>31</v>
      </c>
      <c r="Q24" s="195">
        <v>7</v>
      </c>
      <c r="R24" s="195">
        <v>7</v>
      </c>
      <c r="S24" s="195">
        <v>5</v>
      </c>
      <c r="T24" s="195">
        <v>17</v>
      </c>
      <c r="U24" s="195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201" t="s">
        <v>86</v>
      </c>
      <c r="AD24" s="203">
        <v>0</v>
      </c>
      <c r="AE24" s="203">
        <v>18</v>
      </c>
      <c r="AF24" s="203">
        <v>0</v>
      </c>
      <c r="AG24" s="203">
        <v>12</v>
      </c>
      <c r="AH24" s="203">
        <v>0</v>
      </c>
      <c r="AI24" s="5"/>
      <c r="AJ24" s="201" t="s">
        <v>86</v>
      </c>
      <c r="AK24" s="203">
        <v>0</v>
      </c>
      <c r="AL24" s="203">
        <v>18</v>
      </c>
      <c r="AM24" s="203">
        <v>0</v>
      </c>
      <c r="AN24" s="203">
        <v>12</v>
      </c>
      <c r="AO24" s="203">
        <v>0</v>
      </c>
    </row>
    <row r="25" spans="1:41" ht="16.5" customHeight="1">
      <c r="I25" s="82"/>
      <c r="J25" s="195">
        <v>21</v>
      </c>
      <c r="K25" s="196" t="s">
        <v>13</v>
      </c>
      <c r="L25" s="196" t="s">
        <v>29</v>
      </c>
      <c r="M25" s="196" t="s">
        <v>13</v>
      </c>
      <c r="N25" s="196" t="s">
        <v>15</v>
      </c>
      <c r="O25" s="196" t="s">
        <v>16</v>
      </c>
      <c r="Q25" s="195">
        <v>5</v>
      </c>
      <c r="R25" s="195">
        <v>8</v>
      </c>
      <c r="S25" s="195">
        <v>5</v>
      </c>
      <c r="T25" s="195">
        <v>2</v>
      </c>
      <c r="U25" s="195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201" t="s">
        <v>88</v>
      </c>
      <c r="AD25" s="203">
        <v>0</v>
      </c>
      <c r="AE25" s="203">
        <v>18</v>
      </c>
      <c r="AF25" s="203">
        <v>0</v>
      </c>
      <c r="AG25" s="203">
        <v>12</v>
      </c>
      <c r="AH25" s="203">
        <v>0</v>
      </c>
      <c r="AI25" s="5"/>
      <c r="AJ25" s="201" t="s">
        <v>88</v>
      </c>
      <c r="AK25" s="203">
        <v>0</v>
      </c>
      <c r="AL25" s="203">
        <v>18</v>
      </c>
      <c r="AM25" s="203">
        <v>0</v>
      </c>
      <c r="AN25" s="203">
        <v>12</v>
      </c>
      <c r="AO25" s="203">
        <v>0</v>
      </c>
    </row>
    <row r="26" spans="1:41" ht="16.5" customHeight="1">
      <c r="B26" s="5" t="s">
        <v>320</v>
      </c>
      <c r="C26" s="5">
        <v>1</v>
      </c>
      <c r="D26" s="158">
        <v>0.6</v>
      </c>
      <c r="E26" s="158">
        <v>0.94</v>
      </c>
      <c r="F26" s="158">
        <v>0.84</v>
      </c>
      <c r="G26" s="5">
        <v>1</v>
      </c>
      <c r="I26" s="82"/>
      <c r="J26" s="23">
        <v>22</v>
      </c>
      <c r="K26" s="196" t="s">
        <v>28</v>
      </c>
      <c r="L26" s="196" t="s">
        <v>82</v>
      </c>
      <c r="M26" s="196" t="s">
        <v>13</v>
      </c>
      <c r="N26" s="196" t="s">
        <v>15</v>
      </c>
      <c r="O26" s="196" t="s">
        <v>15</v>
      </c>
      <c r="Q26" s="195">
        <v>9</v>
      </c>
      <c r="R26" s="195">
        <v>14</v>
      </c>
      <c r="S26" s="195">
        <v>5</v>
      </c>
      <c r="T26" s="195">
        <v>2</v>
      </c>
      <c r="U26" s="195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3">
        <v>200</v>
      </c>
      <c r="AE26" s="103">
        <v>360</v>
      </c>
      <c r="AF26" s="103">
        <v>224</v>
      </c>
      <c r="AG26" s="103">
        <v>264</v>
      </c>
      <c r="AH26" s="103">
        <v>200</v>
      </c>
      <c r="AI26" s="5"/>
      <c r="AK26" s="103">
        <v>200</v>
      </c>
      <c r="AL26" s="103">
        <v>360</v>
      </c>
      <c r="AM26" s="103">
        <v>224</v>
      </c>
      <c r="AN26" s="103">
        <v>264</v>
      </c>
      <c r="AO26" s="103">
        <v>200</v>
      </c>
    </row>
    <row r="27" spans="1:41" ht="16.5" customHeight="1">
      <c r="B27" s="5" t="s">
        <v>321</v>
      </c>
      <c r="C27" s="5">
        <v>0</v>
      </c>
      <c r="D27" s="158">
        <v>0.4</v>
      </c>
      <c r="E27" s="158">
        <v>0.06</v>
      </c>
      <c r="F27" s="158">
        <v>0.16</v>
      </c>
      <c r="G27" s="5">
        <v>0</v>
      </c>
      <c r="I27" s="82"/>
      <c r="J27" s="195">
        <v>23</v>
      </c>
      <c r="K27" s="196" t="s">
        <v>31</v>
      </c>
      <c r="L27" s="196" t="s">
        <v>97</v>
      </c>
      <c r="M27" s="196" t="s">
        <v>97</v>
      </c>
      <c r="N27" s="196" t="s">
        <v>31</v>
      </c>
      <c r="O27" s="196" t="s">
        <v>15</v>
      </c>
      <c r="Q27" s="195">
        <v>7</v>
      </c>
      <c r="R27" s="195">
        <v>6</v>
      </c>
      <c r="S27" s="195">
        <v>6</v>
      </c>
      <c r="T27" s="195">
        <v>7</v>
      </c>
      <c r="U27" s="195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6" t="s">
        <v>29</v>
      </c>
      <c r="L28" s="196" t="s">
        <v>13</v>
      </c>
      <c r="M28" s="196" t="s">
        <v>31</v>
      </c>
      <c r="N28" s="196" t="s">
        <v>13</v>
      </c>
      <c r="O28" s="196" t="s">
        <v>30</v>
      </c>
      <c r="Q28" s="195">
        <v>8</v>
      </c>
      <c r="R28" s="195">
        <v>5</v>
      </c>
      <c r="S28" s="195">
        <v>7</v>
      </c>
      <c r="T28" s="195">
        <v>5</v>
      </c>
      <c r="U28" s="195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308</v>
      </c>
      <c r="AH28" s="5"/>
      <c r="AI28" s="5"/>
      <c r="AJ28" s="25" t="s">
        <v>308</v>
      </c>
      <c r="AO28" s="5"/>
    </row>
    <row r="29" spans="1:41" ht="16.5" customHeight="1">
      <c r="I29" s="82"/>
      <c r="J29" s="195">
        <v>25</v>
      </c>
      <c r="K29" s="196" t="s">
        <v>13</v>
      </c>
      <c r="L29" s="196" t="s">
        <v>86</v>
      </c>
      <c r="M29" s="196" t="s">
        <v>29</v>
      </c>
      <c r="N29" s="196" t="s">
        <v>28</v>
      </c>
      <c r="O29" s="196" t="s">
        <v>29</v>
      </c>
      <c r="Q29" s="195">
        <v>5</v>
      </c>
      <c r="R29" s="195">
        <v>18</v>
      </c>
      <c r="S29" s="195">
        <v>8</v>
      </c>
      <c r="T29" s="195">
        <v>9</v>
      </c>
      <c r="U29" s="195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2" t="s">
        <v>36</v>
      </c>
      <c r="AD29" s="122" t="s">
        <v>7</v>
      </c>
      <c r="AE29" s="122" t="s">
        <v>8</v>
      </c>
      <c r="AF29" s="122" t="s">
        <v>9</v>
      </c>
      <c r="AG29" s="122" t="s">
        <v>10</v>
      </c>
      <c r="AH29" s="122" t="s">
        <v>11</v>
      </c>
      <c r="AI29" s="5"/>
      <c r="AJ29" s="122" t="s">
        <v>36</v>
      </c>
      <c r="AK29" s="122" t="s">
        <v>7</v>
      </c>
      <c r="AL29" s="122" t="s">
        <v>8</v>
      </c>
      <c r="AM29" s="122" t="s">
        <v>9</v>
      </c>
      <c r="AN29" s="122" t="s">
        <v>10</v>
      </c>
      <c r="AO29" s="122" t="s">
        <v>11</v>
      </c>
    </row>
    <row r="30" spans="1:41" ht="16.5" customHeight="1">
      <c r="I30" s="82"/>
      <c r="J30" s="23">
        <v>26</v>
      </c>
      <c r="K30" s="196" t="s">
        <v>31</v>
      </c>
      <c r="L30" s="196" t="s">
        <v>82</v>
      </c>
      <c r="M30" s="196" t="s">
        <v>31</v>
      </c>
      <c r="N30" s="196" t="s">
        <v>16</v>
      </c>
      <c r="O30" s="196" t="s">
        <v>16</v>
      </c>
      <c r="Q30" s="195">
        <v>7</v>
      </c>
      <c r="R30" s="195">
        <v>14</v>
      </c>
      <c r="S30" s="195">
        <v>7</v>
      </c>
      <c r="T30" s="195">
        <v>3</v>
      </c>
      <c r="U30" s="195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201" t="s">
        <v>306</v>
      </c>
      <c r="AD30" s="126">
        <v>0</v>
      </c>
      <c r="AE30" s="126">
        <v>0</v>
      </c>
      <c r="AF30" s="126">
        <v>0</v>
      </c>
      <c r="AG30" s="126">
        <v>0</v>
      </c>
      <c r="AH30" s="126">
        <v>0</v>
      </c>
      <c r="AI30" s="5"/>
      <c r="AJ30" s="201" t="s">
        <v>306</v>
      </c>
      <c r="AK30" s="126">
        <v>0</v>
      </c>
      <c r="AL30" s="126">
        <v>0</v>
      </c>
      <c r="AM30" s="126">
        <v>0</v>
      </c>
      <c r="AN30" s="126">
        <v>0</v>
      </c>
      <c r="AO30" s="126">
        <v>0</v>
      </c>
    </row>
    <row r="31" spans="1:41" ht="16.5" customHeight="1">
      <c r="I31" s="82"/>
      <c r="J31" s="195">
        <v>27</v>
      </c>
      <c r="K31" s="196" t="s">
        <v>29</v>
      </c>
      <c r="L31" s="196" t="s">
        <v>29</v>
      </c>
      <c r="M31" s="196" t="s">
        <v>31</v>
      </c>
      <c r="N31" s="196" t="s">
        <v>31</v>
      </c>
      <c r="O31" s="196" t="s">
        <v>12</v>
      </c>
      <c r="Q31" s="195">
        <v>8</v>
      </c>
      <c r="R31" s="195">
        <v>8</v>
      </c>
      <c r="S31" s="195">
        <v>7</v>
      </c>
      <c r="T31" s="195">
        <v>7</v>
      </c>
      <c r="U31" s="195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201" t="s">
        <v>14</v>
      </c>
      <c r="AD31" s="201">
        <v>0</v>
      </c>
      <c r="AE31" s="201">
        <v>6</v>
      </c>
      <c r="AF31" s="201">
        <v>0</v>
      </c>
      <c r="AG31" s="201">
        <v>9</v>
      </c>
      <c r="AH31" s="201">
        <v>0</v>
      </c>
      <c r="AI31" s="5"/>
      <c r="AJ31" s="201" t="s">
        <v>14</v>
      </c>
      <c r="AK31" s="201">
        <v>0</v>
      </c>
      <c r="AL31" s="201">
        <v>6</v>
      </c>
      <c r="AM31" s="201">
        <v>0</v>
      </c>
      <c r="AN31" s="201">
        <v>9</v>
      </c>
      <c r="AO31" s="201">
        <v>0</v>
      </c>
    </row>
    <row r="32" spans="1:41" ht="16.5" customHeight="1">
      <c r="J32" s="23">
        <v>28</v>
      </c>
      <c r="K32" s="196" t="s">
        <v>13</v>
      </c>
      <c r="L32" s="196" t="s">
        <v>16</v>
      </c>
      <c r="M32" s="196" t="s">
        <v>97</v>
      </c>
      <c r="N32" s="196" t="s">
        <v>16</v>
      </c>
      <c r="O32" s="196" t="s">
        <v>97</v>
      </c>
      <c r="Q32" s="195">
        <v>5</v>
      </c>
      <c r="R32" s="195">
        <v>3</v>
      </c>
      <c r="S32" s="195">
        <v>6</v>
      </c>
      <c r="T32" s="195">
        <v>3</v>
      </c>
      <c r="U32" s="195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6" t="s">
        <v>15</v>
      </c>
      <c r="AD32" s="202">
        <v>4</v>
      </c>
      <c r="AE32" s="202">
        <v>22</v>
      </c>
      <c r="AF32" s="202">
        <v>5</v>
      </c>
      <c r="AG32" s="202">
        <v>21</v>
      </c>
      <c r="AH32" s="202">
        <v>23</v>
      </c>
      <c r="AI32" s="5"/>
      <c r="AJ32" s="136" t="s">
        <v>15</v>
      </c>
      <c r="AK32" s="202">
        <v>4</v>
      </c>
      <c r="AL32" s="202">
        <v>22</v>
      </c>
      <c r="AM32" s="202">
        <v>5</v>
      </c>
      <c r="AN32" s="202">
        <v>21</v>
      </c>
      <c r="AO32" s="202">
        <v>23</v>
      </c>
    </row>
    <row r="33" spans="10:41" ht="16.5" customHeight="1">
      <c r="J33" s="195">
        <v>29</v>
      </c>
      <c r="K33" s="196" t="s">
        <v>28</v>
      </c>
      <c r="L33" s="196" t="s">
        <v>15</v>
      </c>
      <c r="M33" s="196" t="s">
        <v>95</v>
      </c>
      <c r="N33" s="196" t="s">
        <v>16</v>
      </c>
      <c r="O33" s="196" t="s">
        <v>28</v>
      </c>
      <c r="Q33" s="195">
        <v>9</v>
      </c>
      <c r="R33" s="195">
        <v>2</v>
      </c>
      <c r="S33" s="195">
        <v>17</v>
      </c>
      <c r="T33" s="195">
        <v>3</v>
      </c>
      <c r="U33" s="195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6" t="s">
        <v>16</v>
      </c>
      <c r="AD33" s="202">
        <v>4</v>
      </c>
      <c r="AE33" s="202">
        <v>10</v>
      </c>
      <c r="AF33" s="202">
        <v>5</v>
      </c>
      <c r="AG33" s="202">
        <v>21</v>
      </c>
      <c r="AH33" s="202">
        <v>23</v>
      </c>
      <c r="AI33" s="5"/>
      <c r="AJ33" s="136" t="s">
        <v>16</v>
      </c>
      <c r="AK33" s="202">
        <v>4</v>
      </c>
      <c r="AL33" s="202">
        <v>10</v>
      </c>
      <c r="AM33" s="202">
        <v>5</v>
      </c>
      <c r="AN33" s="202">
        <v>21</v>
      </c>
      <c r="AO33" s="202">
        <v>23</v>
      </c>
    </row>
    <row r="34" spans="10:41" ht="16.5" customHeight="1">
      <c r="J34" s="23">
        <v>30</v>
      </c>
      <c r="K34" s="196" t="s">
        <v>13</v>
      </c>
      <c r="L34" s="196" t="s">
        <v>98</v>
      </c>
      <c r="M34" s="196" t="s">
        <v>13</v>
      </c>
      <c r="N34" s="196" t="s">
        <v>12</v>
      </c>
      <c r="O34" s="196" t="s">
        <v>15</v>
      </c>
      <c r="Q34" s="195">
        <v>5</v>
      </c>
      <c r="R34" s="195">
        <v>15</v>
      </c>
      <c r="S34" s="195">
        <v>5</v>
      </c>
      <c r="T34" s="195">
        <v>4</v>
      </c>
      <c r="U34" s="195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6" t="s">
        <v>12</v>
      </c>
      <c r="AD34" s="202">
        <v>4</v>
      </c>
      <c r="AE34" s="202">
        <v>9</v>
      </c>
      <c r="AF34" s="202">
        <v>5</v>
      </c>
      <c r="AG34" s="202">
        <v>21</v>
      </c>
      <c r="AH34" s="202">
        <v>22</v>
      </c>
      <c r="AI34" s="5"/>
      <c r="AJ34" s="136" t="s">
        <v>12</v>
      </c>
      <c r="AK34" s="202">
        <v>4</v>
      </c>
      <c r="AL34" s="202">
        <v>9</v>
      </c>
      <c r="AM34" s="202">
        <v>5</v>
      </c>
      <c r="AN34" s="202">
        <v>21</v>
      </c>
      <c r="AO34" s="202">
        <v>22</v>
      </c>
    </row>
    <row r="35" spans="10:41" ht="16.5" customHeight="1">
      <c r="J35" s="195">
        <v>31</v>
      </c>
      <c r="K35" s="196" t="s">
        <v>13</v>
      </c>
      <c r="L35" s="196" t="s">
        <v>81</v>
      </c>
      <c r="M35" s="196" t="s">
        <v>30</v>
      </c>
      <c r="N35" s="196" t="s">
        <v>30</v>
      </c>
      <c r="O35" s="196" t="s">
        <v>15</v>
      </c>
      <c r="Q35" s="195">
        <v>5</v>
      </c>
      <c r="R35" s="195">
        <v>13</v>
      </c>
      <c r="S35" s="195">
        <v>10</v>
      </c>
      <c r="T35" s="195">
        <v>10</v>
      </c>
      <c r="U35" s="195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6" t="s">
        <v>13</v>
      </c>
      <c r="AD35" s="202">
        <v>43</v>
      </c>
      <c r="AE35" s="202">
        <v>13</v>
      </c>
      <c r="AF35" s="202">
        <v>41</v>
      </c>
      <c r="AG35" s="202">
        <v>14</v>
      </c>
      <c r="AH35" s="202">
        <v>22</v>
      </c>
      <c r="AI35" s="5"/>
      <c r="AJ35" s="136" t="s">
        <v>13</v>
      </c>
      <c r="AK35" s="202">
        <v>43</v>
      </c>
      <c r="AL35" s="202">
        <v>13</v>
      </c>
      <c r="AM35" s="202">
        <v>41</v>
      </c>
      <c r="AN35" s="202">
        <v>14</v>
      </c>
      <c r="AO35" s="202">
        <v>22</v>
      </c>
    </row>
    <row r="36" spans="10:41" ht="16.5" customHeight="1">
      <c r="J36" s="23">
        <v>32</v>
      </c>
      <c r="K36" s="196" t="s">
        <v>13</v>
      </c>
      <c r="L36" s="196" t="s">
        <v>12</v>
      </c>
      <c r="M36" s="196" t="s">
        <v>29</v>
      </c>
      <c r="N36" s="196" t="s">
        <v>30</v>
      </c>
      <c r="O36" s="196" t="s">
        <v>12</v>
      </c>
      <c r="Q36" s="195">
        <v>5</v>
      </c>
      <c r="R36" s="195">
        <v>4</v>
      </c>
      <c r="S36" s="195">
        <v>8</v>
      </c>
      <c r="T36" s="195">
        <v>10</v>
      </c>
      <c r="U36" s="195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6" t="s">
        <v>97</v>
      </c>
      <c r="AD36" s="202">
        <v>43</v>
      </c>
      <c r="AE36" s="202">
        <v>14</v>
      </c>
      <c r="AF36" s="202">
        <v>41</v>
      </c>
      <c r="AG36" s="202">
        <v>14</v>
      </c>
      <c r="AH36" s="202">
        <v>22</v>
      </c>
      <c r="AI36" s="5"/>
      <c r="AJ36" s="136" t="s">
        <v>97</v>
      </c>
      <c r="AK36" s="202">
        <v>43</v>
      </c>
      <c r="AL36" s="202">
        <v>14</v>
      </c>
      <c r="AM36" s="202">
        <v>41</v>
      </c>
      <c r="AN36" s="202">
        <v>14</v>
      </c>
      <c r="AO36" s="202">
        <v>22</v>
      </c>
    </row>
    <row r="37" spans="10:41" ht="16.5" customHeight="1">
      <c r="J37" s="195">
        <v>33</v>
      </c>
      <c r="K37" s="196" t="s">
        <v>97</v>
      </c>
      <c r="L37" s="196" t="s">
        <v>15</v>
      </c>
      <c r="M37" s="196" t="s">
        <v>98</v>
      </c>
      <c r="N37" s="196" t="s">
        <v>31</v>
      </c>
      <c r="O37" s="196" t="s">
        <v>12</v>
      </c>
      <c r="Q37" s="195">
        <v>6</v>
      </c>
      <c r="R37" s="195">
        <v>2</v>
      </c>
      <c r="S37" s="195">
        <v>15</v>
      </c>
      <c r="T37" s="195">
        <v>7</v>
      </c>
      <c r="U37" s="195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6" t="s">
        <v>31</v>
      </c>
      <c r="AD37" s="202">
        <v>47</v>
      </c>
      <c r="AE37" s="202">
        <v>14</v>
      </c>
      <c r="AF37" s="202">
        <v>41</v>
      </c>
      <c r="AG37" s="202">
        <v>14</v>
      </c>
      <c r="AH37" s="202">
        <v>22</v>
      </c>
      <c r="AI37" s="5"/>
      <c r="AJ37" s="136" t="s">
        <v>31</v>
      </c>
      <c r="AK37" s="202">
        <v>47</v>
      </c>
      <c r="AL37" s="202">
        <v>14</v>
      </c>
      <c r="AM37" s="202">
        <v>41</v>
      </c>
      <c r="AN37" s="202">
        <v>14</v>
      </c>
      <c r="AO37" s="202">
        <v>22</v>
      </c>
    </row>
    <row r="38" spans="10:41" ht="16.5" customHeight="1">
      <c r="J38" s="23">
        <v>34</v>
      </c>
      <c r="K38" s="196" t="s">
        <v>29</v>
      </c>
      <c r="L38" s="196" t="s">
        <v>28</v>
      </c>
      <c r="M38" s="196" t="s">
        <v>13</v>
      </c>
      <c r="N38" s="196" t="s">
        <v>31</v>
      </c>
      <c r="O38" s="196" t="s">
        <v>16</v>
      </c>
      <c r="Q38" s="195">
        <v>8</v>
      </c>
      <c r="R38" s="195">
        <v>9</v>
      </c>
      <c r="S38" s="195">
        <v>5</v>
      </c>
      <c r="T38" s="195">
        <v>7</v>
      </c>
      <c r="U38" s="195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6" t="s">
        <v>29</v>
      </c>
      <c r="AD38" s="202">
        <v>47</v>
      </c>
      <c r="AE38" s="202">
        <v>18</v>
      </c>
      <c r="AF38" s="202">
        <v>41</v>
      </c>
      <c r="AG38" s="202">
        <v>14</v>
      </c>
      <c r="AH38" s="202">
        <v>22</v>
      </c>
      <c r="AI38" s="5"/>
      <c r="AJ38" s="136" t="s">
        <v>29</v>
      </c>
      <c r="AK38" s="202">
        <v>47</v>
      </c>
      <c r="AL38" s="202">
        <v>18</v>
      </c>
      <c r="AM38" s="202">
        <v>41</v>
      </c>
      <c r="AN38" s="202">
        <v>14</v>
      </c>
      <c r="AO38" s="202">
        <v>22</v>
      </c>
    </row>
    <row r="39" spans="10:41" ht="16.5" customHeight="1">
      <c r="J39" s="195">
        <v>35</v>
      </c>
      <c r="K39" s="196" t="s">
        <v>31</v>
      </c>
      <c r="L39" s="196" t="s">
        <v>98</v>
      </c>
      <c r="M39" s="196" t="s">
        <v>13</v>
      </c>
      <c r="N39" s="196" t="s">
        <v>97</v>
      </c>
      <c r="O39" s="196" t="s">
        <v>28</v>
      </c>
      <c r="Q39" s="195">
        <v>7</v>
      </c>
      <c r="R39" s="195">
        <v>15</v>
      </c>
      <c r="S39" s="195">
        <v>5</v>
      </c>
      <c r="T39" s="195">
        <v>6</v>
      </c>
      <c r="U39" s="195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6" t="s">
        <v>28</v>
      </c>
      <c r="AD39" s="202">
        <v>4</v>
      </c>
      <c r="AE39" s="202">
        <v>5</v>
      </c>
      <c r="AF39" s="202">
        <v>5</v>
      </c>
      <c r="AG39" s="202">
        <v>20</v>
      </c>
      <c r="AH39" s="202">
        <v>22</v>
      </c>
      <c r="AI39" s="5"/>
      <c r="AJ39" s="136" t="s">
        <v>28</v>
      </c>
      <c r="AK39" s="202">
        <v>4</v>
      </c>
      <c r="AL39" s="202">
        <v>5</v>
      </c>
      <c r="AM39" s="202">
        <v>5</v>
      </c>
      <c r="AN39" s="202">
        <v>20</v>
      </c>
      <c r="AO39" s="202">
        <v>22</v>
      </c>
    </row>
    <row r="40" spans="10:41" ht="16.5" customHeight="1">
      <c r="J40" s="23">
        <v>36</v>
      </c>
      <c r="K40" s="196" t="s">
        <v>97</v>
      </c>
      <c r="L40" s="196" t="s">
        <v>97</v>
      </c>
      <c r="M40" s="196" t="s">
        <v>30</v>
      </c>
      <c r="N40" s="196" t="s">
        <v>81</v>
      </c>
      <c r="O40" s="196" t="s">
        <v>29</v>
      </c>
      <c r="Q40" s="195">
        <v>6</v>
      </c>
      <c r="R40" s="195">
        <v>6</v>
      </c>
      <c r="S40" s="195">
        <v>10</v>
      </c>
      <c r="T40" s="195">
        <v>13</v>
      </c>
      <c r="U40" s="195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6" t="s">
        <v>30</v>
      </c>
      <c r="AD40" s="202">
        <v>4</v>
      </c>
      <c r="AE40" s="202">
        <v>9</v>
      </c>
      <c r="AF40" s="202">
        <v>4</v>
      </c>
      <c r="AG40" s="202">
        <v>20</v>
      </c>
      <c r="AH40" s="202">
        <v>22</v>
      </c>
      <c r="AI40" s="5"/>
      <c r="AJ40" s="136" t="s">
        <v>30</v>
      </c>
      <c r="AK40" s="202">
        <v>4</v>
      </c>
      <c r="AL40" s="202">
        <v>9</v>
      </c>
      <c r="AM40" s="202">
        <v>4</v>
      </c>
      <c r="AN40" s="202">
        <v>20</v>
      </c>
      <c r="AO40" s="202">
        <v>22</v>
      </c>
    </row>
    <row r="41" spans="10:41" ht="16.5" customHeight="1">
      <c r="J41" s="195">
        <v>37</v>
      </c>
      <c r="K41" s="196" t="s">
        <v>31</v>
      </c>
      <c r="L41" s="196" t="s">
        <v>13</v>
      </c>
      <c r="M41" s="196" t="s">
        <v>97</v>
      </c>
      <c r="N41" s="196" t="s">
        <v>12</v>
      </c>
      <c r="O41" s="196" t="s">
        <v>29</v>
      </c>
      <c r="Q41" s="195">
        <v>7</v>
      </c>
      <c r="R41" s="195">
        <v>5</v>
      </c>
      <c r="S41" s="195">
        <v>6</v>
      </c>
      <c r="T41" s="195">
        <v>4</v>
      </c>
      <c r="U41" s="195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201" t="s">
        <v>79</v>
      </c>
      <c r="AD41" s="203">
        <v>0</v>
      </c>
      <c r="AE41" s="203">
        <v>48</v>
      </c>
      <c r="AF41" s="203">
        <v>0</v>
      </c>
      <c r="AG41" s="203">
        <v>12</v>
      </c>
      <c r="AH41" s="203">
        <v>0</v>
      </c>
      <c r="AI41" s="5"/>
      <c r="AJ41" s="201" t="s">
        <v>79</v>
      </c>
      <c r="AK41" s="203">
        <v>0</v>
      </c>
      <c r="AL41" s="203">
        <v>48</v>
      </c>
      <c r="AM41" s="203">
        <v>0</v>
      </c>
      <c r="AN41" s="203">
        <v>12</v>
      </c>
      <c r="AO41" s="203">
        <v>0</v>
      </c>
    </row>
    <row r="42" spans="10:41" ht="16.5" customHeight="1">
      <c r="J42" s="23">
        <v>38</v>
      </c>
      <c r="K42" s="196" t="s">
        <v>97</v>
      </c>
      <c r="L42" s="196" t="s">
        <v>12</v>
      </c>
      <c r="M42" s="196" t="s">
        <v>12</v>
      </c>
      <c r="N42" s="196" t="s">
        <v>97</v>
      </c>
      <c r="O42" s="196" t="s">
        <v>13</v>
      </c>
      <c r="Q42" s="195">
        <v>6</v>
      </c>
      <c r="R42" s="195">
        <v>4</v>
      </c>
      <c r="S42" s="195">
        <v>4</v>
      </c>
      <c r="T42" s="195">
        <v>6</v>
      </c>
      <c r="U42" s="195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201" t="s">
        <v>80</v>
      </c>
      <c r="AD42" s="203">
        <v>0</v>
      </c>
      <c r="AE42" s="203">
        <v>15</v>
      </c>
      <c r="AF42" s="203">
        <v>0</v>
      </c>
      <c r="AG42" s="203">
        <v>12</v>
      </c>
      <c r="AH42" s="203">
        <v>0</v>
      </c>
      <c r="AI42" s="5"/>
      <c r="AJ42" s="201" t="s">
        <v>80</v>
      </c>
      <c r="AK42" s="203">
        <v>0</v>
      </c>
      <c r="AL42" s="203">
        <v>15</v>
      </c>
      <c r="AM42" s="203">
        <v>0</v>
      </c>
      <c r="AN42" s="203">
        <v>12</v>
      </c>
      <c r="AO42" s="203">
        <v>0</v>
      </c>
    </row>
    <row r="43" spans="10:41" ht="16.5" customHeight="1">
      <c r="J43" s="195">
        <v>39</v>
      </c>
      <c r="K43" s="196" t="s">
        <v>13</v>
      </c>
      <c r="L43" s="196" t="s">
        <v>81</v>
      </c>
      <c r="M43" s="196" t="s">
        <v>97</v>
      </c>
      <c r="N43" s="196" t="s">
        <v>97</v>
      </c>
      <c r="O43" s="196" t="s">
        <v>13</v>
      </c>
      <c r="Q43" s="195">
        <v>5</v>
      </c>
      <c r="R43" s="195">
        <v>13</v>
      </c>
      <c r="S43" s="195">
        <v>6</v>
      </c>
      <c r="T43" s="195">
        <v>6</v>
      </c>
      <c r="U43" s="195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201" t="s">
        <v>81</v>
      </c>
      <c r="AD43" s="203">
        <v>0</v>
      </c>
      <c r="AE43" s="203">
        <v>21</v>
      </c>
      <c r="AF43" s="203">
        <v>0</v>
      </c>
      <c r="AG43" s="203">
        <v>12</v>
      </c>
      <c r="AH43" s="203">
        <v>0</v>
      </c>
      <c r="AI43" s="5"/>
      <c r="AJ43" s="201" t="s">
        <v>81</v>
      </c>
      <c r="AK43" s="203">
        <v>0</v>
      </c>
      <c r="AL43" s="203">
        <v>21</v>
      </c>
      <c r="AM43" s="203">
        <v>0</v>
      </c>
      <c r="AN43" s="203">
        <v>12</v>
      </c>
      <c r="AO43" s="203">
        <v>0</v>
      </c>
    </row>
    <row r="44" spans="10:41" ht="16.5" customHeight="1">
      <c r="J44" s="23">
        <v>40</v>
      </c>
      <c r="K44" s="196" t="s">
        <v>31</v>
      </c>
      <c r="L44" s="196" t="s">
        <v>29</v>
      </c>
      <c r="M44" s="196" t="s">
        <v>29</v>
      </c>
      <c r="N44" s="196" t="s">
        <v>16</v>
      </c>
      <c r="O44" s="196" t="s">
        <v>97</v>
      </c>
      <c r="Q44" s="195">
        <v>7</v>
      </c>
      <c r="R44" s="195">
        <v>8</v>
      </c>
      <c r="S44" s="195">
        <v>8</v>
      </c>
      <c r="T44" s="195">
        <v>3</v>
      </c>
      <c r="U44" s="195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201" t="s">
        <v>82</v>
      </c>
      <c r="AD44" s="203">
        <v>0</v>
      </c>
      <c r="AE44" s="203">
        <v>30</v>
      </c>
      <c r="AF44" s="203">
        <v>9</v>
      </c>
      <c r="AG44" s="203">
        <v>9</v>
      </c>
      <c r="AH44" s="203">
        <v>0</v>
      </c>
      <c r="AI44" s="5"/>
      <c r="AJ44" s="201" t="s">
        <v>82</v>
      </c>
      <c r="AK44" s="203">
        <v>0</v>
      </c>
      <c r="AL44" s="203">
        <v>30</v>
      </c>
      <c r="AM44" s="203">
        <v>9</v>
      </c>
      <c r="AN44" s="203">
        <v>9</v>
      </c>
      <c r="AO44" s="203">
        <v>0</v>
      </c>
    </row>
    <row r="45" spans="10:41" ht="16.5" customHeight="1">
      <c r="J45" s="195">
        <v>41</v>
      </c>
      <c r="K45" s="196" t="s">
        <v>97</v>
      </c>
      <c r="L45" s="196" t="s">
        <v>15</v>
      </c>
      <c r="M45" s="196" t="s">
        <v>29</v>
      </c>
      <c r="N45" s="196" t="s">
        <v>12</v>
      </c>
      <c r="O45" s="196" t="s">
        <v>97</v>
      </c>
      <c r="Q45" s="195">
        <v>6</v>
      </c>
      <c r="R45" s="195">
        <v>2</v>
      </c>
      <c r="S45" s="195">
        <v>8</v>
      </c>
      <c r="T45" s="195">
        <v>4</v>
      </c>
      <c r="U45" s="195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201" t="s">
        <v>98</v>
      </c>
      <c r="AD45" s="203">
        <v>0</v>
      </c>
      <c r="AE45" s="203">
        <v>33</v>
      </c>
      <c r="AF45" s="203">
        <v>9</v>
      </c>
      <c r="AG45" s="203">
        <v>9</v>
      </c>
      <c r="AH45" s="203">
        <v>0</v>
      </c>
      <c r="AI45" s="5"/>
      <c r="AJ45" s="201" t="s">
        <v>98</v>
      </c>
      <c r="AK45" s="203">
        <v>0</v>
      </c>
      <c r="AL45" s="203">
        <v>33</v>
      </c>
      <c r="AM45" s="203">
        <v>9</v>
      </c>
      <c r="AN45" s="203">
        <v>9</v>
      </c>
      <c r="AO45" s="203">
        <v>0</v>
      </c>
    </row>
    <row r="46" spans="10:41" ht="16.5" customHeight="1">
      <c r="J46" s="23">
        <v>42</v>
      </c>
      <c r="K46" s="196" t="s">
        <v>97</v>
      </c>
      <c r="L46" s="196" t="s">
        <v>98</v>
      </c>
      <c r="M46" s="196" t="s">
        <v>31</v>
      </c>
      <c r="N46" s="196" t="s">
        <v>14</v>
      </c>
      <c r="O46" s="196" t="s">
        <v>12</v>
      </c>
      <c r="Q46" s="195">
        <v>6</v>
      </c>
      <c r="R46" s="195">
        <v>15</v>
      </c>
      <c r="S46" s="195">
        <v>7</v>
      </c>
      <c r="T46" s="195">
        <v>1</v>
      </c>
      <c r="U46" s="195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201" t="s">
        <v>83</v>
      </c>
      <c r="AD46" s="203">
        <v>0</v>
      </c>
      <c r="AE46" s="203">
        <v>33</v>
      </c>
      <c r="AF46" s="203">
        <v>9</v>
      </c>
      <c r="AG46" s="203">
        <v>9</v>
      </c>
      <c r="AH46" s="203">
        <v>0</v>
      </c>
      <c r="AI46" s="5"/>
      <c r="AJ46" s="201" t="s">
        <v>83</v>
      </c>
      <c r="AK46" s="203">
        <v>0</v>
      </c>
      <c r="AL46" s="203">
        <v>33</v>
      </c>
      <c r="AM46" s="203">
        <v>9</v>
      </c>
      <c r="AN46" s="203">
        <v>9</v>
      </c>
      <c r="AO46" s="203">
        <v>0</v>
      </c>
    </row>
    <row r="47" spans="10:41" ht="16.5" customHeight="1">
      <c r="J47" s="195">
        <v>43</v>
      </c>
      <c r="K47" s="196" t="s">
        <v>31</v>
      </c>
      <c r="L47" s="196" t="s">
        <v>16</v>
      </c>
      <c r="M47" s="196" t="s">
        <v>97</v>
      </c>
      <c r="N47" s="196" t="s">
        <v>13</v>
      </c>
      <c r="O47" s="196" t="s">
        <v>29</v>
      </c>
      <c r="Q47" s="195">
        <v>7</v>
      </c>
      <c r="R47" s="195">
        <v>3</v>
      </c>
      <c r="S47" s="195">
        <v>6</v>
      </c>
      <c r="T47" s="195">
        <v>5</v>
      </c>
      <c r="U47" s="195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201" t="s">
        <v>95</v>
      </c>
      <c r="AD47" s="203">
        <v>0</v>
      </c>
      <c r="AE47" s="203">
        <v>24</v>
      </c>
      <c r="AF47" s="203">
        <v>9</v>
      </c>
      <c r="AG47" s="203">
        <v>9</v>
      </c>
      <c r="AH47" s="203">
        <v>0</v>
      </c>
      <c r="AI47" s="5"/>
      <c r="AJ47" s="201" t="s">
        <v>95</v>
      </c>
      <c r="AK47" s="203">
        <v>0</v>
      </c>
      <c r="AL47" s="203">
        <v>24</v>
      </c>
      <c r="AM47" s="203">
        <v>9</v>
      </c>
      <c r="AN47" s="203">
        <v>9</v>
      </c>
      <c r="AO47" s="203">
        <v>0</v>
      </c>
    </row>
    <row r="48" spans="10:41" ht="16.5" customHeight="1">
      <c r="J48" s="23">
        <v>44</v>
      </c>
      <c r="K48" s="196" t="s">
        <v>13</v>
      </c>
      <c r="L48" s="196" t="s">
        <v>31</v>
      </c>
      <c r="M48" s="196" t="s">
        <v>31</v>
      </c>
      <c r="N48" s="196" t="s">
        <v>29</v>
      </c>
      <c r="O48" s="196" t="s">
        <v>29</v>
      </c>
      <c r="Q48" s="195">
        <v>5</v>
      </c>
      <c r="R48" s="195">
        <v>7</v>
      </c>
      <c r="S48" s="195">
        <v>7</v>
      </c>
      <c r="T48" s="195">
        <v>8</v>
      </c>
      <c r="U48" s="195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201" t="s">
        <v>86</v>
      </c>
      <c r="AD48" s="203">
        <v>0</v>
      </c>
      <c r="AE48" s="203">
        <v>18</v>
      </c>
      <c r="AF48" s="203">
        <v>0</v>
      </c>
      <c r="AG48" s="203">
        <v>12</v>
      </c>
      <c r="AH48" s="203">
        <v>0</v>
      </c>
      <c r="AI48" s="5"/>
      <c r="AJ48" s="201" t="s">
        <v>86</v>
      </c>
      <c r="AK48" s="203">
        <v>0</v>
      </c>
      <c r="AL48" s="203">
        <v>18</v>
      </c>
      <c r="AM48" s="203">
        <v>0</v>
      </c>
      <c r="AN48" s="203">
        <v>12</v>
      </c>
      <c r="AO48" s="203">
        <v>0</v>
      </c>
    </row>
    <row r="49" spans="10:41" ht="16.5" customHeight="1">
      <c r="J49" s="195">
        <v>45</v>
      </c>
      <c r="K49" s="196" t="s">
        <v>13</v>
      </c>
      <c r="L49" s="196" t="s">
        <v>95</v>
      </c>
      <c r="M49" s="196" t="s">
        <v>97</v>
      </c>
      <c r="N49" s="196" t="s">
        <v>12</v>
      </c>
      <c r="O49" s="196" t="s">
        <v>97</v>
      </c>
      <c r="Q49" s="195">
        <v>5</v>
      </c>
      <c r="R49" s="195">
        <v>17</v>
      </c>
      <c r="S49" s="195">
        <v>6</v>
      </c>
      <c r="T49" s="195">
        <v>4</v>
      </c>
      <c r="U49" s="195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201" t="s">
        <v>88</v>
      </c>
      <c r="AD49" s="203">
        <v>0</v>
      </c>
      <c r="AE49" s="203">
        <v>18</v>
      </c>
      <c r="AF49" s="203">
        <v>0</v>
      </c>
      <c r="AG49" s="203">
        <v>12</v>
      </c>
      <c r="AH49" s="203">
        <v>0</v>
      </c>
      <c r="AI49" s="5"/>
      <c r="AJ49" s="201" t="s">
        <v>88</v>
      </c>
      <c r="AK49" s="203">
        <v>0</v>
      </c>
      <c r="AL49" s="203">
        <v>18</v>
      </c>
      <c r="AM49" s="203">
        <v>0</v>
      </c>
      <c r="AN49" s="203">
        <v>12</v>
      </c>
      <c r="AO49" s="203">
        <v>0</v>
      </c>
    </row>
    <row r="50" spans="10:41" ht="16.5" customHeight="1">
      <c r="J50" s="23">
        <v>46</v>
      </c>
      <c r="K50" s="196" t="s">
        <v>12</v>
      </c>
      <c r="L50" s="196" t="s">
        <v>95</v>
      </c>
      <c r="M50" s="196" t="s">
        <v>29</v>
      </c>
      <c r="N50" s="196" t="s">
        <v>28</v>
      </c>
      <c r="O50" s="196" t="s">
        <v>15</v>
      </c>
      <c r="Q50" s="195">
        <v>4</v>
      </c>
      <c r="R50" s="195">
        <v>17</v>
      </c>
      <c r="S50" s="195">
        <v>8</v>
      </c>
      <c r="T50" s="195">
        <v>9</v>
      </c>
      <c r="U50" s="195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3">
        <v>200</v>
      </c>
      <c r="AE50" s="103">
        <v>360</v>
      </c>
      <c r="AF50" s="103">
        <v>224</v>
      </c>
      <c r="AG50" s="103">
        <v>264</v>
      </c>
      <c r="AH50" s="103">
        <v>200</v>
      </c>
      <c r="AI50" s="5"/>
      <c r="AK50" s="103">
        <v>200</v>
      </c>
      <c r="AL50" s="103">
        <v>360</v>
      </c>
      <c r="AM50" s="103">
        <v>224</v>
      </c>
      <c r="AN50" s="103">
        <v>264</v>
      </c>
      <c r="AO50" s="103">
        <v>200</v>
      </c>
    </row>
    <row r="51" spans="10:41" ht="16.5" customHeight="1">
      <c r="J51" s="195">
        <v>47</v>
      </c>
      <c r="K51" s="196" t="s">
        <v>15</v>
      </c>
      <c r="L51" s="196" t="s">
        <v>29</v>
      </c>
      <c r="M51" s="196" t="s">
        <v>13</v>
      </c>
      <c r="N51" s="196" t="s">
        <v>79</v>
      </c>
      <c r="O51" s="196" t="s">
        <v>97</v>
      </c>
      <c r="Q51" s="195">
        <v>2</v>
      </c>
      <c r="R51" s="195">
        <v>8</v>
      </c>
      <c r="S51" s="195">
        <v>5</v>
      </c>
      <c r="T51" s="195">
        <v>11</v>
      </c>
      <c r="U51" s="195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6" t="s">
        <v>31</v>
      </c>
      <c r="L52" s="196" t="s">
        <v>13</v>
      </c>
      <c r="M52" s="196" t="s">
        <v>31</v>
      </c>
      <c r="N52" s="196" t="s">
        <v>28</v>
      </c>
      <c r="O52" s="196" t="s">
        <v>97</v>
      </c>
      <c r="Q52" s="195">
        <v>7</v>
      </c>
      <c r="R52" s="195">
        <v>5</v>
      </c>
      <c r="S52" s="195">
        <v>7</v>
      </c>
      <c r="T52" s="195">
        <v>9</v>
      </c>
      <c r="U52" s="195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309</v>
      </c>
      <c r="AH52" s="5"/>
      <c r="AI52" s="5"/>
      <c r="AJ52" s="25" t="s">
        <v>309</v>
      </c>
      <c r="AO52" s="5"/>
    </row>
    <row r="53" spans="10:41" ht="16.5" customHeight="1">
      <c r="J53" s="195">
        <v>49</v>
      </c>
      <c r="K53" s="196" t="s">
        <v>13</v>
      </c>
      <c r="L53" s="196" t="s">
        <v>86</v>
      </c>
      <c r="M53" s="196" t="s">
        <v>13</v>
      </c>
      <c r="N53" s="196" t="s">
        <v>29</v>
      </c>
      <c r="O53" s="196" t="s">
        <v>13</v>
      </c>
      <c r="Q53" s="195">
        <v>5</v>
      </c>
      <c r="R53" s="195">
        <v>18</v>
      </c>
      <c r="S53" s="195">
        <v>5</v>
      </c>
      <c r="T53" s="195">
        <v>8</v>
      </c>
      <c r="U53" s="195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22" t="s">
        <v>36</v>
      </c>
      <c r="AD53" s="122" t="s">
        <v>7</v>
      </c>
      <c r="AE53" s="122" t="s">
        <v>8</v>
      </c>
      <c r="AF53" s="122" t="s">
        <v>9</v>
      </c>
      <c r="AG53" s="122" t="s">
        <v>10</v>
      </c>
      <c r="AH53" s="122" t="s">
        <v>11</v>
      </c>
      <c r="AI53" s="5"/>
      <c r="AJ53" s="122" t="s">
        <v>36</v>
      </c>
      <c r="AK53" s="122" t="s">
        <v>7</v>
      </c>
      <c r="AL53" s="122" t="s">
        <v>8</v>
      </c>
      <c r="AM53" s="122" t="s">
        <v>9</v>
      </c>
      <c r="AN53" s="122" t="s">
        <v>10</v>
      </c>
      <c r="AO53" s="122" t="s">
        <v>11</v>
      </c>
    </row>
    <row r="54" spans="10:41" ht="16.5" customHeight="1">
      <c r="J54" s="23">
        <v>50</v>
      </c>
      <c r="K54" s="196" t="s">
        <v>31</v>
      </c>
      <c r="L54" s="196" t="s">
        <v>83</v>
      </c>
      <c r="M54" s="196" t="s">
        <v>97</v>
      </c>
      <c r="N54" s="196" t="s">
        <v>13</v>
      </c>
      <c r="O54" s="196" t="s">
        <v>13</v>
      </c>
      <c r="Q54" s="195">
        <v>7</v>
      </c>
      <c r="R54" s="195">
        <v>16</v>
      </c>
      <c r="S54" s="195">
        <v>6</v>
      </c>
      <c r="T54" s="195">
        <v>5</v>
      </c>
      <c r="U54" s="195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201" t="s">
        <v>306</v>
      </c>
      <c r="AD54" s="126">
        <v>0</v>
      </c>
      <c r="AE54" s="126">
        <v>0</v>
      </c>
      <c r="AF54" s="126">
        <v>0</v>
      </c>
      <c r="AG54" s="126">
        <v>0</v>
      </c>
      <c r="AH54" s="126">
        <v>0</v>
      </c>
      <c r="AI54" s="5"/>
      <c r="AJ54" s="201" t="s">
        <v>306</v>
      </c>
      <c r="AK54" s="126">
        <v>0</v>
      </c>
      <c r="AL54" s="126">
        <v>0</v>
      </c>
      <c r="AM54" s="126">
        <v>0</v>
      </c>
      <c r="AN54" s="126">
        <v>0</v>
      </c>
      <c r="AO54" s="126">
        <v>0</v>
      </c>
    </row>
    <row r="55" spans="10:41" ht="16.5" customHeight="1">
      <c r="J55" s="195">
        <v>51</v>
      </c>
      <c r="K55" s="196" t="s">
        <v>97</v>
      </c>
      <c r="L55" s="196" t="s">
        <v>83</v>
      </c>
      <c r="M55" s="196" t="s">
        <v>29</v>
      </c>
      <c r="N55" s="196" t="s">
        <v>16</v>
      </c>
      <c r="O55" s="196" t="s">
        <v>30</v>
      </c>
      <c r="Q55" s="195">
        <v>6</v>
      </c>
      <c r="R55" s="195">
        <v>16</v>
      </c>
      <c r="S55" s="195">
        <v>8</v>
      </c>
      <c r="T55" s="195">
        <v>3</v>
      </c>
      <c r="U55" s="195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201" t="s">
        <v>14</v>
      </c>
      <c r="AD55" s="201">
        <v>0</v>
      </c>
      <c r="AE55" s="201">
        <v>6</v>
      </c>
      <c r="AF55" s="201">
        <v>0</v>
      </c>
      <c r="AG55" s="201">
        <v>9</v>
      </c>
      <c r="AH55" s="201">
        <v>0</v>
      </c>
      <c r="AI55" s="5"/>
      <c r="AJ55" s="201" t="s">
        <v>14</v>
      </c>
      <c r="AK55" s="201">
        <v>0</v>
      </c>
      <c r="AL55" s="201">
        <v>6</v>
      </c>
      <c r="AM55" s="201">
        <v>0</v>
      </c>
      <c r="AN55" s="201">
        <v>9</v>
      </c>
      <c r="AO55" s="201">
        <v>0</v>
      </c>
    </row>
    <row r="56" spans="10:41" ht="16.5" customHeight="1">
      <c r="J56" s="23">
        <v>52</v>
      </c>
      <c r="K56" s="196" t="s">
        <v>29</v>
      </c>
      <c r="L56" s="196" t="s">
        <v>13</v>
      </c>
      <c r="M56" s="196" t="s">
        <v>12</v>
      </c>
      <c r="N56" s="196" t="s">
        <v>13</v>
      </c>
      <c r="O56" s="196" t="s">
        <v>30</v>
      </c>
      <c r="Q56" s="195">
        <v>8</v>
      </c>
      <c r="R56" s="195">
        <v>5</v>
      </c>
      <c r="S56" s="195">
        <v>4</v>
      </c>
      <c r="T56" s="195">
        <v>5</v>
      </c>
      <c r="U56" s="195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6" t="s">
        <v>15</v>
      </c>
      <c r="AD56" s="202">
        <v>4</v>
      </c>
      <c r="AE56" s="202">
        <v>22</v>
      </c>
      <c r="AF56" s="202">
        <v>5</v>
      </c>
      <c r="AG56" s="202">
        <v>21</v>
      </c>
      <c r="AH56" s="202">
        <v>23</v>
      </c>
      <c r="AI56" s="5"/>
      <c r="AJ56" s="136" t="s">
        <v>15</v>
      </c>
      <c r="AK56" s="202">
        <v>4</v>
      </c>
      <c r="AL56" s="202">
        <v>22</v>
      </c>
      <c r="AM56" s="202">
        <v>5</v>
      </c>
      <c r="AN56" s="202">
        <v>21</v>
      </c>
      <c r="AO56" s="202">
        <v>23</v>
      </c>
    </row>
    <row r="57" spans="10:41" ht="16.5" customHeight="1">
      <c r="J57" s="195">
        <v>53</v>
      </c>
      <c r="K57" s="196" t="s">
        <v>97</v>
      </c>
      <c r="L57" s="196" t="s">
        <v>81</v>
      </c>
      <c r="M57" s="196" t="s">
        <v>31</v>
      </c>
      <c r="N57" s="196" t="s">
        <v>28</v>
      </c>
      <c r="O57" s="196" t="s">
        <v>31</v>
      </c>
      <c r="Q57" s="195">
        <v>6</v>
      </c>
      <c r="R57" s="195">
        <v>13</v>
      </c>
      <c r="S57" s="195">
        <v>7</v>
      </c>
      <c r="T57" s="195">
        <v>9</v>
      </c>
      <c r="U57" s="195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6" t="s">
        <v>16</v>
      </c>
      <c r="AD57" s="202">
        <v>4</v>
      </c>
      <c r="AE57" s="202">
        <v>10</v>
      </c>
      <c r="AF57" s="202">
        <v>5</v>
      </c>
      <c r="AG57" s="202">
        <v>21</v>
      </c>
      <c r="AH57" s="202">
        <v>23</v>
      </c>
      <c r="AI57" s="5"/>
      <c r="AJ57" s="136" t="s">
        <v>16</v>
      </c>
      <c r="AK57" s="202">
        <v>4</v>
      </c>
      <c r="AL57" s="202">
        <v>10</v>
      </c>
      <c r="AM57" s="202">
        <v>5</v>
      </c>
      <c r="AN57" s="202">
        <v>21</v>
      </c>
      <c r="AO57" s="202">
        <v>23</v>
      </c>
    </row>
    <row r="58" spans="10:41" ht="16.5" customHeight="1">
      <c r="J58" s="23">
        <v>54</v>
      </c>
      <c r="K58" s="196" t="s">
        <v>29</v>
      </c>
      <c r="L58" s="196" t="s">
        <v>15</v>
      </c>
      <c r="M58" s="196" t="s">
        <v>13</v>
      </c>
      <c r="N58" s="196" t="s">
        <v>15</v>
      </c>
      <c r="O58" s="196" t="s">
        <v>13</v>
      </c>
      <c r="Q58" s="195">
        <v>8</v>
      </c>
      <c r="R58" s="195">
        <v>2</v>
      </c>
      <c r="S58" s="195">
        <v>5</v>
      </c>
      <c r="T58" s="195">
        <v>2</v>
      </c>
      <c r="U58" s="195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6" t="s">
        <v>12</v>
      </c>
      <c r="AD58" s="202">
        <v>4</v>
      </c>
      <c r="AE58" s="202">
        <v>9</v>
      </c>
      <c r="AF58" s="202">
        <v>5</v>
      </c>
      <c r="AG58" s="202">
        <v>21</v>
      </c>
      <c r="AH58" s="202">
        <v>22</v>
      </c>
      <c r="AI58" s="5"/>
      <c r="AJ58" s="136" t="s">
        <v>12</v>
      </c>
      <c r="AK58" s="202">
        <v>4</v>
      </c>
      <c r="AL58" s="202">
        <v>9</v>
      </c>
      <c r="AM58" s="202">
        <v>5</v>
      </c>
      <c r="AN58" s="202">
        <v>21</v>
      </c>
      <c r="AO58" s="202">
        <v>22</v>
      </c>
    </row>
    <row r="59" spans="10:41" ht="16.5" customHeight="1">
      <c r="J59" s="195">
        <v>55</v>
      </c>
      <c r="K59" s="196" t="s">
        <v>29</v>
      </c>
      <c r="L59" s="196" t="s">
        <v>29</v>
      </c>
      <c r="M59" s="196" t="s">
        <v>29</v>
      </c>
      <c r="N59" s="196" t="s">
        <v>86</v>
      </c>
      <c r="O59" s="196" t="s">
        <v>12</v>
      </c>
      <c r="Q59" s="195">
        <v>8</v>
      </c>
      <c r="R59" s="195">
        <v>8</v>
      </c>
      <c r="S59" s="195">
        <v>8</v>
      </c>
      <c r="T59" s="195">
        <v>18</v>
      </c>
      <c r="U59" s="195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6" t="s">
        <v>13</v>
      </c>
      <c r="AD59" s="202">
        <v>43</v>
      </c>
      <c r="AE59" s="202">
        <v>13</v>
      </c>
      <c r="AF59" s="202">
        <v>41</v>
      </c>
      <c r="AG59" s="202">
        <v>14</v>
      </c>
      <c r="AH59" s="202">
        <v>22</v>
      </c>
      <c r="AI59" s="5"/>
      <c r="AJ59" s="136" t="s">
        <v>13</v>
      </c>
      <c r="AK59" s="202">
        <v>43</v>
      </c>
      <c r="AL59" s="202">
        <v>13</v>
      </c>
      <c r="AM59" s="202">
        <v>41</v>
      </c>
      <c r="AN59" s="202">
        <v>14</v>
      </c>
      <c r="AO59" s="202">
        <v>22</v>
      </c>
    </row>
    <row r="60" spans="10:41" ht="16.5" customHeight="1">
      <c r="J60" s="23">
        <v>56</v>
      </c>
      <c r="K60" s="196" t="s">
        <v>13</v>
      </c>
      <c r="L60" s="196" t="s">
        <v>83</v>
      </c>
      <c r="M60" s="196" t="s">
        <v>31</v>
      </c>
      <c r="N60" s="196" t="s">
        <v>30</v>
      </c>
      <c r="O60" s="196" t="s">
        <v>28</v>
      </c>
      <c r="Q60" s="195">
        <v>5</v>
      </c>
      <c r="R60" s="195">
        <v>16</v>
      </c>
      <c r="S60" s="195">
        <v>7</v>
      </c>
      <c r="T60" s="195">
        <v>10</v>
      </c>
      <c r="U60" s="195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6" t="s">
        <v>97</v>
      </c>
      <c r="AD60" s="202">
        <v>43</v>
      </c>
      <c r="AE60" s="202">
        <v>14</v>
      </c>
      <c r="AF60" s="202">
        <v>41</v>
      </c>
      <c r="AG60" s="202">
        <v>14</v>
      </c>
      <c r="AH60" s="202">
        <v>22</v>
      </c>
      <c r="AI60" s="5"/>
      <c r="AJ60" s="136" t="s">
        <v>97</v>
      </c>
      <c r="AK60" s="202">
        <v>43</v>
      </c>
      <c r="AL60" s="202">
        <v>14</v>
      </c>
      <c r="AM60" s="202">
        <v>41</v>
      </c>
      <c r="AN60" s="202">
        <v>14</v>
      </c>
      <c r="AO60" s="202">
        <v>22</v>
      </c>
    </row>
    <row r="61" spans="10:41">
      <c r="J61" s="195">
        <v>57</v>
      </c>
      <c r="K61" s="196" t="s">
        <v>29</v>
      </c>
      <c r="L61" s="196" t="s">
        <v>14</v>
      </c>
      <c r="M61" s="196" t="s">
        <v>29</v>
      </c>
      <c r="N61" s="196" t="s">
        <v>13</v>
      </c>
      <c r="O61" s="196" t="s">
        <v>16</v>
      </c>
      <c r="Q61" s="195">
        <v>8</v>
      </c>
      <c r="R61" s="195">
        <v>1</v>
      </c>
      <c r="S61" s="195">
        <v>8</v>
      </c>
      <c r="T61" s="195">
        <v>5</v>
      </c>
      <c r="U61" s="195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6" t="s">
        <v>31</v>
      </c>
      <c r="AD61" s="202">
        <v>47</v>
      </c>
      <c r="AE61" s="202">
        <v>14</v>
      </c>
      <c r="AF61" s="202">
        <v>41</v>
      </c>
      <c r="AG61" s="202">
        <v>14</v>
      </c>
      <c r="AH61" s="202">
        <v>22</v>
      </c>
      <c r="AI61" s="5"/>
      <c r="AJ61" s="136" t="s">
        <v>31</v>
      </c>
      <c r="AK61" s="202">
        <v>47</v>
      </c>
      <c r="AL61" s="202">
        <v>14</v>
      </c>
      <c r="AM61" s="202">
        <v>41</v>
      </c>
      <c r="AN61" s="202">
        <v>14</v>
      </c>
      <c r="AO61" s="202">
        <v>22</v>
      </c>
    </row>
    <row r="62" spans="10:41">
      <c r="J62" s="23">
        <v>58</v>
      </c>
      <c r="K62" s="196" t="s">
        <v>97</v>
      </c>
      <c r="L62" s="196" t="s">
        <v>29</v>
      </c>
      <c r="M62" s="196" t="s">
        <v>31</v>
      </c>
      <c r="N62" s="196" t="s">
        <v>83</v>
      </c>
      <c r="O62" s="196" t="s">
        <v>12</v>
      </c>
      <c r="Q62" s="195">
        <v>6</v>
      </c>
      <c r="R62" s="195">
        <v>8</v>
      </c>
      <c r="S62" s="195">
        <v>7</v>
      </c>
      <c r="T62" s="195">
        <v>16</v>
      </c>
      <c r="U62" s="195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6" t="s">
        <v>29</v>
      </c>
      <c r="AD62" s="202">
        <v>47</v>
      </c>
      <c r="AE62" s="202">
        <v>18</v>
      </c>
      <c r="AF62" s="202">
        <v>41</v>
      </c>
      <c r="AG62" s="202">
        <v>14</v>
      </c>
      <c r="AH62" s="202">
        <v>22</v>
      </c>
      <c r="AI62" s="5"/>
      <c r="AJ62" s="136" t="s">
        <v>29</v>
      </c>
      <c r="AK62" s="202">
        <v>47</v>
      </c>
      <c r="AL62" s="202">
        <v>18</v>
      </c>
      <c r="AM62" s="202">
        <v>41</v>
      </c>
      <c r="AN62" s="202">
        <v>14</v>
      </c>
      <c r="AO62" s="202">
        <v>22</v>
      </c>
    </row>
    <row r="63" spans="10:41" ht="16.5" customHeight="1">
      <c r="J63" s="195">
        <v>59</v>
      </c>
      <c r="K63" s="196" t="s">
        <v>31</v>
      </c>
      <c r="L63" s="196" t="s">
        <v>97</v>
      </c>
      <c r="M63" s="196" t="s">
        <v>16</v>
      </c>
      <c r="N63" s="196" t="s">
        <v>86</v>
      </c>
      <c r="O63" s="196" t="s">
        <v>31</v>
      </c>
      <c r="Q63" s="195">
        <v>7</v>
      </c>
      <c r="R63" s="195">
        <v>6</v>
      </c>
      <c r="S63" s="195">
        <v>3</v>
      </c>
      <c r="T63" s="195">
        <v>18</v>
      </c>
      <c r="U63" s="195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6" t="s">
        <v>28</v>
      </c>
      <c r="AD63" s="202">
        <v>4</v>
      </c>
      <c r="AE63" s="202">
        <v>5</v>
      </c>
      <c r="AF63" s="202">
        <v>5</v>
      </c>
      <c r="AG63" s="202">
        <v>20</v>
      </c>
      <c r="AH63" s="202">
        <v>22</v>
      </c>
      <c r="AI63" s="5"/>
      <c r="AJ63" s="136" t="s">
        <v>28</v>
      </c>
      <c r="AK63" s="202">
        <v>4</v>
      </c>
      <c r="AL63" s="202">
        <v>5</v>
      </c>
      <c r="AM63" s="202">
        <v>5</v>
      </c>
      <c r="AN63" s="202">
        <v>20</v>
      </c>
      <c r="AO63" s="202">
        <v>22</v>
      </c>
    </row>
    <row r="64" spans="10:41" ht="16.5" customHeight="1">
      <c r="J64" s="23">
        <v>60</v>
      </c>
      <c r="K64" s="196" t="s">
        <v>13</v>
      </c>
      <c r="L64" s="196" t="s">
        <v>81</v>
      </c>
      <c r="M64" s="196" t="s">
        <v>29</v>
      </c>
      <c r="N64" s="196" t="s">
        <v>29</v>
      </c>
      <c r="O64" s="196" t="s">
        <v>12</v>
      </c>
      <c r="Q64" s="195">
        <v>5</v>
      </c>
      <c r="R64" s="195">
        <v>13</v>
      </c>
      <c r="S64" s="195">
        <v>8</v>
      </c>
      <c r="T64" s="195">
        <v>8</v>
      </c>
      <c r="U64" s="195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6" t="s">
        <v>30</v>
      </c>
      <c r="AD64" s="202">
        <v>4</v>
      </c>
      <c r="AE64" s="202">
        <v>9</v>
      </c>
      <c r="AF64" s="202">
        <v>4</v>
      </c>
      <c r="AG64" s="202">
        <v>20</v>
      </c>
      <c r="AH64" s="202">
        <v>22</v>
      </c>
      <c r="AI64" s="5"/>
      <c r="AJ64" s="136" t="s">
        <v>30</v>
      </c>
      <c r="AK64" s="202">
        <v>4</v>
      </c>
      <c r="AL64" s="202">
        <v>9</v>
      </c>
      <c r="AM64" s="202">
        <v>4</v>
      </c>
      <c r="AN64" s="202">
        <v>20</v>
      </c>
      <c r="AO64" s="202">
        <v>22</v>
      </c>
    </row>
    <row r="65" spans="10:41" ht="16.5" customHeight="1">
      <c r="J65" s="195">
        <v>61</v>
      </c>
      <c r="K65" s="196" t="s">
        <v>29</v>
      </c>
      <c r="L65" s="196" t="s">
        <v>97</v>
      </c>
      <c r="M65" s="196" t="s">
        <v>13</v>
      </c>
      <c r="N65" s="196" t="s">
        <v>16</v>
      </c>
      <c r="O65" s="196" t="s">
        <v>97</v>
      </c>
      <c r="Q65" s="195">
        <v>8</v>
      </c>
      <c r="R65" s="195">
        <v>6</v>
      </c>
      <c r="S65" s="195">
        <v>5</v>
      </c>
      <c r="T65" s="195">
        <v>3</v>
      </c>
      <c r="U65" s="195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201" t="s">
        <v>79</v>
      </c>
      <c r="AD65" s="203">
        <v>0</v>
      </c>
      <c r="AE65" s="203">
        <v>48</v>
      </c>
      <c r="AF65" s="203">
        <v>0</v>
      </c>
      <c r="AG65" s="203">
        <v>12</v>
      </c>
      <c r="AH65" s="203">
        <v>0</v>
      </c>
      <c r="AI65" s="5"/>
      <c r="AJ65" s="201" t="s">
        <v>79</v>
      </c>
      <c r="AK65" s="203">
        <v>0</v>
      </c>
      <c r="AL65" s="203">
        <v>48</v>
      </c>
      <c r="AM65" s="203">
        <v>0</v>
      </c>
      <c r="AN65" s="203">
        <v>12</v>
      </c>
      <c r="AO65" s="203">
        <v>0</v>
      </c>
    </row>
    <row r="66" spans="10:41" ht="16.5" customHeight="1">
      <c r="J66" s="23">
        <v>62</v>
      </c>
      <c r="K66" s="196" t="s">
        <v>31</v>
      </c>
      <c r="L66" s="196" t="s">
        <v>28</v>
      </c>
      <c r="M66" s="196" t="s">
        <v>13</v>
      </c>
      <c r="N66" s="196" t="s">
        <v>30</v>
      </c>
      <c r="O66" s="196" t="s">
        <v>30</v>
      </c>
      <c r="Q66" s="195">
        <v>7</v>
      </c>
      <c r="R66" s="195">
        <v>9</v>
      </c>
      <c r="S66" s="195">
        <v>5</v>
      </c>
      <c r="T66" s="195">
        <v>10</v>
      </c>
      <c r="U66" s="195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201" t="s">
        <v>80</v>
      </c>
      <c r="AD66" s="203">
        <v>0</v>
      </c>
      <c r="AE66" s="203">
        <v>15</v>
      </c>
      <c r="AF66" s="203">
        <v>0</v>
      </c>
      <c r="AG66" s="203">
        <v>12</v>
      </c>
      <c r="AH66" s="203">
        <v>0</v>
      </c>
      <c r="AI66" s="5"/>
      <c r="AJ66" s="201" t="s">
        <v>80</v>
      </c>
      <c r="AK66" s="203">
        <v>0</v>
      </c>
      <c r="AL66" s="203">
        <v>15</v>
      </c>
      <c r="AM66" s="203">
        <v>0</v>
      </c>
      <c r="AN66" s="203">
        <v>12</v>
      </c>
      <c r="AO66" s="203">
        <v>0</v>
      </c>
    </row>
    <row r="67" spans="10:41" ht="16.5" customHeight="1">
      <c r="J67" s="195">
        <v>63</v>
      </c>
      <c r="K67" s="196" t="s">
        <v>97</v>
      </c>
      <c r="L67" s="196" t="s">
        <v>98</v>
      </c>
      <c r="M67" s="196" t="s">
        <v>29</v>
      </c>
      <c r="N67" s="196" t="s">
        <v>14</v>
      </c>
      <c r="O67" s="196" t="s">
        <v>31</v>
      </c>
      <c r="Q67" s="195">
        <v>6</v>
      </c>
      <c r="R67" s="195">
        <v>15</v>
      </c>
      <c r="S67" s="195">
        <v>8</v>
      </c>
      <c r="T67" s="195">
        <v>1</v>
      </c>
      <c r="U67" s="195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201" t="s">
        <v>81</v>
      </c>
      <c r="AD67" s="203">
        <v>0</v>
      </c>
      <c r="AE67" s="203">
        <v>21</v>
      </c>
      <c r="AF67" s="203">
        <v>0</v>
      </c>
      <c r="AG67" s="203">
        <v>12</v>
      </c>
      <c r="AH67" s="203">
        <v>0</v>
      </c>
      <c r="AI67" s="5"/>
      <c r="AJ67" s="201" t="s">
        <v>81</v>
      </c>
      <c r="AK67" s="203">
        <v>0</v>
      </c>
      <c r="AL67" s="203">
        <v>21</v>
      </c>
      <c r="AM67" s="203">
        <v>0</v>
      </c>
      <c r="AN67" s="203">
        <v>12</v>
      </c>
      <c r="AO67" s="203">
        <v>0</v>
      </c>
    </row>
    <row r="68" spans="10:41" ht="16.5" customHeight="1">
      <c r="J68" s="23">
        <v>64</v>
      </c>
      <c r="K68" s="196" t="s">
        <v>13</v>
      </c>
      <c r="L68" s="196" t="s">
        <v>80</v>
      </c>
      <c r="M68" s="196" t="s">
        <v>95</v>
      </c>
      <c r="N68" s="196" t="s">
        <v>15</v>
      </c>
      <c r="O68" s="196" t="s">
        <v>97</v>
      </c>
      <c r="Q68" s="195">
        <v>5</v>
      </c>
      <c r="R68" s="195">
        <v>12</v>
      </c>
      <c r="S68" s="195">
        <v>17</v>
      </c>
      <c r="T68" s="195">
        <v>2</v>
      </c>
      <c r="U68" s="195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201" t="s">
        <v>82</v>
      </c>
      <c r="AD68" s="203">
        <v>0</v>
      </c>
      <c r="AE68" s="203">
        <v>30</v>
      </c>
      <c r="AF68" s="203">
        <v>9</v>
      </c>
      <c r="AG68" s="203">
        <v>9</v>
      </c>
      <c r="AH68" s="203">
        <v>0</v>
      </c>
      <c r="AI68" s="5"/>
      <c r="AJ68" s="201" t="s">
        <v>82</v>
      </c>
      <c r="AK68" s="203">
        <v>0</v>
      </c>
      <c r="AL68" s="203">
        <v>30</v>
      </c>
      <c r="AM68" s="203">
        <v>9</v>
      </c>
      <c r="AN68" s="203">
        <v>9</v>
      </c>
      <c r="AO68" s="203">
        <v>0</v>
      </c>
    </row>
    <row r="69" spans="10:41" ht="16.5" customHeight="1">
      <c r="J69" s="195">
        <v>65</v>
      </c>
      <c r="K69" s="196" t="s">
        <v>29</v>
      </c>
      <c r="L69" s="196" t="s">
        <v>14</v>
      </c>
      <c r="M69" s="196" t="s">
        <v>97</v>
      </c>
      <c r="N69" s="196" t="s">
        <v>31</v>
      </c>
      <c r="O69" s="196" t="s">
        <v>12</v>
      </c>
      <c r="Q69" s="195">
        <v>8</v>
      </c>
      <c r="R69" s="195">
        <v>1</v>
      </c>
      <c r="S69" s="195">
        <v>6</v>
      </c>
      <c r="T69" s="195">
        <v>7</v>
      </c>
      <c r="U69" s="195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201" t="s">
        <v>98</v>
      </c>
      <c r="AD69" s="203">
        <v>0</v>
      </c>
      <c r="AE69" s="203">
        <v>33</v>
      </c>
      <c r="AF69" s="203">
        <v>9</v>
      </c>
      <c r="AG69" s="203">
        <v>9</v>
      </c>
      <c r="AH69" s="203">
        <v>0</v>
      </c>
      <c r="AI69" s="5"/>
      <c r="AJ69" s="201" t="s">
        <v>98</v>
      </c>
      <c r="AK69" s="203">
        <v>0</v>
      </c>
      <c r="AL69" s="203">
        <v>33</v>
      </c>
      <c r="AM69" s="203">
        <v>9</v>
      </c>
      <c r="AN69" s="203">
        <v>9</v>
      </c>
      <c r="AO69" s="203">
        <v>0</v>
      </c>
    </row>
    <row r="70" spans="10:41" ht="16.5" customHeight="1">
      <c r="J70" s="23">
        <v>66</v>
      </c>
      <c r="K70" s="196" t="s">
        <v>29</v>
      </c>
      <c r="L70" s="196" t="s">
        <v>97</v>
      </c>
      <c r="M70" s="196" t="s">
        <v>13</v>
      </c>
      <c r="N70" s="196" t="s">
        <v>31</v>
      </c>
      <c r="O70" s="196" t="s">
        <v>97</v>
      </c>
      <c r="Q70" s="195">
        <v>8</v>
      </c>
      <c r="R70" s="195">
        <v>6</v>
      </c>
      <c r="S70" s="195">
        <v>5</v>
      </c>
      <c r="T70" s="195">
        <v>7</v>
      </c>
      <c r="U70" s="195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201" t="s">
        <v>83</v>
      </c>
      <c r="AD70" s="203">
        <v>0</v>
      </c>
      <c r="AE70" s="203">
        <v>33</v>
      </c>
      <c r="AF70" s="203">
        <v>9</v>
      </c>
      <c r="AG70" s="203">
        <v>9</v>
      </c>
      <c r="AH70" s="203">
        <v>0</v>
      </c>
      <c r="AI70" s="5"/>
      <c r="AJ70" s="201" t="s">
        <v>83</v>
      </c>
      <c r="AK70" s="203">
        <v>0</v>
      </c>
      <c r="AL70" s="203">
        <v>33</v>
      </c>
      <c r="AM70" s="203">
        <v>9</v>
      </c>
      <c r="AN70" s="203">
        <v>9</v>
      </c>
      <c r="AO70" s="203">
        <v>0</v>
      </c>
    </row>
    <row r="71" spans="10:41" ht="16.5" customHeight="1">
      <c r="J71" s="195">
        <v>67</v>
      </c>
      <c r="K71" s="196" t="s">
        <v>13</v>
      </c>
      <c r="L71" s="196" t="s">
        <v>97</v>
      </c>
      <c r="M71" s="196" t="s">
        <v>28</v>
      </c>
      <c r="N71" s="196" t="s">
        <v>83</v>
      </c>
      <c r="O71" s="196" t="s">
        <v>30</v>
      </c>
      <c r="Q71" s="195">
        <v>5</v>
      </c>
      <c r="R71" s="195">
        <v>6</v>
      </c>
      <c r="S71" s="195">
        <v>9</v>
      </c>
      <c r="T71" s="195">
        <v>16</v>
      </c>
      <c r="U71" s="195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201" t="s">
        <v>95</v>
      </c>
      <c r="AD71" s="203">
        <v>0</v>
      </c>
      <c r="AE71" s="203">
        <v>24</v>
      </c>
      <c r="AF71" s="203">
        <v>9</v>
      </c>
      <c r="AG71" s="203">
        <v>9</v>
      </c>
      <c r="AH71" s="203">
        <v>0</v>
      </c>
      <c r="AI71" s="5"/>
      <c r="AJ71" s="201" t="s">
        <v>95</v>
      </c>
      <c r="AK71" s="203">
        <v>0</v>
      </c>
      <c r="AL71" s="203">
        <v>24</v>
      </c>
      <c r="AM71" s="203">
        <v>9</v>
      </c>
      <c r="AN71" s="203">
        <v>9</v>
      </c>
      <c r="AO71" s="203">
        <v>0</v>
      </c>
    </row>
    <row r="72" spans="10:41" ht="16.5" customHeight="1">
      <c r="J72" s="23">
        <v>68</v>
      </c>
      <c r="K72" s="196" t="s">
        <v>30</v>
      </c>
      <c r="L72" s="196" t="s">
        <v>79</v>
      </c>
      <c r="M72" s="196" t="s">
        <v>97</v>
      </c>
      <c r="N72" s="196" t="s">
        <v>16</v>
      </c>
      <c r="O72" s="196" t="s">
        <v>28</v>
      </c>
      <c r="Q72" s="195">
        <v>10</v>
      </c>
      <c r="R72" s="195">
        <v>11</v>
      </c>
      <c r="S72" s="195">
        <v>6</v>
      </c>
      <c r="T72" s="195">
        <v>3</v>
      </c>
      <c r="U72" s="195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201" t="s">
        <v>86</v>
      </c>
      <c r="AD72" s="203">
        <v>0</v>
      </c>
      <c r="AE72" s="203">
        <v>18</v>
      </c>
      <c r="AF72" s="203">
        <v>0</v>
      </c>
      <c r="AG72" s="203">
        <v>12</v>
      </c>
      <c r="AH72" s="203">
        <v>0</v>
      </c>
      <c r="AI72" s="5"/>
      <c r="AJ72" s="201" t="s">
        <v>86</v>
      </c>
      <c r="AK72" s="203">
        <v>0</v>
      </c>
      <c r="AL72" s="203">
        <v>18</v>
      </c>
      <c r="AM72" s="203">
        <v>0</v>
      </c>
      <c r="AN72" s="203">
        <v>12</v>
      </c>
      <c r="AO72" s="203">
        <v>0</v>
      </c>
    </row>
    <row r="73" spans="10:41" ht="16.5" customHeight="1">
      <c r="J73" s="195">
        <v>69</v>
      </c>
      <c r="K73" s="196" t="s">
        <v>13</v>
      </c>
      <c r="L73" s="196" t="s">
        <v>12</v>
      </c>
      <c r="M73" s="196" t="s">
        <v>97</v>
      </c>
      <c r="N73" s="196" t="s">
        <v>12</v>
      </c>
      <c r="O73" s="196" t="s">
        <v>12</v>
      </c>
      <c r="Q73" s="195">
        <v>5</v>
      </c>
      <c r="R73" s="195">
        <v>4</v>
      </c>
      <c r="S73" s="195">
        <v>6</v>
      </c>
      <c r="T73" s="195">
        <v>4</v>
      </c>
      <c r="U73" s="195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201" t="s">
        <v>88</v>
      </c>
      <c r="AD73" s="203">
        <v>0</v>
      </c>
      <c r="AE73" s="203">
        <v>18</v>
      </c>
      <c r="AF73" s="203">
        <v>0</v>
      </c>
      <c r="AG73" s="203">
        <v>12</v>
      </c>
      <c r="AH73" s="203">
        <v>0</v>
      </c>
      <c r="AI73" s="5"/>
      <c r="AJ73" s="201" t="s">
        <v>88</v>
      </c>
      <c r="AK73" s="203">
        <v>0</v>
      </c>
      <c r="AL73" s="203">
        <v>18</v>
      </c>
      <c r="AM73" s="203">
        <v>0</v>
      </c>
      <c r="AN73" s="203">
        <v>12</v>
      </c>
      <c r="AO73" s="203">
        <v>0</v>
      </c>
    </row>
    <row r="74" spans="10:41" ht="16.5" customHeight="1">
      <c r="J74" s="23">
        <v>70</v>
      </c>
      <c r="K74" s="196" t="s">
        <v>29</v>
      </c>
      <c r="L74" s="196" t="s">
        <v>29</v>
      </c>
      <c r="M74" s="196" t="s">
        <v>29</v>
      </c>
      <c r="N74" s="196" t="s">
        <v>28</v>
      </c>
      <c r="O74" s="196" t="s">
        <v>97</v>
      </c>
      <c r="Q74" s="195">
        <v>8</v>
      </c>
      <c r="R74" s="195">
        <v>8</v>
      </c>
      <c r="S74" s="195">
        <v>8</v>
      </c>
      <c r="T74" s="195">
        <v>9</v>
      </c>
      <c r="U74" s="195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3">
        <v>200</v>
      </c>
      <c r="AE74" s="103">
        <v>360</v>
      </c>
      <c r="AF74" s="103">
        <v>224</v>
      </c>
      <c r="AG74" s="103">
        <v>264</v>
      </c>
      <c r="AH74" s="103">
        <v>200</v>
      </c>
      <c r="AI74" s="5"/>
      <c r="AK74" s="103">
        <v>200</v>
      </c>
      <c r="AL74" s="103">
        <v>360</v>
      </c>
      <c r="AM74" s="103">
        <v>224</v>
      </c>
      <c r="AN74" s="103">
        <v>264</v>
      </c>
      <c r="AO74" s="103">
        <v>200</v>
      </c>
    </row>
    <row r="75" spans="10:41" ht="16.5" customHeight="1">
      <c r="J75" s="195">
        <v>71</v>
      </c>
      <c r="K75" s="196" t="s">
        <v>12</v>
      </c>
      <c r="L75" s="196" t="s">
        <v>79</v>
      </c>
      <c r="M75" s="196" t="s">
        <v>97</v>
      </c>
      <c r="N75" s="196" t="s">
        <v>97</v>
      </c>
      <c r="O75" s="196" t="s">
        <v>15</v>
      </c>
      <c r="Q75" s="195">
        <v>4</v>
      </c>
      <c r="R75" s="195">
        <v>11</v>
      </c>
      <c r="S75" s="195">
        <v>6</v>
      </c>
      <c r="T75" s="195">
        <v>6</v>
      </c>
      <c r="U75" s="195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6" t="s">
        <v>16</v>
      </c>
      <c r="L76" s="196" t="s">
        <v>30</v>
      </c>
      <c r="M76" s="196" t="s">
        <v>13</v>
      </c>
      <c r="N76" s="196" t="s">
        <v>14</v>
      </c>
      <c r="O76" s="196" t="s">
        <v>31</v>
      </c>
      <c r="Q76" s="195">
        <v>3</v>
      </c>
      <c r="R76" s="195">
        <v>10</v>
      </c>
      <c r="S76" s="195">
        <v>5</v>
      </c>
      <c r="T76" s="195">
        <v>1</v>
      </c>
      <c r="U76" s="195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5">
        <v>73</v>
      </c>
      <c r="K77" s="196" t="s">
        <v>13</v>
      </c>
      <c r="L77" s="196" t="s">
        <v>88</v>
      </c>
      <c r="M77" s="196" t="s">
        <v>29</v>
      </c>
      <c r="N77" s="196" t="s">
        <v>28</v>
      </c>
      <c r="O77" s="196" t="s">
        <v>97</v>
      </c>
      <c r="Q77" s="195">
        <v>5</v>
      </c>
      <c r="R77" s="195">
        <v>19</v>
      </c>
      <c r="S77" s="195">
        <v>8</v>
      </c>
      <c r="T77" s="195">
        <v>9</v>
      </c>
      <c r="U77" s="195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6" t="s">
        <v>29</v>
      </c>
      <c r="L78" s="196" t="s">
        <v>15</v>
      </c>
      <c r="M78" s="196" t="s">
        <v>97</v>
      </c>
      <c r="N78" s="196" t="s">
        <v>16</v>
      </c>
      <c r="O78" s="196" t="s">
        <v>16</v>
      </c>
      <c r="Q78" s="195">
        <v>8</v>
      </c>
      <c r="R78" s="195">
        <v>2</v>
      </c>
      <c r="S78" s="195">
        <v>6</v>
      </c>
      <c r="T78" s="195">
        <v>3</v>
      </c>
      <c r="U78" s="195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5">
        <v>75</v>
      </c>
      <c r="K79" s="196" t="s">
        <v>97</v>
      </c>
      <c r="L79" s="196" t="s">
        <v>15</v>
      </c>
      <c r="M79" s="196" t="s">
        <v>97</v>
      </c>
      <c r="N79" s="196" t="s">
        <v>97</v>
      </c>
      <c r="O79" s="196" t="s">
        <v>16</v>
      </c>
      <c r="Q79" s="195">
        <v>6</v>
      </c>
      <c r="R79" s="195">
        <v>2</v>
      </c>
      <c r="S79" s="195">
        <v>6</v>
      </c>
      <c r="T79" s="195">
        <v>6</v>
      </c>
      <c r="U79" s="195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6" t="s">
        <v>31</v>
      </c>
      <c r="L80" s="196" t="s">
        <v>79</v>
      </c>
      <c r="M80" s="196" t="s">
        <v>98</v>
      </c>
      <c r="N80" s="196" t="s">
        <v>13</v>
      </c>
      <c r="O80" s="196" t="s">
        <v>13</v>
      </c>
      <c r="Q80" s="195">
        <v>7</v>
      </c>
      <c r="R80" s="195">
        <v>11</v>
      </c>
      <c r="S80" s="195">
        <v>15</v>
      </c>
      <c r="T80" s="195">
        <v>5</v>
      </c>
      <c r="U80" s="195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5">
        <v>77</v>
      </c>
      <c r="K81" s="196" t="s">
        <v>31</v>
      </c>
      <c r="L81" s="196" t="s">
        <v>28</v>
      </c>
      <c r="M81" s="196" t="s">
        <v>29</v>
      </c>
      <c r="N81" s="196" t="s">
        <v>15</v>
      </c>
      <c r="O81" s="196" t="s">
        <v>31</v>
      </c>
      <c r="Q81" s="195">
        <v>7</v>
      </c>
      <c r="R81" s="195">
        <v>9</v>
      </c>
      <c r="S81" s="195">
        <v>8</v>
      </c>
      <c r="T81" s="195">
        <v>2</v>
      </c>
      <c r="U81" s="195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6" t="s">
        <v>97</v>
      </c>
      <c r="L82" s="196" t="s">
        <v>15</v>
      </c>
      <c r="M82" s="196" t="s">
        <v>97</v>
      </c>
      <c r="N82" s="196" t="s">
        <v>12</v>
      </c>
      <c r="O82" s="196" t="s">
        <v>15</v>
      </c>
      <c r="Q82" s="195">
        <v>6</v>
      </c>
      <c r="R82" s="195">
        <v>2</v>
      </c>
      <c r="S82" s="195">
        <v>6</v>
      </c>
      <c r="T82" s="195">
        <v>4</v>
      </c>
      <c r="U82" s="195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5">
        <v>79</v>
      </c>
      <c r="K83" s="196" t="s">
        <v>31</v>
      </c>
      <c r="L83" s="196" t="s">
        <v>95</v>
      </c>
      <c r="M83" s="196" t="s">
        <v>29</v>
      </c>
      <c r="N83" s="196" t="s">
        <v>12</v>
      </c>
      <c r="O83" s="196" t="s">
        <v>31</v>
      </c>
      <c r="Q83" s="195">
        <v>7</v>
      </c>
      <c r="R83" s="195">
        <v>17</v>
      </c>
      <c r="S83" s="195">
        <v>8</v>
      </c>
      <c r="T83" s="195">
        <v>4</v>
      </c>
      <c r="U83" s="195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6" t="s">
        <v>13</v>
      </c>
      <c r="L84" s="196" t="s">
        <v>13</v>
      </c>
      <c r="M84" s="196" t="s">
        <v>31</v>
      </c>
      <c r="N84" s="196" t="s">
        <v>12</v>
      </c>
      <c r="O84" s="196" t="s">
        <v>15</v>
      </c>
      <c r="Q84" s="195">
        <v>5</v>
      </c>
      <c r="R84" s="195">
        <v>5</v>
      </c>
      <c r="S84" s="195">
        <v>7</v>
      </c>
      <c r="T84" s="195">
        <v>4</v>
      </c>
      <c r="U84" s="195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5">
        <v>81</v>
      </c>
      <c r="K85" s="196" t="s">
        <v>13</v>
      </c>
      <c r="L85" s="196" t="s">
        <v>81</v>
      </c>
      <c r="M85" s="196" t="s">
        <v>31</v>
      </c>
      <c r="N85" s="196" t="s">
        <v>31</v>
      </c>
      <c r="O85" s="196" t="s">
        <v>30</v>
      </c>
      <c r="Q85" s="195">
        <v>5</v>
      </c>
      <c r="R85" s="195">
        <v>13</v>
      </c>
      <c r="S85" s="195">
        <v>7</v>
      </c>
      <c r="T85" s="195">
        <v>7</v>
      </c>
      <c r="U85" s="195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6" t="s">
        <v>29</v>
      </c>
      <c r="L86" s="196" t="s">
        <v>98</v>
      </c>
      <c r="M86" s="196" t="s">
        <v>29</v>
      </c>
      <c r="N86" s="196" t="s">
        <v>29</v>
      </c>
      <c r="O86" s="196" t="s">
        <v>16</v>
      </c>
      <c r="Q86" s="195">
        <v>8</v>
      </c>
      <c r="R86" s="195">
        <v>15</v>
      </c>
      <c r="S86" s="195">
        <v>8</v>
      </c>
      <c r="T86" s="195">
        <v>8</v>
      </c>
      <c r="U86" s="195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5">
        <v>83</v>
      </c>
      <c r="K87" s="196" t="s">
        <v>13</v>
      </c>
      <c r="L87" s="196" t="s">
        <v>98</v>
      </c>
      <c r="M87" s="196" t="s">
        <v>13</v>
      </c>
      <c r="N87" s="196" t="s">
        <v>30</v>
      </c>
      <c r="O87" s="196" t="s">
        <v>29</v>
      </c>
      <c r="Q87" s="195">
        <v>5</v>
      </c>
      <c r="R87" s="195">
        <v>15</v>
      </c>
      <c r="S87" s="195">
        <v>5</v>
      </c>
      <c r="T87" s="195">
        <v>10</v>
      </c>
      <c r="U87" s="195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6" t="s">
        <v>29</v>
      </c>
      <c r="L88" s="196" t="s">
        <v>30</v>
      </c>
      <c r="M88" s="196" t="s">
        <v>16</v>
      </c>
      <c r="N88" s="196" t="s">
        <v>30</v>
      </c>
      <c r="O88" s="196" t="s">
        <v>15</v>
      </c>
      <c r="Q88" s="195">
        <v>8</v>
      </c>
      <c r="R88" s="195">
        <v>10</v>
      </c>
      <c r="S88" s="195">
        <v>3</v>
      </c>
      <c r="T88" s="195">
        <v>10</v>
      </c>
      <c r="U88" s="195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5">
        <v>85</v>
      </c>
      <c r="K89" s="196" t="s">
        <v>97</v>
      </c>
      <c r="L89" s="196" t="s">
        <v>12</v>
      </c>
      <c r="M89" s="196" t="s">
        <v>83</v>
      </c>
      <c r="N89" s="196" t="s">
        <v>29</v>
      </c>
      <c r="O89" s="196" t="s">
        <v>13</v>
      </c>
      <c r="Q89" s="195">
        <v>6</v>
      </c>
      <c r="R89" s="195">
        <v>4</v>
      </c>
      <c r="S89" s="195">
        <v>16</v>
      </c>
      <c r="T89" s="195">
        <v>8</v>
      </c>
      <c r="U89" s="195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6" t="s">
        <v>97</v>
      </c>
      <c r="L90" s="196" t="s">
        <v>12</v>
      </c>
      <c r="M90" s="196" t="s">
        <v>13</v>
      </c>
      <c r="N90" s="196" t="s">
        <v>86</v>
      </c>
      <c r="O90" s="196" t="s">
        <v>15</v>
      </c>
      <c r="Q90" s="195">
        <v>6</v>
      </c>
      <c r="R90" s="195">
        <v>4</v>
      </c>
      <c r="S90" s="195">
        <v>5</v>
      </c>
      <c r="T90" s="195">
        <v>18</v>
      </c>
      <c r="U90" s="195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5">
        <v>87</v>
      </c>
      <c r="K91" s="196" t="s">
        <v>29</v>
      </c>
      <c r="L91" s="196" t="s">
        <v>88</v>
      </c>
      <c r="M91" s="196" t="s">
        <v>31</v>
      </c>
      <c r="N91" s="196" t="s">
        <v>97</v>
      </c>
      <c r="O91" s="196" t="s">
        <v>15</v>
      </c>
      <c r="Q91" s="195">
        <v>8</v>
      </c>
      <c r="R91" s="195">
        <v>19</v>
      </c>
      <c r="S91" s="195">
        <v>7</v>
      </c>
      <c r="T91" s="195">
        <v>6</v>
      </c>
      <c r="U91" s="195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6" t="s">
        <v>97</v>
      </c>
      <c r="L92" s="196" t="s">
        <v>82</v>
      </c>
      <c r="M92" s="196" t="s">
        <v>97</v>
      </c>
      <c r="N92" s="196" t="s">
        <v>97</v>
      </c>
      <c r="O92" s="196" t="s">
        <v>16</v>
      </c>
      <c r="Q92" s="195">
        <v>6</v>
      </c>
      <c r="R92" s="195">
        <v>14</v>
      </c>
      <c r="S92" s="195">
        <v>6</v>
      </c>
      <c r="T92" s="195">
        <v>6</v>
      </c>
      <c r="U92" s="195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5">
        <v>89</v>
      </c>
      <c r="K93" s="196" t="s">
        <v>31</v>
      </c>
      <c r="L93" s="196" t="s">
        <v>16</v>
      </c>
      <c r="M93" s="196" t="s">
        <v>82</v>
      </c>
      <c r="N93" s="196" t="s">
        <v>79</v>
      </c>
      <c r="O93" s="196" t="s">
        <v>13</v>
      </c>
      <c r="Q93" s="195">
        <v>7</v>
      </c>
      <c r="R93" s="195">
        <v>3</v>
      </c>
      <c r="S93" s="195">
        <v>14</v>
      </c>
      <c r="T93" s="195">
        <v>11</v>
      </c>
      <c r="U93" s="195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6" t="s">
        <v>29</v>
      </c>
      <c r="L94" s="196" t="s">
        <v>16</v>
      </c>
      <c r="M94" s="196" t="s">
        <v>29</v>
      </c>
      <c r="N94" s="196" t="s">
        <v>97</v>
      </c>
      <c r="O94" s="196" t="s">
        <v>31</v>
      </c>
      <c r="Q94" s="195">
        <v>8</v>
      </c>
      <c r="R94" s="195">
        <v>3</v>
      </c>
      <c r="S94" s="195">
        <v>8</v>
      </c>
      <c r="T94" s="195">
        <v>6</v>
      </c>
      <c r="U94" s="195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5">
        <v>91</v>
      </c>
      <c r="K95" s="196" t="s">
        <v>29</v>
      </c>
      <c r="L95" s="196" t="s">
        <v>31</v>
      </c>
      <c r="M95" s="196" t="s">
        <v>29</v>
      </c>
      <c r="N95" s="196" t="s">
        <v>82</v>
      </c>
      <c r="O95" s="196" t="s">
        <v>30</v>
      </c>
      <c r="Q95" s="195">
        <v>8</v>
      </c>
      <c r="R95" s="195">
        <v>7</v>
      </c>
      <c r="S95" s="195">
        <v>8</v>
      </c>
      <c r="T95" s="195">
        <v>14</v>
      </c>
      <c r="U95" s="195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6" t="s">
        <v>29</v>
      </c>
      <c r="L96" s="196" t="s">
        <v>83</v>
      </c>
      <c r="M96" s="196" t="s">
        <v>29</v>
      </c>
      <c r="N96" s="196" t="s">
        <v>16</v>
      </c>
      <c r="O96" s="196" t="s">
        <v>97</v>
      </c>
      <c r="Q96" s="195">
        <v>8</v>
      </c>
      <c r="R96" s="195">
        <v>16</v>
      </c>
      <c r="S96" s="195">
        <v>8</v>
      </c>
      <c r="T96" s="195">
        <v>3</v>
      </c>
      <c r="U96" s="195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5">
        <v>93</v>
      </c>
      <c r="K97" s="196" t="s">
        <v>97</v>
      </c>
      <c r="L97" s="196" t="s">
        <v>28</v>
      </c>
      <c r="M97" s="196" t="s">
        <v>31</v>
      </c>
      <c r="N97" s="196" t="s">
        <v>12</v>
      </c>
      <c r="O97" s="196" t="s">
        <v>97</v>
      </c>
      <c r="Q97" s="195">
        <v>6</v>
      </c>
      <c r="R97" s="195">
        <v>9</v>
      </c>
      <c r="S97" s="195">
        <v>7</v>
      </c>
      <c r="T97" s="195">
        <v>4</v>
      </c>
      <c r="U97" s="195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6" t="s">
        <v>29</v>
      </c>
      <c r="L98" s="196" t="s">
        <v>30</v>
      </c>
      <c r="M98" s="196" t="s">
        <v>97</v>
      </c>
      <c r="N98" s="196" t="s">
        <v>12</v>
      </c>
      <c r="O98" s="196" t="s">
        <v>15</v>
      </c>
      <c r="Q98" s="195">
        <v>8</v>
      </c>
      <c r="R98" s="195">
        <v>10</v>
      </c>
      <c r="S98" s="195">
        <v>6</v>
      </c>
      <c r="T98" s="195">
        <v>4</v>
      </c>
      <c r="U98" s="195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5">
        <v>95</v>
      </c>
      <c r="K99" s="196" t="s">
        <v>30</v>
      </c>
      <c r="L99" s="196" t="s">
        <v>80</v>
      </c>
      <c r="M99" s="196" t="s">
        <v>31</v>
      </c>
      <c r="N99" s="196" t="s">
        <v>15</v>
      </c>
      <c r="O99" s="196" t="s">
        <v>13</v>
      </c>
      <c r="Q99" s="195">
        <v>10</v>
      </c>
      <c r="R99" s="195">
        <v>12</v>
      </c>
      <c r="S99" s="195">
        <v>7</v>
      </c>
      <c r="T99" s="195">
        <v>2</v>
      </c>
      <c r="U99" s="195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6" t="s">
        <v>13</v>
      </c>
      <c r="L100" s="196" t="s">
        <v>29</v>
      </c>
      <c r="M100" s="196" t="s">
        <v>15</v>
      </c>
      <c r="N100" s="196" t="s">
        <v>15</v>
      </c>
      <c r="O100" s="196" t="s">
        <v>28</v>
      </c>
      <c r="Q100" s="195">
        <v>5</v>
      </c>
      <c r="R100" s="195">
        <v>8</v>
      </c>
      <c r="S100" s="195">
        <v>2</v>
      </c>
      <c r="T100" s="195">
        <v>2</v>
      </c>
      <c r="U100" s="195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5">
        <v>97</v>
      </c>
      <c r="K101" s="196" t="s">
        <v>29</v>
      </c>
      <c r="L101" s="196" t="s">
        <v>79</v>
      </c>
      <c r="M101" s="196" t="s">
        <v>13</v>
      </c>
      <c r="N101" s="196" t="s">
        <v>15</v>
      </c>
      <c r="O101" s="196" t="s">
        <v>30</v>
      </c>
      <c r="Q101" s="195">
        <v>8</v>
      </c>
      <c r="R101" s="195">
        <v>11</v>
      </c>
      <c r="S101" s="195">
        <v>5</v>
      </c>
      <c r="T101" s="195">
        <v>2</v>
      </c>
      <c r="U101" s="195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6" t="s">
        <v>31</v>
      </c>
      <c r="L102" s="196" t="s">
        <v>16</v>
      </c>
      <c r="M102" s="196" t="s">
        <v>29</v>
      </c>
      <c r="N102" s="196" t="s">
        <v>97</v>
      </c>
      <c r="O102" s="196" t="s">
        <v>28</v>
      </c>
      <c r="Q102" s="195">
        <v>7</v>
      </c>
      <c r="R102" s="195">
        <v>3</v>
      </c>
      <c r="S102" s="195">
        <v>8</v>
      </c>
      <c r="T102" s="195">
        <v>6</v>
      </c>
      <c r="U102" s="195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5">
        <v>99</v>
      </c>
      <c r="K103" s="196" t="s">
        <v>31</v>
      </c>
      <c r="L103" s="196" t="s">
        <v>14</v>
      </c>
      <c r="M103" s="196" t="s">
        <v>97</v>
      </c>
      <c r="N103" s="196" t="s">
        <v>31</v>
      </c>
      <c r="O103" s="196" t="s">
        <v>16</v>
      </c>
      <c r="Q103" s="195">
        <v>7</v>
      </c>
      <c r="R103" s="195">
        <v>1</v>
      </c>
      <c r="S103" s="195">
        <v>6</v>
      </c>
      <c r="T103" s="195">
        <v>7</v>
      </c>
      <c r="U103" s="195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6" t="s">
        <v>31</v>
      </c>
      <c r="L104" s="196" t="s">
        <v>15</v>
      </c>
      <c r="M104" s="196" t="s">
        <v>97</v>
      </c>
      <c r="N104" s="196" t="s">
        <v>97</v>
      </c>
      <c r="O104" s="196" t="s">
        <v>13</v>
      </c>
      <c r="Q104" s="195">
        <v>7</v>
      </c>
      <c r="R104" s="195">
        <v>2</v>
      </c>
      <c r="S104" s="195">
        <v>6</v>
      </c>
      <c r="T104" s="195">
        <v>6</v>
      </c>
      <c r="U104" s="195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6" t="s">
        <v>97</v>
      </c>
      <c r="L105" s="196" t="s">
        <v>82</v>
      </c>
      <c r="M105" s="196" t="s">
        <v>97</v>
      </c>
      <c r="N105" s="196" t="s">
        <v>81</v>
      </c>
      <c r="O105" s="196" t="s">
        <v>97</v>
      </c>
      <c r="Q105" s="195">
        <v>6</v>
      </c>
      <c r="R105" s="195">
        <v>14</v>
      </c>
      <c r="S105" s="195">
        <v>6</v>
      </c>
      <c r="T105" s="195">
        <v>13</v>
      </c>
      <c r="U105" s="195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5">
        <v>102</v>
      </c>
      <c r="K106" s="196" t="s">
        <v>97</v>
      </c>
      <c r="L106" s="196" t="s">
        <v>82</v>
      </c>
      <c r="M106" s="196" t="s">
        <v>29</v>
      </c>
      <c r="N106" s="196" t="s">
        <v>30</v>
      </c>
      <c r="O106" s="196" t="s">
        <v>29</v>
      </c>
      <c r="Q106" s="195">
        <v>6</v>
      </c>
      <c r="R106" s="195">
        <v>14</v>
      </c>
      <c r="S106" s="195">
        <v>8</v>
      </c>
      <c r="T106" s="195">
        <v>10</v>
      </c>
      <c r="U106" s="195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6" t="s">
        <v>29</v>
      </c>
      <c r="L107" s="196" t="s">
        <v>12</v>
      </c>
      <c r="M107" s="196" t="s">
        <v>31</v>
      </c>
      <c r="N107" s="196" t="s">
        <v>13</v>
      </c>
      <c r="O107" s="196" t="s">
        <v>12</v>
      </c>
      <c r="Q107" s="195">
        <v>8</v>
      </c>
      <c r="R107" s="195">
        <v>4</v>
      </c>
      <c r="S107" s="195">
        <v>7</v>
      </c>
      <c r="T107" s="195">
        <v>5</v>
      </c>
      <c r="U107" s="195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5">
        <v>104</v>
      </c>
      <c r="K108" s="196" t="s">
        <v>13</v>
      </c>
      <c r="L108" s="196" t="s">
        <v>95</v>
      </c>
      <c r="M108" s="196" t="s">
        <v>97</v>
      </c>
      <c r="N108" s="196" t="s">
        <v>97</v>
      </c>
      <c r="O108" s="196" t="s">
        <v>16</v>
      </c>
      <c r="Q108" s="195">
        <v>5</v>
      </c>
      <c r="R108" s="195">
        <v>17</v>
      </c>
      <c r="S108" s="195">
        <v>6</v>
      </c>
      <c r="T108" s="195">
        <v>6</v>
      </c>
      <c r="U108" s="195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6" t="s">
        <v>97</v>
      </c>
      <c r="L109" s="196" t="s">
        <v>16</v>
      </c>
      <c r="M109" s="196" t="s">
        <v>29</v>
      </c>
      <c r="N109" s="196" t="s">
        <v>30</v>
      </c>
      <c r="O109" s="196" t="s">
        <v>16</v>
      </c>
      <c r="Q109" s="195">
        <v>6</v>
      </c>
      <c r="R109" s="195">
        <v>3</v>
      </c>
      <c r="S109" s="195">
        <v>8</v>
      </c>
      <c r="T109" s="195">
        <v>10</v>
      </c>
      <c r="U109" s="195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5">
        <v>106</v>
      </c>
      <c r="K110" s="196" t="s">
        <v>29</v>
      </c>
      <c r="L110" s="196" t="s">
        <v>29</v>
      </c>
      <c r="M110" s="196" t="s">
        <v>29</v>
      </c>
      <c r="N110" s="196" t="s">
        <v>14</v>
      </c>
      <c r="O110" s="196" t="s">
        <v>29</v>
      </c>
      <c r="Q110" s="195">
        <v>8</v>
      </c>
      <c r="R110" s="195">
        <v>8</v>
      </c>
      <c r="S110" s="195">
        <v>8</v>
      </c>
      <c r="T110" s="195">
        <v>1</v>
      </c>
      <c r="U110" s="195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6" t="s">
        <v>16</v>
      </c>
      <c r="L111" s="196" t="s">
        <v>81</v>
      </c>
      <c r="M111" s="196" t="s">
        <v>31</v>
      </c>
      <c r="N111" s="196" t="s">
        <v>16</v>
      </c>
      <c r="O111" s="196" t="s">
        <v>28</v>
      </c>
      <c r="Q111" s="195">
        <v>3</v>
      </c>
      <c r="R111" s="195">
        <v>13</v>
      </c>
      <c r="S111" s="195">
        <v>7</v>
      </c>
      <c r="T111" s="195">
        <v>3</v>
      </c>
      <c r="U111" s="195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5">
        <v>108</v>
      </c>
      <c r="K112" s="196" t="s">
        <v>31</v>
      </c>
      <c r="L112" s="196" t="s">
        <v>31</v>
      </c>
      <c r="M112" s="196" t="s">
        <v>31</v>
      </c>
      <c r="N112" s="196" t="s">
        <v>98</v>
      </c>
      <c r="O112" s="196" t="s">
        <v>28</v>
      </c>
      <c r="Q112" s="195">
        <v>7</v>
      </c>
      <c r="R112" s="195">
        <v>7</v>
      </c>
      <c r="S112" s="195">
        <v>7</v>
      </c>
      <c r="T112" s="195">
        <v>15</v>
      </c>
      <c r="U112" s="195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6" t="s">
        <v>31</v>
      </c>
      <c r="L113" s="196" t="s">
        <v>13</v>
      </c>
      <c r="M113" s="196" t="s">
        <v>97</v>
      </c>
      <c r="N113" s="196" t="s">
        <v>12</v>
      </c>
      <c r="O113" s="196" t="s">
        <v>30</v>
      </c>
      <c r="Q113" s="195">
        <v>7</v>
      </c>
      <c r="R113" s="195">
        <v>5</v>
      </c>
      <c r="S113" s="195">
        <v>6</v>
      </c>
      <c r="T113" s="195">
        <v>4</v>
      </c>
      <c r="U113" s="195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5">
        <v>110</v>
      </c>
      <c r="K114" s="196" t="s">
        <v>31</v>
      </c>
      <c r="L114" s="196" t="s">
        <v>82</v>
      </c>
      <c r="M114" s="196" t="s">
        <v>13</v>
      </c>
      <c r="N114" s="196" t="s">
        <v>29</v>
      </c>
      <c r="O114" s="196" t="s">
        <v>30</v>
      </c>
      <c r="Q114" s="195">
        <v>7</v>
      </c>
      <c r="R114" s="195">
        <v>14</v>
      </c>
      <c r="S114" s="195">
        <v>5</v>
      </c>
      <c r="T114" s="195">
        <v>8</v>
      </c>
      <c r="U114" s="195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6" t="s">
        <v>97</v>
      </c>
      <c r="L115" s="196" t="s">
        <v>82</v>
      </c>
      <c r="M115" s="196" t="s">
        <v>13</v>
      </c>
      <c r="N115" s="196" t="s">
        <v>15</v>
      </c>
      <c r="O115" s="196" t="s">
        <v>13</v>
      </c>
      <c r="Q115" s="195">
        <v>6</v>
      </c>
      <c r="R115" s="195">
        <v>14</v>
      </c>
      <c r="S115" s="195">
        <v>5</v>
      </c>
      <c r="T115" s="195">
        <v>2</v>
      </c>
      <c r="U115" s="195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5">
        <v>112</v>
      </c>
      <c r="K116" s="196" t="s">
        <v>13</v>
      </c>
      <c r="L116" s="196" t="s">
        <v>15</v>
      </c>
      <c r="M116" s="196" t="s">
        <v>31</v>
      </c>
      <c r="N116" s="196" t="s">
        <v>88</v>
      </c>
      <c r="O116" s="196" t="s">
        <v>29</v>
      </c>
      <c r="Q116" s="195">
        <v>5</v>
      </c>
      <c r="R116" s="195">
        <v>2</v>
      </c>
      <c r="S116" s="195">
        <v>7</v>
      </c>
      <c r="T116" s="195">
        <v>19</v>
      </c>
      <c r="U116" s="195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6" t="s">
        <v>31</v>
      </c>
      <c r="L117" s="196" t="s">
        <v>15</v>
      </c>
      <c r="M117" s="196" t="s">
        <v>13</v>
      </c>
      <c r="N117" s="196" t="s">
        <v>30</v>
      </c>
      <c r="O117" s="196" t="s">
        <v>15</v>
      </c>
      <c r="Q117" s="195">
        <v>7</v>
      </c>
      <c r="R117" s="195">
        <v>2</v>
      </c>
      <c r="S117" s="195">
        <v>5</v>
      </c>
      <c r="T117" s="195">
        <v>10</v>
      </c>
      <c r="U117" s="195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5">
        <v>114</v>
      </c>
      <c r="K118" s="196" t="s">
        <v>29</v>
      </c>
      <c r="L118" s="196" t="s">
        <v>88</v>
      </c>
      <c r="M118" s="196" t="s">
        <v>30</v>
      </c>
      <c r="N118" s="196" t="s">
        <v>16</v>
      </c>
      <c r="O118" s="196" t="s">
        <v>30</v>
      </c>
      <c r="Q118" s="195">
        <v>8</v>
      </c>
      <c r="R118" s="195">
        <v>19</v>
      </c>
      <c r="S118" s="195">
        <v>10</v>
      </c>
      <c r="T118" s="195">
        <v>3</v>
      </c>
      <c r="U118" s="195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6" t="s">
        <v>29</v>
      </c>
      <c r="L119" s="196" t="s">
        <v>86</v>
      </c>
      <c r="M119" s="196" t="s">
        <v>97</v>
      </c>
      <c r="N119" s="196" t="s">
        <v>16</v>
      </c>
      <c r="O119" s="196" t="s">
        <v>13</v>
      </c>
      <c r="Q119" s="195">
        <v>8</v>
      </c>
      <c r="R119" s="195">
        <v>18</v>
      </c>
      <c r="S119" s="195">
        <v>6</v>
      </c>
      <c r="T119" s="195">
        <v>3</v>
      </c>
      <c r="U119" s="195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5">
        <v>116</v>
      </c>
      <c r="K120" s="196" t="s">
        <v>29</v>
      </c>
      <c r="L120" s="196" t="s">
        <v>29</v>
      </c>
      <c r="M120" s="196" t="s">
        <v>15</v>
      </c>
      <c r="N120" s="196" t="s">
        <v>79</v>
      </c>
      <c r="O120" s="196" t="s">
        <v>31</v>
      </c>
      <c r="Q120" s="195">
        <v>8</v>
      </c>
      <c r="R120" s="195">
        <v>8</v>
      </c>
      <c r="S120" s="195">
        <v>2</v>
      </c>
      <c r="T120" s="195">
        <v>11</v>
      </c>
      <c r="U120" s="195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6" t="s">
        <v>31</v>
      </c>
      <c r="L121" s="196" t="s">
        <v>15</v>
      </c>
      <c r="M121" s="196" t="s">
        <v>13</v>
      </c>
      <c r="N121" s="196" t="s">
        <v>14</v>
      </c>
      <c r="O121" s="196" t="s">
        <v>15</v>
      </c>
      <c r="Q121" s="195">
        <v>7</v>
      </c>
      <c r="R121" s="195">
        <v>2</v>
      </c>
      <c r="S121" s="195">
        <v>5</v>
      </c>
      <c r="T121" s="195">
        <v>1</v>
      </c>
      <c r="U121" s="195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5">
        <v>118</v>
      </c>
      <c r="K122" s="196" t="s">
        <v>97</v>
      </c>
      <c r="L122" s="196" t="s">
        <v>29</v>
      </c>
      <c r="M122" s="196" t="s">
        <v>97</v>
      </c>
      <c r="N122" s="196" t="s">
        <v>28</v>
      </c>
      <c r="O122" s="196" t="s">
        <v>12</v>
      </c>
      <c r="Q122" s="195">
        <v>6</v>
      </c>
      <c r="R122" s="195">
        <v>8</v>
      </c>
      <c r="S122" s="195">
        <v>6</v>
      </c>
      <c r="T122" s="195">
        <v>9</v>
      </c>
      <c r="U122" s="195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6" t="s">
        <v>97</v>
      </c>
      <c r="L123" s="196" t="s">
        <v>14</v>
      </c>
      <c r="M123" s="196" t="s">
        <v>97</v>
      </c>
      <c r="N123" s="196" t="s">
        <v>29</v>
      </c>
      <c r="O123" s="196" t="s">
        <v>16</v>
      </c>
      <c r="Q123" s="195">
        <v>6</v>
      </c>
      <c r="R123" s="195">
        <v>1</v>
      </c>
      <c r="S123" s="195">
        <v>6</v>
      </c>
      <c r="T123" s="195">
        <v>8</v>
      </c>
      <c r="U123" s="195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5">
        <v>120</v>
      </c>
      <c r="K124" s="196" t="s">
        <v>29</v>
      </c>
      <c r="L124" s="196" t="s">
        <v>79</v>
      </c>
      <c r="M124" s="196" t="s">
        <v>31</v>
      </c>
      <c r="N124" s="196" t="s">
        <v>12</v>
      </c>
      <c r="O124" s="196" t="s">
        <v>13</v>
      </c>
      <c r="Q124" s="195">
        <v>8</v>
      </c>
      <c r="R124" s="195">
        <v>11</v>
      </c>
      <c r="S124" s="195">
        <v>7</v>
      </c>
      <c r="T124" s="195">
        <v>4</v>
      </c>
      <c r="U124" s="195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6" t="s">
        <v>31</v>
      </c>
      <c r="L125" s="196" t="s">
        <v>13</v>
      </c>
      <c r="M125" s="196" t="s">
        <v>13</v>
      </c>
      <c r="N125" s="196" t="s">
        <v>88</v>
      </c>
      <c r="O125" s="196" t="s">
        <v>29</v>
      </c>
      <c r="Q125" s="195">
        <v>7</v>
      </c>
      <c r="R125" s="195">
        <v>5</v>
      </c>
      <c r="S125" s="195">
        <v>5</v>
      </c>
      <c r="T125" s="195">
        <v>19</v>
      </c>
      <c r="U125" s="195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5">
        <v>122</v>
      </c>
      <c r="K126" s="196" t="s">
        <v>31</v>
      </c>
      <c r="L126" s="196" t="s">
        <v>15</v>
      </c>
      <c r="M126" s="196" t="s">
        <v>31</v>
      </c>
      <c r="N126" s="196" t="s">
        <v>98</v>
      </c>
      <c r="O126" s="196" t="s">
        <v>12</v>
      </c>
      <c r="Q126" s="195">
        <v>7</v>
      </c>
      <c r="R126" s="195">
        <v>2</v>
      </c>
      <c r="S126" s="195">
        <v>7</v>
      </c>
      <c r="T126" s="195">
        <v>15</v>
      </c>
      <c r="U126" s="195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6" t="s">
        <v>29</v>
      </c>
      <c r="L127" s="196" t="s">
        <v>95</v>
      </c>
      <c r="M127" s="196" t="s">
        <v>29</v>
      </c>
      <c r="N127" s="196" t="s">
        <v>16</v>
      </c>
      <c r="O127" s="196" t="s">
        <v>15</v>
      </c>
      <c r="Q127" s="195">
        <v>8</v>
      </c>
      <c r="R127" s="195">
        <v>17</v>
      </c>
      <c r="S127" s="195">
        <v>8</v>
      </c>
      <c r="T127" s="195">
        <v>3</v>
      </c>
      <c r="U127" s="195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5">
        <v>124</v>
      </c>
      <c r="K128" s="196" t="s">
        <v>13</v>
      </c>
      <c r="L128" s="196" t="s">
        <v>16</v>
      </c>
      <c r="M128" s="196" t="s">
        <v>13</v>
      </c>
      <c r="N128" s="196" t="s">
        <v>31</v>
      </c>
      <c r="O128" s="196" t="s">
        <v>15</v>
      </c>
      <c r="Q128" s="195">
        <v>5</v>
      </c>
      <c r="R128" s="195">
        <v>3</v>
      </c>
      <c r="S128" s="195">
        <v>5</v>
      </c>
      <c r="T128" s="195">
        <v>7</v>
      </c>
      <c r="U128" s="195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6" t="s">
        <v>29</v>
      </c>
      <c r="L129" s="196" t="s">
        <v>83</v>
      </c>
      <c r="M129" s="196" t="s">
        <v>13</v>
      </c>
      <c r="N129" s="196" t="s">
        <v>97</v>
      </c>
      <c r="O129" s="196" t="s">
        <v>31</v>
      </c>
      <c r="Q129" s="195">
        <v>8</v>
      </c>
      <c r="R129" s="195">
        <v>16</v>
      </c>
      <c r="S129" s="195">
        <v>5</v>
      </c>
      <c r="T129" s="195">
        <v>6</v>
      </c>
      <c r="U129" s="195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5">
        <v>126</v>
      </c>
      <c r="K130" s="196" t="s">
        <v>31</v>
      </c>
      <c r="L130" s="196" t="s">
        <v>29</v>
      </c>
      <c r="M130" s="196" t="s">
        <v>97</v>
      </c>
      <c r="N130" s="196" t="s">
        <v>31</v>
      </c>
      <c r="O130" s="196" t="s">
        <v>28</v>
      </c>
      <c r="Q130" s="195">
        <v>7</v>
      </c>
      <c r="R130" s="195">
        <v>8</v>
      </c>
      <c r="S130" s="195">
        <v>6</v>
      </c>
      <c r="T130" s="195">
        <v>7</v>
      </c>
      <c r="U130" s="195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6" t="s">
        <v>13</v>
      </c>
      <c r="L131" s="196" t="s">
        <v>29</v>
      </c>
      <c r="M131" s="196" t="s">
        <v>31</v>
      </c>
      <c r="N131" s="196" t="s">
        <v>30</v>
      </c>
      <c r="O131" s="196" t="s">
        <v>28</v>
      </c>
      <c r="Q131" s="195">
        <v>5</v>
      </c>
      <c r="R131" s="195">
        <v>8</v>
      </c>
      <c r="S131" s="195">
        <v>7</v>
      </c>
      <c r="T131" s="195">
        <v>10</v>
      </c>
      <c r="U131" s="195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5">
        <v>128</v>
      </c>
      <c r="K132" s="196" t="s">
        <v>31</v>
      </c>
      <c r="L132" s="196" t="s">
        <v>79</v>
      </c>
      <c r="M132" s="196" t="s">
        <v>31</v>
      </c>
      <c r="N132" s="196" t="s">
        <v>81</v>
      </c>
      <c r="O132" s="196" t="s">
        <v>29</v>
      </c>
      <c r="Q132" s="195">
        <v>7</v>
      </c>
      <c r="R132" s="195">
        <v>11</v>
      </c>
      <c r="S132" s="195">
        <v>7</v>
      </c>
      <c r="T132" s="195">
        <v>13</v>
      </c>
      <c r="U132" s="195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6" t="s">
        <v>13</v>
      </c>
      <c r="L133" s="196" t="s">
        <v>16</v>
      </c>
      <c r="M133" s="196" t="s">
        <v>31</v>
      </c>
      <c r="N133" s="196" t="s">
        <v>14</v>
      </c>
      <c r="O133" s="196" t="s">
        <v>97</v>
      </c>
      <c r="Q133" s="195">
        <v>5</v>
      </c>
      <c r="R133" s="195">
        <v>3</v>
      </c>
      <c r="S133" s="195">
        <v>7</v>
      </c>
      <c r="T133" s="195">
        <v>1</v>
      </c>
      <c r="U133" s="195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5">
        <v>130</v>
      </c>
      <c r="K134" s="196" t="s">
        <v>31</v>
      </c>
      <c r="L134" s="196" t="s">
        <v>16</v>
      </c>
      <c r="M134" s="196" t="s">
        <v>97</v>
      </c>
      <c r="N134" s="196" t="s">
        <v>15</v>
      </c>
      <c r="O134" s="196" t="s">
        <v>29</v>
      </c>
      <c r="Q134" s="195">
        <v>7</v>
      </c>
      <c r="R134" s="195">
        <v>3</v>
      </c>
      <c r="S134" s="195">
        <v>6</v>
      </c>
      <c r="T134" s="195">
        <v>2</v>
      </c>
      <c r="U134" s="195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6" t="s">
        <v>31</v>
      </c>
      <c r="L135" s="196" t="s">
        <v>88</v>
      </c>
      <c r="M135" s="196" t="s">
        <v>97</v>
      </c>
      <c r="N135" s="196" t="s">
        <v>15</v>
      </c>
      <c r="O135" s="196" t="s">
        <v>15</v>
      </c>
      <c r="Q135" s="195">
        <v>7</v>
      </c>
      <c r="R135" s="195">
        <v>19</v>
      </c>
      <c r="S135" s="195">
        <v>6</v>
      </c>
      <c r="T135" s="195">
        <v>2</v>
      </c>
      <c r="U135" s="195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5">
        <v>132</v>
      </c>
      <c r="K136" s="196" t="s">
        <v>29</v>
      </c>
      <c r="L136" s="196" t="s">
        <v>14</v>
      </c>
      <c r="M136" s="196" t="s">
        <v>97</v>
      </c>
      <c r="N136" s="196" t="s">
        <v>83</v>
      </c>
      <c r="O136" s="196" t="s">
        <v>28</v>
      </c>
      <c r="Q136" s="195">
        <v>8</v>
      </c>
      <c r="R136" s="195">
        <v>1</v>
      </c>
      <c r="S136" s="195">
        <v>6</v>
      </c>
      <c r="T136" s="195">
        <v>16</v>
      </c>
      <c r="U136" s="195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6" t="s">
        <v>97</v>
      </c>
      <c r="L137" s="196" t="s">
        <v>97</v>
      </c>
      <c r="M137" s="196" t="s">
        <v>97</v>
      </c>
      <c r="N137" s="196" t="s">
        <v>95</v>
      </c>
      <c r="O137" s="196" t="s">
        <v>13</v>
      </c>
      <c r="Q137" s="195">
        <v>6</v>
      </c>
      <c r="R137" s="195">
        <v>6</v>
      </c>
      <c r="S137" s="195">
        <v>6</v>
      </c>
      <c r="T137" s="195">
        <v>17</v>
      </c>
      <c r="U137" s="195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5">
        <v>134</v>
      </c>
      <c r="K138" s="196" t="s">
        <v>29</v>
      </c>
      <c r="L138" s="196" t="s">
        <v>15</v>
      </c>
      <c r="M138" s="196" t="s">
        <v>29</v>
      </c>
      <c r="N138" s="196" t="s">
        <v>28</v>
      </c>
      <c r="O138" s="196" t="s">
        <v>16</v>
      </c>
      <c r="Q138" s="195">
        <v>8</v>
      </c>
      <c r="R138" s="195">
        <v>2</v>
      </c>
      <c r="S138" s="195">
        <v>8</v>
      </c>
      <c r="T138" s="195">
        <v>9</v>
      </c>
      <c r="U138" s="195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6" t="s">
        <v>13</v>
      </c>
      <c r="L139" s="196" t="s">
        <v>82</v>
      </c>
      <c r="M139" s="196" t="s">
        <v>95</v>
      </c>
      <c r="N139" s="196" t="s">
        <v>12</v>
      </c>
      <c r="O139" s="196" t="s">
        <v>16</v>
      </c>
      <c r="Q139" s="195">
        <v>5</v>
      </c>
      <c r="R139" s="195">
        <v>14</v>
      </c>
      <c r="S139" s="195">
        <v>17</v>
      </c>
      <c r="T139" s="195">
        <v>4</v>
      </c>
      <c r="U139" s="195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5">
        <v>136</v>
      </c>
      <c r="K140" s="196" t="s">
        <v>31</v>
      </c>
      <c r="L140" s="196" t="s">
        <v>31</v>
      </c>
      <c r="M140" s="196" t="s">
        <v>13</v>
      </c>
      <c r="N140" s="196" t="s">
        <v>12</v>
      </c>
      <c r="O140" s="196" t="s">
        <v>30</v>
      </c>
      <c r="Q140" s="195">
        <v>7</v>
      </c>
      <c r="R140" s="195">
        <v>7</v>
      </c>
      <c r="S140" s="195">
        <v>5</v>
      </c>
      <c r="T140" s="195">
        <v>4</v>
      </c>
      <c r="U140" s="195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6" t="s">
        <v>29</v>
      </c>
      <c r="L141" s="196" t="s">
        <v>97</v>
      </c>
      <c r="M141" s="196" t="s">
        <v>16</v>
      </c>
      <c r="N141" s="196" t="s">
        <v>95</v>
      </c>
      <c r="O141" s="196" t="s">
        <v>29</v>
      </c>
      <c r="Q141" s="195">
        <v>8</v>
      </c>
      <c r="R141" s="195">
        <v>6</v>
      </c>
      <c r="S141" s="195">
        <v>3</v>
      </c>
      <c r="T141" s="195">
        <v>17</v>
      </c>
      <c r="U141" s="195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5">
        <v>138</v>
      </c>
      <c r="K142" s="196" t="s">
        <v>31</v>
      </c>
      <c r="L142" s="196" t="s">
        <v>80</v>
      </c>
      <c r="M142" s="196" t="s">
        <v>31</v>
      </c>
      <c r="N142" s="196" t="s">
        <v>86</v>
      </c>
      <c r="O142" s="196" t="s">
        <v>30</v>
      </c>
      <c r="Q142" s="195">
        <v>7</v>
      </c>
      <c r="R142" s="195">
        <v>12</v>
      </c>
      <c r="S142" s="195">
        <v>7</v>
      </c>
      <c r="T142" s="195">
        <v>18</v>
      </c>
      <c r="U142" s="195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6" t="s">
        <v>29</v>
      </c>
      <c r="L143" s="196" t="s">
        <v>83</v>
      </c>
      <c r="M143" s="196" t="s">
        <v>98</v>
      </c>
      <c r="N143" s="196" t="s">
        <v>97</v>
      </c>
      <c r="O143" s="196" t="s">
        <v>31</v>
      </c>
      <c r="Q143" s="195">
        <v>8</v>
      </c>
      <c r="R143" s="195">
        <v>16</v>
      </c>
      <c r="S143" s="195">
        <v>15</v>
      </c>
      <c r="T143" s="195">
        <v>6</v>
      </c>
      <c r="U143" s="195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5">
        <v>140</v>
      </c>
      <c r="K144" s="196" t="s">
        <v>29</v>
      </c>
      <c r="L144" s="196" t="s">
        <v>31</v>
      </c>
      <c r="M144" s="196" t="s">
        <v>28</v>
      </c>
      <c r="N144" s="196" t="s">
        <v>15</v>
      </c>
      <c r="O144" s="196" t="s">
        <v>31</v>
      </c>
      <c r="Q144" s="195">
        <v>8</v>
      </c>
      <c r="R144" s="195">
        <v>7</v>
      </c>
      <c r="S144" s="195">
        <v>9</v>
      </c>
      <c r="T144" s="195">
        <v>2</v>
      </c>
      <c r="U144" s="195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6" t="s">
        <v>31</v>
      </c>
      <c r="L145" s="196" t="s">
        <v>31</v>
      </c>
      <c r="M145" s="196" t="s">
        <v>29</v>
      </c>
      <c r="N145" s="196" t="s">
        <v>80</v>
      </c>
      <c r="O145" s="196" t="s">
        <v>13</v>
      </c>
      <c r="Q145" s="195">
        <v>7</v>
      </c>
      <c r="R145" s="195">
        <v>7</v>
      </c>
      <c r="S145" s="195">
        <v>8</v>
      </c>
      <c r="T145" s="195">
        <v>12</v>
      </c>
      <c r="U145" s="195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5">
        <v>142</v>
      </c>
      <c r="K146" s="196" t="s">
        <v>97</v>
      </c>
      <c r="L146" s="196" t="s">
        <v>82</v>
      </c>
      <c r="M146" s="196" t="s">
        <v>29</v>
      </c>
      <c r="N146" s="196" t="s">
        <v>31</v>
      </c>
      <c r="O146" s="196" t="s">
        <v>28</v>
      </c>
      <c r="Q146" s="195">
        <v>6</v>
      </c>
      <c r="R146" s="195">
        <v>14</v>
      </c>
      <c r="S146" s="195">
        <v>8</v>
      </c>
      <c r="T146" s="195">
        <v>7</v>
      </c>
      <c r="U146" s="195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6" t="s">
        <v>31</v>
      </c>
      <c r="L147" s="196" t="s">
        <v>30</v>
      </c>
      <c r="M147" s="196" t="s">
        <v>97</v>
      </c>
      <c r="N147" s="196" t="s">
        <v>98</v>
      </c>
      <c r="O147" s="196" t="s">
        <v>29</v>
      </c>
      <c r="Q147" s="195">
        <v>7</v>
      </c>
      <c r="R147" s="195">
        <v>10</v>
      </c>
      <c r="S147" s="195">
        <v>6</v>
      </c>
      <c r="T147" s="195">
        <v>15</v>
      </c>
      <c r="U147" s="195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5">
        <v>144</v>
      </c>
      <c r="K148" s="196" t="s">
        <v>97</v>
      </c>
      <c r="L148" s="196" t="s">
        <v>31</v>
      </c>
      <c r="M148" s="196" t="s">
        <v>31</v>
      </c>
      <c r="N148" s="196" t="s">
        <v>29</v>
      </c>
      <c r="O148" s="196" t="s">
        <v>15</v>
      </c>
      <c r="Q148" s="195">
        <v>6</v>
      </c>
      <c r="R148" s="195">
        <v>7</v>
      </c>
      <c r="S148" s="195">
        <v>7</v>
      </c>
      <c r="T148" s="195">
        <v>8</v>
      </c>
      <c r="U148" s="195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6" t="s">
        <v>31</v>
      </c>
      <c r="L149" s="196" t="s">
        <v>79</v>
      </c>
      <c r="M149" s="196" t="s">
        <v>31</v>
      </c>
      <c r="N149" s="196" t="s">
        <v>29</v>
      </c>
      <c r="O149" s="196" t="s">
        <v>16</v>
      </c>
      <c r="Q149" s="195">
        <v>7</v>
      </c>
      <c r="R149" s="195">
        <v>11</v>
      </c>
      <c r="S149" s="195">
        <v>7</v>
      </c>
      <c r="T149" s="195">
        <v>8</v>
      </c>
      <c r="U149" s="195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5">
        <v>146</v>
      </c>
      <c r="K150" s="196" t="s">
        <v>29</v>
      </c>
      <c r="L150" s="196" t="s">
        <v>15</v>
      </c>
      <c r="M150" s="196" t="s">
        <v>31</v>
      </c>
      <c r="N150" s="196" t="s">
        <v>12</v>
      </c>
      <c r="O150" s="196" t="s">
        <v>28</v>
      </c>
      <c r="Q150" s="195">
        <v>8</v>
      </c>
      <c r="R150" s="195">
        <v>2</v>
      </c>
      <c r="S150" s="195">
        <v>7</v>
      </c>
      <c r="T150" s="195">
        <v>4</v>
      </c>
      <c r="U150" s="195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6" t="s">
        <v>97</v>
      </c>
      <c r="L151" s="196" t="s">
        <v>15</v>
      </c>
      <c r="M151" s="196" t="s">
        <v>82</v>
      </c>
      <c r="N151" s="196" t="s">
        <v>29</v>
      </c>
      <c r="O151" s="196" t="s">
        <v>28</v>
      </c>
      <c r="Q151" s="195">
        <v>6</v>
      </c>
      <c r="R151" s="195">
        <v>2</v>
      </c>
      <c r="S151" s="195">
        <v>14</v>
      </c>
      <c r="T151" s="195">
        <v>8</v>
      </c>
      <c r="U151" s="195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5">
        <v>148</v>
      </c>
      <c r="K152" s="196" t="s">
        <v>29</v>
      </c>
      <c r="L152" s="196" t="s">
        <v>83</v>
      </c>
      <c r="M152" s="196" t="s">
        <v>29</v>
      </c>
      <c r="N152" s="196" t="s">
        <v>31</v>
      </c>
      <c r="O152" s="196" t="s">
        <v>16</v>
      </c>
      <c r="Q152" s="195">
        <v>8</v>
      </c>
      <c r="R152" s="195">
        <v>16</v>
      </c>
      <c r="S152" s="195">
        <v>8</v>
      </c>
      <c r="T152" s="195">
        <v>7</v>
      </c>
      <c r="U152" s="195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6" t="s">
        <v>28</v>
      </c>
      <c r="L153" s="196" t="s">
        <v>28</v>
      </c>
      <c r="M153" s="196" t="s">
        <v>97</v>
      </c>
      <c r="N153" s="196" t="s">
        <v>15</v>
      </c>
      <c r="O153" s="196" t="s">
        <v>97</v>
      </c>
      <c r="Q153" s="195">
        <v>9</v>
      </c>
      <c r="R153" s="195">
        <v>9</v>
      </c>
      <c r="S153" s="195">
        <v>6</v>
      </c>
      <c r="T153" s="195">
        <v>2</v>
      </c>
      <c r="U153" s="195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5">
        <v>150</v>
      </c>
      <c r="K154" s="196" t="s">
        <v>13</v>
      </c>
      <c r="L154" s="196" t="s">
        <v>95</v>
      </c>
      <c r="M154" s="196" t="s">
        <v>29</v>
      </c>
      <c r="N154" s="196" t="s">
        <v>28</v>
      </c>
      <c r="O154" s="196" t="s">
        <v>30</v>
      </c>
      <c r="Q154" s="195">
        <v>5</v>
      </c>
      <c r="R154" s="195">
        <v>17</v>
      </c>
      <c r="S154" s="195">
        <v>8</v>
      </c>
      <c r="T154" s="195">
        <v>9</v>
      </c>
      <c r="U154" s="195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6" t="s">
        <v>31</v>
      </c>
      <c r="L155" s="196" t="s">
        <v>81</v>
      </c>
      <c r="M155" s="196" t="s">
        <v>31</v>
      </c>
      <c r="N155" s="196" t="s">
        <v>13</v>
      </c>
      <c r="O155" s="196" t="s">
        <v>28</v>
      </c>
      <c r="Q155" s="195">
        <v>7</v>
      </c>
      <c r="R155" s="195">
        <v>13</v>
      </c>
      <c r="S155" s="195">
        <v>7</v>
      </c>
      <c r="T155" s="195">
        <v>5</v>
      </c>
      <c r="U155" s="195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5">
        <v>152</v>
      </c>
      <c r="K156" s="196" t="s">
        <v>13</v>
      </c>
      <c r="L156" s="196" t="s">
        <v>97</v>
      </c>
      <c r="M156" s="196" t="s">
        <v>83</v>
      </c>
      <c r="N156" s="196" t="s">
        <v>82</v>
      </c>
      <c r="O156" s="196" t="s">
        <v>15</v>
      </c>
      <c r="Q156" s="195">
        <v>5</v>
      </c>
      <c r="R156" s="195">
        <v>6</v>
      </c>
      <c r="S156" s="195">
        <v>16</v>
      </c>
      <c r="T156" s="195">
        <v>14</v>
      </c>
      <c r="U156" s="195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6" t="s">
        <v>31</v>
      </c>
      <c r="L157" s="196" t="s">
        <v>29</v>
      </c>
      <c r="M157" s="196" t="s">
        <v>31</v>
      </c>
      <c r="N157" s="196" t="s">
        <v>13</v>
      </c>
      <c r="O157" s="196" t="s">
        <v>28</v>
      </c>
      <c r="Q157" s="195">
        <v>7</v>
      </c>
      <c r="R157" s="195">
        <v>8</v>
      </c>
      <c r="S157" s="195">
        <v>7</v>
      </c>
      <c r="T157" s="195">
        <v>5</v>
      </c>
      <c r="U157" s="195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5">
        <v>154</v>
      </c>
      <c r="K158" s="196" t="s">
        <v>13</v>
      </c>
      <c r="L158" s="196" t="s">
        <v>98</v>
      </c>
      <c r="M158" s="196" t="s">
        <v>28</v>
      </c>
      <c r="N158" s="196" t="s">
        <v>13</v>
      </c>
      <c r="O158" s="196" t="s">
        <v>30</v>
      </c>
      <c r="Q158" s="195">
        <v>5</v>
      </c>
      <c r="R158" s="195">
        <v>15</v>
      </c>
      <c r="S158" s="195">
        <v>9</v>
      </c>
      <c r="T158" s="195">
        <v>5</v>
      </c>
      <c r="U158" s="195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6" t="s">
        <v>28</v>
      </c>
      <c r="L159" s="196" t="s">
        <v>15</v>
      </c>
      <c r="M159" s="196" t="s">
        <v>13</v>
      </c>
      <c r="N159" s="196" t="s">
        <v>28</v>
      </c>
      <c r="O159" s="196" t="s">
        <v>29</v>
      </c>
      <c r="Q159" s="195">
        <v>9</v>
      </c>
      <c r="R159" s="195">
        <v>2</v>
      </c>
      <c r="S159" s="195">
        <v>5</v>
      </c>
      <c r="T159" s="195">
        <v>9</v>
      </c>
      <c r="U159" s="195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5">
        <v>156</v>
      </c>
      <c r="K160" s="196" t="s">
        <v>13</v>
      </c>
      <c r="L160" s="196" t="s">
        <v>15</v>
      </c>
      <c r="M160" s="196" t="s">
        <v>29</v>
      </c>
      <c r="N160" s="196" t="s">
        <v>15</v>
      </c>
      <c r="O160" s="196" t="s">
        <v>16</v>
      </c>
      <c r="Q160" s="195">
        <v>5</v>
      </c>
      <c r="R160" s="195">
        <v>2</v>
      </c>
      <c r="S160" s="195">
        <v>8</v>
      </c>
      <c r="T160" s="195">
        <v>2</v>
      </c>
      <c r="U160" s="195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6" t="s">
        <v>29</v>
      </c>
      <c r="L161" s="196" t="s">
        <v>29</v>
      </c>
      <c r="M161" s="196" t="s">
        <v>13</v>
      </c>
      <c r="N161" s="196" t="s">
        <v>28</v>
      </c>
      <c r="O161" s="196" t="s">
        <v>15</v>
      </c>
      <c r="Q161" s="195">
        <v>8</v>
      </c>
      <c r="R161" s="195">
        <v>8</v>
      </c>
      <c r="S161" s="195">
        <v>5</v>
      </c>
      <c r="T161" s="195">
        <v>9</v>
      </c>
      <c r="U161" s="195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5">
        <v>158</v>
      </c>
      <c r="K162" s="196" t="s">
        <v>13</v>
      </c>
      <c r="L162" s="196" t="s">
        <v>88</v>
      </c>
      <c r="M162" s="196" t="s">
        <v>31</v>
      </c>
      <c r="N162" s="196" t="s">
        <v>28</v>
      </c>
      <c r="O162" s="196" t="s">
        <v>31</v>
      </c>
      <c r="Q162" s="195">
        <v>5</v>
      </c>
      <c r="R162" s="195">
        <v>19</v>
      </c>
      <c r="S162" s="195">
        <v>7</v>
      </c>
      <c r="T162" s="195">
        <v>9</v>
      </c>
      <c r="U162" s="195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6" t="s">
        <v>16</v>
      </c>
      <c r="L163" s="196" t="s">
        <v>98</v>
      </c>
      <c r="M163" s="196" t="s">
        <v>13</v>
      </c>
      <c r="N163" s="196" t="s">
        <v>28</v>
      </c>
      <c r="O163" s="196" t="s">
        <v>13</v>
      </c>
      <c r="Q163" s="195">
        <v>3</v>
      </c>
      <c r="R163" s="195">
        <v>15</v>
      </c>
      <c r="S163" s="195">
        <v>5</v>
      </c>
      <c r="T163" s="195">
        <v>9</v>
      </c>
      <c r="U163" s="195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5">
        <v>160</v>
      </c>
      <c r="K164" s="196" t="s">
        <v>13</v>
      </c>
      <c r="L164" s="196" t="s">
        <v>31</v>
      </c>
      <c r="M164" s="196" t="s">
        <v>29</v>
      </c>
      <c r="N164" s="196" t="s">
        <v>30</v>
      </c>
      <c r="O164" s="196" t="s">
        <v>15</v>
      </c>
      <c r="Q164" s="195">
        <v>5</v>
      </c>
      <c r="R164" s="195">
        <v>7</v>
      </c>
      <c r="S164" s="195">
        <v>8</v>
      </c>
      <c r="T164" s="195">
        <v>10</v>
      </c>
      <c r="U164" s="195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6" t="s">
        <v>31</v>
      </c>
      <c r="L165" s="196" t="s">
        <v>30</v>
      </c>
      <c r="M165" s="196" t="s">
        <v>13</v>
      </c>
      <c r="N165" s="196" t="s">
        <v>82</v>
      </c>
      <c r="O165" s="196" t="s">
        <v>97</v>
      </c>
      <c r="Q165" s="195">
        <v>7</v>
      </c>
      <c r="R165" s="195">
        <v>10</v>
      </c>
      <c r="S165" s="195">
        <v>5</v>
      </c>
      <c r="T165" s="195">
        <v>14</v>
      </c>
      <c r="U165" s="195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5">
        <v>162</v>
      </c>
      <c r="K166" s="196" t="s">
        <v>13</v>
      </c>
      <c r="L166" s="196" t="s">
        <v>97</v>
      </c>
      <c r="M166" s="196" t="s">
        <v>29</v>
      </c>
      <c r="N166" s="196" t="s">
        <v>29</v>
      </c>
      <c r="O166" s="196" t="s">
        <v>16</v>
      </c>
      <c r="Q166" s="195">
        <v>5</v>
      </c>
      <c r="R166" s="195">
        <v>6</v>
      </c>
      <c r="S166" s="195">
        <v>8</v>
      </c>
      <c r="T166" s="195">
        <v>8</v>
      </c>
      <c r="U166" s="195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6" t="s">
        <v>97</v>
      </c>
      <c r="L167" s="196" t="s">
        <v>86</v>
      </c>
      <c r="M167" s="196" t="s">
        <v>31</v>
      </c>
      <c r="N167" s="196" t="s">
        <v>15</v>
      </c>
      <c r="O167" s="196" t="s">
        <v>28</v>
      </c>
      <c r="Q167" s="195">
        <v>6</v>
      </c>
      <c r="R167" s="195">
        <v>18</v>
      </c>
      <c r="S167" s="195">
        <v>7</v>
      </c>
      <c r="T167" s="195">
        <v>2</v>
      </c>
      <c r="U167" s="195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5">
        <v>164</v>
      </c>
      <c r="K168" s="196" t="s">
        <v>13</v>
      </c>
      <c r="L168" s="196" t="s">
        <v>31</v>
      </c>
      <c r="M168" s="196" t="s">
        <v>29</v>
      </c>
      <c r="N168" s="196" t="s">
        <v>16</v>
      </c>
      <c r="O168" s="196" t="s">
        <v>30</v>
      </c>
      <c r="Q168" s="195">
        <v>5</v>
      </c>
      <c r="R168" s="195">
        <v>7</v>
      </c>
      <c r="S168" s="195">
        <v>8</v>
      </c>
      <c r="T168" s="195">
        <v>3</v>
      </c>
      <c r="U168" s="195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6" t="s">
        <v>31</v>
      </c>
      <c r="L169" s="196" t="s">
        <v>15</v>
      </c>
      <c r="M169" s="196" t="s">
        <v>29</v>
      </c>
      <c r="N169" s="196" t="s">
        <v>16</v>
      </c>
      <c r="O169" s="196" t="s">
        <v>13</v>
      </c>
      <c r="Q169" s="195">
        <v>7</v>
      </c>
      <c r="R169" s="195">
        <v>2</v>
      </c>
      <c r="S169" s="195">
        <v>8</v>
      </c>
      <c r="T169" s="195">
        <v>3</v>
      </c>
      <c r="U169" s="195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5">
        <v>166</v>
      </c>
      <c r="K170" s="196" t="s">
        <v>97</v>
      </c>
      <c r="L170" s="196" t="s">
        <v>31</v>
      </c>
      <c r="M170" s="196" t="s">
        <v>29</v>
      </c>
      <c r="N170" s="196" t="s">
        <v>16</v>
      </c>
      <c r="O170" s="196" t="s">
        <v>97</v>
      </c>
      <c r="Q170" s="195">
        <v>6</v>
      </c>
      <c r="R170" s="195">
        <v>7</v>
      </c>
      <c r="S170" s="195">
        <v>8</v>
      </c>
      <c r="T170" s="195">
        <v>3</v>
      </c>
      <c r="U170" s="195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6" t="s">
        <v>29</v>
      </c>
      <c r="L171" s="196" t="s">
        <v>79</v>
      </c>
      <c r="M171" s="196" t="s">
        <v>31</v>
      </c>
      <c r="N171" s="196" t="s">
        <v>28</v>
      </c>
      <c r="O171" s="196" t="s">
        <v>12</v>
      </c>
      <c r="Q171" s="195">
        <v>8</v>
      </c>
      <c r="R171" s="195">
        <v>11</v>
      </c>
      <c r="S171" s="195">
        <v>7</v>
      </c>
      <c r="T171" s="195">
        <v>9</v>
      </c>
      <c r="U171" s="195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5">
        <v>168</v>
      </c>
      <c r="K172" s="196" t="s">
        <v>31</v>
      </c>
      <c r="L172" s="196" t="s">
        <v>79</v>
      </c>
      <c r="M172" s="196" t="s">
        <v>31</v>
      </c>
      <c r="N172" s="196" t="s">
        <v>13</v>
      </c>
      <c r="O172" s="196" t="s">
        <v>12</v>
      </c>
      <c r="Q172" s="195">
        <v>7</v>
      </c>
      <c r="R172" s="195">
        <v>11</v>
      </c>
      <c r="S172" s="195">
        <v>7</v>
      </c>
      <c r="T172" s="195">
        <v>5</v>
      </c>
      <c r="U172" s="195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6" t="s">
        <v>97</v>
      </c>
      <c r="L173" s="196" t="s">
        <v>30</v>
      </c>
      <c r="M173" s="196" t="s">
        <v>97</v>
      </c>
      <c r="N173" s="196" t="s">
        <v>13</v>
      </c>
      <c r="O173" s="196" t="s">
        <v>30</v>
      </c>
      <c r="Q173" s="195">
        <v>6</v>
      </c>
      <c r="R173" s="195">
        <v>10</v>
      </c>
      <c r="S173" s="195">
        <v>6</v>
      </c>
      <c r="T173" s="195">
        <v>5</v>
      </c>
      <c r="U173" s="195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5">
        <v>170</v>
      </c>
      <c r="K174" s="196" t="s">
        <v>97</v>
      </c>
      <c r="L174" s="196" t="s">
        <v>15</v>
      </c>
      <c r="M174" s="196" t="s">
        <v>29</v>
      </c>
      <c r="N174" s="196" t="s">
        <v>12</v>
      </c>
      <c r="O174" s="196" t="s">
        <v>30</v>
      </c>
      <c r="Q174" s="195">
        <v>6</v>
      </c>
      <c r="R174" s="195">
        <v>2</v>
      </c>
      <c r="S174" s="195">
        <v>8</v>
      </c>
      <c r="T174" s="195">
        <v>4</v>
      </c>
      <c r="U174" s="195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6" t="s">
        <v>97</v>
      </c>
      <c r="L175" s="196" t="s">
        <v>97</v>
      </c>
      <c r="M175" s="196" t="s">
        <v>29</v>
      </c>
      <c r="N175" s="196" t="s">
        <v>88</v>
      </c>
      <c r="O175" s="196" t="s">
        <v>12</v>
      </c>
      <c r="Q175" s="195">
        <v>6</v>
      </c>
      <c r="R175" s="195">
        <v>6</v>
      </c>
      <c r="S175" s="195">
        <v>8</v>
      </c>
      <c r="T175" s="195">
        <v>19</v>
      </c>
      <c r="U175" s="195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5">
        <v>172</v>
      </c>
      <c r="K176" s="196" t="s">
        <v>30</v>
      </c>
      <c r="L176" s="196" t="s">
        <v>98</v>
      </c>
      <c r="M176" s="196" t="s">
        <v>31</v>
      </c>
      <c r="N176" s="196" t="s">
        <v>30</v>
      </c>
      <c r="O176" s="196" t="s">
        <v>97</v>
      </c>
      <c r="Q176" s="195">
        <v>10</v>
      </c>
      <c r="R176" s="195">
        <v>15</v>
      </c>
      <c r="S176" s="195">
        <v>7</v>
      </c>
      <c r="T176" s="195">
        <v>10</v>
      </c>
      <c r="U176" s="195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6" t="s">
        <v>31</v>
      </c>
      <c r="L177" s="196" t="s">
        <v>80</v>
      </c>
      <c r="M177" s="196" t="s">
        <v>13</v>
      </c>
      <c r="N177" s="196" t="s">
        <v>12</v>
      </c>
      <c r="O177" s="196" t="s">
        <v>31</v>
      </c>
      <c r="Q177" s="195">
        <v>7</v>
      </c>
      <c r="R177" s="195">
        <v>12</v>
      </c>
      <c r="S177" s="195">
        <v>5</v>
      </c>
      <c r="T177" s="195">
        <v>4</v>
      </c>
      <c r="U177" s="195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5">
        <v>174</v>
      </c>
      <c r="K178" s="196" t="s">
        <v>12</v>
      </c>
      <c r="L178" s="196" t="s">
        <v>13</v>
      </c>
      <c r="M178" s="196" t="s">
        <v>28</v>
      </c>
      <c r="N178" s="196" t="s">
        <v>97</v>
      </c>
      <c r="O178" s="196" t="s">
        <v>13</v>
      </c>
      <c r="Q178" s="195">
        <v>4</v>
      </c>
      <c r="R178" s="195">
        <v>5</v>
      </c>
      <c r="S178" s="195">
        <v>9</v>
      </c>
      <c r="T178" s="195">
        <v>6</v>
      </c>
      <c r="U178" s="195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6" t="s">
        <v>97</v>
      </c>
      <c r="L179" s="196" t="s">
        <v>13</v>
      </c>
      <c r="M179" s="196" t="s">
        <v>31</v>
      </c>
      <c r="N179" s="196" t="s">
        <v>15</v>
      </c>
      <c r="O179" s="196" t="s">
        <v>12</v>
      </c>
      <c r="Q179" s="195">
        <v>6</v>
      </c>
      <c r="R179" s="195">
        <v>5</v>
      </c>
      <c r="S179" s="195">
        <v>7</v>
      </c>
      <c r="T179" s="195">
        <v>2</v>
      </c>
      <c r="U179" s="195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5">
        <v>176</v>
      </c>
      <c r="K180" s="196" t="s">
        <v>29</v>
      </c>
      <c r="L180" s="196" t="s">
        <v>83</v>
      </c>
      <c r="M180" s="196" t="s">
        <v>16</v>
      </c>
      <c r="N180" s="196" t="s">
        <v>14</v>
      </c>
      <c r="O180" s="196" t="s">
        <v>28</v>
      </c>
      <c r="Q180" s="195">
        <v>8</v>
      </c>
      <c r="R180" s="195">
        <v>16</v>
      </c>
      <c r="S180" s="195">
        <v>3</v>
      </c>
      <c r="T180" s="195">
        <v>1</v>
      </c>
      <c r="U180" s="195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6" t="s">
        <v>31</v>
      </c>
      <c r="L181" s="196" t="s">
        <v>13</v>
      </c>
      <c r="M181" s="196" t="s">
        <v>15</v>
      </c>
      <c r="N181" s="196" t="s">
        <v>31</v>
      </c>
      <c r="O181" s="196" t="s">
        <v>16</v>
      </c>
      <c r="Q181" s="195">
        <v>7</v>
      </c>
      <c r="R181" s="195">
        <v>5</v>
      </c>
      <c r="S181" s="195">
        <v>2</v>
      </c>
      <c r="T181" s="195">
        <v>7</v>
      </c>
      <c r="U181" s="195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5">
        <v>178</v>
      </c>
      <c r="K182" s="196" t="s">
        <v>31</v>
      </c>
      <c r="L182" s="196" t="s">
        <v>29</v>
      </c>
      <c r="M182" s="196" t="s">
        <v>15</v>
      </c>
      <c r="N182" s="196" t="s">
        <v>79</v>
      </c>
      <c r="O182" s="196" t="s">
        <v>31</v>
      </c>
      <c r="Q182" s="195">
        <v>7</v>
      </c>
      <c r="R182" s="195">
        <v>8</v>
      </c>
      <c r="S182" s="195">
        <v>2</v>
      </c>
      <c r="T182" s="195">
        <v>11</v>
      </c>
      <c r="U182" s="195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6" t="s">
        <v>29</v>
      </c>
      <c r="L183" s="196" t="s">
        <v>79</v>
      </c>
      <c r="M183" s="196" t="s">
        <v>97</v>
      </c>
      <c r="N183" s="196" t="s">
        <v>12</v>
      </c>
      <c r="O183" s="196" t="s">
        <v>13</v>
      </c>
      <c r="Q183" s="195">
        <v>8</v>
      </c>
      <c r="R183" s="195">
        <v>11</v>
      </c>
      <c r="S183" s="195">
        <v>6</v>
      </c>
      <c r="T183" s="195">
        <v>4</v>
      </c>
      <c r="U183" s="195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5">
        <v>180</v>
      </c>
      <c r="K184" s="196" t="s">
        <v>29</v>
      </c>
      <c r="L184" s="196" t="s">
        <v>31</v>
      </c>
      <c r="M184" s="196" t="s">
        <v>97</v>
      </c>
      <c r="N184" s="196" t="s">
        <v>80</v>
      </c>
      <c r="O184" s="196" t="s">
        <v>29</v>
      </c>
      <c r="Q184" s="195">
        <v>8</v>
      </c>
      <c r="R184" s="195">
        <v>7</v>
      </c>
      <c r="S184" s="195">
        <v>6</v>
      </c>
      <c r="T184" s="195">
        <v>12</v>
      </c>
      <c r="U184" s="195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6" t="s">
        <v>97</v>
      </c>
      <c r="L185" s="196" t="s">
        <v>79</v>
      </c>
      <c r="M185" s="196" t="s">
        <v>82</v>
      </c>
      <c r="N185" s="196" t="s">
        <v>12</v>
      </c>
      <c r="O185" s="196" t="s">
        <v>28</v>
      </c>
      <c r="Q185" s="195">
        <v>6</v>
      </c>
      <c r="R185" s="195">
        <v>11</v>
      </c>
      <c r="S185" s="195">
        <v>14</v>
      </c>
      <c r="T185" s="195">
        <v>4</v>
      </c>
      <c r="U185" s="195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5">
        <v>182</v>
      </c>
      <c r="K186" s="196" t="s">
        <v>31</v>
      </c>
      <c r="L186" s="196" t="s">
        <v>29</v>
      </c>
      <c r="M186" s="196" t="s">
        <v>13</v>
      </c>
      <c r="N186" s="196" t="s">
        <v>28</v>
      </c>
      <c r="O186" s="196" t="s">
        <v>29</v>
      </c>
      <c r="Q186" s="195">
        <v>7</v>
      </c>
      <c r="R186" s="195">
        <v>8</v>
      </c>
      <c r="S186" s="195">
        <v>5</v>
      </c>
      <c r="T186" s="195">
        <v>9</v>
      </c>
      <c r="U186" s="195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6" t="s">
        <v>29</v>
      </c>
      <c r="L187" s="196" t="s">
        <v>82</v>
      </c>
      <c r="M187" s="196" t="s">
        <v>12</v>
      </c>
      <c r="N187" s="196" t="s">
        <v>28</v>
      </c>
      <c r="O187" s="196" t="s">
        <v>30</v>
      </c>
      <c r="Q187" s="195">
        <v>8</v>
      </c>
      <c r="R187" s="195">
        <v>14</v>
      </c>
      <c r="S187" s="195">
        <v>4</v>
      </c>
      <c r="T187" s="195">
        <v>9</v>
      </c>
      <c r="U187" s="195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5">
        <v>184</v>
      </c>
      <c r="K188" s="196" t="s">
        <v>97</v>
      </c>
      <c r="L188" s="196" t="s">
        <v>95</v>
      </c>
      <c r="M188" s="196" t="s">
        <v>31</v>
      </c>
      <c r="N188" s="196" t="s">
        <v>81</v>
      </c>
      <c r="O188" s="196" t="s">
        <v>97</v>
      </c>
      <c r="Q188" s="195">
        <v>6</v>
      </c>
      <c r="R188" s="195">
        <v>17</v>
      </c>
      <c r="S188" s="195">
        <v>7</v>
      </c>
      <c r="T188" s="195">
        <v>13</v>
      </c>
      <c r="U188" s="195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6" t="s">
        <v>31</v>
      </c>
      <c r="L189" s="196" t="s">
        <v>31</v>
      </c>
      <c r="M189" s="196" t="s">
        <v>30</v>
      </c>
      <c r="N189" s="196" t="s">
        <v>16</v>
      </c>
      <c r="O189" s="196" t="s">
        <v>31</v>
      </c>
      <c r="Q189" s="195">
        <v>7</v>
      </c>
      <c r="R189" s="195">
        <v>7</v>
      </c>
      <c r="S189" s="195">
        <v>10</v>
      </c>
      <c r="T189" s="195">
        <v>3</v>
      </c>
      <c r="U189" s="195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5">
        <v>186</v>
      </c>
      <c r="K190" s="196" t="s">
        <v>13</v>
      </c>
      <c r="L190" s="196" t="s">
        <v>80</v>
      </c>
      <c r="M190" s="196" t="s">
        <v>31</v>
      </c>
      <c r="N190" s="196" t="s">
        <v>80</v>
      </c>
      <c r="O190" s="196" t="s">
        <v>31</v>
      </c>
      <c r="Q190" s="195">
        <v>5</v>
      </c>
      <c r="R190" s="195">
        <v>12</v>
      </c>
      <c r="S190" s="195">
        <v>7</v>
      </c>
      <c r="T190" s="195">
        <v>12</v>
      </c>
      <c r="U190" s="195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6" t="s">
        <v>13</v>
      </c>
      <c r="L191" s="196" t="s">
        <v>88</v>
      </c>
      <c r="M191" s="196" t="s">
        <v>97</v>
      </c>
      <c r="N191" s="196" t="s">
        <v>29</v>
      </c>
      <c r="O191" s="196" t="s">
        <v>16</v>
      </c>
      <c r="Q191" s="195">
        <v>5</v>
      </c>
      <c r="R191" s="195">
        <v>19</v>
      </c>
      <c r="S191" s="195">
        <v>6</v>
      </c>
      <c r="T191" s="195">
        <v>8</v>
      </c>
      <c r="U191" s="195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5">
        <v>188</v>
      </c>
      <c r="K192" s="196" t="s">
        <v>13</v>
      </c>
      <c r="L192" s="196" t="s">
        <v>97</v>
      </c>
      <c r="M192" s="196" t="s">
        <v>83</v>
      </c>
      <c r="N192" s="196" t="s">
        <v>30</v>
      </c>
      <c r="O192" s="196" t="s">
        <v>28</v>
      </c>
      <c r="Q192" s="195">
        <v>5</v>
      </c>
      <c r="R192" s="195">
        <v>6</v>
      </c>
      <c r="S192" s="195">
        <v>16</v>
      </c>
      <c r="T192" s="195">
        <v>10</v>
      </c>
      <c r="U192" s="195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6" t="s">
        <v>16</v>
      </c>
      <c r="L193" s="196" t="s">
        <v>15</v>
      </c>
      <c r="M193" s="196" t="s">
        <v>29</v>
      </c>
      <c r="N193" s="196" t="s">
        <v>16</v>
      </c>
      <c r="O193" s="196" t="s">
        <v>16</v>
      </c>
      <c r="Q193" s="195">
        <v>3</v>
      </c>
      <c r="R193" s="195">
        <v>2</v>
      </c>
      <c r="S193" s="195">
        <v>8</v>
      </c>
      <c r="T193" s="195">
        <v>3</v>
      </c>
      <c r="U193" s="195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5">
        <v>190</v>
      </c>
      <c r="K194" s="196" t="s">
        <v>15</v>
      </c>
      <c r="L194" s="196" t="s">
        <v>15</v>
      </c>
      <c r="M194" s="196" t="s">
        <v>15</v>
      </c>
      <c r="N194" s="196" t="s">
        <v>15</v>
      </c>
      <c r="O194" s="196" t="s">
        <v>30</v>
      </c>
      <c r="Q194" s="195">
        <v>2</v>
      </c>
      <c r="R194" s="195">
        <v>2</v>
      </c>
      <c r="S194" s="195">
        <v>2</v>
      </c>
      <c r="T194" s="195">
        <v>2</v>
      </c>
      <c r="U194" s="195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6" t="s">
        <v>97</v>
      </c>
      <c r="L195" s="196" t="s">
        <v>86</v>
      </c>
      <c r="M195" s="196" t="s">
        <v>13</v>
      </c>
      <c r="N195" s="196" t="s">
        <v>15</v>
      </c>
      <c r="O195" s="196" t="s">
        <v>13</v>
      </c>
      <c r="Q195" s="195">
        <v>6</v>
      </c>
      <c r="R195" s="195">
        <v>18</v>
      </c>
      <c r="S195" s="195">
        <v>5</v>
      </c>
      <c r="T195" s="195">
        <v>2</v>
      </c>
      <c r="U195" s="195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5">
        <v>192</v>
      </c>
      <c r="K196" s="196" t="s">
        <v>29</v>
      </c>
      <c r="L196" s="196" t="s">
        <v>98</v>
      </c>
      <c r="M196" s="196" t="s">
        <v>13</v>
      </c>
      <c r="N196" s="196" t="s">
        <v>29</v>
      </c>
      <c r="O196" s="196" t="s">
        <v>13</v>
      </c>
      <c r="Q196" s="195">
        <v>8</v>
      </c>
      <c r="R196" s="195">
        <v>15</v>
      </c>
      <c r="S196" s="195">
        <v>5</v>
      </c>
      <c r="T196" s="195">
        <v>8</v>
      </c>
      <c r="U196" s="195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6" t="s">
        <v>13</v>
      </c>
      <c r="L197" s="196" t="s">
        <v>13</v>
      </c>
      <c r="M197" s="196" t="s">
        <v>13</v>
      </c>
      <c r="N197" s="196" t="s">
        <v>29</v>
      </c>
      <c r="O197" s="196" t="s">
        <v>29</v>
      </c>
      <c r="Q197" s="195">
        <v>5</v>
      </c>
      <c r="R197" s="195">
        <v>5</v>
      </c>
      <c r="S197" s="195">
        <v>5</v>
      </c>
      <c r="T197" s="195">
        <v>8</v>
      </c>
      <c r="U197" s="195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5">
        <v>194</v>
      </c>
      <c r="K198" s="196" t="s">
        <v>13</v>
      </c>
      <c r="L198" s="196" t="s">
        <v>31</v>
      </c>
      <c r="M198" s="196" t="s">
        <v>31</v>
      </c>
      <c r="N198" s="196" t="s">
        <v>16</v>
      </c>
      <c r="O198" s="196" t="s">
        <v>16</v>
      </c>
      <c r="Q198" s="195">
        <v>5</v>
      </c>
      <c r="R198" s="195">
        <v>7</v>
      </c>
      <c r="S198" s="195">
        <v>7</v>
      </c>
      <c r="T198" s="195">
        <v>3</v>
      </c>
      <c r="U198" s="195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6" t="s">
        <v>15</v>
      </c>
      <c r="L199" s="196" t="s">
        <v>16</v>
      </c>
      <c r="M199" s="196" t="s">
        <v>16</v>
      </c>
      <c r="N199" s="196" t="s">
        <v>30</v>
      </c>
      <c r="O199" s="196" t="s">
        <v>97</v>
      </c>
      <c r="Q199" s="195">
        <v>2</v>
      </c>
      <c r="R199" s="195">
        <v>3</v>
      </c>
      <c r="S199" s="195">
        <v>3</v>
      </c>
      <c r="T199" s="195">
        <v>10</v>
      </c>
      <c r="U199" s="195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5">
        <v>196</v>
      </c>
      <c r="K200" s="196" t="s">
        <v>97</v>
      </c>
      <c r="L200" s="196" t="s">
        <v>83</v>
      </c>
      <c r="M200" s="196" t="s">
        <v>97</v>
      </c>
      <c r="N200" s="196" t="s">
        <v>12</v>
      </c>
      <c r="O200" s="196" t="s">
        <v>29</v>
      </c>
      <c r="Q200" s="195">
        <v>6</v>
      </c>
      <c r="R200" s="195">
        <v>16</v>
      </c>
      <c r="S200" s="195">
        <v>6</v>
      </c>
      <c r="T200" s="195">
        <v>4</v>
      </c>
      <c r="U200" s="195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6" t="s">
        <v>13</v>
      </c>
      <c r="L201" s="196" t="s">
        <v>13</v>
      </c>
      <c r="M201" s="196" t="s">
        <v>13</v>
      </c>
      <c r="N201" s="196" t="s">
        <v>16</v>
      </c>
      <c r="O201" s="196" t="s">
        <v>12</v>
      </c>
      <c r="Q201" s="195">
        <v>5</v>
      </c>
      <c r="R201" s="195">
        <v>5</v>
      </c>
      <c r="S201" s="195">
        <v>5</v>
      </c>
      <c r="T201" s="195">
        <v>3</v>
      </c>
      <c r="U201" s="195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5">
        <v>198</v>
      </c>
      <c r="K202" s="196" t="s">
        <v>31</v>
      </c>
      <c r="L202" s="196" t="s">
        <v>97</v>
      </c>
      <c r="M202" s="196" t="s">
        <v>97</v>
      </c>
      <c r="N202" s="196" t="s">
        <v>28</v>
      </c>
      <c r="O202" s="196" t="s">
        <v>30</v>
      </c>
      <c r="Q202" s="195">
        <v>7</v>
      </c>
      <c r="R202" s="195">
        <v>6</v>
      </c>
      <c r="S202" s="195">
        <v>6</v>
      </c>
      <c r="T202" s="195">
        <v>9</v>
      </c>
      <c r="U202" s="195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6" t="s">
        <v>97</v>
      </c>
      <c r="L203" s="196" t="s">
        <v>30</v>
      </c>
      <c r="M203" s="196" t="s">
        <v>13</v>
      </c>
      <c r="N203" s="196" t="s">
        <v>30</v>
      </c>
      <c r="O203" s="196" t="s">
        <v>28</v>
      </c>
      <c r="Q203" s="195">
        <v>6</v>
      </c>
      <c r="R203" s="195">
        <v>10</v>
      </c>
      <c r="S203" s="195">
        <v>5</v>
      </c>
      <c r="T203" s="195">
        <v>10</v>
      </c>
      <c r="U203" s="195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5"/>
      <c r="K204" s="196"/>
      <c r="L204" s="196"/>
      <c r="M204" s="196"/>
      <c r="N204" s="196"/>
      <c r="O204" s="196"/>
      <c r="Q204" s="195"/>
      <c r="R204" s="195"/>
      <c r="S204" s="195"/>
      <c r="T204" s="195"/>
      <c r="U204" s="195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6"/>
      <c r="L205" s="196"/>
      <c r="M205" s="196"/>
      <c r="N205" s="196"/>
      <c r="O205" s="196"/>
      <c r="Q205" s="195"/>
      <c r="R205" s="195"/>
      <c r="S205" s="195"/>
      <c r="T205" s="195"/>
      <c r="U205" s="195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6"/>
      <c r="L206" s="196"/>
      <c r="M206" s="196"/>
      <c r="N206" s="196"/>
      <c r="O206" s="196"/>
      <c r="Q206" s="195"/>
      <c r="R206" s="195"/>
      <c r="S206" s="195"/>
      <c r="T206" s="195"/>
      <c r="U206" s="195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5"/>
      <c r="K207" s="196"/>
      <c r="L207" s="196"/>
      <c r="M207" s="196"/>
      <c r="N207" s="196"/>
      <c r="O207" s="196"/>
      <c r="Q207" s="195"/>
      <c r="R207" s="195"/>
      <c r="S207" s="195"/>
      <c r="T207" s="195"/>
      <c r="U207" s="195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6"/>
      <c r="L208" s="196"/>
      <c r="M208" s="196"/>
      <c r="N208" s="196"/>
      <c r="O208" s="196"/>
      <c r="Q208" s="195"/>
      <c r="R208" s="195"/>
      <c r="S208" s="195"/>
      <c r="T208" s="195"/>
      <c r="U208" s="195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5"/>
      <c r="K209" s="196"/>
      <c r="L209" s="196"/>
      <c r="M209" s="196"/>
      <c r="N209" s="196"/>
      <c r="O209" s="196"/>
      <c r="Q209" s="195"/>
      <c r="R209" s="195"/>
      <c r="S209" s="195"/>
      <c r="T209" s="195"/>
      <c r="U209" s="195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6"/>
      <c r="L210" s="196"/>
      <c r="M210" s="196"/>
      <c r="N210" s="196"/>
      <c r="O210" s="196"/>
      <c r="Q210" s="195"/>
      <c r="R210" s="195"/>
      <c r="S210" s="195"/>
      <c r="T210" s="195"/>
      <c r="U210" s="195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5"/>
      <c r="K211" s="196"/>
      <c r="L211" s="196"/>
      <c r="M211" s="196"/>
      <c r="N211" s="196"/>
      <c r="O211" s="196"/>
      <c r="Q211" s="195"/>
      <c r="R211" s="195"/>
      <c r="S211" s="195"/>
      <c r="T211" s="195"/>
      <c r="U211" s="195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201"/>
      <c r="L212" s="201"/>
      <c r="M212" s="201"/>
      <c r="N212" s="201"/>
      <c r="O212" s="201"/>
      <c r="Q212" s="195"/>
      <c r="R212" s="195"/>
      <c r="S212" s="195"/>
      <c r="T212" s="195"/>
      <c r="U212" s="195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5"/>
      <c r="K213" s="201"/>
      <c r="L213" s="201"/>
      <c r="M213" s="201"/>
      <c r="N213" s="201"/>
      <c r="O213" s="201"/>
      <c r="Q213" s="195"/>
      <c r="R213" s="195"/>
      <c r="S213" s="195"/>
      <c r="T213" s="195"/>
      <c r="U213" s="195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201"/>
      <c r="L214" s="201"/>
      <c r="M214" s="201"/>
      <c r="N214" s="201"/>
      <c r="O214" s="201"/>
      <c r="Q214" s="195"/>
      <c r="R214" s="195"/>
      <c r="S214" s="195"/>
      <c r="T214" s="195"/>
      <c r="U214" s="195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5"/>
      <c r="K215" s="201"/>
      <c r="L215" s="201"/>
      <c r="M215" s="201"/>
      <c r="N215" s="201"/>
      <c r="O215" s="201"/>
      <c r="Q215" s="195"/>
      <c r="R215" s="195"/>
      <c r="S215" s="195"/>
      <c r="T215" s="195"/>
      <c r="U215" s="195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201"/>
      <c r="L216" s="201"/>
      <c r="M216" s="201"/>
      <c r="N216" s="201"/>
      <c r="O216" s="201"/>
      <c r="Q216" s="195"/>
      <c r="R216" s="195"/>
      <c r="S216" s="195"/>
      <c r="T216" s="195"/>
      <c r="U216" s="195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5"/>
      <c r="K217" s="201"/>
      <c r="L217" s="201"/>
      <c r="M217" s="201"/>
      <c r="N217" s="201"/>
      <c r="O217" s="201"/>
      <c r="Q217" s="195"/>
      <c r="R217" s="195"/>
      <c r="S217" s="195"/>
      <c r="T217" s="195"/>
      <c r="U217" s="195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201"/>
      <c r="L218" s="201"/>
      <c r="M218" s="201"/>
      <c r="N218" s="201"/>
      <c r="O218" s="201"/>
      <c r="Q218" s="195"/>
      <c r="R218" s="195"/>
      <c r="S218" s="195"/>
      <c r="T218" s="195"/>
      <c r="U218" s="195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5"/>
      <c r="K219" s="201"/>
      <c r="L219" s="201"/>
      <c r="M219" s="201"/>
      <c r="N219" s="201"/>
      <c r="O219" s="201"/>
      <c r="Q219" s="195"/>
      <c r="R219" s="195"/>
      <c r="S219" s="195"/>
      <c r="T219" s="195"/>
      <c r="U219" s="195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201"/>
      <c r="L220" s="201"/>
      <c r="M220" s="201"/>
      <c r="N220" s="201"/>
      <c r="O220" s="201"/>
      <c r="Q220" s="195"/>
      <c r="R220" s="195"/>
      <c r="S220" s="195"/>
      <c r="T220" s="195"/>
      <c r="U220" s="195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5"/>
      <c r="K221" s="201"/>
      <c r="L221" s="201"/>
      <c r="M221" s="201"/>
      <c r="N221" s="201"/>
      <c r="O221" s="201"/>
      <c r="Q221" s="195"/>
      <c r="R221" s="195"/>
      <c r="S221" s="195"/>
      <c r="T221" s="195"/>
      <c r="U221" s="195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201"/>
      <c r="L222" s="201"/>
      <c r="M222" s="201"/>
      <c r="N222" s="201"/>
      <c r="O222" s="201"/>
      <c r="Q222" s="195"/>
      <c r="R222" s="195"/>
      <c r="S222" s="195"/>
      <c r="T222" s="195"/>
      <c r="U222" s="195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5"/>
      <c r="K223" s="201"/>
      <c r="L223" s="201"/>
      <c r="M223" s="201"/>
      <c r="N223" s="201"/>
      <c r="O223" s="201"/>
      <c r="Q223" s="195"/>
      <c r="R223" s="195"/>
      <c r="S223" s="195"/>
      <c r="T223" s="195"/>
      <c r="U223" s="195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201"/>
      <c r="L224" s="201"/>
      <c r="M224" s="201"/>
      <c r="N224" s="201"/>
      <c r="O224" s="201"/>
      <c r="Q224" s="195"/>
      <c r="R224" s="195"/>
      <c r="S224" s="195"/>
      <c r="T224" s="195"/>
      <c r="U224" s="195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5"/>
      <c r="K225" s="201"/>
      <c r="L225" s="201"/>
      <c r="M225" s="201"/>
      <c r="N225" s="201"/>
      <c r="O225" s="201"/>
      <c r="Q225" s="195"/>
      <c r="R225" s="195"/>
      <c r="S225" s="195"/>
      <c r="T225" s="195"/>
      <c r="U225" s="195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201"/>
      <c r="L226" s="201"/>
      <c r="M226" s="201"/>
      <c r="N226" s="201"/>
      <c r="O226" s="201"/>
      <c r="Q226" s="195"/>
      <c r="R226" s="195"/>
      <c r="S226" s="195"/>
      <c r="T226" s="195"/>
      <c r="U226" s="195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5"/>
      <c r="K227" s="201"/>
      <c r="L227" s="201"/>
      <c r="M227" s="201"/>
      <c r="N227" s="201"/>
      <c r="O227" s="201"/>
      <c r="Q227" s="195"/>
      <c r="R227" s="195"/>
      <c r="S227" s="195"/>
      <c r="T227" s="195"/>
      <c r="U227" s="195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201"/>
      <c r="L228" s="201"/>
      <c r="M228" s="201"/>
      <c r="N228" s="201"/>
      <c r="O228" s="201"/>
      <c r="Q228" s="195"/>
      <c r="R228" s="195"/>
      <c r="S228" s="195"/>
      <c r="T228" s="195"/>
      <c r="U228" s="195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5"/>
      <c r="K229" s="201"/>
      <c r="L229" s="201"/>
      <c r="M229" s="201"/>
      <c r="N229" s="201"/>
      <c r="O229" s="201"/>
      <c r="Q229" s="195"/>
      <c r="R229" s="195"/>
      <c r="S229" s="195"/>
      <c r="T229" s="195"/>
      <c r="U229" s="195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201"/>
      <c r="L230" s="201"/>
      <c r="M230" s="201"/>
      <c r="N230" s="201"/>
      <c r="O230" s="201"/>
      <c r="Q230" s="195"/>
      <c r="R230" s="195"/>
      <c r="S230" s="195"/>
      <c r="T230" s="195"/>
      <c r="U230" s="195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5"/>
      <c r="K231" s="201"/>
      <c r="L231" s="201"/>
      <c r="M231" s="201"/>
      <c r="N231" s="201"/>
      <c r="O231" s="201"/>
      <c r="Q231" s="195"/>
      <c r="R231" s="195"/>
      <c r="S231" s="195"/>
      <c r="T231" s="195"/>
      <c r="U231" s="195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201"/>
      <c r="L232" s="201"/>
      <c r="M232" s="201"/>
      <c r="N232" s="201"/>
      <c r="O232" s="201"/>
      <c r="Q232" s="195"/>
      <c r="R232" s="195"/>
      <c r="S232" s="195"/>
      <c r="T232" s="195"/>
      <c r="U232" s="195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5"/>
      <c r="K233" s="201"/>
      <c r="L233" s="201"/>
      <c r="M233" s="201"/>
      <c r="N233" s="201"/>
      <c r="O233" s="201"/>
      <c r="Q233" s="195"/>
      <c r="R233" s="195"/>
      <c r="S233" s="195"/>
      <c r="T233" s="195"/>
      <c r="U233" s="195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201"/>
      <c r="L234" s="201"/>
      <c r="M234" s="201"/>
      <c r="N234" s="201"/>
      <c r="O234" s="201"/>
      <c r="Q234" s="195"/>
      <c r="R234" s="195"/>
      <c r="S234" s="195"/>
      <c r="T234" s="195"/>
      <c r="U234" s="195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5"/>
      <c r="K235" s="201"/>
      <c r="L235" s="201"/>
      <c r="M235" s="201"/>
      <c r="N235" s="201"/>
      <c r="O235" s="201"/>
      <c r="Q235" s="195"/>
      <c r="R235" s="195"/>
      <c r="S235" s="195"/>
      <c r="T235" s="195"/>
      <c r="U235" s="195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201"/>
      <c r="L236" s="201"/>
      <c r="M236" s="201"/>
      <c r="N236" s="201"/>
      <c r="O236" s="201"/>
      <c r="Q236" s="195"/>
      <c r="R236" s="195"/>
      <c r="S236" s="195"/>
      <c r="T236" s="195"/>
      <c r="U236" s="195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5"/>
      <c r="K237" s="201"/>
      <c r="L237" s="201"/>
      <c r="M237" s="201"/>
      <c r="N237" s="201"/>
      <c r="O237" s="201"/>
      <c r="Q237" s="195"/>
      <c r="R237" s="195"/>
      <c r="S237" s="195"/>
      <c r="T237" s="195"/>
      <c r="U237" s="195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201"/>
      <c r="L238" s="201"/>
      <c r="M238" s="201"/>
      <c r="N238" s="201"/>
      <c r="O238" s="201"/>
      <c r="Q238" s="195"/>
      <c r="R238" s="195"/>
      <c r="S238" s="195"/>
      <c r="T238" s="195"/>
      <c r="U238" s="195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5"/>
      <c r="K239" s="201"/>
      <c r="L239" s="201"/>
      <c r="M239" s="201"/>
      <c r="N239" s="201"/>
      <c r="O239" s="201"/>
      <c r="Q239" s="195"/>
      <c r="R239" s="195"/>
      <c r="S239" s="195"/>
      <c r="T239" s="195"/>
      <c r="U239" s="195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201"/>
      <c r="L240" s="201"/>
      <c r="M240" s="201"/>
      <c r="N240" s="201"/>
      <c r="O240" s="201"/>
      <c r="Q240" s="195"/>
      <c r="R240" s="195"/>
      <c r="S240" s="195"/>
      <c r="T240" s="195"/>
      <c r="U240" s="195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5"/>
      <c r="K241" s="201"/>
      <c r="L241" s="201"/>
      <c r="M241" s="201"/>
      <c r="N241" s="201"/>
      <c r="O241" s="201"/>
      <c r="Q241" s="195"/>
      <c r="R241" s="195"/>
      <c r="S241" s="195"/>
      <c r="T241" s="195"/>
      <c r="U241" s="195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201"/>
      <c r="L242" s="201"/>
      <c r="M242" s="201"/>
      <c r="N242" s="201"/>
      <c r="O242" s="201"/>
      <c r="Q242" s="195"/>
      <c r="R242" s="195"/>
      <c r="S242" s="195"/>
      <c r="T242" s="195"/>
      <c r="U242" s="195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5"/>
      <c r="K243" s="201"/>
      <c r="L243" s="201"/>
      <c r="M243" s="201"/>
      <c r="N243" s="201"/>
      <c r="O243" s="201"/>
      <c r="Q243" s="195"/>
      <c r="R243" s="195"/>
      <c r="S243" s="195"/>
      <c r="T243" s="195"/>
      <c r="U243" s="195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201"/>
      <c r="L244" s="201"/>
      <c r="M244" s="201"/>
      <c r="N244" s="201"/>
      <c r="O244" s="201"/>
      <c r="Q244" s="195"/>
      <c r="R244" s="195"/>
      <c r="S244" s="195"/>
      <c r="T244" s="195"/>
      <c r="U244" s="195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5"/>
      <c r="K245" s="201"/>
      <c r="L245" s="201"/>
      <c r="M245" s="201"/>
      <c r="N245" s="201"/>
      <c r="O245" s="201"/>
      <c r="Q245" s="195"/>
      <c r="R245" s="195"/>
      <c r="S245" s="195"/>
      <c r="T245" s="195"/>
      <c r="U245" s="195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201"/>
      <c r="L246" s="201"/>
      <c r="M246" s="201"/>
      <c r="N246" s="201"/>
      <c r="O246" s="201"/>
      <c r="Q246" s="195"/>
      <c r="R246" s="195"/>
      <c r="S246" s="195"/>
      <c r="T246" s="195"/>
      <c r="U246" s="195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5"/>
      <c r="K247" s="201"/>
      <c r="L247" s="201"/>
      <c r="M247" s="201"/>
      <c r="N247" s="201"/>
      <c r="O247" s="201"/>
      <c r="Q247" s="195"/>
      <c r="R247" s="195"/>
      <c r="S247" s="195"/>
      <c r="T247" s="195"/>
      <c r="U247" s="195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201"/>
      <c r="L248" s="201"/>
      <c r="M248" s="201"/>
      <c r="N248" s="201"/>
      <c r="O248" s="201"/>
      <c r="Q248" s="195"/>
      <c r="R248" s="195"/>
      <c r="S248" s="195"/>
      <c r="T248" s="195"/>
      <c r="U248" s="195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5"/>
      <c r="K249" s="201"/>
      <c r="L249" s="201"/>
      <c r="M249" s="201"/>
      <c r="N249" s="201"/>
      <c r="O249" s="201"/>
      <c r="Q249" s="195"/>
      <c r="R249" s="195"/>
      <c r="S249" s="195"/>
      <c r="T249" s="195"/>
      <c r="U249" s="195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201"/>
      <c r="L250" s="201"/>
      <c r="M250" s="201"/>
      <c r="N250" s="201"/>
      <c r="O250" s="201"/>
      <c r="Q250" s="195"/>
      <c r="R250" s="195"/>
      <c r="S250" s="195"/>
      <c r="T250" s="195"/>
      <c r="U250" s="195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5"/>
      <c r="K251" s="201"/>
      <c r="L251" s="201"/>
      <c r="M251" s="201"/>
      <c r="N251" s="201"/>
      <c r="O251" s="201"/>
      <c r="Q251" s="195"/>
      <c r="R251" s="195"/>
      <c r="S251" s="195"/>
      <c r="T251" s="195"/>
      <c r="U251" s="195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201"/>
      <c r="L252" s="201"/>
      <c r="M252" s="201"/>
      <c r="N252" s="201"/>
      <c r="O252" s="201"/>
      <c r="Q252" s="195"/>
      <c r="R252" s="195"/>
      <c r="S252" s="195"/>
      <c r="T252" s="195"/>
      <c r="U252" s="195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5"/>
      <c r="K253" s="201"/>
      <c r="L253" s="201"/>
      <c r="M253" s="201"/>
      <c r="N253" s="201"/>
      <c r="O253" s="201"/>
      <c r="Q253" s="195"/>
      <c r="R253" s="195"/>
      <c r="S253" s="195"/>
      <c r="T253" s="195"/>
      <c r="U253" s="195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201"/>
      <c r="L254" s="201"/>
      <c r="M254" s="201"/>
      <c r="N254" s="201"/>
      <c r="O254" s="201"/>
      <c r="Q254" s="195"/>
      <c r="R254" s="195"/>
      <c r="S254" s="195"/>
      <c r="T254" s="195"/>
      <c r="U254" s="195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5"/>
      <c r="K255" s="201"/>
      <c r="L255" s="201"/>
      <c r="M255" s="201"/>
      <c r="N255" s="201"/>
      <c r="O255" s="201"/>
      <c r="Q255" s="195"/>
      <c r="R255" s="195"/>
      <c r="S255" s="195"/>
      <c r="T255" s="195"/>
      <c r="U255" s="195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201"/>
      <c r="L256" s="201"/>
      <c r="M256" s="201"/>
      <c r="N256" s="201"/>
      <c r="O256" s="201"/>
      <c r="Q256" s="195"/>
      <c r="R256" s="195"/>
      <c r="S256" s="195"/>
      <c r="T256" s="195"/>
      <c r="U256" s="195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5"/>
      <c r="K257" s="201"/>
      <c r="L257" s="201"/>
      <c r="M257" s="201"/>
      <c r="N257" s="201"/>
      <c r="O257" s="201"/>
      <c r="Q257" s="195"/>
      <c r="R257" s="195"/>
      <c r="S257" s="195"/>
      <c r="T257" s="195"/>
      <c r="U257" s="195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201"/>
      <c r="L258" s="201"/>
      <c r="M258" s="201"/>
      <c r="N258" s="201"/>
      <c r="O258" s="201"/>
      <c r="Q258" s="195"/>
      <c r="R258" s="195"/>
      <c r="S258" s="195"/>
      <c r="T258" s="195"/>
      <c r="U258" s="195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5"/>
      <c r="K259" s="201"/>
      <c r="L259" s="201"/>
      <c r="M259" s="201"/>
      <c r="N259" s="201"/>
      <c r="O259" s="201"/>
      <c r="Q259" s="195"/>
      <c r="R259" s="195"/>
      <c r="S259" s="195"/>
      <c r="T259" s="195"/>
      <c r="U259" s="195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201"/>
      <c r="L260" s="201"/>
      <c r="M260" s="201"/>
      <c r="N260" s="201"/>
      <c r="O260" s="201"/>
      <c r="Q260" s="195"/>
      <c r="R260" s="195"/>
      <c r="S260" s="195"/>
      <c r="T260" s="195"/>
      <c r="U260" s="195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5"/>
      <c r="K261" s="201"/>
      <c r="L261" s="201"/>
      <c r="M261" s="201"/>
      <c r="N261" s="201"/>
      <c r="O261" s="201"/>
      <c r="Q261" s="195"/>
      <c r="R261" s="195"/>
      <c r="S261" s="195"/>
      <c r="T261" s="195"/>
      <c r="U261" s="195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201"/>
      <c r="L262" s="201"/>
      <c r="M262" s="201"/>
      <c r="N262" s="201"/>
      <c r="O262" s="201"/>
      <c r="Q262" s="195"/>
      <c r="R262" s="195"/>
      <c r="S262" s="195"/>
      <c r="T262" s="195"/>
      <c r="U262" s="195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5"/>
      <c r="K263" s="201"/>
      <c r="L263" s="201"/>
      <c r="M263" s="201"/>
      <c r="N263" s="201"/>
      <c r="O263" s="201"/>
      <c r="Q263" s="195"/>
      <c r="R263" s="195"/>
      <c r="S263" s="195"/>
      <c r="T263" s="195"/>
      <c r="U263" s="195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201"/>
      <c r="L264" s="201"/>
      <c r="M264" s="201"/>
      <c r="N264" s="201"/>
      <c r="O264" s="201"/>
      <c r="Q264" s="195"/>
      <c r="R264" s="195"/>
      <c r="S264" s="195"/>
      <c r="T264" s="195"/>
      <c r="U264" s="195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5"/>
      <c r="K265" s="201"/>
      <c r="L265" s="201"/>
      <c r="M265" s="201"/>
      <c r="N265" s="201"/>
      <c r="O265" s="201"/>
      <c r="Q265" s="195"/>
      <c r="R265" s="195"/>
      <c r="S265" s="195"/>
      <c r="T265" s="195"/>
      <c r="U265" s="195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201"/>
      <c r="L266" s="201"/>
      <c r="M266" s="201"/>
      <c r="N266" s="201"/>
      <c r="O266" s="201"/>
      <c r="Q266" s="195"/>
      <c r="R266" s="195"/>
      <c r="S266" s="195"/>
      <c r="T266" s="195"/>
      <c r="U266" s="195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5"/>
      <c r="K267" s="201"/>
      <c r="L267" s="201"/>
      <c r="M267" s="201"/>
      <c r="N267" s="201"/>
      <c r="O267" s="201"/>
      <c r="Q267" s="195"/>
      <c r="R267" s="195"/>
      <c r="S267" s="195"/>
      <c r="T267" s="195"/>
      <c r="U267" s="195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201"/>
      <c r="L268" s="201"/>
      <c r="M268" s="201"/>
      <c r="N268" s="201"/>
      <c r="O268" s="201"/>
      <c r="Q268" s="195"/>
      <c r="R268" s="195"/>
      <c r="S268" s="195"/>
      <c r="T268" s="195"/>
      <c r="U268" s="195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5"/>
      <c r="K269" s="201"/>
      <c r="L269" s="201"/>
      <c r="M269" s="201"/>
      <c r="N269" s="201"/>
      <c r="O269" s="201"/>
      <c r="Q269" s="195"/>
      <c r="R269" s="195"/>
      <c r="S269" s="195"/>
      <c r="T269" s="195"/>
      <c r="U269" s="195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201"/>
      <c r="L270" s="201"/>
      <c r="M270" s="201"/>
      <c r="N270" s="201"/>
      <c r="O270" s="201"/>
      <c r="Q270" s="195"/>
      <c r="R270" s="195"/>
      <c r="S270" s="195"/>
      <c r="T270" s="195"/>
      <c r="U270" s="195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5"/>
      <c r="K271" s="201"/>
      <c r="L271" s="201"/>
      <c r="M271" s="201"/>
      <c r="N271" s="201"/>
      <c r="O271" s="201"/>
      <c r="Q271" s="195"/>
      <c r="R271" s="195"/>
      <c r="S271" s="195"/>
      <c r="T271" s="195"/>
      <c r="U271" s="195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201"/>
      <c r="L272" s="201"/>
      <c r="M272" s="201"/>
      <c r="N272" s="201"/>
      <c r="O272" s="201"/>
      <c r="Q272" s="195"/>
      <c r="R272" s="195"/>
      <c r="S272" s="195"/>
      <c r="T272" s="195"/>
      <c r="U272" s="195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5"/>
      <c r="K273" s="201"/>
      <c r="L273" s="201"/>
      <c r="M273" s="201"/>
      <c r="N273" s="201"/>
      <c r="O273" s="201"/>
      <c r="Q273" s="195"/>
      <c r="R273" s="195"/>
      <c r="S273" s="195"/>
      <c r="T273" s="195"/>
      <c r="U273" s="195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201"/>
      <c r="L274" s="201"/>
      <c r="M274" s="201"/>
      <c r="N274" s="201"/>
      <c r="O274" s="201"/>
      <c r="Q274" s="195"/>
      <c r="R274" s="195"/>
      <c r="S274" s="195"/>
      <c r="T274" s="195"/>
      <c r="U274" s="195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5"/>
      <c r="K275" s="201"/>
      <c r="L275" s="201"/>
      <c r="M275" s="201"/>
      <c r="N275" s="201"/>
      <c r="O275" s="201"/>
      <c r="Q275" s="195"/>
      <c r="R275" s="195"/>
      <c r="S275" s="195"/>
      <c r="T275" s="195"/>
      <c r="U275" s="195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201"/>
      <c r="L276" s="201"/>
      <c r="M276" s="201"/>
      <c r="N276" s="201"/>
      <c r="O276" s="201"/>
      <c r="Q276" s="195"/>
      <c r="R276" s="195"/>
      <c r="S276" s="195"/>
      <c r="T276" s="195"/>
      <c r="U276" s="195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5"/>
      <c r="K277" s="201"/>
      <c r="L277" s="201"/>
      <c r="M277" s="201"/>
      <c r="N277" s="201"/>
      <c r="O277" s="201"/>
      <c r="Q277" s="195"/>
      <c r="R277" s="195"/>
      <c r="S277" s="195"/>
      <c r="T277" s="195"/>
      <c r="U277" s="195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201"/>
      <c r="L278" s="201"/>
      <c r="M278" s="201"/>
      <c r="N278" s="201"/>
      <c r="O278" s="201"/>
      <c r="Q278" s="195"/>
      <c r="R278" s="195"/>
      <c r="S278" s="195"/>
      <c r="T278" s="195"/>
      <c r="U278" s="195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5"/>
      <c r="K279" s="201"/>
      <c r="L279" s="201"/>
      <c r="M279" s="201"/>
      <c r="N279" s="201"/>
      <c r="O279" s="201"/>
      <c r="Q279" s="195"/>
      <c r="R279" s="195"/>
      <c r="S279" s="195"/>
      <c r="T279" s="195"/>
      <c r="U279" s="195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201"/>
      <c r="L280" s="201"/>
      <c r="M280" s="201"/>
      <c r="N280" s="201"/>
      <c r="O280" s="201"/>
      <c r="Q280" s="195"/>
      <c r="R280" s="195"/>
      <c r="S280" s="195"/>
      <c r="T280" s="195"/>
      <c r="U280" s="195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5"/>
      <c r="K281" s="201"/>
      <c r="L281" s="201"/>
      <c r="M281" s="201"/>
      <c r="N281" s="201"/>
      <c r="O281" s="201"/>
      <c r="Q281" s="195"/>
      <c r="R281" s="195"/>
      <c r="S281" s="195"/>
      <c r="T281" s="195"/>
      <c r="U281" s="195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201"/>
      <c r="L282" s="201"/>
      <c r="M282" s="201"/>
      <c r="N282" s="201"/>
      <c r="O282" s="201"/>
      <c r="Q282" s="195"/>
      <c r="R282" s="195"/>
      <c r="S282" s="195"/>
      <c r="T282" s="195"/>
      <c r="U282" s="195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5"/>
      <c r="K283" s="201"/>
      <c r="L283" s="201"/>
      <c r="M283" s="201"/>
      <c r="N283" s="201"/>
      <c r="O283" s="201"/>
      <c r="Q283" s="195"/>
      <c r="R283" s="195"/>
      <c r="S283" s="195"/>
      <c r="T283" s="195"/>
      <c r="U283" s="195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201"/>
      <c r="L284" s="201"/>
      <c r="M284" s="201"/>
      <c r="N284" s="201"/>
      <c r="O284" s="201"/>
      <c r="Q284" s="195"/>
      <c r="R284" s="195"/>
      <c r="S284" s="195"/>
      <c r="T284" s="195"/>
      <c r="U284" s="195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5"/>
      <c r="K285" s="201"/>
      <c r="L285" s="201"/>
      <c r="M285" s="201"/>
      <c r="N285" s="201"/>
      <c r="O285" s="201"/>
      <c r="Q285" s="195"/>
      <c r="R285" s="195"/>
      <c r="S285" s="195"/>
      <c r="T285" s="195"/>
      <c r="U285" s="195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201"/>
      <c r="L286" s="201"/>
      <c r="M286" s="201"/>
      <c r="N286" s="201"/>
      <c r="O286" s="201"/>
      <c r="Q286" s="195"/>
      <c r="R286" s="195"/>
      <c r="S286" s="195"/>
      <c r="T286" s="195"/>
      <c r="U286" s="195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5"/>
      <c r="K287" s="201"/>
      <c r="L287" s="201"/>
      <c r="M287" s="201"/>
      <c r="N287" s="201"/>
      <c r="O287" s="201"/>
      <c r="Q287" s="195"/>
      <c r="R287" s="195"/>
      <c r="S287" s="195"/>
      <c r="T287" s="195"/>
      <c r="U287" s="195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201"/>
      <c r="L288" s="201"/>
      <c r="M288" s="201"/>
      <c r="N288" s="201"/>
      <c r="O288" s="201"/>
      <c r="Q288" s="195"/>
      <c r="R288" s="195"/>
      <c r="S288" s="195"/>
      <c r="T288" s="195"/>
      <c r="U288" s="195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5"/>
      <c r="K289" s="201"/>
      <c r="L289" s="201"/>
      <c r="M289" s="201"/>
      <c r="N289" s="201"/>
      <c r="O289" s="201"/>
      <c r="Q289" s="195"/>
      <c r="R289" s="195"/>
      <c r="S289" s="195"/>
      <c r="T289" s="195"/>
      <c r="U289" s="195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201"/>
      <c r="L290" s="201"/>
      <c r="M290" s="201"/>
      <c r="N290" s="201"/>
      <c r="O290" s="201"/>
      <c r="Q290" s="195"/>
      <c r="R290" s="195"/>
      <c r="S290" s="195"/>
      <c r="T290" s="195"/>
      <c r="U290" s="195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5"/>
      <c r="K291" s="201"/>
      <c r="L291" s="201"/>
      <c r="M291" s="201"/>
      <c r="N291" s="201"/>
      <c r="O291" s="201"/>
      <c r="Q291" s="195"/>
      <c r="R291" s="195"/>
      <c r="S291" s="195"/>
      <c r="T291" s="195"/>
      <c r="U291" s="195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201"/>
      <c r="L292" s="201"/>
      <c r="M292" s="201"/>
      <c r="N292" s="201"/>
      <c r="O292" s="201"/>
      <c r="Q292" s="195"/>
      <c r="R292" s="195"/>
      <c r="S292" s="195"/>
      <c r="T292" s="195"/>
      <c r="U292" s="195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5"/>
      <c r="K293" s="201"/>
      <c r="L293" s="201"/>
      <c r="M293" s="201"/>
      <c r="N293" s="201"/>
      <c r="O293" s="201"/>
      <c r="Q293" s="195"/>
      <c r="R293" s="195"/>
      <c r="S293" s="195"/>
      <c r="T293" s="195"/>
      <c r="U293" s="195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5"/>
      <c r="K294" s="201"/>
      <c r="L294" s="201"/>
      <c r="M294" s="201"/>
      <c r="N294" s="201"/>
      <c r="O294" s="201"/>
      <c r="Q294" s="195"/>
      <c r="R294" s="195"/>
      <c r="S294" s="195"/>
      <c r="T294" s="195"/>
      <c r="U294" s="195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5"/>
      <c r="K295" s="201"/>
      <c r="L295" s="201"/>
      <c r="M295" s="201"/>
      <c r="N295" s="201"/>
      <c r="O295" s="201"/>
      <c r="Q295" s="195"/>
      <c r="R295" s="195"/>
      <c r="S295" s="195"/>
      <c r="T295" s="195"/>
      <c r="U295" s="195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5"/>
      <c r="K296" s="201"/>
      <c r="L296" s="201"/>
      <c r="M296" s="201"/>
      <c r="N296" s="201"/>
      <c r="O296" s="201"/>
      <c r="Q296" s="195"/>
      <c r="R296" s="195"/>
      <c r="S296" s="195"/>
      <c r="T296" s="195"/>
      <c r="U296" s="195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5"/>
      <c r="K297" s="201"/>
      <c r="L297" s="201"/>
      <c r="M297" s="201"/>
      <c r="N297" s="201"/>
      <c r="O297" s="201"/>
      <c r="Q297" s="195"/>
      <c r="R297" s="195"/>
      <c r="S297" s="195"/>
      <c r="T297" s="195"/>
      <c r="U297" s="195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5"/>
      <c r="K298" s="201"/>
      <c r="L298" s="201"/>
      <c r="M298" s="201"/>
      <c r="N298" s="201"/>
      <c r="O298" s="201"/>
      <c r="Q298" s="195"/>
      <c r="R298" s="195"/>
      <c r="S298" s="195"/>
      <c r="T298" s="195"/>
      <c r="U298" s="195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5"/>
      <c r="K299" s="201"/>
      <c r="L299" s="201"/>
      <c r="M299" s="201"/>
      <c r="N299" s="201"/>
      <c r="O299" s="201"/>
      <c r="Q299" s="195"/>
      <c r="R299" s="195"/>
      <c r="S299" s="195"/>
      <c r="T299" s="195"/>
      <c r="U299" s="195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5"/>
      <c r="K300" s="201"/>
      <c r="L300" s="201"/>
      <c r="M300" s="201"/>
      <c r="N300" s="201"/>
      <c r="O300" s="201"/>
      <c r="Q300" s="195"/>
      <c r="R300" s="195"/>
      <c r="S300" s="195"/>
      <c r="T300" s="195"/>
      <c r="U300" s="195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5"/>
      <c r="K301" s="201"/>
      <c r="L301" s="201"/>
      <c r="M301" s="201"/>
      <c r="N301" s="201"/>
      <c r="O301" s="201"/>
      <c r="Q301" s="195"/>
      <c r="R301" s="195"/>
      <c r="S301" s="195"/>
      <c r="T301" s="195"/>
      <c r="U301" s="195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5"/>
      <c r="K302" s="201"/>
      <c r="L302" s="201"/>
      <c r="M302" s="201"/>
      <c r="N302" s="201"/>
      <c r="O302" s="201"/>
      <c r="Q302" s="195"/>
      <c r="R302" s="195"/>
      <c r="S302" s="195"/>
      <c r="T302" s="195"/>
      <c r="U302" s="195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5"/>
      <c r="K303" s="201"/>
      <c r="L303" s="201"/>
      <c r="M303" s="201"/>
      <c r="N303" s="201"/>
      <c r="O303" s="201"/>
      <c r="Q303" s="195"/>
      <c r="R303" s="195"/>
      <c r="S303" s="195"/>
      <c r="T303" s="195"/>
      <c r="U303" s="195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5"/>
      <c r="K304" s="201"/>
      <c r="L304" s="201"/>
      <c r="M304" s="201"/>
      <c r="N304" s="201"/>
      <c r="O304" s="201"/>
      <c r="Q304" s="195"/>
      <c r="R304" s="195"/>
      <c r="S304" s="195"/>
      <c r="T304" s="195"/>
      <c r="U304" s="195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303</v>
      </c>
      <c r="W2" s="25" t="s">
        <v>101</v>
      </c>
      <c r="AC2" s="25" t="s">
        <v>305</v>
      </c>
      <c r="AH2" s="5"/>
      <c r="AI2" s="5"/>
      <c r="AJ2" s="25" t="s">
        <v>94</v>
      </c>
      <c r="AO2" s="5"/>
    </row>
    <row r="3" spans="1:41" ht="15.9" customHeight="1">
      <c r="A3" s="122" t="s">
        <v>36</v>
      </c>
      <c r="B3" s="122" t="s">
        <v>37</v>
      </c>
      <c r="C3" s="122" t="s">
        <v>7</v>
      </c>
      <c r="D3" s="122" t="s">
        <v>8</v>
      </c>
      <c r="E3" s="122" t="s">
        <v>9</v>
      </c>
      <c r="F3" s="122" t="s">
        <v>10</v>
      </c>
      <c r="G3" s="122" t="s">
        <v>11</v>
      </c>
      <c r="H3" s="122" t="s">
        <v>310</v>
      </c>
      <c r="I3" s="14"/>
      <c r="J3" s="122"/>
      <c r="K3" s="122" t="s">
        <v>7</v>
      </c>
      <c r="L3" s="122" t="s">
        <v>8</v>
      </c>
      <c r="M3" s="122" t="s">
        <v>9</v>
      </c>
      <c r="N3" s="122" t="s">
        <v>10</v>
      </c>
      <c r="O3" s="122" t="s">
        <v>11</v>
      </c>
      <c r="Q3" s="122" t="s">
        <v>7</v>
      </c>
      <c r="R3" s="122" t="s">
        <v>8</v>
      </c>
      <c r="S3" s="122" t="s">
        <v>9</v>
      </c>
      <c r="T3" s="122" t="s">
        <v>10</v>
      </c>
      <c r="U3" s="122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3" t="s">
        <v>306</v>
      </c>
      <c r="B4" s="201" t="s">
        <v>38</v>
      </c>
      <c r="C4" s="203">
        <v>0</v>
      </c>
      <c r="D4" s="203">
        <v>0</v>
      </c>
      <c r="E4" s="203">
        <v>0</v>
      </c>
      <c r="F4" s="203">
        <v>0</v>
      </c>
      <c r="G4" s="203">
        <v>0</v>
      </c>
      <c r="H4" s="201">
        <v>0</v>
      </c>
      <c r="I4" s="82"/>
      <c r="J4" s="23">
        <v>0</v>
      </c>
      <c r="K4" s="24" t="s">
        <v>29</v>
      </c>
      <c r="L4" s="24" t="s">
        <v>31</v>
      </c>
      <c r="M4" s="24" t="s">
        <v>83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307</v>
      </c>
      <c r="AH4" s="5"/>
      <c r="AI4" s="5"/>
      <c r="AJ4" s="25" t="s">
        <v>307</v>
      </c>
      <c r="AO4" s="5"/>
    </row>
    <row r="5" spans="1:41" ht="15.9" customHeight="1">
      <c r="A5" s="203" t="s">
        <v>14</v>
      </c>
      <c r="B5" s="201" t="s">
        <v>39</v>
      </c>
      <c r="C5" s="203">
        <v>0</v>
      </c>
      <c r="D5" s="203">
        <v>6</v>
      </c>
      <c r="E5" s="203">
        <v>0</v>
      </c>
      <c r="F5" s="203">
        <v>9</v>
      </c>
      <c r="G5" s="203">
        <v>0</v>
      </c>
      <c r="H5" s="201">
        <v>1</v>
      </c>
      <c r="I5" s="82"/>
      <c r="J5" s="195">
        <v>1</v>
      </c>
      <c r="K5" s="196" t="s">
        <v>31</v>
      </c>
      <c r="L5" s="196" t="s">
        <v>31</v>
      </c>
      <c r="M5" s="196" t="s">
        <v>86</v>
      </c>
      <c r="N5" s="196" t="s">
        <v>15</v>
      </c>
      <c r="O5" s="196" t="s">
        <v>12</v>
      </c>
      <c r="Q5" s="195">
        <v>7</v>
      </c>
      <c r="R5" s="195">
        <v>7</v>
      </c>
      <c r="S5" s="195">
        <v>18</v>
      </c>
      <c r="T5" s="195">
        <v>2</v>
      </c>
      <c r="U5" s="195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22" t="s">
        <v>36</v>
      </c>
      <c r="AD5" s="122" t="s">
        <v>7</v>
      </c>
      <c r="AE5" s="122" t="s">
        <v>8</v>
      </c>
      <c r="AF5" s="122" t="s">
        <v>9</v>
      </c>
      <c r="AG5" s="122" t="s">
        <v>10</v>
      </c>
      <c r="AH5" s="122" t="s">
        <v>11</v>
      </c>
      <c r="AI5" s="5"/>
      <c r="AJ5" s="122" t="s">
        <v>36</v>
      </c>
      <c r="AK5" s="122" t="s">
        <v>7</v>
      </c>
      <c r="AL5" s="122" t="s">
        <v>8</v>
      </c>
      <c r="AM5" s="122" t="s">
        <v>9</v>
      </c>
      <c r="AN5" s="122" t="s">
        <v>10</v>
      </c>
      <c r="AO5" s="122" t="s">
        <v>11</v>
      </c>
    </row>
    <row r="6" spans="1:41" ht="15.9" customHeight="1">
      <c r="A6" s="202" t="s">
        <v>15</v>
      </c>
      <c r="B6" s="136" t="s">
        <v>15</v>
      </c>
      <c r="C6" s="202">
        <v>4</v>
      </c>
      <c r="D6" s="202">
        <v>6</v>
      </c>
      <c r="E6" s="202">
        <v>0</v>
      </c>
      <c r="F6" s="202">
        <v>22</v>
      </c>
      <c r="G6" s="202">
        <v>28</v>
      </c>
      <c r="H6" s="136">
        <v>2</v>
      </c>
      <c r="I6" s="82"/>
      <c r="J6" s="23">
        <v>2</v>
      </c>
      <c r="K6" s="196" t="s">
        <v>15</v>
      </c>
      <c r="L6" s="196" t="s">
        <v>83</v>
      </c>
      <c r="M6" s="196" t="s">
        <v>82</v>
      </c>
      <c r="N6" s="196" t="s">
        <v>12</v>
      </c>
      <c r="O6" s="196" t="s">
        <v>16</v>
      </c>
      <c r="Q6" s="195">
        <v>2</v>
      </c>
      <c r="R6" s="195">
        <v>16</v>
      </c>
      <c r="S6" s="195">
        <v>14</v>
      </c>
      <c r="T6" s="195">
        <v>4</v>
      </c>
      <c r="U6" s="195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201" t="s">
        <v>306</v>
      </c>
      <c r="AD6" s="126">
        <v>0</v>
      </c>
      <c r="AE6" s="126">
        <v>0</v>
      </c>
      <c r="AF6" s="126">
        <v>0</v>
      </c>
      <c r="AG6" s="126">
        <v>0</v>
      </c>
      <c r="AH6" s="126">
        <v>0</v>
      </c>
      <c r="AI6" s="5"/>
      <c r="AJ6" s="201" t="s">
        <v>306</v>
      </c>
      <c r="AK6" s="126">
        <v>0</v>
      </c>
      <c r="AL6" s="126">
        <v>0</v>
      </c>
      <c r="AM6" s="126">
        <v>0</v>
      </c>
      <c r="AN6" s="126">
        <v>0</v>
      </c>
      <c r="AO6" s="126">
        <v>0</v>
      </c>
    </row>
    <row r="7" spans="1:41" ht="15.9" customHeight="1">
      <c r="A7" s="202" t="s">
        <v>16</v>
      </c>
      <c r="B7" s="136" t="s">
        <v>16</v>
      </c>
      <c r="C7" s="202">
        <v>4</v>
      </c>
      <c r="D7" s="202">
        <v>6</v>
      </c>
      <c r="E7" s="202">
        <v>0</v>
      </c>
      <c r="F7" s="202">
        <v>22</v>
      </c>
      <c r="G7" s="202">
        <v>27</v>
      </c>
      <c r="H7" s="136">
        <v>3</v>
      </c>
      <c r="I7" s="82"/>
      <c r="J7" s="195">
        <v>3</v>
      </c>
      <c r="K7" s="196" t="s">
        <v>13</v>
      </c>
      <c r="L7" s="196" t="s">
        <v>28</v>
      </c>
      <c r="M7" s="24" t="s">
        <v>98</v>
      </c>
      <c r="N7" s="196" t="s">
        <v>12</v>
      </c>
      <c r="O7" s="196" t="s">
        <v>16</v>
      </c>
      <c r="Q7" s="195">
        <v>5</v>
      </c>
      <c r="R7" s="195">
        <v>9</v>
      </c>
      <c r="S7" s="195">
        <v>15</v>
      </c>
      <c r="T7" s="195">
        <v>4</v>
      </c>
      <c r="U7" s="195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201" t="s">
        <v>14</v>
      </c>
      <c r="AD7" s="203">
        <v>0</v>
      </c>
      <c r="AE7" s="203">
        <v>6</v>
      </c>
      <c r="AF7" s="203">
        <v>0</v>
      </c>
      <c r="AG7" s="203">
        <v>9</v>
      </c>
      <c r="AH7" s="203">
        <v>0</v>
      </c>
      <c r="AI7" s="5"/>
      <c r="AJ7" s="201" t="s">
        <v>14</v>
      </c>
      <c r="AK7" s="201">
        <v>0</v>
      </c>
      <c r="AL7" s="201">
        <v>6</v>
      </c>
      <c r="AM7" s="201">
        <v>0</v>
      </c>
      <c r="AN7" s="201">
        <v>9</v>
      </c>
      <c r="AO7" s="201">
        <v>0</v>
      </c>
    </row>
    <row r="8" spans="1:41" ht="15.9" customHeight="1">
      <c r="A8" s="202" t="s">
        <v>12</v>
      </c>
      <c r="B8" s="136" t="s">
        <v>12</v>
      </c>
      <c r="C8" s="202">
        <v>4</v>
      </c>
      <c r="D8" s="202">
        <v>6</v>
      </c>
      <c r="E8" s="202">
        <v>0</v>
      </c>
      <c r="F8" s="202">
        <v>22</v>
      </c>
      <c r="G8" s="202">
        <v>27</v>
      </c>
      <c r="H8" s="136">
        <v>4</v>
      </c>
      <c r="I8" s="82"/>
      <c r="J8" s="23">
        <v>4</v>
      </c>
      <c r="K8" s="196" t="s">
        <v>29</v>
      </c>
      <c r="L8" s="196" t="s">
        <v>83</v>
      </c>
      <c r="M8" s="196" t="s">
        <v>82</v>
      </c>
      <c r="N8" s="196" t="s">
        <v>16</v>
      </c>
      <c r="O8" s="196" t="s">
        <v>29</v>
      </c>
      <c r="Q8" s="195">
        <v>8</v>
      </c>
      <c r="R8" s="195">
        <v>16</v>
      </c>
      <c r="S8" s="195">
        <v>14</v>
      </c>
      <c r="T8" s="195">
        <v>3</v>
      </c>
      <c r="U8" s="195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6" t="s">
        <v>15</v>
      </c>
      <c r="AD8" s="202">
        <v>4</v>
      </c>
      <c r="AE8" s="202">
        <v>11</v>
      </c>
      <c r="AF8" s="202">
        <v>0</v>
      </c>
      <c r="AG8" s="202">
        <v>22</v>
      </c>
      <c r="AH8" s="202">
        <v>28</v>
      </c>
      <c r="AI8" s="5"/>
      <c r="AJ8" s="136" t="s">
        <v>15</v>
      </c>
      <c r="AK8" s="202">
        <v>4</v>
      </c>
      <c r="AL8" s="202">
        <v>11</v>
      </c>
      <c r="AM8" s="202">
        <v>0</v>
      </c>
      <c r="AN8" s="202">
        <v>22</v>
      </c>
      <c r="AO8" s="202">
        <v>28</v>
      </c>
    </row>
    <row r="9" spans="1:41" ht="15.9" customHeight="1">
      <c r="A9" s="202" t="s">
        <v>13</v>
      </c>
      <c r="B9" s="136" t="s">
        <v>13</v>
      </c>
      <c r="C9" s="202">
        <v>43</v>
      </c>
      <c r="D9" s="202">
        <v>19</v>
      </c>
      <c r="E9" s="202">
        <v>0</v>
      </c>
      <c r="F9" s="202">
        <v>12</v>
      </c>
      <c r="G9" s="202">
        <v>16</v>
      </c>
      <c r="H9" s="136">
        <v>5</v>
      </c>
      <c r="I9" s="82"/>
      <c r="J9" s="195">
        <v>5</v>
      </c>
      <c r="K9" s="196" t="s">
        <v>97</v>
      </c>
      <c r="L9" s="196" t="s">
        <v>12</v>
      </c>
      <c r="M9" s="196" t="s">
        <v>95</v>
      </c>
      <c r="N9" s="196" t="s">
        <v>16</v>
      </c>
      <c r="O9" s="196" t="s">
        <v>16</v>
      </c>
      <c r="Q9" s="195">
        <v>6</v>
      </c>
      <c r="R9" s="195">
        <v>4</v>
      </c>
      <c r="S9" s="195">
        <v>17</v>
      </c>
      <c r="T9" s="195">
        <v>3</v>
      </c>
      <c r="U9" s="195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6" t="s">
        <v>16</v>
      </c>
      <c r="AD9" s="202">
        <v>4</v>
      </c>
      <c r="AE9" s="202">
        <v>11</v>
      </c>
      <c r="AF9" s="202">
        <v>0</v>
      </c>
      <c r="AG9" s="202">
        <v>22</v>
      </c>
      <c r="AH9" s="202">
        <v>27</v>
      </c>
      <c r="AI9" s="5"/>
      <c r="AJ9" s="136" t="s">
        <v>16</v>
      </c>
      <c r="AK9" s="202">
        <v>4</v>
      </c>
      <c r="AL9" s="202">
        <v>11</v>
      </c>
      <c r="AM9" s="202">
        <v>0</v>
      </c>
      <c r="AN9" s="202">
        <v>22</v>
      </c>
      <c r="AO9" s="202">
        <v>27</v>
      </c>
    </row>
    <row r="10" spans="1:41" ht="15.9" customHeight="1">
      <c r="A10" s="202" t="s">
        <v>97</v>
      </c>
      <c r="B10" s="136" t="s">
        <v>97</v>
      </c>
      <c r="C10" s="202">
        <v>43</v>
      </c>
      <c r="D10" s="202">
        <v>19</v>
      </c>
      <c r="E10" s="202">
        <v>0</v>
      </c>
      <c r="F10" s="202">
        <v>12</v>
      </c>
      <c r="G10" s="202">
        <v>16</v>
      </c>
      <c r="H10" s="136">
        <v>6</v>
      </c>
      <c r="I10" s="82"/>
      <c r="J10" s="23">
        <v>6</v>
      </c>
      <c r="K10" s="196" t="s">
        <v>29</v>
      </c>
      <c r="L10" s="196" t="s">
        <v>13</v>
      </c>
      <c r="M10" s="196" t="s">
        <v>83</v>
      </c>
      <c r="N10" s="196" t="s">
        <v>30</v>
      </c>
      <c r="O10" s="196" t="s">
        <v>31</v>
      </c>
      <c r="Q10" s="195">
        <v>8</v>
      </c>
      <c r="R10" s="195">
        <v>5</v>
      </c>
      <c r="S10" s="195">
        <v>16</v>
      </c>
      <c r="T10" s="195">
        <v>10</v>
      </c>
      <c r="U10" s="195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6" t="s">
        <v>12</v>
      </c>
      <c r="AD10" s="202">
        <v>4</v>
      </c>
      <c r="AE10" s="202">
        <v>11</v>
      </c>
      <c r="AF10" s="202">
        <v>0</v>
      </c>
      <c r="AG10" s="202">
        <v>22</v>
      </c>
      <c r="AH10" s="202">
        <v>27</v>
      </c>
      <c r="AI10" s="5"/>
      <c r="AJ10" s="136" t="s">
        <v>12</v>
      </c>
      <c r="AK10" s="202">
        <v>4</v>
      </c>
      <c r="AL10" s="202">
        <v>11</v>
      </c>
      <c r="AM10" s="202">
        <v>0</v>
      </c>
      <c r="AN10" s="202">
        <v>22</v>
      </c>
      <c r="AO10" s="202">
        <v>27</v>
      </c>
    </row>
    <row r="11" spans="1:41" ht="15.9" customHeight="1">
      <c r="A11" s="202" t="s">
        <v>31</v>
      </c>
      <c r="B11" s="136" t="s">
        <v>31</v>
      </c>
      <c r="C11" s="202">
        <v>47</v>
      </c>
      <c r="D11" s="202">
        <v>22</v>
      </c>
      <c r="E11" s="202">
        <v>0</v>
      </c>
      <c r="F11" s="202">
        <v>12</v>
      </c>
      <c r="G11" s="202">
        <v>16</v>
      </c>
      <c r="H11" s="136">
        <v>7</v>
      </c>
      <c r="I11" s="82"/>
      <c r="J11" s="195">
        <v>7</v>
      </c>
      <c r="K11" s="196" t="s">
        <v>97</v>
      </c>
      <c r="L11" s="196" t="s">
        <v>81</v>
      </c>
      <c r="M11" s="196" t="s">
        <v>98</v>
      </c>
      <c r="N11" s="196" t="s">
        <v>30</v>
      </c>
      <c r="O11" s="196" t="s">
        <v>97</v>
      </c>
      <c r="Q11" s="195">
        <v>6</v>
      </c>
      <c r="R11" s="195">
        <v>13</v>
      </c>
      <c r="S11" s="195">
        <v>15</v>
      </c>
      <c r="T11" s="195">
        <v>10</v>
      </c>
      <c r="U11" s="195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6" t="s">
        <v>13</v>
      </c>
      <c r="AD11" s="202">
        <v>43</v>
      </c>
      <c r="AE11" s="202">
        <v>19</v>
      </c>
      <c r="AF11" s="202">
        <v>0</v>
      </c>
      <c r="AG11" s="202">
        <v>12</v>
      </c>
      <c r="AH11" s="202">
        <v>16</v>
      </c>
      <c r="AI11" s="5"/>
      <c r="AJ11" s="136" t="s">
        <v>13</v>
      </c>
      <c r="AK11" s="202">
        <v>43</v>
      </c>
      <c r="AL11" s="202">
        <v>19</v>
      </c>
      <c r="AM11" s="202">
        <v>0</v>
      </c>
      <c r="AN11" s="202">
        <v>12</v>
      </c>
      <c r="AO11" s="202">
        <v>16</v>
      </c>
    </row>
    <row r="12" spans="1:41" ht="15.9" customHeight="1">
      <c r="A12" s="202" t="s">
        <v>29</v>
      </c>
      <c r="B12" s="136" t="s">
        <v>29</v>
      </c>
      <c r="C12" s="202">
        <v>47</v>
      </c>
      <c r="D12" s="202">
        <v>24</v>
      </c>
      <c r="E12" s="202">
        <v>0</v>
      </c>
      <c r="F12" s="202">
        <v>12</v>
      </c>
      <c r="G12" s="202">
        <v>16</v>
      </c>
      <c r="H12" s="136">
        <v>8</v>
      </c>
      <c r="I12" s="82"/>
      <c r="J12" s="23">
        <v>8</v>
      </c>
      <c r="K12" s="196" t="s">
        <v>13</v>
      </c>
      <c r="L12" s="196" t="s">
        <v>31</v>
      </c>
      <c r="M12" s="196" t="s">
        <v>95</v>
      </c>
      <c r="N12" s="196" t="s">
        <v>97</v>
      </c>
      <c r="O12" s="196" t="s">
        <v>97</v>
      </c>
      <c r="Q12" s="195">
        <v>5</v>
      </c>
      <c r="R12" s="195">
        <v>7</v>
      </c>
      <c r="S12" s="195">
        <v>17</v>
      </c>
      <c r="T12" s="195">
        <v>6</v>
      </c>
      <c r="U12" s="195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6" t="s">
        <v>97</v>
      </c>
      <c r="AD12" s="202">
        <v>43</v>
      </c>
      <c r="AE12" s="202">
        <v>20</v>
      </c>
      <c r="AF12" s="202">
        <v>0</v>
      </c>
      <c r="AG12" s="202">
        <v>12</v>
      </c>
      <c r="AH12" s="202">
        <v>16</v>
      </c>
      <c r="AI12" s="5"/>
      <c r="AJ12" s="136" t="s">
        <v>97</v>
      </c>
      <c r="AK12" s="202">
        <v>43</v>
      </c>
      <c r="AL12" s="202">
        <v>20</v>
      </c>
      <c r="AM12" s="202">
        <v>0</v>
      </c>
      <c r="AN12" s="202">
        <v>12</v>
      </c>
      <c r="AO12" s="202">
        <v>16</v>
      </c>
    </row>
    <row r="13" spans="1:41" ht="15.9" customHeight="1">
      <c r="A13" s="202" t="s">
        <v>28</v>
      </c>
      <c r="B13" s="136" t="s">
        <v>28</v>
      </c>
      <c r="C13" s="202">
        <v>4</v>
      </c>
      <c r="D13" s="202">
        <v>5</v>
      </c>
      <c r="E13" s="202">
        <v>0</v>
      </c>
      <c r="F13" s="202">
        <v>21</v>
      </c>
      <c r="G13" s="202">
        <v>27</v>
      </c>
      <c r="H13" s="136">
        <v>9</v>
      </c>
      <c r="I13" s="82"/>
      <c r="J13" s="195">
        <v>9</v>
      </c>
      <c r="K13" s="196" t="s">
        <v>29</v>
      </c>
      <c r="L13" s="196" t="s">
        <v>88</v>
      </c>
      <c r="M13" s="196" t="s">
        <v>98</v>
      </c>
      <c r="N13" s="196" t="s">
        <v>88</v>
      </c>
      <c r="O13" s="196" t="s">
        <v>15</v>
      </c>
      <c r="Q13" s="195">
        <v>8</v>
      </c>
      <c r="R13" s="195">
        <v>19</v>
      </c>
      <c r="S13" s="195">
        <v>15</v>
      </c>
      <c r="T13" s="195">
        <v>19</v>
      </c>
      <c r="U13" s="195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6" t="s">
        <v>31</v>
      </c>
      <c r="AD13" s="202">
        <v>47</v>
      </c>
      <c r="AE13" s="202">
        <v>20</v>
      </c>
      <c r="AF13" s="202">
        <v>0</v>
      </c>
      <c r="AG13" s="202">
        <v>12</v>
      </c>
      <c r="AH13" s="202">
        <v>16</v>
      </c>
      <c r="AI13" s="5"/>
      <c r="AJ13" s="136" t="s">
        <v>31</v>
      </c>
      <c r="AK13" s="202">
        <v>47</v>
      </c>
      <c r="AL13" s="202">
        <v>20</v>
      </c>
      <c r="AM13" s="202">
        <v>0</v>
      </c>
      <c r="AN13" s="202">
        <v>12</v>
      </c>
      <c r="AO13" s="202">
        <v>16</v>
      </c>
    </row>
    <row r="14" spans="1:41" ht="15.9" customHeight="1">
      <c r="A14" s="202" t="s">
        <v>30</v>
      </c>
      <c r="B14" s="136" t="s">
        <v>30</v>
      </c>
      <c r="C14" s="202">
        <v>4</v>
      </c>
      <c r="D14" s="202">
        <v>7</v>
      </c>
      <c r="E14" s="202">
        <v>0</v>
      </c>
      <c r="F14" s="202">
        <v>21</v>
      </c>
      <c r="G14" s="202">
        <v>27</v>
      </c>
      <c r="H14" s="136">
        <v>10</v>
      </c>
      <c r="I14" s="82"/>
      <c r="J14" s="23">
        <v>10</v>
      </c>
      <c r="K14" s="196" t="s">
        <v>28</v>
      </c>
      <c r="L14" s="196" t="s">
        <v>98</v>
      </c>
      <c r="M14" s="196" t="s">
        <v>83</v>
      </c>
      <c r="N14" s="196" t="s">
        <v>15</v>
      </c>
      <c r="O14" s="196" t="s">
        <v>29</v>
      </c>
      <c r="Q14" s="195">
        <v>9</v>
      </c>
      <c r="R14" s="195">
        <v>15</v>
      </c>
      <c r="S14" s="195">
        <v>16</v>
      </c>
      <c r="T14" s="195">
        <v>2</v>
      </c>
      <c r="U14" s="195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6" t="s">
        <v>29</v>
      </c>
      <c r="AD14" s="202">
        <v>47</v>
      </c>
      <c r="AE14" s="202">
        <v>20</v>
      </c>
      <c r="AF14" s="202">
        <v>0</v>
      </c>
      <c r="AG14" s="202">
        <v>12</v>
      </c>
      <c r="AH14" s="202">
        <v>16</v>
      </c>
      <c r="AI14" s="5"/>
      <c r="AJ14" s="136" t="s">
        <v>29</v>
      </c>
      <c r="AK14" s="202">
        <v>47</v>
      </c>
      <c r="AL14" s="202">
        <v>20</v>
      </c>
      <c r="AM14" s="202">
        <v>0</v>
      </c>
      <c r="AN14" s="202">
        <v>12</v>
      </c>
      <c r="AO14" s="202">
        <v>16</v>
      </c>
    </row>
    <row r="15" spans="1:41" ht="15.9" customHeight="1">
      <c r="A15" s="203" t="s">
        <v>79</v>
      </c>
      <c r="B15" s="201" t="s">
        <v>311</v>
      </c>
      <c r="C15" s="203">
        <v>0</v>
      </c>
      <c r="D15" s="203">
        <v>4</v>
      </c>
      <c r="E15" s="203">
        <v>5</v>
      </c>
      <c r="F15" s="203">
        <v>5</v>
      </c>
      <c r="G15" s="203">
        <v>0</v>
      </c>
      <c r="H15" s="201">
        <v>11</v>
      </c>
      <c r="I15" s="82"/>
      <c r="J15" s="195">
        <v>11</v>
      </c>
      <c r="K15" s="196" t="s">
        <v>31</v>
      </c>
      <c r="L15" s="196" t="s">
        <v>13</v>
      </c>
      <c r="M15" s="196" t="s">
        <v>82</v>
      </c>
      <c r="N15" s="196" t="s">
        <v>31</v>
      </c>
      <c r="O15" s="196" t="s">
        <v>29</v>
      </c>
      <c r="Q15" s="195">
        <v>7</v>
      </c>
      <c r="R15" s="195">
        <v>5</v>
      </c>
      <c r="S15" s="195">
        <v>14</v>
      </c>
      <c r="T15" s="195">
        <v>7</v>
      </c>
      <c r="U15" s="195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6" t="s">
        <v>28</v>
      </c>
      <c r="AD15" s="202">
        <v>4</v>
      </c>
      <c r="AE15" s="202">
        <v>11</v>
      </c>
      <c r="AF15" s="202">
        <v>0</v>
      </c>
      <c r="AG15" s="202">
        <v>21</v>
      </c>
      <c r="AH15" s="202">
        <v>27</v>
      </c>
      <c r="AI15" s="5"/>
      <c r="AJ15" s="136" t="s">
        <v>28</v>
      </c>
      <c r="AK15" s="202">
        <v>4</v>
      </c>
      <c r="AL15" s="202">
        <v>11</v>
      </c>
      <c r="AM15" s="202">
        <v>0</v>
      </c>
      <c r="AN15" s="202">
        <v>21</v>
      </c>
      <c r="AO15" s="202">
        <v>27</v>
      </c>
    </row>
    <row r="16" spans="1:41" ht="15.9" customHeight="1">
      <c r="A16" s="203" t="s">
        <v>80</v>
      </c>
      <c r="B16" s="201" t="s">
        <v>312</v>
      </c>
      <c r="C16" s="203">
        <v>0</v>
      </c>
      <c r="D16" s="203">
        <v>4</v>
      </c>
      <c r="E16" s="203">
        <v>5</v>
      </c>
      <c r="F16" s="203">
        <v>5</v>
      </c>
      <c r="G16" s="203">
        <v>0</v>
      </c>
      <c r="H16" s="201">
        <v>12</v>
      </c>
      <c r="I16" s="82"/>
      <c r="J16" s="23">
        <v>12</v>
      </c>
      <c r="K16" s="196" t="s">
        <v>28</v>
      </c>
      <c r="L16" s="196" t="s">
        <v>13</v>
      </c>
      <c r="M16" s="196" t="s">
        <v>95</v>
      </c>
      <c r="N16" s="196" t="s">
        <v>83</v>
      </c>
      <c r="O16" s="196" t="s">
        <v>28</v>
      </c>
      <c r="Q16" s="195">
        <v>9</v>
      </c>
      <c r="R16" s="195">
        <v>5</v>
      </c>
      <c r="S16" s="195">
        <v>17</v>
      </c>
      <c r="T16" s="195">
        <v>16</v>
      </c>
      <c r="U16" s="195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6" t="s">
        <v>30</v>
      </c>
      <c r="AD16" s="202">
        <v>4</v>
      </c>
      <c r="AE16" s="202">
        <v>11</v>
      </c>
      <c r="AF16" s="202">
        <v>0</v>
      </c>
      <c r="AG16" s="202">
        <v>21</v>
      </c>
      <c r="AH16" s="202">
        <v>27</v>
      </c>
      <c r="AI16" s="5"/>
      <c r="AJ16" s="136" t="s">
        <v>30</v>
      </c>
      <c r="AK16" s="202">
        <v>4</v>
      </c>
      <c r="AL16" s="202">
        <v>11</v>
      </c>
      <c r="AM16" s="202">
        <v>0</v>
      </c>
      <c r="AN16" s="202">
        <v>21</v>
      </c>
      <c r="AO16" s="202">
        <v>27</v>
      </c>
    </row>
    <row r="17" spans="1:41" ht="15.9" customHeight="1">
      <c r="A17" s="203" t="s">
        <v>81</v>
      </c>
      <c r="B17" s="201" t="s">
        <v>313</v>
      </c>
      <c r="C17" s="203">
        <v>0</v>
      </c>
      <c r="D17" s="203">
        <v>4</v>
      </c>
      <c r="E17" s="203">
        <v>5</v>
      </c>
      <c r="F17" s="203">
        <v>5</v>
      </c>
      <c r="G17" s="203">
        <v>0</v>
      </c>
      <c r="H17" s="201">
        <v>13</v>
      </c>
      <c r="I17" s="82"/>
      <c r="J17" s="195">
        <v>13</v>
      </c>
      <c r="K17" s="196" t="s">
        <v>29</v>
      </c>
      <c r="L17" s="196" t="s">
        <v>28</v>
      </c>
      <c r="M17" s="196" t="s">
        <v>98</v>
      </c>
      <c r="N17" s="196" t="s">
        <v>29</v>
      </c>
      <c r="O17" s="196" t="s">
        <v>16</v>
      </c>
      <c r="Q17" s="195">
        <v>8</v>
      </c>
      <c r="R17" s="195">
        <v>9</v>
      </c>
      <c r="S17" s="195">
        <v>15</v>
      </c>
      <c r="T17" s="195">
        <v>8</v>
      </c>
      <c r="U17" s="195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201" t="s">
        <v>79</v>
      </c>
      <c r="AD17" s="203">
        <v>0</v>
      </c>
      <c r="AE17" s="203">
        <v>7</v>
      </c>
      <c r="AF17" s="203">
        <v>7</v>
      </c>
      <c r="AG17" s="203">
        <v>9</v>
      </c>
      <c r="AH17" s="203">
        <v>0</v>
      </c>
      <c r="AI17" s="5"/>
      <c r="AJ17" s="201" t="s">
        <v>79</v>
      </c>
      <c r="AK17" s="203">
        <v>0</v>
      </c>
      <c r="AL17" s="203">
        <v>7</v>
      </c>
      <c r="AM17" s="203">
        <v>7</v>
      </c>
      <c r="AN17" s="203">
        <v>9</v>
      </c>
      <c r="AO17" s="203">
        <v>0</v>
      </c>
    </row>
    <row r="18" spans="1:41" ht="15.9" customHeight="1">
      <c r="A18" s="203" t="s">
        <v>82</v>
      </c>
      <c r="B18" s="201" t="s">
        <v>314</v>
      </c>
      <c r="C18" s="203">
        <v>0</v>
      </c>
      <c r="D18" s="203">
        <v>15</v>
      </c>
      <c r="E18" s="203">
        <v>44</v>
      </c>
      <c r="F18" s="203">
        <v>3</v>
      </c>
      <c r="G18" s="203">
        <v>0</v>
      </c>
      <c r="H18" s="201">
        <v>14</v>
      </c>
      <c r="I18" s="82"/>
      <c r="J18" s="23">
        <v>14</v>
      </c>
      <c r="K18" s="196" t="s">
        <v>31</v>
      </c>
      <c r="L18" s="196" t="s">
        <v>83</v>
      </c>
      <c r="M18" s="196" t="s">
        <v>82</v>
      </c>
      <c r="N18" s="196" t="s">
        <v>31</v>
      </c>
      <c r="O18" s="196" t="s">
        <v>30</v>
      </c>
      <c r="Q18" s="195">
        <v>7</v>
      </c>
      <c r="R18" s="195">
        <v>16</v>
      </c>
      <c r="S18" s="195">
        <v>14</v>
      </c>
      <c r="T18" s="195">
        <v>7</v>
      </c>
      <c r="U18" s="195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201" t="s">
        <v>80</v>
      </c>
      <c r="AD18" s="203">
        <v>0</v>
      </c>
      <c r="AE18" s="203">
        <v>9</v>
      </c>
      <c r="AF18" s="203">
        <v>7</v>
      </c>
      <c r="AG18" s="203">
        <v>9</v>
      </c>
      <c r="AH18" s="203">
        <v>0</v>
      </c>
      <c r="AI18" s="5"/>
      <c r="AJ18" s="201" t="s">
        <v>80</v>
      </c>
      <c r="AK18" s="203">
        <v>0</v>
      </c>
      <c r="AL18" s="203">
        <v>9</v>
      </c>
      <c r="AM18" s="203">
        <v>7</v>
      </c>
      <c r="AN18" s="203">
        <v>9</v>
      </c>
      <c r="AO18" s="203">
        <v>0</v>
      </c>
    </row>
    <row r="19" spans="1:41" ht="15.9" customHeight="1">
      <c r="A19" s="203" t="s">
        <v>98</v>
      </c>
      <c r="B19" s="201" t="s">
        <v>315</v>
      </c>
      <c r="C19" s="203">
        <v>0</v>
      </c>
      <c r="D19" s="203">
        <v>16</v>
      </c>
      <c r="E19" s="203">
        <v>44</v>
      </c>
      <c r="F19" s="203">
        <v>3</v>
      </c>
      <c r="G19" s="203">
        <v>0</v>
      </c>
      <c r="H19" s="201">
        <v>15</v>
      </c>
      <c r="I19" s="82"/>
      <c r="J19" s="195">
        <v>15</v>
      </c>
      <c r="K19" s="196" t="s">
        <v>31</v>
      </c>
      <c r="L19" s="196" t="s">
        <v>88</v>
      </c>
      <c r="M19" s="196" t="s">
        <v>83</v>
      </c>
      <c r="N19" s="196" t="s">
        <v>31</v>
      </c>
      <c r="O19" s="196" t="s">
        <v>97</v>
      </c>
      <c r="Q19" s="195">
        <v>7</v>
      </c>
      <c r="R19" s="195">
        <v>19</v>
      </c>
      <c r="S19" s="195">
        <v>16</v>
      </c>
      <c r="T19" s="195">
        <v>7</v>
      </c>
      <c r="U19" s="195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201" t="s">
        <v>81</v>
      </c>
      <c r="AD19" s="203">
        <v>0</v>
      </c>
      <c r="AE19" s="203">
        <v>9</v>
      </c>
      <c r="AF19" s="203">
        <v>7</v>
      </c>
      <c r="AG19" s="203">
        <v>9</v>
      </c>
      <c r="AH19" s="203">
        <v>0</v>
      </c>
      <c r="AI19" s="5"/>
      <c r="AJ19" s="201" t="s">
        <v>81</v>
      </c>
      <c r="AK19" s="203">
        <v>0</v>
      </c>
      <c r="AL19" s="203">
        <v>9</v>
      </c>
      <c r="AM19" s="203">
        <v>7</v>
      </c>
      <c r="AN19" s="203">
        <v>9</v>
      </c>
      <c r="AO19" s="203">
        <v>0</v>
      </c>
    </row>
    <row r="20" spans="1:41" ht="15.9" customHeight="1">
      <c r="A20" s="203" t="s">
        <v>83</v>
      </c>
      <c r="B20" s="201" t="s">
        <v>316</v>
      </c>
      <c r="C20" s="203">
        <v>0</v>
      </c>
      <c r="D20" s="203">
        <v>15</v>
      </c>
      <c r="E20" s="203">
        <v>44</v>
      </c>
      <c r="F20" s="203">
        <v>3</v>
      </c>
      <c r="G20" s="203">
        <v>0</v>
      </c>
      <c r="H20" s="201">
        <v>16</v>
      </c>
      <c r="I20" s="82"/>
      <c r="J20" s="23">
        <v>16</v>
      </c>
      <c r="K20" s="196" t="s">
        <v>31</v>
      </c>
      <c r="L20" s="196" t="s">
        <v>16</v>
      </c>
      <c r="M20" s="196" t="s">
        <v>86</v>
      </c>
      <c r="N20" s="196" t="s">
        <v>80</v>
      </c>
      <c r="O20" s="196" t="s">
        <v>15</v>
      </c>
      <c r="Q20" s="195">
        <v>7</v>
      </c>
      <c r="R20" s="195">
        <v>3</v>
      </c>
      <c r="S20" s="195">
        <v>18</v>
      </c>
      <c r="T20" s="195">
        <v>12</v>
      </c>
      <c r="U20" s="195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201" t="s">
        <v>82</v>
      </c>
      <c r="AD20" s="203">
        <v>0</v>
      </c>
      <c r="AE20" s="203">
        <v>15</v>
      </c>
      <c r="AF20" s="203">
        <v>66</v>
      </c>
      <c r="AG20" s="203">
        <v>6</v>
      </c>
      <c r="AH20" s="203">
        <v>0</v>
      </c>
      <c r="AI20" s="5"/>
      <c r="AJ20" s="201" t="s">
        <v>82</v>
      </c>
      <c r="AK20" s="203">
        <v>0</v>
      </c>
      <c r="AL20" s="203">
        <v>15</v>
      </c>
      <c r="AM20" s="203">
        <v>66</v>
      </c>
      <c r="AN20" s="203">
        <v>6</v>
      </c>
      <c r="AO20" s="203">
        <v>0</v>
      </c>
    </row>
    <row r="21" spans="1:41" ht="15.9" customHeight="1">
      <c r="A21" s="203" t="s">
        <v>95</v>
      </c>
      <c r="B21" s="201" t="s">
        <v>317</v>
      </c>
      <c r="C21" s="203">
        <v>0</v>
      </c>
      <c r="D21" s="203">
        <v>14</v>
      </c>
      <c r="E21" s="203">
        <v>44</v>
      </c>
      <c r="F21" s="203">
        <v>3</v>
      </c>
      <c r="G21" s="203">
        <v>0</v>
      </c>
      <c r="H21" s="201">
        <v>17</v>
      </c>
      <c r="I21" s="82"/>
      <c r="J21" s="195">
        <v>17</v>
      </c>
      <c r="K21" s="196" t="s">
        <v>29</v>
      </c>
      <c r="L21" s="196" t="s">
        <v>98</v>
      </c>
      <c r="M21" s="196" t="s">
        <v>83</v>
      </c>
      <c r="N21" s="196" t="s">
        <v>95</v>
      </c>
      <c r="O21" s="196" t="s">
        <v>31</v>
      </c>
      <c r="Q21" s="195">
        <v>8</v>
      </c>
      <c r="R21" s="195">
        <v>15</v>
      </c>
      <c r="S21" s="195">
        <v>16</v>
      </c>
      <c r="T21" s="195">
        <v>17</v>
      </c>
      <c r="U21" s="195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201" t="s">
        <v>98</v>
      </c>
      <c r="AD21" s="203">
        <v>0</v>
      </c>
      <c r="AE21" s="203">
        <v>15</v>
      </c>
      <c r="AF21" s="203">
        <v>66</v>
      </c>
      <c r="AG21" s="203">
        <v>6</v>
      </c>
      <c r="AH21" s="203">
        <v>0</v>
      </c>
      <c r="AI21" s="5"/>
      <c r="AJ21" s="201" t="s">
        <v>98</v>
      </c>
      <c r="AK21" s="203">
        <v>0</v>
      </c>
      <c r="AL21" s="203">
        <v>15</v>
      </c>
      <c r="AM21" s="203">
        <v>66</v>
      </c>
      <c r="AN21" s="203">
        <v>6</v>
      </c>
      <c r="AO21" s="203">
        <v>0</v>
      </c>
    </row>
    <row r="22" spans="1:41" ht="15.9" customHeight="1">
      <c r="A22" s="203" t="s">
        <v>86</v>
      </c>
      <c r="B22" s="201" t="s">
        <v>318</v>
      </c>
      <c r="C22" s="203">
        <v>0</v>
      </c>
      <c r="D22" s="203">
        <v>5</v>
      </c>
      <c r="E22" s="203">
        <v>5</v>
      </c>
      <c r="F22" s="203">
        <v>4</v>
      </c>
      <c r="G22" s="203">
        <v>0</v>
      </c>
      <c r="H22" s="201">
        <v>18</v>
      </c>
      <c r="I22" s="82"/>
      <c r="J22" s="23">
        <v>18</v>
      </c>
      <c r="K22" s="196" t="s">
        <v>97</v>
      </c>
      <c r="L22" s="196" t="s">
        <v>97</v>
      </c>
      <c r="M22" s="196" t="s">
        <v>98</v>
      </c>
      <c r="N22" s="196" t="s">
        <v>28</v>
      </c>
      <c r="O22" s="196" t="s">
        <v>30</v>
      </c>
      <c r="Q22" s="195">
        <v>6</v>
      </c>
      <c r="R22" s="195">
        <v>6</v>
      </c>
      <c r="S22" s="195">
        <v>15</v>
      </c>
      <c r="T22" s="195">
        <v>9</v>
      </c>
      <c r="U22" s="195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201" t="s">
        <v>83</v>
      </c>
      <c r="AD22" s="203">
        <v>0</v>
      </c>
      <c r="AE22" s="203">
        <v>15</v>
      </c>
      <c r="AF22" s="203">
        <v>66</v>
      </c>
      <c r="AG22" s="203">
        <v>6</v>
      </c>
      <c r="AH22" s="203">
        <v>0</v>
      </c>
      <c r="AI22" s="5"/>
      <c r="AJ22" s="201" t="s">
        <v>83</v>
      </c>
      <c r="AK22" s="203">
        <v>0</v>
      </c>
      <c r="AL22" s="203">
        <v>15</v>
      </c>
      <c r="AM22" s="203">
        <v>66</v>
      </c>
      <c r="AN22" s="203">
        <v>6</v>
      </c>
      <c r="AO22" s="203">
        <v>0</v>
      </c>
    </row>
    <row r="23" spans="1:41" ht="15.9" customHeight="1">
      <c r="A23" s="203" t="s">
        <v>88</v>
      </c>
      <c r="B23" s="201" t="s">
        <v>319</v>
      </c>
      <c r="C23" s="203">
        <v>0</v>
      </c>
      <c r="D23" s="203">
        <v>3</v>
      </c>
      <c r="E23" s="203">
        <v>4</v>
      </c>
      <c r="F23" s="203">
        <v>4</v>
      </c>
      <c r="G23" s="203">
        <v>0</v>
      </c>
      <c r="H23" s="201">
        <v>19</v>
      </c>
      <c r="I23" s="82"/>
      <c r="J23" s="195">
        <v>19</v>
      </c>
      <c r="K23" s="196" t="s">
        <v>13</v>
      </c>
      <c r="L23" s="196" t="s">
        <v>31</v>
      </c>
      <c r="M23" s="196" t="s">
        <v>95</v>
      </c>
      <c r="N23" s="196" t="s">
        <v>28</v>
      </c>
      <c r="O23" s="196" t="s">
        <v>15</v>
      </c>
      <c r="Q23" s="195">
        <v>5</v>
      </c>
      <c r="R23" s="195">
        <v>7</v>
      </c>
      <c r="S23" s="195">
        <v>17</v>
      </c>
      <c r="T23" s="195">
        <v>9</v>
      </c>
      <c r="U23" s="195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201" t="s">
        <v>95</v>
      </c>
      <c r="AD23" s="203">
        <v>0</v>
      </c>
      <c r="AE23" s="203">
        <v>15</v>
      </c>
      <c r="AF23" s="203">
        <v>66</v>
      </c>
      <c r="AG23" s="203">
        <v>6</v>
      </c>
      <c r="AH23" s="203">
        <v>0</v>
      </c>
      <c r="AI23" s="5"/>
      <c r="AJ23" s="201" t="s">
        <v>95</v>
      </c>
      <c r="AK23" s="203">
        <v>0</v>
      </c>
      <c r="AL23" s="203">
        <v>15</v>
      </c>
      <c r="AM23" s="203">
        <v>66</v>
      </c>
      <c r="AN23" s="203">
        <v>6</v>
      </c>
      <c r="AO23" s="203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6" t="s">
        <v>97</v>
      </c>
      <c r="L24" s="196" t="s">
        <v>95</v>
      </c>
      <c r="M24" s="196" t="s">
        <v>82</v>
      </c>
      <c r="N24" s="196" t="s">
        <v>12</v>
      </c>
      <c r="O24" s="196" t="s">
        <v>28</v>
      </c>
      <c r="Q24" s="195">
        <v>6</v>
      </c>
      <c r="R24" s="195">
        <v>17</v>
      </c>
      <c r="S24" s="195">
        <v>14</v>
      </c>
      <c r="T24" s="195">
        <v>4</v>
      </c>
      <c r="U24" s="195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201" t="s">
        <v>86</v>
      </c>
      <c r="AD24" s="203">
        <v>0</v>
      </c>
      <c r="AE24" s="203">
        <v>9</v>
      </c>
      <c r="AF24" s="203">
        <v>7</v>
      </c>
      <c r="AG24" s="203">
        <v>7</v>
      </c>
      <c r="AH24" s="203">
        <v>0</v>
      </c>
      <c r="AI24" s="5"/>
      <c r="AJ24" s="201" t="s">
        <v>86</v>
      </c>
      <c r="AK24" s="203">
        <v>0</v>
      </c>
      <c r="AL24" s="203">
        <v>9</v>
      </c>
      <c r="AM24" s="203">
        <v>7</v>
      </c>
      <c r="AN24" s="203">
        <v>7</v>
      </c>
      <c r="AO24" s="203">
        <v>0</v>
      </c>
    </row>
    <row r="25" spans="1:41" ht="16.5" customHeight="1">
      <c r="I25" s="82"/>
      <c r="J25" s="195">
        <v>21</v>
      </c>
      <c r="K25" s="196" t="s">
        <v>12</v>
      </c>
      <c r="L25" s="196" t="s">
        <v>95</v>
      </c>
      <c r="M25" s="196" t="s">
        <v>95</v>
      </c>
      <c r="N25" s="196" t="s">
        <v>14</v>
      </c>
      <c r="O25" s="196" t="s">
        <v>30</v>
      </c>
      <c r="Q25" s="195">
        <v>4</v>
      </c>
      <c r="R25" s="195">
        <v>17</v>
      </c>
      <c r="S25" s="195">
        <v>17</v>
      </c>
      <c r="T25" s="195">
        <v>1</v>
      </c>
      <c r="U25" s="195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201" t="s">
        <v>88</v>
      </c>
      <c r="AD25" s="203">
        <v>0</v>
      </c>
      <c r="AE25" s="203">
        <v>9</v>
      </c>
      <c r="AF25" s="203">
        <v>6</v>
      </c>
      <c r="AG25" s="203">
        <v>7</v>
      </c>
      <c r="AH25" s="203">
        <v>0</v>
      </c>
      <c r="AI25" s="5"/>
      <c r="AJ25" s="201" t="s">
        <v>88</v>
      </c>
      <c r="AK25" s="203">
        <v>0</v>
      </c>
      <c r="AL25" s="203">
        <v>9</v>
      </c>
      <c r="AM25" s="203">
        <v>6</v>
      </c>
      <c r="AN25" s="203">
        <v>7</v>
      </c>
      <c r="AO25" s="203">
        <v>0</v>
      </c>
    </row>
    <row r="26" spans="1:41" ht="16.5" customHeight="1">
      <c r="B26" s="5" t="s">
        <v>320</v>
      </c>
      <c r="C26" s="5">
        <v>1</v>
      </c>
      <c r="D26" s="158">
        <v>0.6</v>
      </c>
      <c r="E26" s="158">
        <v>0</v>
      </c>
      <c r="F26" s="158">
        <v>0.82499999999999996</v>
      </c>
      <c r="G26" s="5">
        <v>1</v>
      </c>
      <c r="I26" s="82"/>
      <c r="J26" s="23">
        <v>22</v>
      </c>
      <c r="K26" s="196" t="s">
        <v>29</v>
      </c>
      <c r="L26" s="196" t="s">
        <v>97</v>
      </c>
      <c r="M26" s="196" t="s">
        <v>88</v>
      </c>
      <c r="N26" s="196" t="s">
        <v>98</v>
      </c>
      <c r="O26" s="196" t="s">
        <v>12</v>
      </c>
      <c r="Q26" s="195">
        <v>8</v>
      </c>
      <c r="R26" s="195">
        <v>6</v>
      </c>
      <c r="S26" s="195">
        <v>19</v>
      </c>
      <c r="T26" s="195">
        <v>15</v>
      </c>
      <c r="U26" s="195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3">
        <v>200</v>
      </c>
      <c r="AE26" s="103">
        <v>243</v>
      </c>
      <c r="AF26" s="103">
        <v>298</v>
      </c>
      <c r="AG26" s="103">
        <v>230</v>
      </c>
      <c r="AH26" s="103">
        <v>200</v>
      </c>
      <c r="AI26" s="5"/>
      <c r="AK26" s="103">
        <v>200</v>
      </c>
      <c r="AL26" s="103">
        <v>243</v>
      </c>
      <c r="AM26" s="103">
        <v>298</v>
      </c>
      <c r="AN26" s="103">
        <v>230</v>
      </c>
      <c r="AO26" s="103">
        <v>200</v>
      </c>
    </row>
    <row r="27" spans="1:41" ht="16.5" customHeight="1">
      <c r="B27" s="5" t="s">
        <v>321</v>
      </c>
      <c r="C27" s="5">
        <v>0</v>
      </c>
      <c r="D27" s="158">
        <v>0.4</v>
      </c>
      <c r="E27" s="158">
        <v>1</v>
      </c>
      <c r="F27" s="158">
        <v>0.17499999999999999</v>
      </c>
      <c r="G27" s="5">
        <v>0</v>
      </c>
      <c r="I27" s="82"/>
      <c r="J27" s="195">
        <v>23</v>
      </c>
      <c r="K27" s="196" t="s">
        <v>13</v>
      </c>
      <c r="L27" s="196" t="s">
        <v>29</v>
      </c>
      <c r="M27" s="196" t="s">
        <v>82</v>
      </c>
      <c r="N27" s="196" t="s">
        <v>30</v>
      </c>
      <c r="O27" s="196" t="s">
        <v>16</v>
      </c>
      <c r="Q27" s="195">
        <v>5</v>
      </c>
      <c r="R27" s="195">
        <v>8</v>
      </c>
      <c r="S27" s="195">
        <v>14</v>
      </c>
      <c r="T27" s="195">
        <v>10</v>
      </c>
      <c r="U27" s="195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6" t="s">
        <v>97</v>
      </c>
      <c r="L28" s="196" t="s">
        <v>98</v>
      </c>
      <c r="M28" s="196" t="s">
        <v>98</v>
      </c>
      <c r="N28" s="196" t="s">
        <v>29</v>
      </c>
      <c r="O28" s="196" t="s">
        <v>15</v>
      </c>
      <c r="Q28" s="195">
        <v>6</v>
      </c>
      <c r="R28" s="195">
        <v>15</v>
      </c>
      <c r="S28" s="195">
        <v>15</v>
      </c>
      <c r="T28" s="195">
        <v>8</v>
      </c>
      <c r="U28" s="195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308</v>
      </c>
      <c r="AH28" s="5"/>
      <c r="AI28" s="5"/>
      <c r="AJ28" s="25" t="s">
        <v>308</v>
      </c>
      <c r="AO28" s="5"/>
    </row>
    <row r="29" spans="1:41" ht="16.5" customHeight="1">
      <c r="I29" s="82"/>
      <c r="J29" s="195">
        <v>25</v>
      </c>
      <c r="K29" s="196" t="s">
        <v>30</v>
      </c>
      <c r="L29" s="196" t="s">
        <v>16</v>
      </c>
      <c r="M29" s="196" t="s">
        <v>95</v>
      </c>
      <c r="N29" s="196" t="s">
        <v>28</v>
      </c>
      <c r="O29" s="196" t="s">
        <v>12</v>
      </c>
      <c r="Q29" s="195">
        <v>10</v>
      </c>
      <c r="R29" s="195">
        <v>3</v>
      </c>
      <c r="S29" s="195">
        <v>17</v>
      </c>
      <c r="T29" s="195">
        <v>9</v>
      </c>
      <c r="U29" s="195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22" t="s">
        <v>36</v>
      </c>
      <c r="AD29" s="122" t="s">
        <v>7</v>
      </c>
      <c r="AE29" s="122" t="s">
        <v>8</v>
      </c>
      <c r="AF29" s="122" t="s">
        <v>9</v>
      </c>
      <c r="AG29" s="122" t="s">
        <v>10</v>
      </c>
      <c r="AH29" s="122" t="s">
        <v>11</v>
      </c>
      <c r="AI29" s="5"/>
      <c r="AJ29" s="122" t="s">
        <v>36</v>
      </c>
      <c r="AK29" s="122" t="s">
        <v>7</v>
      </c>
      <c r="AL29" s="122" t="s">
        <v>8</v>
      </c>
      <c r="AM29" s="122" t="s">
        <v>9</v>
      </c>
      <c r="AN29" s="122" t="s">
        <v>10</v>
      </c>
      <c r="AO29" s="122" t="s">
        <v>11</v>
      </c>
    </row>
    <row r="30" spans="1:41" ht="16.5" customHeight="1">
      <c r="I30" s="82"/>
      <c r="J30" s="23">
        <v>26</v>
      </c>
      <c r="K30" s="196" t="s">
        <v>97</v>
      </c>
      <c r="L30" s="196" t="s">
        <v>29</v>
      </c>
      <c r="M30" s="196" t="s">
        <v>82</v>
      </c>
      <c r="N30" s="196" t="s">
        <v>97</v>
      </c>
      <c r="O30" s="196" t="s">
        <v>15</v>
      </c>
      <c r="Q30" s="195">
        <v>6</v>
      </c>
      <c r="R30" s="195">
        <v>8</v>
      </c>
      <c r="S30" s="195">
        <v>14</v>
      </c>
      <c r="T30" s="195">
        <v>6</v>
      </c>
      <c r="U30" s="195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201" t="s">
        <v>306</v>
      </c>
      <c r="AD30" s="126">
        <v>0</v>
      </c>
      <c r="AE30" s="126">
        <v>0</v>
      </c>
      <c r="AF30" s="126">
        <v>0</v>
      </c>
      <c r="AG30" s="126">
        <v>0</v>
      </c>
      <c r="AH30" s="126">
        <v>0</v>
      </c>
      <c r="AI30" s="5"/>
      <c r="AJ30" s="201" t="s">
        <v>306</v>
      </c>
      <c r="AK30" s="126">
        <v>0</v>
      </c>
      <c r="AL30" s="126">
        <v>0</v>
      </c>
      <c r="AM30" s="126">
        <v>0</v>
      </c>
      <c r="AN30" s="126">
        <v>0</v>
      </c>
      <c r="AO30" s="126">
        <v>0</v>
      </c>
    </row>
    <row r="31" spans="1:41" ht="16.5" customHeight="1">
      <c r="I31" s="82"/>
      <c r="J31" s="195">
        <v>27</v>
      </c>
      <c r="K31" s="196" t="s">
        <v>15</v>
      </c>
      <c r="L31" s="196" t="s">
        <v>29</v>
      </c>
      <c r="M31" s="196" t="s">
        <v>88</v>
      </c>
      <c r="N31" s="196" t="s">
        <v>15</v>
      </c>
      <c r="O31" s="196" t="s">
        <v>12</v>
      </c>
      <c r="Q31" s="195">
        <v>2</v>
      </c>
      <c r="R31" s="195">
        <v>8</v>
      </c>
      <c r="S31" s="195">
        <v>19</v>
      </c>
      <c r="T31" s="195">
        <v>2</v>
      </c>
      <c r="U31" s="195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201" t="s">
        <v>14</v>
      </c>
      <c r="AD31" s="201">
        <v>0</v>
      </c>
      <c r="AE31" s="201">
        <v>6</v>
      </c>
      <c r="AF31" s="201">
        <v>0</v>
      </c>
      <c r="AG31" s="201">
        <v>9</v>
      </c>
      <c r="AH31" s="201">
        <v>0</v>
      </c>
      <c r="AI31" s="5"/>
      <c r="AJ31" s="201" t="s">
        <v>14</v>
      </c>
      <c r="AK31" s="201">
        <v>0</v>
      </c>
      <c r="AL31" s="201">
        <v>6</v>
      </c>
      <c r="AM31" s="201">
        <v>0</v>
      </c>
      <c r="AN31" s="201">
        <v>9</v>
      </c>
      <c r="AO31" s="201">
        <v>0</v>
      </c>
    </row>
    <row r="32" spans="1:41" ht="16.5" customHeight="1">
      <c r="J32" s="23">
        <v>28</v>
      </c>
      <c r="K32" s="196" t="s">
        <v>97</v>
      </c>
      <c r="L32" s="196" t="s">
        <v>83</v>
      </c>
      <c r="M32" s="196" t="s">
        <v>83</v>
      </c>
      <c r="N32" s="196" t="s">
        <v>14</v>
      </c>
      <c r="O32" s="196" t="s">
        <v>15</v>
      </c>
      <c r="Q32" s="195">
        <v>6</v>
      </c>
      <c r="R32" s="195">
        <v>16</v>
      </c>
      <c r="S32" s="195">
        <v>16</v>
      </c>
      <c r="T32" s="195">
        <v>1</v>
      </c>
      <c r="U32" s="195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6" t="s">
        <v>15</v>
      </c>
      <c r="AD32" s="202">
        <v>4</v>
      </c>
      <c r="AE32" s="202">
        <v>11</v>
      </c>
      <c r="AF32" s="202">
        <v>0</v>
      </c>
      <c r="AG32" s="202">
        <v>22</v>
      </c>
      <c r="AH32" s="202">
        <v>28</v>
      </c>
      <c r="AI32" s="5"/>
      <c r="AJ32" s="136" t="s">
        <v>15</v>
      </c>
      <c r="AK32" s="202">
        <v>4</v>
      </c>
      <c r="AL32" s="202">
        <v>11</v>
      </c>
      <c r="AM32" s="202">
        <v>0</v>
      </c>
      <c r="AN32" s="202">
        <v>22</v>
      </c>
      <c r="AO32" s="202">
        <v>28</v>
      </c>
    </row>
    <row r="33" spans="10:41" ht="16.5" customHeight="1">
      <c r="J33" s="195">
        <v>29</v>
      </c>
      <c r="K33" s="196" t="s">
        <v>97</v>
      </c>
      <c r="L33" s="196" t="s">
        <v>83</v>
      </c>
      <c r="M33" s="196" t="s">
        <v>82</v>
      </c>
      <c r="N33" s="196" t="s">
        <v>12</v>
      </c>
      <c r="O33" s="196" t="s">
        <v>16</v>
      </c>
      <c r="Q33" s="195">
        <v>6</v>
      </c>
      <c r="R33" s="195">
        <v>16</v>
      </c>
      <c r="S33" s="195">
        <v>14</v>
      </c>
      <c r="T33" s="195">
        <v>4</v>
      </c>
      <c r="U33" s="195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6" t="s">
        <v>16</v>
      </c>
      <c r="AD33" s="202">
        <v>4</v>
      </c>
      <c r="AE33" s="202">
        <v>11</v>
      </c>
      <c r="AF33" s="202">
        <v>0</v>
      </c>
      <c r="AG33" s="202">
        <v>22</v>
      </c>
      <c r="AH33" s="202">
        <v>27</v>
      </c>
      <c r="AI33" s="5"/>
      <c r="AJ33" s="136" t="s">
        <v>16</v>
      </c>
      <c r="AK33" s="202">
        <v>4</v>
      </c>
      <c r="AL33" s="202">
        <v>11</v>
      </c>
      <c r="AM33" s="202">
        <v>0</v>
      </c>
      <c r="AN33" s="202">
        <v>22</v>
      </c>
      <c r="AO33" s="202">
        <v>27</v>
      </c>
    </row>
    <row r="34" spans="10:41" ht="16.5" customHeight="1">
      <c r="J34" s="23">
        <v>30</v>
      </c>
      <c r="K34" s="196" t="s">
        <v>97</v>
      </c>
      <c r="L34" s="196" t="s">
        <v>16</v>
      </c>
      <c r="M34" s="196" t="s">
        <v>81</v>
      </c>
      <c r="N34" s="196" t="s">
        <v>79</v>
      </c>
      <c r="O34" s="196" t="s">
        <v>15</v>
      </c>
      <c r="Q34" s="195">
        <v>6</v>
      </c>
      <c r="R34" s="195">
        <v>3</v>
      </c>
      <c r="S34" s="195">
        <v>13</v>
      </c>
      <c r="T34" s="195">
        <v>11</v>
      </c>
      <c r="U34" s="195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6" t="s">
        <v>12</v>
      </c>
      <c r="AD34" s="202">
        <v>4</v>
      </c>
      <c r="AE34" s="202">
        <v>11</v>
      </c>
      <c r="AF34" s="202">
        <v>0</v>
      </c>
      <c r="AG34" s="202">
        <v>22</v>
      </c>
      <c r="AH34" s="202">
        <v>27</v>
      </c>
      <c r="AI34" s="5"/>
      <c r="AJ34" s="136" t="s">
        <v>12</v>
      </c>
      <c r="AK34" s="202">
        <v>4</v>
      </c>
      <c r="AL34" s="202">
        <v>11</v>
      </c>
      <c r="AM34" s="202">
        <v>0</v>
      </c>
      <c r="AN34" s="202">
        <v>22</v>
      </c>
      <c r="AO34" s="202">
        <v>27</v>
      </c>
    </row>
    <row r="35" spans="10:41" ht="16.5" customHeight="1">
      <c r="J35" s="195">
        <v>31</v>
      </c>
      <c r="K35" s="196" t="s">
        <v>29</v>
      </c>
      <c r="L35" s="196" t="s">
        <v>29</v>
      </c>
      <c r="M35" s="196" t="s">
        <v>82</v>
      </c>
      <c r="N35" s="196" t="s">
        <v>31</v>
      </c>
      <c r="O35" s="196" t="s">
        <v>15</v>
      </c>
      <c r="Q35" s="195">
        <v>8</v>
      </c>
      <c r="R35" s="195">
        <v>8</v>
      </c>
      <c r="S35" s="195">
        <v>14</v>
      </c>
      <c r="T35" s="195">
        <v>7</v>
      </c>
      <c r="U35" s="195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6" t="s">
        <v>13</v>
      </c>
      <c r="AD35" s="202">
        <v>43</v>
      </c>
      <c r="AE35" s="202">
        <v>19</v>
      </c>
      <c r="AF35" s="202">
        <v>0</v>
      </c>
      <c r="AG35" s="202">
        <v>12</v>
      </c>
      <c r="AH35" s="202">
        <v>16</v>
      </c>
      <c r="AI35" s="5"/>
      <c r="AJ35" s="136" t="s">
        <v>13</v>
      </c>
      <c r="AK35" s="202">
        <v>43</v>
      </c>
      <c r="AL35" s="202">
        <v>19</v>
      </c>
      <c r="AM35" s="202">
        <v>0</v>
      </c>
      <c r="AN35" s="202">
        <v>12</v>
      </c>
      <c r="AO35" s="202">
        <v>16</v>
      </c>
    </row>
    <row r="36" spans="10:41" ht="16.5" customHeight="1">
      <c r="J36" s="23">
        <v>32</v>
      </c>
      <c r="K36" s="196" t="s">
        <v>31</v>
      </c>
      <c r="L36" s="196" t="s">
        <v>88</v>
      </c>
      <c r="M36" s="196" t="s">
        <v>98</v>
      </c>
      <c r="N36" s="196" t="s">
        <v>12</v>
      </c>
      <c r="O36" s="196" t="s">
        <v>28</v>
      </c>
      <c r="Q36" s="195">
        <v>7</v>
      </c>
      <c r="R36" s="195">
        <v>19</v>
      </c>
      <c r="S36" s="195">
        <v>15</v>
      </c>
      <c r="T36" s="195">
        <v>4</v>
      </c>
      <c r="U36" s="195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6" t="s">
        <v>97</v>
      </c>
      <c r="AD36" s="202">
        <v>43</v>
      </c>
      <c r="AE36" s="202">
        <v>20</v>
      </c>
      <c r="AF36" s="202">
        <v>0</v>
      </c>
      <c r="AG36" s="202">
        <v>12</v>
      </c>
      <c r="AH36" s="202">
        <v>16</v>
      </c>
      <c r="AI36" s="5"/>
      <c r="AJ36" s="136" t="s">
        <v>97</v>
      </c>
      <c r="AK36" s="202">
        <v>43</v>
      </c>
      <c r="AL36" s="202">
        <v>20</v>
      </c>
      <c r="AM36" s="202">
        <v>0</v>
      </c>
      <c r="AN36" s="202">
        <v>12</v>
      </c>
      <c r="AO36" s="202">
        <v>16</v>
      </c>
    </row>
    <row r="37" spans="10:41" ht="16.5" customHeight="1">
      <c r="J37" s="195">
        <v>33</v>
      </c>
      <c r="K37" s="196" t="s">
        <v>97</v>
      </c>
      <c r="L37" s="196" t="s">
        <v>29</v>
      </c>
      <c r="M37" s="196" t="s">
        <v>95</v>
      </c>
      <c r="N37" s="196" t="s">
        <v>95</v>
      </c>
      <c r="O37" s="196" t="s">
        <v>30</v>
      </c>
      <c r="Q37" s="195">
        <v>6</v>
      </c>
      <c r="R37" s="195">
        <v>8</v>
      </c>
      <c r="S37" s="195">
        <v>17</v>
      </c>
      <c r="T37" s="195">
        <v>17</v>
      </c>
      <c r="U37" s="195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6" t="s">
        <v>31</v>
      </c>
      <c r="AD37" s="202">
        <v>47</v>
      </c>
      <c r="AE37" s="202">
        <v>20</v>
      </c>
      <c r="AF37" s="202">
        <v>0</v>
      </c>
      <c r="AG37" s="202">
        <v>12</v>
      </c>
      <c r="AH37" s="202">
        <v>16</v>
      </c>
      <c r="AI37" s="5"/>
      <c r="AJ37" s="136" t="s">
        <v>31</v>
      </c>
      <c r="AK37" s="202">
        <v>47</v>
      </c>
      <c r="AL37" s="202">
        <v>20</v>
      </c>
      <c r="AM37" s="202">
        <v>0</v>
      </c>
      <c r="AN37" s="202">
        <v>12</v>
      </c>
      <c r="AO37" s="202">
        <v>16</v>
      </c>
    </row>
    <row r="38" spans="10:41" ht="16.5" customHeight="1">
      <c r="J38" s="23">
        <v>34</v>
      </c>
      <c r="K38" s="196" t="s">
        <v>13</v>
      </c>
      <c r="L38" s="196" t="s">
        <v>82</v>
      </c>
      <c r="M38" s="196" t="s">
        <v>83</v>
      </c>
      <c r="N38" s="196" t="s">
        <v>15</v>
      </c>
      <c r="O38" s="196" t="s">
        <v>29</v>
      </c>
      <c r="Q38" s="195">
        <v>5</v>
      </c>
      <c r="R38" s="195">
        <v>14</v>
      </c>
      <c r="S38" s="195">
        <v>16</v>
      </c>
      <c r="T38" s="195">
        <v>2</v>
      </c>
      <c r="U38" s="195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6" t="s">
        <v>29</v>
      </c>
      <c r="AD38" s="202">
        <v>47</v>
      </c>
      <c r="AE38" s="202">
        <v>20</v>
      </c>
      <c r="AF38" s="202">
        <v>0</v>
      </c>
      <c r="AG38" s="202">
        <v>12</v>
      </c>
      <c r="AH38" s="202">
        <v>16</v>
      </c>
      <c r="AI38" s="5"/>
      <c r="AJ38" s="136" t="s">
        <v>29</v>
      </c>
      <c r="AK38" s="202">
        <v>47</v>
      </c>
      <c r="AL38" s="202">
        <v>20</v>
      </c>
      <c r="AM38" s="202">
        <v>0</v>
      </c>
      <c r="AN38" s="202">
        <v>12</v>
      </c>
      <c r="AO38" s="202">
        <v>16</v>
      </c>
    </row>
    <row r="39" spans="10:41" ht="16.5" customHeight="1">
      <c r="J39" s="195">
        <v>35</v>
      </c>
      <c r="K39" s="196" t="s">
        <v>29</v>
      </c>
      <c r="L39" s="196" t="s">
        <v>12</v>
      </c>
      <c r="M39" s="196" t="s">
        <v>98</v>
      </c>
      <c r="N39" s="196" t="s">
        <v>13</v>
      </c>
      <c r="O39" s="196" t="s">
        <v>13</v>
      </c>
      <c r="Q39" s="195">
        <v>8</v>
      </c>
      <c r="R39" s="195">
        <v>4</v>
      </c>
      <c r="S39" s="195">
        <v>15</v>
      </c>
      <c r="T39" s="195">
        <v>5</v>
      </c>
      <c r="U39" s="195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6" t="s">
        <v>28</v>
      </c>
      <c r="AD39" s="202">
        <v>4</v>
      </c>
      <c r="AE39" s="202">
        <v>11</v>
      </c>
      <c r="AF39" s="202">
        <v>0</v>
      </c>
      <c r="AG39" s="202">
        <v>21</v>
      </c>
      <c r="AH39" s="202">
        <v>27</v>
      </c>
      <c r="AI39" s="5"/>
      <c r="AJ39" s="136" t="s">
        <v>28</v>
      </c>
      <c r="AK39" s="202">
        <v>4</v>
      </c>
      <c r="AL39" s="202">
        <v>11</v>
      </c>
      <c r="AM39" s="202">
        <v>0</v>
      </c>
      <c r="AN39" s="202">
        <v>21</v>
      </c>
      <c r="AO39" s="202">
        <v>27</v>
      </c>
    </row>
    <row r="40" spans="10:41" ht="16.5" customHeight="1">
      <c r="J40" s="23">
        <v>36</v>
      </c>
      <c r="K40" s="196" t="s">
        <v>13</v>
      </c>
      <c r="L40" s="196" t="s">
        <v>12</v>
      </c>
      <c r="M40" s="196" t="s">
        <v>82</v>
      </c>
      <c r="N40" s="196" t="s">
        <v>13</v>
      </c>
      <c r="O40" s="196" t="s">
        <v>12</v>
      </c>
      <c r="Q40" s="195">
        <v>5</v>
      </c>
      <c r="R40" s="195">
        <v>4</v>
      </c>
      <c r="S40" s="195">
        <v>14</v>
      </c>
      <c r="T40" s="195">
        <v>5</v>
      </c>
      <c r="U40" s="195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6" t="s">
        <v>30</v>
      </c>
      <c r="AD40" s="202">
        <v>4</v>
      </c>
      <c r="AE40" s="202">
        <v>11</v>
      </c>
      <c r="AF40" s="202">
        <v>0</v>
      </c>
      <c r="AG40" s="202">
        <v>21</v>
      </c>
      <c r="AH40" s="202">
        <v>27</v>
      </c>
      <c r="AI40" s="5"/>
      <c r="AJ40" s="136" t="s">
        <v>30</v>
      </c>
      <c r="AK40" s="202">
        <v>4</v>
      </c>
      <c r="AL40" s="202">
        <v>11</v>
      </c>
      <c r="AM40" s="202">
        <v>0</v>
      </c>
      <c r="AN40" s="202">
        <v>21</v>
      </c>
      <c r="AO40" s="202">
        <v>27</v>
      </c>
    </row>
    <row r="41" spans="10:41" ht="16.5" customHeight="1">
      <c r="J41" s="195">
        <v>37</v>
      </c>
      <c r="K41" s="196" t="s">
        <v>97</v>
      </c>
      <c r="L41" s="196" t="s">
        <v>98</v>
      </c>
      <c r="M41" s="196" t="s">
        <v>95</v>
      </c>
      <c r="N41" s="196" t="s">
        <v>79</v>
      </c>
      <c r="O41" s="196" t="s">
        <v>13</v>
      </c>
      <c r="Q41" s="195">
        <v>6</v>
      </c>
      <c r="R41" s="195">
        <v>15</v>
      </c>
      <c r="S41" s="195">
        <v>17</v>
      </c>
      <c r="T41" s="195">
        <v>11</v>
      </c>
      <c r="U41" s="195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201" t="s">
        <v>79</v>
      </c>
      <c r="AD41" s="203">
        <v>0</v>
      </c>
      <c r="AE41" s="203">
        <v>7</v>
      </c>
      <c r="AF41" s="203">
        <v>7</v>
      </c>
      <c r="AG41" s="203">
        <v>9</v>
      </c>
      <c r="AH41" s="203">
        <v>0</v>
      </c>
      <c r="AI41" s="5"/>
      <c r="AJ41" s="201" t="s">
        <v>79</v>
      </c>
      <c r="AK41" s="203">
        <v>0</v>
      </c>
      <c r="AL41" s="203">
        <v>7</v>
      </c>
      <c r="AM41" s="203">
        <v>7</v>
      </c>
      <c r="AN41" s="203">
        <v>9</v>
      </c>
      <c r="AO41" s="203">
        <v>0</v>
      </c>
    </row>
    <row r="42" spans="10:41" ht="16.5" customHeight="1">
      <c r="J42" s="23">
        <v>38</v>
      </c>
      <c r="K42" s="196" t="s">
        <v>13</v>
      </c>
      <c r="L42" s="196" t="s">
        <v>83</v>
      </c>
      <c r="M42" s="196" t="s">
        <v>83</v>
      </c>
      <c r="N42" s="196" t="s">
        <v>28</v>
      </c>
      <c r="O42" s="196" t="s">
        <v>16</v>
      </c>
      <c r="Q42" s="195">
        <v>5</v>
      </c>
      <c r="R42" s="195">
        <v>16</v>
      </c>
      <c r="S42" s="195">
        <v>16</v>
      </c>
      <c r="T42" s="195">
        <v>9</v>
      </c>
      <c r="U42" s="195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201" t="s">
        <v>80</v>
      </c>
      <c r="AD42" s="203">
        <v>0</v>
      </c>
      <c r="AE42" s="203">
        <v>9</v>
      </c>
      <c r="AF42" s="203">
        <v>7</v>
      </c>
      <c r="AG42" s="203">
        <v>9</v>
      </c>
      <c r="AH42" s="203">
        <v>0</v>
      </c>
      <c r="AI42" s="5"/>
      <c r="AJ42" s="201" t="s">
        <v>80</v>
      </c>
      <c r="AK42" s="203">
        <v>0</v>
      </c>
      <c r="AL42" s="203">
        <v>9</v>
      </c>
      <c r="AM42" s="203">
        <v>7</v>
      </c>
      <c r="AN42" s="203">
        <v>9</v>
      </c>
      <c r="AO42" s="203">
        <v>0</v>
      </c>
    </row>
    <row r="43" spans="10:41" ht="16.5" customHeight="1">
      <c r="J43" s="195">
        <v>39</v>
      </c>
      <c r="K43" s="196" t="s">
        <v>13</v>
      </c>
      <c r="L43" s="196" t="s">
        <v>13</v>
      </c>
      <c r="M43" s="196" t="s">
        <v>79</v>
      </c>
      <c r="N43" s="196" t="s">
        <v>16</v>
      </c>
      <c r="O43" s="196" t="s">
        <v>16</v>
      </c>
      <c r="Q43" s="195">
        <v>5</v>
      </c>
      <c r="R43" s="195">
        <v>5</v>
      </c>
      <c r="S43" s="195">
        <v>11</v>
      </c>
      <c r="T43" s="195">
        <v>3</v>
      </c>
      <c r="U43" s="195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201" t="s">
        <v>81</v>
      </c>
      <c r="AD43" s="203">
        <v>0</v>
      </c>
      <c r="AE43" s="203">
        <v>9</v>
      </c>
      <c r="AF43" s="203">
        <v>7</v>
      </c>
      <c r="AG43" s="203">
        <v>9</v>
      </c>
      <c r="AH43" s="203">
        <v>0</v>
      </c>
      <c r="AI43" s="5"/>
      <c r="AJ43" s="201" t="s">
        <v>81</v>
      </c>
      <c r="AK43" s="203">
        <v>0</v>
      </c>
      <c r="AL43" s="203">
        <v>9</v>
      </c>
      <c r="AM43" s="203">
        <v>7</v>
      </c>
      <c r="AN43" s="203">
        <v>9</v>
      </c>
      <c r="AO43" s="203">
        <v>0</v>
      </c>
    </row>
    <row r="44" spans="10:41" ht="16.5" customHeight="1">
      <c r="J44" s="23">
        <v>40</v>
      </c>
      <c r="K44" s="196" t="s">
        <v>13</v>
      </c>
      <c r="L44" s="196" t="s">
        <v>79</v>
      </c>
      <c r="M44" s="196" t="s">
        <v>83</v>
      </c>
      <c r="N44" s="196" t="s">
        <v>82</v>
      </c>
      <c r="O44" s="196" t="s">
        <v>28</v>
      </c>
      <c r="Q44" s="195">
        <v>5</v>
      </c>
      <c r="R44" s="195">
        <v>11</v>
      </c>
      <c r="S44" s="195">
        <v>16</v>
      </c>
      <c r="T44" s="195">
        <v>14</v>
      </c>
      <c r="U44" s="195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201" t="s">
        <v>82</v>
      </c>
      <c r="AD44" s="203">
        <v>0</v>
      </c>
      <c r="AE44" s="203">
        <v>15</v>
      </c>
      <c r="AF44" s="203">
        <v>66</v>
      </c>
      <c r="AG44" s="203">
        <v>6</v>
      </c>
      <c r="AH44" s="203">
        <v>0</v>
      </c>
      <c r="AI44" s="5"/>
      <c r="AJ44" s="201" t="s">
        <v>82</v>
      </c>
      <c r="AK44" s="203">
        <v>0</v>
      </c>
      <c r="AL44" s="203">
        <v>15</v>
      </c>
      <c r="AM44" s="203">
        <v>66</v>
      </c>
      <c r="AN44" s="203">
        <v>6</v>
      </c>
      <c r="AO44" s="203">
        <v>0</v>
      </c>
    </row>
    <row r="45" spans="10:41" ht="16.5" customHeight="1">
      <c r="J45" s="195">
        <v>41</v>
      </c>
      <c r="K45" s="196" t="s">
        <v>97</v>
      </c>
      <c r="L45" s="196" t="s">
        <v>31</v>
      </c>
      <c r="M45" s="196" t="s">
        <v>95</v>
      </c>
      <c r="N45" s="196" t="s">
        <v>86</v>
      </c>
      <c r="O45" s="196" t="s">
        <v>29</v>
      </c>
      <c r="Q45" s="195">
        <v>6</v>
      </c>
      <c r="R45" s="195">
        <v>7</v>
      </c>
      <c r="S45" s="195">
        <v>17</v>
      </c>
      <c r="T45" s="195">
        <v>18</v>
      </c>
      <c r="U45" s="195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201" t="s">
        <v>98</v>
      </c>
      <c r="AD45" s="203">
        <v>0</v>
      </c>
      <c r="AE45" s="203">
        <v>15</v>
      </c>
      <c r="AF45" s="203">
        <v>66</v>
      </c>
      <c r="AG45" s="203">
        <v>6</v>
      </c>
      <c r="AH45" s="203">
        <v>0</v>
      </c>
      <c r="AI45" s="5"/>
      <c r="AJ45" s="201" t="s">
        <v>98</v>
      </c>
      <c r="AK45" s="203">
        <v>0</v>
      </c>
      <c r="AL45" s="203">
        <v>15</v>
      </c>
      <c r="AM45" s="203">
        <v>66</v>
      </c>
      <c r="AN45" s="203">
        <v>6</v>
      </c>
      <c r="AO45" s="203">
        <v>0</v>
      </c>
    </row>
    <row r="46" spans="10:41" ht="16.5" customHeight="1">
      <c r="J46" s="23">
        <v>42</v>
      </c>
      <c r="K46" s="196" t="s">
        <v>31</v>
      </c>
      <c r="L46" s="196" t="s">
        <v>13</v>
      </c>
      <c r="M46" s="196" t="s">
        <v>82</v>
      </c>
      <c r="N46" s="196" t="s">
        <v>29</v>
      </c>
      <c r="O46" s="196" t="s">
        <v>29</v>
      </c>
      <c r="Q46" s="195">
        <v>7</v>
      </c>
      <c r="R46" s="195">
        <v>5</v>
      </c>
      <c r="S46" s="195">
        <v>14</v>
      </c>
      <c r="T46" s="195">
        <v>8</v>
      </c>
      <c r="U46" s="195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201" t="s">
        <v>83</v>
      </c>
      <c r="AD46" s="203">
        <v>0</v>
      </c>
      <c r="AE46" s="203">
        <v>15</v>
      </c>
      <c r="AF46" s="203">
        <v>66</v>
      </c>
      <c r="AG46" s="203">
        <v>6</v>
      </c>
      <c r="AH46" s="203">
        <v>0</v>
      </c>
      <c r="AI46" s="5"/>
      <c r="AJ46" s="201" t="s">
        <v>83</v>
      </c>
      <c r="AK46" s="203">
        <v>0</v>
      </c>
      <c r="AL46" s="203">
        <v>15</v>
      </c>
      <c r="AM46" s="203">
        <v>66</v>
      </c>
      <c r="AN46" s="203">
        <v>6</v>
      </c>
      <c r="AO46" s="203">
        <v>0</v>
      </c>
    </row>
    <row r="47" spans="10:41" ht="16.5" customHeight="1">
      <c r="J47" s="195">
        <v>43</v>
      </c>
      <c r="K47" s="196" t="s">
        <v>13</v>
      </c>
      <c r="L47" s="196" t="s">
        <v>95</v>
      </c>
      <c r="M47" s="196" t="s">
        <v>83</v>
      </c>
      <c r="N47" s="196" t="s">
        <v>30</v>
      </c>
      <c r="O47" s="196" t="s">
        <v>13</v>
      </c>
      <c r="Q47" s="195">
        <v>5</v>
      </c>
      <c r="R47" s="195">
        <v>17</v>
      </c>
      <c r="S47" s="195">
        <v>16</v>
      </c>
      <c r="T47" s="195">
        <v>10</v>
      </c>
      <c r="U47" s="195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201" t="s">
        <v>95</v>
      </c>
      <c r="AD47" s="203">
        <v>0</v>
      </c>
      <c r="AE47" s="203">
        <v>15</v>
      </c>
      <c r="AF47" s="203">
        <v>66</v>
      </c>
      <c r="AG47" s="203">
        <v>6</v>
      </c>
      <c r="AH47" s="203">
        <v>0</v>
      </c>
      <c r="AI47" s="5"/>
      <c r="AJ47" s="201" t="s">
        <v>95</v>
      </c>
      <c r="AK47" s="203">
        <v>0</v>
      </c>
      <c r="AL47" s="203">
        <v>15</v>
      </c>
      <c r="AM47" s="203">
        <v>66</v>
      </c>
      <c r="AN47" s="203">
        <v>6</v>
      </c>
      <c r="AO47" s="203">
        <v>0</v>
      </c>
    </row>
    <row r="48" spans="10:41" ht="16.5" customHeight="1">
      <c r="J48" s="23">
        <v>44</v>
      </c>
      <c r="K48" s="196" t="s">
        <v>97</v>
      </c>
      <c r="L48" s="196" t="s">
        <v>14</v>
      </c>
      <c r="M48" s="196" t="s">
        <v>98</v>
      </c>
      <c r="N48" s="196" t="s">
        <v>97</v>
      </c>
      <c r="O48" s="196" t="s">
        <v>15</v>
      </c>
      <c r="Q48" s="195">
        <v>6</v>
      </c>
      <c r="R48" s="195">
        <v>1</v>
      </c>
      <c r="S48" s="195">
        <v>15</v>
      </c>
      <c r="T48" s="195">
        <v>6</v>
      </c>
      <c r="U48" s="195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201" t="s">
        <v>86</v>
      </c>
      <c r="AD48" s="203">
        <v>0</v>
      </c>
      <c r="AE48" s="203">
        <v>9</v>
      </c>
      <c r="AF48" s="203">
        <v>7</v>
      </c>
      <c r="AG48" s="203">
        <v>7</v>
      </c>
      <c r="AH48" s="203">
        <v>0</v>
      </c>
      <c r="AI48" s="5"/>
      <c r="AJ48" s="201" t="s">
        <v>86</v>
      </c>
      <c r="AK48" s="203">
        <v>0</v>
      </c>
      <c r="AL48" s="203">
        <v>9</v>
      </c>
      <c r="AM48" s="203">
        <v>7</v>
      </c>
      <c r="AN48" s="203">
        <v>7</v>
      </c>
      <c r="AO48" s="203">
        <v>0</v>
      </c>
    </row>
    <row r="49" spans="10:41" ht="16.5" customHeight="1">
      <c r="J49" s="195">
        <v>45</v>
      </c>
      <c r="K49" s="196" t="s">
        <v>13</v>
      </c>
      <c r="L49" s="196" t="s">
        <v>98</v>
      </c>
      <c r="M49" s="196" t="s">
        <v>95</v>
      </c>
      <c r="N49" s="196" t="s">
        <v>97</v>
      </c>
      <c r="O49" s="196" t="s">
        <v>16</v>
      </c>
      <c r="Q49" s="195">
        <v>5</v>
      </c>
      <c r="R49" s="195">
        <v>15</v>
      </c>
      <c r="S49" s="195">
        <v>17</v>
      </c>
      <c r="T49" s="195">
        <v>6</v>
      </c>
      <c r="U49" s="195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201" t="s">
        <v>88</v>
      </c>
      <c r="AD49" s="203">
        <v>0</v>
      </c>
      <c r="AE49" s="203">
        <v>9</v>
      </c>
      <c r="AF49" s="203">
        <v>6</v>
      </c>
      <c r="AG49" s="203">
        <v>7</v>
      </c>
      <c r="AH49" s="203">
        <v>0</v>
      </c>
      <c r="AI49" s="5"/>
      <c r="AJ49" s="201" t="s">
        <v>88</v>
      </c>
      <c r="AK49" s="203">
        <v>0</v>
      </c>
      <c r="AL49" s="203">
        <v>9</v>
      </c>
      <c r="AM49" s="203">
        <v>6</v>
      </c>
      <c r="AN49" s="203">
        <v>7</v>
      </c>
      <c r="AO49" s="203">
        <v>0</v>
      </c>
    </row>
    <row r="50" spans="10:41" ht="16.5" customHeight="1">
      <c r="J50" s="23">
        <v>46</v>
      </c>
      <c r="K50" s="196" t="s">
        <v>12</v>
      </c>
      <c r="L50" s="196" t="s">
        <v>97</v>
      </c>
      <c r="M50" s="196" t="s">
        <v>82</v>
      </c>
      <c r="N50" s="196" t="s">
        <v>16</v>
      </c>
      <c r="O50" s="196" t="s">
        <v>31</v>
      </c>
      <c r="Q50" s="195">
        <v>4</v>
      </c>
      <c r="R50" s="195">
        <v>6</v>
      </c>
      <c r="S50" s="195">
        <v>14</v>
      </c>
      <c r="T50" s="195">
        <v>3</v>
      </c>
      <c r="U50" s="195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3">
        <v>200</v>
      </c>
      <c r="AE50" s="103">
        <v>243</v>
      </c>
      <c r="AF50" s="103">
        <v>298</v>
      </c>
      <c r="AG50" s="103">
        <v>230</v>
      </c>
      <c r="AH50" s="103">
        <v>200</v>
      </c>
      <c r="AI50" s="5"/>
      <c r="AK50" s="103">
        <v>200</v>
      </c>
      <c r="AL50" s="103">
        <v>243</v>
      </c>
      <c r="AM50" s="103">
        <v>298</v>
      </c>
      <c r="AN50" s="103">
        <v>230</v>
      </c>
      <c r="AO50" s="103">
        <v>200</v>
      </c>
    </row>
    <row r="51" spans="10:41" ht="16.5" customHeight="1">
      <c r="J51" s="195">
        <v>47</v>
      </c>
      <c r="K51" s="196" t="s">
        <v>13</v>
      </c>
      <c r="L51" s="196" t="s">
        <v>31</v>
      </c>
      <c r="M51" s="196" t="s">
        <v>95</v>
      </c>
      <c r="N51" s="196" t="s">
        <v>28</v>
      </c>
      <c r="O51" s="196" t="s">
        <v>31</v>
      </c>
      <c r="Q51" s="195">
        <v>5</v>
      </c>
      <c r="R51" s="195">
        <v>7</v>
      </c>
      <c r="S51" s="195">
        <v>17</v>
      </c>
      <c r="T51" s="195">
        <v>9</v>
      </c>
      <c r="U51" s="195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6" t="s">
        <v>97</v>
      </c>
      <c r="L52" s="196" t="s">
        <v>31</v>
      </c>
      <c r="M52" s="196" t="s">
        <v>83</v>
      </c>
      <c r="N52" s="196" t="s">
        <v>16</v>
      </c>
      <c r="O52" s="196" t="s">
        <v>13</v>
      </c>
      <c r="Q52" s="195">
        <v>6</v>
      </c>
      <c r="R52" s="195">
        <v>7</v>
      </c>
      <c r="S52" s="195">
        <v>16</v>
      </c>
      <c r="T52" s="195">
        <v>3</v>
      </c>
      <c r="U52" s="195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309</v>
      </c>
      <c r="AH52" s="5"/>
      <c r="AI52" s="5"/>
      <c r="AJ52" s="25" t="s">
        <v>309</v>
      </c>
      <c r="AO52" s="5"/>
    </row>
    <row r="53" spans="10:41" ht="16.5" customHeight="1">
      <c r="J53" s="195">
        <v>49</v>
      </c>
      <c r="K53" s="196" t="s">
        <v>29</v>
      </c>
      <c r="L53" s="196" t="s">
        <v>98</v>
      </c>
      <c r="M53" s="196" t="s">
        <v>98</v>
      </c>
      <c r="N53" s="196" t="s">
        <v>97</v>
      </c>
      <c r="O53" s="196" t="s">
        <v>31</v>
      </c>
      <c r="Q53" s="195">
        <v>8</v>
      </c>
      <c r="R53" s="195">
        <v>15</v>
      </c>
      <c r="S53" s="195">
        <v>15</v>
      </c>
      <c r="T53" s="195">
        <v>6</v>
      </c>
      <c r="U53" s="195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22" t="s">
        <v>36</v>
      </c>
      <c r="AD53" s="122" t="s">
        <v>7</v>
      </c>
      <c r="AE53" s="122" t="s">
        <v>8</v>
      </c>
      <c r="AF53" s="122" t="s">
        <v>9</v>
      </c>
      <c r="AG53" s="122" t="s">
        <v>10</v>
      </c>
      <c r="AH53" s="122" t="s">
        <v>11</v>
      </c>
      <c r="AI53" s="5"/>
      <c r="AJ53" s="122" t="s">
        <v>36</v>
      </c>
      <c r="AK53" s="122" t="s">
        <v>7</v>
      </c>
      <c r="AL53" s="122" t="s">
        <v>8</v>
      </c>
      <c r="AM53" s="122" t="s">
        <v>9</v>
      </c>
      <c r="AN53" s="122" t="s">
        <v>10</v>
      </c>
      <c r="AO53" s="122" t="s">
        <v>11</v>
      </c>
    </row>
    <row r="54" spans="10:41" ht="16.5" customHeight="1">
      <c r="J54" s="23">
        <v>50</v>
      </c>
      <c r="K54" s="196" t="s">
        <v>31</v>
      </c>
      <c r="L54" s="196" t="s">
        <v>98</v>
      </c>
      <c r="M54" s="196" t="s">
        <v>81</v>
      </c>
      <c r="N54" s="196" t="s">
        <v>97</v>
      </c>
      <c r="O54" s="196" t="s">
        <v>16</v>
      </c>
      <c r="Q54" s="195">
        <v>7</v>
      </c>
      <c r="R54" s="195">
        <v>15</v>
      </c>
      <c r="S54" s="195">
        <v>13</v>
      </c>
      <c r="T54" s="195">
        <v>6</v>
      </c>
      <c r="U54" s="195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201" t="s">
        <v>306</v>
      </c>
      <c r="AD54" s="126">
        <v>0</v>
      </c>
      <c r="AE54" s="126">
        <v>0</v>
      </c>
      <c r="AF54" s="126">
        <v>0</v>
      </c>
      <c r="AG54" s="126">
        <v>0</v>
      </c>
      <c r="AH54" s="126">
        <v>0</v>
      </c>
      <c r="AI54" s="5"/>
      <c r="AJ54" s="201" t="s">
        <v>306</v>
      </c>
      <c r="AK54" s="126">
        <v>0</v>
      </c>
      <c r="AL54" s="126">
        <v>0</v>
      </c>
      <c r="AM54" s="126">
        <v>0</v>
      </c>
      <c r="AN54" s="126">
        <v>0</v>
      </c>
      <c r="AO54" s="126">
        <v>0</v>
      </c>
    </row>
    <row r="55" spans="10:41" ht="16.5" customHeight="1">
      <c r="J55" s="195">
        <v>51</v>
      </c>
      <c r="K55" s="196" t="s">
        <v>29</v>
      </c>
      <c r="L55" s="196" t="s">
        <v>29</v>
      </c>
      <c r="M55" s="196" t="s">
        <v>98</v>
      </c>
      <c r="N55" s="196" t="s">
        <v>81</v>
      </c>
      <c r="O55" s="196" t="s">
        <v>13</v>
      </c>
      <c r="Q55" s="195">
        <v>8</v>
      </c>
      <c r="R55" s="195">
        <v>8</v>
      </c>
      <c r="S55" s="195">
        <v>15</v>
      </c>
      <c r="T55" s="195">
        <v>13</v>
      </c>
      <c r="U55" s="195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201" t="s">
        <v>14</v>
      </c>
      <c r="AD55" s="201">
        <v>0</v>
      </c>
      <c r="AE55" s="201">
        <v>6</v>
      </c>
      <c r="AF55" s="201">
        <v>0</v>
      </c>
      <c r="AG55" s="201">
        <v>9</v>
      </c>
      <c r="AH55" s="201">
        <v>0</v>
      </c>
      <c r="AI55" s="5"/>
      <c r="AJ55" s="201" t="s">
        <v>14</v>
      </c>
      <c r="AK55" s="201">
        <v>0</v>
      </c>
      <c r="AL55" s="201">
        <v>6</v>
      </c>
      <c r="AM55" s="201">
        <v>0</v>
      </c>
      <c r="AN55" s="201">
        <v>9</v>
      </c>
      <c r="AO55" s="201">
        <v>0</v>
      </c>
    </row>
    <row r="56" spans="10:41" ht="16.5" customHeight="1">
      <c r="J56" s="23">
        <v>52</v>
      </c>
      <c r="K56" s="196" t="s">
        <v>29</v>
      </c>
      <c r="L56" s="196" t="s">
        <v>31</v>
      </c>
      <c r="M56" s="196" t="s">
        <v>82</v>
      </c>
      <c r="N56" s="196" t="s">
        <v>30</v>
      </c>
      <c r="O56" s="196" t="s">
        <v>30</v>
      </c>
      <c r="Q56" s="195">
        <v>8</v>
      </c>
      <c r="R56" s="195">
        <v>7</v>
      </c>
      <c r="S56" s="195">
        <v>14</v>
      </c>
      <c r="T56" s="195">
        <v>10</v>
      </c>
      <c r="U56" s="195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6" t="s">
        <v>15</v>
      </c>
      <c r="AD56" s="202">
        <v>4</v>
      </c>
      <c r="AE56" s="202">
        <v>11</v>
      </c>
      <c r="AF56" s="202">
        <v>0</v>
      </c>
      <c r="AG56" s="202">
        <v>22</v>
      </c>
      <c r="AH56" s="202">
        <v>28</v>
      </c>
      <c r="AI56" s="5"/>
      <c r="AJ56" s="136" t="s">
        <v>15</v>
      </c>
      <c r="AK56" s="202">
        <v>4</v>
      </c>
      <c r="AL56" s="202">
        <v>11</v>
      </c>
      <c r="AM56" s="202">
        <v>0</v>
      </c>
      <c r="AN56" s="202">
        <v>22</v>
      </c>
      <c r="AO56" s="202">
        <v>28</v>
      </c>
    </row>
    <row r="57" spans="10:41" ht="16.5" customHeight="1">
      <c r="J57" s="195">
        <v>53</v>
      </c>
      <c r="K57" s="196" t="s">
        <v>13</v>
      </c>
      <c r="L57" s="196" t="s">
        <v>82</v>
      </c>
      <c r="M57" s="196" t="s">
        <v>98</v>
      </c>
      <c r="N57" s="196" t="s">
        <v>80</v>
      </c>
      <c r="O57" s="196" t="s">
        <v>12</v>
      </c>
      <c r="Q57" s="195">
        <v>5</v>
      </c>
      <c r="R57" s="195">
        <v>14</v>
      </c>
      <c r="S57" s="195">
        <v>15</v>
      </c>
      <c r="T57" s="195">
        <v>12</v>
      </c>
      <c r="U57" s="195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6" t="s">
        <v>16</v>
      </c>
      <c r="AD57" s="202">
        <v>4</v>
      </c>
      <c r="AE57" s="202">
        <v>11</v>
      </c>
      <c r="AF57" s="202">
        <v>0</v>
      </c>
      <c r="AG57" s="202">
        <v>22</v>
      </c>
      <c r="AH57" s="202">
        <v>27</v>
      </c>
      <c r="AI57" s="5"/>
      <c r="AJ57" s="136" t="s">
        <v>16</v>
      </c>
      <c r="AK57" s="202">
        <v>4</v>
      </c>
      <c r="AL57" s="202">
        <v>11</v>
      </c>
      <c r="AM57" s="202">
        <v>0</v>
      </c>
      <c r="AN57" s="202">
        <v>22</v>
      </c>
      <c r="AO57" s="202">
        <v>27</v>
      </c>
    </row>
    <row r="58" spans="10:41" ht="16.5" customHeight="1">
      <c r="J58" s="23">
        <v>54</v>
      </c>
      <c r="K58" s="196" t="s">
        <v>29</v>
      </c>
      <c r="L58" s="196" t="s">
        <v>83</v>
      </c>
      <c r="M58" s="196" t="s">
        <v>83</v>
      </c>
      <c r="N58" s="196" t="s">
        <v>31</v>
      </c>
      <c r="O58" s="196" t="s">
        <v>13</v>
      </c>
      <c r="Q58" s="195">
        <v>8</v>
      </c>
      <c r="R58" s="195">
        <v>16</v>
      </c>
      <c r="S58" s="195">
        <v>16</v>
      </c>
      <c r="T58" s="195">
        <v>7</v>
      </c>
      <c r="U58" s="195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6" t="s">
        <v>12</v>
      </c>
      <c r="AD58" s="202">
        <v>4</v>
      </c>
      <c r="AE58" s="202">
        <v>11</v>
      </c>
      <c r="AF58" s="202">
        <v>0</v>
      </c>
      <c r="AG58" s="202">
        <v>22</v>
      </c>
      <c r="AH58" s="202">
        <v>27</v>
      </c>
      <c r="AI58" s="5"/>
      <c r="AJ58" s="136" t="s">
        <v>12</v>
      </c>
      <c r="AK58" s="202">
        <v>4</v>
      </c>
      <c r="AL58" s="202">
        <v>11</v>
      </c>
      <c r="AM58" s="202">
        <v>0</v>
      </c>
      <c r="AN58" s="202">
        <v>22</v>
      </c>
      <c r="AO58" s="202">
        <v>27</v>
      </c>
    </row>
    <row r="59" spans="10:41" ht="16.5" customHeight="1">
      <c r="J59" s="195">
        <v>55</v>
      </c>
      <c r="K59" s="196" t="s">
        <v>31</v>
      </c>
      <c r="L59" s="196" t="s">
        <v>31</v>
      </c>
      <c r="M59" s="196" t="s">
        <v>98</v>
      </c>
      <c r="N59" s="196" t="s">
        <v>81</v>
      </c>
      <c r="O59" s="196" t="s">
        <v>16</v>
      </c>
      <c r="Q59" s="195">
        <v>7</v>
      </c>
      <c r="R59" s="195">
        <v>7</v>
      </c>
      <c r="S59" s="195">
        <v>15</v>
      </c>
      <c r="T59" s="195">
        <v>13</v>
      </c>
      <c r="U59" s="195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6" t="s">
        <v>13</v>
      </c>
      <c r="AD59" s="202">
        <v>43</v>
      </c>
      <c r="AE59" s="202">
        <v>19</v>
      </c>
      <c r="AF59" s="202">
        <v>0</v>
      </c>
      <c r="AG59" s="202">
        <v>12</v>
      </c>
      <c r="AH59" s="202">
        <v>16</v>
      </c>
      <c r="AI59" s="5"/>
      <c r="AJ59" s="136" t="s">
        <v>13</v>
      </c>
      <c r="AK59" s="202">
        <v>43</v>
      </c>
      <c r="AL59" s="202">
        <v>19</v>
      </c>
      <c r="AM59" s="202">
        <v>0</v>
      </c>
      <c r="AN59" s="202">
        <v>12</v>
      </c>
      <c r="AO59" s="202">
        <v>16</v>
      </c>
    </row>
    <row r="60" spans="10:41" ht="16.5" customHeight="1">
      <c r="J60" s="23">
        <v>56</v>
      </c>
      <c r="K60" s="196" t="s">
        <v>13</v>
      </c>
      <c r="L60" s="196" t="s">
        <v>13</v>
      </c>
      <c r="M60" s="196" t="s">
        <v>79</v>
      </c>
      <c r="N60" s="196" t="s">
        <v>16</v>
      </c>
      <c r="O60" s="196" t="s">
        <v>97</v>
      </c>
      <c r="Q60" s="195">
        <v>5</v>
      </c>
      <c r="R60" s="195">
        <v>5</v>
      </c>
      <c r="S60" s="195">
        <v>11</v>
      </c>
      <c r="T60" s="195">
        <v>3</v>
      </c>
      <c r="U60" s="195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6" t="s">
        <v>97</v>
      </c>
      <c r="AD60" s="202">
        <v>43</v>
      </c>
      <c r="AE60" s="202">
        <v>20</v>
      </c>
      <c r="AF60" s="202">
        <v>0</v>
      </c>
      <c r="AG60" s="202">
        <v>12</v>
      </c>
      <c r="AH60" s="202">
        <v>16</v>
      </c>
      <c r="AI60" s="5"/>
      <c r="AJ60" s="136" t="s">
        <v>97</v>
      </c>
      <c r="AK60" s="202">
        <v>43</v>
      </c>
      <c r="AL60" s="202">
        <v>20</v>
      </c>
      <c r="AM60" s="202">
        <v>0</v>
      </c>
      <c r="AN60" s="202">
        <v>12</v>
      </c>
      <c r="AO60" s="202">
        <v>16</v>
      </c>
    </row>
    <row r="61" spans="10:41">
      <c r="J61" s="195">
        <v>57</v>
      </c>
      <c r="K61" s="196" t="s">
        <v>13</v>
      </c>
      <c r="L61" s="196" t="s">
        <v>98</v>
      </c>
      <c r="M61" s="196" t="s">
        <v>95</v>
      </c>
      <c r="N61" s="196" t="s">
        <v>16</v>
      </c>
      <c r="O61" s="196" t="s">
        <v>97</v>
      </c>
      <c r="Q61" s="195">
        <v>5</v>
      </c>
      <c r="R61" s="195">
        <v>15</v>
      </c>
      <c r="S61" s="195">
        <v>17</v>
      </c>
      <c r="T61" s="195">
        <v>3</v>
      </c>
      <c r="U61" s="195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6" t="s">
        <v>31</v>
      </c>
      <c r="AD61" s="202">
        <v>47</v>
      </c>
      <c r="AE61" s="202">
        <v>20</v>
      </c>
      <c r="AF61" s="202">
        <v>0</v>
      </c>
      <c r="AG61" s="202">
        <v>12</v>
      </c>
      <c r="AH61" s="202">
        <v>16</v>
      </c>
      <c r="AI61" s="5"/>
      <c r="AJ61" s="136" t="s">
        <v>31</v>
      </c>
      <c r="AK61" s="202">
        <v>47</v>
      </c>
      <c r="AL61" s="202">
        <v>20</v>
      </c>
      <c r="AM61" s="202">
        <v>0</v>
      </c>
      <c r="AN61" s="202">
        <v>12</v>
      </c>
      <c r="AO61" s="202">
        <v>16</v>
      </c>
    </row>
    <row r="62" spans="10:41">
      <c r="J62" s="23">
        <v>58</v>
      </c>
      <c r="K62" s="196" t="s">
        <v>13</v>
      </c>
      <c r="L62" s="196" t="s">
        <v>97</v>
      </c>
      <c r="M62" s="196" t="s">
        <v>80</v>
      </c>
      <c r="N62" s="196" t="s">
        <v>16</v>
      </c>
      <c r="O62" s="196" t="s">
        <v>15</v>
      </c>
      <c r="Q62" s="195">
        <v>5</v>
      </c>
      <c r="R62" s="195">
        <v>6</v>
      </c>
      <c r="S62" s="195">
        <v>12</v>
      </c>
      <c r="T62" s="195">
        <v>3</v>
      </c>
      <c r="U62" s="195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6" t="s">
        <v>29</v>
      </c>
      <c r="AD62" s="202">
        <v>47</v>
      </c>
      <c r="AE62" s="202">
        <v>20</v>
      </c>
      <c r="AF62" s="202">
        <v>0</v>
      </c>
      <c r="AG62" s="202">
        <v>12</v>
      </c>
      <c r="AH62" s="202">
        <v>16</v>
      </c>
      <c r="AI62" s="5"/>
      <c r="AJ62" s="136" t="s">
        <v>29</v>
      </c>
      <c r="AK62" s="202">
        <v>47</v>
      </c>
      <c r="AL62" s="202">
        <v>20</v>
      </c>
      <c r="AM62" s="202">
        <v>0</v>
      </c>
      <c r="AN62" s="202">
        <v>12</v>
      </c>
      <c r="AO62" s="202">
        <v>16</v>
      </c>
    </row>
    <row r="63" spans="10:41" ht="16.5" customHeight="1">
      <c r="J63" s="195">
        <v>59</v>
      </c>
      <c r="K63" s="196" t="s">
        <v>31</v>
      </c>
      <c r="L63" s="196" t="s">
        <v>13</v>
      </c>
      <c r="M63" s="196" t="s">
        <v>79</v>
      </c>
      <c r="N63" s="196" t="s">
        <v>82</v>
      </c>
      <c r="O63" s="196" t="s">
        <v>31</v>
      </c>
      <c r="Q63" s="195">
        <v>7</v>
      </c>
      <c r="R63" s="195">
        <v>5</v>
      </c>
      <c r="S63" s="195">
        <v>11</v>
      </c>
      <c r="T63" s="195">
        <v>14</v>
      </c>
      <c r="U63" s="195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6" t="s">
        <v>28</v>
      </c>
      <c r="AD63" s="202">
        <v>4</v>
      </c>
      <c r="AE63" s="202">
        <v>11</v>
      </c>
      <c r="AF63" s="202">
        <v>0</v>
      </c>
      <c r="AG63" s="202">
        <v>21</v>
      </c>
      <c r="AH63" s="202">
        <v>27</v>
      </c>
      <c r="AI63" s="5"/>
      <c r="AJ63" s="136" t="s">
        <v>28</v>
      </c>
      <c r="AK63" s="202">
        <v>4</v>
      </c>
      <c r="AL63" s="202">
        <v>11</v>
      </c>
      <c r="AM63" s="202">
        <v>0</v>
      </c>
      <c r="AN63" s="202">
        <v>21</v>
      </c>
      <c r="AO63" s="202">
        <v>27</v>
      </c>
    </row>
    <row r="64" spans="10:41" ht="16.5" customHeight="1">
      <c r="J64" s="23">
        <v>60</v>
      </c>
      <c r="K64" s="196" t="s">
        <v>13</v>
      </c>
      <c r="L64" s="196" t="s">
        <v>82</v>
      </c>
      <c r="M64" s="196" t="s">
        <v>81</v>
      </c>
      <c r="N64" s="196" t="s">
        <v>15</v>
      </c>
      <c r="O64" s="196" t="s">
        <v>28</v>
      </c>
      <c r="Q64" s="195">
        <v>5</v>
      </c>
      <c r="R64" s="195">
        <v>14</v>
      </c>
      <c r="S64" s="195">
        <v>13</v>
      </c>
      <c r="T64" s="195">
        <v>2</v>
      </c>
      <c r="U64" s="195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6" t="s">
        <v>30</v>
      </c>
      <c r="AD64" s="202">
        <v>4</v>
      </c>
      <c r="AE64" s="202">
        <v>11</v>
      </c>
      <c r="AF64" s="202">
        <v>0</v>
      </c>
      <c r="AG64" s="202">
        <v>21</v>
      </c>
      <c r="AH64" s="202">
        <v>27</v>
      </c>
      <c r="AI64" s="5"/>
      <c r="AJ64" s="136" t="s">
        <v>30</v>
      </c>
      <c r="AK64" s="202">
        <v>4</v>
      </c>
      <c r="AL64" s="202">
        <v>11</v>
      </c>
      <c r="AM64" s="202">
        <v>0</v>
      </c>
      <c r="AN64" s="202">
        <v>21</v>
      </c>
      <c r="AO64" s="202">
        <v>27</v>
      </c>
    </row>
    <row r="65" spans="10:41" ht="16.5" customHeight="1">
      <c r="J65" s="195">
        <v>61</v>
      </c>
      <c r="K65" s="196" t="s">
        <v>31</v>
      </c>
      <c r="L65" s="196" t="s">
        <v>31</v>
      </c>
      <c r="M65" s="196" t="s">
        <v>95</v>
      </c>
      <c r="N65" s="196" t="s">
        <v>97</v>
      </c>
      <c r="O65" s="196" t="s">
        <v>15</v>
      </c>
      <c r="Q65" s="195">
        <v>7</v>
      </c>
      <c r="R65" s="195">
        <v>7</v>
      </c>
      <c r="S65" s="195">
        <v>17</v>
      </c>
      <c r="T65" s="195">
        <v>6</v>
      </c>
      <c r="U65" s="195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201" t="s">
        <v>79</v>
      </c>
      <c r="AD65" s="203">
        <v>0</v>
      </c>
      <c r="AE65" s="203">
        <v>7</v>
      </c>
      <c r="AF65" s="203">
        <v>7</v>
      </c>
      <c r="AG65" s="203">
        <v>9</v>
      </c>
      <c r="AH65" s="203">
        <v>0</v>
      </c>
      <c r="AI65" s="5"/>
      <c r="AJ65" s="201" t="s">
        <v>79</v>
      </c>
      <c r="AK65" s="203">
        <v>0</v>
      </c>
      <c r="AL65" s="203">
        <v>7</v>
      </c>
      <c r="AM65" s="203">
        <v>7</v>
      </c>
      <c r="AN65" s="203">
        <v>9</v>
      </c>
      <c r="AO65" s="203">
        <v>0</v>
      </c>
    </row>
    <row r="66" spans="10:41" ht="16.5" customHeight="1">
      <c r="J66" s="23">
        <v>62</v>
      </c>
      <c r="K66" s="196" t="s">
        <v>29</v>
      </c>
      <c r="L66" s="196" t="s">
        <v>98</v>
      </c>
      <c r="M66" s="196" t="s">
        <v>82</v>
      </c>
      <c r="N66" s="196" t="s">
        <v>15</v>
      </c>
      <c r="O66" s="196" t="s">
        <v>30</v>
      </c>
      <c r="Q66" s="195">
        <v>8</v>
      </c>
      <c r="R66" s="195">
        <v>15</v>
      </c>
      <c r="S66" s="195">
        <v>14</v>
      </c>
      <c r="T66" s="195">
        <v>2</v>
      </c>
      <c r="U66" s="195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201" t="s">
        <v>80</v>
      </c>
      <c r="AD66" s="203">
        <v>0</v>
      </c>
      <c r="AE66" s="203">
        <v>9</v>
      </c>
      <c r="AF66" s="203">
        <v>7</v>
      </c>
      <c r="AG66" s="203">
        <v>9</v>
      </c>
      <c r="AH66" s="203">
        <v>0</v>
      </c>
      <c r="AI66" s="5"/>
      <c r="AJ66" s="201" t="s">
        <v>80</v>
      </c>
      <c r="AK66" s="203">
        <v>0</v>
      </c>
      <c r="AL66" s="203">
        <v>9</v>
      </c>
      <c r="AM66" s="203">
        <v>7</v>
      </c>
      <c r="AN66" s="203">
        <v>9</v>
      </c>
      <c r="AO66" s="203">
        <v>0</v>
      </c>
    </row>
    <row r="67" spans="10:41" ht="16.5" customHeight="1">
      <c r="J67" s="195">
        <v>63</v>
      </c>
      <c r="K67" s="196" t="s">
        <v>13</v>
      </c>
      <c r="L67" s="196" t="s">
        <v>15</v>
      </c>
      <c r="M67" s="196" t="s">
        <v>83</v>
      </c>
      <c r="N67" s="196" t="s">
        <v>86</v>
      </c>
      <c r="O67" s="196" t="s">
        <v>28</v>
      </c>
      <c r="Q67" s="195">
        <v>5</v>
      </c>
      <c r="R67" s="195">
        <v>2</v>
      </c>
      <c r="S67" s="195">
        <v>16</v>
      </c>
      <c r="T67" s="195">
        <v>18</v>
      </c>
      <c r="U67" s="195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201" t="s">
        <v>81</v>
      </c>
      <c r="AD67" s="203">
        <v>0</v>
      </c>
      <c r="AE67" s="203">
        <v>9</v>
      </c>
      <c r="AF67" s="203">
        <v>7</v>
      </c>
      <c r="AG67" s="203">
        <v>9</v>
      </c>
      <c r="AH67" s="203">
        <v>0</v>
      </c>
      <c r="AI67" s="5"/>
      <c r="AJ67" s="201" t="s">
        <v>81</v>
      </c>
      <c r="AK67" s="203">
        <v>0</v>
      </c>
      <c r="AL67" s="203">
        <v>9</v>
      </c>
      <c r="AM67" s="203">
        <v>7</v>
      </c>
      <c r="AN67" s="203">
        <v>9</v>
      </c>
      <c r="AO67" s="203">
        <v>0</v>
      </c>
    </row>
    <row r="68" spans="10:41" ht="16.5" customHeight="1">
      <c r="J68" s="23">
        <v>64</v>
      </c>
      <c r="K68" s="196" t="s">
        <v>16</v>
      </c>
      <c r="L68" s="196" t="s">
        <v>30</v>
      </c>
      <c r="M68" s="196" t="s">
        <v>80</v>
      </c>
      <c r="N68" s="196" t="s">
        <v>28</v>
      </c>
      <c r="O68" s="196" t="s">
        <v>30</v>
      </c>
      <c r="Q68" s="195">
        <v>3</v>
      </c>
      <c r="R68" s="195">
        <v>10</v>
      </c>
      <c r="S68" s="195">
        <v>12</v>
      </c>
      <c r="T68" s="195">
        <v>9</v>
      </c>
      <c r="U68" s="195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201" t="s">
        <v>82</v>
      </c>
      <c r="AD68" s="203">
        <v>0</v>
      </c>
      <c r="AE68" s="203">
        <v>15</v>
      </c>
      <c r="AF68" s="203">
        <v>66</v>
      </c>
      <c r="AG68" s="203">
        <v>6</v>
      </c>
      <c r="AH68" s="203">
        <v>0</v>
      </c>
      <c r="AI68" s="5"/>
      <c r="AJ68" s="201" t="s">
        <v>82</v>
      </c>
      <c r="AK68" s="203">
        <v>0</v>
      </c>
      <c r="AL68" s="203">
        <v>15</v>
      </c>
      <c r="AM68" s="203">
        <v>66</v>
      </c>
      <c r="AN68" s="203">
        <v>6</v>
      </c>
      <c r="AO68" s="203">
        <v>0</v>
      </c>
    </row>
    <row r="69" spans="10:41" ht="16.5" customHeight="1">
      <c r="J69" s="195">
        <v>65</v>
      </c>
      <c r="K69" s="196" t="s">
        <v>30</v>
      </c>
      <c r="L69" s="196" t="s">
        <v>30</v>
      </c>
      <c r="M69" s="196" t="s">
        <v>82</v>
      </c>
      <c r="N69" s="196" t="s">
        <v>16</v>
      </c>
      <c r="O69" s="196" t="s">
        <v>28</v>
      </c>
      <c r="Q69" s="195">
        <v>10</v>
      </c>
      <c r="R69" s="195">
        <v>10</v>
      </c>
      <c r="S69" s="195">
        <v>14</v>
      </c>
      <c r="T69" s="195">
        <v>3</v>
      </c>
      <c r="U69" s="195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201" t="s">
        <v>98</v>
      </c>
      <c r="AD69" s="203">
        <v>0</v>
      </c>
      <c r="AE69" s="203">
        <v>15</v>
      </c>
      <c r="AF69" s="203">
        <v>66</v>
      </c>
      <c r="AG69" s="203">
        <v>6</v>
      </c>
      <c r="AH69" s="203">
        <v>0</v>
      </c>
      <c r="AI69" s="5"/>
      <c r="AJ69" s="201" t="s">
        <v>98</v>
      </c>
      <c r="AK69" s="203">
        <v>0</v>
      </c>
      <c r="AL69" s="203">
        <v>15</v>
      </c>
      <c r="AM69" s="203">
        <v>66</v>
      </c>
      <c r="AN69" s="203">
        <v>6</v>
      </c>
      <c r="AO69" s="203">
        <v>0</v>
      </c>
    </row>
    <row r="70" spans="10:41" ht="16.5" customHeight="1">
      <c r="J70" s="23">
        <v>66</v>
      </c>
      <c r="K70" s="196" t="s">
        <v>29</v>
      </c>
      <c r="L70" s="196" t="s">
        <v>95</v>
      </c>
      <c r="M70" s="196" t="s">
        <v>95</v>
      </c>
      <c r="N70" s="196" t="s">
        <v>81</v>
      </c>
      <c r="O70" s="196" t="s">
        <v>15</v>
      </c>
      <c r="Q70" s="195">
        <v>8</v>
      </c>
      <c r="R70" s="195">
        <v>17</v>
      </c>
      <c r="S70" s="195">
        <v>17</v>
      </c>
      <c r="T70" s="195">
        <v>13</v>
      </c>
      <c r="U70" s="195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201" t="s">
        <v>83</v>
      </c>
      <c r="AD70" s="203">
        <v>0</v>
      </c>
      <c r="AE70" s="203">
        <v>15</v>
      </c>
      <c r="AF70" s="203">
        <v>66</v>
      </c>
      <c r="AG70" s="203">
        <v>6</v>
      </c>
      <c r="AH70" s="203">
        <v>0</v>
      </c>
      <c r="AI70" s="5"/>
      <c r="AJ70" s="201" t="s">
        <v>83</v>
      </c>
      <c r="AK70" s="203">
        <v>0</v>
      </c>
      <c r="AL70" s="203">
        <v>15</v>
      </c>
      <c r="AM70" s="203">
        <v>66</v>
      </c>
      <c r="AN70" s="203">
        <v>6</v>
      </c>
      <c r="AO70" s="203">
        <v>0</v>
      </c>
    </row>
    <row r="71" spans="10:41" ht="16.5" customHeight="1">
      <c r="J71" s="195">
        <v>67</v>
      </c>
      <c r="K71" s="196" t="s">
        <v>29</v>
      </c>
      <c r="L71" s="196" t="s">
        <v>83</v>
      </c>
      <c r="M71" s="196" t="s">
        <v>82</v>
      </c>
      <c r="N71" s="196" t="s">
        <v>14</v>
      </c>
      <c r="O71" s="196" t="s">
        <v>30</v>
      </c>
      <c r="Q71" s="195">
        <v>8</v>
      </c>
      <c r="R71" s="195">
        <v>16</v>
      </c>
      <c r="S71" s="195">
        <v>14</v>
      </c>
      <c r="T71" s="195">
        <v>1</v>
      </c>
      <c r="U71" s="195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201" t="s">
        <v>95</v>
      </c>
      <c r="AD71" s="203">
        <v>0</v>
      </c>
      <c r="AE71" s="203">
        <v>15</v>
      </c>
      <c r="AF71" s="203">
        <v>66</v>
      </c>
      <c r="AG71" s="203">
        <v>6</v>
      </c>
      <c r="AH71" s="203">
        <v>0</v>
      </c>
      <c r="AI71" s="5"/>
      <c r="AJ71" s="201" t="s">
        <v>95</v>
      </c>
      <c r="AK71" s="203">
        <v>0</v>
      </c>
      <c r="AL71" s="203">
        <v>15</v>
      </c>
      <c r="AM71" s="203">
        <v>66</v>
      </c>
      <c r="AN71" s="203">
        <v>6</v>
      </c>
      <c r="AO71" s="203">
        <v>0</v>
      </c>
    </row>
    <row r="72" spans="10:41" ht="16.5" customHeight="1">
      <c r="J72" s="23">
        <v>68</v>
      </c>
      <c r="K72" s="196" t="s">
        <v>28</v>
      </c>
      <c r="L72" s="196" t="s">
        <v>30</v>
      </c>
      <c r="M72" s="196" t="s">
        <v>86</v>
      </c>
      <c r="N72" s="196" t="s">
        <v>16</v>
      </c>
      <c r="O72" s="196" t="s">
        <v>15</v>
      </c>
      <c r="Q72" s="195">
        <v>9</v>
      </c>
      <c r="R72" s="195">
        <v>10</v>
      </c>
      <c r="S72" s="195">
        <v>18</v>
      </c>
      <c r="T72" s="195">
        <v>3</v>
      </c>
      <c r="U72" s="195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201" t="s">
        <v>86</v>
      </c>
      <c r="AD72" s="203">
        <v>0</v>
      </c>
      <c r="AE72" s="203">
        <v>9</v>
      </c>
      <c r="AF72" s="203">
        <v>7</v>
      </c>
      <c r="AG72" s="203">
        <v>7</v>
      </c>
      <c r="AH72" s="203">
        <v>0</v>
      </c>
      <c r="AI72" s="5"/>
      <c r="AJ72" s="201" t="s">
        <v>86</v>
      </c>
      <c r="AK72" s="203">
        <v>0</v>
      </c>
      <c r="AL72" s="203">
        <v>9</v>
      </c>
      <c r="AM72" s="203">
        <v>7</v>
      </c>
      <c r="AN72" s="203">
        <v>7</v>
      </c>
      <c r="AO72" s="203">
        <v>0</v>
      </c>
    </row>
    <row r="73" spans="10:41" ht="16.5" customHeight="1">
      <c r="J73" s="195">
        <v>69</v>
      </c>
      <c r="K73" s="196" t="s">
        <v>15</v>
      </c>
      <c r="L73" s="196" t="s">
        <v>13</v>
      </c>
      <c r="M73" s="196" t="s">
        <v>83</v>
      </c>
      <c r="N73" s="196" t="s">
        <v>15</v>
      </c>
      <c r="O73" s="196" t="s">
        <v>31</v>
      </c>
      <c r="Q73" s="195">
        <v>2</v>
      </c>
      <c r="R73" s="195">
        <v>5</v>
      </c>
      <c r="S73" s="195">
        <v>16</v>
      </c>
      <c r="T73" s="195">
        <v>2</v>
      </c>
      <c r="U73" s="195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201" t="s">
        <v>88</v>
      </c>
      <c r="AD73" s="203">
        <v>0</v>
      </c>
      <c r="AE73" s="203">
        <v>9</v>
      </c>
      <c r="AF73" s="203">
        <v>6</v>
      </c>
      <c r="AG73" s="203">
        <v>7</v>
      </c>
      <c r="AH73" s="203">
        <v>0</v>
      </c>
      <c r="AI73" s="5"/>
      <c r="AJ73" s="201" t="s">
        <v>88</v>
      </c>
      <c r="AK73" s="203">
        <v>0</v>
      </c>
      <c r="AL73" s="203">
        <v>9</v>
      </c>
      <c r="AM73" s="203">
        <v>6</v>
      </c>
      <c r="AN73" s="203">
        <v>7</v>
      </c>
      <c r="AO73" s="203">
        <v>0</v>
      </c>
    </row>
    <row r="74" spans="10:41" ht="16.5" customHeight="1">
      <c r="J74" s="23">
        <v>70</v>
      </c>
      <c r="K74" s="196" t="s">
        <v>13</v>
      </c>
      <c r="L74" s="196" t="s">
        <v>13</v>
      </c>
      <c r="M74" s="196" t="s">
        <v>82</v>
      </c>
      <c r="N74" s="196" t="s">
        <v>31</v>
      </c>
      <c r="O74" s="196" t="s">
        <v>31</v>
      </c>
      <c r="Q74" s="195">
        <v>5</v>
      </c>
      <c r="R74" s="195">
        <v>5</v>
      </c>
      <c r="S74" s="195">
        <v>14</v>
      </c>
      <c r="T74" s="195">
        <v>7</v>
      </c>
      <c r="U74" s="195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3">
        <v>200</v>
      </c>
      <c r="AE74" s="103">
        <v>243</v>
      </c>
      <c r="AF74" s="103">
        <v>298</v>
      </c>
      <c r="AG74" s="103">
        <v>230</v>
      </c>
      <c r="AH74" s="103">
        <v>200</v>
      </c>
      <c r="AI74" s="5"/>
      <c r="AK74" s="103">
        <v>200</v>
      </c>
      <c r="AL74" s="103">
        <v>243</v>
      </c>
      <c r="AM74" s="103">
        <v>298</v>
      </c>
      <c r="AN74" s="103">
        <v>230</v>
      </c>
      <c r="AO74" s="103">
        <v>200</v>
      </c>
    </row>
    <row r="75" spans="10:41" ht="16.5" customHeight="1">
      <c r="J75" s="195">
        <v>71</v>
      </c>
      <c r="K75" s="196" t="s">
        <v>97</v>
      </c>
      <c r="L75" s="196" t="s">
        <v>95</v>
      </c>
      <c r="M75" s="196" t="s">
        <v>83</v>
      </c>
      <c r="N75" s="196" t="s">
        <v>12</v>
      </c>
      <c r="O75" s="196" t="s">
        <v>16</v>
      </c>
      <c r="Q75" s="195">
        <v>6</v>
      </c>
      <c r="R75" s="195">
        <v>17</v>
      </c>
      <c r="S75" s="195">
        <v>16</v>
      </c>
      <c r="T75" s="195">
        <v>4</v>
      </c>
      <c r="U75" s="195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6" t="s">
        <v>29</v>
      </c>
      <c r="L76" s="196" t="s">
        <v>31</v>
      </c>
      <c r="M76" s="196" t="s">
        <v>80</v>
      </c>
      <c r="N76" s="196" t="s">
        <v>15</v>
      </c>
      <c r="O76" s="196" t="s">
        <v>12</v>
      </c>
      <c r="Q76" s="195">
        <v>8</v>
      </c>
      <c r="R76" s="195">
        <v>7</v>
      </c>
      <c r="S76" s="195">
        <v>12</v>
      </c>
      <c r="T76" s="195">
        <v>2</v>
      </c>
      <c r="U76" s="195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5">
        <v>73</v>
      </c>
      <c r="K77" s="196" t="s">
        <v>29</v>
      </c>
      <c r="L77" s="196" t="s">
        <v>81</v>
      </c>
      <c r="M77" s="196" t="s">
        <v>95</v>
      </c>
      <c r="N77" s="196" t="s">
        <v>15</v>
      </c>
      <c r="O77" s="196" t="s">
        <v>97</v>
      </c>
      <c r="Q77" s="195">
        <v>8</v>
      </c>
      <c r="R77" s="195">
        <v>13</v>
      </c>
      <c r="S77" s="195">
        <v>17</v>
      </c>
      <c r="T77" s="195">
        <v>2</v>
      </c>
      <c r="U77" s="195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6" t="s">
        <v>97</v>
      </c>
      <c r="L78" s="196" t="s">
        <v>13</v>
      </c>
      <c r="M78" s="196" t="s">
        <v>82</v>
      </c>
      <c r="N78" s="196" t="s">
        <v>14</v>
      </c>
      <c r="O78" s="196" t="s">
        <v>12</v>
      </c>
      <c r="Q78" s="195">
        <v>6</v>
      </c>
      <c r="R78" s="195">
        <v>5</v>
      </c>
      <c r="S78" s="195">
        <v>14</v>
      </c>
      <c r="T78" s="195">
        <v>1</v>
      </c>
      <c r="U78" s="195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5">
        <v>75</v>
      </c>
      <c r="K79" s="196" t="s">
        <v>97</v>
      </c>
      <c r="L79" s="196" t="s">
        <v>13</v>
      </c>
      <c r="M79" s="196" t="s">
        <v>98</v>
      </c>
      <c r="N79" s="196" t="s">
        <v>88</v>
      </c>
      <c r="O79" s="196" t="s">
        <v>30</v>
      </c>
      <c r="Q79" s="195">
        <v>6</v>
      </c>
      <c r="R79" s="195">
        <v>5</v>
      </c>
      <c r="S79" s="195">
        <v>15</v>
      </c>
      <c r="T79" s="195">
        <v>19</v>
      </c>
      <c r="U79" s="195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6" t="s">
        <v>31</v>
      </c>
      <c r="L80" s="196" t="s">
        <v>82</v>
      </c>
      <c r="M80" s="196" t="s">
        <v>83</v>
      </c>
      <c r="N80" s="196" t="s">
        <v>28</v>
      </c>
      <c r="O80" s="196" t="s">
        <v>28</v>
      </c>
      <c r="Q80" s="195">
        <v>7</v>
      </c>
      <c r="R80" s="195">
        <v>14</v>
      </c>
      <c r="S80" s="195">
        <v>16</v>
      </c>
      <c r="T80" s="195">
        <v>9</v>
      </c>
      <c r="U80" s="195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5">
        <v>77</v>
      </c>
      <c r="K81" s="196" t="s">
        <v>29</v>
      </c>
      <c r="L81" s="196" t="s">
        <v>97</v>
      </c>
      <c r="M81" s="196" t="s">
        <v>82</v>
      </c>
      <c r="N81" s="196" t="s">
        <v>16</v>
      </c>
      <c r="O81" s="196" t="s">
        <v>28</v>
      </c>
      <c r="Q81" s="195">
        <v>8</v>
      </c>
      <c r="R81" s="195">
        <v>6</v>
      </c>
      <c r="S81" s="195">
        <v>14</v>
      </c>
      <c r="T81" s="195">
        <v>3</v>
      </c>
      <c r="U81" s="195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6" t="s">
        <v>31</v>
      </c>
      <c r="L82" s="196" t="s">
        <v>97</v>
      </c>
      <c r="M82" s="196" t="s">
        <v>95</v>
      </c>
      <c r="N82" s="196" t="s">
        <v>13</v>
      </c>
      <c r="O82" s="196" t="s">
        <v>16</v>
      </c>
      <c r="Q82" s="195">
        <v>7</v>
      </c>
      <c r="R82" s="195">
        <v>6</v>
      </c>
      <c r="S82" s="195">
        <v>17</v>
      </c>
      <c r="T82" s="195">
        <v>5</v>
      </c>
      <c r="U82" s="195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5">
        <v>79</v>
      </c>
      <c r="K83" s="196" t="s">
        <v>30</v>
      </c>
      <c r="L83" s="196" t="s">
        <v>82</v>
      </c>
      <c r="M83" s="196" t="s">
        <v>83</v>
      </c>
      <c r="N83" s="196" t="s">
        <v>28</v>
      </c>
      <c r="O83" s="196" t="s">
        <v>28</v>
      </c>
      <c r="Q83" s="195">
        <v>10</v>
      </c>
      <c r="R83" s="195">
        <v>14</v>
      </c>
      <c r="S83" s="195">
        <v>16</v>
      </c>
      <c r="T83" s="195">
        <v>9</v>
      </c>
      <c r="U83" s="195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6" t="s">
        <v>29</v>
      </c>
      <c r="L84" s="196" t="s">
        <v>97</v>
      </c>
      <c r="M84" s="196" t="s">
        <v>98</v>
      </c>
      <c r="N84" s="196" t="s">
        <v>28</v>
      </c>
      <c r="O84" s="196" t="s">
        <v>12</v>
      </c>
      <c r="Q84" s="195">
        <v>8</v>
      </c>
      <c r="R84" s="195">
        <v>6</v>
      </c>
      <c r="S84" s="195">
        <v>15</v>
      </c>
      <c r="T84" s="195">
        <v>9</v>
      </c>
      <c r="U84" s="195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5">
        <v>81</v>
      </c>
      <c r="K85" s="196" t="s">
        <v>97</v>
      </c>
      <c r="L85" s="196" t="s">
        <v>15</v>
      </c>
      <c r="M85" s="196" t="s">
        <v>83</v>
      </c>
      <c r="N85" s="196" t="s">
        <v>28</v>
      </c>
      <c r="O85" s="196" t="s">
        <v>30</v>
      </c>
      <c r="Q85" s="195">
        <v>6</v>
      </c>
      <c r="R85" s="195">
        <v>2</v>
      </c>
      <c r="S85" s="195">
        <v>16</v>
      </c>
      <c r="T85" s="195">
        <v>9</v>
      </c>
      <c r="U85" s="195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6" t="s">
        <v>97</v>
      </c>
      <c r="L86" s="196" t="s">
        <v>98</v>
      </c>
      <c r="M86" s="196" t="s">
        <v>86</v>
      </c>
      <c r="N86" s="196" t="s">
        <v>15</v>
      </c>
      <c r="O86" s="196" t="s">
        <v>97</v>
      </c>
      <c r="Q86" s="195">
        <v>6</v>
      </c>
      <c r="R86" s="195">
        <v>15</v>
      </c>
      <c r="S86" s="195">
        <v>18</v>
      </c>
      <c r="T86" s="195">
        <v>2</v>
      </c>
      <c r="U86" s="195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5">
        <v>83</v>
      </c>
      <c r="K87" s="196" t="s">
        <v>97</v>
      </c>
      <c r="L87" s="196" t="s">
        <v>29</v>
      </c>
      <c r="M87" s="196" t="s">
        <v>82</v>
      </c>
      <c r="N87" s="196" t="s">
        <v>13</v>
      </c>
      <c r="O87" s="196" t="s">
        <v>16</v>
      </c>
      <c r="Q87" s="195">
        <v>6</v>
      </c>
      <c r="R87" s="195">
        <v>8</v>
      </c>
      <c r="S87" s="195">
        <v>14</v>
      </c>
      <c r="T87" s="195">
        <v>5</v>
      </c>
      <c r="U87" s="195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6" t="s">
        <v>31</v>
      </c>
      <c r="L88" s="196" t="s">
        <v>82</v>
      </c>
      <c r="M88" s="196" t="s">
        <v>95</v>
      </c>
      <c r="N88" s="196" t="s">
        <v>79</v>
      </c>
      <c r="O88" s="196" t="s">
        <v>28</v>
      </c>
      <c r="Q88" s="195">
        <v>7</v>
      </c>
      <c r="R88" s="195">
        <v>14</v>
      </c>
      <c r="S88" s="195">
        <v>17</v>
      </c>
      <c r="T88" s="195">
        <v>11</v>
      </c>
      <c r="U88" s="195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5">
        <v>85</v>
      </c>
      <c r="K89" s="196" t="s">
        <v>31</v>
      </c>
      <c r="L89" s="196" t="s">
        <v>13</v>
      </c>
      <c r="M89" s="196" t="s">
        <v>98</v>
      </c>
      <c r="N89" s="196" t="s">
        <v>16</v>
      </c>
      <c r="O89" s="196" t="s">
        <v>97</v>
      </c>
      <c r="Q89" s="195">
        <v>7</v>
      </c>
      <c r="R89" s="195">
        <v>5</v>
      </c>
      <c r="S89" s="195">
        <v>15</v>
      </c>
      <c r="T89" s="195">
        <v>3</v>
      </c>
      <c r="U89" s="195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6" t="s">
        <v>31</v>
      </c>
      <c r="L90" s="196" t="s">
        <v>13</v>
      </c>
      <c r="M90" s="196" t="s">
        <v>83</v>
      </c>
      <c r="N90" s="196" t="s">
        <v>13</v>
      </c>
      <c r="O90" s="196" t="s">
        <v>31</v>
      </c>
      <c r="Q90" s="195">
        <v>7</v>
      </c>
      <c r="R90" s="195">
        <v>5</v>
      </c>
      <c r="S90" s="195">
        <v>16</v>
      </c>
      <c r="T90" s="195">
        <v>5</v>
      </c>
      <c r="U90" s="195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5">
        <v>87</v>
      </c>
      <c r="K91" s="196" t="s">
        <v>29</v>
      </c>
      <c r="L91" s="196" t="s">
        <v>30</v>
      </c>
      <c r="M91" s="196" t="s">
        <v>82</v>
      </c>
      <c r="N91" s="196" t="s">
        <v>13</v>
      </c>
      <c r="O91" s="196" t="s">
        <v>28</v>
      </c>
      <c r="Q91" s="195">
        <v>8</v>
      </c>
      <c r="R91" s="195">
        <v>10</v>
      </c>
      <c r="S91" s="195">
        <v>14</v>
      </c>
      <c r="T91" s="195">
        <v>5</v>
      </c>
      <c r="U91" s="195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6" t="s">
        <v>31</v>
      </c>
      <c r="L92" s="196" t="s">
        <v>98</v>
      </c>
      <c r="M92" s="196" t="s">
        <v>83</v>
      </c>
      <c r="N92" s="196" t="s">
        <v>14</v>
      </c>
      <c r="O92" s="196" t="s">
        <v>13</v>
      </c>
      <c r="Q92" s="195">
        <v>7</v>
      </c>
      <c r="R92" s="195">
        <v>15</v>
      </c>
      <c r="S92" s="195">
        <v>16</v>
      </c>
      <c r="T92" s="195">
        <v>1</v>
      </c>
      <c r="U92" s="195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5">
        <v>89</v>
      </c>
      <c r="K93" s="196" t="s">
        <v>12</v>
      </c>
      <c r="L93" s="196" t="s">
        <v>98</v>
      </c>
      <c r="M93" s="196" t="s">
        <v>95</v>
      </c>
      <c r="N93" s="196" t="s">
        <v>15</v>
      </c>
      <c r="O93" s="196" t="s">
        <v>28</v>
      </c>
      <c r="Q93" s="195">
        <v>4</v>
      </c>
      <c r="R93" s="195">
        <v>15</v>
      </c>
      <c r="S93" s="195">
        <v>17</v>
      </c>
      <c r="T93" s="195">
        <v>2</v>
      </c>
      <c r="U93" s="195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6" t="s">
        <v>16</v>
      </c>
      <c r="L94" s="196" t="s">
        <v>29</v>
      </c>
      <c r="M94" s="196" t="s">
        <v>82</v>
      </c>
      <c r="N94" s="196" t="s">
        <v>16</v>
      </c>
      <c r="O94" s="196" t="s">
        <v>29</v>
      </c>
      <c r="Q94" s="195">
        <v>3</v>
      </c>
      <c r="R94" s="195">
        <v>8</v>
      </c>
      <c r="S94" s="195">
        <v>14</v>
      </c>
      <c r="T94" s="195">
        <v>3</v>
      </c>
      <c r="U94" s="195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5">
        <v>91</v>
      </c>
      <c r="K95" s="196" t="s">
        <v>13</v>
      </c>
      <c r="L95" s="196" t="s">
        <v>29</v>
      </c>
      <c r="M95" s="196" t="s">
        <v>95</v>
      </c>
      <c r="N95" s="196" t="s">
        <v>15</v>
      </c>
      <c r="O95" s="196" t="s">
        <v>16</v>
      </c>
      <c r="Q95" s="195">
        <v>5</v>
      </c>
      <c r="R95" s="195">
        <v>8</v>
      </c>
      <c r="S95" s="195">
        <v>17</v>
      </c>
      <c r="T95" s="195">
        <v>2</v>
      </c>
      <c r="U95" s="195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6" t="s">
        <v>31</v>
      </c>
      <c r="L96" s="196" t="s">
        <v>83</v>
      </c>
      <c r="M96" s="196" t="s">
        <v>82</v>
      </c>
      <c r="N96" s="196" t="s">
        <v>15</v>
      </c>
      <c r="O96" s="196" t="s">
        <v>15</v>
      </c>
      <c r="Q96" s="195">
        <v>7</v>
      </c>
      <c r="R96" s="195">
        <v>16</v>
      </c>
      <c r="S96" s="195">
        <v>14</v>
      </c>
      <c r="T96" s="195">
        <v>2</v>
      </c>
      <c r="U96" s="195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5">
        <v>93</v>
      </c>
      <c r="K97" s="196" t="s">
        <v>13</v>
      </c>
      <c r="L97" s="196" t="s">
        <v>29</v>
      </c>
      <c r="M97" s="196" t="s">
        <v>83</v>
      </c>
      <c r="N97" s="196" t="s">
        <v>15</v>
      </c>
      <c r="O97" s="196" t="s">
        <v>30</v>
      </c>
      <c r="Q97" s="195">
        <v>5</v>
      </c>
      <c r="R97" s="195">
        <v>8</v>
      </c>
      <c r="S97" s="195">
        <v>16</v>
      </c>
      <c r="T97" s="195">
        <v>2</v>
      </c>
      <c r="U97" s="195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6" t="s">
        <v>31</v>
      </c>
      <c r="L98" s="196" t="s">
        <v>31</v>
      </c>
      <c r="M98" s="196" t="s">
        <v>98</v>
      </c>
      <c r="N98" s="196" t="s">
        <v>79</v>
      </c>
      <c r="O98" s="196" t="s">
        <v>16</v>
      </c>
      <c r="Q98" s="195">
        <v>7</v>
      </c>
      <c r="R98" s="195">
        <v>7</v>
      </c>
      <c r="S98" s="195">
        <v>15</v>
      </c>
      <c r="T98" s="195">
        <v>11</v>
      </c>
      <c r="U98" s="195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5">
        <v>95</v>
      </c>
      <c r="K99" s="196" t="s">
        <v>13</v>
      </c>
      <c r="L99" s="196" t="s">
        <v>95</v>
      </c>
      <c r="M99" s="196" t="s">
        <v>95</v>
      </c>
      <c r="N99" s="196" t="s">
        <v>12</v>
      </c>
      <c r="O99" s="196" t="s">
        <v>29</v>
      </c>
      <c r="Q99" s="195">
        <v>5</v>
      </c>
      <c r="R99" s="195">
        <v>17</v>
      </c>
      <c r="S99" s="195">
        <v>17</v>
      </c>
      <c r="T99" s="195">
        <v>4</v>
      </c>
      <c r="U99" s="195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6" t="s">
        <v>97</v>
      </c>
      <c r="L100" s="196" t="s">
        <v>29</v>
      </c>
      <c r="M100" s="196" t="s">
        <v>98</v>
      </c>
      <c r="N100" s="196" t="s">
        <v>29</v>
      </c>
      <c r="O100" s="196" t="s">
        <v>13</v>
      </c>
      <c r="Q100" s="195">
        <v>6</v>
      </c>
      <c r="R100" s="195">
        <v>8</v>
      </c>
      <c r="S100" s="195">
        <v>15</v>
      </c>
      <c r="T100" s="195">
        <v>8</v>
      </c>
      <c r="U100" s="195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5">
        <v>97</v>
      </c>
      <c r="K101" s="196" t="s">
        <v>13</v>
      </c>
      <c r="L101" s="196" t="s">
        <v>83</v>
      </c>
      <c r="M101" s="196" t="s">
        <v>83</v>
      </c>
      <c r="N101" s="196" t="s">
        <v>29</v>
      </c>
      <c r="O101" s="196" t="s">
        <v>12</v>
      </c>
      <c r="Q101" s="195">
        <v>5</v>
      </c>
      <c r="R101" s="195">
        <v>16</v>
      </c>
      <c r="S101" s="195">
        <v>16</v>
      </c>
      <c r="T101" s="195">
        <v>8</v>
      </c>
      <c r="U101" s="195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6" t="s">
        <v>31</v>
      </c>
      <c r="L102" s="196" t="s">
        <v>15</v>
      </c>
      <c r="M102" s="196" t="s">
        <v>95</v>
      </c>
      <c r="N102" s="196" t="s">
        <v>12</v>
      </c>
      <c r="O102" s="196" t="s">
        <v>15</v>
      </c>
      <c r="Q102" s="195">
        <v>7</v>
      </c>
      <c r="R102" s="195">
        <v>2</v>
      </c>
      <c r="S102" s="195">
        <v>17</v>
      </c>
      <c r="T102" s="195">
        <v>4</v>
      </c>
      <c r="U102" s="195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5">
        <v>99</v>
      </c>
      <c r="K103" s="196" t="s">
        <v>29</v>
      </c>
      <c r="L103" s="196" t="s">
        <v>82</v>
      </c>
      <c r="M103" s="196" t="s">
        <v>79</v>
      </c>
      <c r="N103" s="196" t="s">
        <v>30</v>
      </c>
      <c r="O103" s="196" t="s">
        <v>15</v>
      </c>
      <c r="Q103" s="195">
        <v>8</v>
      </c>
      <c r="R103" s="195">
        <v>14</v>
      </c>
      <c r="S103" s="195">
        <v>11</v>
      </c>
      <c r="T103" s="195">
        <v>10</v>
      </c>
      <c r="U103" s="195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6" t="s">
        <v>31</v>
      </c>
      <c r="L104" s="196" t="s">
        <v>14</v>
      </c>
      <c r="M104" s="196" t="s">
        <v>82</v>
      </c>
      <c r="N104" s="196" t="s">
        <v>16</v>
      </c>
      <c r="O104" s="196" t="s">
        <v>12</v>
      </c>
      <c r="Q104" s="195">
        <v>7</v>
      </c>
      <c r="R104" s="195">
        <v>1</v>
      </c>
      <c r="S104" s="195">
        <v>14</v>
      </c>
      <c r="T104" s="195">
        <v>3</v>
      </c>
      <c r="U104" s="195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6" t="s">
        <v>29</v>
      </c>
      <c r="L105" s="196" t="s">
        <v>97</v>
      </c>
      <c r="M105" s="196" t="s">
        <v>95</v>
      </c>
      <c r="N105" s="196" t="s">
        <v>16</v>
      </c>
      <c r="O105" s="196" t="s">
        <v>30</v>
      </c>
      <c r="Q105" s="195">
        <v>8</v>
      </c>
      <c r="R105" s="195">
        <v>6</v>
      </c>
      <c r="S105" s="195">
        <v>17</v>
      </c>
      <c r="T105" s="195">
        <v>3</v>
      </c>
      <c r="U105" s="195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5">
        <v>102</v>
      </c>
      <c r="K106" s="196" t="s">
        <v>29</v>
      </c>
      <c r="L106" s="196" t="s">
        <v>29</v>
      </c>
      <c r="M106" s="196" t="s">
        <v>82</v>
      </c>
      <c r="N106" s="196" t="s">
        <v>15</v>
      </c>
      <c r="O106" s="196" t="s">
        <v>97</v>
      </c>
      <c r="Q106" s="195">
        <v>8</v>
      </c>
      <c r="R106" s="195">
        <v>8</v>
      </c>
      <c r="S106" s="195">
        <v>14</v>
      </c>
      <c r="T106" s="195">
        <v>2</v>
      </c>
      <c r="U106" s="195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6" t="s">
        <v>31</v>
      </c>
      <c r="L107" s="196" t="s">
        <v>29</v>
      </c>
      <c r="M107" s="196" t="s">
        <v>98</v>
      </c>
      <c r="N107" s="196" t="s">
        <v>81</v>
      </c>
      <c r="O107" s="196" t="s">
        <v>28</v>
      </c>
      <c r="Q107" s="195">
        <v>7</v>
      </c>
      <c r="R107" s="195">
        <v>8</v>
      </c>
      <c r="S107" s="195">
        <v>15</v>
      </c>
      <c r="T107" s="195">
        <v>13</v>
      </c>
      <c r="U107" s="195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5">
        <v>104</v>
      </c>
      <c r="K108" s="196" t="s">
        <v>29</v>
      </c>
      <c r="L108" s="196" t="s">
        <v>82</v>
      </c>
      <c r="M108" s="196" t="s">
        <v>83</v>
      </c>
      <c r="N108" s="196" t="s">
        <v>16</v>
      </c>
      <c r="O108" s="196" t="s">
        <v>30</v>
      </c>
      <c r="Q108" s="195">
        <v>8</v>
      </c>
      <c r="R108" s="195">
        <v>14</v>
      </c>
      <c r="S108" s="195">
        <v>16</v>
      </c>
      <c r="T108" s="195">
        <v>3</v>
      </c>
      <c r="U108" s="195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6" t="s">
        <v>29</v>
      </c>
      <c r="L109" s="196" t="s">
        <v>80</v>
      </c>
      <c r="M109" s="196" t="s">
        <v>98</v>
      </c>
      <c r="N109" s="196" t="s">
        <v>13</v>
      </c>
      <c r="O109" s="196" t="s">
        <v>30</v>
      </c>
      <c r="Q109" s="195">
        <v>8</v>
      </c>
      <c r="R109" s="195">
        <v>12</v>
      </c>
      <c r="S109" s="195">
        <v>15</v>
      </c>
      <c r="T109" s="195">
        <v>5</v>
      </c>
      <c r="U109" s="195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5">
        <v>106</v>
      </c>
      <c r="K110" s="196" t="s">
        <v>29</v>
      </c>
      <c r="L110" s="196" t="s">
        <v>16</v>
      </c>
      <c r="M110" s="196" t="s">
        <v>83</v>
      </c>
      <c r="N110" s="196" t="s">
        <v>79</v>
      </c>
      <c r="O110" s="196" t="s">
        <v>13</v>
      </c>
      <c r="Q110" s="195">
        <v>8</v>
      </c>
      <c r="R110" s="195">
        <v>3</v>
      </c>
      <c r="S110" s="195">
        <v>16</v>
      </c>
      <c r="T110" s="195">
        <v>11</v>
      </c>
      <c r="U110" s="195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6" t="s">
        <v>31</v>
      </c>
      <c r="L111" s="196" t="s">
        <v>13</v>
      </c>
      <c r="M111" s="196" t="s">
        <v>98</v>
      </c>
      <c r="N111" s="196" t="s">
        <v>12</v>
      </c>
      <c r="O111" s="196" t="s">
        <v>13</v>
      </c>
      <c r="Q111" s="195">
        <v>7</v>
      </c>
      <c r="R111" s="195">
        <v>5</v>
      </c>
      <c r="S111" s="195">
        <v>15</v>
      </c>
      <c r="T111" s="195">
        <v>4</v>
      </c>
      <c r="U111" s="195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5">
        <v>108</v>
      </c>
      <c r="K112" s="196" t="s">
        <v>97</v>
      </c>
      <c r="L112" s="196" t="s">
        <v>80</v>
      </c>
      <c r="M112" s="196" t="s">
        <v>82</v>
      </c>
      <c r="N112" s="196" t="s">
        <v>28</v>
      </c>
      <c r="O112" s="196" t="s">
        <v>29</v>
      </c>
      <c r="Q112" s="195">
        <v>6</v>
      </c>
      <c r="R112" s="195">
        <v>12</v>
      </c>
      <c r="S112" s="195">
        <v>14</v>
      </c>
      <c r="T112" s="195">
        <v>9</v>
      </c>
      <c r="U112" s="195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6" t="s">
        <v>29</v>
      </c>
      <c r="L113" s="196" t="s">
        <v>82</v>
      </c>
      <c r="M113" s="196" t="s">
        <v>98</v>
      </c>
      <c r="N113" s="196" t="s">
        <v>30</v>
      </c>
      <c r="O113" s="196" t="s">
        <v>30</v>
      </c>
      <c r="Q113" s="195">
        <v>8</v>
      </c>
      <c r="R113" s="195">
        <v>14</v>
      </c>
      <c r="S113" s="195">
        <v>15</v>
      </c>
      <c r="T113" s="195">
        <v>10</v>
      </c>
      <c r="U113" s="195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5">
        <v>110</v>
      </c>
      <c r="K114" s="196" t="s">
        <v>15</v>
      </c>
      <c r="L114" s="196" t="s">
        <v>31</v>
      </c>
      <c r="M114" s="196" t="s">
        <v>95</v>
      </c>
      <c r="N114" s="196" t="s">
        <v>31</v>
      </c>
      <c r="O114" s="196" t="s">
        <v>15</v>
      </c>
      <c r="Q114" s="195">
        <v>2</v>
      </c>
      <c r="R114" s="195">
        <v>7</v>
      </c>
      <c r="S114" s="195">
        <v>17</v>
      </c>
      <c r="T114" s="195">
        <v>7</v>
      </c>
      <c r="U114" s="195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6" t="s">
        <v>28</v>
      </c>
      <c r="L115" s="196" t="s">
        <v>31</v>
      </c>
      <c r="M115" s="196" t="s">
        <v>82</v>
      </c>
      <c r="N115" s="196" t="s">
        <v>97</v>
      </c>
      <c r="O115" s="196" t="s">
        <v>12</v>
      </c>
      <c r="Q115" s="195">
        <v>9</v>
      </c>
      <c r="R115" s="195">
        <v>7</v>
      </c>
      <c r="S115" s="195">
        <v>14</v>
      </c>
      <c r="T115" s="195">
        <v>6</v>
      </c>
      <c r="U115" s="195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5">
        <v>112</v>
      </c>
      <c r="K116" s="196" t="s">
        <v>97</v>
      </c>
      <c r="L116" s="196" t="s">
        <v>82</v>
      </c>
      <c r="M116" s="196" t="s">
        <v>95</v>
      </c>
      <c r="N116" s="196" t="s">
        <v>12</v>
      </c>
      <c r="O116" s="196" t="s">
        <v>13</v>
      </c>
      <c r="Q116" s="195">
        <v>6</v>
      </c>
      <c r="R116" s="195">
        <v>14</v>
      </c>
      <c r="S116" s="195">
        <v>17</v>
      </c>
      <c r="T116" s="195">
        <v>4</v>
      </c>
      <c r="U116" s="195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6" t="s">
        <v>29</v>
      </c>
      <c r="L117" s="196" t="s">
        <v>13</v>
      </c>
      <c r="M117" s="196" t="s">
        <v>98</v>
      </c>
      <c r="N117" s="196" t="s">
        <v>30</v>
      </c>
      <c r="O117" s="196" t="s">
        <v>13</v>
      </c>
      <c r="Q117" s="195">
        <v>8</v>
      </c>
      <c r="R117" s="195">
        <v>5</v>
      </c>
      <c r="S117" s="195">
        <v>15</v>
      </c>
      <c r="T117" s="195">
        <v>10</v>
      </c>
      <c r="U117" s="195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5">
        <v>114</v>
      </c>
      <c r="K118" s="196" t="s">
        <v>13</v>
      </c>
      <c r="L118" s="196" t="s">
        <v>13</v>
      </c>
      <c r="M118" s="196" t="s">
        <v>83</v>
      </c>
      <c r="N118" s="196" t="s">
        <v>97</v>
      </c>
      <c r="O118" s="196" t="s">
        <v>31</v>
      </c>
      <c r="Q118" s="195">
        <v>5</v>
      </c>
      <c r="R118" s="195">
        <v>5</v>
      </c>
      <c r="S118" s="195">
        <v>16</v>
      </c>
      <c r="T118" s="195">
        <v>6</v>
      </c>
      <c r="U118" s="195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6" t="s">
        <v>29</v>
      </c>
      <c r="L119" s="196" t="s">
        <v>98</v>
      </c>
      <c r="M119" s="196" t="s">
        <v>95</v>
      </c>
      <c r="N119" s="196" t="s">
        <v>83</v>
      </c>
      <c r="O119" s="196" t="s">
        <v>16</v>
      </c>
      <c r="Q119" s="195">
        <v>8</v>
      </c>
      <c r="R119" s="195">
        <v>15</v>
      </c>
      <c r="S119" s="195">
        <v>17</v>
      </c>
      <c r="T119" s="195">
        <v>16</v>
      </c>
      <c r="U119" s="195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5">
        <v>116</v>
      </c>
      <c r="K120" s="196" t="s">
        <v>13</v>
      </c>
      <c r="L120" s="196" t="s">
        <v>97</v>
      </c>
      <c r="M120" s="196" t="s">
        <v>83</v>
      </c>
      <c r="N120" s="196" t="s">
        <v>97</v>
      </c>
      <c r="O120" s="196" t="s">
        <v>29</v>
      </c>
      <c r="Q120" s="195">
        <v>5</v>
      </c>
      <c r="R120" s="195">
        <v>6</v>
      </c>
      <c r="S120" s="195">
        <v>16</v>
      </c>
      <c r="T120" s="195">
        <v>6</v>
      </c>
      <c r="U120" s="195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6" t="s">
        <v>13</v>
      </c>
      <c r="L121" s="196" t="s">
        <v>83</v>
      </c>
      <c r="M121" s="196" t="s">
        <v>98</v>
      </c>
      <c r="N121" s="196" t="s">
        <v>16</v>
      </c>
      <c r="O121" s="196" t="s">
        <v>16</v>
      </c>
      <c r="Q121" s="195">
        <v>5</v>
      </c>
      <c r="R121" s="195">
        <v>16</v>
      </c>
      <c r="S121" s="195">
        <v>15</v>
      </c>
      <c r="T121" s="195">
        <v>3</v>
      </c>
      <c r="U121" s="195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5">
        <v>118</v>
      </c>
      <c r="K122" s="196" t="s">
        <v>31</v>
      </c>
      <c r="L122" s="196" t="s">
        <v>29</v>
      </c>
      <c r="M122" s="196" t="s">
        <v>88</v>
      </c>
      <c r="N122" s="196" t="s">
        <v>31</v>
      </c>
      <c r="O122" s="196" t="s">
        <v>28</v>
      </c>
      <c r="Q122" s="195">
        <v>7</v>
      </c>
      <c r="R122" s="195">
        <v>8</v>
      </c>
      <c r="S122" s="195">
        <v>19</v>
      </c>
      <c r="T122" s="195">
        <v>7</v>
      </c>
      <c r="U122" s="195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6" t="s">
        <v>29</v>
      </c>
      <c r="L123" s="196" t="s">
        <v>86</v>
      </c>
      <c r="M123" s="196" t="s">
        <v>98</v>
      </c>
      <c r="N123" s="196" t="s">
        <v>31</v>
      </c>
      <c r="O123" s="196" t="s">
        <v>29</v>
      </c>
      <c r="Q123" s="195">
        <v>8</v>
      </c>
      <c r="R123" s="195">
        <v>18</v>
      </c>
      <c r="S123" s="195">
        <v>15</v>
      </c>
      <c r="T123" s="195">
        <v>7</v>
      </c>
      <c r="U123" s="195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5">
        <v>120</v>
      </c>
      <c r="K124" s="196" t="s">
        <v>12</v>
      </c>
      <c r="L124" s="196" t="s">
        <v>82</v>
      </c>
      <c r="M124" s="196" t="s">
        <v>86</v>
      </c>
      <c r="N124" s="196" t="s">
        <v>14</v>
      </c>
      <c r="O124" s="196" t="s">
        <v>16</v>
      </c>
      <c r="Q124" s="195">
        <v>4</v>
      </c>
      <c r="R124" s="195">
        <v>14</v>
      </c>
      <c r="S124" s="195">
        <v>18</v>
      </c>
      <c r="T124" s="195">
        <v>1</v>
      </c>
      <c r="U124" s="195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6" t="s">
        <v>97</v>
      </c>
      <c r="L125" s="196" t="s">
        <v>14</v>
      </c>
      <c r="M125" s="196" t="s">
        <v>95</v>
      </c>
      <c r="N125" s="196" t="s">
        <v>12</v>
      </c>
      <c r="O125" s="196" t="s">
        <v>28</v>
      </c>
      <c r="Q125" s="195">
        <v>6</v>
      </c>
      <c r="R125" s="195">
        <v>1</v>
      </c>
      <c r="S125" s="195">
        <v>17</v>
      </c>
      <c r="T125" s="195">
        <v>4</v>
      </c>
      <c r="U125" s="195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5">
        <v>122</v>
      </c>
      <c r="K126" s="196" t="s">
        <v>97</v>
      </c>
      <c r="L126" s="196" t="s">
        <v>16</v>
      </c>
      <c r="M126" s="196" t="s">
        <v>83</v>
      </c>
      <c r="N126" s="196" t="s">
        <v>16</v>
      </c>
      <c r="O126" s="196" t="s">
        <v>28</v>
      </c>
      <c r="Q126" s="195">
        <v>6</v>
      </c>
      <c r="R126" s="195">
        <v>3</v>
      </c>
      <c r="S126" s="195">
        <v>16</v>
      </c>
      <c r="T126" s="195">
        <v>3</v>
      </c>
      <c r="U126" s="195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6" t="s">
        <v>13</v>
      </c>
      <c r="L127" s="196" t="s">
        <v>30</v>
      </c>
      <c r="M127" s="196" t="s">
        <v>82</v>
      </c>
      <c r="N127" s="196" t="s">
        <v>12</v>
      </c>
      <c r="O127" s="196" t="s">
        <v>16</v>
      </c>
      <c r="Q127" s="195">
        <v>5</v>
      </c>
      <c r="R127" s="195">
        <v>10</v>
      </c>
      <c r="S127" s="195">
        <v>14</v>
      </c>
      <c r="T127" s="195">
        <v>4</v>
      </c>
      <c r="U127" s="195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5">
        <v>124</v>
      </c>
      <c r="K128" s="196" t="s">
        <v>97</v>
      </c>
      <c r="L128" s="196" t="s">
        <v>98</v>
      </c>
      <c r="M128" s="196" t="s">
        <v>98</v>
      </c>
      <c r="N128" s="196" t="s">
        <v>12</v>
      </c>
      <c r="O128" s="196" t="s">
        <v>29</v>
      </c>
      <c r="Q128" s="195">
        <v>6</v>
      </c>
      <c r="R128" s="195">
        <v>15</v>
      </c>
      <c r="S128" s="195">
        <v>15</v>
      </c>
      <c r="T128" s="195">
        <v>4</v>
      </c>
      <c r="U128" s="195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6" t="s">
        <v>29</v>
      </c>
      <c r="L129" s="196" t="s">
        <v>79</v>
      </c>
      <c r="M129" s="196" t="s">
        <v>80</v>
      </c>
      <c r="N129" s="196" t="s">
        <v>86</v>
      </c>
      <c r="O129" s="196" t="s">
        <v>29</v>
      </c>
      <c r="Q129" s="195">
        <v>8</v>
      </c>
      <c r="R129" s="195">
        <v>11</v>
      </c>
      <c r="S129" s="195">
        <v>12</v>
      </c>
      <c r="T129" s="195">
        <v>18</v>
      </c>
      <c r="U129" s="195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5">
        <v>126</v>
      </c>
      <c r="K130" s="196" t="s">
        <v>97</v>
      </c>
      <c r="L130" s="196" t="s">
        <v>28</v>
      </c>
      <c r="M130" s="196" t="s">
        <v>95</v>
      </c>
      <c r="N130" s="196" t="s">
        <v>97</v>
      </c>
      <c r="O130" s="196" t="s">
        <v>16</v>
      </c>
      <c r="Q130" s="195">
        <v>6</v>
      </c>
      <c r="R130" s="195">
        <v>9</v>
      </c>
      <c r="S130" s="195">
        <v>17</v>
      </c>
      <c r="T130" s="195">
        <v>6</v>
      </c>
      <c r="U130" s="195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6" t="s">
        <v>29</v>
      </c>
      <c r="L131" s="196" t="s">
        <v>95</v>
      </c>
      <c r="M131" s="196" t="s">
        <v>82</v>
      </c>
      <c r="N131" s="196" t="s">
        <v>28</v>
      </c>
      <c r="O131" s="196" t="s">
        <v>28</v>
      </c>
      <c r="Q131" s="195">
        <v>8</v>
      </c>
      <c r="R131" s="195">
        <v>17</v>
      </c>
      <c r="S131" s="195">
        <v>14</v>
      </c>
      <c r="T131" s="195">
        <v>9</v>
      </c>
      <c r="U131" s="195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5">
        <v>128</v>
      </c>
      <c r="K132" s="196" t="s">
        <v>97</v>
      </c>
      <c r="L132" s="196" t="s">
        <v>14</v>
      </c>
      <c r="M132" s="196" t="s">
        <v>98</v>
      </c>
      <c r="N132" s="196" t="s">
        <v>12</v>
      </c>
      <c r="O132" s="196" t="s">
        <v>12</v>
      </c>
      <c r="Q132" s="195">
        <v>6</v>
      </c>
      <c r="R132" s="195">
        <v>1</v>
      </c>
      <c r="S132" s="195">
        <v>15</v>
      </c>
      <c r="T132" s="195">
        <v>4</v>
      </c>
      <c r="U132" s="195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6" t="s">
        <v>29</v>
      </c>
      <c r="L133" s="196" t="s">
        <v>13</v>
      </c>
      <c r="M133" s="196" t="s">
        <v>95</v>
      </c>
      <c r="N133" s="196" t="s">
        <v>80</v>
      </c>
      <c r="O133" s="196" t="s">
        <v>15</v>
      </c>
      <c r="Q133" s="195">
        <v>8</v>
      </c>
      <c r="R133" s="195">
        <v>5</v>
      </c>
      <c r="S133" s="195">
        <v>17</v>
      </c>
      <c r="T133" s="195">
        <v>12</v>
      </c>
      <c r="U133" s="195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5">
        <v>130</v>
      </c>
      <c r="K134" s="196" t="s">
        <v>97</v>
      </c>
      <c r="L134" s="196" t="s">
        <v>86</v>
      </c>
      <c r="M134" s="196" t="s">
        <v>83</v>
      </c>
      <c r="N134" s="196" t="s">
        <v>88</v>
      </c>
      <c r="O134" s="196" t="s">
        <v>16</v>
      </c>
      <c r="Q134" s="195">
        <v>6</v>
      </c>
      <c r="R134" s="195">
        <v>18</v>
      </c>
      <c r="S134" s="195">
        <v>16</v>
      </c>
      <c r="T134" s="195">
        <v>19</v>
      </c>
      <c r="U134" s="195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6" t="s">
        <v>31</v>
      </c>
      <c r="L135" s="196" t="s">
        <v>97</v>
      </c>
      <c r="M135" s="196" t="s">
        <v>95</v>
      </c>
      <c r="N135" s="196" t="s">
        <v>97</v>
      </c>
      <c r="O135" s="196" t="s">
        <v>31</v>
      </c>
      <c r="Q135" s="195">
        <v>7</v>
      </c>
      <c r="R135" s="195">
        <v>6</v>
      </c>
      <c r="S135" s="195">
        <v>17</v>
      </c>
      <c r="T135" s="195">
        <v>6</v>
      </c>
      <c r="U135" s="195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5">
        <v>132</v>
      </c>
      <c r="K136" s="196" t="s">
        <v>31</v>
      </c>
      <c r="L136" s="196" t="s">
        <v>29</v>
      </c>
      <c r="M136" s="196" t="s">
        <v>81</v>
      </c>
      <c r="N136" s="196" t="s">
        <v>29</v>
      </c>
      <c r="O136" s="196" t="s">
        <v>31</v>
      </c>
      <c r="Q136" s="195">
        <v>7</v>
      </c>
      <c r="R136" s="195">
        <v>8</v>
      </c>
      <c r="S136" s="195">
        <v>13</v>
      </c>
      <c r="T136" s="195">
        <v>8</v>
      </c>
      <c r="U136" s="195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6" t="s">
        <v>97</v>
      </c>
      <c r="L137" s="196" t="s">
        <v>95</v>
      </c>
      <c r="M137" s="196" t="s">
        <v>83</v>
      </c>
      <c r="N137" s="196" t="s">
        <v>30</v>
      </c>
      <c r="O137" s="196" t="s">
        <v>15</v>
      </c>
      <c r="Q137" s="195">
        <v>6</v>
      </c>
      <c r="R137" s="195">
        <v>17</v>
      </c>
      <c r="S137" s="195">
        <v>16</v>
      </c>
      <c r="T137" s="195">
        <v>10</v>
      </c>
      <c r="U137" s="195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5">
        <v>134</v>
      </c>
      <c r="K138" s="196" t="s">
        <v>16</v>
      </c>
      <c r="L138" s="196" t="s">
        <v>29</v>
      </c>
      <c r="M138" s="196" t="s">
        <v>98</v>
      </c>
      <c r="N138" s="196" t="s">
        <v>88</v>
      </c>
      <c r="O138" s="196" t="s">
        <v>29</v>
      </c>
      <c r="Q138" s="195">
        <v>3</v>
      </c>
      <c r="R138" s="195">
        <v>8</v>
      </c>
      <c r="S138" s="195">
        <v>15</v>
      </c>
      <c r="T138" s="195">
        <v>19</v>
      </c>
      <c r="U138" s="195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6" t="s">
        <v>29</v>
      </c>
      <c r="L139" s="196" t="s">
        <v>14</v>
      </c>
      <c r="M139" s="196" t="s">
        <v>82</v>
      </c>
      <c r="N139" s="196" t="s">
        <v>14</v>
      </c>
      <c r="O139" s="196" t="s">
        <v>15</v>
      </c>
      <c r="Q139" s="195">
        <v>8</v>
      </c>
      <c r="R139" s="195">
        <v>1</v>
      </c>
      <c r="S139" s="195">
        <v>14</v>
      </c>
      <c r="T139" s="195">
        <v>1</v>
      </c>
      <c r="U139" s="195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5">
        <v>136</v>
      </c>
      <c r="K140" s="196" t="s">
        <v>97</v>
      </c>
      <c r="L140" s="196" t="s">
        <v>83</v>
      </c>
      <c r="M140" s="196" t="s">
        <v>88</v>
      </c>
      <c r="N140" s="196" t="s">
        <v>31</v>
      </c>
      <c r="O140" s="196" t="s">
        <v>97</v>
      </c>
      <c r="Q140" s="195">
        <v>6</v>
      </c>
      <c r="R140" s="195">
        <v>16</v>
      </c>
      <c r="S140" s="195">
        <v>19</v>
      </c>
      <c r="T140" s="195">
        <v>7</v>
      </c>
      <c r="U140" s="195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6" t="s">
        <v>29</v>
      </c>
      <c r="L141" s="196" t="s">
        <v>13</v>
      </c>
      <c r="M141" s="196" t="s">
        <v>82</v>
      </c>
      <c r="N141" s="196" t="s">
        <v>30</v>
      </c>
      <c r="O141" s="196" t="s">
        <v>30</v>
      </c>
      <c r="Q141" s="195">
        <v>8</v>
      </c>
      <c r="R141" s="195">
        <v>5</v>
      </c>
      <c r="S141" s="195">
        <v>14</v>
      </c>
      <c r="T141" s="195">
        <v>10</v>
      </c>
      <c r="U141" s="195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5">
        <v>138</v>
      </c>
      <c r="K142" s="196" t="s">
        <v>31</v>
      </c>
      <c r="L142" s="196" t="s">
        <v>29</v>
      </c>
      <c r="M142" s="196" t="s">
        <v>98</v>
      </c>
      <c r="N142" s="196" t="s">
        <v>30</v>
      </c>
      <c r="O142" s="196" t="s">
        <v>28</v>
      </c>
      <c r="Q142" s="195">
        <v>7</v>
      </c>
      <c r="R142" s="195">
        <v>8</v>
      </c>
      <c r="S142" s="195">
        <v>15</v>
      </c>
      <c r="T142" s="195">
        <v>10</v>
      </c>
      <c r="U142" s="195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6" t="s">
        <v>16</v>
      </c>
      <c r="L143" s="196" t="s">
        <v>30</v>
      </c>
      <c r="M143" s="196" t="s">
        <v>82</v>
      </c>
      <c r="N143" s="196" t="s">
        <v>12</v>
      </c>
      <c r="O143" s="196" t="s">
        <v>31</v>
      </c>
      <c r="Q143" s="195">
        <v>3</v>
      </c>
      <c r="R143" s="195">
        <v>10</v>
      </c>
      <c r="S143" s="195">
        <v>14</v>
      </c>
      <c r="T143" s="195">
        <v>4</v>
      </c>
      <c r="U143" s="195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5">
        <v>140</v>
      </c>
      <c r="K144" s="196" t="s">
        <v>31</v>
      </c>
      <c r="L144" s="196" t="s">
        <v>95</v>
      </c>
      <c r="M144" s="196" t="s">
        <v>95</v>
      </c>
      <c r="N144" s="196" t="s">
        <v>30</v>
      </c>
      <c r="O144" s="196" t="s">
        <v>12</v>
      </c>
      <c r="Q144" s="195">
        <v>7</v>
      </c>
      <c r="R144" s="195">
        <v>17</v>
      </c>
      <c r="S144" s="195">
        <v>17</v>
      </c>
      <c r="T144" s="195">
        <v>10</v>
      </c>
      <c r="U144" s="195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6" t="s">
        <v>30</v>
      </c>
      <c r="L145" s="196" t="s">
        <v>28</v>
      </c>
      <c r="M145" s="196" t="s">
        <v>83</v>
      </c>
      <c r="N145" s="196" t="s">
        <v>30</v>
      </c>
      <c r="O145" s="196" t="s">
        <v>12</v>
      </c>
      <c r="Q145" s="195">
        <v>10</v>
      </c>
      <c r="R145" s="195">
        <v>9</v>
      </c>
      <c r="S145" s="195">
        <v>16</v>
      </c>
      <c r="T145" s="195">
        <v>10</v>
      </c>
      <c r="U145" s="195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5">
        <v>142</v>
      </c>
      <c r="K146" s="196" t="s">
        <v>31</v>
      </c>
      <c r="L146" s="196" t="s">
        <v>83</v>
      </c>
      <c r="M146" s="196" t="s">
        <v>98</v>
      </c>
      <c r="N146" s="196" t="s">
        <v>30</v>
      </c>
      <c r="O146" s="196" t="s">
        <v>97</v>
      </c>
      <c r="Q146" s="195">
        <v>7</v>
      </c>
      <c r="R146" s="195">
        <v>16</v>
      </c>
      <c r="S146" s="195">
        <v>15</v>
      </c>
      <c r="T146" s="195">
        <v>10</v>
      </c>
      <c r="U146" s="195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6" t="s">
        <v>31</v>
      </c>
      <c r="L147" s="196" t="s">
        <v>15</v>
      </c>
      <c r="M147" s="196" t="s">
        <v>82</v>
      </c>
      <c r="N147" s="196" t="s">
        <v>81</v>
      </c>
      <c r="O147" s="196" t="s">
        <v>12</v>
      </c>
      <c r="Q147" s="195">
        <v>7</v>
      </c>
      <c r="R147" s="195">
        <v>2</v>
      </c>
      <c r="S147" s="195">
        <v>14</v>
      </c>
      <c r="T147" s="195">
        <v>13</v>
      </c>
      <c r="U147" s="195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5">
        <v>144</v>
      </c>
      <c r="K148" s="196" t="s">
        <v>13</v>
      </c>
      <c r="L148" s="196" t="s">
        <v>16</v>
      </c>
      <c r="M148" s="196" t="s">
        <v>98</v>
      </c>
      <c r="N148" s="196" t="s">
        <v>98</v>
      </c>
      <c r="O148" s="196" t="s">
        <v>15</v>
      </c>
      <c r="Q148" s="195">
        <v>5</v>
      </c>
      <c r="R148" s="195">
        <v>3</v>
      </c>
      <c r="S148" s="195">
        <v>15</v>
      </c>
      <c r="T148" s="195">
        <v>15</v>
      </c>
      <c r="U148" s="195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6" t="s">
        <v>31</v>
      </c>
      <c r="L149" s="196" t="s">
        <v>80</v>
      </c>
      <c r="M149" s="196" t="s">
        <v>82</v>
      </c>
      <c r="N149" s="196" t="s">
        <v>95</v>
      </c>
      <c r="O149" s="196" t="s">
        <v>15</v>
      </c>
      <c r="Q149" s="195">
        <v>7</v>
      </c>
      <c r="R149" s="195">
        <v>12</v>
      </c>
      <c r="S149" s="195">
        <v>14</v>
      </c>
      <c r="T149" s="195">
        <v>17</v>
      </c>
      <c r="U149" s="195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5">
        <v>146</v>
      </c>
      <c r="K150" s="196" t="s">
        <v>97</v>
      </c>
      <c r="L150" s="196" t="s">
        <v>31</v>
      </c>
      <c r="M150" s="196" t="s">
        <v>98</v>
      </c>
      <c r="N150" s="196" t="s">
        <v>12</v>
      </c>
      <c r="O150" s="196" t="s">
        <v>30</v>
      </c>
      <c r="Q150" s="195">
        <v>6</v>
      </c>
      <c r="R150" s="195">
        <v>7</v>
      </c>
      <c r="S150" s="195">
        <v>15</v>
      </c>
      <c r="T150" s="195">
        <v>4</v>
      </c>
      <c r="U150" s="195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6" t="s">
        <v>31</v>
      </c>
      <c r="L151" s="196" t="s">
        <v>30</v>
      </c>
      <c r="M151" s="196" t="s">
        <v>82</v>
      </c>
      <c r="N151" s="196" t="s">
        <v>80</v>
      </c>
      <c r="O151" s="196" t="s">
        <v>28</v>
      </c>
      <c r="Q151" s="195">
        <v>7</v>
      </c>
      <c r="R151" s="195">
        <v>10</v>
      </c>
      <c r="S151" s="195">
        <v>14</v>
      </c>
      <c r="T151" s="195">
        <v>12</v>
      </c>
      <c r="U151" s="195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5">
        <v>148</v>
      </c>
      <c r="K152" s="196" t="s">
        <v>31</v>
      </c>
      <c r="L152" s="196" t="s">
        <v>86</v>
      </c>
      <c r="M152" s="196" t="s">
        <v>83</v>
      </c>
      <c r="N152" s="196" t="s">
        <v>30</v>
      </c>
      <c r="O152" s="196" t="s">
        <v>12</v>
      </c>
      <c r="Q152" s="195">
        <v>7</v>
      </c>
      <c r="R152" s="195">
        <v>18</v>
      </c>
      <c r="S152" s="195">
        <v>16</v>
      </c>
      <c r="T152" s="195">
        <v>10</v>
      </c>
      <c r="U152" s="195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6" t="s">
        <v>97</v>
      </c>
      <c r="L153" s="196" t="s">
        <v>98</v>
      </c>
      <c r="M153" s="196" t="s">
        <v>98</v>
      </c>
      <c r="N153" s="196" t="s">
        <v>31</v>
      </c>
      <c r="O153" s="196" t="s">
        <v>15</v>
      </c>
      <c r="Q153" s="195">
        <v>6</v>
      </c>
      <c r="R153" s="195">
        <v>15</v>
      </c>
      <c r="S153" s="195">
        <v>15</v>
      </c>
      <c r="T153" s="195">
        <v>7</v>
      </c>
      <c r="U153" s="195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5">
        <v>150</v>
      </c>
      <c r="K154" s="196" t="s">
        <v>31</v>
      </c>
      <c r="L154" s="196" t="s">
        <v>31</v>
      </c>
      <c r="M154" s="196" t="s">
        <v>95</v>
      </c>
      <c r="N154" s="196" t="s">
        <v>28</v>
      </c>
      <c r="O154" s="196" t="s">
        <v>16</v>
      </c>
      <c r="Q154" s="195">
        <v>7</v>
      </c>
      <c r="R154" s="195">
        <v>7</v>
      </c>
      <c r="S154" s="195">
        <v>17</v>
      </c>
      <c r="T154" s="195">
        <v>9</v>
      </c>
      <c r="U154" s="195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6" t="s">
        <v>13</v>
      </c>
      <c r="L155" s="196" t="s">
        <v>29</v>
      </c>
      <c r="M155" s="196" t="s">
        <v>98</v>
      </c>
      <c r="N155" s="196" t="s">
        <v>15</v>
      </c>
      <c r="O155" s="196" t="s">
        <v>30</v>
      </c>
      <c r="Q155" s="195">
        <v>5</v>
      </c>
      <c r="R155" s="195">
        <v>8</v>
      </c>
      <c r="S155" s="195">
        <v>15</v>
      </c>
      <c r="T155" s="195">
        <v>2</v>
      </c>
      <c r="U155" s="195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5">
        <v>152</v>
      </c>
      <c r="K156" s="196" t="s">
        <v>31</v>
      </c>
      <c r="L156" s="196" t="s">
        <v>79</v>
      </c>
      <c r="M156" s="196" t="s">
        <v>95</v>
      </c>
      <c r="N156" s="196" t="s">
        <v>14</v>
      </c>
      <c r="O156" s="196" t="s">
        <v>28</v>
      </c>
      <c r="Q156" s="195">
        <v>7</v>
      </c>
      <c r="R156" s="195">
        <v>11</v>
      </c>
      <c r="S156" s="195">
        <v>17</v>
      </c>
      <c r="T156" s="195">
        <v>1</v>
      </c>
      <c r="U156" s="195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6" t="s">
        <v>97</v>
      </c>
      <c r="L157" s="196" t="s">
        <v>31</v>
      </c>
      <c r="M157" s="196" t="s">
        <v>98</v>
      </c>
      <c r="N157" s="196" t="s">
        <v>16</v>
      </c>
      <c r="O157" s="196" t="s">
        <v>12</v>
      </c>
      <c r="Q157" s="195">
        <v>6</v>
      </c>
      <c r="R157" s="195">
        <v>7</v>
      </c>
      <c r="S157" s="195">
        <v>15</v>
      </c>
      <c r="T157" s="195">
        <v>3</v>
      </c>
      <c r="U157" s="195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5">
        <v>154</v>
      </c>
      <c r="K158" s="196" t="s">
        <v>13</v>
      </c>
      <c r="L158" s="196" t="s">
        <v>97</v>
      </c>
      <c r="M158" s="196" t="s">
        <v>83</v>
      </c>
      <c r="N158" s="196" t="s">
        <v>13</v>
      </c>
      <c r="O158" s="196" t="s">
        <v>97</v>
      </c>
      <c r="Q158" s="195">
        <v>5</v>
      </c>
      <c r="R158" s="195">
        <v>6</v>
      </c>
      <c r="S158" s="195">
        <v>16</v>
      </c>
      <c r="T158" s="195">
        <v>5</v>
      </c>
      <c r="U158" s="195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6" t="s">
        <v>29</v>
      </c>
      <c r="L159" s="196" t="s">
        <v>86</v>
      </c>
      <c r="M159" s="196" t="s">
        <v>95</v>
      </c>
      <c r="N159" s="196" t="s">
        <v>28</v>
      </c>
      <c r="O159" s="196" t="s">
        <v>15</v>
      </c>
      <c r="Q159" s="195">
        <v>8</v>
      </c>
      <c r="R159" s="195">
        <v>18</v>
      </c>
      <c r="S159" s="195">
        <v>17</v>
      </c>
      <c r="T159" s="195">
        <v>9</v>
      </c>
      <c r="U159" s="195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5">
        <v>156</v>
      </c>
      <c r="K160" s="196" t="s">
        <v>13</v>
      </c>
      <c r="L160" s="196" t="s">
        <v>95</v>
      </c>
      <c r="M160" s="196" t="s">
        <v>83</v>
      </c>
      <c r="N160" s="196" t="s">
        <v>28</v>
      </c>
      <c r="O160" s="196" t="s">
        <v>97</v>
      </c>
      <c r="Q160" s="195">
        <v>5</v>
      </c>
      <c r="R160" s="195">
        <v>17</v>
      </c>
      <c r="S160" s="195">
        <v>16</v>
      </c>
      <c r="T160" s="195">
        <v>9</v>
      </c>
      <c r="U160" s="195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6" t="s">
        <v>29</v>
      </c>
      <c r="L161" s="196" t="s">
        <v>97</v>
      </c>
      <c r="M161" s="196" t="s">
        <v>95</v>
      </c>
      <c r="N161" s="196" t="s">
        <v>12</v>
      </c>
      <c r="O161" s="196" t="s">
        <v>13</v>
      </c>
      <c r="Q161" s="195">
        <v>8</v>
      </c>
      <c r="R161" s="195">
        <v>6</v>
      </c>
      <c r="S161" s="195">
        <v>17</v>
      </c>
      <c r="T161" s="195">
        <v>4</v>
      </c>
      <c r="U161" s="195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5">
        <v>158</v>
      </c>
      <c r="K162" s="196" t="s">
        <v>31</v>
      </c>
      <c r="L162" s="196" t="s">
        <v>31</v>
      </c>
      <c r="M162" s="196" t="s">
        <v>83</v>
      </c>
      <c r="N162" s="196" t="s">
        <v>80</v>
      </c>
      <c r="O162" s="196" t="s">
        <v>13</v>
      </c>
      <c r="Q162" s="195">
        <v>7</v>
      </c>
      <c r="R162" s="195">
        <v>7</v>
      </c>
      <c r="S162" s="195">
        <v>16</v>
      </c>
      <c r="T162" s="195">
        <v>12</v>
      </c>
      <c r="U162" s="195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6" t="s">
        <v>97</v>
      </c>
      <c r="L163" s="196" t="s">
        <v>83</v>
      </c>
      <c r="M163" s="196" t="s">
        <v>95</v>
      </c>
      <c r="N163" s="196" t="s">
        <v>13</v>
      </c>
      <c r="O163" s="196" t="s">
        <v>30</v>
      </c>
      <c r="Q163" s="195">
        <v>6</v>
      </c>
      <c r="R163" s="195">
        <v>16</v>
      </c>
      <c r="S163" s="195">
        <v>17</v>
      </c>
      <c r="T163" s="195">
        <v>5</v>
      </c>
      <c r="U163" s="195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5">
        <v>160</v>
      </c>
      <c r="K164" s="196" t="s">
        <v>13</v>
      </c>
      <c r="L164" s="196" t="s">
        <v>31</v>
      </c>
      <c r="M164" s="196" t="s">
        <v>82</v>
      </c>
      <c r="N164" s="196" t="s">
        <v>15</v>
      </c>
      <c r="O164" s="196" t="s">
        <v>16</v>
      </c>
      <c r="Q164" s="195">
        <v>5</v>
      </c>
      <c r="R164" s="195">
        <v>7</v>
      </c>
      <c r="S164" s="195">
        <v>14</v>
      </c>
      <c r="T164" s="195">
        <v>2</v>
      </c>
      <c r="U164" s="195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6" t="s">
        <v>29</v>
      </c>
      <c r="L165" s="196" t="s">
        <v>79</v>
      </c>
      <c r="M165" s="196" t="s">
        <v>95</v>
      </c>
      <c r="N165" s="196" t="s">
        <v>29</v>
      </c>
      <c r="O165" s="196" t="s">
        <v>29</v>
      </c>
      <c r="Q165" s="195">
        <v>8</v>
      </c>
      <c r="R165" s="195">
        <v>11</v>
      </c>
      <c r="S165" s="195">
        <v>17</v>
      </c>
      <c r="T165" s="195">
        <v>8</v>
      </c>
      <c r="U165" s="195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5">
        <v>162</v>
      </c>
      <c r="K166" s="196" t="s">
        <v>31</v>
      </c>
      <c r="L166" s="196" t="s">
        <v>28</v>
      </c>
      <c r="M166" s="196" t="s">
        <v>82</v>
      </c>
      <c r="N166" s="196" t="s">
        <v>16</v>
      </c>
      <c r="O166" s="196" t="s">
        <v>16</v>
      </c>
      <c r="Q166" s="195">
        <v>7</v>
      </c>
      <c r="R166" s="195">
        <v>9</v>
      </c>
      <c r="S166" s="195">
        <v>14</v>
      </c>
      <c r="T166" s="195">
        <v>3</v>
      </c>
      <c r="U166" s="195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6" t="s">
        <v>29</v>
      </c>
      <c r="L167" s="196" t="s">
        <v>29</v>
      </c>
      <c r="M167" s="196" t="s">
        <v>83</v>
      </c>
      <c r="N167" s="196" t="s">
        <v>13</v>
      </c>
      <c r="O167" s="196" t="s">
        <v>16</v>
      </c>
      <c r="Q167" s="195">
        <v>8</v>
      </c>
      <c r="R167" s="195">
        <v>8</v>
      </c>
      <c r="S167" s="195">
        <v>16</v>
      </c>
      <c r="T167" s="195">
        <v>5</v>
      </c>
      <c r="U167" s="195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5">
        <v>164</v>
      </c>
      <c r="K168" s="196" t="s">
        <v>13</v>
      </c>
      <c r="L168" s="196" t="s">
        <v>82</v>
      </c>
      <c r="M168" s="196" t="s">
        <v>95</v>
      </c>
      <c r="N168" s="196" t="s">
        <v>82</v>
      </c>
      <c r="O168" s="196" t="s">
        <v>30</v>
      </c>
      <c r="Q168" s="195">
        <v>5</v>
      </c>
      <c r="R168" s="195">
        <v>14</v>
      </c>
      <c r="S168" s="195">
        <v>17</v>
      </c>
      <c r="T168" s="195">
        <v>14</v>
      </c>
      <c r="U168" s="195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6" t="s">
        <v>13</v>
      </c>
      <c r="L169" s="196" t="s">
        <v>31</v>
      </c>
      <c r="M169" s="196" t="s">
        <v>83</v>
      </c>
      <c r="N169" s="196" t="s">
        <v>30</v>
      </c>
      <c r="O169" s="196" t="s">
        <v>16</v>
      </c>
      <c r="Q169" s="195">
        <v>5</v>
      </c>
      <c r="R169" s="195">
        <v>7</v>
      </c>
      <c r="S169" s="195">
        <v>16</v>
      </c>
      <c r="T169" s="195">
        <v>10</v>
      </c>
      <c r="U169" s="195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5">
        <v>166</v>
      </c>
      <c r="K170" s="196" t="s">
        <v>97</v>
      </c>
      <c r="L170" s="196" t="s">
        <v>95</v>
      </c>
      <c r="M170" s="196" t="s">
        <v>82</v>
      </c>
      <c r="N170" s="196" t="s">
        <v>83</v>
      </c>
      <c r="O170" s="196" t="s">
        <v>97</v>
      </c>
      <c r="Q170" s="195">
        <v>6</v>
      </c>
      <c r="R170" s="195">
        <v>17</v>
      </c>
      <c r="S170" s="195">
        <v>14</v>
      </c>
      <c r="T170" s="195">
        <v>16</v>
      </c>
      <c r="U170" s="195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6" t="s">
        <v>29</v>
      </c>
      <c r="L171" s="196" t="s">
        <v>29</v>
      </c>
      <c r="M171" s="196" t="s">
        <v>83</v>
      </c>
      <c r="N171" s="196" t="s">
        <v>28</v>
      </c>
      <c r="O171" s="196" t="s">
        <v>12</v>
      </c>
      <c r="Q171" s="195">
        <v>8</v>
      </c>
      <c r="R171" s="195">
        <v>8</v>
      </c>
      <c r="S171" s="195">
        <v>16</v>
      </c>
      <c r="T171" s="195">
        <v>9</v>
      </c>
      <c r="U171" s="195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5">
        <v>168</v>
      </c>
      <c r="K172" s="196" t="s">
        <v>97</v>
      </c>
      <c r="L172" s="196" t="s">
        <v>12</v>
      </c>
      <c r="M172" s="196" t="s">
        <v>95</v>
      </c>
      <c r="N172" s="196" t="s">
        <v>15</v>
      </c>
      <c r="O172" s="196" t="s">
        <v>28</v>
      </c>
      <c r="Q172" s="195">
        <v>6</v>
      </c>
      <c r="R172" s="195">
        <v>4</v>
      </c>
      <c r="S172" s="195">
        <v>17</v>
      </c>
      <c r="T172" s="195">
        <v>2</v>
      </c>
      <c r="U172" s="195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6" t="s">
        <v>97</v>
      </c>
      <c r="L173" s="196" t="s">
        <v>97</v>
      </c>
      <c r="M173" s="196" t="s">
        <v>98</v>
      </c>
      <c r="N173" s="196" t="s">
        <v>28</v>
      </c>
      <c r="O173" s="196" t="s">
        <v>12</v>
      </c>
      <c r="Q173" s="195">
        <v>6</v>
      </c>
      <c r="R173" s="195">
        <v>6</v>
      </c>
      <c r="S173" s="195">
        <v>15</v>
      </c>
      <c r="T173" s="195">
        <v>9</v>
      </c>
      <c r="U173" s="195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5">
        <v>170</v>
      </c>
      <c r="K174" s="196" t="s">
        <v>29</v>
      </c>
      <c r="L174" s="196" t="s">
        <v>81</v>
      </c>
      <c r="M174" s="196" t="s">
        <v>95</v>
      </c>
      <c r="N174" s="196" t="s">
        <v>30</v>
      </c>
      <c r="O174" s="196" t="s">
        <v>31</v>
      </c>
      <c r="Q174" s="195">
        <v>8</v>
      </c>
      <c r="R174" s="195">
        <v>13</v>
      </c>
      <c r="S174" s="195">
        <v>17</v>
      </c>
      <c r="T174" s="195">
        <v>10</v>
      </c>
      <c r="U174" s="195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6" t="s">
        <v>29</v>
      </c>
      <c r="L175" s="196" t="s">
        <v>95</v>
      </c>
      <c r="M175" s="196" t="s">
        <v>82</v>
      </c>
      <c r="N175" s="196" t="s">
        <v>12</v>
      </c>
      <c r="O175" s="196" t="s">
        <v>15</v>
      </c>
      <c r="Q175" s="195">
        <v>8</v>
      </c>
      <c r="R175" s="195">
        <v>17</v>
      </c>
      <c r="S175" s="195">
        <v>14</v>
      </c>
      <c r="T175" s="195">
        <v>4</v>
      </c>
      <c r="U175" s="195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5">
        <v>172</v>
      </c>
      <c r="K176" s="196" t="s">
        <v>29</v>
      </c>
      <c r="L176" s="196" t="s">
        <v>97</v>
      </c>
      <c r="M176" s="196" t="s">
        <v>95</v>
      </c>
      <c r="N176" s="196" t="s">
        <v>86</v>
      </c>
      <c r="O176" s="196" t="s">
        <v>28</v>
      </c>
      <c r="Q176" s="195">
        <v>8</v>
      </c>
      <c r="R176" s="195">
        <v>6</v>
      </c>
      <c r="S176" s="195">
        <v>17</v>
      </c>
      <c r="T176" s="195">
        <v>18</v>
      </c>
      <c r="U176" s="195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6" t="s">
        <v>31</v>
      </c>
      <c r="L177" s="196" t="s">
        <v>15</v>
      </c>
      <c r="M177" s="196" t="s">
        <v>98</v>
      </c>
      <c r="N177" s="196" t="s">
        <v>16</v>
      </c>
      <c r="O177" s="196" t="s">
        <v>97</v>
      </c>
      <c r="Q177" s="195">
        <v>7</v>
      </c>
      <c r="R177" s="195">
        <v>2</v>
      </c>
      <c r="S177" s="195">
        <v>15</v>
      </c>
      <c r="T177" s="195">
        <v>3</v>
      </c>
      <c r="U177" s="195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5">
        <v>174</v>
      </c>
      <c r="K178" s="196" t="s">
        <v>31</v>
      </c>
      <c r="L178" s="196" t="s">
        <v>82</v>
      </c>
      <c r="M178" s="196" t="s">
        <v>83</v>
      </c>
      <c r="N178" s="196" t="s">
        <v>28</v>
      </c>
      <c r="O178" s="196" t="s">
        <v>97</v>
      </c>
      <c r="Q178" s="195">
        <v>7</v>
      </c>
      <c r="R178" s="195">
        <v>14</v>
      </c>
      <c r="S178" s="195">
        <v>16</v>
      </c>
      <c r="T178" s="195">
        <v>9</v>
      </c>
      <c r="U178" s="195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6" t="s">
        <v>97</v>
      </c>
      <c r="L179" s="196" t="s">
        <v>31</v>
      </c>
      <c r="M179" s="196" t="s">
        <v>81</v>
      </c>
      <c r="N179" s="196" t="s">
        <v>15</v>
      </c>
      <c r="O179" s="196" t="s">
        <v>12</v>
      </c>
      <c r="Q179" s="195">
        <v>6</v>
      </c>
      <c r="R179" s="195">
        <v>7</v>
      </c>
      <c r="S179" s="195">
        <v>13</v>
      </c>
      <c r="T179" s="195">
        <v>2</v>
      </c>
      <c r="U179" s="195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5">
        <v>176</v>
      </c>
      <c r="K180" s="196" t="s">
        <v>97</v>
      </c>
      <c r="L180" s="196" t="s">
        <v>29</v>
      </c>
      <c r="M180" s="196" t="s">
        <v>95</v>
      </c>
      <c r="N180" s="196" t="s">
        <v>28</v>
      </c>
      <c r="O180" s="196" t="s">
        <v>12</v>
      </c>
      <c r="Q180" s="195">
        <v>6</v>
      </c>
      <c r="R180" s="195">
        <v>8</v>
      </c>
      <c r="S180" s="195">
        <v>17</v>
      </c>
      <c r="T180" s="195">
        <v>9</v>
      </c>
      <c r="U180" s="195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6" t="s">
        <v>13</v>
      </c>
      <c r="L181" s="196" t="s">
        <v>86</v>
      </c>
      <c r="M181" s="196" t="s">
        <v>80</v>
      </c>
      <c r="N181" s="196" t="s">
        <v>29</v>
      </c>
      <c r="O181" s="196" t="s">
        <v>29</v>
      </c>
      <c r="Q181" s="195">
        <v>5</v>
      </c>
      <c r="R181" s="195">
        <v>18</v>
      </c>
      <c r="S181" s="195">
        <v>12</v>
      </c>
      <c r="T181" s="195">
        <v>8</v>
      </c>
      <c r="U181" s="195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5">
        <v>178</v>
      </c>
      <c r="K182" s="196" t="s">
        <v>31</v>
      </c>
      <c r="L182" s="196" t="s">
        <v>29</v>
      </c>
      <c r="M182" s="196" t="s">
        <v>82</v>
      </c>
      <c r="N182" s="196" t="s">
        <v>29</v>
      </c>
      <c r="O182" s="196" t="s">
        <v>30</v>
      </c>
      <c r="Q182" s="195">
        <v>7</v>
      </c>
      <c r="R182" s="195">
        <v>8</v>
      </c>
      <c r="S182" s="195">
        <v>14</v>
      </c>
      <c r="T182" s="195">
        <v>8</v>
      </c>
      <c r="U182" s="195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6" t="s">
        <v>97</v>
      </c>
      <c r="L183" s="196" t="s">
        <v>13</v>
      </c>
      <c r="M183" s="196" t="s">
        <v>98</v>
      </c>
      <c r="N183" s="196" t="s">
        <v>13</v>
      </c>
      <c r="O183" s="196" t="s">
        <v>15</v>
      </c>
      <c r="Q183" s="195">
        <v>6</v>
      </c>
      <c r="R183" s="195">
        <v>5</v>
      </c>
      <c r="S183" s="195">
        <v>15</v>
      </c>
      <c r="T183" s="195">
        <v>5</v>
      </c>
      <c r="U183" s="195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5">
        <v>180</v>
      </c>
      <c r="K184" s="196" t="s">
        <v>31</v>
      </c>
      <c r="L184" s="196" t="s">
        <v>95</v>
      </c>
      <c r="M184" s="196" t="s">
        <v>95</v>
      </c>
      <c r="N184" s="196" t="s">
        <v>12</v>
      </c>
      <c r="O184" s="196" t="s">
        <v>12</v>
      </c>
      <c r="Q184" s="195">
        <v>7</v>
      </c>
      <c r="R184" s="195">
        <v>17</v>
      </c>
      <c r="S184" s="195">
        <v>17</v>
      </c>
      <c r="T184" s="195">
        <v>4</v>
      </c>
      <c r="U184" s="195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6" t="s">
        <v>13</v>
      </c>
      <c r="L185" s="196" t="s">
        <v>81</v>
      </c>
      <c r="M185" s="196" t="s">
        <v>83</v>
      </c>
      <c r="N185" s="196" t="s">
        <v>15</v>
      </c>
      <c r="O185" s="196" t="s">
        <v>30</v>
      </c>
      <c r="Q185" s="195">
        <v>5</v>
      </c>
      <c r="R185" s="195">
        <v>13</v>
      </c>
      <c r="S185" s="195">
        <v>16</v>
      </c>
      <c r="T185" s="195">
        <v>2</v>
      </c>
      <c r="U185" s="195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5">
        <v>182</v>
      </c>
      <c r="K186" s="196" t="s">
        <v>31</v>
      </c>
      <c r="L186" s="196" t="s">
        <v>97</v>
      </c>
      <c r="M186" s="196" t="s">
        <v>82</v>
      </c>
      <c r="N186" s="196" t="s">
        <v>15</v>
      </c>
      <c r="O186" s="196" t="s">
        <v>30</v>
      </c>
      <c r="Q186" s="195">
        <v>7</v>
      </c>
      <c r="R186" s="195">
        <v>6</v>
      </c>
      <c r="S186" s="195">
        <v>14</v>
      </c>
      <c r="T186" s="195">
        <v>2</v>
      </c>
      <c r="U186" s="195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6" t="s">
        <v>97</v>
      </c>
      <c r="L187" s="196" t="s">
        <v>15</v>
      </c>
      <c r="M187" s="196" t="s">
        <v>98</v>
      </c>
      <c r="N187" s="196" t="s">
        <v>12</v>
      </c>
      <c r="O187" s="196" t="s">
        <v>28</v>
      </c>
      <c r="Q187" s="195">
        <v>6</v>
      </c>
      <c r="R187" s="195">
        <v>2</v>
      </c>
      <c r="S187" s="195">
        <v>15</v>
      </c>
      <c r="T187" s="195">
        <v>4</v>
      </c>
      <c r="U187" s="195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5">
        <v>184</v>
      </c>
      <c r="K188" s="196" t="s">
        <v>13</v>
      </c>
      <c r="L188" s="196" t="s">
        <v>98</v>
      </c>
      <c r="M188" s="196" t="s">
        <v>83</v>
      </c>
      <c r="N188" s="196" t="s">
        <v>12</v>
      </c>
      <c r="O188" s="196" t="s">
        <v>30</v>
      </c>
      <c r="Q188" s="195">
        <v>5</v>
      </c>
      <c r="R188" s="195">
        <v>15</v>
      </c>
      <c r="S188" s="195">
        <v>16</v>
      </c>
      <c r="T188" s="195">
        <v>4</v>
      </c>
      <c r="U188" s="195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6" t="s">
        <v>29</v>
      </c>
      <c r="L189" s="196" t="s">
        <v>97</v>
      </c>
      <c r="M189" s="196" t="s">
        <v>98</v>
      </c>
      <c r="N189" s="196" t="s">
        <v>12</v>
      </c>
      <c r="O189" s="196" t="s">
        <v>12</v>
      </c>
      <c r="Q189" s="195">
        <v>8</v>
      </c>
      <c r="R189" s="195">
        <v>6</v>
      </c>
      <c r="S189" s="195">
        <v>15</v>
      </c>
      <c r="T189" s="195">
        <v>4</v>
      </c>
      <c r="U189" s="195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5">
        <v>186</v>
      </c>
      <c r="K190" s="196" t="s">
        <v>31</v>
      </c>
      <c r="L190" s="196" t="s">
        <v>97</v>
      </c>
      <c r="M190" s="196" t="s">
        <v>82</v>
      </c>
      <c r="N190" s="196" t="s">
        <v>30</v>
      </c>
      <c r="O190" s="196" t="s">
        <v>12</v>
      </c>
      <c r="Q190" s="195">
        <v>7</v>
      </c>
      <c r="R190" s="195">
        <v>6</v>
      </c>
      <c r="S190" s="195">
        <v>14</v>
      </c>
      <c r="T190" s="195">
        <v>10</v>
      </c>
      <c r="U190" s="195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6" t="s">
        <v>29</v>
      </c>
      <c r="L191" s="196" t="s">
        <v>31</v>
      </c>
      <c r="M191" s="196" t="s">
        <v>95</v>
      </c>
      <c r="N191" s="196" t="s">
        <v>31</v>
      </c>
      <c r="O191" s="196" t="s">
        <v>13</v>
      </c>
      <c r="Q191" s="195">
        <v>8</v>
      </c>
      <c r="R191" s="195">
        <v>7</v>
      </c>
      <c r="S191" s="195">
        <v>17</v>
      </c>
      <c r="T191" s="195">
        <v>7</v>
      </c>
      <c r="U191" s="195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5">
        <v>188</v>
      </c>
      <c r="K192" s="196" t="s">
        <v>13</v>
      </c>
      <c r="L192" s="196" t="s">
        <v>83</v>
      </c>
      <c r="M192" s="196" t="s">
        <v>82</v>
      </c>
      <c r="N192" s="196" t="s">
        <v>15</v>
      </c>
      <c r="O192" s="196" t="s">
        <v>31</v>
      </c>
      <c r="Q192" s="195">
        <v>5</v>
      </c>
      <c r="R192" s="195">
        <v>16</v>
      </c>
      <c r="S192" s="195">
        <v>14</v>
      </c>
      <c r="T192" s="195">
        <v>2</v>
      </c>
      <c r="U192" s="195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6" t="s">
        <v>13</v>
      </c>
      <c r="L193" s="196" t="s">
        <v>29</v>
      </c>
      <c r="M193" s="196" t="s">
        <v>98</v>
      </c>
      <c r="N193" s="196" t="s">
        <v>28</v>
      </c>
      <c r="O193" s="196" t="s">
        <v>12</v>
      </c>
      <c r="Q193" s="195">
        <v>5</v>
      </c>
      <c r="R193" s="195">
        <v>8</v>
      </c>
      <c r="S193" s="195">
        <v>15</v>
      </c>
      <c r="T193" s="195">
        <v>9</v>
      </c>
      <c r="U193" s="195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5">
        <v>190</v>
      </c>
      <c r="K194" s="196" t="s">
        <v>29</v>
      </c>
      <c r="L194" s="196" t="s">
        <v>29</v>
      </c>
      <c r="M194" s="196" t="s">
        <v>83</v>
      </c>
      <c r="N194" s="196" t="s">
        <v>29</v>
      </c>
      <c r="O194" s="196" t="s">
        <v>30</v>
      </c>
      <c r="Q194" s="195">
        <v>8</v>
      </c>
      <c r="R194" s="195">
        <v>8</v>
      </c>
      <c r="S194" s="195">
        <v>16</v>
      </c>
      <c r="T194" s="195">
        <v>8</v>
      </c>
      <c r="U194" s="195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6" t="s">
        <v>31</v>
      </c>
      <c r="L195" s="196" t="s">
        <v>95</v>
      </c>
      <c r="M195" s="196" t="s">
        <v>82</v>
      </c>
      <c r="N195" s="196" t="s">
        <v>16</v>
      </c>
      <c r="O195" s="196" t="s">
        <v>30</v>
      </c>
      <c r="Q195" s="195">
        <v>7</v>
      </c>
      <c r="R195" s="195">
        <v>17</v>
      </c>
      <c r="S195" s="195">
        <v>14</v>
      </c>
      <c r="T195" s="195">
        <v>3</v>
      </c>
      <c r="U195" s="195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5">
        <v>192</v>
      </c>
      <c r="K196" s="196" t="s">
        <v>97</v>
      </c>
      <c r="L196" s="196" t="s">
        <v>80</v>
      </c>
      <c r="M196" s="196" t="s">
        <v>95</v>
      </c>
      <c r="N196" s="196" t="s">
        <v>30</v>
      </c>
      <c r="O196" s="196" t="s">
        <v>28</v>
      </c>
      <c r="Q196" s="195">
        <v>6</v>
      </c>
      <c r="R196" s="195">
        <v>12</v>
      </c>
      <c r="S196" s="195">
        <v>17</v>
      </c>
      <c r="T196" s="195">
        <v>10</v>
      </c>
      <c r="U196" s="195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6" t="s">
        <v>13</v>
      </c>
      <c r="L197" s="196" t="s">
        <v>14</v>
      </c>
      <c r="M197" s="196" t="s">
        <v>79</v>
      </c>
      <c r="N197" s="196" t="s">
        <v>28</v>
      </c>
      <c r="O197" s="196" t="s">
        <v>12</v>
      </c>
      <c r="Q197" s="195">
        <v>5</v>
      </c>
      <c r="R197" s="195">
        <v>1</v>
      </c>
      <c r="S197" s="195">
        <v>11</v>
      </c>
      <c r="T197" s="195">
        <v>9</v>
      </c>
      <c r="U197" s="195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5">
        <v>194</v>
      </c>
      <c r="K198" s="196" t="s">
        <v>13</v>
      </c>
      <c r="L198" s="196" t="s">
        <v>97</v>
      </c>
      <c r="M198" s="196" t="s">
        <v>98</v>
      </c>
      <c r="N198" s="196" t="s">
        <v>30</v>
      </c>
      <c r="O198" s="196" t="s">
        <v>28</v>
      </c>
      <c r="Q198" s="195">
        <v>5</v>
      </c>
      <c r="R198" s="195">
        <v>6</v>
      </c>
      <c r="S198" s="195">
        <v>15</v>
      </c>
      <c r="T198" s="195">
        <v>10</v>
      </c>
      <c r="U198" s="195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6" t="s">
        <v>31</v>
      </c>
      <c r="L199" s="196" t="s">
        <v>82</v>
      </c>
      <c r="M199" s="196" t="s">
        <v>83</v>
      </c>
      <c r="N199" s="196" t="s">
        <v>14</v>
      </c>
      <c r="O199" s="196" t="s">
        <v>28</v>
      </c>
      <c r="Q199" s="195">
        <v>7</v>
      </c>
      <c r="R199" s="195">
        <v>14</v>
      </c>
      <c r="S199" s="195">
        <v>16</v>
      </c>
      <c r="T199" s="195">
        <v>1</v>
      </c>
      <c r="U199" s="195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5">
        <v>196</v>
      </c>
      <c r="K200" s="196" t="s">
        <v>13</v>
      </c>
      <c r="L200" s="196" t="s">
        <v>12</v>
      </c>
      <c r="M200" s="196" t="s">
        <v>98</v>
      </c>
      <c r="N200" s="196" t="s">
        <v>13</v>
      </c>
      <c r="O200" s="196" t="s">
        <v>31</v>
      </c>
      <c r="Q200" s="195">
        <v>5</v>
      </c>
      <c r="R200" s="195">
        <v>4</v>
      </c>
      <c r="S200" s="195">
        <v>15</v>
      </c>
      <c r="T200" s="195">
        <v>5</v>
      </c>
      <c r="U200" s="195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6" t="s">
        <v>31</v>
      </c>
      <c r="L201" s="196" t="s">
        <v>12</v>
      </c>
      <c r="M201" s="196" t="s">
        <v>83</v>
      </c>
      <c r="N201" s="196" t="s">
        <v>29</v>
      </c>
      <c r="O201" s="196" t="s">
        <v>15</v>
      </c>
      <c r="Q201" s="195">
        <v>7</v>
      </c>
      <c r="R201" s="195">
        <v>4</v>
      </c>
      <c r="S201" s="195">
        <v>16</v>
      </c>
      <c r="T201" s="195">
        <v>8</v>
      </c>
      <c r="U201" s="195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5">
        <v>198</v>
      </c>
      <c r="K202" s="196" t="s">
        <v>13</v>
      </c>
      <c r="L202" s="196" t="s">
        <v>82</v>
      </c>
      <c r="M202" s="196" t="s">
        <v>98</v>
      </c>
      <c r="N202" s="196" t="s">
        <v>98</v>
      </c>
      <c r="O202" s="196" t="s">
        <v>13</v>
      </c>
      <c r="Q202" s="195">
        <v>5</v>
      </c>
      <c r="R202" s="195">
        <v>14</v>
      </c>
      <c r="S202" s="195">
        <v>15</v>
      </c>
      <c r="T202" s="195">
        <v>15</v>
      </c>
      <c r="U202" s="195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6" t="s">
        <v>31</v>
      </c>
      <c r="L203" s="196" t="s">
        <v>97</v>
      </c>
      <c r="M203" s="196" t="s">
        <v>83</v>
      </c>
      <c r="N203" s="196" t="s">
        <v>29</v>
      </c>
      <c r="O203" s="196" t="s">
        <v>30</v>
      </c>
      <c r="Q203" s="195">
        <v>7</v>
      </c>
      <c r="R203" s="195">
        <v>6</v>
      </c>
      <c r="S203" s="195">
        <v>16</v>
      </c>
      <c r="T203" s="195">
        <v>8</v>
      </c>
      <c r="U203" s="195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5"/>
      <c r="K204" s="196"/>
      <c r="L204" s="196"/>
      <c r="M204" s="196"/>
      <c r="N204" s="196"/>
      <c r="O204" s="196"/>
      <c r="Q204" s="195"/>
      <c r="R204" s="195"/>
      <c r="S204" s="195"/>
      <c r="T204" s="195"/>
      <c r="U204" s="195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6"/>
      <c r="L205" s="196"/>
      <c r="M205" s="196"/>
      <c r="N205" s="196"/>
      <c r="O205" s="196"/>
      <c r="Q205" s="195"/>
      <c r="R205" s="195"/>
      <c r="S205" s="195"/>
      <c r="T205" s="195"/>
      <c r="U205" s="195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6"/>
      <c r="L206" s="196"/>
      <c r="M206" s="196"/>
      <c r="N206" s="196"/>
      <c r="O206" s="196"/>
      <c r="Q206" s="195"/>
      <c r="R206" s="195"/>
      <c r="S206" s="195"/>
      <c r="T206" s="195"/>
      <c r="U206" s="195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5"/>
      <c r="K207" s="196"/>
      <c r="L207" s="196"/>
      <c r="M207" s="196"/>
      <c r="N207" s="196"/>
      <c r="O207" s="196"/>
      <c r="Q207" s="195"/>
      <c r="R207" s="195"/>
      <c r="S207" s="195"/>
      <c r="T207" s="195"/>
      <c r="U207" s="195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6"/>
      <c r="L208" s="196"/>
      <c r="M208" s="196"/>
      <c r="N208" s="196"/>
      <c r="O208" s="196"/>
      <c r="Q208" s="195"/>
      <c r="R208" s="195"/>
      <c r="S208" s="195"/>
      <c r="T208" s="195"/>
      <c r="U208" s="195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5"/>
      <c r="K209" s="196"/>
      <c r="L209" s="196"/>
      <c r="M209" s="196"/>
      <c r="N209" s="196"/>
      <c r="O209" s="196"/>
      <c r="Q209" s="195"/>
      <c r="R209" s="195"/>
      <c r="S209" s="195"/>
      <c r="T209" s="195"/>
      <c r="U209" s="195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6"/>
      <c r="L210" s="196"/>
      <c r="M210" s="196"/>
      <c r="N210" s="196"/>
      <c r="O210" s="196"/>
      <c r="Q210" s="195"/>
      <c r="R210" s="195"/>
      <c r="S210" s="195"/>
      <c r="T210" s="195"/>
      <c r="U210" s="195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5"/>
      <c r="K211" s="196"/>
      <c r="L211" s="196"/>
      <c r="M211" s="196"/>
      <c r="N211" s="196"/>
      <c r="O211" s="196"/>
      <c r="Q211" s="195"/>
      <c r="R211" s="195"/>
      <c r="S211" s="195"/>
      <c r="T211" s="195"/>
      <c r="U211" s="195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201"/>
      <c r="L212" s="201"/>
      <c r="M212" s="201"/>
      <c r="N212" s="201"/>
      <c r="O212" s="201"/>
      <c r="Q212" s="195"/>
      <c r="R212" s="195"/>
      <c r="S212" s="195"/>
      <c r="T212" s="195"/>
      <c r="U212" s="195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5"/>
      <c r="K213" s="201"/>
      <c r="L213" s="201"/>
      <c r="M213" s="201"/>
      <c r="N213" s="201"/>
      <c r="O213" s="201"/>
      <c r="Q213" s="195"/>
      <c r="R213" s="195"/>
      <c r="S213" s="195"/>
      <c r="T213" s="195"/>
      <c r="U213" s="195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201"/>
      <c r="L214" s="201"/>
      <c r="M214" s="201"/>
      <c r="N214" s="201"/>
      <c r="O214" s="201"/>
      <c r="Q214" s="195"/>
      <c r="R214" s="195"/>
      <c r="S214" s="195"/>
      <c r="T214" s="195"/>
      <c r="U214" s="195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5"/>
      <c r="K215" s="201"/>
      <c r="L215" s="201"/>
      <c r="M215" s="201"/>
      <c r="N215" s="201"/>
      <c r="O215" s="201"/>
      <c r="Q215" s="195"/>
      <c r="R215" s="195"/>
      <c r="S215" s="195"/>
      <c r="T215" s="195"/>
      <c r="U215" s="195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201"/>
      <c r="L216" s="201"/>
      <c r="M216" s="201"/>
      <c r="N216" s="201"/>
      <c r="O216" s="201"/>
      <c r="Q216" s="195"/>
      <c r="R216" s="195"/>
      <c r="S216" s="195"/>
      <c r="T216" s="195"/>
      <c r="U216" s="195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5"/>
      <c r="K217" s="201"/>
      <c r="L217" s="201"/>
      <c r="M217" s="201"/>
      <c r="N217" s="201"/>
      <c r="O217" s="201"/>
      <c r="Q217" s="195"/>
      <c r="R217" s="195"/>
      <c r="S217" s="195"/>
      <c r="T217" s="195"/>
      <c r="U217" s="195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201"/>
      <c r="L218" s="201"/>
      <c r="M218" s="201"/>
      <c r="N218" s="201"/>
      <c r="O218" s="201"/>
      <c r="Q218" s="195"/>
      <c r="R218" s="195"/>
      <c r="S218" s="195"/>
      <c r="T218" s="195"/>
      <c r="U218" s="195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5"/>
      <c r="K219" s="201"/>
      <c r="L219" s="201"/>
      <c r="M219" s="201"/>
      <c r="N219" s="201"/>
      <c r="O219" s="201"/>
      <c r="Q219" s="195"/>
      <c r="R219" s="195"/>
      <c r="S219" s="195"/>
      <c r="T219" s="195"/>
      <c r="U219" s="195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201"/>
      <c r="L220" s="201"/>
      <c r="M220" s="201"/>
      <c r="N220" s="201"/>
      <c r="O220" s="201"/>
      <c r="Q220" s="195"/>
      <c r="R220" s="195"/>
      <c r="S220" s="195"/>
      <c r="T220" s="195"/>
      <c r="U220" s="195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5"/>
      <c r="K221" s="201"/>
      <c r="L221" s="201"/>
      <c r="M221" s="201"/>
      <c r="N221" s="201"/>
      <c r="O221" s="201"/>
      <c r="Q221" s="195"/>
      <c r="R221" s="195"/>
      <c r="S221" s="195"/>
      <c r="T221" s="195"/>
      <c r="U221" s="195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201"/>
      <c r="L222" s="201"/>
      <c r="M222" s="201"/>
      <c r="N222" s="201"/>
      <c r="O222" s="201"/>
      <c r="Q222" s="195"/>
      <c r="R222" s="195"/>
      <c r="S222" s="195"/>
      <c r="T222" s="195"/>
      <c r="U222" s="195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5"/>
      <c r="K223" s="201"/>
      <c r="L223" s="201"/>
      <c r="M223" s="201"/>
      <c r="N223" s="201"/>
      <c r="O223" s="201"/>
      <c r="Q223" s="195"/>
      <c r="R223" s="195"/>
      <c r="S223" s="195"/>
      <c r="T223" s="195"/>
      <c r="U223" s="195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201"/>
      <c r="L224" s="201"/>
      <c r="M224" s="201"/>
      <c r="N224" s="201"/>
      <c r="O224" s="201"/>
      <c r="Q224" s="195"/>
      <c r="R224" s="195"/>
      <c r="S224" s="195"/>
      <c r="T224" s="195"/>
      <c r="U224" s="195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5"/>
      <c r="K225" s="201"/>
      <c r="L225" s="201"/>
      <c r="M225" s="201"/>
      <c r="N225" s="201"/>
      <c r="O225" s="201"/>
      <c r="Q225" s="195"/>
      <c r="R225" s="195"/>
      <c r="S225" s="195"/>
      <c r="T225" s="195"/>
      <c r="U225" s="195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201"/>
      <c r="L226" s="201"/>
      <c r="M226" s="201"/>
      <c r="N226" s="201"/>
      <c r="O226" s="201"/>
      <c r="Q226" s="195"/>
      <c r="R226" s="195"/>
      <c r="S226" s="195"/>
      <c r="T226" s="195"/>
      <c r="U226" s="195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5"/>
      <c r="K227" s="201"/>
      <c r="L227" s="201"/>
      <c r="M227" s="201"/>
      <c r="N227" s="201"/>
      <c r="O227" s="201"/>
      <c r="Q227" s="195"/>
      <c r="R227" s="195"/>
      <c r="S227" s="195"/>
      <c r="T227" s="195"/>
      <c r="U227" s="195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201"/>
      <c r="L228" s="201"/>
      <c r="M228" s="201"/>
      <c r="N228" s="201"/>
      <c r="O228" s="201"/>
      <c r="Q228" s="195"/>
      <c r="R228" s="195"/>
      <c r="S228" s="195"/>
      <c r="T228" s="195"/>
      <c r="U228" s="195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5"/>
      <c r="K229" s="201"/>
      <c r="L229" s="201"/>
      <c r="M229" s="201"/>
      <c r="N229" s="201"/>
      <c r="O229" s="201"/>
      <c r="Q229" s="195"/>
      <c r="R229" s="195"/>
      <c r="S229" s="195"/>
      <c r="T229" s="195"/>
      <c r="U229" s="195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201"/>
      <c r="L230" s="201"/>
      <c r="M230" s="201"/>
      <c r="N230" s="201"/>
      <c r="O230" s="201"/>
      <c r="Q230" s="195"/>
      <c r="R230" s="195"/>
      <c r="S230" s="195"/>
      <c r="T230" s="195"/>
      <c r="U230" s="195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5"/>
      <c r="K231" s="201"/>
      <c r="L231" s="201"/>
      <c r="M231" s="201"/>
      <c r="N231" s="201"/>
      <c r="O231" s="201"/>
      <c r="Q231" s="195"/>
      <c r="R231" s="195"/>
      <c r="S231" s="195"/>
      <c r="T231" s="195"/>
      <c r="U231" s="195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201"/>
      <c r="L232" s="201"/>
      <c r="M232" s="201"/>
      <c r="N232" s="201"/>
      <c r="O232" s="201"/>
      <c r="Q232" s="195"/>
      <c r="R232" s="195"/>
      <c r="S232" s="195"/>
      <c r="T232" s="195"/>
      <c r="U232" s="195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5"/>
      <c r="K233" s="201"/>
      <c r="L233" s="201"/>
      <c r="M233" s="201"/>
      <c r="N233" s="201"/>
      <c r="O233" s="201"/>
      <c r="Q233" s="195"/>
      <c r="R233" s="195"/>
      <c r="S233" s="195"/>
      <c r="T233" s="195"/>
      <c r="U233" s="195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201"/>
      <c r="L234" s="201"/>
      <c r="M234" s="201"/>
      <c r="N234" s="201"/>
      <c r="O234" s="201"/>
      <c r="Q234" s="195"/>
      <c r="R234" s="195"/>
      <c r="S234" s="195"/>
      <c r="T234" s="195"/>
      <c r="U234" s="195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5"/>
      <c r="K235" s="201"/>
      <c r="L235" s="201"/>
      <c r="M235" s="201"/>
      <c r="N235" s="201"/>
      <c r="O235" s="201"/>
      <c r="Q235" s="195"/>
      <c r="R235" s="195"/>
      <c r="S235" s="195"/>
      <c r="T235" s="195"/>
      <c r="U235" s="195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201"/>
      <c r="L236" s="201"/>
      <c r="M236" s="201"/>
      <c r="N236" s="201"/>
      <c r="O236" s="201"/>
      <c r="Q236" s="195"/>
      <c r="R236" s="195"/>
      <c r="S236" s="195"/>
      <c r="T236" s="195"/>
      <c r="U236" s="195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5"/>
      <c r="K237" s="201"/>
      <c r="L237" s="201"/>
      <c r="M237" s="201"/>
      <c r="N237" s="201"/>
      <c r="O237" s="201"/>
      <c r="Q237" s="195"/>
      <c r="R237" s="195"/>
      <c r="S237" s="195"/>
      <c r="T237" s="195"/>
      <c r="U237" s="195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201"/>
      <c r="L238" s="201"/>
      <c r="M238" s="201"/>
      <c r="N238" s="201"/>
      <c r="O238" s="201"/>
      <c r="Q238" s="195"/>
      <c r="R238" s="195"/>
      <c r="S238" s="195"/>
      <c r="T238" s="195"/>
      <c r="U238" s="195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5"/>
      <c r="K239" s="201"/>
      <c r="L239" s="201"/>
      <c r="M239" s="201"/>
      <c r="N239" s="201"/>
      <c r="O239" s="201"/>
      <c r="Q239" s="195"/>
      <c r="R239" s="195"/>
      <c r="S239" s="195"/>
      <c r="T239" s="195"/>
      <c r="U239" s="195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201"/>
      <c r="L240" s="201"/>
      <c r="M240" s="201"/>
      <c r="N240" s="201"/>
      <c r="O240" s="201"/>
      <c r="Q240" s="195"/>
      <c r="R240" s="195"/>
      <c r="S240" s="195"/>
      <c r="T240" s="195"/>
      <c r="U240" s="195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5"/>
      <c r="K241" s="201"/>
      <c r="L241" s="201"/>
      <c r="M241" s="201"/>
      <c r="N241" s="201"/>
      <c r="O241" s="201"/>
      <c r="Q241" s="195"/>
      <c r="R241" s="195"/>
      <c r="S241" s="195"/>
      <c r="T241" s="195"/>
      <c r="U241" s="195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201"/>
      <c r="L242" s="201"/>
      <c r="M242" s="201"/>
      <c r="N242" s="201"/>
      <c r="O242" s="201"/>
      <c r="Q242" s="195"/>
      <c r="R242" s="195"/>
      <c r="S242" s="195"/>
      <c r="T242" s="195"/>
      <c r="U242" s="195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5"/>
      <c r="K243" s="201"/>
      <c r="L243" s="201"/>
      <c r="M243" s="201"/>
      <c r="N243" s="201"/>
      <c r="O243" s="201"/>
      <c r="Q243" s="195"/>
      <c r="R243" s="195"/>
      <c r="S243" s="195"/>
      <c r="T243" s="195"/>
      <c r="U243" s="195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201"/>
      <c r="L244" s="201"/>
      <c r="M244" s="201"/>
      <c r="N244" s="201"/>
      <c r="O244" s="201"/>
      <c r="Q244" s="195"/>
      <c r="R244" s="195"/>
      <c r="S244" s="195"/>
      <c r="T244" s="195"/>
      <c r="U244" s="195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5"/>
      <c r="K245" s="201"/>
      <c r="L245" s="201"/>
      <c r="M245" s="201"/>
      <c r="N245" s="201"/>
      <c r="O245" s="201"/>
      <c r="Q245" s="195"/>
      <c r="R245" s="195"/>
      <c r="S245" s="195"/>
      <c r="T245" s="195"/>
      <c r="U245" s="195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201"/>
      <c r="L246" s="201"/>
      <c r="M246" s="201"/>
      <c r="N246" s="201"/>
      <c r="O246" s="201"/>
      <c r="Q246" s="195"/>
      <c r="R246" s="195"/>
      <c r="S246" s="195"/>
      <c r="T246" s="195"/>
      <c r="U246" s="195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5"/>
      <c r="K247" s="201"/>
      <c r="L247" s="201"/>
      <c r="M247" s="201"/>
      <c r="N247" s="201"/>
      <c r="O247" s="201"/>
      <c r="Q247" s="195"/>
      <c r="R247" s="195"/>
      <c r="S247" s="195"/>
      <c r="T247" s="195"/>
      <c r="U247" s="195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201"/>
      <c r="L248" s="201"/>
      <c r="M248" s="201"/>
      <c r="N248" s="201"/>
      <c r="O248" s="201"/>
      <c r="Q248" s="195"/>
      <c r="R248" s="195"/>
      <c r="S248" s="195"/>
      <c r="T248" s="195"/>
      <c r="U248" s="195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5"/>
      <c r="K249" s="201"/>
      <c r="L249" s="201"/>
      <c r="M249" s="201"/>
      <c r="N249" s="201"/>
      <c r="O249" s="201"/>
      <c r="Q249" s="195"/>
      <c r="R249" s="195"/>
      <c r="S249" s="195"/>
      <c r="T249" s="195"/>
      <c r="U249" s="195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201"/>
      <c r="L250" s="201"/>
      <c r="M250" s="201"/>
      <c r="N250" s="201"/>
      <c r="O250" s="201"/>
      <c r="Q250" s="195"/>
      <c r="R250" s="195"/>
      <c r="S250" s="195"/>
      <c r="T250" s="195"/>
      <c r="U250" s="195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5"/>
      <c r="K251" s="201"/>
      <c r="L251" s="201"/>
      <c r="M251" s="201"/>
      <c r="N251" s="201"/>
      <c r="O251" s="201"/>
      <c r="Q251" s="195"/>
      <c r="R251" s="195"/>
      <c r="S251" s="195"/>
      <c r="T251" s="195"/>
      <c r="U251" s="195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201"/>
      <c r="L252" s="201"/>
      <c r="M252" s="201"/>
      <c r="N252" s="201"/>
      <c r="O252" s="201"/>
      <c r="Q252" s="195"/>
      <c r="R252" s="195"/>
      <c r="S252" s="195"/>
      <c r="T252" s="195"/>
      <c r="U252" s="195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5"/>
      <c r="K253" s="201"/>
      <c r="L253" s="201"/>
      <c r="M253" s="201"/>
      <c r="N253" s="201"/>
      <c r="O253" s="201"/>
      <c r="Q253" s="195"/>
      <c r="R253" s="195"/>
      <c r="S253" s="195"/>
      <c r="T253" s="195"/>
      <c r="U253" s="195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201"/>
      <c r="L254" s="201"/>
      <c r="M254" s="201"/>
      <c r="N254" s="201"/>
      <c r="O254" s="201"/>
      <c r="Q254" s="195"/>
      <c r="R254" s="195"/>
      <c r="S254" s="195"/>
      <c r="T254" s="195"/>
      <c r="U254" s="195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5"/>
      <c r="K255" s="201"/>
      <c r="L255" s="201"/>
      <c r="M255" s="201"/>
      <c r="N255" s="201"/>
      <c r="O255" s="201"/>
      <c r="Q255" s="195"/>
      <c r="R255" s="195"/>
      <c r="S255" s="195"/>
      <c r="T255" s="195"/>
      <c r="U255" s="195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201"/>
      <c r="L256" s="201"/>
      <c r="M256" s="201"/>
      <c r="N256" s="201"/>
      <c r="O256" s="201"/>
      <c r="Q256" s="195"/>
      <c r="R256" s="195"/>
      <c r="S256" s="195"/>
      <c r="T256" s="195"/>
      <c r="U256" s="195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5"/>
      <c r="K257" s="201"/>
      <c r="L257" s="201"/>
      <c r="M257" s="201"/>
      <c r="N257" s="201"/>
      <c r="O257" s="201"/>
      <c r="Q257" s="195"/>
      <c r="R257" s="195"/>
      <c r="S257" s="195"/>
      <c r="T257" s="195"/>
      <c r="U257" s="195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201"/>
      <c r="L258" s="201"/>
      <c r="M258" s="201"/>
      <c r="N258" s="201"/>
      <c r="O258" s="201"/>
      <c r="Q258" s="195"/>
      <c r="R258" s="195"/>
      <c r="S258" s="195"/>
      <c r="T258" s="195"/>
      <c r="U258" s="195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5"/>
      <c r="K259" s="201"/>
      <c r="L259" s="201"/>
      <c r="M259" s="201"/>
      <c r="N259" s="201"/>
      <c r="O259" s="201"/>
      <c r="Q259" s="195"/>
      <c r="R259" s="195"/>
      <c r="S259" s="195"/>
      <c r="T259" s="195"/>
      <c r="U259" s="195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201"/>
      <c r="L260" s="201"/>
      <c r="M260" s="201"/>
      <c r="N260" s="201"/>
      <c r="O260" s="201"/>
      <c r="Q260" s="195"/>
      <c r="R260" s="195"/>
      <c r="S260" s="195"/>
      <c r="T260" s="195"/>
      <c r="U260" s="195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5"/>
      <c r="K261" s="201"/>
      <c r="L261" s="201"/>
      <c r="M261" s="201"/>
      <c r="N261" s="201"/>
      <c r="O261" s="201"/>
      <c r="Q261" s="195"/>
      <c r="R261" s="195"/>
      <c r="S261" s="195"/>
      <c r="T261" s="195"/>
      <c r="U261" s="195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201"/>
      <c r="L262" s="201"/>
      <c r="M262" s="201"/>
      <c r="N262" s="201"/>
      <c r="O262" s="201"/>
      <c r="Q262" s="195"/>
      <c r="R262" s="195"/>
      <c r="S262" s="195"/>
      <c r="T262" s="195"/>
      <c r="U262" s="195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5"/>
      <c r="K263" s="201"/>
      <c r="L263" s="201"/>
      <c r="M263" s="201"/>
      <c r="N263" s="201"/>
      <c r="O263" s="201"/>
      <c r="Q263" s="195"/>
      <c r="R263" s="195"/>
      <c r="S263" s="195"/>
      <c r="T263" s="195"/>
      <c r="U263" s="195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201"/>
      <c r="L264" s="201"/>
      <c r="M264" s="201"/>
      <c r="N264" s="201"/>
      <c r="O264" s="201"/>
      <c r="Q264" s="195"/>
      <c r="R264" s="195"/>
      <c r="S264" s="195"/>
      <c r="T264" s="195"/>
      <c r="U264" s="195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5"/>
      <c r="K265" s="201"/>
      <c r="L265" s="201"/>
      <c r="M265" s="201"/>
      <c r="N265" s="201"/>
      <c r="O265" s="201"/>
      <c r="Q265" s="195"/>
      <c r="R265" s="195"/>
      <c r="S265" s="195"/>
      <c r="T265" s="195"/>
      <c r="U265" s="195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201"/>
      <c r="L266" s="201"/>
      <c r="M266" s="201"/>
      <c r="N266" s="201"/>
      <c r="O266" s="201"/>
      <c r="Q266" s="195"/>
      <c r="R266" s="195"/>
      <c r="S266" s="195"/>
      <c r="T266" s="195"/>
      <c r="U266" s="195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5"/>
      <c r="K267" s="201"/>
      <c r="L267" s="201"/>
      <c r="M267" s="201"/>
      <c r="N267" s="201"/>
      <c r="O267" s="201"/>
      <c r="Q267" s="195"/>
      <c r="R267" s="195"/>
      <c r="S267" s="195"/>
      <c r="T267" s="195"/>
      <c r="U267" s="195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201"/>
      <c r="L268" s="201"/>
      <c r="M268" s="201"/>
      <c r="N268" s="201"/>
      <c r="O268" s="201"/>
      <c r="Q268" s="195"/>
      <c r="R268" s="195"/>
      <c r="S268" s="195"/>
      <c r="T268" s="195"/>
      <c r="U268" s="195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5"/>
      <c r="K269" s="201"/>
      <c r="L269" s="201"/>
      <c r="M269" s="201"/>
      <c r="N269" s="201"/>
      <c r="O269" s="201"/>
      <c r="Q269" s="195"/>
      <c r="R269" s="195"/>
      <c r="S269" s="195"/>
      <c r="T269" s="195"/>
      <c r="U269" s="195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201"/>
      <c r="L270" s="201"/>
      <c r="M270" s="201"/>
      <c r="N270" s="201"/>
      <c r="O270" s="201"/>
      <c r="Q270" s="195"/>
      <c r="R270" s="195"/>
      <c r="S270" s="195"/>
      <c r="T270" s="195"/>
      <c r="U270" s="195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5"/>
      <c r="K271" s="201"/>
      <c r="L271" s="201"/>
      <c r="M271" s="201"/>
      <c r="N271" s="201"/>
      <c r="O271" s="201"/>
      <c r="Q271" s="195"/>
      <c r="R271" s="195"/>
      <c r="S271" s="195"/>
      <c r="T271" s="195"/>
      <c r="U271" s="195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201"/>
      <c r="L272" s="201"/>
      <c r="M272" s="201"/>
      <c r="N272" s="201"/>
      <c r="O272" s="201"/>
      <c r="Q272" s="195"/>
      <c r="R272" s="195"/>
      <c r="S272" s="195"/>
      <c r="T272" s="195"/>
      <c r="U272" s="195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5"/>
      <c r="K273" s="201"/>
      <c r="L273" s="201"/>
      <c r="M273" s="201"/>
      <c r="N273" s="201"/>
      <c r="O273" s="201"/>
      <c r="Q273" s="195"/>
      <c r="R273" s="195"/>
      <c r="S273" s="195"/>
      <c r="T273" s="195"/>
      <c r="U273" s="195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201"/>
      <c r="L274" s="201"/>
      <c r="M274" s="201"/>
      <c r="N274" s="201"/>
      <c r="O274" s="201"/>
      <c r="Q274" s="195"/>
      <c r="R274" s="195"/>
      <c r="S274" s="195"/>
      <c r="T274" s="195"/>
      <c r="U274" s="195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5"/>
      <c r="K275" s="201"/>
      <c r="L275" s="201"/>
      <c r="M275" s="201"/>
      <c r="N275" s="201"/>
      <c r="O275" s="201"/>
      <c r="Q275" s="195"/>
      <c r="R275" s="195"/>
      <c r="S275" s="195"/>
      <c r="T275" s="195"/>
      <c r="U275" s="195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201"/>
      <c r="L276" s="201"/>
      <c r="M276" s="201"/>
      <c r="N276" s="201"/>
      <c r="O276" s="201"/>
      <c r="Q276" s="195"/>
      <c r="R276" s="195"/>
      <c r="S276" s="195"/>
      <c r="T276" s="195"/>
      <c r="U276" s="195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5"/>
      <c r="K277" s="201"/>
      <c r="L277" s="201"/>
      <c r="M277" s="201"/>
      <c r="N277" s="201"/>
      <c r="O277" s="201"/>
      <c r="Q277" s="195"/>
      <c r="R277" s="195"/>
      <c r="S277" s="195"/>
      <c r="T277" s="195"/>
      <c r="U277" s="195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201"/>
      <c r="L278" s="201"/>
      <c r="M278" s="201"/>
      <c r="N278" s="201"/>
      <c r="O278" s="201"/>
      <c r="Q278" s="195"/>
      <c r="R278" s="195"/>
      <c r="S278" s="195"/>
      <c r="T278" s="195"/>
      <c r="U278" s="195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5"/>
      <c r="K279" s="201"/>
      <c r="L279" s="201"/>
      <c r="M279" s="201"/>
      <c r="N279" s="201"/>
      <c r="O279" s="201"/>
      <c r="Q279" s="195"/>
      <c r="R279" s="195"/>
      <c r="S279" s="195"/>
      <c r="T279" s="195"/>
      <c r="U279" s="195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201"/>
      <c r="L280" s="201"/>
      <c r="M280" s="201"/>
      <c r="N280" s="201"/>
      <c r="O280" s="201"/>
      <c r="Q280" s="195"/>
      <c r="R280" s="195"/>
      <c r="S280" s="195"/>
      <c r="T280" s="195"/>
      <c r="U280" s="195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5"/>
      <c r="K281" s="201"/>
      <c r="L281" s="201"/>
      <c r="M281" s="201"/>
      <c r="N281" s="201"/>
      <c r="O281" s="201"/>
      <c r="Q281" s="195"/>
      <c r="R281" s="195"/>
      <c r="S281" s="195"/>
      <c r="T281" s="195"/>
      <c r="U281" s="195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201"/>
      <c r="L282" s="201"/>
      <c r="M282" s="201"/>
      <c r="N282" s="201"/>
      <c r="O282" s="201"/>
      <c r="Q282" s="195"/>
      <c r="R282" s="195"/>
      <c r="S282" s="195"/>
      <c r="T282" s="195"/>
      <c r="U282" s="195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5"/>
      <c r="K283" s="201"/>
      <c r="L283" s="201"/>
      <c r="M283" s="201"/>
      <c r="N283" s="201"/>
      <c r="O283" s="201"/>
      <c r="Q283" s="195"/>
      <c r="R283" s="195"/>
      <c r="S283" s="195"/>
      <c r="T283" s="195"/>
      <c r="U283" s="195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201"/>
      <c r="L284" s="201"/>
      <c r="M284" s="201"/>
      <c r="N284" s="201"/>
      <c r="O284" s="201"/>
      <c r="Q284" s="195"/>
      <c r="R284" s="195"/>
      <c r="S284" s="195"/>
      <c r="T284" s="195"/>
      <c r="U284" s="195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5"/>
      <c r="K285" s="201"/>
      <c r="L285" s="201"/>
      <c r="M285" s="201"/>
      <c r="N285" s="201"/>
      <c r="O285" s="201"/>
      <c r="Q285" s="195"/>
      <c r="R285" s="195"/>
      <c r="S285" s="195"/>
      <c r="T285" s="195"/>
      <c r="U285" s="195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201"/>
      <c r="L286" s="201"/>
      <c r="M286" s="201"/>
      <c r="N286" s="201"/>
      <c r="O286" s="201"/>
      <c r="Q286" s="195"/>
      <c r="R286" s="195"/>
      <c r="S286" s="195"/>
      <c r="T286" s="195"/>
      <c r="U286" s="195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5"/>
      <c r="K287" s="201"/>
      <c r="L287" s="201"/>
      <c r="M287" s="201"/>
      <c r="N287" s="201"/>
      <c r="O287" s="201"/>
      <c r="Q287" s="195"/>
      <c r="R287" s="195"/>
      <c r="S287" s="195"/>
      <c r="T287" s="195"/>
      <c r="U287" s="195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201"/>
      <c r="L288" s="201"/>
      <c r="M288" s="201"/>
      <c r="N288" s="201"/>
      <c r="O288" s="201"/>
      <c r="Q288" s="195"/>
      <c r="R288" s="195"/>
      <c r="S288" s="195"/>
      <c r="T288" s="195"/>
      <c r="U288" s="195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5"/>
      <c r="K289" s="201"/>
      <c r="L289" s="201"/>
      <c r="M289" s="201"/>
      <c r="N289" s="201"/>
      <c r="O289" s="201"/>
      <c r="Q289" s="195"/>
      <c r="R289" s="195"/>
      <c r="S289" s="195"/>
      <c r="T289" s="195"/>
      <c r="U289" s="195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201"/>
      <c r="L290" s="201"/>
      <c r="M290" s="201"/>
      <c r="N290" s="201"/>
      <c r="O290" s="201"/>
      <c r="Q290" s="195"/>
      <c r="R290" s="195"/>
      <c r="S290" s="195"/>
      <c r="T290" s="195"/>
      <c r="U290" s="195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5"/>
      <c r="K291" s="201"/>
      <c r="L291" s="201"/>
      <c r="M291" s="201"/>
      <c r="N291" s="201"/>
      <c r="O291" s="201"/>
      <c r="Q291" s="195"/>
      <c r="R291" s="195"/>
      <c r="S291" s="195"/>
      <c r="T291" s="195"/>
      <c r="U291" s="195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201"/>
      <c r="L292" s="201"/>
      <c r="M292" s="201"/>
      <c r="N292" s="201"/>
      <c r="O292" s="201"/>
      <c r="Q292" s="195"/>
      <c r="R292" s="195"/>
      <c r="S292" s="195"/>
      <c r="T292" s="195"/>
      <c r="U292" s="195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5"/>
      <c r="K293" s="201"/>
      <c r="L293" s="201"/>
      <c r="M293" s="201"/>
      <c r="N293" s="201"/>
      <c r="O293" s="201"/>
      <c r="Q293" s="195"/>
      <c r="R293" s="195"/>
      <c r="S293" s="195"/>
      <c r="T293" s="195"/>
      <c r="U293" s="195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5"/>
      <c r="K294" s="201"/>
      <c r="L294" s="201"/>
      <c r="M294" s="201"/>
      <c r="N294" s="201"/>
      <c r="O294" s="201"/>
      <c r="Q294" s="195"/>
      <c r="R294" s="195"/>
      <c r="S294" s="195"/>
      <c r="T294" s="195"/>
      <c r="U294" s="195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5"/>
      <c r="K295" s="201"/>
      <c r="L295" s="201"/>
      <c r="M295" s="201"/>
      <c r="N295" s="201"/>
      <c r="O295" s="201"/>
      <c r="Q295" s="195"/>
      <c r="R295" s="195"/>
      <c r="S295" s="195"/>
      <c r="T295" s="195"/>
      <c r="U295" s="195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5"/>
      <c r="K296" s="201"/>
      <c r="L296" s="201"/>
      <c r="M296" s="201"/>
      <c r="N296" s="201"/>
      <c r="O296" s="201"/>
      <c r="Q296" s="195"/>
      <c r="R296" s="195"/>
      <c r="S296" s="195"/>
      <c r="T296" s="195"/>
      <c r="U296" s="195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5"/>
      <c r="K297" s="201"/>
      <c r="L297" s="201"/>
      <c r="M297" s="201"/>
      <c r="N297" s="201"/>
      <c r="O297" s="201"/>
      <c r="Q297" s="195"/>
      <c r="R297" s="195"/>
      <c r="S297" s="195"/>
      <c r="T297" s="195"/>
      <c r="U297" s="195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5"/>
      <c r="K298" s="201"/>
      <c r="L298" s="201"/>
      <c r="M298" s="201"/>
      <c r="N298" s="201"/>
      <c r="O298" s="201"/>
      <c r="Q298" s="195"/>
      <c r="R298" s="195"/>
      <c r="S298" s="195"/>
      <c r="T298" s="195"/>
      <c r="U298" s="195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5"/>
      <c r="K299" s="201"/>
      <c r="L299" s="201"/>
      <c r="M299" s="201"/>
      <c r="N299" s="201"/>
      <c r="O299" s="201"/>
      <c r="Q299" s="195"/>
      <c r="R299" s="195"/>
      <c r="S299" s="195"/>
      <c r="T299" s="195"/>
      <c r="U299" s="195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5"/>
      <c r="K300" s="201"/>
      <c r="L300" s="201"/>
      <c r="M300" s="201"/>
      <c r="N300" s="201"/>
      <c r="O300" s="201"/>
      <c r="Q300" s="195"/>
      <c r="R300" s="195"/>
      <c r="S300" s="195"/>
      <c r="T300" s="195"/>
      <c r="U300" s="195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5"/>
      <c r="K301" s="201"/>
      <c r="L301" s="201"/>
      <c r="M301" s="201"/>
      <c r="N301" s="201"/>
      <c r="O301" s="201"/>
      <c r="Q301" s="195"/>
      <c r="R301" s="195"/>
      <c r="S301" s="195"/>
      <c r="T301" s="195"/>
      <c r="U301" s="195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5"/>
      <c r="K302" s="201"/>
      <c r="L302" s="201"/>
      <c r="M302" s="201"/>
      <c r="N302" s="201"/>
      <c r="O302" s="201"/>
      <c r="Q302" s="195"/>
      <c r="R302" s="195"/>
      <c r="S302" s="195"/>
      <c r="T302" s="195"/>
      <c r="U302" s="195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5"/>
      <c r="K303" s="201"/>
      <c r="L303" s="201"/>
      <c r="M303" s="201"/>
      <c r="N303" s="201"/>
      <c r="O303" s="201"/>
      <c r="Q303" s="195"/>
      <c r="R303" s="195"/>
      <c r="S303" s="195"/>
      <c r="T303" s="195"/>
      <c r="U303" s="195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5"/>
      <c r="K304" s="201"/>
      <c r="L304" s="201"/>
      <c r="M304" s="201"/>
      <c r="N304" s="201"/>
      <c r="O304" s="201"/>
      <c r="Q304" s="195"/>
      <c r="R304" s="195"/>
      <c r="S304" s="195"/>
      <c r="T304" s="195"/>
      <c r="U304" s="195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303</v>
      </c>
      <c r="W2" s="25" t="s">
        <v>101</v>
      </c>
      <c r="AC2" s="25" t="s">
        <v>305</v>
      </c>
      <c r="AH2" s="5"/>
      <c r="AI2" s="5"/>
      <c r="AJ2" s="25" t="s">
        <v>94</v>
      </c>
      <c r="AO2" s="5"/>
    </row>
    <row r="3" spans="1:41" ht="15.9" customHeight="1">
      <c r="A3" s="122" t="s">
        <v>36</v>
      </c>
      <c r="B3" s="122" t="s">
        <v>37</v>
      </c>
      <c r="C3" s="122" t="s">
        <v>7</v>
      </c>
      <c r="D3" s="122" t="s">
        <v>8</v>
      </c>
      <c r="E3" s="122" t="s">
        <v>9</v>
      </c>
      <c r="F3" s="122" t="s">
        <v>10</v>
      </c>
      <c r="G3" s="122" t="s">
        <v>11</v>
      </c>
      <c r="H3" s="122" t="s">
        <v>310</v>
      </c>
      <c r="I3" s="14"/>
      <c r="J3" s="122"/>
      <c r="K3" s="122" t="s">
        <v>7</v>
      </c>
      <c r="L3" s="122" t="s">
        <v>8</v>
      </c>
      <c r="M3" s="122" t="s">
        <v>9</v>
      </c>
      <c r="N3" s="122" t="s">
        <v>10</v>
      </c>
      <c r="O3" s="122" t="s">
        <v>11</v>
      </c>
      <c r="Q3" s="122" t="s">
        <v>7</v>
      </c>
      <c r="R3" s="122" t="s">
        <v>8</v>
      </c>
      <c r="S3" s="122" t="s">
        <v>9</v>
      </c>
      <c r="T3" s="122" t="s">
        <v>10</v>
      </c>
      <c r="U3" s="122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3" t="s">
        <v>306</v>
      </c>
      <c r="B4" s="201" t="s">
        <v>38</v>
      </c>
      <c r="C4" s="203">
        <v>0</v>
      </c>
      <c r="D4" s="203">
        <v>0</v>
      </c>
      <c r="E4" s="203">
        <v>0</v>
      </c>
      <c r="F4" s="203">
        <v>0</v>
      </c>
      <c r="G4" s="203">
        <v>0</v>
      </c>
      <c r="H4" s="201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97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307</v>
      </c>
      <c r="AH4" s="5"/>
      <c r="AI4" s="5"/>
      <c r="AJ4" s="25" t="s">
        <v>307</v>
      </c>
      <c r="AO4" s="5"/>
    </row>
    <row r="5" spans="1:41" ht="15.9" customHeight="1">
      <c r="A5" s="203" t="s">
        <v>14</v>
      </c>
      <c r="B5" s="201" t="s">
        <v>39</v>
      </c>
      <c r="C5" s="203">
        <v>6</v>
      </c>
      <c r="D5" s="203">
        <v>6</v>
      </c>
      <c r="E5" s="203">
        <v>6</v>
      </c>
      <c r="F5" s="203">
        <v>9</v>
      </c>
      <c r="G5" s="203">
        <v>9</v>
      </c>
      <c r="H5" s="201">
        <v>1</v>
      </c>
      <c r="I5" s="82"/>
      <c r="J5" s="195">
        <v>1</v>
      </c>
      <c r="K5" s="196" t="s">
        <v>29</v>
      </c>
      <c r="L5" s="196" t="s">
        <v>88</v>
      </c>
      <c r="M5" s="196" t="s">
        <v>16</v>
      </c>
      <c r="N5" s="196" t="s">
        <v>31</v>
      </c>
      <c r="O5" s="196" t="s">
        <v>30</v>
      </c>
      <c r="Q5" s="195">
        <v>8</v>
      </c>
      <c r="R5" s="195">
        <v>19</v>
      </c>
      <c r="S5" s="195">
        <v>3</v>
      </c>
      <c r="T5" s="195">
        <v>7</v>
      </c>
      <c r="U5" s="195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22" t="s">
        <v>36</v>
      </c>
      <c r="AD5" s="122" t="s">
        <v>7</v>
      </c>
      <c r="AE5" s="122" t="s">
        <v>8</v>
      </c>
      <c r="AF5" s="122" t="s">
        <v>9</v>
      </c>
      <c r="AG5" s="122" t="s">
        <v>10</v>
      </c>
      <c r="AH5" s="122" t="s">
        <v>11</v>
      </c>
      <c r="AI5" s="5"/>
      <c r="AJ5" s="122" t="s">
        <v>36</v>
      </c>
      <c r="AK5" s="122" t="s">
        <v>7</v>
      </c>
      <c r="AL5" s="122" t="s">
        <v>8</v>
      </c>
      <c r="AM5" s="122" t="s">
        <v>9</v>
      </c>
      <c r="AN5" s="122" t="s">
        <v>10</v>
      </c>
      <c r="AO5" s="122" t="s">
        <v>11</v>
      </c>
    </row>
    <row r="6" spans="1:41" ht="15.9" customHeight="1">
      <c r="A6" s="202" t="s">
        <v>15</v>
      </c>
      <c r="B6" s="136" t="s">
        <v>15</v>
      </c>
      <c r="C6" s="202">
        <v>4</v>
      </c>
      <c r="D6" s="202">
        <v>14</v>
      </c>
      <c r="E6" s="202">
        <v>4</v>
      </c>
      <c r="F6" s="202">
        <v>21</v>
      </c>
      <c r="G6" s="202">
        <v>22</v>
      </c>
      <c r="H6" s="136">
        <v>2</v>
      </c>
      <c r="I6" s="82"/>
      <c r="J6" s="23">
        <v>2</v>
      </c>
      <c r="K6" s="196" t="s">
        <v>29</v>
      </c>
      <c r="L6" s="196" t="s">
        <v>80</v>
      </c>
      <c r="M6" s="196" t="s">
        <v>14</v>
      </c>
      <c r="N6" s="196" t="s">
        <v>30</v>
      </c>
      <c r="O6" s="196" t="s">
        <v>14</v>
      </c>
      <c r="Q6" s="195">
        <v>8</v>
      </c>
      <c r="R6" s="195">
        <v>12</v>
      </c>
      <c r="S6" s="195">
        <v>1</v>
      </c>
      <c r="T6" s="195">
        <v>10</v>
      </c>
      <c r="U6" s="195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201" t="s">
        <v>306</v>
      </c>
      <c r="AD6" s="126">
        <v>0</v>
      </c>
      <c r="AE6" s="126">
        <v>0</v>
      </c>
      <c r="AF6" s="126">
        <v>0</v>
      </c>
      <c r="AG6" s="126">
        <v>0</v>
      </c>
      <c r="AH6" s="126">
        <v>0</v>
      </c>
      <c r="AI6" s="5"/>
      <c r="AJ6" s="201" t="s">
        <v>306</v>
      </c>
      <c r="AK6" s="126">
        <v>0</v>
      </c>
      <c r="AL6" s="126">
        <v>0</v>
      </c>
      <c r="AM6" s="126">
        <v>0</v>
      </c>
      <c r="AN6" s="126">
        <v>0</v>
      </c>
      <c r="AO6" s="126">
        <v>0</v>
      </c>
    </row>
    <row r="7" spans="1:41" ht="15.9" customHeight="1">
      <c r="A7" s="202" t="s">
        <v>16</v>
      </c>
      <c r="B7" s="136" t="s">
        <v>16</v>
      </c>
      <c r="C7" s="202">
        <v>4</v>
      </c>
      <c r="D7" s="202">
        <v>13</v>
      </c>
      <c r="E7" s="202">
        <v>4</v>
      </c>
      <c r="F7" s="202">
        <v>20</v>
      </c>
      <c r="G7" s="202">
        <v>22</v>
      </c>
      <c r="H7" s="136">
        <v>3</v>
      </c>
      <c r="I7" s="82"/>
      <c r="J7" s="195">
        <v>3</v>
      </c>
      <c r="K7" s="196" t="s">
        <v>97</v>
      </c>
      <c r="L7" s="24" t="s">
        <v>97</v>
      </c>
      <c r="M7" s="196" t="s">
        <v>29</v>
      </c>
      <c r="N7" s="196" t="s">
        <v>16</v>
      </c>
      <c r="O7" s="196" t="s">
        <v>16</v>
      </c>
      <c r="Q7" s="195">
        <v>6</v>
      </c>
      <c r="R7" s="195">
        <v>6</v>
      </c>
      <c r="S7" s="195">
        <v>8</v>
      </c>
      <c r="T7" s="195">
        <v>3</v>
      </c>
      <c r="U7" s="195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201" t="s">
        <v>14</v>
      </c>
      <c r="AD7" s="203">
        <v>0</v>
      </c>
      <c r="AE7" s="203">
        <v>6</v>
      </c>
      <c r="AF7" s="203">
        <v>0</v>
      </c>
      <c r="AG7" s="203">
        <v>9</v>
      </c>
      <c r="AH7" s="203">
        <v>0</v>
      </c>
      <c r="AI7" s="5"/>
      <c r="AJ7" s="201" t="s">
        <v>14</v>
      </c>
      <c r="AK7" s="201">
        <v>0</v>
      </c>
      <c r="AL7" s="201">
        <v>6</v>
      </c>
      <c r="AM7" s="201">
        <v>0</v>
      </c>
      <c r="AN7" s="201">
        <v>9</v>
      </c>
      <c r="AO7" s="201">
        <v>0</v>
      </c>
    </row>
    <row r="8" spans="1:41" ht="15.9" customHeight="1">
      <c r="A8" s="202" t="s">
        <v>12</v>
      </c>
      <c r="B8" s="136" t="s">
        <v>12</v>
      </c>
      <c r="C8" s="202">
        <v>4</v>
      </c>
      <c r="D8" s="202">
        <v>13</v>
      </c>
      <c r="E8" s="202">
        <v>4</v>
      </c>
      <c r="F8" s="202">
        <v>20</v>
      </c>
      <c r="G8" s="202">
        <v>21</v>
      </c>
      <c r="H8" s="136">
        <v>4</v>
      </c>
      <c r="I8" s="82"/>
      <c r="J8" s="23">
        <v>4</v>
      </c>
      <c r="K8" s="196" t="s">
        <v>29</v>
      </c>
      <c r="L8" s="196" t="s">
        <v>97</v>
      </c>
      <c r="M8" s="196" t="s">
        <v>13</v>
      </c>
      <c r="N8" s="196" t="s">
        <v>81</v>
      </c>
      <c r="O8" s="196" t="s">
        <v>16</v>
      </c>
      <c r="Q8" s="195">
        <v>8</v>
      </c>
      <c r="R8" s="195">
        <v>6</v>
      </c>
      <c r="S8" s="195">
        <v>5</v>
      </c>
      <c r="T8" s="195">
        <v>13</v>
      </c>
      <c r="U8" s="195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6" t="s">
        <v>15</v>
      </c>
      <c r="AD8" s="202">
        <v>4</v>
      </c>
      <c r="AE8" s="202">
        <v>14</v>
      </c>
      <c r="AF8" s="202">
        <v>4</v>
      </c>
      <c r="AG8" s="202">
        <v>21</v>
      </c>
      <c r="AH8" s="202">
        <v>22</v>
      </c>
      <c r="AI8" s="5"/>
      <c r="AJ8" s="136" t="s">
        <v>15</v>
      </c>
      <c r="AK8" s="202">
        <v>4</v>
      </c>
      <c r="AL8" s="202">
        <v>14</v>
      </c>
      <c r="AM8" s="202">
        <v>4</v>
      </c>
      <c r="AN8" s="202">
        <v>21</v>
      </c>
      <c r="AO8" s="202">
        <v>22</v>
      </c>
    </row>
    <row r="9" spans="1:41" ht="15.9" customHeight="1">
      <c r="A9" s="202" t="s">
        <v>13</v>
      </c>
      <c r="B9" s="136" t="s">
        <v>13</v>
      </c>
      <c r="C9" s="202">
        <v>40</v>
      </c>
      <c r="D9" s="202">
        <v>9</v>
      </c>
      <c r="E9" s="202">
        <v>41</v>
      </c>
      <c r="F9" s="202">
        <v>14</v>
      </c>
      <c r="G9" s="202">
        <v>21</v>
      </c>
      <c r="H9" s="136">
        <v>5</v>
      </c>
      <c r="I9" s="82"/>
      <c r="J9" s="195">
        <v>5</v>
      </c>
      <c r="K9" s="196" t="s">
        <v>31</v>
      </c>
      <c r="L9" s="196" t="s">
        <v>95</v>
      </c>
      <c r="M9" s="196" t="s">
        <v>31</v>
      </c>
      <c r="N9" s="196" t="s">
        <v>30</v>
      </c>
      <c r="O9" s="196" t="s">
        <v>30</v>
      </c>
      <c r="Q9" s="195">
        <v>7</v>
      </c>
      <c r="R9" s="195">
        <v>17</v>
      </c>
      <c r="S9" s="195">
        <v>7</v>
      </c>
      <c r="T9" s="195">
        <v>10</v>
      </c>
      <c r="U9" s="195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6" t="s">
        <v>16</v>
      </c>
      <c r="AD9" s="202">
        <v>4</v>
      </c>
      <c r="AE9" s="202">
        <v>13</v>
      </c>
      <c r="AF9" s="202">
        <v>4</v>
      </c>
      <c r="AG9" s="202">
        <v>20</v>
      </c>
      <c r="AH9" s="202">
        <v>22</v>
      </c>
      <c r="AI9" s="5"/>
      <c r="AJ9" s="136" t="s">
        <v>16</v>
      </c>
      <c r="AK9" s="202">
        <v>4</v>
      </c>
      <c r="AL9" s="202">
        <v>13</v>
      </c>
      <c r="AM9" s="202">
        <v>4</v>
      </c>
      <c r="AN9" s="202">
        <v>20</v>
      </c>
      <c r="AO9" s="202">
        <v>22</v>
      </c>
    </row>
    <row r="10" spans="1:41" ht="15.9" customHeight="1">
      <c r="A10" s="202" t="s">
        <v>97</v>
      </c>
      <c r="B10" s="136" t="s">
        <v>97</v>
      </c>
      <c r="C10" s="202">
        <v>40</v>
      </c>
      <c r="D10" s="202">
        <v>13</v>
      </c>
      <c r="E10" s="202">
        <v>41</v>
      </c>
      <c r="F10" s="202">
        <v>14</v>
      </c>
      <c r="G10" s="202">
        <v>21</v>
      </c>
      <c r="H10" s="136">
        <v>6</v>
      </c>
      <c r="I10" s="82"/>
      <c r="J10" s="23">
        <v>6</v>
      </c>
      <c r="K10" s="196" t="s">
        <v>97</v>
      </c>
      <c r="L10" s="196" t="s">
        <v>97</v>
      </c>
      <c r="M10" s="196" t="s">
        <v>13</v>
      </c>
      <c r="N10" s="196" t="s">
        <v>30</v>
      </c>
      <c r="O10" s="196" t="s">
        <v>13</v>
      </c>
      <c r="Q10" s="195">
        <v>6</v>
      </c>
      <c r="R10" s="195">
        <v>6</v>
      </c>
      <c r="S10" s="195">
        <v>5</v>
      </c>
      <c r="T10" s="195">
        <v>10</v>
      </c>
      <c r="U10" s="195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6" t="s">
        <v>12</v>
      </c>
      <c r="AD10" s="202">
        <v>4</v>
      </c>
      <c r="AE10" s="202">
        <v>13</v>
      </c>
      <c r="AF10" s="202">
        <v>4</v>
      </c>
      <c r="AG10" s="202">
        <v>20</v>
      </c>
      <c r="AH10" s="202">
        <v>21</v>
      </c>
      <c r="AI10" s="5"/>
      <c r="AJ10" s="136" t="s">
        <v>12</v>
      </c>
      <c r="AK10" s="202">
        <v>4</v>
      </c>
      <c r="AL10" s="202">
        <v>13</v>
      </c>
      <c r="AM10" s="202">
        <v>4</v>
      </c>
      <c r="AN10" s="202">
        <v>20</v>
      </c>
      <c r="AO10" s="202">
        <v>21</v>
      </c>
    </row>
    <row r="11" spans="1:41" ht="15.9" customHeight="1">
      <c r="A11" s="202" t="s">
        <v>31</v>
      </c>
      <c r="B11" s="136" t="s">
        <v>31</v>
      </c>
      <c r="C11" s="202">
        <v>47</v>
      </c>
      <c r="D11" s="202">
        <v>10</v>
      </c>
      <c r="E11" s="202">
        <v>41</v>
      </c>
      <c r="F11" s="202">
        <v>14</v>
      </c>
      <c r="G11" s="202">
        <v>21</v>
      </c>
      <c r="H11" s="136">
        <v>7</v>
      </c>
      <c r="I11" s="82"/>
      <c r="J11" s="195">
        <v>7</v>
      </c>
      <c r="K11" s="196" t="s">
        <v>97</v>
      </c>
      <c r="L11" s="196" t="s">
        <v>97</v>
      </c>
      <c r="M11" s="196" t="s">
        <v>31</v>
      </c>
      <c r="N11" s="196" t="s">
        <v>31</v>
      </c>
      <c r="O11" s="196" t="s">
        <v>97</v>
      </c>
      <c r="Q11" s="195">
        <v>6</v>
      </c>
      <c r="R11" s="195">
        <v>6</v>
      </c>
      <c r="S11" s="195">
        <v>7</v>
      </c>
      <c r="T11" s="195">
        <v>7</v>
      </c>
      <c r="U11" s="195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6" t="s">
        <v>13</v>
      </c>
      <c r="AD11" s="202">
        <v>40</v>
      </c>
      <c r="AE11" s="202">
        <v>9</v>
      </c>
      <c r="AF11" s="202">
        <v>41</v>
      </c>
      <c r="AG11" s="202">
        <v>14</v>
      </c>
      <c r="AH11" s="202">
        <v>21</v>
      </c>
      <c r="AI11" s="5"/>
      <c r="AJ11" s="136" t="s">
        <v>13</v>
      </c>
      <c r="AK11" s="202">
        <v>40</v>
      </c>
      <c r="AL11" s="202">
        <v>9</v>
      </c>
      <c r="AM11" s="202">
        <v>41</v>
      </c>
      <c r="AN11" s="202">
        <v>14</v>
      </c>
      <c r="AO11" s="202">
        <v>21</v>
      </c>
    </row>
    <row r="12" spans="1:41" ht="15.9" customHeight="1">
      <c r="A12" s="202" t="s">
        <v>29</v>
      </c>
      <c r="B12" s="136" t="s">
        <v>29</v>
      </c>
      <c r="C12" s="202">
        <v>47</v>
      </c>
      <c r="D12" s="202">
        <v>10</v>
      </c>
      <c r="E12" s="202">
        <v>41</v>
      </c>
      <c r="F12" s="202">
        <v>14</v>
      </c>
      <c r="G12" s="202">
        <v>21</v>
      </c>
      <c r="H12" s="136">
        <v>8</v>
      </c>
      <c r="I12" s="82"/>
      <c r="J12" s="23">
        <v>8</v>
      </c>
      <c r="K12" s="196" t="s">
        <v>31</v>
      </c>
      <c r="L12" s="196" t="s">
        <v>80</v>
      </c>
      <c r="M12" s="196" t="s">
        <v>98</v>
      </c>
      <c r="N12" s="196" t="s">
        <v>12</v>
      </c>
      <c r="O12" s="196" t="s">
        <v>28</v>
      </c>
      <c r="Q12" s="195">
        <v>7</v>
      </c>
      <c r="R12" s="195">
        <v>12</v>
      </c>
      <c r="S12" s="195">
        <v>15</v>
      </c>
      <c r="T12" s="195">
        <v>4</v>
      </c>
      <c r="U12" s="195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6" t="s">
        <v>97</v>
      </c>
      <c r="AD12" s="202">
        <v>40</v>
      </c>
      <c r="AE12" s="202">
        <v>13</v>
      </c>
      <c r="AF12" s="202">
        <v>41</v>
      </c>
      <c r="AG12" s="202">
        <v>14</v>
      </c>
      <c r="AH12" s="202">
        <v>21</v>
      </c>
      <c r="AI12" s="5"/>
      <c r="AJ12" s="136" t="s">
        <v>97</v>
      </c>
      <c r="AK12" s="202">
        <v>40</v>
      </c>
      <c r="AL12" s="202">
        <v>13</v>
      </c>
      <c r="AM12" s="202">
        <v>41</v>
      </c>
      <c r="AN12" s="202">
        <v>14</v>
      </c>
      <c r="AO12" s="202">
        <v>21</v>
      </c>
    </row>
    <row r="13" spans="1:41" ht="15.9" customHeight="1">
      <c r="A13" s="202" t="s">
        <v>28</v>
      </c>
      <c r="B13" s="136" t="s">
        <v>28</v>
      </c>
      <c r="C13" s="202">
        <v>4</v>
      </c>
      <c r="D13" s="202">
        <v>15</v>
      </c>
      <c r="E13" s="202">
        <v>3</v>
      </c>
      <c r="F13" s="202">
        <v>21</v>
      </c>
      <c r="G13" s="202">
        <v>21</v>
      </c>
      <c r="H13" s="136">
        <v>9</v>
      </c>
      <c r="I13" s="82"/>
      <c r="J13" s="195">
        <v>9</v>
      </c>
      <c r="K13" s="196" t="s">
        <v>97</v>
      </c>
      <c r="L13" s="196" t="s">
        <v>14</v>
      </c>
      <c r="M13" s="196" t="s">
        <v>31</v>
      </c>
      <c r="N13" s="196" t="s">
        <v>97</v>
      </c>
      <c r="O13" s="196" t="s">
        <v>28</v>
      </c>
      <c r="Q13" s="195">
        <v>6</v>
      </c>
      <c r="R13" s="195">
        <v>1</v>
      </c>
      <c r="S13" s="195">
        <v>7</v>
      </c>
      <c r="T13" s="195">
        <v>6</v>
      </c>
      <c r="U13" s="195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6" t="s">
        <v>31</v>
      </c>
      <c r="AD13" s="202">
        <v>47</v>
      </c>
      <c r="AE13" s="202">
        <v>10</v>
      </c>
      <c r="AF13" s="202">
        <v>41</v>
      </c>
      <c r="AG13" s="202">
        <v>14</v>
      </c>
      <c r="AH13" s="202">
        <v>21</v>
      </c>
      <c r="AI13" s="5"/>
      <c r="AJ13" s="136" t="s">
        <v>31</v>
      </c>
      <c r="AK13" s="202">
        <v>47</v>
      </c>
      <c r="AL13" s="202">
        <v>10</v>
      </c>
      <c r="AM13" s="202">
        <v>41</v>
      </c>
      <c r="AN13" s="202">
        <v>14</v>
      </c>
      <c r="AO13" s="202">
        <v>21</v>
      </c>
    </row>
    <row r="14" spans="1:41" ht="15.9" customHeight="1">
      <c r="A14" s="202" t="s">
        <v>30</v>
      </c>
      <c r="B14" s="136" t="s">
        <v>30</v>
      </c>
      <c r="C14" s="202">
        <v>4</v>
      </c>
      <c r="D14" s="202">
        <v>17</v>
      </c>
      <c r="E14" s="202">
        <v>3</v>
      </c>
      <c r="F14" s="202">
        <v>21</v>
      </c>
      <c r="G14" s="202">
        <v>21</v>
      </c>
      <c r="H14" s="136">
        <v>10</v>
      </c>
      <c r="I14" s="82"/>
      <c r="J14" s="23">
        <v>10</v>
      </c>
      <c r="K14" s="196" t="s">
        <v>29</v>
      </c>
      <c r="L14" s="196" t="s">
        <v>31</v>
      </c>
      <c r="M14" s="196" t="s">
        <v>29</v>
      </c>
      <c r="N14" s="196" t="s">
        <v>16</v>
      </c>
      <c r="O14" s="196" t="s">
        <v>15</v>
      </c>
      <c r="Q14" s="195">
        <v>8</v>
      </c>
      <c r="R14" s="195">
        <v>7</v>
      </c>
      <c r="S14" s="195">
        <v>8</v>
      </c>
      <c r="T14" s="195">
        <v>3</v>
      </c>
      <c r="U14" s="195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6" t="s">
        <v>29</v>
      </c>
      <c r="AD14" s="202">
        <v>47</v>
      </c>
      <c r="AE14" s="202">
        <v>10</v>
      </c>
      <c r="AF14" s="202">
        <v>41</v>
      </c>
      <c r="AG14" s="202">
        <v>14</v>
      </c>
      <c r="AH14" s="202">
        <v>21</v>
      </c>
      <c r="AI14" s="5"/>
      <c r="AJ14" s="136" t="s">
        <v>29</v>
      </c>
      <c r="AK14" s="202">
        <v>47</v>
      </c>
      <c r="AL14" s="202">
        <v>10</v>
      </c>
      <c r="AM14" s="202">
        <v>41</v>
      </c>
      <c r="AN14" s="202">
        <v>14</v>
      </c>
      <c r="AO14" s="202">
        <v>21</v>
      </c>
    </row>
    <row r="15" spans="1:41" ht="15.9" customHeight="1">
      <c r="A15" s="203" t="s">
        <v>79</v>
      </c>
      <c r="B15" s="201" t="s">
        <v>311</v>
      </c>
      <c r="C15" s="203">
        <v>0</v>
      </c>
      <c r="D15" s="203">
        <v>10</v>
      </c>
      <c r="E15" s="203">
        <v>0</v>
      </c>
      <c r="F15" s="203">
        <v>4</v>
      </c>
      <c r="G15" s="203">
        <v>0</v>
      </c>
      <c r="H15" s="201">
        <v>11</v>
      </c>
      <c r="I15" s="82"/>
      <c r="J15" s="195">
        <v>11</v>
      </c>
      <c r="K15" s="196" t="s">
        <v>97</v>
      </c>
      <c r="L15" s="196" t="s">
        <v>88</v>
      </c>
      <c r="M15" s="196" t="s">
        <v>97</v>
      </c>
      <c r="N15" s="196" t="s">
        <v>12</v>
      </c>
      <c r="O15" s="196" t="s">
        <v>12</v>
      </c>
      <c r="Q15" s="195">
        <v>6</v>
      </c>
      <c r="R15" s="195">
        <v>19</v>
      </c>
      <c r="S15" s="195">
        <v>6</v>
      </c>
      <c r="T15" s="195">
        <v>4</v>
      </c>
      <c r="U15" s="195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6" t="s">
        <v>28</v>
      </c>
      <c r="AD15" s="202">
        <v>4</v>
      </c>
      <c r="AE15" s="202">
        <v>15</v>
      </c>
      <c r="AF15" s="202">
        <v>3</v>
      </c>
      <c r="AG15" s="202">
        <v>21</v>
      </c>
      <c r="AH15" s="202">
        <v>21</v>
      </c>
      <c r="AI15" s="5"/>
      <c r="AJ15" s="136" t="s">
        <v>28</v>
      </c>
      <c r="AK15" s="202">
        <v>4</v>
      </c>
      <c r="AL15" s="202">
        <v>15</v>
      </c>
      <c r="AM15" s="202">
        <v>3</v>
      </c>
      <c r="AN15" s="202">
        <v>21</v>
      </c>
      <c r="AO15" s="202">
        <v>21</v>
      </c>
    </row>
    <row r="16" spans="1:41" ht="15.9" customHeight="1">
      <c r="A16" s="203" t="s">
        <v>80</v>
      </c>
      <c r="B16" s="201" t="s">
        <v>312</v>
      </c>
      <c r="C16" s="203">
        <v>0</v>
      </c>
      <c r="D16" s="203">
        <v>12</v>
      </c>
      <c r="E16" s="203">
        <v>0</v>
      </c>
      <c r="F16" s="203">
        <v>4</v>
      </c>
      <c r="G16" s="203">
        <v>0</v>
      </c>
      <c r="H16" s="201">
        <v>12</v>
      </c>
      <c r="I16" s="82"/>
      <c r="J16" s="23">
        <v>12</v>
      </c>
      <c r="K16" s="196" t="s">
        <v>13</v>
      </c>
      <c r="L16" s="196" t="s">
        <v>86</v>
      </c>
      <c r="M16" s="196" t="s">
        <v>97</v>
      </c>
      <c r="N16" s="196" t="s">
        <v>30</v>
      </c>
      <c r="O16" s="196" t="s">
        <v>12</v>
      </c>
      <c r="Q16" s="195">
        <v>5</v>
      </c>
      <c r="R16" s="195">
        <v>18</v>
      </c>
      <c r="S16" s="195">
        <v>6</v>
      </c>
      <c r="T16" s="195">
        <v>10</v>
      </c>
      <c r="U16" s="195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6" t="s">
        <v>30</v>
      </c>
      <c r="AD16" s="202">
        <v>4</v>
      </c>
      <c r="AE16" s="202">
        <v>17</v>
      </c>
      <c r="AF16" s="202">
        <v>3</v>
      </c>
      <c r="AG16" s="202">
        <v>21</v>
      </c>
      <c r="AH16" s="202">
        <v>21</v>
      </c>
      <c r="AI16" s="5"/>
      <c r="AJ16" s="136" t="s">
        <v>30</v>
      </c>
      <c r="AK16" s="202">
        <v>4</v>
      </c>
      <c r="AL16" s="202">
        <v>17</v>
      </c>
      <c r="AM16" s="202">
        <v>3</v>
      </c>
      <c r="AN16" s="202">
        <v>21</v>
      </c>
      <c r="AO16" s="202">
        <v>21</v>
      </c>
    </row>
    <row r="17" spans="1:41" ht="15.9" customHeight="1">
      <c r="A17" s="203" t="s">
        <v>81</v>
      </c>
      <c r="B17" s="201" t="s">
        <v>313</v>
      </c>
      <c r="C17" s="203">
        <v>0</v>
      </c>
      <c r="D17" s="203">
        <v>12</v>
      </c>
      <c r="E17" s="203">
        <v>0</v>
      </c>
      <c r="F17" s="203">
        <v>4</v>
      </c>
      <c r="G17" s="203">
        <v>0</v>
      </c>
      <c r="H17" s="201">
        <v>13</v>
      </c>
      <c r="I17" s="82"/>
      <c r="J17" s="195">
        <v>13</v>
      </c>
      <c r="K17" s="196" t="s">
        <v>13</v>
      </c>
      <c r="L17" s="196" t="s">
        <v>97</v>
      </c>
      <c r="M17" s="196" t="s">
        <v>15</v>
      </c>
      <c r="N17" s="196" t="s">
        <v>30</v>
      </c>
      <c r="O17" s="196" t="s">
        <v>16</v>
      </c>
      <c r="Q17" s="195">
        <v>5</v>
      </c>
      <c r="R17" s="195">
        <v>6</v>
      </c>
      <c r="S17" s="195">
        <v>2</v>
      </c>
      <c r="T17" s="195">
        <v>10</v>
      </c>
      <c r="U17" s="195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201" t="s">
        <v>79</v>
      </c>
      <c r="AD17" s="203">
        <v>0</v>
      </c>
      <c r="AE17" s="203">
        <v>15</v>
      </c>
      <c r="AF17" s="203">
        <v>0</v>
      </c>
      <c r="AG17" s="203">
        <v>6</v>
      </c>
      <c r="AH17" s="203">
        <v>0</v>
      </c>
      <c r="AI17" s="5"/>
      <c r="AJ17" s="201" t="s">
        <v>79</v>
      </c>
      <c r="AK17" s="203">
        <v>0</v>
      </c>
      <c r="AL17" s="203">
        <v>15</v>
      </c>
      <c r="AM17" s="203">
        <v>0</v>
      </c>
      <c r="AN17" s="203">
        <v>6</v>
      </c>
      <c r="AO17" s="203">
        <v>0</v>
      </c>
    </row>
    <row r="18" spans="1:41" ht="15.9" customHeight="1">
      <c r="A18" s="203" t="s">
        <v>82</v>
      </c>
      <c r="B18" s="201" t="s">
        <v>314</v>
      </c>
      <c r="C18" s="203">
        <v>0</v>
      </c>
      <c r="D18" s="203">
        <v>9</v>
      </c>
      <c r="E18" s="203">
        <v>3</v>
      </c>
      <c r="F18" s="203">
        <v>3</v>
      </c>
      <c r="G18" s="203">
        <v>0</v>
      </c>
      <c r="H18" s="201">
        <v>14</v>
      </c>
      <c r="I18" s="82"/>
      <c r="J18" s="23">
        <v>14</v>
      </c>
      <c r="K18" s="196" t="s">
        <v>97</v>
      </c>
      <c r="L18" s="196" t="s">
        <v>79</v>
      </c>
      <c r="M18" s="196" t="s">
        <v>29</v>
      </c>
      <c r="N18" s="196" t="s">
        <v>29</v>
      </c>
      <c r="O18" s="196" t="s">
        <v>16</v>
      </c>
      <c r="Q18" s="195">
        <v>6</v>
      </c>
      <c r="R18" s="195">
        <v>11</v>
      </c>
      <c r="S18" s="195">
        <v>8</v>
      </c>
      <c r="T18" s="195">
        <v>8</v>
      </c>
      <c r="U18" s="195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201" t="s">
        <v>80</v>
      </c>
      <c r="AD18" s="203">
        <v>0</v>
      </c>
      <c r="AE18" s="203">
        <v>18</v>
      </c>
      <c r="AF18" s="203">
        <v>0</v>
      </c>
      <c r="AG18" s="203">
        <v>6</v>
      </c>
      <c r="AH18" s="203">
        <v>0</v>
      </c>
      <c r="AI18" s="5"/>
      <c r="AJ18" s="201" t="s">
        <v>80</v>
      </c>
      <c r="AK18" s="203">
        <v>0</v>
      </c>
      <c r="AL18" s="203">
        <v>18</v>
      </c>
      <c r="AM18" s="203">
        <v>0</v>
      </c>
      <c r="AN18" s="203">
        <v>6</v>
      </c>
      <c r="AO18" s="203">
        <v>0</v>
      </c>
    </row>
    <row r="19" spans="1:41" ht="15.9" customHeight="1">
      <c r="A19" s="203" t="s">
        <v>98</v>
      </c>
      <c r="B19" s="201" t="s">
        <v>315</v>
      </c>
      <c r="C19" s="203">
        <v>0</v>
      </c>
      <c r="D19" s="203">
        <v>5</v>
      </c>
      <c r="E19" s="203">
        <v>3</v>
      </c>
      <c r="F19" s="203">
        <v>3</v>
      </c>
      <c r="G19" s="203">
        <v>0</v>
      </c>
      <c r="H19" s="201">
        <v>15</v>
      </c>
      <c r="I19" s="82"/>
      <c r="J19" s="195">
        <v>15</v>
      </c>
      <c r="K19" s="196" t="s">
        <v>31</v>
      </c>
      <c r="L19" s="196" t="s">
        <v>16</v>
      </c>
      <c r="M19" s="196" t="s">
        <v>31</v>
      </c>
      <c r="N19" s="196" t="s">
        <v>15</v>
      </c>
      <c r="O19" s="196" t="s">
        <v>31</v>
      </c>
      <c r="Q19" s="195">
        <v>7</v>
      </c>
      <c r="R19" s="195">
        <v>3</v>
      </c>
      <c r="S19" s="195">
        <v>7</v>
      </c>
      <c r="T19" s="195">
        <v>2</v>
      </c>
      <c r="U19" s="195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201" t="s">
        <v>81</v>
      </c>
      <c r="AD19" s="203">
        <v>0</v>
      </c>
      <c r="AE19" s="203">
        <v>18</v>
      </c>
      <c r="AF19" s="203">
        <v>0</v>
      </c>
      <c r="AG19" s="203">
        <v>6</v>
      </c>
      <c r="AH19" s="203">
        <v>0</v>
      </c>
      <c r="AI19" s="5"/>
      <c r="AJ19" s="201" t="s">
        <v>81</v>
      </c>
      <c r="AK19" s="203">
        <v>0</v>
      </c>
      <c r="AL19" s="203">
        <v>18</v>
      </c>
      <c r="AM19" s="203">
        <v>0</v>
      </c>
      <c r="AN19" s="203">
        <v>6</v>
      </c>
      <c r="AO19" s="203">
        <v>0</v>
      </c>
    </row>
    <row r="20" spans="1:41" ht="15.9" customHeight="1">
      <c r="A20" s="203" t="s">
        <v>83</v>
      </c>
      <c r="B20" s="201" t="s">
        <v>316</v>
      </c>
      <c r="C20" s="203">
        <v>0</v>
      </c>
      <c r="D20" s="203">
        <v>7</v>
      </c>
      <c r="E20" s="203">
        <v>3</v>
      </c>
      <c r="F20" s="203">
        <v>3</v>
      </c>
      <c r="G20" s="203">
        <v>0</v>
      </c>
      <c r="H20" s="201">
        <v>16</v>
      </c>
      <c r="I20" s="82"/>
      <c r="J20" s="23">
        <v>16</v>
      </c>
      <c r="K20" s="196" t="s">
        <v>16</v>
      </c>
      <c r="L20" s="196" t="s">
        <v>79</v>
      </c>
      <c r="M20" s="196" t="s">
        <v>15</v>
      </c>
      <c r="N20" s="196" t="s">
        <v>86</v>
      </c>
      <c r="O20" s="196" t="s">
        <v>13</v>
      </c>
      <c r="Q20" s="195">
        <v>3</v>
      </c>
      <c r="R20" s="195">
        <v>11</v>
      </c>
      <c r="S20" s="195">
        <v>2</v>
      </c>
      <c r="T20" s="195">
        <v>18</v>
      </c>
      <c r="U20" s="195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201" t="s">
        <v>82</v>
      </c>
      <c r="AD20" s="203">
        <v>0</v>
      </c>
      <c r="AE20" s="203">
        <v>13</v>
      </c>
      <c r="AF20" s="203">
        <v>4</v>
      </c>
      <c r="AG20" s="203">
        <v>4</v>
      </c>
      <c r="AH20" s="203">
        <v>0</v>
      </c>
      <c r="AI20" s="5"/>
      <c r="AJ20" s="201" t="s">
        <v>82</v>
      </c>
      <c r="AK20" s="203">
        <v>0</v>
      </c>
      <c r="AL20" s="203">
        <v>13</v>
      </c>
      <c r="AM20" s="203">
        <v>4</v>
      </c>
      <c r="AN20" s="203">
        <v>4</v>
      </c>
      <c r="AO20" s="203">
        <v>0</v>
      </c>
    </row>
    <row r="21" spans="1:41" ht="15.9" customHeight="1">
      <c r="A21" s="203" t="s">
        <v>95</v>
      </c>
      <c r="B21" s="201" t="s">
        <v>317</v>
      </c>
      <c r="C21" s="203">
        <v>0</v>
      </c>
      <c r="D21" s="203">
        <v>7</v>
      </c>
      <c r="E21" s="203">
        <v>3</v>
      </c>
      <c r="F21" s="203">
        <v>3</v>
      </c>
      <c r="G21" s="203">
        <v>0</v>
      </c>
      <c r="H21" s="201">
        <v>17</v>
      </c>
      <c r="I21" s="82"/>
      <c r="J21" s="195">
        <v>17</v>
      </c>
      <c r="K21" s="196" t="s">
        <v>31</v>
      </c>
      <c r="L21" s="196" t="s">
        <v>98</v>
      </c>
      <c r="M21" s="196" t="s">
        <v>30</v>
      </c>
      <c r="N21" s="196" t="s">
        <v>28</v>
      </c>
      <c r="O21" s="196" t="s">
        <v>97</v>
      </c>
      <c r="Q21" s="195">
        <v>7</v>
      </c>
      <c r="R21" s="195">
        <v>15</v>
      </c>
      <c r="S21" s="195">
        <v>10</v>
      </c>
      <c r="T21" s="195">
        <v>9</v>
      </c>
      <c r="U21" s="195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201" t="s">
        <v>98</v>
      </c>
      <c r="AD21" s="203">
        <v>0</v>
      </c>
      <c r="AE21" s="203">
        <v>7</v>
      </c>
      <c r="AF21" s="203">
        <v>4</v>
      </c>
      <c r="AG21" s="203">
        <v>4</v>
      </c>
      <c r="AH21" s="203">
        <v>0</v>
      </c>
      <c r="AI21" s="5"/>
      <c r="AJ21" s="201" t="s">
        <v>98</v>
      </c>
      <c r="AK21" s="203">
        <v>0</v>
      </c>
      <c r="AL21" s="203">
        <v>7</v>
      </c>
      <c r="AM21" s="203">
        <v>4</v>
      </c>
      <c r="AN21" s="203">
        <v>4</v>
      </c>
      <c r="AO21" s="203">
        <v>0</v>
      </c>
    </row>
    <row r="22" spans="1:41" ht="15.9" customHeight="1">
      <c r="A22" s="203" t="s">
        <v>86</v>
      </c>
      <c r="B22" s="201" t="s">
        <v>318</v>
      </c>
      <c r="C22" s="203">
        <v>0</v>
      </c>
      <c r="D22" s="203">
        <v>10</v>
      </c>
      <c r="E22" s="203">
        <v>0</v>
      </c>
      <c r="F22" s="203">
        <v>4</v>
      </c>
      <c r="G22" s="203">
        <v>0</v>
      </c>
      <c r="H22" s="201">
        <v>18</v>
      </c>
      <c r="I22" s="82"/>
      <c r="J22" s="23">
        <v>18</v>
      </c>
      <c r="K22" s="196" t="s">
        <v>29</v>
      </c>
      <c r="L22" s="196" t="s">
        <v>97</v>
      </c>
      <c r="M22" s="196" t="s">
        <v>29</v>
      </c>
      <c r="N22" s="196" t="s">
        <v>12</v>
      </c>
      <c r="O22" s="196" t="s">
        <v>15</v>
      </c>
      <c r="Q22" s="195">
        <v>8</v>
      </c>
      <c r="R22" s="195">
        <v>6</v>
      </c>
      <c r="S22" s="195">
        <v>8</v>
      </c>
      <c r="T22" s="195">
        <v>4</v>
      </c>
      <c r="U22" s="195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201" t="s">
        <v>83</v>
      </c>
      <c r="AD22" s="203">
        <v>0</v>
      </c>
      <c r="AE22" s="203">
        <v>10</v>
      </c>
      <c r="AF22" s="203">
        <v>4</v>
      </c>
      <c r="AG22" s="203">
        <v>4</v>
      </c>
      <c r="AH22" s="203">
        <v>0</v>
      </c>
      <c r="AI22" s="5"/>
      <c r="AJ22" s="201" t="s">
        <v>83</v>
      </c>
      <c r="AK22" s="203">
        <v>0</v>
      </c>
      <c r="AL22" s="203">
        <v>10</v>
      </c>
      <c r="AM22" s="203">
        <v>4</v>
      </c>
      <c r="AN22" s="203">
        <v>4</v>
      </c>
      <c r="AO22" s="203">
        <v>0</v>
      </c>
    </row>
    <row r="23" spans="1:41" ht="15.9" customHeight="1">
      <c r="A23" s="203" t="s">
        <v>88</v>
      </c>
      <c r="B23" s="201" t="s">
        <v>319</v>
      </c>
      <c r="C23" s="203">
        <v>0</v>
      </c>
      <c r="D23" s="203">
        <v>8</v>
      </c>
      <c r="E23" s="203">
        <v>0</v>
      </c>
      <c r="F23" s="203">
        <v>4</v>
      </c>
      <c r="G23" s="203">
        <v>0</v>
      </c>
      <c r="H23" s="201">
        <v>19</v>
      </c>
      <c r="I23" s="82"/>
      <c r="J23" s="195">
        <v>19</v>
      </c>
      <c r="K23" s="196" t="s">
        <v>97</v>
      </c>
      <c r="L23" s="196" t="s">
        <v>13</v>
      </c>
      <c r="M23" s="196" t="s">
        <v>97</v>
      </c>
      <c r="N23" s="196" t="s">
        <v>83</v>
      </c>
      <c r="O23" s="196" t="s">
        <v>15</v>
      </c>
      <c r="Q23" s="195">
        <v>6</v>
      </c>
      <c r="R23" s="195">
        <v>5</v>
      </c>
      <c r="S23" s="195">
        <v>6</v>
      </c>
      <c r="T23" s="195">
        <v>16</v>
      </c>
      <c r="U23" s="195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201" t="s">
        <v>95</v>
      </c>
      <c r="AD23" s="203">
        <v>0</v>
      </c>
      <c r="AE23" s="203">
        <v>10</v>
      </c>
      <c r="AF23" s="203">
        <v>4</v>
      </c>
      <c r="AG23" s="203">
        <v>4</v>
      </c>
      <c r="AH23" s="203">
        <v>0</v>
      </c>
      <c r="AI23" s="5"/>
      <c r="AJ23" s="201" t="s">
        <v>95</v>
      </c>
      <c r="AK23" s="203">
        <v>0</v>
      </c>
      <c r="AL23" s="203">
        <v>10</v>
      </c>
      <c r="AM23" s="203">
        <v>4</v>
      </c>
      <c r="AN23" s="203">
        <v>4</v>
      </c>
      <c r="AO23" s="203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6" t="s">
        <v>31</v>
      </c>
      <c r="L24" s="196" t="s">
        <v>95</v>
      </c>
      <c r="M24" s="196" t="s">
        <v>31</v>
      </c>
      <c r="N24" s="196" t="s">
        <v>28</v>
      </c>
      <c r="O24" s="196" t="s">
        <v>13</v>
      </c>
      <c r="Q24" s="195">
        <v>7</v>
      </c>
      <c r="R24" s="195">
        <v>17</v>
      </c>
      <c r="S24" s="195">
        <v>7</v>
      </c>
      <c r="T24" s="195">
        <v>9</v>
      </c>
      <c r="U24" s="195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201" t="s">
        <v>86</v>
      </c>
      <c r="AD24" s="203">
        <v>0</v>
      </c>
      <c r="AE24" s="203">
        <v>15</v>
      </c>
      <c r="AF24" s="203">
        <v>0</v>
      </c>
      <c r="AG24" s="203">
        <v>6</v>
      </c>
      <c r="AH24" s="203">
        <v>0</v>
      </c>
      <c r="AI24" s="5"/>
      <c r="AJ24" s="201" t="s">
        <v>86</v>
      </c>
      <c r="AK24" s="203">
        <v>0</v>
      </c>
      <c r="AL24" s="203">
        <v>15</v>
      </c>
      <c r="AM24" s="203">
        <v>0</v>
      </c>
      <c r="AN24" s="203">
        <v>6</v>
      </c>
      <c r="AO24" s="203">
        <v>0</v>
      </c>
    </row>
    <row r="25" spans="1:41" ht="16.5" customHeight="1">
      <c r="I25" s="82"/>
      <c r="J25" s="195">
        <v>21</v>
      </c>
      <c r="K25" s="196" t="s">
        <v>29</v>
      </c>
      <c r="L25" s="196" t="s">
        <v>95</v>
      </c>
      <c r="M25" s="196" t="s">
        <v>12</v>
      </c>
      <c r="N25" s="196" t="s">
        <v>15</v>
      </c>
      <c r="O25" s="196" t="s">
        <v>15</v>
      </c>
      <c r="Q25" s="195">
        <v>8</v>
      </c>
      <c r="R25" s="195">
        <v>17</v>
      </c>
      <c r="S25" s="195">
        <v>4</v>
      </c>
      <c r="T25" s="195">
        <v>2</v>
      </c>
      <c r="U25" s="195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201" t="s">
        <v>88</v>
      </c>
      <c r="AD25" s="203">
        <v>0</v>
      </c>
      <c r="AE25" s="203">
        <v>12</v>
      </c>
      <c r="AF25" s="203">
        <v>0</v>
      </c>
      <c r="AG25" s="203">
        <v>6</v>
      </c>
      <c r="AH25" s="203">
        <v>0</v>
      </c>
      <c r="AI25" s="5"/>
      <c r="AJ25" s="201" t="s">
        <v>88</v>
      </c>
      <c r="AK25" s="203">
        <v>0</v>
      </c>
      <c r="AL25" s="203">
        <v>12</v>
      </c>
      <c r="AM25" s="203">
        <v>0</v>
      </c>
      <c r="AN25" s="203">
        <v>6</v>
      </c>
      <c r="AO25" s="203">
        <v>0</v>
      </c>
    </row>
    <row r="26" spans="1:41" ht="16.5" customHeight="1">
      <c r="B26" s="5" t="s">
        <v>320</v>
      </c>
      <c r="C26" s="5">
        <v>1</v>
      </c>
      <c r="D26" s="158">
        <v>0.6</v>
      </c>
      <c r="E26" s="158">
        <v>0.94</v>
      </c>
      <c r="F26" s="158">
        <v>0.84</v>
      </c>
      <c r="G26" s="5">
        <v>1</v>
      </c>
      <c r="I26" s="82"/>
      <c r="J26" s="23">
        <v>22</v>
      </c>
      <c r="K26" s="196" t="s">
        <v>29</v>
      </c>
      <c r="L26" s="196" t="s">
        <v>16</v>
      </c>
      <c r="M26" s="196" t="s">
        <v>29</v>
      </c>
      <c r="N26" s="196" t="s">
        <v>31</v>
      </c>
      <c r="O26" s="196" t="s">
        <v>13</v>
      </c>
      <c r="Q26" s="195">
        <v>8</v>
      </c>
      <c r="R26" s="195">
        <v>3</v>
      </c>
      <c r="S26" s="195">
        <v>8</v>
      </c>
      <c r="T26" s="195">
        <v>7</v>
      </c>
      <c r="U26" s="195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3">
        <v>194</v>
      </c>
      <c r="AE26" s="103">
        <v>238</v>
      </c>
      <c r="AF26" s="103">
        <v>198</v>
      </c>
      <c r="AG26" s="103">
        <v>214</v>
      </c>
      <c r="AH26" s="103">
        <v>191</v>
      </c>
      <c r="AI26" s="5"/>
      <c r="AK26" s="103">
        <v>194</v>
      </c>
      <c r="AL26" s="103">
        <v>238</v>
      </c>
      <c r="AM26" s="103">
        <v>198</v>
      </c>
      <c r="AN26" s="103">
        <v>214</v>
      </c>
      <c r="AO26" s="103">
        <v>191</v>
      </c>
    </row>
    <row r="27" spans="1:41" ht="16.5" customHeight="1">
      <c r="B27" s="5" t="s">
        <v>321</v>
      </c>
      <c r="C27" s="5">
        <v>0</v>
      </c>
      <c r="D27" s="158">
        <v>0.4</v>
      </c>
      <c r="E27" s="158">
        <v>0.06</v>
      </c>
      <c r="F27" s="158">
        <v>0.16</v>
      </c>
      <c r="G27" s="5">
        <v>0</v>
      </c>
      <c r="I27" s="82"/>
      <c r="J27" s="195">
        <v>23</v>
      </c>
      <c r="K27" s="196" t="s">
        <v>29</v>
      </c>
      <c r="L27" s="196" t="s">
        <v>12</v>
      </c>
      <c r="M27" s="196" t="s">
        <v>97</v>
      </c>
      <c r="N27" s="196" t="s">
        <v>14</v>
      </c>
      <c r="O27" s="196" t="s">
        <v>97</v>
      </c>
      <c r="Q27" s="195">
        <v>8</v>
      </c>
      <c r="R27" s="195">
        <v>4</v>
      </c>
      <c r="S27" s="195">
        <v>6</v>
      </c>
      <c r="T27" s="195">
        <v>1</v>
      </c>
      <c r="U27" s="195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6" t="s">
        <v>13</v>
      </c>
      <c r="L28" s="196" t="s">
        <v>81</v>
      </c>
      <c r="M28" s="196" t="s">
        <v>28</v>
      </c>
      <c r="N28" s="196" t="s">
        <v>88</v>
      </c>
      <c r="O28" s="196" t="s">
        <v>29</v>
      </c>
      <c r="Q28" s="195">
        <v>5</v>
      </c>
      <c r="R28" s="195">
        <v>13</v>
      </c>
      <c r="S28" s="195">
        <v>9</v>
      </c>
      <c r="T28" s="195">
        <v>19</v>
      </c>
      <c r="U28" s="195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308</v>
      </c>
      <c r="AH28" s="5"/>
      <c r="AI28" s="5"/>
      <c r="AJ28" s="25" t="s">
        <v>308</v>
      </c>
      <c r="AO28" s="5"/>
    </row>
    <row r="29" spans="1:41" ht="16.5" customHeight="1">
      <c r="I29" s="82"/>
      <c r="J29" s="195">
        <v>25</v>
      </c>
      <c r="K29" s="196" t="s">
        <v>29</v>
      </c>
      <c r="L29" s="196" t="s">
        <v>29</v>
      </c>
      <c r="M29" s="196" t="s">
        <v>29</v>
      </c>
      <c r="N29" s="196" t="s">
        <v>12</v>
      </c>
      <c r="O29" s="196" t="s">
        <v>12</v>
      </c>
      <c r="Q29" s="195">
        <v>8</v>
      </c>
      <c r="R29" s="195">
        <v>8</v>
      </c>
      <c r="S29" s="195">
        <v>8</v>
      </c>
      <c r="T29" s="195">
        <v>4</v>
      </c>
      <c r="U29" s="195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22" t="s">
        <v>36</v>
      </c>
      <c r="AD29" s="122" t="s">
        <v>7</v>
      </c>
      <c r="AE29" s="122" t="s">
        <v>8</v>
      </c>
      <c r="AF29" s="122" t="s">
        <v>9</v>
      </c>
      <c r="AG29" s="122" t="s">
        <v>10</v>
      </c>
      <c r="AH29" s="122" t="s">
        <v>11</v>
      </c>
      <c r="AI29" s="5"/>
      <c r="AJ29" s="122" t="s">
        <v>36</v>
      </c>
      <c r="AK29" s="122" t="s">
        <v>7</v>
      </c>
      <c r="AL29" s="122" t="s">
        <v>8</v>
      </c>
      <c r="AM29" s="122" t="s">
        <v>9</v>
      </c>
      <c r="AN29" s="122" t="s">
        <v>10</v>
      </c>
      <c r="AO29" s="122" t="s">
        <v>11</v>
      </c>
    </row>
    <row r="30" spans="1:41" ht="16.5" customHeight="1">
      <c r="I30" s="82"/>
      <c r="J30" s="23">
        <v>26</v>
      </c>
      <c r="K30" s="196" t="s">
        <v>31</v>
      </c>
      <c r="L30" s="196" t="s">
        <v>29</v>
      </c>
      <c r="M30" s="196" t="s">
        <v>97</v>
      </c>
      <c r="N30" s="196" t="s">
        <v>30</v>
      </c>
      <c r="O30" s="196" t="s">
        <v>97</v>
      </c>
      <c r="Q30" s="195">
        <v>7</v>
      </c>
      <c r="R30" s="195">
        <v>8</v>
      </c>
      <c r="S30" s="195">
        <v>6</v>
      </c>
      <c r="T30" s="195">
        <v>10</v>
      </c>
      <c r="U30" s="195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201" t="s">
        <v>306</v>
      </c>
      <c r="AD30" s="126">
        <v>0</v>
      </c>
      <c r="AE30" s="126">
        <v>0</v>
      </c>
      <c r="AF30" s="126">
        <v>0</v>
      </c>
      <c r="AG30" s="126">
        <v>0</v>
      </c>
      <c r="AH30" s="126">
        <v>0</v>
      </c>
      <c r="AI30" s="5"/>
      <c r="AJ30" s="201" t="s">
        <v>306</v>
      </c>
      <c r="AK30" s="126">
        <v>0</v>
      </c>
      <c r="AL30" s="126">
        <v>0</v>
      </c>
      <c r="AM30" s="126">
        <v>0</v>
      </c>
      <c r="AN30" s="126">
        <v>0</v>
      </c>
      <c r="AO30" s="126">
        <v>0</v>
      </c>
    </row>
    <row r="31" spans="1:41" ht="16.5" customHeight="1">
      <c r="I31" s="82"/>
      <c r="J31" s="195">
        <v>27</v>
      </c>
      <c r="K31" s="196" t="s">
        <v>13</v>
      </c>
      <c r="L31" s="196" t="s">
        <v>86</v>
      </c>
      <c r="M31" s="196" t="s">
        <v>31</v>
      </c>
      <c r="N31" s="196" t="s">
        <v>88</v>
      </c>
      <c r="O31" s="196" t="s">
        <v>28</v>
      </c>
      <c r="Q31" s="195">
        <v>5</v>
      </c>
      <c r="R31" s="195">
        <v>18</v>
      </c>
      <c r="S31" s="195">
        <v>7</v>
      </c>
      <c r="T31" s="195">
        <v>19</v>
      </c>
      <c r="U31" s="195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201" t="s">
        <v>14</v>
      </c>
      <c r="AD31" s="201">
        <v>0</v>
      </c>
      <c r="AE31" s="201">
        <v>6</v>
      </c>
      <c r="AF31" s="201">
        <v>0</v>
      </c>
      <c r="AG31" s="201">
        <v>9</v>
      </c>
      <c r="AH31" s="201">
        <v>0</v>
      </c>
      <c r="AI31" s="5"/>
      <c r="AJ31" s="201" t="s">
        <v>14</v>
      </c>
      <c r="AK31" s="201">
        <v>0</v>
      </c>
      <c r="AL31" s="201">
        <v>6</v>
      </c>
      <c r="AM31" s="201">
        <v>0</v>
      </c>
      <c r="AN31" s="201">
        <v>9</v>
      </c>
      <c r="AO31" s="201">
        <v>0</v>
      </c>
    </row>
    <row r="32" spans="1:41" ht="16.5" customHeight="1">
      <c r="J32" s="23">
        <v>28</v>
      </c>
      <c r="K32" s="196" t="s">
        <v>29</v>
      </c>
      <c r="L32" s="196" t="s">
        <v>82</v>
      </c>
      <c r="M32" s="196" t="s">
        <v>97</v>
      </c>
      <c r="N32" s="196" t="s">
        <v>79</v>
      </c>
      <c r="O32" s="196" t="s">
        <v>28</v>
      </c>
      <c r="Q32" s="195">
        <v>8</v>
      </c>
      <c r="R32" s="195">
        <v>14</v>
      </c>
      <c r="S32" s="195">
        <v>6</v>
      </c>
      <c r="T32" s="195">
        <v>11</v>
      </c>
      <c r="U32" s="195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6" t="s">
        <v>15</v>
      </c>
      <c r="AD32" s="202">
        <v>4</v>
      </c>
      <c r="AE32" s="202">
        <v>14</v>
      </c>
      <c r="AF32" s="202">
        <v>4</v>
      </c>
      <c r="AG32" s="202">
        <v>21</v>
      </c>
      <c r="AH32" s="202">
        <v>22</v>
      </c>
      <c r="AI32" s="5"/>
      <c r="AJ32" s="136" t="s">
        <v>15</v>
      </c>
      <c r="AK32" s="202">
        <v>4</v>
      </c>
      <c r="AL32" s="202">
        <v>14</v>
      </c>
      <c r="AM32" s="202">
        <v>4</v>
      </c>
      <c r="AN32" s="202">
        <v>21</v>
      </c>
      <c r="AO32" s="202">
        <v>22</v>
      </c>
    </row>
    <row r="33" spans="10:41" ht="16.5" customHeight="1">
      <c r="J33" s="195">
        <v>29</v>
      </c>
      <c r="K33" s="196" t="s">
        <v>15</v>
      </c>
      <c r="L33" s="196" t="s">
        <v>81</v>
      </c>
      <c r="M33" s="196" t="s">
        <v>13</v>
      </c>
      <c r="N33" s="196" t="s">
        <v>16</v>
      </c>
      <c r="O33" s="196" t="s">
        <v>15</v>
      </c>
      <c r="Q33" s="195">
        <v>2</v>
      </c>
      <c r="R33" s="195">
        <v>13</v>
      </c>
      <c r="S33" s="195">
        <v>5</v>
      </c>
      <c r="T33" s="195">
        <v>3</v>
      </c>
      <c r="U33" s="195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6" t="s">
        <v>16</v>
      </c>
      <c r="AD33" s="202">
        <v>4</v>
      </c>
      <c r="AE33" s="202">
        <v>13</v>
      </c>
      <c r="AF33" s="202">
        <v>4</v>
      </c>
      <c r="AG33" s="202">
        <v>20</v>
      </c>
      <c r="AH33" s="202">
        <v>22</v>
      </c>
      <c r="AI33" s="5"/>
      <c r="AJ33" s="136" t="s">
        <v>16</v>
      </c>
      <c r="AK33" s="202">
        <v>4</v>
      </c>
      <c r="AL33" s="202">
        <v>13</v>
      </c>
      <c r="AM33" s="202">
        <v>4</v>
      </c>
      <c r="AN33" s="202">
        <v>20</v>
      </c>
      <c r="AO33" s="202">
        <v>22</v>
      </c>
    </row>
    <row r="34" spans="10:41" ht="16.5" customHeight="1">
      <c r="J34" s="23">
        <v>30</v>
      </c>
      <c r="K34" s="196" t="s">
        <v>29</v>
      </c>
      <c r="L34" s="196" t="s">
        <v>30</v>
      </c>
      <c r="M34" s="196" t="s">
        <v>29</v>
      </c>
      <c r="N34" s="196" t="s">
        <v>15</v>
      </c>
      <c r="O34" s="196" t="s">
        <v>15</v>
      </c>
      <c r="Q34" s="195">
        <v>8</v>
      </c>
      <c r="R34" s="195">
        <v>10</v>
      </c>
      <c r="S34" s="195">
        <v>8</v>
      </c>
      <c r="T34" s="195">
        <v>2</v>
      </c>
      <c r="U34" s="195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6" t="s">
        <v>12</v>
      </c>
      <c r="AD34" s="202">
        <v>4</v>
      </c>
      <c r="AE34" s="202">
        <v>13</v>
      </c>
      <c r="AF34" s="202">
        <v>4</v>
      </c>
      <c r="AG34" s="202">
        <v>20</v>
      </c>
      <c r="AH34" s="202">
        <v>21</v>
      </c>
      <c r="AI34" s="5"/>
      <c r="AJ34" s="136" t="s">
        <v>12</v>
      </c>
      <c r="AK34" s="202">
        <v>4</v>
      </c>
      <c r="AL34" s="202">
        <v>13</v>
      </c>
      <c r="AM34" s="202">
        <v>4</v>
      </c>
      <c r="AN34" s="202">
        <v>20</v>
      </c>
      <c r="AO34" s="202">
        <v>21</v>
      </c>
    </row>
    <row r="35" spans="10:41" ht="16.5" customHeight="1">
      <c r="J35" s="195">
        <v>31</v>
      </c>
      <c r="K35" s="196" t="s">
        <v>13</v>
      </c>
      <c r="L35" s="196" t="s">
        <v>30</v>
      </c>
      <c r="M35" s="196" t="s">
        <v>31</v>
      </c>
      <c r="N35" s="196" t="s">
        <v>97</v>
      </c>
      <c r="O35" s="196" t="s">
        <v>14</v>
      </c>
      <c r="Q35" s="195">
        <v>5</v>
      </c>
      <c r="R35" s="195">
        <v>10</v>
      </c>
      <c r="S35" s="195">
        <v>7</v>
      </c>
      <c r="T35" s="195">
        <v>6</v>
      </c>
      <c r="U35" s="195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6" t="s">
        <v>13</v>
      </c>
      <c r="AD35" s="202">
        <v>40</v>
      </c>
      <c r="AE35" s="202">
        <v>9</v>
      </c>
      <c r="AF35" s="202">
        <v>41</v>
      </c>
      <c r="AG35" s="202">
        <v>14</v>
      </c>
      <c r="AH35" s="202">
        <v>21</v>
      </c>
      <c r="AI35" s="5"/>
      <c r="AJ35" s="136" t="s">
        <v>13</v>
      </c>
      <c r="AK35" s="202">
        <v>40</v>
      </c>
      <c r="AL35" s="202">
        <v>9</v>
      </c>
      <c r="AM35" s="202">
        <v>41</v>
      </c>
      <c r="AN35" s="202">
        <v>14</v>
      </c>
      <c r="AO35" s="202">
        <v>21</v>
      </c>
    </row>
    <row r="36" spans="10:41" ht="16.5" customHeight="1">
      <c r="J36" s="23">
        <v>32</v>
      </c>
      <c r="K36" s="196" t="s">
        <v>31</v>
      </c>
      <c r="L36" s="196" t="s">
        <v>13</v>
      </c>
      <c r="M36" s="196" t="s">
        <v>12</v>
      </c>
      <c r="N36" s="196" t="s">
        <v>97</v>
      </c>
      <c r="O36" s="196" t="s">
        <v>28</v>
      </c>
      <c r="Q36" s="195">
        <v>7</v>
      </c>
      <c r="R36" s="195">
        <v>5</v>
      </c>
      <c r="S36" s="195">
        <v>4</v>
      </c>
      <c r="T36" s="195">
        <v>6</v>
      </c>
      <c r="U36" s="195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6" t="s">
        <v>97</v>
      </c>
      <c r="AD36" s="202">
        <v>40</v>
      </c>
      <c r="AE36" s="202">
        <v>13</v>
      </c>
      <c r="AF36" s="202">
        <v>41</v>
      </c>
      <c r="AG36" s="202">
        <v>14</v>
      </c>
      <c r="AH36" s="202">
        <v>21</v>
      </c>
      <c r="AI36" s="5"/>
      <c r="AJ36" s="136" t="s">
        <v>97</v>
      </c>
      <c r="AK36" s="202">
        <v>40</v>
      </c>
      <c r="AL36" s="202">
        <v>13</v>
      </c>
      <c r="AM36" s="202">
        <v>41</v>
      </c>
      <c r="AN36" s="202">
        <v>14</v>
      </c>
      <c r="AO36" s="202">
        <v>21</v>
      </c>
    </row>
    <row r="37" spans="10:41" ht="16.5" customHeight="1">
      <c r="J37" s="195">
        <v>33</v>
      </c>
      <c r="K37" s="196" t="s">
        <v>13</v>
      </c>
      <c r="L37" s="196" t="s">
        <v>95</v>
      </c>
      <c r="M37" s="196" t="s">
        <v>29</v>
      </c>
      <c r="N37" s="196" t="s">
        <v>83</v>
      </c>
      <c r="O37" s="196" t="s">
        <v>29</v>
      </c>
      <c r="Q37" s="195">
        <v>5</v>
      </c>
      <c r="R37" s="195">
        <v>17</v>
      </c>
      <c r="S37" s="195">
        <v>8</v>
      </c>
      <c r="T37" s="195">
        <v>16</v>
      </c>
      <c r="U37" s="195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6" t="s">
        <v>31</v>
      </c>
      <c r="AD37" s="202">
        <v>47</v>
      </c>
      <c r="AE37" s="202">
        <v>10</v>
      </c>
      <c r="AF37" s="202">
        <v>41</v>
      </c>
      <c r="AG37" s="202">
        <v>14</v>
      </c>
      <c r="AH37" s="202">
        <v>21</v>
      </c>
      <c r="AI37" s="5"/>
      <c r="AJ37" s="136" t="s">
        <v>31</v>
      </c>
      <c r="AK37" s="202">
        <v>47</v>
      </c>
      <c r="AL37" s="202">
        <v>10</v>
      </c>
      <c r="AM37" s="202">
        <v>41</v>
      </c>
      <c r="AN37" s="202">
        <v>14</v>
      </c>
      <c r="AO37" s="202">
        <v>21</v>
      </c>
    </row>
    <row r="38" spans="10:41" ht="16.5" customHeight="1">
      <c r="J38" s="23">
        <v>34</v>
      </c>
      <c r="K38" s="196" t="s">
        <v>97</v>
      </c>
      <c r="L38" s="196" t="s">
        <v>80</v>
      </c>
      <c r="M38" s="196" t="s">
        <v>13</v>
      </c>
      <c r="N38" s="196" t="s">
        <v>29</v>
      </c>
      <c r="O38" s="196" t="s">
        <v>16</v>
      </c>
      <c r="Q38" s="195">
        <v>6</v>
      </c>
      <c r="R38" s="195">
        <v>12</v>
      </c>
      <c r="S38" s="195">
        <v>5</v>
      </c>
      <c r="T38" s="195">
        <v>8</v>
      </c>
      <c r="U38" s="195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6" t="s">
        <v>29</v>
      </c>
      <c r="AD38" s="202">
        <v>47</v>
      </c>
      <c r="AE38" s="202">
        <v>10</v>
      </c>
      <c r="AF38" s="202">
        <v>41</v>
      </c>
      <c r="AG38" s="202">
        <v>14</v>
      </c>
      <c r="AH38" s="202">
        <v>21</v>
      </c>
      <c r="AI38" s="5"/>
      <c r="AJ38" s="136" t="s">
        <v>29</v>
      </c>
      <c r="AK38" s="202">
        <v>47</v>
      </c>
      <c r="AL38" s="202">
        <v>10</v>
      </c>
      <c r="AM38" s="202">
        <v>41</v>
      </c>
      <c r="AN38" s="202">
        <v>14</v>
      </c>
      <c r="AO38" s="202">
        <v>21</v>
      </c>
    </row>
    <row r="39" spans="10:41" ht="16.5" customHeight="1">
      <c r="J39" s="195">
        <v>35</v>
      </c>
      <c r="K39" s="196" t="s">
        <v>97</v>
      </c>
      <c r="L39" s="196" t="s">
        <v>31</v>
      </c>
      <c r="M39" s="196" t="s">
        <v>97</v>
      </c>
      <c r="N39" s="196" t="s">
        <v>15</v>
      </c>
      <c r="O39" s="196" t="s">
        <v>30</v>
      </c>
      <c r="Q39" s="195">
        <v>6</v>
      </c>
      <c r="R39" s="195">
        <v>7</v>
      </c>
      <c r="S39" s="195">
        <v>6</v>
      </c>
      <c r="T39" s="195">
        <v>2</v>
      </c>
      <c r="U39" s="195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6" t="s">
        <v>28</v>
      </c>
      <c r="AD39" s="202">
        <v>4</v>
      </c>
      <c r="AE39" s="202">
        <v>15</v>
      </c>
      <c r="AF39" s="202">
        <v>3</v>
      </c>
      <c r="AG39" s="202">
        <v>21</v>
      </c>
      <c r="AH39" s="202">
        <v>21</v>
      </c>
      <c r="AI39" s="5"/>
      <c r="AJ39" s="136" t="s">
        <v>28</v>
      </c>
      <c r="AK39" s="202">
        <v>4</v>
      </c>
      <c r="AL39" s="202">
        <v>15</v>
      </c>
      <c r="AM39" s="202">
        <v>3</v>
      </c>
      <c r="AN39" s="202">
        <v>21</v>
      </c>
      <c r="AO39" s="202">
        <v>21</v>
      </c>
    </row>
    <row r="40" spans="10:41" ht="16.5" customHeight="1">
      <c r="J40" s="23">
        <v>36</v>
      </c>
      <c r="K40" s="196" t="s">
        <v>31</v>
      </c>
      <c r="L40" s="196" t="s">
        <v>83</v>
      </c>
      <c r="M40" s="196" t="s">
        <v>29</v>
      </c>
      <c r="N40" s="196" t="s">
        <v>82</v>
      </c>
      <c r="O40" s="196" t="s">
        <v>15</v>
      </c>
      <c r="Q40" s="195">
        <v>7</v>
      </c>
      <c r="R40" s="195">
        <v>16</v>
      </c>
      <c r="S40" s="195">
        <v>8</v>
      </c>
      <c r="T40" s="195">
        <v>14</v>
      </c>
      <c r="U40" s="195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6" t="s">
        <v>30</v>
      </c>
      <c r="AD40" s="202">
        <v>4</v>
      </c>
      <c r="AE40" s="202">
        <v>17</v>
      </c>
      <c r="AF40" s="202">
        <v>3</v>
      </c>
      <c r="AG40" s="202">
        <v>21</v>
      </c>
      <c r="AH40" s="202">
        <v>21</v>
      </c>
      <c r="AI40" s="5"/>
      <c r="AJ40" s="136" t="s">
        <v>30</v>
      </c>
      <c r="AK40" s="202">
        <v>4</v>
      </c>
      <c r="AL40" s="202">
        <v>17</v>
      </c>
      <c r="AM40" s="202">
        <v>3</v>
      </c>
      <c r="AN40" s="202">
        <v>21</v>
      </c>
      <c r="AO40" s="202">
        <v>21</v>
      </c>
    </row>
    <row r="41" spans="10:41" ht="16.5" customHeight="1">
      <c r="J41" s="195">
        <v>37</v>
      </c>
      <c r="K41" s="196" t="s">
        <v>13</v>
      </c>
      <c r="L41" s="196" t="s">
        <v>83</v>
      </c>
      <c r="M41" s="196" t="s">
        <v>31</v>
      </c>
      <c r="N41" s="196" t="s">
        <v>14</v>
      </c>
      <c r="O41" s="196" t="s">
        <v>28</v>
      </c>
      <c r="Q41" s="195">
        <v>5</v>
      </c>
      <c r="R41" s="195">
        <v>16</v>
      </c>
      <c r="S41" s="195">
        <v>7</v>
      </c>
      <c r="T41" s="195">
        <v>1</v>
      </c>
      <c r="U41" s="195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201" t="s">
        <v>79</v>
      </c>
      <c r="AD41" s="203">
        <v>0</v>
      </c>
      <c r="AE41" s="203">
        <v>15</v>
      </c>
      <c r="AF41" s="203">
        <v>0</v>
      </c>
      <c r="AG41" s="203">
        <v>6</v>
      </c>
      <c r="AH41" s="203">
        <v>0</v>
      </c>
      <c r="AI41" s="5"/>
      <c r="AJ41" s="201" t="s">
        <v>79</v>
      </c>
      <c r="AK41" s="203">
        <v>0</v>
      </c>
      <c r="AL41" s="203">
        <v>15</v>
      </c>
      <c r="AM41" s="203">
        <v>0</v>
      </c>
      <c r="AN41" s="203">
        <v>6</v>
      </c>
      <c r="AO41" s="203">
        <v>0</v>
      </c>
    </row>
    <row r="42" spans="10:41" ht="16.5" customHeight="1">
      <c r="J42" s="23">
        <v>38</v>
      </c>
      <c r="K42" s="196" t="s">
        <v>13</v>
      </c>
      <c r="L42" s="196" t="s">
        <v>30</v>
      </c>
      <c r="M42" s="196" t="s">
        <v>30</v>
      </c>
      <c r="N42" s="196" t="s">
        <v>97</v>
      </c>
      <c r="O42" s="196" t="s">
        <v>13</v>
      </c>
      <c r="Q42" s="195">
        <v>5</v>
      </c>
      <c r="R42" s="195">
        <v>10</v>
      </c>
      <c r="S42" s="195">
        <v>10</v>
      </c>
      <c r="T42" s="195">
        <v>6</v>
      </c>
      <c r="U42" s="195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201" t="s">
        <v>80</v>
      </c>
      <c r="AD42" s="203">
        <v>0</v>
      </c>
      <c r="AE42" s="203">
        <v>18</v>
      </c>
      <c r="AF42" s="203">
        <v>0</v>
      </c>
      <c r="AG42" s="203">
        <v>6</v>
      </c>
      <c r="AH42" s="203">
        <v>0</v>
      </c>
      <c r="AI42" s="5"/>
      <c r="AJ42" s="201" t="s">
        <v>80</v>
      </c>
      <c r="AK42" s="203">
        <v>0</v>
      </c>
      <c r="AL42" s="203">
        <v>18</v>
      </c>
      <c r="AM42" s="203">
        <v>0</v>
      </c>
      <c r="AN42" s="203">
        <v>6</v>
      </c>
      <c r="AO42" s="203">
        <v>0</v>
      </c>
    </row>
    <row r="43" spans="10:41" ht="16.5" customHeight="1">
      <c r="J43" s="195">
        <v>39</v>
      </c>
      <c r="K43" s="196" t="s">
        <v>13</v>
      </c>
      <c r="L43" s="196" t="s">
        <v>13</v>
      </c>
      <c r="M43" s="196" t="s">
        <v>31</v>
      </c>
      <c r="N43" s="196" t="s">
        <v>97</v>
      </c>
      <c r="O43" s="196" t="s">
        <v>13</v>
      </c>
      <c r="Q43" s="195">
        <v>5</v>
      </c>
      <c r="R43" s="195">
        <v>5</v>
      </c>
      <c r="S43" s="195">
        <v>7</v>
      </c>
      <c r="T43" s="195">
        <v>6</v>
      </c>
      <c r="U43" s="195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201" t="s">
        <v>81</v>
      </c>
      <c r="AD43" s="203">
        <v>0</v>
      </c>
      <c r="AE43" s="203">
        <v>18</v>
      </c>
      <c r="AF43" s="203">
        <v>0</v>
      </c>
      <c r="AG43" s="203">
        <v>6</v>
      </c>
      <c r="AH43" s="203">
        <v>0</v>
      </c>
      <c r="AI43" s="5"/>
      <c r="AJ43" s="201" t="s">
        <v>81</v>
      </c>
      <c r="AK43" s="203">
        <v>0</v>
      </c>
      <c r="AL43" s="203">
        <v>18</v>
      </c>
      <c r="AM43" s="203">
        <v>0</v>
      </c>
      <c r="AN43" s="203">
        <v>6</v>
      </c>
      <c r="AO43" s="203">
        <v>0</v>
      </c>
    </row>
    <row r="44" spans="10:41" ht="16.5" customHeight="1">
      <c r="J44" s="23">
        <v>40</v>
      </c>
      <c r="K44" s="196" t="s">
        <v>29</v>
      </c>
      <c r="L44" s="196" t="s">
        <v>80</v>
      </c>
      <c r="M44" s="196" t="s">
        <v>13</v>
      </c>
      <c r="N44" s="196" t="s">
        <v>95</v>
      </c>
      <c r="O44" s="196" t="s">
        <v>31</v>
      </c>
      <c r="Q44" s="195">
        <v>8</v>
      </c>
      <c r="R44" s="195">
        <v>12</v>
      </c>
      <c r="S44" s="195">
        <v>5</v>
      </c>
      <c r="T44" s="195">
        <v>17</v>
      </c>
      <c r="U44" s="195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201" t="s">
        <v>82</v>
      </c>
      <c r="AD44" s="203">
        <v>0</v>
      </c>
      <c r="AE44" s="203">
        <v>13</v>
      </c>
      <c r="AF44" s="203">
        <v>4</v>
      </c>
      <c r="AG44" s="203">
        <v>4</v>
      </c>
      <c r="AH44" s="203">
        <v>0</v>
      </c>
      <c r="AI44" s="5"/>
      <c r="AJ44" s="201" t="s">
        <v>82</v>
      </c>
      <c r="AK44" s="203">
        <v>0</v>
      </c>
      <c r="AL44" s="203">
        <v>13</v>
      </c>
      <c r="AM44" s="203">
        <v>4</v>
      </c>
      <c r="AN44" s="203">
        <v>4</v>
      </c>
      <c r="AO44" s="203">
        <v>0</v>
      </c>
    </row>
    <row r="45" spans="10:41" ht="16.5" customHeight="1">
      <c r="J45" s="195">
        <v>41</v>
      </c>
      <c r="K45" s="196" t="s">
        <v>97</v>
      </c>
      <c r="L45" s="196" t="s">
        <v>30</v>
      </c>
      <c r="M45" s="196" t="s">
        <v>97</v>
      </c>
      <c r="N45" s="196" t="s">
        <v>15</v>
      </c>
      <c r="O45" s="196" t="s">
        <v>13</v>
      </c>
      <c r="Q45" s="195">
        <v>6</v>
      </c>
      <c r="R45" s="195">
        <v>10</v>
      </c>
      <c r="S45" s="195">
        <v>6</v>
      </c>
      <c r="T45" s="195">
        <v>2</v>
      </c>
      <c r="U45" s="195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201" t="s">
        <v>98</v>
      </c>
      <c r="AD45" s="203">
        <v>0</v>
      </c>
      <c r="AE45" s="203">
        <v>7</v>
      </c>
      <c r="AF45" s="203">
        <v>4</v>
      </c>
      <c r="AG45" s="203">
        <v>4</v>
      </c>
      <c r="AH45" s="203">
        <v>0</v>
      </c>
      <c r="AI45" s="5"/>
      <c r="AJ45" s="201" t="s">
        <v>98</v>
      </c>
      <c r="AK45" s="203">
        <v>0</v>
      </c>
      <c r="AL45" s="203">
        <v>7</v>
      </c>
      <c r="AM45" s="203">
        <v>4</v>
      </c>
      <c r="AN45" s="203">
        <v>4</v>
      </c>
      <c r="AO45" s="203">
        <v>0</v>
      </c>
    </row>
    <row r="46" spans="10:41" ht="16.5" customHeight="1">
      <c r="J46" s="23">
        <v>42</v>
      </c>
      <c r="K46" s="196" t="s">
        <v>97</v>
      </c>
      <c r="L46" s="196" t="s">
        <v>97</v>
      </c>
      <c r="M46" s="196" t="s">
        <v>31</v>
      </c>
      <c r="N46" s="196" t="s">
        <v>16</v>
      </c>
      <c r="O46" s="196" t="s">
        <v>30</v>
      </c>
      <c r="Q46" s="195">
        <v>6</v>
      </c>
      <c r="R46" s="195">
        <v>6</v>
      </c>
      <c r="S46" s="195">
        <v>7</v>
      </c>
      <c r="T46" s="195">
        <v>3</v>
      </c>
      <c r="U46" s="195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201" t="s">
        <v>83</v>
      </c>
      <c r="AD46" s="203">
        <v>0</v>
      </c>
      <c r="AE46" s="203">
        <v>10</v>
      </c>
      <c r="AF46" s="203">
        <v>4</v>
      </c>
      <c r="AG46" s="203">
        <v>4</v>
      </c>
      <c r="AH46" s="203">
        <v>0</v>
      </c>
      <c r="AI46" s="5"/>
      <c r="AJ46" s="201" t="s">
        <v>83</v>
      </c>
      <c r="AK46" s="203">
        <v>0</v>
      </c>
      <c r="AL46" s="203">
        <v>10</v>
      </c>
      <c r="AM46" s="203">
        <v>4</v>
      </c>
      <c r="AN46" s="203">
        <v>4</v>
      </c>
      <c r="AO46" s="203">
        <v>0</v>
      </c>
    </row>
    <row r="47" spans="10:41" ht="16.5" customHeight="1">
      <c r="J47" s="195">
        <v>43</v>
      </c>
      <c r="K47" s="196" t="s">
        <v>97</v>
      </c>
      <c r="L47" s="196" t="s">
        <v>86</v>
      </c>
      <c r="M47" s="196" t="s">
        <v>29</v>
      </c>
      <c r="N47" s="196" t="s">
        <v>16</v>
      </c>
      <c r="O47" s="196" t="s">
        <v>14</v>
      </c>
      <c r="Q47" s="195">
        <v>6</v>
      </c>
      <c r="R47" s="195">
        <v>18</v>
      </c>
      <c r="S47" s="195">
        <v>8</v>
      </c>
      <c r="T47" s="195">
        <v>3</v>
      </c>
      <c r="U47" s="195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201" t="s">
        <v>95</v>
      </c>
      <c r="AD47" s="203">
        <v>0</v>
      </c>
      <c r="AE47" s="203">
        <v>10</v>
      </c>
      <c r="AF47" s="203">
        <v>4</v>
      </c>
      <c r="AG47" s="203">
        <v>4</v>
      </c>
      <c r="AH47" s="203">
        <v>0</v>
      </c>
      <c r="AI47" s="5"/>
      <c r="AJ47" s="201" t="s">
        <v>95</v>
      </c>
      <c r="AK47" s="203">
        <v>0</v>
      </c>
      <c r="AL47" s="203">
        <v>10</v>
      </c>
      <c r="AM47" s="203">
        <v>4</v>
      </c>
      <c r="AN47" s="203">
        <v>4</v>
      </c>
      <c r="AO47" s="203">
        <v>0</v>
      </c>
    </row>
    <row r="48" spans="10:41" ht="16.5" customHeight="1">
      <c r="J48" s="23">
        <v>44</v>
      </c>
      <c r="K48" s="196" t="s">
        <v>13</v>
      </c>
      <c r="L48" s="196" t="s">
        <v>14</v>
      </c>
      <c r="M48" s="196" t="s">
        <v>31</v>
      </c>
      <c r="N48" s="196" t="s">
        <v>15</v>
      </c>
      <c r="O48" s="196" t="s">
        <v>13</v>
      </c>
      <c r="Q48" s="195">
        <v>5</v>
      </c>
      <c r="R48" s="195">
        <v>1</v>
      </c>
      <c r="S48" s="195">
        <v>7</v>
      </c>
      <c r="T48" s="195">
        <v>2</v>
      </c>
      <c r="U48" s="195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201" t="s">
        <v>86</v>
      </c>
      <c r="AD48" s="203">
        <v>0</v>
      </c>
      <c r="AE48" s="203">
        <v>15</v>
      </c>
      <c r="AF48" s="203">
        <v>0</v>
      </c>
      <c r="AG48" s="203">
        <v>6</v>
      </c>
      <c r="AH48" s="203">
        <v>0</v>
      </c>
      <c r="AI48" s="5"/>
      <c r="AJ48" s="201" t="s">
        <v>86</v>
      </c>
      <c r="AK48" s="203">
        <v>0</v>
      </c>
      <c r="AL48" s="203">
        <v>15</v>
      </c>
      <c r="AM48" s="203">
        <v>0</v>
      </c>
      <c r="AN48" s="203">
        <v>6</v>
      </c>
      <c r="AO48" s="203">
        <v>0</v>
      </c>
    </row>
    <row r="49" spans="10:41" ht="16.5" customHeight="1">
      <c r="J49" s="195">
        <v>45</v>
      </c>
      <c r="K49" s="196" t="s">
        <v>29</v>
      </c>
      <c r="L49" s="196" t="s">
        <v>12</v>
      </c>
      <c r="M49" s="196" t="s">
        <v>97</v>
      </c>
      <c r="N49" s="196" t="s">
        <v>30</v>
      </c>
      <c r="O49" s="196" t="s">
        <v>12</v>
      </c>
      <c r="Q49" s="195">
        <v>8</v>
      </c>
      <c r="R49" s="195">
        <v>4</v>
      </c>
      <c r="S49" s="195">
        <v>6</v>
      </c>
      <c r="T49" s="195">
        <v>10</v>
      </c>
      <c r="U49" s="195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201" t="s">
        <v>88</v>
      </c>
      <c r="AD49" s="203">
        <v>0</v>
      </c>
      <c r="AE49" s="203">
        <v>12</v>
      </c>
      <c r="AF49" s="203">
        <v>0</v>
      </c>
      <c r="AG49" s="203">
        <v>6</v>
      </c>
      <c r="AH49" s="203">
        <v>0</v>
      </c>
      <c r="AI49" s="5"/>
      <c r="AJ49" s="201" t="s">
        <v>88</v>
      </c>
      <c r="AK49" s="203">
        <v>0</v>
      </c>
      <c r="AL49" s="203">
        <v>12</v>
      </c>
      <c r="AM49" s="203">
        <v>0</v>
      </c>
      <c r="AN49" s="203">
        <v>6</v>
      </c>
      <c r="AO49" s="203">
        <v>0</v>
      </c>
    </row>
    <row r="50" spans="10:41" ht="16.5" customHeight="1">
      <c r="J50" s="23">
        <v>46</v>
      </c>
      <c r="K50" s="196" t="s">
        <v>31</v>
      </c>
      <c r="L50" s="196" t="s">
        <v>15</v>
      </c>
      <c r="M50" s="196" t="s">
        <v>31</v>
      </c>
      <c r="N50" s="196" t="s">
        <v>16</v>
      </c>
      <c r="O50" s="196" t="s">
        <v>30</v>
      </c>
      <c r="Q50" s="195">
        <v>7</v>
      </c>
      <c r="R50" s="195">
        <v>2</v>
      </c>
      <c r="S50" s="195">
        <v>7</v>
      </c>
      <c r="T50" s="195">
        <v>3</v>
      </c>
      <c r="U50" s="195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3">
        <v>194</v>
      </c>
      <c r="AE50" s="103">
        <v>238</v>
      </c>
      <c r="AF50" s="103">
        <v>198</v>
      </c>
      <c r="AG50" s="103">
        <v>214</v>
      </c>
      <c r="AH50" s="103">
        <v>191</v>
      </c>
      <c r="AI50" s="5"/>
      <c r="AK50" s="103">
        <v>194</v>
      </c>
      <c r="AL50" s="103">
        <v>238</v>
      </c>
      <c r="AM50" s="103">
        <v>198</v>
      </c>
      <c r="AN50" s="103">
        <v>214</v>
      </c>
      <c r="AO50" s="103">
        <v>191</v>
      </c>
    </row>
    <row r="51" spans="10:41" ht="16.5" customHeight="1">
      <c r="J51" s="195">
        <v>47</v>
      </c>
      <c r="K51" s="196" t="s">
        <v>14</v>
      </c>
      <c r="L51" s="196" t="s">
        <v>79</v>
      </c>
      <c r="M51" s="196" t="s">
        <v>16</v>
      </c>
      <c r="N51" s="196" t="s">
        <v>15</v>
      </c>
      <c r="O51" s="196" t="s">
        <v>28</v>
      </c>
      <c r="Q51" s="195">
        <v>1</v>
      </c>
      <c r="R51" s="195">
        <v>11</v>
      </c>
      <c r="S51" s="195">
        <v>3</v>
      </c>
      <c r="T51" s="195">
        <v>2</v>
      </c>
      <c r="U51" s="195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6" t="s">
        <v>29</v>
      </c>
      <c r="L52" s="196" t="s">
        <v>82</v>
      </c>
      <c r="M52" s="196" t="s">
        <v>31</v>
      </c>
      <c r="N52" s="196" t="s">
        <v>31</v>
      </c>
      <c r="O52" s="196" t="s">
        <v>15</v>
      </c>
      <c r="Q52" s="195">
        <v>8</v>
      </c>
      <c r="R52" s="195">
        <v>14</v>
      </c>
      <c r="S52" s="195">
        <v>7</v>
      </c>
      <c r="T52" s="195">
        <v>7</v>
      </c>
      <c r="U52" s="195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309</v>
      </c>
      <c r="AH52" s="5"/>
      <c r="AI52" s="5"/>
      <c r="AJ52" s="25" t="s">
        <v>309</v>
      </c>
      <c r="AO52" s="5"/>
    </row>
    <row r="53" spans="10:41" ht="16.5" customHeight="1">
      <c r="J53" s="195">
        <v>49</v>
      </c>
      <c r="K53" s="196" t="s">
        <v>31</v>
      </c>
      <c r="L53" s="196" t="s">
        <v>29</v>
      </c>
      <c r="M53" s="196" t="s">
        <v>31</v>
      </c>
      <c r="N53" s="196" t="s">
        <v>28</v>
      </c>
      <c r="O53" s="196" t="s">
        <v>31</v>
      </c>
      <c r="Q53" s="195">
        <v>7</v>
      </c>
      <c r="R53" s="195">
        <v>8</v>
      </c>
      <c r="S53" s="195">
        <v>7</v>
      </c>
      <c r="T53" s="195">
        <v>9</v>
      </c>
      <c r="U53" s="195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22" t="s">
        <v>36</v>
      </c>
      <c r="AD53" s="122" t="s">
        <v>7</v>
      </c>
      <c r="AE53" s="122" t="s">
        <v>8</v>
      </c>
      <c r="AF53" s="122" t="s">
        <v>9</v>
      </c>
      <c r="AG53" s="122" t="s">
        <v>10</v>
      </c>
      <c r="AH53" s="122" t="s">
        <v>11</v>
      </c>
      <c r="AI53" s="5"/>
      <c r="AJ53" s="122" t="s">
        <v>36</v>
      </c>
      <c r="AK53" s="122" t="s">
        <v>7</v>
      </c>
      <c r="AL53" s="122" t="s">
        <v>8</v>
      </c>
      <c r="AM53" s="122" t="s">
        <v>9</v>
      </c>
      <c r="AN53" s="122" t="s">
        <v>10</v>
      </c>
      <c r="AO53" s="122" t="s">
        <v>11</v>
      </c>
    </row>
    <row r="54" spans="10:41" ht="16.5" customHeight="1">
      <c r="J54" s="23">
        <v>50</v>
      </c>
      <c r="K54" s="196" t="s">
        <v>31</v>
      </c>
      <c r="L54" s="196" t="s">
        <v>29</v>
      </c>
      <c r="M54" s="196" t="s">
        <v>31</v>
      </c>
      <c r="N54" s="196" t="s">
        <v>28</v>
      </c>
      <c r="O54" s="196" t="s">
        <v>12</v>
      </c>
      <c r="Q54" s="195">
        <v>7</v>
      </c>
      <c r="R54" s="195">
        <v>8</v>
      </c>
      <c r="S54" s="195">
        <v>7</v>
      </c>
      <c r="T54" s="195">
        <v>9</v>
      </c>
      <c r="U54" s="195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201" t="s">
        <v>306</v>
      </c>
      <c r="AD54" s="126">
        <v>0</v>
      </c>
      <c r="AE54" s="126">
        <v>0</v>
      </c>
      <c r="AF54" s="126">
        <v>0</v>
      </c>
      <c r="AG54" s="126">
        <v>0</v>
      </c>
      <c r="AH54" s="126">
        <v>0</v>
      </c>
      <c r="AI54" s="5"/>
      <c r="AJ54" s="201" t="s">
        <v>306</v>
      </c>
      <c r="AK54" s="126">
        <v>0</v>
      </c>
      <c r="AL54" s="126">
        <v>0</v>
      </c>
      <c r="AM54" s="126">
        <v>0</v>
      </c>
      <c r="AN54" s="126">
        <v>0</v>
      </c>
      <c r="AO54" s="126">
        <v>0</v>
      </c>
    </row>
    <row r="55" spans="10:41" ht="16.5" customHeight="1">
      <c r="J55" s="195">
        <v>51</v>
      </c>
      <c r="K55" s="196" t="s">
        <v>97</v>
      </c>
      <c r="L55" s="196" t="s">
        <v>95</v>
      </c>
      <c r="M55" s="196" t="s">
        <v>29</v>
      </c>
      <c r="N55" s="196" t="s">
        <v>82</v>
      </c>
      <c r="O55" s="196" t="s">
        <v>15</v>
      </c>
      <c r="Q55" s="195">
        <v>6</v>
      </c>
      <c r="R55" s="195">
        <v>17</v>
      </c>
      <c r="S55" s="195">
        <v>8</v>
      </c>
      <c r="T55" s="195">
        <v>14</v>
      </c>
      <c r="U55" s="195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201" t="s">
        <v>14</v>
      </c>
      <c r="AD55" s="201">
        <v>0</v>
      </c>
      <c r="AE55" s="201">
        <v>6</v>
      </c>
      <c r="AF55" s="201">
        <v>0</v>
      </c>
      <c r="AG55" s="201">
        <v>9</v>
      </c>
      <c r="AH55" s="201">
        <v>0</v>
      </c>
      <c r="AI55" s="5"/>
      <c r="AJ55" s="201" t="s">
        <v>14</v>
      </c>
      <c r="AK55" s="201">
        <v>0</v>
      </c>
      <c r="AL55" s="201">
        <v>6</v>
      </c>
      <c r="AM55" s="201">
        <v>0</v>
      </c>
      <c r="AN55" s="201">
        <v>9</v>
      </c>
      <c r="AO55" s="201">
        <v>0</v>
      </c>
    </row>
    <row r="56" spans="10:41" ht="16.5" customHeight="1">
      <c r="J56" s="23">
        <v>52</v>
      </c>
      <c r="K56" s="196" t="s">
        <v>29</v>
      </c>
      <c r="L56" s="196" t="s">
        <v>28</v>
      </c>
      <c r="M56" s="196" t="s">
        <v>31</v>
      </c>
      <c r="N56" s="196" t="s">
        <v>12</v>
      </c>
      <c r="O56" s="196" t="s">
        <v>13</v>
      </c>
      <c r="Q56" s="195">
        <v>8</v>
      </c>
      <c r="R56" s="195">
        <v>9</v>
      </c>
      <c r="S56" s="195">
        <v>7</v>
      </c>
      <c r="T56" s="195">
        <v>4</v>
      </c>
      <c r="U56" s="195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6" t="s">
        <v>15</v>
      </c>
      <c r="AD56" s="202">
        <v>4</v>
      </c>
      <c r="AE56" s="202">
        <v>14</v>
      </c>
      <c r="AF56" s="202">
        <v>4</v>
      </c>
      <c r="AG56" s="202">
        <v>21</v>
      </c>
      <c r="AH56" s="202">
        <v>22</v>
      </c>
      <c r="AI56" s="5"/>
      <c r="AJ56" s="136" t="s">
        <v>15</v>
      </c>
      <c r="AK56" s="202">
        <v>4</v>
      </c>
      <c r="AL56" s="202">
        <v>14</v>
      </c>
      <c r="AM56" s="202">
        <v>4</v>
      </c>
      <c r="AN56" s="202">
        <v>21</v>
      </c>
      <c r="AO56" s="202">
        <v>22</v>
      </c>
    </row>
    <row r="57" spans="10:41" ht="16.5" customHeight="1">
      <c r="J57" s="195">
        <v>53</v>
      </c>
      <c r="K57" s="196" t="s">
        <v>31</v>
      </c>
      <c r="L57" s="196" t="s">
        <v>28</v>
      </c>
      <c r="M57" s="196" t="s">
        <v>97</v>
      </c>
      <c r="N57" s="196" t="s">
        <v>12</v>
      </c>
      <c r="O57" s="196" t="s">
        <v>16</v>
      </c>
      <c r="Q57" s="195">
        <v>7</v>
      </c>
      <c r="R57" s="195">
        <v>9</v>
      </c>
      <c r="S57" s="195">
        <v>6</v>
      </c>
      <c r="T57" s="195">
        <v>4</v>
      </c>
      <c r="U57" s="195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6" t="s">
        <v>16</v>
      </c>
      <c r="AD57" s="202">
        <v>4</v>
      </c>
      <c r="AE57" s="202">
        <v>13</v>
      </c>
      <c r="AF57" s="202">
        <v>4</v>
      </c>
      <c r="AG57" s="202">
        <v>20</v>
      </c>
      <c r="AH57" s="202">
        <v>22</v>
      </c>
      <c r="AI57" s="5"/>
      <c r="AJ57" s="136" t="s">
        <v>16</v>
      </c>
      <c r="AK57" s="202">
        <v>4</v>
      </c>
      <c r="AL57" s="202">
        <v>13</v>
      </c>
      <c r="AM57" s="202">
        <v>4</v>
      </c>
      <c r="AN57" s="202">
        <v>20</v>
      </c>
      <c r="AO57" s="202">
        <v>22</v>
      </c>
    </row>
    <row r="58" spans="10:41" ht="16.5" customHeight="1">
      <c r="J58" s="23">
        <v>54</v>
      </c>
      <c r="K58" s="196" t="s">
        <v>31</v>
      </c>
      <c r="L58" s="196" t="s">
        <v>81</v>
      </c>
      <c r="M58" s="196" t="s">
        <v>29</v>
      </c>
      <c r="N58" s="196" t="s">
        <v>79</v>
      </c>
      <c r="O58" s="196" t="s">
        <v>15</v>
      </c>
      <c r="Q58" s="195">
        <v>7</v>
      </c>
      <c r="R58" s="195">
        <v>13</v>
      </c>
      <c r="S58" s="195">
        <v>8</v>
      </c>
      <c r="T58" s="195">
        <v>11</v>
      </c>
      <c r="U58" s="195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6" t="s">
        <v>12</v>
      </c>
      <c r="AD58" s="202">
        <v>4</v>
      </c>
      <c r="AE58" s="202">
        <v>13</v>
      </c>
      <c r="AF58" s="202">
        <v>4</v>
      </c>
      <c r="AG58" s="202">
        <v>20</v>
      </c>
      <c r="AH58" s="202">
        <v>21</v>
      </c>
      <c r="AI58" s="5"/>
      <c r="AJ58" s="136" t="s">
        <v>12</v>
      </c>
      <c r="AK58" s="202">
        <v>4</v>
      </c>
      <c r="AL58" s="202">
        <v>13</v>
      </c>
      <c r="AM58" s="202">
        <v>4</v>
      </c>
      <c r="AN58" s="202">
        <v>20</v>
      </c>
      <c r="AO58" s="202">
        <v>21</v>
      </c>
    </row>
    <row r="59" spans="10:41" ht="16.5" customHeight="1">
      <c r="J59" s="195">
        <v>55</v>
      </c>
      <c r="K59" s="196" t="s">
        <v>31</v>
      </c>
      <c r="L59" s="196" t="s">
        <v>12</v>
      </c>
      <c r="M59" s="196" t="s">
        <v>29</v>
      </c>
      <c r="N59" s="196" t="s">
        <v>12</v>
      </c>
      <c r="O59" s="196" t="s">
        <v>29</v>
      </c>
      <c r="Q59" s="195">
        <v>7</v>
      </c>
      <c r="R59" s="195">
        <v>4</v>
      </c>
      <c r="S59" s="195">
        <v>8</v>
      </c>
      <c r="T59" s="195">
        <v>4</v>
      </c>
      <c r="U59" s="195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6" t="s">
        <v>13</v>
      </c>
      <c r="AD59" s="202">
        <v>40</v>
      </c>
      <c r="AE59" s="202">
        <v>9</v>
      </c>
      <c r="AF59" s="202">
        <v>41</v>
      </c>
      <c r="AG59" s="202">
        <v>14</v>
      </c>
      <c r="AH59" s="202">
        <v>21</v>
      </c>
      <c r="AI59" s="5"/>
      <c r="AJ59" s="136" t="s">
        <v>13</v>
      </c>
      <c r="AK59" s="202">
        <v>40</v>
      </c>
      <c r="AL59" s="202">
        <v>9</v>
      </c>
      <c r="AM59" s="202">
        <v>41</v>
      </c>
      <c r="AN59" s="202">
        <v>14</v>
      </c>
      <c r="AO59" s="202">
        <v>21</v>
      </c>
    </row>
    <row r="60" spans="10:41" ht="16.5" customHeight="1">
      <c r="J60" s="23">
        <v>56</v>
      </c>
      <c r="K60" s="196" t="s">
        <v>13</v>
      </c>
      <c r="L60" s="196" t="s">
        <v>82</v>
      </c>
      <c r="M60" s="196" t="s">
        <v>29</v>
      </c>
      <c r="N60" s="196" t="s">
        <v>29</v>
      </c>
      <c r="O60" s="196" t="s">
        <v>30</v>
      </c>
      <c r="Q60" s="195">
        <v>5</v>
      </c>
      <c r="R60" s="195">
        <v>14</v>
      </c>
      <c r="S60" s="195">
        <v>8</v>
      </c>
      <c r="T60" s="195">
        <v>8</v>
      </c>
      <c r="U60" s="195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6" t="s">
        <v>97</v>
      </c>
      <c r="AD60" s="202">
        <v>40</v>
      </c>
      <c r="AE60" s="202">
        <v>13</v>
      </c>
      <c r="AF60" s="202">
        <v>41</v>
      </c>
      <c r="AG60" s="202">
        <v>14</v>
      </c>
      <c r="AH60" s="202">
        <v>21</v>
      </c>
      <c r="AI60" s="5"/>
      <c r="AJ60" s="136" t="s">
        <v>97</v>
      </c>
      <c r="AK60" s="202">
        <v>40</v>
      </c>
      <c r="AL60" s="202">
        <v>13</v>
      </c>
      <c r="AM60" s="202">
        <v>41</v>
      </c>
      <c r="AN60" s="202">
        <v>14</v>
      </c>
      <c r="AO60" s="202">
        <v>21</v>
      </c>
    </row>
    <row r="61" spans="10:41">
      <c r="J61" s="195">
        <v>57</v>
      </c>
      <c r="K61" s="196" t="s">
        <v>97</v>
      </c>
      <c r="L61" s="196" t="s">
        <v>82</v>
      </c>
      <c r="M61" s="196" t="s">
        <v>97</v>
      </c>
      <c r="N61" s="196" t="s">
        <v>12</v>
      </c>
      <c r="O61" s="196" t="s">
        <v>30</v>
      </c>
      <c r="Q61" s="195">
        <v>6</v>
      </c>
      <c r="R61" s="195">
        <v>14</v>
      </c>
      <c r="S61" s="195">
        <v>6</v>
      </c>
      <c r="T61" s="195">
        <v>4</v>
      </c>
      <c r="U61" s="195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6" t="s">
        <v>31</v>
      </c>
      <c r="AD61" s="202">
        <v>47</v>
      </c>
      <c r="AE61" s="202">
        <v>10</v>
      </c>
      <c r="AF61" s="202">
        <v>41</v>
      </c>
      <c r="AG61" s="202">
        <v>14</v>
      </c>
      <c r="AH61" s="202">
        <v>21</v>
      </c>
      <c r="AI61" s="5"/>
      <c r="AJ61" s="136" t="s">
        <v>31</v>
      </c>
      <c r="AK61" s="202">
        <v>47</v>
      </c>
      <c r="AL61" s="202">
        <v>10</v>
      </c>
      <c r="AM61" s="202">
        <v>41</v>
      </c>
      <c r="AN61" s="202">
        <v>14</v>
      </c>
      <c r="AO61" s="202">
        <v>21</v>
      </c>
    </row>
    <row r="62" spans="10:41">
      <c r="J62" s="23">
        <v>58</v>
      </c>
      <c r="K62" s="196" t="s">
        <v>30</v>
      </c>
      <c r="L62" s="196" t="s">
        <v>28</v>
      </c>
      <c r="M62" s="196" t="s">
        <v>97</v>
      </c>
      <c r="N62" s="196" t="s">
        <v>95</v>
      </c>
      <c r="O62" s="196" t="s">
        <v>16</v>
      </c>
      <c r="Q62" s="195">
        <v>10</v>
      </c>
      <c r="R62" s="195">
        <v>9</v>
      </c>
      <c r="S62" s="195">
        <v>6</v>
      </c>
      <c r="T62" s="195">
        <v>17</v>
      </c>
      <c r="U62" s="195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6" t="s">
        <v>29</v>
      </c>
      <c r="AD62" s="202">
        <v>47</v>
      </c>
      <c r="AE62" s="202">
        <v>10</v>
      </c>
      <c r="AF62" s="202">
        <v>41</v>
      </c>
      <c r="AG62" s="202">
        <v>14</v>
      </c>
      <c r="AH62" s="202">
        <v>21</v>
      </c>
      <c r="AI62" s="5"/>
      <c r="AJ62" s="136" t="s">
        <v>29</v>
      </c>
      <c r="AK62" s="202">
        <v>47</v>
      </c>
      <c r="AL62" s="202">
        <v>10</v>
      </c>
      <c r="AM62" s="202">
        <v>41</v>
      </c>
      <c r="AN62" s="202">
        <v>14</v>
      </c>
      <c r="AO62" s="202">
        <v>21</v>
      </c>
    </row>
    <row r="63" spans="10:41" ht="16.5" customHeight="1">
      <c r="J63" s="195">
        <v>59</v>
      </c>
      <c r="K63" s="196" t="s">
        <v>29</v>
      </c>
      <c r="L63" s="196" t="s">
        <v>81</v>
      </c>
      <c r="M63" s="196" t="s">
        <v>14</v>
      </c>
      <c r="N63" s="196" t="s">
        <v>86</v>
      </c>
      <c r="O63" s="196" t="s">
        <v>13</v>
      </c>
      <c r="Q63" s="195">
        <v>8</v>
      </c>
      <c r="R63" s="195">
        <v>13</v>
      </c>
      <c r="S63" s="195">
        <v>1</v>
      </c>
      <c r="T63" s="195">
        <v>18</v>
      </c>
      <c r="U63" s="195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6" t="s">
        <v>28</v>
      </c>
      <c r="AD63" s="202">
        <v>4</v>
      </c>
      <c r="AE63" s="202">
        <v>15</v>
      </c>
      <c r="AF63" s="202">
        <v>3</v>
      </c>
      <c r="AG63" s="202">
        <v>21</v>
      </c>
      <c r="AH63" s="202">
        <v>21</v>
      </c>
      <c r="AI63" s="5"/>
      <c r="AJ63" s="136" t="s">
        <v>28</v>
      </c>
      <c r="AK63" s="202">
        <v>4</v>
      </c>
      <c r="AL63" s="202">
        <v>15</v>
      </c>
      <c r="AM63" s="202">
        <v>3</v>
      </c>
      <c r="AN63" s="202">
        <v>21</v>
      </c>
      <c r="AO63" s="202">
        <v>21</v>
      </c>
    </row>
    <row r="64" spans="10:41" ht="16.5" customHeight="1">
      <c r="J64" s="23">
        <v>60</v>
      </c>
      <c r="K64" s="196" t="s">
        <v>97</v>
      </c>
      <c r="L64" s="196" t="s">
        <v>28</v>
      </c>
      <c r="M64" s="196" t="s">
        <v>13</v>
      </c>
      <c r="N64" s="196" t="s">
        <v>12</v>
      </c>
      <c r="O64" s="196" t="s">
        <v>28</v>
      </c>
      <c r="Q64" s="195">
        <v>6</v>
      </c>
      <c r="R64" s="195">
        <v>9</v>
      </c>
      <c r="S64" s="195">
        <v>5</v>
      </c>
      <c r="T64" s="195">
        <v>4</v>
      </c>
      <c r="U64" s="195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6" t="s">
        <v>30</v>
      </c>
      <c r="AD64" s="202">
        <v>4</v>
      </c>
      <c r="AE64" s="202">
        <v>17</v>
      </c>
      <c r="AF64" s="202">
        <v>3</v>
      </c>
      <c r="AG64" s="202">
        <v>21</v>
      </c>
      <c r="AH64" s="202">
        <v>21</v>
      </c>
      <c r="AI64" s="5"/>
      <c r="AJ64" s="136" t="s">
        <v>30</v>
      </c>
      <c r="AK64" s="202">
        <v>4</v>
      </c>
      <c r="AL64" s="202">
        <v>17</v>
      </c>
      <c r="AM64" s="202">
        <v>3</v>
      </c>
      <c r="AN64" s="202">
        <v>21</v>
      </c>
      <c r="AO64" s="202">
        <v>21</v>
      </c>
    </row>
    <row r="65" spans="10:41" ht="16.5" customHeight="1">
      <c r="J65" s="195">
        <v>61</v>
      </c>
      <c r="K65" s="196" t="s">
        <v>31</v>
      </c>
      <c r="L65" s="196" t="s">
        <v>30</v>
      </c>
      <c r="M65" s="196" t="s">
        <v>82</v>
      </c>
      <c r="N65" s="196" t="s">
        <v>16</v>
      </c>
      <c r="O65" s="196" t="s">
        <v>29</v>
      </c>
      <c r="Q65" s="195">
        <v>7</v>
      </c>
      <c r="R65" s="195">
        <v>10</v>
      </c>
      <c r="S65" s="195">
        <v>14</v>
      </c>
      <c r="T65" s="195">
        <v>3</v>
      </c>
      <c r="U65" s="195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201" t="s">
        <v>79</v>
      </c>
      <c r="AD65" s="203">
        <v>0</v>
      </c>
      <c r="AE65" s="203">
        <v>15</v>
      </c>
      <c r="AF65" s="203">
        <v>0</v>
      </c>
      <c r="AG65" s="203">
        <v>6</v>
      </c>
      <c r="AH65" s="203">
        <v>0</v>
      </c>
      <c r="AI65" s="5"/>
      <c r="AJ65" s="201" t="s">
        <v>79</v>
      </c>
      <c r="AK65" s="203">
        <v>0</v>
      </c>
      <c r="AL65" s="203">
        <v>15</v>
      </c>
      <c r="AM65" s="203">
        <v>0</v>
      </c>
      <c r="AN65" s="203">
        <v>6</v>
      </c>
      <c r="AO65" s="203">
        <v>0</v>
      </c>
    </row>
    <row r="66" spans="10:41" ht="16.5" customHeight="1">
      <c r="J66" s="23">
        <v>62</v>
      </c>
      <c r="K66" s="196" t="s">
        <v>15</v>
      </c>
      <c r="L66" s="196" t="s">
        <v>80</v>
      </c>
      <c r="M66" s="196" t="s">
        <v>13</v>
      </c>
      <c r="N66" s="196" t="s">
        <v>28</v>
      </c>
      <c r="O66" s="196" t="s">
        <v>28</v>
      </c>
      <c r="Q66" s="195">
        <v>2</v>
      </c>
      <c r="R66" s="195">
        <v>12</v>
      </c>
      <c r="S66" s="195">
        <v>5</v>
      </c>
      <c r="T66" s="195">
        <v>9</v>
      </c>
      <c r="U66" s="195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201" t="s">
        <v>80</v>
      </c>
      <c r="AD66" s="203">
        <v>0</v>
      </c>
      <c r="AE66" s="203">
        <v>18</v>
      </c>
      <c r="AF66" s="203">
        <v>0</v>
      </c>
      <c r="AG66" s="203">
        <v>6</v>
      </c>
      <c r="AH66" s="203">
        <v>0</v>
      </c>
      <c r="AI66" s="5"/>
      <c r="AJ66" s="201" t="s">
        <v>80</v>
      </c>
      <c r="AK66" s="203">
        <v>0</v>
      </c>
      <c r="AL66" s="203">
        <v>18</v>
      </c>
      <c r="AM66" s="203">
        <v>0</v>
      </c>
      <c r="AN66" s="203">
        <v>6</v>
      </c>
      <c r="AO66" s="203">
        <v>0</v>
      </c>
    </row>
    <row r="67" spans="10:41" ht="16.5" customHeight="1">
      <c r="J67" s="195">
        <v>63</v>
      </c>
      <c r="K67" s="196" t="s">
        <v>31</v>
      </c>
      <c r="L67" s="196" t="s">
        <v>86</v>
      </c>
      <c r="M67" s="196" t="s">
        <v>97</v>
      </c>
      <c r="N67" s="196" t="s">
        <v>98</v>
      </c>
      <c r="O67" s="196" t="s">
        <v>16</v>
      </c>
      <c r="Q67" s="195">
        <v>7</v>
      </c>
      <c r="R67" s="195">
        <v>18</v>
      </c>
      <c r="S67" s="195">
        <v>6</v>
      </c>
      <c r="T67" s="195">
        <v>15</v>
      </c>
      <c r="U67" s="195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201" t="s">
        <v>81</v>
      </c>
      <c r="AD67" s="203">
        <v>0</v>
      </c>
      <c r="AE67" s="203">
        <v>18</v>
      </c>
      <c r="AF67" s="203">
        <v>0</v>
      </c>
      <c r="AG67" s="203">
        <v>6</v>
      </c>
      <c r="AH67" s="203">
        <v>0</v>
      </c>
      <c r="AI67" s="5"/>
      <c r="AJ67" s="201" t="s">
        <v>81</v>
      </c>
      <c r="AK67" s="203">
        <v>0</v>
      </c>
      <c r="AL67" s="203">
        <v>18</v>
      </c>
      <c r="AM67" s="203">
        <v>0</v>
      </c>
      <c r="AN67" s="203">
        <v>6</v>
      </c>
      <c r="AO67" s="203">
        <v>0</v>
      </c>
    </row>
    <row r="68" spans="10:41" ht="16.5" customHeight="1">
      <c r="J68" s="23">
        <v>64</v>
      </c>
      <c r="K68" s="196" t="s">
        <v>97</v>
      </c>
      <c r="L68" s="196" t="s">
        <v>16</v>
      </c>
      <c r="M68" s="196" t="s">
        <v>13</v>
      </c>
      <c r="N68" s="196" t="s">
        <v>29</v>
      </c>
      <c r="O68" s="196" t="s">
        <v>30</v>
      </c>
      <c r="Q68" s="195">
        <v>6</v>
      </c>
      <c r="R68" s="195">
        <v>3</v>
      </c>
      <c r="S68" s="195">
        <v>5</v>
      </c>
      <c r="T68" s="195">
        <v>8</v>
      </c>
      <c r="U68" s="195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201" t="s">
        <v>82</v>
      </c>
      <c r="AD68" s="203">
        <v>0</v>
      </c>
      <c r="AE68" s="203">
        <v>13</v>
      </c>
      <c r="AF68" s="203">
        <v>4</v>
      </c>
      <c r="AG68" s="203">
        <v>4</v>
      </c>
      <c r="AH68" s="203">
        <v>0</v>
      </c>
      <c r="AI68" s="5"/>
      <c r="AJ68" s="201" t="s">
        <v>82</v>
      </c>
      <c r="AK68" s="203">
        <v>0</v>
      </c>
      <c r="AL68" s="203">
        <v>13</v>
      </c>
      <c r="AM68" s="203">
        <v>4</v>
      </c>
      <c r="AN68" s="203">
        <v>4</v>
      </c>
      <c r="AO68" s="203">
        <v>0</v>
      </c>
    </row>
    <row r="69" spans="10:41" ht="16.5" customHeight="1">
      <c r="J69" s="195">
        <v>65</v>
      </c>
      <c r="K69" s="196" t="s">
        <v>14</v>
      </c>
      <c r="L69" s="196" t="s">
        <v>16</v>
      </c>
      <c r="M69" s="196" t="s">
        <v>97</v>
      </c>
      <c r="N69" s="196" t="s">
        <v>16</v>
      </c>
      <c r="O69" s="196" t="s">
        <v>28</v>
      </c>
      <c r="Q69" s="195">
        <v>1</v>
      </c>
      <c r="R69" s="195">
        <v>3</v>
      </c>
      <c r="S69" s="195">
        <v>6</v>
      </c>
      <c r="T69" s="195">
        <v>3</v>
      </c>
      <c r="U69" s="195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201" t="s">
        <v>98</v>
      </c>
      <c r="AD69" s="203">
        <v>0</v>
      </c>
      <c r="AE69" s="203">
        <v>7</v>
      </c>
      <c r="AF69" s="203">
        <v>4</v>
      </c>
      <c r="AG69" s="203">
        <v>4</v>
      </c>
      <c r="AH69" s="203">
        <v>0</v>
      </c>
      <c r="AI69" s="5"/>
      <c r="AJ69" s="201" t="s">
        <v>98</v>
      </c>
      <c r="AK69" s="203">
        <v>0</v>
      </c>
      <c r="AL69" s="203">
        <v>7</v>
      </c>
      <c r="AM69" s="203">
        <v>4</v>
      </c>
      <c r="AN69" s="203">
        <v>4</v>
      </c>
      <c r="AO69" s="203">
        <v>0</v>
      </c>
    </row>
    <row r="70" spans="10:41" ht="16.5" customHeight="1">
      <c r="J70" s="23">
        <v>66</v>
      </c>
      <c r="K70" s="196" t="s">
        <v>31</v>
      </c>
      <c r="L70" s="196" t="s">
        <v>29</v>
      </c>
      <c r="M70" s="196" t="s">
        <v>98</v>
      </c>
      <c r="N70" s="196" t="s">
        <v>30</v>
      </c>
      <c r="O70" s="196" t="s">
        <v>97</v>
      </c>
      <c r="Q70" s="195">
        <v>7</v>
      </c>
      <c r="R70" s="195">
        <v>8</v>
      </c>
      <c r="S70" s="195">
        <v>15</v>
      </c>
      <c r="T70" s="195">
        <v>10</v>
      </c>
      <c r="U70" s="195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201" t="s">
        <v>83</v>
      </c>
      <c r="AD70" s="203">
        <v>0</v>
      </c>
      <c r="AE70" s="203">
        <v>10</v>
      </c>
      <c r="AF70" s="203">
        <v>4</v>
      </c>
      <c r="AG70" s="203">
        <v>4</v>
      </c>
      <c r="AH70" s="203">
        <v>0</v>
      </c>
      <c r="AI70" s="5"/>
      <c r="AJ70" s="201" t="s">
        <v>83</v>
      </c>
      <c r="AK70" s="203">
        <v>0</v>
      </c>
      <c r="AL70" s="203">
        <v>10</v>
      </c>
      <c r="AM70" s="203">
        <v>4</v>
      </c>
      <c r="AN70" s="203">
        <v>4</v>
      </c>
      <c r="AO70" s="203">
        <v>0</v>
      </c>
    </row>
    <row r="71" spans="10:41" ht="16.5" customHeight="1">
      <c r="J71" s="195">
        <v>67</v>
      </c>
      <c r="K71" s="196" t="s">
        <v>30</v>
      </c>
      <c r="L71" s="196" t="s">
        <v>79</v>
      </c>
      <c r="M71" s="196" t="s">
        <v>97</v>
      </c>
      <c r="N71" s="196" t="s">
        <v>79</v>
      </c>
      <c r="O71" s="196" t="s">
        <v>15</v>
      </c>
      <c r="Q71" s="195">
        <v>10</v>
      </c>
      <c r="R71" s="195">
        <v>11</v>
      </c>
      <c r="S71" s="195">
        <v>6</v>
      </c>
      <c r="T71" s="195">
        <v>11</v>
      </c>
      <c r="U71" s="195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201" t="s">
        <v>95</v>
      </c>
      <c r="AD71" s="203">
        <v>0</v>
      </c>
      <c r="AE71" s="203">
        <v>10</v>
      </c>
      <c r="AF71" s="203">
        <v>4</v>
      </c>
      <c r="AG71" s="203">
        <v>4</v>
      </c>
      <c r="AH71" s="203">
        <v>0</v>
      </c>
      <c r="AI71" s="5"/>
      <c r="AJ71" s="201" t="s">
        <v>95</v>
      </c>
      <c r="AK71" s="203">
        <v>0</v>
      </c>
      <c r="AL71" s="203">
        <v>10</v>
      </c>
      <c r="AM71" s="203">
        <v>4</v>
      </c>
      <c r="AN71" s="203">
        <v>4</v>
      </c>
      <c r="AO71" s="203">
        <v>0</v>
      </c>
    </row>
    <row r="72" spans="10:41" ht="16.5" customHeight="1">
      <c r="J72" s="23">
        <v>68</v>
      </c>
      <c r="K72" s="196" t="s">
        <v>97</v>
      </c>
      <c r="L72" s="196" t="s">
        <v>14</v>
      </c>
      <c r="M72" s="196" t="s">
        <v>29</v>
      </c>
      <c r="N72" s="196" t="s">
        <v>30</v>
      </c>
      <c r="O72" s="196" t="s">
        <v>97</v>
      </c>
      <c r="Q72" s="195">
        <v>6</v>
      </c>
      <c r="R72" s="195">
        <v>1</v>
      </c>
      <c r="S72" s="195">
        <v>8</v>
      </c>
      <c r="T72" s="195">
        <v>10</v>
      </c>
      <c r="U72" s="195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201" t="s">
        <v>86</v>
      </c>
      <c r="AD72" s="203">
        <v>0</v>
      </c>
      <c r="AE72" s="203">
        <v>15</v>
      </c>
      <c r="AF72" s="203">
        <v>0</v>
      </c>
      <c r="AG72" s="203">
        <v>6</v>
      </c>
      <c r="AH72" s="203">
        <v>0</v>
      </c>
      <c r="AI72" s="5"/>
      <c r="AJ72" s="201" t="s">
        <v>86</v>
      </c>
      <c r="AK72" s="203">
        <v>0</v>
      </c>
      <c r="AL72" s="203">
        <v>15</v>
      </c>
      <c r="AM72" s="203">
        <v>0</v>
      </c>
      <c r="AN72" s="203">
        <v>6</v>
      </c>
      <c r="AO72" s="203">
        <v>0</v>
      </c>
    </row>
    <row r="73" spans="10:41" ht="16.5" customHeight="1">
      <c r="J73" s="195">
        <v>69</v>
      </c>
      <c r="K73" s="196" t="s">
        <v>30</v>
      </c>
      <c r="L73" s="196" t="s">
        <v>88</v>
      </c>
      <c r="M73" s="196" t="s">
        <v>97</v>
      </c>
      <c r="N73" s="196" t="s">
        <v>97</v>
      </c>
      <c r="O73" s="196" t="s">
        <v>31</v>
      </c>
      <c r="Q73" s="195">
        <v>10</v>
      </c>
      <c r="R73" s="195">
        <v>19</v>
      </c>
      <c r="S73" s="195">
        <v>6</v>
      </c>
      <c r="T73" s="195">
        <v>6</v>
      </c>
      <c r="U73" s="195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201" t="s">
        <v>88</v>
      </c>
      <c r="AD73" s="203">
        <v>0</v>
      </c>
      <c r="AE73" s="203">
        <v>12</v>
      </c>
      <c r="AF73" s="203">
        <v>0</v>
      </c>
      <c r="AG73" s="203">
        <v>6</v>
      </c>
      <c r="AH73" s="203">
        <v>0</v>
      </c>
      <c r="AI73" s="5"/>
      <c r="AJ73" s="201" t="s">
        <v>88</v>
      </c>
      <c r="AK73" s="203">
        <v>0</v>
      </c>
      <c r="AL73" s="203">
        <v>12</v>
      </c>
      <c r="AM73" s="203">
        <v>0</v>
      </c>
      <c r="AN73" s="203">
        <v>6</v>
      </c>
      <c r="AO73" s="203">
        <v>0</v>
      </c>
    </row>
    <row r="74" spans="10:41" ht="16.5" customHeight="1">
      <c r="J74" s="23">
        <v>70</v>
      </c>
      <c r="K74" s="196" t="s">
        <v>29</v>
      </c>
      <c r="L74" s="196" t="s">
        <v>28</v>
      </c>
      <c r="M74" s="196" t="s">
        <v>31</v>
      </c>
      <c r="N74" s="196" t="s">
        <v>16</v>
      </c>
      <c r="O74" s="196" t="s">
        <v>12</v>
      </c>
      <c r="Q74" s="195">
        <v>8</v>
      </c>
      <c r="R74" s="195">
        <v>9</v>
      </c>
      <c r="S74" s="195">
        <v>7</v>
      </c>
      <c r="T74" s="195">
        <v>3</v>
      </c>
      <c r="U74" s="195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3">
        <v>194</v>
      </c>
      <c r="AE74" s="103">
        <v>238</v>
      </c>
      <c r="AF74" s="103">
        <v>198</v>
      </c>
      <c r="AG74" s="103">
        <v>214</v>
      </c>
      <c r="AH74" s="103">
        <v>191</v>
      </c>
      <c r="AI74" s="5"/>
      <c r="AK74" s="103">
        <v>194</v>
      </c>
      <c r="AL74" s="103">
        <v>238</v>
      </c>
      <c r="AM74" s="103">
        <v>198</v>
      </c>
      <c r="AN74" s="103">
        <v>214</v>
      </c>
      <c r="AO74" s="103">
        <v>191</v>
      </c>
    </row>
    <row r="75" spans="10:41" ht="16.5" customHeight="1">
      <c r="J75" s="195">
        <v>71</v>
      </c>
      <c r="K75" s="196" t="s">
        <v>13</v>
      </c>
      <c r="L75" s="196" t="s">
        <v>16</v>
      </c>
      <c r="M75" s="196" t="s">
        <v>97</v>
      </c>
      <c r="N75" s="196" t="s">
        <v>14</v>
      </c>
      <c r="O75" s="196" t="s">
        <v>30</v>
      </c>
      <c r="Q75" s="195">
        <v>5</v>
      </c>
      <c r="R75" s="195">
        <v>3</v>
      </c>
      <c r="S75" s="195">
        <v>6</v>
      </c>
      <c r="T75" s="195">
        <v>1</v>
      </c>
      <c r="U75" s="195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6" t="s">
        <v>28</v>
      </c>
      <c r="L76" s="196" t="s">
        <v>80</v>
      </c>
      <c r="M76" s="196" t="s">
        <v>82</v>
      </c>
      <c r="N76" s="196" t="s">
        <v>79</v>
      </c>
      <c r="O76" s="196" t="s">
        <v>31</v>
      </c>
      <c r="Q76" s="195">
        <v>9</v>
      </c>
      <c r="R76" s="195">
        <v>12</v>
      </c>
      <c r="S76" s="195">
        <v>14</v>
      </c>
      <c r="T76" s="195">
        <v>11</v>
      </c>
      <c r="U76" s="195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5">
        <v>73</v>
      </c>
      <c r="K77" s="196" t="s">
        <v>13</v>
      </c>
      <c r="L77" s="196" t="s">
        <v>82</v>
      </c>
      <c r="M77" s="196" t="s">
        <v>13</v>
      </c>
      <c r="N77" s="196" t="s">
        <v>15</v>
      </c>
      <c r="O77" s="196" t="s">
        <v>12</v>
      </c>
      <c r="Q77" s="195">
        <v>5</v>
      </c>
      <c r="R77" s="195">
        <v>14</v>
      </c>
      <c r="S77" s="195">
        <v>5</v>
      </c>
      <c r="T77" s="195">
        <v>2</v>
      </c>
      <c r="U77" s="195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6" t="s">
        <v>31</v>
      </c>
      <c r="L78" s="196" t="s">
        <v>15</v>
      </c>
      <c r="M78" s="196" t="s">
        <v>97</v>
      </c>
      <c r="N78" s="196" t="s">
        <v>28</v>
      </c>
      <c r="O78" s="196" t="s">
        <v>30</v>
      </c>
      <c r="Q78" s="195">
        <v>7</v>
      </c>
      <c r="R78" s="195">
        <v>2</v>
      </c>
      <c r="S78" s="195">
        <v>6</v>
      </c>
      <c r="T78" s="195">
        <v>9</v>
      </c>
      <c r="U78" s="195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5">
        <v>75</v>
      </c>
      <c r="K79" s="196" t="s">
        <v>31</v>
      </c>
      <c r="L79" s="196" t="s">
        <v>30</v>
      </c>
      <c r="M79" s="196" t="s">
        <v>31</v>
      </c>
      <c r="N79" s="196" t="s">
        <v>81</v>
      </c>
      <c r="O79" s="196" t="s">
        <v>31</v>
      </c>
      <c r="Q79" s="195">
        <v>7</v>
      </c>
      <c r="R79" s="195">
        <v>10</v>
      </c>
      <c r="S79" s="195">
        <v>7</v>
      </c>
      <c r="T79" s="195">
        <v>13</v>
      </c>
      <c r="U79" s="195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6" t="s">
        <v>29</v>
      </c>
      <c r="L80" s="196" t="s">
        <v>79</v>
      </c>
      <c r="M80" s="196" t="s">
        <v>30</v>
      </c>
      <c r="N80" s="196" t="s">
        <v>31</v>
      </c>
      <c r="O80" s="196" t="s">
        <v>13</v>
      </c>
      <c r="Q80" s="195">
        <v>8</v>
      </c>
      <c r="R80" s="195">
        <v>11</v>
      </c>
      <c r="S80" s="195">
        <v>10</v>
      </c>
      <c r="T80" s="195">
        <v>7</v>
      </c>
      <c r="U80" s="195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5">
        <v>77</v>
      </c>
      <c r="K81" s="196" t="s">
        <v>31</v>
      </c>
      <c r="L81" s="196" t="s">
        <v>97</v>
      </c>
      <c r="M81" s="196" t="s">
        <v>13</v>
      </c>
      <c r="N81" s="196" t="s">
        <v>29</v>
      </c>
      <c r="O81" s="196" t="s">
        <v>31</v>
      </c>
      <c r="Q81" s="195">
        <v>7</v>
      </c>
      <c r="R81" s="195">
        <v>6</v>
      </c>
      <c r="S81" s="195">
        <v>5</v>
      </c>
      <c r="T81" s="195">
        <v>8</v>
      </c>
      <c r="U81" s="195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6" t="s">
        <v>13</v>
      </c>
      <c r="L82" s="196" t="s">
        <v>80</v>
      </c>
      <c r="M82" s="196" t="s">
        <v>29</v>
      </c>
      <c r="N82" s="196" t="s">
        <v>12</v>
      </c>
      <c r="O82" s="196" t="s">
        <v>13</v>
      </c>
      <c r="Q82" s="195">
        <v>5</v>
      </c>
      <c r="R82" s="195">
        <v>12</v>
      </c>
      <c r="S82" s="195">
        <v>8</v>
      </c>
      <c r="T82" s="195">
        <v>4</v>
      </c>
      <c r="U82" s="195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5">
        <v>79</v>
      </c>
      <c r="K83" s="196" t="s">
        <v>97</v>
      </c>
      <c r="L83" s="196" t="s">
        <v>30</v>
      </c>
      <c r="M83" s="196" t="s">
        <v>97</v>
      </c>
      <c r="N83" s="196" t="s">
        <v>16</v>
      </c>
      <c r="O83" s="196" t="s">
        <v>15</v>
      </c>
      <c r="Q83" s="195">
        <v>6</v>
      </c>
      <c r="R83" s="195">
        <v>10</v>
      </c>
      <c r="S83" s="195">
        <v>6</v>
      </c>
      <c r="T83" s="195">
        <v>3</v>
      </c>
      <c r="U83" s="195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6" t="s">
        <v>29</v>
      </c>
      <c r="L84" s="196" t="s">
        <v>30</v>
      </c>
      <c r="M84" s="196" t="s">
        <v>95</v>
      </c>
      <c r="N84" s="196" t="s">
        <v>14</v>
      </c>
      <c r="O84" s="196" t="s">
        <v>30</v>
      </c>
      <c r="Q84" s="195">
        <v>8</v>
      </c>
      <c r="R84" s="195">
        <v>10</v>
      </c>
      <c r="S84" s="195">
        <v>17</v>
      </c>
      <c r="T84" s="195">
        <v>1</v>
      </c>
      <c r="U84" s="195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5">
        <v>81</v>
      </c>
      <c r="K85" s="196" t="s">
        <v>31</v>
      </c>
      <c r="L85" s="196" t="s">
        <v>83</v>
      </c>
      <c r="M85" s="196" t="s">
        <v>31</v>
      </c>
      <c r="N85" s="196" t="s">
        <v>31</v>
      </c>
      <c r="O85" s="196" t="s">
        <v>29</v>
      </c>
      <c r="Q85" s="195">
        <v>7</v>
      </c>
      <c r="R85" s="195">
        <v>16</v>
      </c>
      <c r="S85" s="195">
        <v>7</v>
      </c>
      <c r="T85" s="195">
        <v>7</v>
      </c>
      <c r="U85" s="195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6" t="s">
        <v>12</v>
      </c>
      <c r="L86" s="196" t="s">
        <v>82</v>
      </c>
      <c r="M86" s="196" t="s">
        <v>12</v>
      </c>
      <c r="N86" s="196" t="s">
        <v>31</v>
      </c>
      <c r="O86" s="196" t="s">
        <v>15</v>
      </c>
      <c r="Q86" s="195">
        <v>4</v>
      </c>
      <c r="R86" s="195">
        <v>14</v>
      </c>
      <c r="S86" s="195">
        <v>4</v>
      </c>
      <c r="T86" s="195">
        <v>7</v>
      </c>
      <c r="U86" s="195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5">
        <v>83</v>
      </c>
      <c r="K87" s="196" t="s">
        <v>97</v>
      </c>
      <c r="L87" s="196" t="s">
        <v>16</v>
      </c>
      <c r="M87" s="196" t="s">
        <v>13</v>
      </c>
      <c r="N87" s="196" t="s">
        <v>13</v>
      </c>
      <c r="O87" s="196" t="s">
        <v>16</v>
      </c>
      <c r="Q87" s="195">
        <v>6</v>
      </c>
      <c r="R87" s="195">
        <v>3</v>
      </c>
      <c r="S87" s="195">
        <v>5</v>
      </c>
      <c r="T87" s="195">
        <v>5</v>
      </c>
      <c r="U87" s="195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6" t="s">
        <v>97</v>
      </c>
      <c r="L88" s="196" t="s">
        <v>28</v>
      </c>
      <c r="M88" s="196" t="s">
        <v>29</v>
      </c>
      <c r="N88" s="196" t="s">
        <v>16</v>
      </c>
      <c r="O88" s="196" t="s">
        <v>12</v>
      </c>
      <c r="Q88" s="195">
        <v>6</v>
      </c>
      <c r="R88" s="195">
        <v>9</v>
      </c>
      <c r="S88" s="195">
        <v>8</v>
      </c>
      <c r="T88" s="195">
        <v>3</v>
      </c>
      <c r="U88" s="195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5">
        <v>85</v>
      </c>
      <c r="K89" s="196" t="s">
        <v>14</v>
      </c>
      <c r="L89" s="196" t="s">
        <v>79</v>
      </c>
      <c r="M89" s="196" t="s">
        <v>29</v>
      </c>
      <c r="N89" s="196" t="s">
        <v>16</v>
      </c>
      <c r="O89" s="196" t="s">
        <v>29</v>
      </c>
      <c r="Q89" s="195">
        <v>1</v>
      </c>
      <c r="R89" s="195">
        <v>11</v>
      </c>
      <c r="S89" s="195">
        <v>8</v>
      </c>
      <c r="T89" s="195">
        <v>3</v>
      </c>
      <c r="U89" s="195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6" t="s">
        <v>29</v>
      </c>
      <c r="L90" s="196" t="s">
        <v>16</v>
      </c>
      <c r="M90" s="196" t="s">
        <v>29</v>
      </c>
      <c r="N90" s="196" t="s">
        <v>16</v>
      </c>
      <c r="O90" s="196" t="s">
        <v>12</v>
      </c>
      <c r="Q90" s="195">
        <v>8</v>
      </c>
      <c r="R90" s="195">
        <v>3</v>
      </c>
      <c r="S90" s="195">
        <v>8</v>
      </c>
      <c r="T90" s="195">
        <v>3</v>
      </c>
      <c r="U90" s="195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5">
        <v>87</v>
      </c>
      <c r="K91" s="196" t="s">
        <v>31</v>
      </c>
      <c r="L91" s="196" t="s">
        <v>14</v>
      </c>
      <c r="M91" s="196" t="s">
        <v>31</v>
      </c>
      <c r="N91" s="196" t="s">
        <v>80</v>
      </c>
      <c r="O91" s="196" t="s">
        <v>12</v>
      </c>
      <c r="Q91" s="195">
        <v>7</v>
      </c>
      <c r="R91" s="195">
        <v>1</v>
      </c>
      <c r="S91" s="195">
        <v>7</v>
      </c>
      <c r="T91" s="195">
        <v>12</v>
      </c>
      <c r="U91" s="195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6" t="s">
        <v>13</v>
      </c>
      <c r="L92" s="196" t="s">
        <v>82</v>
      </c>
      <c r="M92" s="196" t="s">
        <v>97</v>
      </c>
      <c r="N92" s="196" t="s">
        <v>28</v>
      </c>
      <c r="O92" s="196" t="s">
        <v>13</v>
      </c>
      <c r="Q92" s="195">
        <v>5</v>
      </c>
      <c r="R92" s="195">
        <v>14</v>
      </c>
      <c r="S92" s="195">
        <v>6</v>
      </c>
      <c r="T92" s="195">
        <v>9</v>
      </c>
      <c r="U92" s="195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5">
        <v>89</v>
      </c>
      <c r="K93" s="196" t="s">
        <v>13</v>
      </c>
      <c r="L93" s="196" t="s">
        <v>13</v>
      </c>
      <c r="M93" s="196" t="s">
        <v>14</v>
      </c>
      <c r="N93" s="196" t="s">
        <v>30</v>
      </c>
      <c r="O93" s="196" t="s">
        <v>13</v>
      </c>
      <c r="Q93" s="195">
        <v>5</v>
      </c>
      <c r="R93" s="195">
        <v>5</v>
      </c>
      <c r="S93" s="195">
        <v>1</v>
      </c>
      <c r="T93" s="195">
        <v>10</v>
      </c>
      <c r="U93" s="195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6" t="s">
        <v>97</v>
      </c>
      <c r="L94" s="196" t="s">
        <v>30</v>
      </c>
      <c r="M94" s="196" t="s">
        <v>83</v>
      </c>
      <c r="N94" s="196" t="s">
        <v>12</v>
      </c>
      <c r="O94" s="196" t="s">
        <v>14</v>
      </c>
      <c r="Q94" s="195">
        <v>6</v>
      </c>
      <c r="R94" s="195">
        <v>10</v>
      </c>
      <c r="S94" s="195">
        <v>16</v>
      </c>
      <c r="T94" s="195">
        <v>4</v>
      </c>
      <c r="U94" s="195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5">
        <v>91</v>
      </c>
      <c r="K95" s="196" t="s">
        <v>13</v>
      </c>
      <c r="L95" s="196" t="s">
        <v>16</v>
      </c>
      <c r="M95" s="196" t="s">
        <v>29</v>
      </c>
      <c r="N95" s="196" t="s">
        <v>12</v>
      </c>
      <c r="O95" s="196" t="s">
        <v>16</v>
      </c>
      <c r="Q95" s="195">
        <v>5</v>
      </c>
      <c r="R95" s="195">
        <v>3</v>
      </c>
      <c r="S95" s="195">
        <v>8</v>
      </c>
      <c r="T95" s="195">
        <v>4</v>
      </c>
      <c r="U95" s="195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6" t="s">
        <v>29</v>
      </c>
      <c r="L96" s="196" t="s">
        <v>79</v>
      </c>
      <c r="M96" s="196" t="s">
        <v>97</v>
      </c>
      <c r="N96" s="196" t="s">
        <v>28</v>
      </c>
      <c r="O96" s="196" t="s">
        <v>16</v>
      </c>
      <c r="Q96" s="195">
        <v>8</v>
      </c>
      <c r="R96" s="195">
        <v>11</v>
      </c>
      <c r="S96" s="195">
        <v>6</v>
      </c>
      <c r="T96" s="195">
        <v>9</v>
      </c>
      <c r="U96" s="195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5">
        <v>93</v>
      </c>
      <c r="K97" s="196" t="s">
        <v>15</v>
      </c>
      <c r="L97" s="196" t="s">
        <v>30</v>
      </c>
      <c r="M97" s="196" t="s">
        <v>31</v>
      </c>
      <c r="N97" s="196" t="s">
        <v>95</v>
      </c>
      <c r="O97" s="196" t="s">
        <v>31</v>
      </c>
      <c r="Q97" s="195">
        <v>2</v>
      </c>
      <c r="R97" s="195">
        <v>10</v>
      </c>
      <c r="S97" s="195">
        <v>7</v>
      </c>
      <c r="T97" s="195">
        <v>17</v>
      </c>
      <c r="U97" s="195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6" t="s">
        <v>13</v>
      </c>
      <c r="L98" s="196" t="s">
        <v>80</v>
      </c>
      <c r="M98" s="196" t="s">
        <v>13</v>
      </c>
      <c r="N98" s="196" t="s">
        <v>15</v>
      </c>
      <c r="O98" s="196" t="s">
        <v>30</v>
      </c>
      <c r="Q98" s="195">
        <v>5</v>
      </c>
      <c r="R98" s="195">
        <v>12</v>
      </c>
      <c r="S98" s="195">
        <v>5</v>
      </c>
      <c r="T98" s="195">
        <v>2</v>
      </c>
      <c r="U98" s="195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5">
        <v>95</v>
      </c>
      <c r="K99" s="196" t="s">
        <v>13</v>
      </c>
      <c r="L99" s="196" t="s">
        <v>15</v>
      </c>
      <c r="M99" s="196" t="s">
        <v>28</v>
      </c>
      <c r="N99" s="196" t="s">
        <v>30</v>
      </c>
      <c r="O99" s="196" t="s">
        <v>13</v>
      </c>
      <c r="Q99" s="195">
        <v>5</v>
      </c>
      <c r="R99" s="195">
        <v>2</v>
      </c>
      <c r="S99" s="195">
        <v>9</v>
      </c>
      <c r="T99" s="195">
        <v>10</v>
      </c>
      <c r="U99" s="195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6" t="s">
        <v>31</v>
      </c>
      <c r="L100" s="196" t="s">
        <v>13</v>
      </c>
      <c r="M100" s="196" t="s">
        <v>29</v>
      </c>
      <c r="N100" s="196" t="s">
        <v>15</v>
      </c>
      <c r="O100" s="196" t="s">
        <v>15</v>
      </c>
      <c r="Q100" s="195">
        <v>7</v>
      </c>
      <c r="R100" s="195">
        <v>5</v>
      </c>
      <c r="S100" s="195">
        <v>8</v>
      </c>
      <c r="T100" s="195">
        <v>2</v>
      </c>
      <c r="U100" s="195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5">
        <v>97</v>
      </c>
      <c r="K101" s="196" t="s">
        <v>29</v>
      </c>
      <c r="L101" s="196" t="s">
        <v>13</v>
      </c>
      <c r="M101" s="196" t="s">
        <v>13</v>
      </c>
      <c r="N101" s="196" t="s">
        <v>15</v>
      </c>
      <c r="O101" s="196" t="s">
        <v>15</v>
      </c>
      <c r="Q101" s="195">
        <v>8</v>
      </c>
      <c r="R101" s="195">
        <v>5</v>
      </c>
      <c r="S101" s="195">
        <v>5</v>
      </c>
      <c r="T101" s="195">
        <v>2</v>
      </c>
      <c r="U101" s="195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6" t="s">
        <v>14</v>
      </c>
      <c r="L102" s="196" t="s">
        <v>79</v>
      </c>
      <c r="M102" s="196" t="s">
        <v>13</v>
      </c>
      <c r="N102" s="196" t="s">
        <v>13</v>
      </c>
      <c r="O102" s="196" t="s">
        <v>97</v>
      </c>
      <c r="Q102" s="195">
        <v>1</v>
      </c>
      <c r="R102" s="195">
        <v>11</v>
      </c>
      <c r="S102" s="195">
        <v>5</v>
      </c>
      <c r="T102" s="195">
        <v>5</v>
      </c>
      <c r="U102" s="195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5">
        <v>99</v>
      </c>
      <c r="K103" s="196" t="s">
        <v>15</v>
      </c>
      <c r="L103" s="196" t="s">
        <v>98</v>
      </c>
      <c r="M103" s="196" t="s">
        <v>29</v>
      </c>
      <c r="N103" s="196" t="s">
        <v>28</v>
      </c>
      <c r="O103" s="196" t="s">
        <v>28</v>
      </c>
      <c r="Q103" s="195">
        <v>2</v>
      </c>
      <c r="R103" s="195">
        <v>15</v>
      </c>
      <c r="S103" s="195">
        <v>8</v>
      </c>
      <c r="T103" s="195">
        <v>9</v>
      </c>
      <c r="U103" s="195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6" t="s">
        <v>16</v>
      </c>
      <c r="L104" s="196" t="s">
        <v>12</v>
      </c>
      <c r="M104" s="196" t="s">
        <v>31</v>
      </c>
      <c r="N104" s="196" t="s">
        <v>31</v>
      </c>
      <c r="O104" s="196" t="s">
        <v>12</v>
      </c>
      <c r="Q104" s="195">
        <v>3</v>
      </c>
      <c r="R104" s="195">
        <v>4</v>
      </c>
      <c r="S104" s="195">
        <v>7</v>
      </c>
      <c r="T104" s="195">
        <v>7</v>
      </c>
      <c r="U104" s="195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6" t="s">
        <v>28</v>
      </c>
      <c r="L105" s="196" t="s">
        <v>97</v>
      </c>
      <c r="M105" s="196" t="s">
        <v>31</v>
      </c>
      <c r="N105" s="196" t="s">
        <v>29</v>
      </c>
      <c r="O105" s="196" t="s">
        <v>13</v>
      </c>
      <c r="Q105" s="195">
        <v>9</v>
      </c>
      <c r="R105" s="195">
        <v>6</v>
      </c>
      <c r="S105" s="195">
        <v>7</v>
      </c>
      <c r="T105" s="195">
        <v>8</v>
      </c>
      <c r="U105" s="195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5">
        <v>102</v>
      </c>
      <c r="K106" s="196" t="s">
        <v>12</v>
      </c>
      <c r="L106" s="196" t="s">
        <v>97</v>
      </c>
      <c r="M106" s="196" t="s">
        <v>97</v>
      </c>
      <c r="N106" s="196" t="s">
        <v>29</v>
      </c>
      <c r="O106" s="196" t="s">
        <v>28</v>
      </c>
      <c r="Q106" s="195">
        <v>4</v>
      </c>
      <c r="R106" s="195">
        <v>6</v>
      </c>
      <c r="S106" s="195">
        <v>6</v>
      </c>
      <c r="T106" s="195">
        <v>8</v>
      </c>
      <c r="U106" s="195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6" t="s">
        <v>29</v>
      </c>
      <c r="L107" s="196" t="s">
        <v>98</v>
      </c>
      <c r="M107" s="196" t="s">
        <v>16</v>
      </c>
      <c r="N107" s="196" t="s">
        <v>13</v>
      </c>
      <c r="O107" s="196" t="s">
        <v>30</v>
      </c>
      <c r="Q107" s="195">
        <v>8</v>
      </c>
      <c r="R107" s="195">
        <v>15</v>
      </c>
      <c r="S107" s="195">
        <v>3</v>
      </c>
      <c r="T107" s="195">
        <v>5</v>
      </c>
      <c r="U107" s="195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5">
        <v>104</v>
      </c>
      <c r="K108" s="196" t="s">
        <v>13</v>
      </c>
      <c r="L108" s="196" t="s">
        <v>30</v>
      </c>
      <c r="M108" s="196" t="s">
        <v>29</v>
      </c>
      <c r="N108" s="196" t="s">
        <v>30</v>
      </c>
      <c r="O108" s="196" t="s">
        <v>30</v>
      </c>
      <c r="Q108" s="195">
        <v>5</v>
      </c>
      <c r="R108" s="195">
        <v>10</v>
      </c>
      <c r="S108" s="195">
        <v>8</v>
      </c>
      <c r="T108" s="195">
        <v>10</v>
      </c>
      <c r="U108" s="195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6" t="s">
        <v>30</v>
      </c>
      <c r="L109" s="196" t="s">
        <v>80</v>
      </c>
      <c r="M109" s="196" t="s">
        <v>31</v>
      </c>
      <c r="N109" s="196" t="s">
        <v>28</v>
      </c>
      <c r="O109" s="196" t="s">
        <v>16</v>
      </c>
      <c r="Q109" s="195">
        <v>10</v>
      </c>
      <c r="R109" s="195">
        <v>12</v>
      </c>
      <c r="S109" s="195">
        <v>7</v>
      </c>
      <c r="T109" s="195">
        <v>9</v>
      </c>
      <c r="U109" s="195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5">
        <v>106</v>
      </c>
      <c r="K110" s="196" t="s">
        <v>29</v>
      </c>
      <c r="L110" s="196" t="s">
        <v>12</v>
      </c>
      <c r="M110" s="196" t="s">
        <v>13</v>
      </c>
      <c r="N110" s="196" t="s">
        <v>14</v>
      </c>
      <c r="O110" s="196" t="s">
        <v>28</v>
      </c>
      <c r="Q110" s="195">
        <v>8</v>
      </c>
      <c r="R110" s="195">
        <v>4</v>
      </c>
      <c r="S110" s="195">
        <v>5</v>
      </c>
      <c r="T110" s="195">
        <v>1</v>
      </c>
      <c r="U110" s="195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6" t="s">
        <v>29</v>
      </c>
      <c r="L111" s="196" t="s">
        <v>88</v>
      </c>
      <c r="M111" s="196" t="s">
        <v>14</v>
      </c>
      <c r="N111" s="196" t="s">
        <v>97</v>
      </c>
      <c r="O111" s="196" t="s">
        <v>12</v>
      </c>
      <c r="Q111" s="195">
        <v>8</v>
      </c>
      <c r="R111" s="195">
        <v>19</v>
      </c>
      <c r="S111" s="195">
        <v>1</v>
      </c>
      <c r="T111" s="195">
        <v>6</v>
      </c>
      <c r="U111" s="195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5">
        <v>108</v>
      </c>
      <c r="K112" s="196" t="s">
        <v>29</v>
      </c>
      <c r="L112" s="196" t="s">
        <v>86</v>
      </c>
      <c r="M112" s="196" t="s">
        <v>98</v>
      </c>
      <c r="N112" s="196" t="s">
        <v>15</v>
      </c>
      <c r="O112" s="196" t="s">
        <v>16</v>
      </c>
      <c r="Q112" s="195">
        <v>8</v>
      </c>
      <c r="R112" s="195">
        <v>18</v>
      </c>
      <c r="S112" s="195">
        <v>15</v>
      </c>
      <c r="T112" s="195">
        <v>2</v>
      </c>
      <c r="U112" s="195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6" t="s">
        <v>31</v>
      </c>
      <c r="L113" s="196" t="s">
        <v>97</v>
      </c>
      <c r="M113" s="196" t="s">
        <v>83</v>
      </c>
      <c r="N113" s="196" t="s">
        <v>15</v>
      </c>
      <c r="O113" s="196" t="s">
        <v>15</v>
      </c>
      <c r="Q113" s="195">
        <v>7</v>
      </c>
      <c r="R113" s="195">
        <v>6</v>
      </c>
      <c r="S113" s="195">
        <v>16</v>
      </c>
      <c r="T113" s="195">
        <v>2</v>
      </c>
      <c r="U113" s="195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5">
        <v>110</v>
      </c>
      <c r="K114" s="196" t="s">
        <v>97</v>
      </c>
      <c r="L114" s="196" t="s">
        <v>95</v>
      </c>
      <c r="M114" s="196" t="s">
        <v>29</v>
      </c>
      <c r="N114" s="196" t="s">
        <v>15</v>
      </c>
      <c r="O114" s="196" t="s">
        <v>13</v>
      </c>
      <c r="Q114" s="195">
        <v>6</v>
      </c>
      <c r="R114" s="195">
        <v>17</v>
      </c>
      <c r="S114" s="195">
        <v>8</v>
      </c>
      <c r="T114" s="195">
        <v>2</v>
      </c>
      <c r="U114" s="195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6" t="s">
        <v>13</v>
      </c>
      <c r="L115" s="196" t="s">
        <v>29</v>
      </c>
      <c r="M115" s="196" t="s">
        <v>13</v>
      </c>
      <c r="N115" s="196" t="s">
        <v>30</v>
      </c>
      <c r="O115" s="196" t="s">
        <v>13</v>
      </c>
      <c r="Q115" s="195">
        <v>5</v>
      </c>
      <c r="R115" s="195">
        <v>8</v>
      </c>
      <c r="S115" s="195">
        <v>5</v>
      </c>
      <c r="T115" s="195">
        <v>10</v>
      </c>
      <c r="U115" s="195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5">
        <v>112</v>
      </c>
      <c r="K116" s="196" t="s">
        <v>31</v>
      </c>
      <c r="L116" s="196" t="s">
        <v>28</v>
      </c>
      <c r="M116" s="196" t="s">
        <v>97</v>
      </c>
      <c r="N116" s="196" t="s">
        <v>29</v>
      </c>
      <c r="O116" s="196" t="s">
        <v>31</v>
      </c>
      <c r="Q116" s="195">
        <v>7</v>
      </c>
      <c r="R116" s="195">
        <v>9</v>
      </c>
      <c r="S116" s="195">
        <v>6</v>
      </c>
      <c r="T116" s="195">
        <v>8</v>
      </c>
      <c r="U116" s="195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6" t="s">
        <v>97</v>
      </c>
      <c r="L117" s="196" t="s">
        <v>86</v>
      </c>
      <c r="M117" s="196" t="s">
        <v>95</v>
      </c>
      <c r="N117" s="196" t="s">
        <v>30</v>
      </c>
      <c r="O117" s="196" t="s">
        <v>16</v>
      </c>
      <c r="Q117" s="195">
        <v>6</v>
      </c>
      <c r="R117" s="195">
        <v>18</v>
      </c>
      <c r="S117" s="195">
        <v>17</v>
      </c>
      <c r="T117" s="195">
        <v>10</v>
      </c>
      <c r="U117" s="195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5">
        <v>114</v>
      </c>
      <c r="K118" s="196" t="s">
        <v>29</v>
      </c>
      <c r="L118" s="196" t="s">
        <v>81</v>
      </c>
      <c r="M118" s="196" t="s">
        <v>31</v>
      </c>
      <c r="N118" s="196" t="s">
        <v>16</v>
      </c>
      <c r="O118" s="196" t="s">
        <v>97</v>
      </c>
      <c r="Q118" s="195">
        <v>8</v>
      </c>
      <c r="R118" s="195">
        <v>13</v>
      </c>
      <c r="S118" s="195">
        <v>7</v>
      </c>
      <c r="T118" s="195">
        <v>3</v>
      </c>
      <c r="U118" s="195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6" t="s">
        <v>31</v>
      </c>
      <c r="L119" s="196" t="s">
        <v>29</v>
      </c>
      <c r="M119" s="196" t="s">
        <v>97</v>
      </c>
      <c r="N119" s="196" t="s">
        <v>13</v>
      </c>
      <c r="O119" s="196" t="s">
        <v>14</v>
      </c>
      <c r="Q119" s="195">
        <v>7</v>
      </c>
      <c r="R119" s="195">
        <v>8</v>
      </c>
      <c r="S119" s="195">
        <v>6</v>
      </c>
      <c r="T119" s="195">
        <v>5</v>
      </c>
      <c r="U119" s="195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5">
        <v>116</v>
      </c>
      <c r="K120" s="196" t="s">
        <v>13</v>
      </c>
      <c r="L120" s="196" t="s">
        <v>29</v>
      </c>
      <c r="M120" s="196" t="s">
        <v>82</v>
      </c>
      <c r="N120" s="196" t="s">
        <v>14</v>
      </c>
      <c r="O120" s="196" t="s">
        <v>31</v>
      </c>
      <c r="Q120" s="195">
        <v>5</v>
      </c>
      <c r="R120" s="195">
        <v>8</v>
      </c>
      <c r="S120" s="195">
        <v>14</v>
      </c>
      <c r="T120" s="195">
        <v>1</v>
      </c>
      <c r="U120" s="195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6" t="s">
        <v>31</v>
      </c>
      <c r="L121" s="196" t="s">
        <v>13</v>
      </c>
      <c r="M121" s="196" t="s">
        <v>97</v>
      </c>
      <c r="N121" s="196" t="s">
        <v>12</v>
      </c>
      <c r="O121" s="196" t="s">
        <v>16</v>
      </c>
      <c r="Q121" s="195">
        <v>7</v>
      </c>
      <c r="R121" s="195">
        <v>5</v>
      </c>
      <c r="S121" s="195">
        <v>6</v>
      </c>
      <c r="T121" s="195">
        <v>4</v>
      </c>
      <c r="U121" s="195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5">
        <v>118</v>
      </c>
      <c r="K122" s="196" t="s">
        <v>31</v>
      </c>
      <c r="L122" s="196" t="s">
        <v>82</v>
      </c>
      <c r="M122" s="196" t="s">
        <v>31</v>
      </c>
      <c r="N122" s="196" t="s">
        <v>31</v>
      </c>
      <c r="O122" s="196" t="s">
        <v>15</v>
      </c>
      <c r="Q122" s="195">
        <v>7</v>
      </c>
      <c r="R122" s="195">
        <v>14</v>
      </c>
      <c r="S122" s="195">
        <v>7</v>
      </c>
      <c r="T122" s="195">
        <v>7</v>
      </c>
      <c r="U122" s="195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6" t="s">
        <v>13</v>
      </c>
      <c r="L123" s="196" t="s">
        <v>13</v>
      </c>
      <c r="M123" s="196" t="s">
        <v>31</v>
      </c>
      <c r="N123" s="196" t="s">
        <v>31</v>
      </c>
      <c r="O123" s="196" t="s">
        <v>16</v>
      </c>
      <c r="Q123" s="195">
        <v>5</v>
      </c>
      <c r="R123" s="195">
        <v>5</v>
      </c>
      <c r="S123" s="195">
        <v>7</v>
      </c>
      <c r="T123" s="195">
        <v>7</v>
      </c>
      <c r="U123" s="195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5">
        <v>120</v>
      </c>
      <c r="K124" s="196" t="s">
        <v>13</v>
      </c>
      <c r="L124" s="196" t="s">
        <v>30</v>
      </c>
      <c r="M124" s="196" t="s">
        <v>97</v>
      </c>
      <c r="N124" s="196" t="s">
        <v>28</v>
      </c>
      <c r="O124" s="196" t="s">
        <v>12</v>
      </c>
      <c r="Q124" s="195">
        <v>5</v>
      </c>
      <c r="R124" s="195">
        <v>10</v>
      </c>
      <c r="S124" s="195">
        <v>6</v>
      </c>
      <c r="T124" s="195">
        <v>9</v>
      </c>
      <c r="U124" s="195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6" t="s">
        <v>31</v>
      </c>
      <c r="L125" s="196" t="s">
        <v>16</v>
      </c>
      <c r="M125" s="196" t="s">
        <v>97</v>
      </c>
      <c r="N125" s="196" t="s">
        <v>16</v>
      </c>
      <c r="O125" s="196" t="s">
        <v>13</v>
      </c>
      <c r="Q125" s="195">
        <v>7</v>
      </c>
      <c r="R125" s="195">
        <v>3</v>
      </c>
      <c r="S125" s="195">
        <v>6</v>
      </c>
      <c r="T125" s="195">
        <v>3</v>
      </c>
      <c r="U125" s="195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5">
        <v>122</v>
      </c>
      <c r="K126" s="196" t="s">
        <v>97</v>
      </c>
      <c r="L126" s="196" t="s">
        <v>86</v>
      </c>
      <c r="M126" s="196" t="s">
        <v>14</v>
      </c>
      <c r="N126" s="196" t="s">
        <v>81</v>
      </c>
      <c r="O126" s="196" t="s">
        <v>28</v>
      </c>
      <c r="Q126" s="195">
        <v>6</v>
      </c>
      <c r="R126" s="195">
        <v>18</v>
      </c>
      <c r="S126" s="195">
        <v>1</v>
      </c>
      <c r="T126" s="195">
        <v>13</v>
      </c>
      <c r="U126" s="195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6" t="s">
        <v>29</v>
      </c>
      <c r="L127" s="196" t="s">
        <v>30</v>
      </c>
      <c r="M127" s="196" t="s">
        <v>29</v>
      </c>
      <c r="N127" s="196" t="s">
        <v>80</v>
      </c>
      <c r="O127" s="196" t="s">
        <v>16</v>
      </c>
      <c r="Q127" s="195">
        <v>8</v>
      </c>
      <c r="R127" s="195">
        <v>10</v>
      </c>
      <c r="S127" s="195">
        <v>8</v>
      </c>
      <c r="T127" s="195">
        <v>12</v>
      </c>
      <c r="U127" s="195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5">
        <v>124</v>
      </c>
      <c r="K128" s="196" t="s">
        <v>13</v>
      </c>
      <c r="L128" s="196" t="s">
        <v>88</v>
      </c>
      <c r="M128" s="196" t="s">
        <v>15</v>
      </c>
      <c r="N128" s="196" t="s">
        <v>30</v>
      </c>
      <c r="O128" s="196" t="s">
        <v>30</v>
      </c>
      <c r="Q128" s="195">
        <v>5</v>
      </c>
      <c r="R128" s="195">
        <v>19</v>
      </c>
      <c r="S128" s="195">
        <v>2</v>
      </c>
      <c r="T128" s="195">
        <v>10</v>
      </c>
      <c r="U128" s="195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6" t="s">
        <v>31</v>
      </c>
      <c r="L129" s="196" t="s">
        <v>15</v>
      </c>
      <c r="M129" s="196" t="s">
        <v>13</v>
      </c>
      <c r="N129" s="196" t="s">
        <v>30</v>
      </c>
      <c r="O129" s="196" t="s">
        <v>16</v>
      </c>
      <c r="Q129" s="195">
        <v>7</v>
      </c>
      <c r="R129" s="195">
        <v>2</v>
      </c>
      <c r="S129" s="195">
        <v>5</v>
      </c>
      <c r="T129" s="195">
        <v>10</v>
      </c>
      <c r="U129" s="195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5">
        <v>126</v>
      </c>
      <c r="K130" s="196" t="s">
        <v>29</v>
      </c>
      <c r="L130" s="196" t="s">
        <v>86</v>
      </c>
      <c r="M130" s="196" t="s">
        <v>29</v>
      </c>
      <c r="N130" s="196" t="s">
        <v>30</v>
      </c>
      <c r="O130" s="196" t="s">
        <v>15</v>
      </c>
      <c r="Q130" s="195">
        <v>8</v>
      </c>
      <c r="R130" s="195">
        <v>18</v>
      </c>
      <c r="S130" s="195">
        <v>8</v>
      </c>
      <c r="T130" s="195">
        <v>10</v>
      </c>
      <c r="U130" s="195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6" t="s">
        <v>97</v>
      </c>
      <c r="L131" s="196" t="s">
        <v>12</v>
      </c>
      <c r="M131" s="196" t="s">
        <v>31</v>
      </c>
      <c r="N131" s="196" t="s">
        <v>12</v>
      </c>
      <c r="O131" s="196" t="s">
        <v>12</v>
      </c>
      <c r="Q131" s="195">
        <v>6</v>
      </c>
      <c r="R131" s="195">
        <v>4</v>
      </c>
      <c r="S131" s="195">
        <v>7</v>
      </c>
      <c r="T131" s="195">
        <v>4</v>
      </c>
      <c r="U131" s="195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5">
        <v>128</v>
      </c>
      <c r="K132" s="196" t="s">
        <v>97</v>
      </c>
      <c r="L132" s="196" t="s">
        <v>88</v>
      </c>
      <c r="M132" s="196" t="s">
        <v>31</v>
      </c>
      <c r="N132" s="196" t="s">
        <v>97</v>
      </c>
      <c r="O132" s="196" t="s">
        <v>12</v>
      </c>
      <c r="Q132" s="195">
        <v>6</v>
      </c>
      <c r="R132" s="195">
        <v>19</v>
      </c>
      <c r="S132" s="195">
        <v>7</v>
      </c>
      <c r="T132" s="195">
        <v>6</v>
      </c>
      <c r="U132" s="195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6" t="s">
        <v>13</v>
      </c>
      <c r="L133" s="196" t="s">
        <v>88</v>
      </c>
      <c r="M133" s="196" t="s">
        <v>13</v>
      </c>
      <c r="N133" s="196" t="s">
        <v>30</v>
      </c>
      <c r="O133" s="196" t="s">
        <v>30</v>
      </c>
      <c r="Q133" s="195">
        <v>5</v>
      </c>
      <c r="R133" s="195">
        <v>19</v>
      </c>
      <c r="S133" s="195">
        <v>5</v>
      </c>
      <c r="T133" s="195">
        <v>10</v>
      </c>
      <c r="U133" s="195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5">
        <v>130</v>
      </c>
      <c r="K134" s="196" t="s">
        <v>29</v>
      </c>
      <c r="L134" s="196" t="s">
        <v>15</v>
      </c>
      <c r="M134" s="196" t="s">
        <v>13</v>
      </c>
      <c r="N134" s="196" t="s">
        <v>12</v>
      </c>
      <c r="O134" s="196" t="s">
        <v>28</v>
      </c>
      <c r="Q134" s="195">
        <v>8</v>
      </c>
      <c r="R134" s="195">
        <v>2</v>
      </c>
      <c r="S134" s="195">
        <v>5</v>
      </c>
      <c r="T134" s="195">
        <v>4</v>
      </c>
      <c r="U134" s="195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6" t="s">
        <v>29</v>
      </c>
      <c r="L135" s="196" t="s">
        <v>81</v>
      </c>
      <c r="M135" s="196" t="s">
        <v>31</v>
      </c>
      <c r="N135" s="196" t="s">
        <v>13</v>
      </c>
      <c r="O135" s="196" t="s">
        <v>97</v>
      </c>
      <c r="Q135" s="195">
        <v>8</v>
      </c>
      <c r="R135" s="195">
        <v>13</v>
      </c>
      <c r="S135" s="195">
        <v>7</v>
      </c>
      <c r="T135" s="195">
        <v>5</v>
      </c>
      <c r="U135" s="195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5">
        <v>132</v>
      </c>
      <c r="K136" s="196" t="s">
        <v>31</v>
      </c>
      <c r="L136" s="196" t="s">
        <v>29</v>
      </c>
      <c r="M136" s="196" t="s">
        <v>83</v>
      </c>
      <c r="N136" s="196" t="s">
        <v>80</v>
      </c>
      <c r="O136" s="196" t="s">
        <v>15</v>
      </c>
      <c r="Q136" s="195">
        <v>7</v>
      </c>
      <c r="R136" s="195">
        <v>8</v>
      </c>
      <c r="S136" s="195">
        <v>16</v>
      </c>
      <c r="T136" s="195">
        <v>12</v>
      </c>
      <c r="U136" s="195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6" t="s">
        <v>97</v>
      </c>
      <c r="L137" s="196" t="s">
        <v>12</v>
      </c>
      <c r="M137" s="196" t="s">
        <v>31</v>
      </c>
      <c r="N137" s="196" t="s">
        <v>15</v>
      </c>
      <c r="O137" s="196" t="s">
        <v>13</v>
      </c>
      <c r="Q137" s="195">
        <v>6</v>
      </c>
      <c r="R137" s="195">
        <v>4</v>
      </c>
      <c r="S137" s="195">
        <v>7</v>
      </c>
      <c r="T137" s="195">
        <v>2</v>
      </c>
      <c r="U137" s="195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5">
        <v>134</v>
      </c>
      <c r="K138" s="196" t="s">
        <v>29</v>
      </c>
      <c r="L138" s="196" t="s">
        <v>82</v>
      </c>
      <c r="M138" s="196" t="s">
        <v>13</v>
      </c>
      <c r="N138" s="196" t="s">
        <v>28</v>
      </c>
      <c r="O138" s="196" t="s">
        <v>16</v>
      </c>
      <c r="Q138" s="195">
        <v>8</v>
      </c>
      <c r="R138" s="195">
        <v>14</v>
      </c>
      <c r="S138" s="195">
        <v>5</v>
      </c>
      <c r="T138" s="195">
        <v>9</v>
      </c>
      <c r="U138" s="195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6" t="s">
        <v>31</v>
      </c>
      <c r="L139" s="196" t="s">
        <v>15</v>
      </c>
      <c r="M139" s="196" t="s">
        <v>29</v>
      </c>
      <c r="N139" s="196" t="s">
        <v>86</v>
      </c>
      <c r="O139" s="196" t="s">
        <v>30</v>
      </c>
      <c r="Q139" s="195">
        <v>7</v>
      </c>
      <c r="R139" s="195">
        <v>2</v>
      </c>
      <c r="S139" s="195">
        <v>8</v>
      </c>
      <c r="T139" s="195">
        <v>18</v>
      </c>
      <c r="U139" s="195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5">
        <v>136</v>
      </c>
      <c r="K140" s="196" t="s">
        <v>13</v>
      </c>
      <c r="L140" s="196" t="s">
        <v>31</v>
      </c>
      <c r="M140" s="196" t="s">
        <v>13</v>
      </c>
      <c r="N140" s="196" t="s">
        <v>28</v>
      </c>
      <c r="O140" s="196" t="s">
        <v>31</v>
      </c>
      <c r="Q140" s="195">
        <v>5</v>
      </c>
      <c r="R140" s="195">
        <v>7</v>
      </c>
      <c r="S140" s="195">
        <v>5</v>
      </c>
      <c r="T140" s="195">
        <v>9</v>
      </c>
      <c r="U140" s="195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6" t="s">
        <v>29</v>
      </c>
      <c r="L141" s="196" t="s">
        <v>83</v>
      </c>
      <c r="M141" s="196" t="s">
        <v>97</v>
      </c>
      <c r="N141" s="196" t="s">
        <v>15</v>
      </c>
      <c r="O141" s="196" t="s">
        <v>28</v>
      </c>
      <c r="Q141" s="195">
        <v>8</v>
      </c>
      <c r="R141" s="195">
        <v>16</v>
      </c>
      <c r="S141" s="195">
        <v>6</v>
      </c>
      <c r="T141" s="195">
        <v>2</v>
      </c>
      <c r="U141" s="195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5">
        <v>138</v>
      </c>
      <c r="K142" s="196" t="s">
        <v>31</v>
      </c>
      <c r="L142" s="196" t="s">
        <v>31</v>
      </c>
      <c r="M142" s="196" t="s">
        <v>95</v>
      </c>
      <c r="N142" s="196" t="s">
        <v>97</v>
      </c>
      <c r="O142" s="196" t="s">
        <v>12</v>
      </c>
      <c r="Q142" s="195">
        <v>7</v>
      </c>
      <c r="R142" s="195">
        <v>7</v>
      </c>
      <c r="S142" s="195">
        <v>17</v>
      </c>
      <c r="T142" s="195">
        <v>6</v>
      </c>
      <c r="U142" s="195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6" t="s">
        <v>13</v>
      </c>
      <c r="L143" s="196" t="s">
        <v>16</v>
      </c>
      <c r="M143" s="196" t="s">
        <v>29</v>
      </c>
      <c r="N143" s="196" t="s">
        <v>12</v>
      </c>
      <c r="O143" s="196" t="s">
        <v>31</v>
      </c>
      <c r="Q143" s="195">
        <v>5</v>
      </c>
      <c r="R143" s="195">
        <v>3</v>
      </c>
      <c r="S143" s="195">
        <v>8</v>
      </c>
      <c r="T143" s="195">
        <v>4</v>
      </c>
      <c r="U143" s="195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5">
        <v>140</v>
      </c>
      <c r="K144" s="196" t="s">
        <v>97</v>
      </c>
      <c r="L144" s="196" t="s">
        <v>83</v>
      </c>
      <c r="M144" s="196" t="s">
        <v>13</v>
      </c>
      <c r="N144" s="196" t="s">
        <v>29</v>
      </c>
      <c r="O144" s="196" t="s">
        <v>31</v>
      </c>
      <c r="Q144" s="195">
        <v>6</v>
      </c>
      <c r="R144" s="195">
        <v>16</v>
      </c>
      <c r="S144" s="195">
        <v>5</v>
      </c>
      <c r="T144" s="195">
        <v>8</v>
      </c>
      <c r="U144" s="195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6" t="s">
        <v>31</v>
      </c>
      <c r="L145" s="196" t="s">
        <v>31</v>
      </c>
      <c r="M145" s="196" t="s">
        <v>13</v>
      </c>
      <c r="N145" s="196" t="s">
        <v>31</v>
      </c>
      <c r="O145" s="196" t="s">
        <v>14</v>
      </c>
      <c r="Q145" s="195">
        <v>7</v>
      </c>
      <c r="R145" s="195">
        <v>7</v>
      </c>
      <c r="S145" s="195">
        <v>5</v>
      </c>
      <c r="T145" s="195">
        <v>7</v>
      </c>
      <c r="U145" s="195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5">
        <v>142</v>
      </c>
      <c r="K146" s="196" t="s">
        <v>97</v>
      </c>
      <c r="L146" s="196" t="s">
        <v>97</v>
      </c>
      <c r="M146" s="196" t="s">
        <v>13</v>
      </c>
      <c r="N146" s="196" t="s">
        <v>13</v>
      </c>
      <c r="O146" s="196" t="s">
        <v>97</v>
      </c>
      <c r="Q146" s="195">
        <v>6</v>
      </c>
      <c r="R146" s="195">
        <v>6</v>
      </c>
      <c r="S146" s="195">
        <v>5</v>
      </c>
      <c r="T146" s="195">
        <v>5</v>
      </c>
      <c r="U146" s="195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6" t="s">
        <v>13</v>
      </c>
      <c r="L147" s="196" t="s">
        <v>80</v>
      </c>
      <c r="M147" s="196" t="s">
        <v>97</v>
      </c>
      <c r="N147" s="196" t="s">
        <v>13</v>
      </c>
      <c r="O147" s="196" t="s">
        <v>31</v>
      </c>
      <c r="Q147" s="195">
        <v>5</v>
      </c>
      <c r="R147" s="195">
        <v>12</v>
      </c>
      <c r="S147" s="195">
        <v>6</v>
      </c>
      <c r="T147" s="195">
        <v>5</v>
      </c>
      <c r="U147" s="195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5">
        <v>144</v>
      </c>
      <c r="K148" s="196" t="s">
        <v>31</v>
      </c>
      <c r="L148" s="196" t="s">
        <v>28</v>
      </c>
      <c r="M148" s="196" t="s">
        <v>31</v>
      </c>
      <c r="N148" s="196" t="s">
        <v>31</v>
      </c>
      <c r="O148" s="196" t="s">
        <v>97</v>
      </c>
      <c r="Q148" s="195">
        <v>7</v>
      </c>
      <c r="R148" s="195">
        <v>9</v>
      </c>
      <c r="S148" s="195">
        <v>7</v>
      </c>
      <c r="T148" s="195">
        <v>7</v>
      </c>
      <c r="U148" s="195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6" t="s">
        <v>29</v>
      </c>
      <c r="L149" s="196" t="s">
        <v>14</v>
      </c>
      <c r="M149" s="196" t="s">
        <v>31</v>
      </c>
      <c r="N149" s="196" t="s">
        <v>12</v>
      </c>
      <c r="O149" s="196" t="s">
        <v>16</v>
      </c>
      <c r="Q149" s="195">
        <v>8</v>
      </c>
      <c r="R149" s="195">
        <v>1</v>
      </c>
      <c r="S149" s="195">
        <v>7</v>
      </c>
      <c r="T149" s="195">
        <v>4</v>
      </c>
      <c r="U149" s="195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5">
        <v>146</v>
      </c>
      <c r="K150" s="196" t="s">
        <v>31</v>
      </c>
      <c r="L150" s="196" t="s">
        <v>30</v>
      </c>
      <c r="M150" s="196" t="s">
        <v>31</v>
      </c>
      <c r="N150" s="196" t="s">
        <v>12</v>
      </c>
      <c r="O150" s="196" t="s">
        <v>97</v>
      </c>
      <c r="Q150" s="195">
        <v>7</v>
      </c>
      <c r="R150" s="195">
        <v>10</v>
      </c>
      <c r="S150" s="195">
        <v>7</v>
      </c>
      <c r="T150" s="195">
        <v>4</v>
      </c>
      <c r="U150" s="195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6" t="s">
        <v>97</v>
      </c>
      <c r="L151" s="196" t="s">
        <v>88</v>
      </c>
      <c r="M151" s="196" t="s">
        <v>97</v>
      </c>
      <c r="N151" s="196" t="s">
        <v>12</v>
      </c>
      <c r="O151" s="196" t="s">
        <v>15</v>
      </c>
      <c r="Q151" s="195">
        <v>6</v>
      </c>
      <c r="R151" s="195">
        <v>19</v>
      </c>
      <c r="S151" s="195">
        <v>6</v>
      </c>
      <c r="T151" s="195">
        <v>4</v>
      </c>
      <c r="U151" s="195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5">
        <v>148</v>
      </c>
      <c r="K152" s="196" t="s">
        <v>12</v>
      </c>
      <c r="L152" s="196" t="s">
        <v>16</v>
      </c>
      <c r="M152" s="196" t="s">
        <v>13</v>
      </c>
      <c r="N152" s="196" t="s">
        <v>30</v>
      </c>
      <c r="O152" s="196" t="s">
        <v>14</v>
      </c>
      <c r="Q152" s="195">
        <v>4</v>
      </c>
      <c r="R152" s="195">
        <v>3</v>
      </c>
      <c r="S152" s="195">
        <v>5</v>
      </c>
      <c r="T152" s="195">
        <v>10</v>
      </c>
      <c r="U152" s="195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6" t="s">
        <v>31</v>
      </c>
      <c r="L153" s="196" t="s">
        <v>12</v>
      </c>
      <c r="M153" s="196" t="s">
        <v>16</v>
      </c>
      <c r="N153" s="196" t="s">
        <v>81</v>
      </c>
      <c r="O153" s="196" t="s">
        <v>97</v>
      </c>
      <c r="Q153" s="195">
        <v>7</v>
      </c>
      <c r="R153" s="195">
        <v>4</v>
      </c>
      <c r="S153" s="195">
        <v>3</v>
      </c>
      <c r="T153" s="195">
        <v>13</v>
      </c>
      <c r="U153" s="195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5">
        <v>150</v>
      </c>
      <c r="K154" s="196" t="s">
        <v>31</v>
      </c>
      <c r="L154" s="196" t="s">
        <v>83</v>
      </c>
      <c r="M154" s="196" t="s">
        <v>29</v>
      </c>
      <c r="N154" s="196" t="s">
        <v>28</v>
      </c>
      <c r="O154" s="196" t="s">
        <v>28</v>
      </c>
      <c r="Q154" s="195">
        <v>7</v>
      </c>
      <c r="R154" s="195">
        <v>16</v>
      </c>
      <c r="S154" s="195">
        <v>8</v>
      </c>
      <c r="T154" s="195">
        <v>9</v>
      </c>
      <c r="U154" s="195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6" t="s">
        <v>97</v>
      </c>
      <c r="L155" s="196" t="s">
        <v>12</v>
      </c>
      <c r="M155" s="196" t="s">
        <v>13</v>
      </c>
      <c r="N155" s="196" t="s">
        <v>13</v>
      </c>
      <c r="O155" s="196" t="s">
        <v>28</v>
      </c>
      <c r="Q155" s="195">
        <v>6</v>
      </c>
      <c r="R155" s="195">
        <v>4</v>
      </c>
      <c r="S155" s="195">
        <v>5</v>
      </c>
      <c r="T155" s="195">
        <v>5</v>
      </c>
      <c r="U155" s="195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5">
        <v>152</v>
      </c>
      <c r="K156" s="196" t="s">
        <v>31</v>
      </c>
      <c r="L156" s="196" t="s">
        <v>30</v>
      </c>
      <c r="M156" s="196" t="s">
        <v>13</v>
      </c>
      <c r="N156" s="196" t="s">
        <v>29</v>
      </c>
      <c r="O156" s="196" t="s">
        <v>97</v>
      </c>
      <c r="Q156" s="195">
        <v>7</v>
      </c>
      <c r="R156" s="195">
        <v>10</v>
      </c>
      <c r="S156" s="195">
        <v>5</v>
      </c>
      <c r="T156" s="195">
        <v>8</v>
      </c>
      <c r="U156" s="195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6" t="s">
        <v>97</v>
      </c>
      <c r="L157" s="196" t="s">
        <v>15</v>
      </c>
      <c r="M157" s="196" t="s">
        <v>13</v>
      </c>
      <c r="N157" s="196" t="s">
        <v>83</v>
      </c>
      <c r="O157" s="196" t="s">
        <v>97</v>
      </c>
      <c r="Q157" s="195">
        <v>6</v>
      </c>
      <c r="R157" s="195">
        <v>2</v>
      </c>
      <c r="S157" s="195">
        <v>5</v>
      </c>
      <c r="T157" s="195">
        <v>16</v>
      </c>
      <c r="U157" s="195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5">
        <v>154</v>
      </c>
      <c r="K158" s="196" t="s">
        <v>29</v>
      </c>
      <c r="L158" s="196" t="s">
        <v>81</v>
      </c>
      <c r="M158" s="196" t="s">
        <v>29</v>
      </c>
      <c r="N158" s="196" t="s">
        <v>15</v>
      </c>
      <c r="O158" s="196" t="s">
        <v>29</v>
      </c>
      <c r="Q158" s="195">
        <v>8</v>
      </c>
      <c r="R158" s="195">
        <v>13</v>
      </c>
      <c r="S158" s="195">
        <v>8</v>
      </c>
      <c r="T158" s="195">
        <v>2</v>
      </c>
      <c r="U158" s="195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6" t="s">
        <v>29</v>
      </c>
      <c r="L159" s="196" t="s">
        <v>31</v>
      </c>
      <c r="M159" s="196" t="s">
        <v>29</v>
      </c>
      <c r="N159" s="196" t="s">
        <v>14</v>
      </c>
      <c r="O159" s="196" t="s">
        <v>14</v>
      </c>
      <c r="Q159" s="195">
        <v>8</v>
      </c>
      <c r="R159" s="195">
        <v>7</v>
      </c>
      <c r="S159" s="195">
        <v>8</v>
      </c>
      <c r="T159" s="195">
        <v>1</v>
      </c>
      <c r="U159" s="195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5">
        <v>156</v>
      </c>
      <c r="K160" s="196" t="s">
        <v>14</v>
      </c>
      <c r="L160" s="196" t="s">
        <v>98</v>
      </c>
      <c r="M160" s="196" t="s">
        <v>31</v>
      </c>
      <c r="N160" s="196" t="s">
        <v>31</v>
      </c>
      <c r="O160" s="196" t="s">
        <v>13</v>
      </c>
      <c r="Q160" s="195">
        <v>1</v>
      </c>
      <c r="R160" s="195">
        <v>15</v>
      </c>
      <c r="S160" s="195">
        <v>7</v>
      </c>
      <c r="T160" s="195">
        <v>7</v>
      </c>
      <c r="U160" s="195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6" t="s">
        <v>29</v>
      </c>
      <c r="L161" s="196" t="s">
        <v>15</v>
      </c>
      <c r="M161" s="196" t="s">
        <v>97</v>
      </c>
      <c r="N161" s="196" t="s">
        <v>28</v>
      </c>
      <c r="O161" s="196" t="s">
        <v>31</v>
      </c>
      <c r="Q161" s="195">
        <v>8</v>
      </c>
      <c r="R161" s="195">
        <v>2</v>
      </c>
      <c r="S161" s="195">
        <v>6</v>
      </c>
      <c r="T161" s="195">
        <v>9</v>
      </c>
      <c r="U161" s="195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5">
        <v>158</v>
      </c>
      <c r="K162" s="196" t="s">
        <v>28</v>
      </c>
      <c r="L162" s="196" t="s">
        <v>30</v>
      </c>
      <c r="M162" s="196" t="s">
        <v>97</v>
      </c>
      <c r="N162" s="196" t="s">
        <v>28</v>
      </c>
      <c r="O162" s="196" t="s">
        <v>97</v>
      </c>
      <c r="Q162" s="195">
        <v>9</v>
      </c>
      <c r="R162" s="195">
        <v>10</v>
      </c>
      <c r="S162" s="195">
        <v>6</v>
      </c>
      <c r="T162" s="195">
        <v>9</v>
      </c>
      <c r="U162" s="195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6" t="s">
        <v>29</v>
      </c>
      <c r="L163" s="196" t="s">
        <v>81</v>
      </c>
      <c r="M163" s="196" t="s">
        <v>97</v>
      </c>
      <c r="N163" s="196" t="s">
        <v>28</v>
      </c>
      <c r="O163" s="196" t="s">
        <v>97</v>
      </c>
      <c r="Q163" s="195">
        <v>8</v>
      </c>
      <c r="R163" s="195">
        <v>13</v>
      </c>
      <c r="S163" s="195">
        <v>6</v>
      </c>
      <c r="T163" s="195">
        <v>9</v>
      </c>
      <c r="U163" s="195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5">
        <v>160</v>
      </c>
      <c r="K164" s="196" t="s">
        <v>29</v>
      </c>
      <c r="L164" s="196" t="s">
        <v>16</v>
      </c>
      <c r="M164" s="196" t="s">
        <v>13</v>
      </c>
      <c r="N164" s="196" t="s">
        <v>30</v>
      </c>
      <c r="O164" s="196" t="s">
        <v>29</v>
      </c>
      <c r="Q164" s="195">
        <v>8</v>
      </c>
      <c r="R164" s="195">
        <v>3</v>
      </c>
      <c r="S164" s="195">
        <v>5</v>
      </c>
      <c r="T164" s="195">
        <v>10</v>
      </c>
      <c r="U164" s="195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6" t="s">
        <v>13</v>
      </c>
      <c r="L165" s="196" t="s">
        <v>79</v>
      </c>
      <c r="M165" s="196" t="s">
        <v>15</v>
      </c>
      <c r="N165" s="196" t="s">
        <v>29</v>
      </c>
      <c r="O165" s="196" t="s">
        <v>30</v>
      </c>
      <c r="Q165" s="195">
        <v>5</v>
      </c>
      <c r="R165" s="195">
        <v>11</v>
      </c>
      <c r="S165" s="195">
        <v>2</v>
      </c>
      <c r="T165" s="195">
        <v>8</v>
      </c>
      <c r="U165" s="195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5">
        <v>162</v>
      </c>
      <c r="K166" s="196" t="s">
        <v>97</v>
      </c>
      <c r="L166" s="196" t="s">
        <v>12</v>
      </c>
      <c r="M166" s="196" t="s">
        <v>31</v>
      </c>
      <c r="N166" s="196" t="s">
        <v>29</v>
      </c>
      <c r="O166" s="196" t="s">
        <v>29</v>
      </c>
      <c r="Q166" s="195">
        <v>6</v>
      </c>
      <c r="R166" s="195">
        <v>4</v>
      </c>
      <c r="S166" s="195">
        <v>7</v>
      </c>
      <c r="T166" s="195">
        <v>8</v>
      </c>
      <c r="U166" s="195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6" t="s">
        <v>29</v>
      </c>
      <c r="L167" s="196" t="s">
        <v>16</v>
      </c>
      <c r="M167" s="196" t="s">
        <v>13</v>
      </c>
      <c r="N167" s="196" t="s">
        <v>13</v>
      </c>
      <c r="O167" s="196" t="s">
        <v>15</v>
      </c>
      <c r="Q167" s="195">
        <v>8</v>
      </c>
      <c r="R167" s="195">
        <v>3</v>
      </c>
      <c r="S167" s="195">
        <v>5</v>
      </c>
      <c r="T167" s="195">
        <v>5</v>
      </c>
      <c r="U167" s="195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5">
        <v>164</v>
      </c>
      <c r="K168" s="196" t="s">
        <v>31</v>
      </c>
      <c r="L168" s="196" t="s">
        <v>81</v>
      </c>
      <c r="M168" s="196" t="s">
        <v>97</v>
      </c>
      <c r="N168" s="196" t="s">
        <v>15</v>
      </c>
      <c r="O168" s="196" t="s">
        <v>28</v>
      </c>
      <c r="Q168" s="195">
        <v>7</v>
      </c>
      <c r="R168" s="195">
        <v>13</v>
      </c>
      <c r="S168" s="195">
        <v>6</v>
      </c>
      <c r="T168" s="195">
        <v>2</v>
      </c>
      <c r="U168" s="195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6" t="s">
        <v>31</v>
      </c>
      <c r="L169" s="196" t="s">
        <v>28</v>
      </c>
      <c r="M169" s="196" t="s">
        <v>97</v>
      </c>
      <c r="N169" s="196" t="s">
        <v>15</v>
      </c>
      <c r="O169" s="196" t="s">
        <v>12</v>
      </c>
      <c r="Q169" s="195">
        <v>7</v>
      </c>
      <c r="R169" s="195">
        <v>9</v>
      </c>
      <c r="S169" s="195">
        <v>6</v>
      </c>
      <c r="T169" s="195">
        <v>2</v>
      </c>
      <c r="U169" s="195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5">
        <v>166</v>
      </c>
      <c r="K170" s="196" t="s">
        <v>31</v>
      </c>
      <c r="L170" s="196" t="s">
        <v>15</v>
      </c>
      <c r="M170" s="196" t="s">
        <v>97</v>
      </c>
      <c r="N170" s="196" t="s">
        <v>13</v>
      </c>
      <c r="O170" s="196" t="s">
        <v>16</v>
      </c>
      <c r="Q170" s="195">
        <v>7</v>
      </c>
      <c r="R170" s="195">
        <v>2</v>
      </c>
      <c r="S170" s="195">
        <v>6</v>
      </c>
      <c r="T170" s="195">
        <v>5</v>
      </c>
      <c r="U170" s="195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6" t="s">
        <v>29</v>
      </c>
      <c r="L171" s="196" t="s">
        <v>29</v>
      </c>
      <c r="M171" s="196" t="s">
        <v>13</v>
      </c>
      <c r="N171" s="196" t="s">
        <v>15</v>
      </c>
      <c r="O171" s="196" t="s">
        <v>29</v>
      </c>
      <c r="Q171" s="195">
        <v>8</v>
      </c>
      <c r="R171" s="195">
        <v>8</v>
      </c>
      <c r="S171" s="195">
        <v>5</v>
      </c>
      <c r="T171" s="195">
        <v>2</v>
      </c>
      <c r="U171" s="195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5">
        <v>168</v>
      </c>
      <c r="K172" s="196" t="s">
        <v>31</v>
      </c>
      <c r="L172" s="196" t="s">
        <v>80</v>
      </c>
      <c r="M172" s="196" t="s">
        <v>97</v>
      </c>
      <c r="N172" s="196" t="s">
        <v>97</v>
      </c>
      <c r="O172" s="196" t="s">
        <v>15</v>
      </c>
      <c r="Q172" s="195">
        <v>7</v>
      </c>
      <c r="R172" s="195">
        <v>12</v>
      </c>
      <c r="S172" s="195">
        <v>6</v>
      </c>
      <c r="T172" s="195">
        <v>6</v>
      </c>
      <c r="U172" s="195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6" t="s">
        <v>13</v>
      </c>
      <c r="L173" s="196" t="s">
        <v>28</v>
      </c>
      <c r="M173" s="196" t="s">
        <v>13</v>
      </c>
      <c r="N173" s="196" t="s">
        <v>16</v>
      </c>
      <c r="O173" s="196" t="s">
        <v>12</v>
      </c>
      <c r="Q173" s="195">
        <v>5</v>
      </c>
      <c r="R173" s="195">
        <v>9</v>
      </c>
      <c r="S173" s="195">
        <v>5</v>
      </c>
      <c r="T173" s="195">
        <v>3</v>
      </c>
      <c r="U173" s="195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5">
        <v>170</v>
      </c>
      <c r="K174" s="196" t="s">
        <v>97</v>
      </c>
      <c r="L174" s="196" t="s">
        <v>31</v>
      </c>
      <c r="M174" s="196" t="s">
        <v>14</v>
      </c>
      <c r="N174" s="196" t="s">
        <v>97</v>
      </c>
      <c r="O174" s="196" t="s">
        <v>31</v>
      </c>
      <c r="Q174" s="195">
        <v>6</v>
      </c>
      <c r="R174" s="195">
        <v>7</v>
      </c>
      <c r="S174" s="195">
        <v>1</v>
      </c>
      <c r="T174" s="195">
        <v>6</v>
      </c>
      <c r="U174" s="195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6" t="s">
        <v>31</v>
      </c>
      <c r="L175" s="196" t="s">
        <v>31</v>
      </c>
      <c r="M175" s="196" t="s">
        <v>29</v>
      </c>
      <c r="N175" s="196" t="s">
        <v>31</v>
      </c>
      <c r="O175" s="196" t="s">
        <v>29</v>
      </c>
      <c r="Q175" s="195">
        <v>7</v>
      </c>
      <c r="R175" s="195">
        <v>7</v>
      </c>
      <c r="S175" s="195">
        <v>8</v>
      </c>
      <c r="T175" s="195">
        <v>7</v>
      </c>
      <c r="U175" s="195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5">
        <v>172</v>
      </c>
      <c r="K176" s="196" t="s">
        <v>97</v>
      </c>
      <c r="L176" s="196" t="s">
        <v>12</v>
      </c>
      <c r="M176" s="196" t="s">
        <v>29</v>
      </c>
      <c r="N176" s="196" t="s">
        <v>82</v>
      </c>
      <c r="O176" s="196" t="s">
        <v>14</v>
      </c>
      <c r="Q176" s="195">
        <v>6</v>
      </c>
      <c r="R176" s="195">
        <v>4</v>
      </c>
      <c r="S176" s="195">
        <v>8</v>
      </c>
      <c r="T176" s="195">
        <v>14</v>
      </c>
      <c r="U176" s="195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6" t="s">
        <v>97</v>
      </c>
      <c r="L177" s="196" t="s">
        <v>81</v>
      </c>
      <c r="M177" s="196" t="s">
        <v>13</v>
      </c>
      <c r="N177" s="196" t="s">
        <v>86</v>
      </c>
      <c r="O177" s="196" t="s">
        <v>29</v>
      </c>
      <c r="Q177" s="195">
        <v>6</v>
      </c>
      <c r="R177" s="195">
        <v>13</v>
      </c>
      <c r="S177" s="195">
        <v>5</v>
      </c>
      <c r="T177" s="195">
        <v>18</v>
      </c>
      <c r="U177" s="195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5">
        <v>174</v>
      </c>
      <c r="K178" s="196" t="s">
        <v>97</v>
      </c>
      <c r="L178" s="196" t="s">
        <v>15</v>
      </c>
      <c r="M178" s="196" t="s">
        <v>29</v>
      </c>
      <c r="N178" s="196" t="s">
        <v>88</v>
      </c>
      <c r="O178" s="196" t="s">
        <v>29</v>
      </c>
      <c r="Q178" s="195">
        <v>6</v>
      </c>
      <c r="R178" s="195">
        <v>2</v>
      </c>
      <c r="S178" s="195">
        <v>8</v>
      </c>
      <c r="T178" s="195">
        <v>19</v>
      </c>
      <c r="U178" s="195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6" t="s">
        <v>14</v>
      </c>
      <c r="L179" s="196" t="s">
        <v>15</v>
      </c>
      <c r="M179" s="196" t="s">
        <v>13</v>
      </c>
      <c r="N179" s="196" t="s">
        <v>28</v>
      </c>
      <c r="O179" s="196" t="s">
        <v>31</v>
      </c>
      <c r="Q179" s="195">
        <v>1</v>
      </c>
      <c r="R179" s="195">
        <v>2</v>
      </c>
      <c r="S179" s="195">
        <v>5</v>
      </c>
      <c r="T179" s="195">
        <v>9</v>
      </c>
      <c r="U179" s="195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5">
        <v>176</v>
      </c>
      <c r="K180" s="196" t="s">
        <v>31</v>
      </c>
      <c r="L180" s="196" t="s">
        <v>15</v>
      </c>
      <c r="M180" s="196" t="s">
        <v>13</v>
      </c>
      <c r="N180" s="196" t="s">
        <v>13</v>
      </c>
      <c r="O180" s="196" t="s">
        <v>30</v>
      </c>
      <c r="Q180" s="195">
        <v>7</v>
      </c>
      <c r="R180" s="195">
        <v>2</v>
      </c>
      <c r="S180" s="195">
        <v>5</v>
      </c>
      <c r="T180" s="195">
        <v>5</v>
      </c>
      <c r="U180" s="195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6" t="s">
        <v>16</v>
      </c>
      <c r="L181" s="196" t="s">
        <v>79</v>
      </c>
      <c r="M181" s="196" t="s">
        <v>31</v>
      </c>
      <c r="N181" s="196" t="s">
        <v>15</v>
      </c>
      <c r="O181" s="196" t="s">
        <v>30</v>
      </c>
      <c r="Q181" s="195">
        <v>3</v>
      </c>
      <c r="R181" s="195">
        <v>11</v>
      </c>
      <c r="S181" s="195">
        <v>7</v>
      </c>
      <c r="T181" s="195">
        <v>2</v>
      </c>
      <c r="U181" s="195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5">
        <v>178</v>
      </c>
      <c r="K182" s="196" t="s">
        <v>13</v>
      </c>
      <c r="L182" s="196" t="s">
        <v>30</v>
      </c>
      <c r="M182" s="196" t="s">
        <v>29</v>
      </c>
      <c r="N182" s="196" t="s">
        <v>14</v>
      </c>
      <c r="O182" s="196" t="s">
        <v>29</v>
      </c>
      <c r="Q182" s="195">
        <v>5</v>
      </c>
      <c r="R182" s="195">
        <v>10</v>
      </c>
      <c r="S182" s="195">
        <v>8</v>
      </c>
      <c r="T182" s="195">
        <v>1</v>
      </c>
      <c r="U182" s="195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6" t="s">
        <v>13</v>
      </c>
      <c r="L183" s="196" t="s">
        <v>28</v>
      </c>
      <c r="M183" s="196" t="s">
        <v>97</v>
      </c>
      <c r="N183" s="196" t="s">
        <v>29</v>
      </c>
      <c r="O183" s="196" t="s">
        <v>97</v>
      </c>
      <c r="Q183" s="195">
        <v>5</v>
      </c>
      <c r="R183" s="195">
        <v>9</v>
      </c>
      <c r="S183" s="195">
        <v>6</v>
      </c>
      <c r="T183" s="195">
        <v>8</v>
      </c>
      <c r="U183" s="195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5">
        <v>180</v>
      </c>
      <c r="K184" s="196" t="s">
        <v>13</v>
      </c>
      <c r="L184" s="196" t="s">
        <v>98</v>
      </c>
      <c r="M184" s="196" t="s">
        <v>97</v>
      </c>
      <c r="N184" s="196" t="s">
        <v>16</v>
      </c>
      <c r="O184" s="196" t="s">
        <v>12</v>
      </c>
      <c r="Q184" s="195">
        <v>5</v>
      </c>
      <c r="R184" s="195">
        <v>15</v>
      </c>
      <c r="S184" s="195">
        <v>6</v>
      </c>
      <c r="T184" s="195">
        <v>3</v>
      </c>
      <c r="U184" s="195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6" t="s">
        <v>29</v>
      </c>
      <c r="L185" s="196" t="s">
        <v>95</v>
      </c>
      <c r="M185" s="196" t="s">
        <v>13</v>
      </c>
      <c r="N185" s="196" t="s">
        <v>16</v>
      </c>
      <c r="O185" s="196" t="s">
        <v>29</v>
      </c>
      <c r="Q185" s="195">
        <v>8</v>
      </c>
      <c r="R185" s="195">
        <v>17</v>
      </c>
      <c r="S185" s="195">
        <v>5</v>
      </c>
      <c r="T185" s="195">
        <v>3</v>
      </c>
      <c r="U185" s="195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5">
        <v>182</v>
      </c>
      <c r="K186" s="196" t="s">
        <v>13</v>
      </c>
      <c r="L186" s="196" t="s">
        <v>31</v>
      </c>
      <c r="M186" s="196" t="s">
        <v>31</v>
      </c>
      <c r="N186" s="196" t="s">
        <v>97</v>
      </c>
      <c r="O186" s="196" t="s">
        <v>29</v>
      </c>
      <c r="Q186" s="195">
        <v>5</v>
      </c>
      <c r="R186" s="195">
        <v>7</v>
      </c>
      <c r="S186" s="195">
        <v>7</v>
      </c>
      <c r="T186" s="195">
        <v>6</v>
      </c>
      <c r="U186" s="195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6" t="s">
        <v>29</v>
      </c>
      <c r="L187" s="196" t="s">
        <v>28</v>
      </c>
      <c r="M187" s="196" t="s">
        <v>13</v>
      </c>
      <c r="N187" s="196" t="s">
        <v>98</v>
      </c>
      <c r="O187" s="196" t="s">
        <v>28</v>
      </c>
      <c r="Q187" s="195">
        <v>8</v>
      </c>
      <c r="R187" s="195">
        <v>9</v>
      </c>
      <c r="S187" s="195">
        <v>5</v>
      </c>
      <c r="T187" s="195">
        <v>15</v>
      </c>
      <c r="U187" s="195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5">
        <v>184</v>
      </c>
      <c r="K188" s="196" t="s">
        <v>12</v>
      </c>
      <c r="L188" s="196" t="s">
        <v>81</v>
      </c>
      <c r="M188" s="196" t="s">
        <v>29</v>
      </c>
      <c r="N188" s="196" t="s">
        <v>28</v>
      </c>
      <c r="O188" s="196" t="s">
        <v>30</v>
      </c>
      <c r="Q188" s="195">
        <v>4</v>
      </c>
      <c r="R188" s="195">
        <v>13</v>
      </c>
      <c r="S188" s="195">
        <v>8</v>
      </c>
      <c r="T188" s="195">
        <v>9</v>
      </c>
      <c r="U188" s="195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6" t="s">
        <v>29</v>
      </c>
      <c r="L189" s="196" t="s">
        <v>14</v>
      </c>
      <c r="M189" s="196" t="s">
        <v>13</v>
      </c>
      <c r="N189" s="196" t="s">
        <v>12</v>
      </c>
      <c r="O189" s="196" t="s">
        <v>29</v>
      </c>
      <c r="Q189" s="195">
        <v>8</v>
      </c>
      <c r="R189" s="195">
        <v>1</v>
      </c>
      <c r="S189" s="195">
        <v>5</v>
      </c>
      <c r="T189" s="195">
        <v>4</v>
      </c>
      <c r="U189" s="195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5">
        <v>186</v>
      </c>
      <c r="K190" s="196" t="s">
        <v>13</v>
      </c>
      <c r="L190" s="196" t="s">
        <v>86</v>
      </c>
      <c r="M190" s="196" t="s">
        <v>13</v>
      </c>
      <c r="N190" s="196" t="s">
        <v>14</v>
      </c>
      <c r="O190" s="196" t="s">
        <v>29</v>
      </c>
      <c r="Q190" s="195">
        <v>5</v>
      </c>
      <c r="R190" s="195">
        <v>18</v>
      </c>
      <c r="S190" s="195">
        <v>5</v>
      </c>
      <c r="T190" s="195">
        <v>1</v>
      </c>
      <c r="U190" s="195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6" t="s">
        <v>29</v>
      </c>
      <c r="L191" s="196" t="s">
        <v>15</v>
      </c>
      <c r="M191" s="196" t="s">
        <v>29</v>
      </c>
      <c r="N191" s="196" t="s">
        <v>97</v>
      </c>
      <c r="O191" s="196" t="s">
        <v>31</v>
      </c>
      <c r="Q191" s="195">
        <v>8</v>
      </c>
      <c r="R191" s="195">
        <v>2</v>
      </c>
      <c r="S191" s="195">
        <v>8</v>
      </c>
      <c r="T191" s="195">
        <v>6</v>
      </c>
      <c r="U191" s="195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5">
        <v>188</v>
      </c>
      <c r="K192" s="196" t="s">
        <v>97</v>
      </c>
      <c r="L192" s="196" t="s">
        <v>31</v>
      </c>
      <c r="M192" s="196" t="s">
        <v>29</v>
      </c>
      <c r="N192" s="196" t="s">
        <v>16</v>
      </c>
      <c r="O192" s="196" t="s">
        <v>31</v>
      </c>
      <c r="Q192" s="195">
        <v>6</v>
      </c>
      <c r="R192" s="195">
        <v>7</v>
      </c>
      <c r="S192" s="195">
        <v>8</v>
      </c>
      <c r="T192" s="195">
        <v>3</v>
      </c>
      <c r="U192" s="195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6" t="s">
        <v>13</v>
      </c>
      <c r="L193" s="196" t="s">
        <v>28</v>
      </c>
      <c r="M193" s="196" t="s">
        <v>31</v>
      </c>
      <c r="N193" s="196" t="s">
        <v>13</v>
      </c>
      <c r="O193" s="196" t="s">
        <v>28</v>
      </c>
      <c r="Q193" s="195">
        <v>5</v>
      </c>
      <c r="R193" s="195">
        <v>9</v>
      </c>
      <c r="S193" s="195">
        <v>7</v>
      </c>
      <c r="T193" s="195">
        <v>5</v>
      </c>
      <c r="U193" s="195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5">
        <v>190</v>
      </c>
      <c r="K194" s="196" t="s">
        <v>29</v>
      </c>
      <c r="L194" s="196" t="s">
        <v>81</v>
      </c>
      <c r="M194" s="196" t="s">
        <v>97</v>
      </c>
      <c r="N194" s="196" t="s">
        <v>13</v>
      </c>
      <c r="O194" s="196" t="s">
        <v>12</v>
      </c>
      <c r="Q194" s="195">
        <v>8</v>
      </c>
      <c r="R194" s="195">
        <v>13</v>
      </c>
      <c r="S194" s="195">
        <v>6</v>
      </c>
      <c r="T194" s="195">
        <v>5</v>
      </c>
      <c r="U194" s="195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6" t="s">
        <v>28</v>
      </c>
      <c r="L195" s="196" t="s">
        <v>97</v>
      </c>
      <c r="M195" s="196" t="s">
        <v>28</v>
      </c>
      <c r="N195" s="196" t="s">
        <v>88</v>
      </c>
      <c r="O195" s="196" t="s">
        <v>29</v>
      </c>
      <c r="Q195" s="195">
        <v>9</v>
      </c>
      <c r="R195" s="195">
        <v>6</v>
      </c>
      <c r="S195" s="195">
        <v>9</v>
      </c>
      <c r="T195" s="195">
        <v>19</v>
      </c>
      <c r="U195" s="195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5">
        <v>192</v>
      </c>
      <c r="K196" s="196" t="s">
        <v>13</v>
      </c>
      <c r="L196" s="196" t="s">
        <v>15</v>
      </c>
      <c r="M196" s="196" t="s">
        <v>13</v>
      </c>
      <c r="N196" s="196" t="s">
        <v>29</v>
      </c>
      <c r="O196" s="196" t="s">
        <v>97</v>
      </c>
      <c r="Q196" s="195">
        <v>5</v>
      </c>
      <c r="R196" s="195">
        <v>2</v>
      </c>
      <c r="S196" s="195">
        <v>5</v>
      </c>
      <c r="T196" s="195">
        <v>8</v>
      </c>
      <c r="U196" s="195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6" t="s">
        <v>29</v>
      </c>
      <c r="L197" s="196" t="s">
        <v>83</v>
      </c>
      <c r="M197" s="196" t="s">
        <v>31</v>
      </c>
      <c r="N197" s="196" t="s">
        <v>16</v>
      </c>
      <c r="O197" s="196" t="s">
        <v>29</v>
      </c>
      <c r="Q197" s="195">
        <v>8</v>
      </c>
      <c r="R197" s="195">
        <v>16</v>
      </c>
      <c r="S197" s="195">
        <v>7</v>
      </c>
      <c r="T197" s="195">
        <v>3</v>
      </c>
      <c r="U197" s="195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5">
        <v>194</v>
      </c>
      <c r="K198" s="196" t="s">
        <v>31</v>
      </c>
      <c r="L198" s="196" t="s">
        <v>12</v>
      </c>
      <c r="M198" s="196" t="s">
        <v>31</v>
      </c>
      <c r="N198" s="196" t="s">
        <v>30</v>
      </c>
      <c r="O198" s="196" t="s">
        <v>16</v>
      </c>
      <c r="Q198" s="195">
        <v>7</v>
      </c>
      <c r="R198" s="195">
        <v>4</v>
      </c>
      <c r="S198" s="195">
        <v>7</v>
      </c>
      <c r="T198" s="195">
        <v>10</v>
      </c>
      <c r="U198" s="195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6" t="s">
        <v>13</v>
      </c>
      <c r="L199" s="196" t="s">
        <v>28</v>
      </c>
      <c r="M199" s="196" t="s">
        <v>13</v>
      </c>
      <c r="N199" s="196" t="s">
        <v>13</v>
      </c>
      <c r="O199" s="196" t="s">
        <v>31</v>
      </c>
      <c r="Q199" s="195">
        <v>5</v>
      </c>
      <c r="R199" s="195">
        <v>9</v>
      </c>
      <c r="S199" s="195">
        <v>5</v>
      </c>
      <c r="T199" s="195">
        <v>5</v>
      </c>
      <c r="U199" s="195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5">
        <v>196</v>
      </c>
      <c r="K200" s="196" t="s">
        <v>97</v>
      </c>
      <c r="L200" s="196" t="s">
        <v>86</v>
      </c>
      <c r="M200" s="196" t="s">
        <v>29</v>
      </c>
      <c r="N200" s="196" t="s">
        <v>28</v>
      </c>
      <c r="O200" s="196" t="s">
        <v>31</v>
      </c>
      <c r="Q200" s="195">
        <v>6</v>
      </c>
      <c r="R200" s="195">
        <v>18</v>
      </c>
      <c r="S200" s="195">
        <v>8</v>
      </c>
      <c r="T200" s="195">
        <v>9</v>
      </c>
      <c r="U200" s="195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6" t="s">
        <v>13</v>
      </c>
      <c r="L201" s="196" t="s">
        <v>28</v>
      </c>
      <c r="M201" s="196" t="s">
        <v>97</v>
      </c>
      <c r="N201" s="196" t="s">
        <v>28</v>
      </c>
      <c r="O201" s="196" t="s">
        <v>97</v>
      </c>
      <c r="Q201" s="195">
        <v>5</v>
      </c>
      <c r="R201" s="195">
        <v>9</v>
      </c>
      <c r="S201" s="195">
        <v>6</v>
      </c>
      <c r="T201" s="195">
        <v>9</v>
      </c>
      <c r="U201" s="195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5">
        <v>198</v>
      </c>
      <c r="K202" s="196" t="s">
        <v>97</v>
      </c>
      <c r="L202" s="196" t="s">
        <v>13</v>
      </c>
      <c r="M202" s="196" t="s">
        <v>29</v>
      </c>
      <c r="N202" s="196" t="s">
        <v>98</v>
      </c>
      <c r="O202" s="196" t="s">
        <v>97</v>
      </c>
      <c r="Q202" s="195">
        <v>6</v>
      </c>
      <c r="R202" s="195">
        <v>5</v>
      </c>
      <c r="S202" s="195">
        <v>8</v>
      </c>
      <c r="T202" s="195">
        <v>15</v>
      </c>
      <c r="U202" s="195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6" t="s">
        <v>31</v>
      </c>
      <c r="L203" s="196" t="s">
        <v>80</v>
      </c>
      <c r="M203" s="196" t="s">
        <v>29</v>
      </c>
      <c r="N203" s="196" t="s">
        <v>80</v>
      </c>
      <c r="O203" s="196" t="s">
        <v>12</v>
      </c>
      <c r="Q203" s="195">
        <v>7</v>
      </c>
      <c r="R203" s="195">
        <v>12</v>
      </c>
      <c r="S203" s="195">
        <v>8</v>
      </c>
      <c r="T203" s="195">
        <v>12</v>
      </c>
      <c r="U203" s="195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5"/>
      <c r="K204" s="196"/>
      <c r="L204" s="196"/>
      <c r="M204" s="196"/>
      <c r="N204" s="196"/>
      <c r="O204" s="196"/>
      <c r="Q204" s="195"/>
      <c r="R204" s="195"/>
      <c r="S204" s="195"/>
      <c r="T204" s="195"/>
      <c r="U204" s="195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6"/>
      <c r="L205" s="196"/>
      <c r="M205" s="196"/>
      <c r="N205" s="196"/>
      <c r="O205" s="196"/>
      <c r="Q205" s="195"/>
      <c r="R205" s="195"/>
      <c r="S205" s="195"/>
      <c r="T205" s="195"/>
      <c r="U205" s="195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6"/>
      <c r="L206" s="196"/>
      <c r="M206" s="196"/>
      <c r="N206" s="196"/>
      <c r="O206" s="196"/>
      <c r="Q206" s="195"/>
      <c r="R206" s="195"/>
      <c r="S206" s="195"/>
      <c r="T206" s="195"/>
      <c r="U206" s="195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5"/>
      <c r="K207" s="196"/>
      <c r="L207" s="196"/>
      <c r="M207" s="196"/>
      <c r="N207" s="196"/>
      <c r="O207" s="196"/>
      <c r="Q207" s="195"/>
      <c r="R207" s="195"/>
      <c r="S207" s="195"/>
      <c r="T207" s="195"/>
      <c r="U207" s="195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6"/>
      <c r="L208" s="196"/>
      <c r="M208" s="196"/>
      <c r="N208" s="196"/>
      <c r="O208" s="196"/>
      <c r="Q208" s="195"/>
      <c r="R208" s="195"/>
      <c r="S208" s="195"/>
      <c r="T208" s="195"/>
      <c r="U208" s="195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5"/>
      <c r="K209" s="196"/>
      <c r="L209" s="196"/>
      <c r="M209" s="196"/>
      <c r="N209" s="196"/>
      <c r="O209" s="196"/>
      <c r="Q209" s="195"/>
      <c r="R209" s="195"/>
      <c r="S209" s="195"/>
      <c r="T209" s="195"/>
      <c r="U209" s="195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6"/>
      <c r="L210" s="196"/>
      <c r="M210" s="196"/>
      <c r="N210" s="196"/>
      <c r="O210" s="196"/>
      <c r="Q210" s="195"/>
      <c r="R210" s="195"/>
      <c r="S210" s="195"/>
      <c r="T210" s="195"/>
      <c r="U210" s="195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5"/>
      <c r="K211" s="196"/>
      <c r="L211" s="196"/>
      <c r="M211" s="196"/>
      <c r="N211" s="196"/>
      <c r="O211" s="196"/>
      <c r="Q211" s="195"/>
      <c r="R211" s="195"/>
      <c r="S211" s="195"/>
      <c r="T211" s="195"/>
      <c r="U211" s="195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201"/>
      <c r="L212" s="201"/>
      <c r="M212" s="201"/>
      <c r="N212" s="201"/>
      <c r="O212" s="201"/>
      <c r="Q212" s="195"/>
      <c r="R212" s="195"/>
      <c r="S212" s="195"/>
      <c r="T212" s="195"/>
      <c r="U212" s="195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5"/>
      <c r="K213" s="201"/>
      <c r="L213" s="201"/>
      <c r="M213" s="201"/>
      <c r="N213" s="201"/>
      <c r="O213" s="201"/>
      <c r="Q213" s="195"/>
      <c r="R213" s="195"/>
      <c r="S213" s="195"/>
      <c r="T213" s="195"/>
      <c r="U213" s="195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201"/>
      <c r="L214" s="201"/>
      <c r="M214" s="201"/>
      <c r="N214" s="201"/>
      <c r="O214" s="201"/>
      <c r="Q214" s="195"/>
      <c r="R214" s="195"/>
      <c r="S214" s="195"/>
      <c r="T214" s="195"/>
      <c r="U214" s="195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5"/>
      <c r="K215" s="201"/>
      <c r="L215" s="201"/>
      <c r="M215" s="201"/>
      <c r="N215" s="201"/>
      <c r="O215" s="201"/>
      <c r="Q215" s="195"/>
      <c r="R215" s="195"/>
      <c r="S215" s="195"/>
      <c r="T215" s="195"/>
      <c r="U215" s="195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201"/>
      <c r="L216" s="201"/>
      <c r="M216" s="201"/>
      <c r="N216" s="201"/>
      <c r="O216" s="201"/>
      <c r="Q216" s="195"/>
      <c r="R216" s="195"/>
      <c r="S216" s="195"/>
      <c r="T216" s="195"/>
      <c r="U216" s="195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5"/>
      <c r="K217" s="201"/>
      <c r="L217" s="201"/>
      <c r="M217" s="201"/>
      <c r="N217" s="201"/>
      <c r="O217" s="201"/>
      <c r="Q217" s="195"/>
      <c r="R217" s="195"/>
      <c r="S217" s="195"/>
      <c r="T217" s="195"/>
      <c r="U217" s="195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201"/>
      <c r="L218" s="201"/>
      <c r="M218" s="201"/>
      <c r="N218" s="201"/>
      <c r="O218" s="201"/>
      <c r="Q218" s="195"/>
      <c r="R218" s="195"/>
      <c r="S218" s="195"/>
      <c r="T218" s="195"/>
      <c r="U218" s="195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5"/>
      <c r="K219" s="201"/>
      <c r="L219" s="201"/>
      <c r="M219" s="201"/>
      <c r="N219" s="201"/>
      <c r="O219" s="201"/>
      <c r="Q219" s="195"/>
      <c r="R219" s="195"/>
      <c r="S219" s="195"/>
      <c r="T219" s="195"/>
      <c r="U219" s="195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201"/>
      <c r="L220" s="201"/>
      <c r="M220" s="201"/>
      <c r="N220" s="201"/>
      <c r="O220" s="201"/>
      <c r="Q220" s="195"/>
      <c r="R220" s="195"/>
      <c r="S220" s="195"/>
      <c r="T220" s="195"/>
      <c r="U220" s="195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5"/>
      <c r="K221" s="201"/>
      <c r="L221" s="201"/>
      <c r="M221" s="201"/>
      <c r="N221" s="201"/>
      <c r="O221" s="201"/>
      <c r="Q221" s="195"/>
      <c r="R221" s="195"/>
      <c r="S221" s="195"/>
      <c r="T221" s="195"/>
      <c r="U221" s="195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201"/>
      <c r="L222" s="201"/>
      <c r="M222" s="201"/>
      <c r="N222" s="201"/>
      <c r="O222" s="201"/>
      <c r="Q222" s="195"/>
      <c r="R222" s="195"/>
      <c r="S222" s="195"/>
      <c r="T222" s="195"/>
      <c r="U222" s="195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5"/>
      <c r="K223" s="201"/>
      <c r="L223" s="201"/>
      <c r="M223" s="201"/>
      <c r="N223" s="201"/>
      <c r="O223" s="201"/>
      <c r="Q223" s="195"/>
      <c r="R223" s="195"/>
      <c r="S223" s="195"/>
      <c r="T223" s="195"/>
      <c r="U223" s="195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201"/>
      <c r="L224" s="201"/>
      <c r="M224" s="201"/>
      <c r="N224" s="201"/>
      <c r="O224" s="201"/>
      <c r="Q224" s="195"/>
      <c r="R224" s="195"/>
      <c r="S224" s="195"/>
      <c r="T224" s="195"/>
      <c r="U224" s="195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5"/>
      <c r="K225" s="201"/>
      <c r="L225" s="201"/>
      <c r="M225" s="201"/>
      <c r="N225" s="201"/>
      <c r="O225" s="201"/>
      <c r="Q225" s="195"/>
      <c r="R225" s="195"/>
      <c r="S225" s="195"/>
      <c r="T225" s="195"/>
      <c r="U225" s="195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201"/>
      <c r="L226" s="201"/>
      <c r="M226" s="201"/>
      <c r="N226" s="201"/>
      <c r="O226" s="201"/>
      <c r="Q226" s="195"/>
      <c r="R226" s="195"/>
      <c r="S226" s="195"/>
      <c r="T226" s="195"/>
      <c r="U226" s="195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5"/>
      <c r="K227" s="201"/>
      <c r="L227" s="201"/>
      <c r="M227" s="201"/>
      <c r="N227" s="201"/>
      <c r="O227" s="201"/>
      <c r="Q227" s="195"/>
      <c r="R227" s="195"/>
      <c r="S227" s="195"/>
      <c r="T227" s="195"/>
      <c r="U227" s="195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201"/>
      <c r="L228" s="201"/>
      <c r="M228" s="201"/>
      <c r="N228" s="201"/>
      <c r="O228" s="201"/>
      <c r="Q228" s="195"/>
      <c r="R228" s="195"/>
      <c r="S228" s="195"/>
      <c r="T228" s="195"/>
      <c r="U228" s="195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5"/>
      <c r="K229" s="201"/>
      <c r="L229" s="201"/>
      <c r="M229" s="201"/>
      <c r="N229" s="201"/>
      <c r="O229" s="201"/>
      <c r="Q229" s="195"/>
      <c r="R229" s="195"/>
      <c r="S229" s="195"/>
      <c r="T229" s="195"/>
      <c r="U229" s="195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201"/>
      <c r="L230" s="201"/>
      <c r="M230" s="201"/>
      <c r="N230" s="201"/>
      <c r="O230" s="201"/>
      <c r="Q230" s="195"/>
      <c r="R230" s="195"/>
      <c r="S230" s="195"/>
      <c r="T230" s="195"/>
      <c r="U230" s="195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5"/>
      <c r="K231" s="201"/>
      <c r="L231" s="201"/>
      <c r="M231" s="201"/>
      <c r="N231" s="201"/>
      <c r="O231" s="201"/>
      <c r="Q231" s="195"/>
      <c r="R231" s="195"/>
      <c r="S231" s="195"/>
      <c r="T231" s="195"/>
      <c r="U231" s="195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201"/>
      <c r="L232" s="201"/>
      <c r="M232" s="201"/>
      <c r="N232" s="201"/>
      <c r="O232" s="201"/>
      <c r="Q232" s="195"/>
      <c r="R232" s="195"/>
      <c r="S232" s="195"/>
      <c r="T232" s="195"/>
      <c r="U232" s="195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5"/>
      <c r="K233" s="201"/>
      <c r="L233" s="201"/>
      <c r="M233" s="201"/>
      <c r="N233" s="201"/>
      <c r="O233" s="201"/>
      <c r="Q233" s="195"/>
      <c r="R233" s="195"/>
      <c r="S233" s="195"/>
      <c r="T233" s="195"/>
      <c r="U233" s="195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201"/>
      <c r="L234" s="201"/>
      <c r="M234" s="201"/>
      <c r="N234" s="201"/>
      <c r="O234" s="201"/>
      <c r="Q234" s="195"/>
      <c r="R234" s="195"/>
      <c r="S234" s="195"/>
      <c r="T234" s="195"/>
      <c r="U234" s="195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5"/>
      <c r="K235" s="201"/>
      <c r="L235" s="201"/>
      <c r="M235" s="201"/>
      <c r="N235" s="201"/>
      <c r="O235" s="201"/>
      <c r="Q235" s="195"/>
      <c r="R235" s="195"/>
      <c r="S235" s="195"/>
      <c r="T235" s="195"/>
      <c r="U235" s="195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201"/>
      <c r="L236" s="201"/>
      <c r="M236" s="201"/>
      <c r="N236" s="201"/>
      <c r="O236" s="201"/>
      <c r="Q236" s="195"/>
      <c r="R236" s="195"/>
      <c r="S236" s="195"/>
      <c r="T236" s="195"/>
      <c r="U236" s="195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5"/>
      <c r="K237" s="201"/>
      <c r="L237" s="201"/>
      <c r="M237" s="201"/>
      <c r="N237" s="201"/>
      <c r="O237" s="201"/>
      <c r="Q237" s="195"/>
      <c r="R237" s="195"/>
      <c r="S237" s="195"/>
      <c r="T237" s="195"/>
      <c r="U237" s="195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201"/>
      <c r="L238" s="201"/>
      <c r="M238" s="201"/>
      <c r="N238" s="201"/>
      <c r="O238" s="201"/>
      <c r="Q238" s="195"/>
      <c r="R238" s="195"/>
      <c r="S238" s="195"/>
      <c r="T238" s="195"/>
      <c r="U238" s="195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5"/>
      <c r="K239" s="201"/>
      <c r="L239" s="201"/>
      <c r="M239" s="201"/>
      <c r="N239" s="201"/>
      <c r="O239" s="201"/>
      <c r="Q239" s="195"/>
      <c r="R239" s="195"/>
      <c r="S239" s="195"/>
      <c r="T239" s="195"/>
      <c r="U239" s="195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201"/>
      <c r="L240" s="201"/>
      <c r="M240" s="201"/>
      <c r="N240" s="201"/>
      <c r="O240" s="201"/>
      <c r="Q240" s="195"/>
      <c r="R240" s="195"/>
      <c r="S240" s="195"/>
      <c r="T240" s="195"/>
      <c r="U240" s="195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5"/>
      <c r="K241" s="201"/>
      <c r="L241" s="201"/>
      <c r="M241" s="201"/>
      <c r="N241" s="201"/>
      <c r="O241" s="201"/>
      <c r="Q241" s="195"/>
      <c r="R241" s="195"/>
      <c r="S241" s="195"/>
      <c r="T241" s="195"/>
      <c r="U241" s="195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201"/>
      <c r="L242" s="201"/>
      <c r="M242" s="201"/>
      <c r="N242" s="201"/>
      <c r="O242" s="201"/>
      <c r="Q242" s="195"/>
      <c r="R242" s="195"/>
      <c r="S242" s="195"/>
      <c r="T242" s="195"/>
      <c r="U242" s="195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5"/>
      <c r="K243" s="201"/>
      <c r="L243" s="201"/>
      <c r="M243" s="201"/>
      <c r="N243" s="201"/>
      <c r="O243" s="201"/>
      <c r="Q243" s="195"/>
      <c r="R243" s="195"/>
      <c r="S243" s="195"/>
      <c r="T243" s="195"/>
      <c r="U243" s="195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201"/>
      <c r="L244" s="201"/>
      <c r="M244" s="201"/>
      <c r="N244" s="201"/>
      <c r="O244" s="201"/>
      <c r="Q244" s="195"/>
      <c r="R244" s="195"/>
      <c r="S244" s="195"/>
      <c r="T244" s="195"/>
      <c r="U244" s="195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5"/>
      <c r="K245" s="201"/>
      <c r="L245" s="201"/>
      <c r="M245" s="201"/>
      <c r="N245" s="201"/>
      <c r="O245" s="201"/>
      <c r="Q245" s="195"/>
      <c r="R245" s="195"/>
      <c r="S245" s="195"/>
      <c r="T245" s="195"/>
      <c r="U245" s="195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201"/>
      <c r="L246" s="201"/>
      <c r="M246" s="201"/>
      <c r="N246" s="201"/>
      <c r="O246" s="201"/>
      <c r="Q246" s="195"/>
      <c r="R246" s="195"/>
      <c r="S246" s="195"/>
      <c r="T246" s="195"/>
      <c r="U246" s="195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5"/>
      <c r="K247" s="201"/>
      <c r="L247" s="201"/>
      <c r="M247" s="201"/>
      <c r="N247" s="201"/>
      <c r="O247" s="201"/>
      <c r="Q247" s="195"/>
      <c r="R247" s="195"/>
      <c r="S247" s="195"/>
      <c r="T247" s="195"/>
      <c r="U247" s="195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201"/>
      <c r="L248" s="201"/>
      <c r="M248" s="201"/>
      <c r="N248" s="201"/>
      <c r="O248" s="201"/>
      <c r="Q248" s="195"/>
      <c r="R248" s="195"/>
      <c r="S248" s="195"/>
      <c r="T248" s="195"/>
      <c r="U248" s="195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5"/>
      <c r="K249" s="201"/>
      <c r="L249" s="201"/>
      <c r="M249" s="201"/>
      <c r="N249" s="201"/>
      <c r="O249" s="201"/>
      <c r="Q249" s="195"/>
      <c r="R249" s="195"/>
      <c r="S249" s="195"/>
      <c r="T249" s="195"/>
      <c r="U249" s="195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201"/>
      <c r="L250" s="201"/>
      <c r="M250" s="201"/>
      <c r="N250" s="201"/>
      <c r="O250" s="201"/>
      <c r="Q250" s="195"/>
      <c r="R250" s="195"/>
      <c r="S250" s="195"/>
      <c r="T250" s="195"/>
      <c r="U250" s="195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5"/>
      <c r="K251" s="201"/>
      <c r="L251" s="201"/>
      <c r="M251" s="201"/>
      <c r="N251" s="201"/>
      <c r="O251" s="201"/>
      <c r="Q251" s="195"/>
      <c r="R251" s="195"/>
      <c r="S251" s="195"/>
      <c r="T251" s="195"/>
      <c r="U251" s="195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201"/>
      <c r="L252" s="201"/>
      <c r="M252" s="201"/>
      <c r="N252" s="201"/>
      <c r="O252" s="201"/>
      <c r="Q252" s="195"/>
      <c r="R252" s="195"/>
      <c r="S252" s="195"/>
      <c r="T252" s="195"/>
      <c r="U252" s="195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5"/>
      <c r="K253" s="201"/>
      <c r="L253" s="201"/>
      <c r="M253" s="201"/>
      <c r="N253" s="201"/>
      <c r="O253" s="201"/>
      <c r="Q253" s="195"/>
      <c r="R253" s="195"/>
      <c r="S253" s="195"/>
      <c r="T253" s="195"/>
      <c r="U253" s="195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201"/>
      <c r="L254" s="201"/>
      <c r="M254" s="201"/>
      <c r="N254" s="201"/>
      <c r="O254" s="201"/>
      <c r="Q254" s="195"/>
      <c r="R254" s="195"/>
      <c r="S254" s="195"/>
      <c r="T254" s="195"/>
      <c r="U254" s="195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5"/>
      <c r="K255" s="201"/>
      <c r="L255" s="201"/>
      <c r="M255" s="201"/>
      <c r="N255" s="201"/>
      <c r="O255" s="201"/>
      <c r="Q255" s="195"/>
      <c r="R255" s="195"/>
      <c r="S255" s="195"/>
      <c r="T255" s="195"/>
      <c r="U255" s="195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201"/>
      <c r="L256" s="201"/>
      <c r="M256" s="201"/>
      <c r="N256" s="201"/>
      <c r="O256" s="201"/>
      <c r="Q256" s="195"/>
      <c r="R256" s="195"/>
      <c r="S256" s="195"/>
      <c r="T256" s="195"/>
      <c r="U256" s="195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5"/>
      <c r="K257" s="201"/>
      <c r="L257" s="201"/>
      <c r="M257" s="201"/>
      <c r="N257" s="201"/>
      <c r="O257" s="201"/>
      <c r="Q257" s="195"/>
      <c r="R257" s="195"/>
      <c r="S257" s="195"/>
      <c r="T257" s="195"/>
      <c r="U257" s="195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201"/>
      <c r="L258" s="201"/>
      <c r="M258" s="201"/>
      <c r="N258" s="201"/>
      <c r="O258" s="201"/>
      <c r="Q258" s="195"/>
      <c r="R258" s="195"/>
      <c r="S258" s="195"/>
      <c r="T258" s="195"/>
      <c r="U258" s="195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5"/>
      <c r="K259" s="201"/>
      <c r="L259" s="201"/>
      <c r="M259" s="201"/>
      <c r="N259" s="201"/>
      <c r="O259" s="201"/>
      <c r="Q259" s="195"/>
      <c r="R259" s="195"/>
      <c r="S259" s="195"/>
      <c r="T259" s="195"/>
      <c r="U259" s="195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201"/>
      <c r="L260" s="201"/>
      <c r="M260" s="201"/>
      <c r="N260" s="201"/>
      <c r="O260" s="201"/>
      <c r="Q260" s="195"/>
      <c r="R260" s="195"/>
      <c r="S260" s="195"/>
      <c r="T260" s="195"/>
      <c r="U260" s="195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5"/>
      <c r="K261" s="201"/>
      <c r="L261" s="201"/>
      <c r="M261" s="201"/>
      <c r="N261" s="201"/>
      <c r="O261" s="201"/>
      <c r="Q261" s="195"/>
      <c r="R261" s="195"/>
      <c r="S261" s="195"/>
      <c r="T261" s="195"/>
      <c r="U261" s="195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201"/>
      <c r="L262" s="201"/>
      <c r="M262" s="201"/>
      <c r="N262" s="201"/>
      <c r="O262" s="201"/>
      <c r="Q262" s="195"/>
      <c r="R262" s="195"/>
      <c r="S262" s="195"/>
      <c r="T262" s="195"/>
      <c r="U262" s="195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5"/>
      <c r="K263" s="201"/>
      <c r="L263" s="201"/>
      <c r="M263" s="201"/>
      <c r="N263" s="201"/>
      <c r="O263" s="201"/>
      <c r="Q263" s="195"/>
      <c r="R263" s="195"/>
      <c r="S263" s="195"/>
      <c r="T263" s="195"/>
      <c r="U263" s="195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201"/>
      <c r="L264" s="201"/>
      <c r="M264" s="201"/>
      <c r="N264" s="201"/>
      <c r="O264" s="201"/>
      <c r="Q264" s="195"/>
      <c r="R264" s="195"/>
      <c r="S264" s="195"/>
      <c r="T264" s="195"/>
      <c r="U264" s="195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5"/>
      <c r="K265" s="201"/>
      <c r="L265" s="201"/>
      <c r="M265" s="201"/>
      <c r="N265" s="201"/>
      <c r="O265" s="201"/>
      <c r="Q265" s="195"/>
      <c r="R265" s="195"/>
      <c r="S265" s="195"/>
      <c r="T265" s="195"/>
      <c r="U265" s="195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201"/>
      <c r="L266" s="201"/>
      <c r="M266" s="201"/>
      <c r="N266" s="201"/>
      <c r="O266" s="201"/>
      <c r="Q266" s="195"/>
      <c r="R266" s="195"/>
      <c r="S266" s="195"/>
      <c r="T266" s="195"/>
      <c r="U266" s="195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5"/>
      <c r="K267" s="201"/>
      <c r="L267" s="201"/>
      <c r="M267" s="201"/>
      <c r="N267" s="201"/>
      <c r="O267" s="201"/>
      <c r="Q267" s="195"/>
      <c r="R267" s="195"/>
      <c r="S267" s="195"/>
      <c r="T267" s="195"/>
      <c r="U267" s="195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201"/>
      <c r="L268" s="201"/>
      <c r="M268" s="201"/>
      <c r="N268" s="201"/>
      <c r="O268" s="201"/>
      <c r="Q268" s="195"/>
      <c r="R268" s="195"/>
      <c r="S268" s="195"/>
      <c r="T268" s="195"/>
      <c r="U268" s="195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5"/>
      <c r="K269" s="201"/>
      <c r="L269" s="201"/>
      <c r="M269" s="201"/>
      <c r="N269" s="201"/>
      <c r="O269" s="201"/>
      <c r="Q269" s="195"/>
      <c r="R269" s="195"/>
      <c r="S269" s="195"/>
      <c r="T269" s="195"/>
      <c r="U269" s="195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201"/>
      <c r="L270" s="201"/>
      <c r="M270" s="201"/>
      <c r="N270" s="201"/>
      <c r="O270" s="201"/>
      <c r="Q270" s="195"/>
      <c r="R270" s="195"/>
      <c r="S270" s="195"/>
      <c r="T270" s="195"/>
      <c r="U270" s="195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5"/>
      <c r="K271" s="201"/>
      <c r="L271" s="201"/>
      <c r="M271" s="201"/>
      <c r="N271" s="201"/>
      <c r="O271" s="201"/>
      <c r="Q271" s="195"/>
      <c r="R271" s="195"/>
      <c r="S271" s="195"/>
      <c r="T271" s="195"/>
      <c r="U271" s="195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201"/>
      <c r="L272" s="201"/>
      <c r="M272" s="201"/>
      <c r="N272" s="201"/>
      <c r="O272" s="201"/>
      <c r="Q272" s="195"/>
      <c r="R272" s="195"/>
      <c r="S272" s="195"/>
      <c r="T272" s="195"/>
      <c r="U272" s="195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5"/>
      <c r="K273" s="201"/>
      <c r="L273" s="201"/>
      <c r="M273" s="201"/>
      <c r="N273" s="201"/>
      <c r="O273" s="201"/>
      <c r="Q273" s="195"/>
      <c r="R273" s="195"/>
      <c r="S273" s="195"/>
      <c r="T273" s="195"/>
      <c r="U273" s="195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201"/>
      <c r="L274" s="201"/>
      <c r="M274" s="201"/>
      <c r="N274" s="201"/>
      <c r="O274" s="201"/>
      <c r="Q274" s="195"/>
      <c r="R274" s="195"/>
      <c r="S274" s="195"/>
      <c r="T274" s="195"/>
      <c r="U274" s="195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5"/>
      <c r="K275" s="201"/>
      <c r="L275" s="201"/>
      <c r="M275" s="201"/>
      <c r="N275" s="201"/>
      <c r="O275" s="201"/>
      <c r="Q275" s="195"/>
      <c r="R275" s="195"/>
      <c r="S275" s="195"/>
      <c r="T275" s="195"/>
      <c r="U275" s="195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201"/>
      <c r="L276" s="201"/>
      <c r="M276" s="201"/>
      <c r="N276" s="201"/>
      <c r="O276" s="201"/>
      <c r="Q276" s="195"/>
      <c r="R276" s="195"/>
      <c r="S276" s="195"/>
      <c r="T276" s="195"/>
      <c r="U276" s="195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5"/>
      <c r="K277" s="201"/>
      <c r="L277" s="201"/>
      <c r="M277" s="201"/>
      <c r="N277" s="201"/>
      <c r="O277" s="201"/>
      <c r="Q277" s="195"/>
      <c r="R277" s="195"/>
      <c r="S277" s="195"/>
      <c r="T277" s="195"/>
      <c r="U277" s="195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201"/>
      <c r="L278" s="201"/>
      <c r="M278" s="201"/>
      <c r="N278" s="201"/>
      <c r="O278" s="201"/>
      <c r="Q278" s="195"/>
      <c r="R278" s="195"/>
      <c r="S278" s="195"/>
      <c r="T278" s="195"/>
      <c r="U278" s="195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5"/>
      <c r="K279" s="201"/>
      <c r="L279" s="201"/>
      <c r="M279" s="201"/>
      <c r="N279" s="201"/>
      <c r="O279" s="201"/>
      <c r="Q279" s="195"/>
      <c r="R279" s="195"/>
      <c r="S279" s="195"/>
      <c r="T279" s="195"/>
      <c r="U279" s="195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201"/>
      <c r="L280" s="201"/>
      <c r="M280" s="201"/>
      <c r="N280" s="201"/>
      <c r="O280" s="201"/>
      <c r="Q280" s="195"/>
      <c r="R280" s="195"/>
      <c r="S280" s="195"/>
      <c r="T280" s="195"/>
      <c r="U280" s="195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5"/>
      <c r="K281" s="201"/>
      <c r="L281" s="201"/>
      <c r="M281" s="201"/>
      <c r="N281" s="201"/>
      <c r="O281" s="201"/>
      <c r="Q281" s="195"/>
      <c r="R281" s="195"/>
      <c r="S281" s="195"/>
      <c r="T281" s="195"/>
      <c r="U281" s="195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201"/>
      <c r="L282" s="201"/>
      <c r="M282" s="201"/>
      <c r="N282" s="201"/>
      <c r="O282" s="201"/>
      <c r="Q282" s="195"/>
      <c r="R282" s="195"/>
      <c r="S282" s="195"/>
      <c r="T282" s="195"/>
      <c r="U282" s="195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5"/>
      <c r="K283" s="201"/>
      <c r="L283" s="201"/>
      <c r="M283" s="201"/>
      <c r="N283" s="201"/>
      <c r="O283" s="201"/>
      <c r="Q283" s="195"/>
      <c r="R283" s="195"/>
      <c r="S283" s="195"/>
      <c r="T283" s="195"/>
      <c r="U283" s="195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201"/>
      <c r="L284" s="201"/>
      <c r="M284" s="201"/>
      <c r="N284" s="201"/>
      <c r="O284" s="201"/>
      <c r="Q284" s="195"/>
      <c r="R284" s="195"/>
      <c r="S284" s="195"/>
      <c r="T284" s="195"/>
      <c r="U284" s="195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5"/>
      <c r="K285" s="201"/>
      <c r="L285" s="201"/>
      <c r="M285" s="201"/>
      <c r="N285" s="201"/>
      <c r="O285" s="201"/>
      <c r="Q285" s="195"/>
      <c r="R285" s="195"/>
      <c r="S285" s="195"/>
      <c r="T285" s="195"/>
      <c r="U285" s="195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201"/>
      <c r="L286" s="201"/>
      <c r="M286" s="201"/>
      <c r="N286" s="201"/>
      <c r="O286" s="201"/>
      <c r="Q286" s="195"/>
      <c r="R286" s="195"/>
      <c r="S286" s="195"/>
      <c r="T286" s="195"/>
      <c r="U286" s="195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5"/>
      <c r="K287" s="201"/>
      <c r="L287" s="201"/>
      <c r="M287" s="201"/>
      <c r="N287" s="201"/>
      <c r="O287" s="201"/>
      <c r="Q287" s="195"/>
      <c r="R287" s="195"/>
      <c r="S287" s="195"/>
      <c r="T287" s="195"/>
      <c r="U287" s="195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201"/>
      <c r="L288" s="201"/>
      <c r="M288" s="201"/>
      <c r="N288" s="201"/>
      <c r="O288" s="201"/>
      <c r="Q288" s="195"/>
      <c r="R288" s="195"/>
      <c r="S288" s="195"/>
      <c r="T288" s="195"/>
      <c r="U288" s="195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5"/>
      <c r="K289" s="201"/>
      <c r="L289" s="201"/>
      <c r="M289" s="201"/>
      <c r="N289" s="201"/>
      <c r="O289" s="201"/>
      <c r="Q289" s="195"/>
      <c r="R289" s="195"/>
      <c r="S289" s="195"/>
      <c r="T289" s="195"/>
      <c r="U289" s="195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201"/>
      <c r="L290" s="201"/>
      <c r="M290" s="201"/>
      <c r="N290" s="201"/>
      <c r="O290" s="201"/>
      <c r="Q290" s="195"/>
      <c r="R290" s="195"/>
      <c r="S290" s="195"/>
      <c r="T290" s="195"/>
      <c r="U290" s="195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5"/>
      <c r="K291" s="201"/>
      <c r="L291" s="201"/>
      <c r="M291" s="201"/>
      <c r="N291" s="201"/>
      <c r="O291" s="201"/>
      <c r="Q291" s="195"/>
      <c r="R291" s="195"/>
      <c r="S291" s="195"/>
      <c r="T291" s="195"/>
      <c r="U291" s="195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201"/>
      <c r="L292" s="201"/>
      <c r="M292" s="201"/>
      <c r="N292" s="201"/>
      <c r="O292" s="201"/>
      <c r="Q292" s="195"/>
      <c r="R292" s="195"/>
      <c r="S292" s="195"/>
      <c r="T292" s="195"/>
      <c r="U292" s="195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5"/>
      <c r="K293" s="201"/>
      <c r="L293" s="201"/>
      <c r="M293" s="201"/>
      <c r="N293" s="201"/>
      <c r="O293" s="201"/>
      <c r="Q293" s="195"/>
      <c r="R293" s="195"/>
      <c r="S293" s="195"/>
      <c r="T293" s="195"/>
      <c r="U293" s="195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5"/>
      <c r="K294" s="201"/>
      <c r="L294" s="201"/>
      <c r="M294" s="201"/>
      <c r="N294" s="201"/>
      <c r="O294" s="201"/>
      <c r="Q294" s="195"/>
      <c r="R294" s="195"/>
      <c r="S294" s="195"/>
      <c r="T294" s="195"/>
      <c r="U294" s="195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5"/>
      <c r="K295" s="201"/>
      <c r="L295" s="201"/>
      <c r="M295" s="201"/>
      <c r="N295" s="201"/>
      <c r="O295" s="201"/>
      <c r="Q295" s="195"/>
      <c r="R295" s="195"/>
      <c r="S295" s="195"/>
      <c r="T295" s="195"/>
      <c r="U295" s="195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5"/>
      <c r="K296" s="201"/>
      <c r="L296" s="201"/>
      <c r="M296" s="201"/>
      <c r="N296" s="201"/>
      <c r="O296" s="201"/>
      <c r="Q296" s="195"/>
      <c r="R296" s="195"/>
      <c r="S296" s="195"/>
      <c r="T296" s="195"/>
      <c r="U296" s="195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5"/>
      <c r="K297" s="201"/>
      <c r="L297" s="201"/>
      <c r="M297" s="201"/>
      <c r="N297" s="201"/>
      <c r="O297" s="201"/>
      <c r="Q297" s="195"/>
      <c r="R297" s="195"/>
      <c r="S297" s="195"/>
      <c r="T297" s="195"/>
      <c r="U297" s="195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5"/>
      <c r="K298" s="201"/>
      <c r="L298" s="201"/>
      <c r="M298" s="201"/>
      <c r="N298" s="201"/>
      <c r="O298" s="201"/>
      <c r="Q298" s="195"/>
      <c r="R298" s="195"/>
      <c r="S298" s="195"/>
      <c r="T298" s="195"/>
      <c r="U298" s="195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5"/>
      <c r="K299" s="201"/>
      <c r="L299" s="201"/>
      <c r="M299" s="201"/>
      <c r="N299" s="201"/>
      <c r="O299" s="201"/>
      <c r="Q299" s="195"/>
      <c r="R299" s="195"/>
      <c r="S299" s="195"/>
      <c r="T299" s="195"/>
      <c r="U299" s="195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5"/>
      <c r="K300" s="201"/>
      <c r="L300" s="201"/>
      <c r="M300" s="201"/>
      <c r="N300" s="201"/>
      <c r="O300" s="201"/>
      <c r="Q300" s="195"/>
      <c r="R300" s="195"/>
      <c r="S300" s="195"/>
      <c r="T300" s="195"/>
      <c r="U300" s="195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5"/>
      <c r="K301" s="201"/>
      <c r="L301" s="201"/>
      <c r="M301" s="201"/>
      <c r="N301" s="201"/>
      <c r="O301" s="201"/>
      <c r="Q301" s="195"/>
      <c r="R301" s="195"/>
      <c r="S301" s="195"/>
      <c r="T301" s="195"/>
      <c r="U301" s="195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5"/>
      <c r="K302" s="201"/>
      <c r="L302" s="201"/>
      <c r="M302" s="201"/>
      <c r="N302" s="201"/>
      <c r="O302" s="201"/>
      <c r="Q302" s="195"/>
      <c r="R302" s="195"/>
      <c r="S302" s="195"/>
      <c r="T302" s="195"/>
      <c r="U302" s="195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5"/>
      <c r="K303" s="201"/>
      <c r="L303" s="201"/>
      <c r="M303" s="201"/>
      <c r="N303" s="201"/>
      <c r="O303" s="201"/>
      <c r="Q303" s="195"/>
      <c r="R303" s="195"/>
      <c r="S303" s="195"/>
      <c r="T303" s="195"/>
      <c r="U303" s="195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5"/>
      <c r="K304" s="201"/>
      <c r="L304" s="201"/>
      <c r="M304" s="201"/>
      <c r="N304" s="201"/>
      <c r="O304" s="201"/>
      <c r="Q304" s="195"/>
      <c r="R304" s="195"/>
      <c r="S304" s="195"/>
      <c r="T304" s="195"/>
      <c r="U304" s="195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303</v>
      </c>
      <c r="W2" s="25" t="s">
        <v>101</v>
      </c>
      <c r="AC2" s="25" t="s">
        <v>305</v>
      </c>
      <c r="AH2" s="5"/>
      <c r="AI2" s="5"/>
      <c r="AJ2" s="25" t="s">
        <v>94</v>
      </c>
      <c r="AO2" s="5"/>
    </row>
    <row r="3" spans="1:41" ht="15.9" customHeight="1">
      <c r="A3" s="122" t="s">
        <v>36</v>
      </c>
      <c r="B3" s="122" t="s">
        <v>37</v>
      </c>
      <c r="C3" s="122" t="s">
        <v>7</v>
      </c>
      <c r="D3" s="122" t="s">
        <v>8</v>
      </c>
      <c r="E3" s="122" t="s">
        <v>9</v>
      </c>
      <c r="F3" s="122" t="s">
        <v>10</v>
      </c>
      <c r="G3" s="122" t="s">
        <v>11</v>
      </c>
      <c r="H3" s="122" t="s">
        <v>310</v>
      </c>
      <c r="I3" s="14"/>
      <c r="J3" s="122"/>
      <c r="K3" s="122" t="s">
        <v>7</v>
      </c>
      <c r="L3" s="122" t="s">
        <v>8</v>
      </c>
      <c r="M3" s="122" t="s">
        <v>9</v>
      </c>
      <c r="N3" s="122" t="s">
        <v>10</v>
      </c>
      <c r="O3" s="122" t="s">
        <v>11</v>
      </c>
      <c r="Q3" s="122" t="s">
        <v>7</v>
      </c>
      <c r="R3" s="122" t="s">
        <v>8</v>
      </c>
      <c r="S3" s="122" t="s">
        <v>9</v>
      </c>
      <c r="T3" s="122" t="s">
        <v>10</v>
      </c>
      <c r="U3" s="122" t="s">
        <v>11</v>
      </c>
      <c r="W3" s="122" t="s">
        <v>5</v>
      </c>
      <c r="X3" s="122" t="s">
        <v>8</v>
      </c>
      <c r="Y3" s="122" t="s">
        <v>9</v>
      </c>
      <c r="Z3" s="122" t="s">
        <v>10</v>
      </c>
      <c r="AA3" s="122" t="s">
        <v>11</v>
      </c>
      <c r="AO3" s="5"/>
    </row>
    <row r="4" spans="1:41" ht="15.9" customHeight="1">
      <c r="A4" s="203" t="s">
        <v>306</v>
      </c>
      <c r="B4" s="201" t="s">
        <v>38</v>
      </c>
      <c r="C4" s="203">
        <v>0</v>
      </c>
      <c r="D4" s="203">
        <v>0</v>
      </c>
      <c r="E4" s="203">
        <v>0</v>
      </c>
      <c r="F4" s="203">
        <v>0</v>
      </c>
      <c r="G4" s="203">
        <v>0</v>
      </c>
      <c r="H4" s="201">
        <v>0</v>
      </c>
      <c r="I4" s="82"/>
      <c r="J4" s="23">
        <v>0</v>
      </c>
      <c r="K4" s="24" t="s">
        <v>31</v>
      </c>
      <c r="L4" s="24" t="s">
        <v>97</v>
      </c>
      <c r="M4" s="24" t="s">
        <v>82</v>
      </c>
      <c r="N4" s="24" t="s">
        <v>95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307</v>
      </c>
      <c r="AH4" s="5"/>
      <c r="AI4" s="5"/>
      <c r="AJ4" s="25" t="s">
        <v>307</v>
      </c>
      <c r="AO4" s="5"/>
    </row>
    <row r="5" spans="1:41" ht="15.9" customHeight="1">
      <c r="A5" s="203" t="s">
        <v>14</v>
      </c>
      <c r="B5" s="201" t="s">
        <v>39</v>
      </c>
      <c r="C5" s="203">
        <v>2</v>
      </c>
      <c r="D5" s="203">
        <v>2</v>
      </c>
      <c r="E5" s="203">
        <v>0</v>
      </c>
      <c r="F5" s="203">
        <v>3</v>
      </c>
      <c r="G5" s="203">
        <v>3</v>
      </c>
      <c r="H5" s="201">
        <v>1</v>
      </c>
      <c r="I5" s="82"/>
      <c r="J5" s="195">
        <v>1</v>
      </c>
      <c r="K5" s="196" t="s">
        <v>12</v>
      </c>
      <c r="L5" s="196" t="s">
        <v>98</v>
      </c>
      <c r="M5" s="196" t="s">
        <v>98</v>
      </c>
      <c r="N5" s="196" t="s">
        <v>29</v>
      </c>
      <c r="O5" s="196" t="s">
        <v>31</v>
      </c>
      <c r="Q5" s="195">
        <v>4</v>
      </c>
      <c r="R5" s="195">
        <v>15</v>
      </c>
      <c r="S5" s="195">
        <v>15</v>
      </c>
      <c r="T5" s="195">
        <v>8</v>
      </c>
      <c r="U5" s="195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2" t="s">
        <v>36</v>
      </c>
      <c r="AD5" s="122" t="s">
        <v>7</v>
      </c>
      <c r="AE5" s="122" t="s">
        <v>8</v>
      </c>
      <c r="AF5" s="122" t="s">
        <v>9</v>
      </c>
      <c r="AG5" s="122" t="s">
        <v>10</v>
      </c>
      <c r="AH5" s="122" t="s">
        <v>11</v>
      </c>
      <c r="AI5" s="5"/>
      <c r="AJ5" s="122" t="s">
        <v>36</v>
      </c>
      <c r="AK5" s="122" t="s">
        <v>7</v>
      </c>
      <c r="AL5" s="122" t="s">
        <v>8</v>
      </c>
      <c r="AM5" s="122" t="s">
        <v>9</v>
      </c>
      <c r="AN5" s="122" t="s">
        <v>10</v>
      </c>
      <c r="AO5" s="122" t="s">
        <v>11</v>
      </c>
    </row>
    <row r="6" spans="1:41" ht="15.9" customHeight="1">
      <c r="A6" s="202" t="s">
        <v>15</v>
      </c>
      <c r="B6" s="136" t="s">
        <v>15</v>
      </c>
      <c r="C6" s="202">
        <v>3</v>
      </c>
      <c r="D6" s="202">
        <v>10</v>
      </c>
      <c r="E6" s="202">
        <v>0</v>
      </c>
      <c r="F6" s="202">
        <v>3</v>
      </c>
      <c r="G6" s="202">
        <v>9</v>
      </c>
      <c r="H6" s="136">
        <v>2</v>
      </c>
      <c r="I6" s="82"/>
      <c r="J6" s="23">
        <v>2</v>
      </c>
      <c r="K6" s="196" t="s">
        <v>97</v>
      </c>
      <c r="L6" s="196" t="s">
        <v>13</v>
      </c>
      <c r="M6" s="196" t="s">
        <v>95</v>
      </c>
      <c r="N6" s="196" t="s">
        <v>30</v>
      </c>
      <c r="O6" s="196" t="s">
        <v>29</v>
      </c>
      <c r="Q6" s="195">
        <v>6</v>
      </c>
      <c r="R6" s="195">
        <v>5</v>
      </c>
      <c r="S6" s="195">
        <v>17</v>
      </c>
      <c r="T6" s="195">
        <v>10</v>
      </c>
      <c r="U6" s="195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201" t="s">
        <v>306</v>
      </c>
      <c r="AD6" s="126">
        <v>0</v>
      </c>
      <c r="AE6" s="126">
        <v>0</v>
      </c>
      <c r="AF6" s="126">
        <v>0</v>
      </c>
      <c r="AG6" s="126">
        <v>0</v>
      </c>
      <c r="AH6" s="126">
        <v>0</v>
      </c>
      <c r="AI6" s="5"/>
      <c r="AJ6" s="201" t="s">
        <v>306</v>
      </c>
      <c r="AK6" s="126">
        <v>0</v>
      </c>
      <c r="AL6" s="126">
        <v>0</v>
      </c>
      <c r="AM6" s="126">
        <v>0</v>
      </c>
      <c r="AN6" s="126">
        <v>0</v>
      </c>
      <c r="AO6" s="126">
        <v>0</v>
      </c>
    </row>
    <row r="7" spans="1:41" ht="15.9" customHeight="1">
      <c r="A7" s="202" t="s">
        <v>16</v>
      </c>
      <c r="B7" s="136" t="s">
        <v>16</v>
      </c>
      <c r="C7" s="202">
        <v>3</v>
      </c>
      <c r="D7" s="202">
        <v>12</v>
      </c>
      <c r="E7" s="202">
        <v>0</v>
      </c>
      <c r="F7" s="202">
        <v>3</v>
      </c>
      <c r="G7" s="202">
        <v>8</v>
      </c>
      <c r="H7" s="136">
        <v>3</v>
      </c>
      <c r="I7" s="82"/>
      <c r="J7" s="195">
        <v>3</v>
      </c>
      <c r="K7" s="196" t="s">
        <v>31</v>
      </c>
      <c r="L7" s="24" t="s">
        <v>31</v>
      </c>
      <c r="M7" s="196" t="s">
        <v>82</v>
      </c>
      <c r="N7" s="196" t="s">
        <v>13</v>
      </c>
      <c r="O7" s="196" t="s">
        <v>97</v>
      </c>
      <c r="Q7" s="195">
        <v>7</v>
      </c>
      <c r="R7" s="195">
        <v>7</v>
      </c>
      <c r="S7" s="195">
        <v>14</v>
      </c>
      <c r="T7" s="195">
        <v>5</v>
      </c>
      <c r="U7" s="195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201" t="s">
        <v>14</v>
      </c>
      <c r="AD7" s="201">
        <v>1</v>
      </c>
      <c r="AE7" s="201">
        <v>1</v>
      </c>
      <c r="AF7" s="201">
        <v>0</v>
      </c>
      <c r="AG7" s="201">
        <v>1</v>
      </c>
      <c r="AH7" s="201">
        <v>1</v>
      </c>
      <c r="AI7" s="5"/>
      <c r="AJ7" s="201" t="s">
        <v>14</v>
      </c>
      <c r="AK7" s="201">
        <v>1</v>
      </c>
      <c r="AL7" s="201">
        <v>1</v>
      </c>
      <c r="AM7" s="201">
        <v>0</v>
      </c>
      <c r="AN7" s="201">
        <v>1</v>
      </c>
      <c r="AO7" s="201">
        <v>1</v>
      </c>
    </row>
    <row r="8" spans="1:41" ht="15.9" customHeight="1">
      <c r="A8" s="202" t="s">
        <v>12</v>
      </c>
      <c r="B8" s="136" t="s">
        <v>12</v>
      </c>
      <c r="C8" s="202">
        <v>7</v>
      </c>
      <c r="D8" s="202">
        <v>13</v>
      </c>
      <c r="E8" s="202">
        <v>0</v>
      </c>
      <c r="F8" s="202">
        <v>7</v>
      </c>
      <c r="G8" s="202">
        <v>14</v>
      </c>
      <c r="H8" s="136">
        <v>4</v>
      </c>
      <c r="I8" s="82"/>
      <c r="J8" s="23">
        <v>4</v>
      </c>
      <c r="K8" s="196" t="s">
        <v>28</v>
      </c>
      <c r="L8" s="196" t="s">
        <v>13</v>
      </c>
      <c r="M8" s="196" t="s">
        <v>83</v>
      </c>
      <c r="N8" s="196" t="s">
        <v>30</v>
      </c>
      <c r="O8" s="196" t="s">
        <v>13</v>
      </c>
      <c r="Q8" s="195">
        <v>9</v>
      </c>
      <c r="R8" s="195">
        <v>5</v>
      </c>
      <c r="S8" s="195">
        <v>16</v>
      </c>
      <c r="T8" s="195">
        <v>10</v>
      </c>
      <c r="U8" s="195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6" t="s">
        <v>15</v>
      </c>
      <c r="AD8" s="202">
        <v>3</v>
      </c>
      <c r="AE8" s="202">
        <v>10</v>
      </c>
      <c r="AF8" s="202">
        <v>0</v>
      </c>
      <c r="AG8" s="202">
        <v>3</v>
      </c>
      <c r="AH8" s="202">
        <v>9</v>
      </c>
      <c r="AI8" s="5"/>
      <c r="AJ8" s="136" t="s">
        <v>15</v>
      </c>
      <c r="AK8" s="202">
        <v>3</v>
      </c>
      <c r="AL8" s="202">
        <v>10</v>
      </c>
      <c r="AM8" s="202">
        <v>0</v>
      </c>
      <c r="AN8" s="202">
        <v>3</v>
      </c>
      <c r="AO8" s="202">
        <v>9</v>
      </c>
    </row>
    <row r="9" spans="1:41" ht="15.9" customHeight="1">
      <c r="A9" s="202" t="s">
        <v>13</v>
      </c>
      <c r="B9" s="136" t="s">
        <v>13</v>
      </c>
      <c r="C9" s="202">
        <v>43</v>
      </c>
      <c r="D9" s="202">
        <v>22</v>
      </c>
      <c r="E9" s="202">
        <v>0</v>
      </c>
      <c r="F9" s="202">
        <v>31</v>
      </c>
      <c r="G9" s="202">
        <v>36</v>
      </c>
      <c r="H9" s="136">
        <v>5</v>
      </c>
      <c r="I9" s="82"/>
      <c r="J9" s="195">
        <v>5</v>
      </c>
      <c r="K9" s="196" t="s">
        <v>29</v>
      </c>
      <c r="L9" s="196" t="s">
        <v>31</v>
      </c>
      <c r="M9" s="196" t="s">
        <v>95</v>
      </c>
      <c r="N9" s="196" t="s">
        <v>29</v>
      </c>
      <c r="O9" s="196" t="s">
        <v>97</v>
      </c>
      <c r="Q9" s="195">
        <v>8</v>
      </c>
      <c r="R9" s="195">
        <v>7</v>
      </c>
      <c r="S9" s="195">
        <v>17</v>
      </c>
      <c r="T9" s="195">
        <v>8</v>
      </c>
      <c r="U9" s="195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6" t="s">
        <v>16</v>
      </c>
      <c r="AD9" s="202">
        <v>3</v>
      </c>
      <c r="AE9" s="202">
        <v>12</v>
      </c>
      <c r="AF9" s="202">
        <v>0</v>
      </c>
      <c r="AG9" s="202">
        <v>3</v>
      </c>
      <c r="AH9" s="202">
        <v>8</v>
      </c>
      <c r="AI9" s="5"/>
      <c r="AJ9" s="136" t="s">
        <v>16</v>
      </c>
      <c r="AK9" s="202">
        <v>3</v>
      </c>
      <c r="AL9" s="202">
        <v>12</v>
      </c>
      <c r="AM9" s="202">
        <v>0</v>
      </c>
      <c r="AN9" s="202">
        <v>3</v>
      </c>
      <c r="AO9" s="202">
        <v>8</v>
      </c>
    </row>
    <row r="10" spans="1:41" ht="15.9" customHeight="1">
      <c r="A10" s="202" t="s">
        <v>97</v>
      </c>
      <c r="B10" s="136" t="s">
        <v>97</v>
      </c>
      <c r="C10" s="202">
        <v>42</v>
      </c>
      <c r="D10" s="202">
        <v>22</v>
      </c>
      <c r="E10" s="202">
        <v>0</v>
      </c>
      <c r="F10" s="202">
        <v>27</v>
      </c>
      <c r="G10" s="202">
        <v>34</v>
      </c>
      <c r="H10" s="136">
        <v>6</v>
      </c>
      <c r="I10" s="82"/>
      <c r="J10" s="23">
        <v>6</v>
      </c>
      <c r="K10" s="196" t="s">
        <v>12</v>
      </c>
      <c r="L10" s="196" t="s">
        <v>28</v>
      </c>
      <c r="M10" s="196" t="s">
        <v>83</v>
      </c>
      <c r="N10" s="196" t="s">
        <v>82</v>
      </c>
      <c r="O10" s="196" t="s">
        <v>13</v>
      </c>
      <c r="Q10" s="195">
        <v>4</v>
      </c>
      <c r="R10" s="195">
        <v>9</v>
      </c>
      <c r="S10" s="195">
        <v>16</v>
      </c>
      <c r="T10" s="195">
        <v>14</v>
      </c>
      <c r="U10" s="195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6" t="s">
        <v>12</v>
      </c>
      <c r="AD10" s="202">
        <v>7</v>
      </c>
      <c r="AE10" s="202">
        <v>13</v>
      </c>
      <c r="AF10" s="202">
        <v>0</v>
      </c>
      <c r="AG10" s="202">
        <v>7</v>
      </c>
      <c r="AH10" s="202">
        <v>14</v>
      </c>
      <c r="AI10" s="5"/>
      <c r="AJ10" s="136" t="s">
        <v>12</v>
      </c>
      <c r="AK10" s="202">
        <v>7</v>
      </c>
      <c r="AL10" s="202">
        <v>13</v>
      </c>
      <c r="AM10" s="202">
        <v>0</v>
      </c>
      <c r="AN10" s="202">
        <v>7</v>
      </c>
      <c r="AO10" s="202">
        <v>14</v>
      </c>
    </row>
    <row r="11" spans="1:41" ht="15.9" customHeight="1">
      <c r="A11" s="202" t="s">
        <v>31</v>
      </c>
      <c r="B11" s="136" t="s">
        <v>31</v>
      </c>
      <c r="C11" s="202">
        <v>43</v>
      </c>
      <c r="D11" s="202">
        <v>27</v>
      </c>
      <c r="E11" s="202">
        <v>0</v>
      </c>
      <c r="F11" s="202">
        <v>31</v>
      </c>
      <c r="G11" s="202">
        <v>35</v>
      </c>
      <c r="H11" s="136">
        <v>7</v>
      </c>
      <c r="I11" s="82"/>
      <c r="J11" s="195">
        <v>7</v>
      </c>
      <c r="K11" s="196" t="s">
        <v>97</v>
      </c>
      <c r="L11" s="196" t="s">
        <v>86</v>
      </c>
      <c r="M11" s="196" t="s">
        <v>95</v>
      </c>
      <c r="N11" s="196" t="s">
        <v>95</v>
      </c>
      <c r="O11" s="196" t="s">
        <v>97</v>
      </c>
      <c r="Q11" s="195">
        <v>6</v>
      </c>
      <c r="R11" s="195">
        <v>18</v>
      </c>
      <c r="S11" s="195">
        <v>17</v>
      </c>
      <c r="T11" s="195">
        <v>17</v>
      </c>
      <c r="U11" s="195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6" t="s">
        <v>13</v>
      </c>
      <c r="AD11" s="202">
        <v>43</v>
      </c>
      <c r="AE11" s="202">
        <v>22</v>
      </c>
      <c r="AF11" s="202">
        <v>0</v>
      </c>
      <c r="AG11" s="202">
        <v>31</v>
      </c>
      <c r="AH11" s="202">
        <v>36</v>
      </c>
      <c r="AI11" s="5"/>
      <c r="AJ11" s="136" t="s">
        <v>13</v>
      </c>
      <c r="AK11" s="202">
        <v>43</v>
      </c>
      <c r="AL11" s="202">
        <v>22</v>
      </c>
      <c r="AM11" s="202">
        <v>0</v>
      </c>
      <c r="AN11" s="202">
        <v>31</v>
      </c>
      <c r="AO11" s="202">
        <v>36</v>
      </c>
    </row>
    <row r="12" spans="1:41" ht="15.9" customHeight="1">
      <c r="A12" s="202" t="s">
        <v>29</v>
      </c>
      <c r="B12" s="136" t="s">
        <v>29</v>
      </c>
      <c r="C12" s="202">
        <v>43</v>
      </c>
      <c r="D12" s="202">
        <v>24</v>
      </c>
      <c r="E12" s="202">
        <v>0</v>
      </c>
      <c r="F12" s="202">
        <v>32</v>
      </c>
      <c r="G12" s="202">
        <v>34</v>
      </c>
      <c r="H12" s="136">
        <v>8</v>
      </c>
      <c r="I12" s="82"/>
      <c r="J12" s="23">
        <v>8</v>
      </c>
      <c r="K12" s="196" t="s">
        <v>30</v>
      </c>
      <c r="L12" s="196" t="s">
        <v>16</v>
      </c>
      <c r="M12" s="196" t="s">
        <v>83</v>
      </c>
      <c r="N12" s="196" t="s">
        <v>31</v>
      </c>
      <c r="O12" s="196" t="s">
        <v>31</v>
      </c>
      <c r="Q12" s="195">
        <v>10</v>
      </c>
      <c r="R12" s="195">
        <v>3</v>
      </c>
      <c r="S12" s="195">
        <v>16</v>
      </c>
      <c r="T12" s="195">
        <v>7</v>
      </c>
      <c r="U12" s="195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6" t="s">
        <v>97</v>
      </c>
      <c r="AD12" s="202">
        <v>42</v>
      </c>
      <c r="AE12" s="202">
        <v>22</v>
      </c>
      <c r="AF12" s="202">
        <v>0</v>
      </c>
      <c r="AG12" s="202">
        <v>27</v>
      </c>
      <c r="AH12" s="202">
        <v>34</v>
      </c>
      <c r="AI12" s="5"/>
      <c r="AJ12" s="136" t="s">
        <v>97</v>
      </c>
      <c r="AK12" s="202">
        <v>42</v>
      </c>
      <c r="AL12" s="202">
        <v>22</v>
      </c>
      <c r="AM12" s="202">
        <v>0</v>
      </c>
      <c r="AN12" s="202">
        <v>27</v>
      </c>
      <c r="AO12" s="202">
        <v>34</v>
      </c>
    </row>
    <row r="13" spans="1:41" ht="15.9" customHeight="1">
      <c r="A13" s="202" t="s">
        <v>28</v>
      </c>
      <c r="B13" s="136" t="s">
        <v>28</v>
      </c>
      <c r="C13" s="202">
        <v>7</v>
      </c>
      <c r="D13" s="202">
        <v>12</v>
      </c>
      <c r="E13" s="202">
        <v>0</v>
      </c>
      <c r="F13" s="202">
        <v>6</v>
      </c>
      <c r="G13" s="202">
        <v>13</v>
      </c>
      <c r="H13" s="136">
        <v>9</v>
      </c>
      <c r="I13" s="82"/>
      <c r="J13" s="195">
        <v>9</v>
      </c>
      <c r="K13" s="196" t="s">
        <v>15</v>
      </c>
      <c r="L13" s="196" t="s">
        <v>83</v>
      </c>
      <c r="M13" s="196" t="s">
        <v>98</v>
      </c>
      <c r="N13" s="196" t="s">
        <v>82</v>
      </c>
      <c r="O13" s="196" t="s">
        <v>28</v>
      </c>
      <c r="Q13" s="195">
        <v>2</v>
      </c>
      <c r="R13" s="195">
        <v>16</v>
      </c>
      <c r="S13" s="195">
        <v>15</v>
      </c>
      <c r="T13" s="195">
        <v>14</v>
      </c>
      <c r="U13" s="195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6" t="s">
        <v>31</v>
      </c>
      <c r="AD13" s="202">
        <v>43</v>
      </c>
      <c r="AE13" s="202">
        <v>27</v>
      </c>
      <c r="AF13" s="202">
        <v>0</v>
      </c>
      <c r="AG13" s="202">
        <v>31</v>
      </c>
      <c r="AH13" s="202">
        <v>35</v>
      </c>
      <c r="AI13" s="5"/>
      <c r="AJ13" s="136" t="s">
        <v>31</v>
      </c>
      <c r="AK13" s="202">
        <v>43</v>
      </c>
      <c r="AL13" s="202">
        <v>27</v>
      </c>
      <c r="AM13" s="202">
        <v>0</v>
      </c>
      <c r="AN13" s="202">
        <v>31</v>
      </c>
      <c r="AO13" s="202">
        <v>35</v>
      </c>
    </row>
    <row r="14" spans="1:41" ht="15.9" customHeight="1">
      <c r="A14" s="202" t="s">
        <v>30</v>
      </c>
      <c r="B14" s="136" t="s">
        <v>30</v>
      </c>
      <c r="C14" s="202">
        <v>7</v>
      </c>
      <c r="D14" s="202">
        <v>8</v>
      </c>
      <c r="E14" s="202">
        <v>0</v>
      </c>
      <c r="F14" s="202">
        <v>7</v>
      </c>
      <c r="G14" s="202">
        <v>14</v>
      </c>
      <c r="H14" s="136">
        <v>10</v>
      </c>
      <c r="I14" s="82"/>
      <c r="J14" s="23">
        <v>10</v>
      </c>
      <c r="K14" s="196" t="s">
        <v>31</v>
      </c>
      <c r="L14" s="196" t="s">
        <v>29</v>
      </c>
      <c r="M14" s="196" t="s">
        <v>83</v>
      </c>
      <c r="N14" s="196" t="s">
        <v>13</v>
      </c>
      <c r="O14" s="196" t="s">
        <v>15</v>
      </c>
      <c r="Q14" s="195">
        <v>7</v>
      </c>
      <c r="R14" s="195">
        <v>8</v>
      </c>
      <c r="S14" s="195">
        <v>16</v>
      </c>
      <c r="T14" s="195">
        <v>5</v>
      </c>
      <c r="U14" s="195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6" t="s">
        <v>29</v>
      </c>
      <c r="AD14" s="202">
        <v>43</v>
      </c>
      <c r="AE14" s="202">
        <v>24</v>
      </c>
      <c r="AF14" s="202">
        <v>0</v>
      </c>
      <c r="AG14" s="202">
        <v>32</v>
      </c>
      <c r="AH14" s="202">
        <v>34</v>
      </c>
      <c r="AI14" s="5"/>
      <c r="AJ14" s="136" t="s">
        <v>29</v>
      </c>
      <c r="AK14" s="202">
        <v>43</v>
      </c>
      <c r="AL14" s="202">
        <v>24</v>
      </c>
      <c r="AM14" s="202">
        <v>0</v>
      </c>
      <c r="AN14" s="202">
        <v>32</v>
      </c>
      <c r="AO14" s="202">
        <v>34</v>
      </c>
    </row>
    <row r="15" spans="1:41" ht="15.9" customHeight="1">
      <c r="A15" s="203" t="s">
        <v>79</v>
      </c>
      <c r="B15" s="201" t="s">
        <v>311</v>
      </c>
      <c r="C15" s="203">
        <v>0</v>
      </c>
      <c r="D15" s="203">
        <v>2</v>
      </c>
      <c r="E15" s="203">
        <v>3</v>
      </c>
      <c r="F15" s="203">
        <v>1</v>
      </c>
      <c r="G15" s="203">
        <v>0</v>
      </c>
      <c r="H15" s="201">
        <v>11</v>
      </c>
      <c r="I15" s="82"/>
      <c r="J15" s="195">
        <v>11</v>
      </c>
      <c r="K15" s="196" t="s">
        <v>97</v>
      </c>
      <c r="L15" s="196" t="s">
        <v>95</v>
      </c>
      <c r="M15" s="196" t="s">
        <v>88</v>
      </c>
      <c r="N15" s="196" t="s">
        <v>30</v>
      </c>
      <c r="O15" s="196" t="s">
        <v>28</v>
      </c>
      <c r="Q15" s="195">
        <v>6</v>
      </c>
      <c r="R15" s="195">
        <v>17</v>
      </c>
      <c r="S15" s="195">
        <v>19</v>
      </c>
      <c r="T15" s="195">
        <v>10</v>
      </c>
      <c r="U15" s="195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6" t="s">
        <v>28</v>
      </c>
      <c r="AD15" s="202">
        <v>7</v>
      </c>
      <c r="AE15" s="202">
        <v>12</v>
      </c>
      <c r="AF15" s="202">
        <v>0</v>
      </c>
      <c r="AG15" s="202">
        <v>6</v>
      </c>
      <c r="AH15" s="202">
        <v>13</v>
      </c>
      <c r="AI15" s="5"/>
      <c r="AJ15" s="136" t="s">
        <v>28</v>
      </c>
      <c r="AK15" s="202">
        <v>7</v>
      </c>
      <c r="AL15" s="202">
        <v>12</v>
      </c>
      <c r="AM15" s="202">
        <v>0</v>
      </c>
      <c r="AN15" s="202">
        <v>6</v>
      </c>
      <c r="AO15" s="202">
        <v>13</v>
      </c>
    </row>
    <row r="16" spans="1:41" ht="15.9" customHeight="1">
      <c r="A16" s="203" t="s">
        <v>80</v>
      </c>
      <c r="B16" s="201" t="s">
        <v>312</v>
      </c>
      <c r="C16" s="203">
        <v>0</v>
      </c>
      <c r="D16" s="203">
        <v>3</v>
      </c>
      <c r="E16" s="203">
        <v>3</v>
      </c>
      <c r="F16" s="203">
        <v>1</v>
      </c>
      <c r="G16" s="203">
        <v>0</v>
      </c>
      <c r="H16" s="201">
        <v>12</v>
      </c>
      <c r="I16" s="82"/>
      <c r="J16" s="23">
        <v>12</v>
      </c>
      <c r="K16" s="196" t="s">
        <v>30</v>
      </c>
      <c r="L16" s="196" t="s">
        <v>97</v>
      </c>
      <c r="M16" s="196" t="s">
        <v>81</v>
      </c>
      <c r="N16" s="196" t="s">
        <v>16</v>
      </c>
      <c r="O16" s="196" t="s">
        <v>12</v>
      </c>
      <c r="Q16" s="195">
        <v>10</v>
      </c>
      <c r="R16" s="195">
        <v>6</v>
      </c>
      <c r="S16" s="195">
        <v>13</v>
      </c>
      <c r="T16" s="195">
        <v>3</v>
      </c>
      <c r="U16" s="195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6" t="s">
        <v>30</v>
      </c>
      <c r="AD16" s="202">
        <v>7</v>
      </c>
      <c r="AE16" s="202">
        <v>8</v>
      </c>
      <c r="AF16" s="202">
        <v>0</v>
      </c>
      <c r="AG16" s="202">
        <v>7</v>
      </c>
      <c r="AH16" s="202">
        <v>14</v>
      </c>
      <c r="AI16" s="5"/>
      <c r="AJ16" s="136" t="s">
        <v>30</v>
      </c>
      <c r="AK16" s="202">
        <v>7</v>
      </c>
      <c r="AL16" s="202">
        <v>8</v>
      </c>
      <c r="AM16" s="202">
        <v>0</v>
      </c>
      <c r="AN16" s="202">
        <v>7</v>
      </c>
      <c r="AO16" s="202">
        <v>14</v>
      </c>
    </row>
    <row r="17" spans="1:41" ht="15.9" customHeight="1">
      <c r="A17" s="203" t="s">
        <v>81</v>
      </c>
      <c r="B17" s="201" t="s">
        <v>313</v>
      </c>
      <c r="C17" s="203">
        <v>0</v>
      </c>
      <c r="D17" s="203">
        <v>3</v>
      </c>
      <c r="E17" s="203">
        <v>8</v>
      </c>
      <c r="F17" s="203">
        <v>2</v>
      </c>
      <c r="G17" s="203">
        <v>0</v>
      </c>
      <c r="H17" s="201">
        <v>13</v>
      </c>
      <c r="I17" s="82"/>
      <c r="J17" s="195">
        <v>13</v>
      </c>
      <c r="K17" s="196" t="s">
        <v>13</v>
      </c>
      <c r="L17" s="196" t="s">
        <v>82</v>
      </c>
      <c r="M17" s="196" t="s">
        <v>83</v>
      </c>
      <c r="N17" s="196" t="s">
        <v>29</v>
      </c>
      <c r="O17" s="196" t="s">
        <v>29</v>
      </c>
      <c r="Q17" s="195">
        <v>5</v>
      </c>
      <c r="R17" s="195">
        <v>14</v>
      </c>
      <c r="S17" s="195">
        <v>16</v>
      </c>
      <c r="T17" s="195">
        <v>8</v>
      </c>
      <c r="U17" s="195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201" t="s">
        <v>79</v>
      </c>
      <c r="AD17" s="203">
        <v>0</v>
      </c>
      <c r="AE17" s="203">
        <v>3</v>
      </c>
      <c r="AF17" s="203">
        <v>3</v>
      </c>
      <c r="AG17" s="203">
        <v>2</v>
      </c>
      <c r="AH17" s="203">
        <v>0</v>
      </c>
      <c r="AI17" s="5"/>
      <c r="AJ17" s="201" t="s">
        <v>79</v>
      </c>
      <c r="AK17" s="203">
        <v>0</v>
      </c>
      <c r="AL17" s="203">
        <v>3</v>
      </c>
      <c r="AM17" s="203">
        <v>3</v>
      </c>
      <c r="AN17" s="203">
        <v>2</v>
      </c>
      <c r="AO17" s="203">
        <v>0</v>
      </c>
    </row>
    <row r="18" spans="1:41" ht="15.9" customHeight="1">
      <c r="A18" s="203" t="s">
        <v>82</v>
      </c>
      <c r="B18" s="201" t="s">
        <v>314</v>
      </c>
      <c r="C18" s="203">
        <v>0</v>
      </c>
      <c r="D18" s="203">
        <v>8</v>
      </c>
      <c r="E18" s="203">
        <v>43</v>
      </c>
      <c r="F18" s="203">
        <v>11</v>
      </c>
      <c r="G18" s="203">
        <v>0</v>
      </c>
      <c r="H18" s="201">
        <v>14</v>
      </c>
      <c r="I18" s="82"/>
      <c r="J18" s="23">
        <v>14</v>
      </c>
      <c r="K18" s="196" t="s">
        <v>97</v>
      </c>
      <c r="L18" s="196" t="s">
        <v>12</v>
      </c>
      <c r="M18" s="196" t="s">
        <v>82</v>
      </c>
      <c r="N18" s="196" t="s">
        <v>13</v>
      </c>
      <c r="O18" s="196" t="s">
        <v>30</v>
      </c>
      <c r="Q18" s="195">
        <v>6</v>
      </c>
      <c r="R18" s="195">
        <v>4</v>
      </c>
      <c r="S18" s="195">
        <v>14</v>
      </c>
      <c r="T18" s="195">
        <v>5</v>
      </c>
      <c r="U18" s="195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201" t="s">
        <v>80</v>
      </c>
      <c r="AD18" s="203">
        <v>0</v>
      </c>
      <c r="AE18" s="203">
        <v>4</v>
      </c>
      <c r="AF18" s="203">
        <v>1</v>
      </c>
      <c r="AG18" s="203">
        <v>2</v>
      </c>
      <c r="AH18" s="203">
        <v>0</v>
      </c>
      <c r="AI18" s="5"/>
      <c r="AJ18" s="201" t="s">
        <v>80</v>
      </c>
      <c r="AK18" s="203">
        <v>0</v>
      </c>
      <c r="AL18" s="203">
        <v>4</v>
      </c>
      <c r="AM18" s="203">
        <v>1</v>
      </c>
      <c r="AN18" s="203">
        <v>2</v>
      </c>
      <c r="AO18" s="203">
        <v>0</v>
      </c>
    </row>
    <row r="19" spans="1:41" ht="15.9" customHeight="1">
      <c r="A19" s="203" t="s">
        <v>98</v>
      </c>
      <c r="B19" s="201" t="s">
        <v>315</v>
      </c>
      <c r="C19" s="203">
        <v>0</v>
      </c>
      <c r="D19" s="203">
        <v>8</v>
      </c>
      <c r="E19" s="203">
        <v>42</v>
      </c>
      <c r="F19" s="203">
        <v>12</v>
      </c>
      <c r="G19" s="203">
        <v>0</v>
      </c>
      <c r="H19" s="201">
        <v>15</v>
      </c>
      <c r="I19" s="82"/>
      <c r="J19" s="195">
        <v>15</v>
      </c>
      <c r="K19" s="196" t="s">
        <v>13</v>
      </c>
      <c r="L19" s="196" t="s">
        <v>29</v>
      </c>
      <c r="M19" s="196" t="s">
        <v>83</v>
      </c>
      <c r="N19" s="196" t="s">
        <v>97</v>
      </c>
      <c r="O19" s="196" t="s">
        <v>12</v>
      </c>
      <c r="Q19" s="195">
        <v>5</v>
      </c>
      <c r="R19" s="195">
        <v>8</v>
      </c>
      <c r="S19" s="195">
        <v>16</v>
      </c>
      <c r="T19" s="195">
        <v>6</v>
      </c>
      <c r="U19" s="195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201" t="s">
        <v>81</v>
      </c>
      <c r="AD19" s="203">
        <v>0</v>
      </c>
      <c r="AE19" s="203">
        <v>4</v>
      </c>
      <c r="AF19" s="203">
        <v>8</v>
      </c>
      <c r="AG19" s="203">
        <v>3</v>
      </c>
      <c r="AH19" s="203">
        <v>0</v>
      </c>
      <c r="AI19" s="5"/>
      <c r="AJ19" s="201" t="s">
        <v>81</v>
      </c>
      <c r="AK19" s="203">
        <v>0</v>
      </c>
      <c r="AL19" s="203">
        <v>4</v>
      </c>
      <c r="AM19" s="203">
        <v>8</v>
      </c>
      <c r="AN19" s="203">
        <v>3</v>
      </c>
      <c r="AO19" s="203">
        <v>0</v>
      </c>
    </row>
    <row r="20" spans="1:41" ht="15.9" customHeight="1">
      <c r="A20" s="203" t="s">
        <v>83</v>
      </c>
      <c r="B20" s="201" t="s">
        <v>316</v>
      </c>
      <c r="C20" s="203">
        <v>0</v>
      </c>
      <c r="D20" s="203">
        <v>10</v>
      </c>
      <c r="E20" s="203">
        <v>42</v>
      </c>
      <c r="F20" s="203">
        <v>10</v>
      </c>
      <c r="G20" s="203">
        <v>0</v>
      </c>
      <c r="H20" s="201">
        <v>16</v>
      </c>
      <c r="I20" s="82"/>
      <c r="J20" s="23">
        <v>16</v>
      </c>
      <c r="K20" s="196" t="s">
        <v>29</v>
      </c>
      <c r="L20" s="196" t="s">
        <v>30</v>
      </c>
      <c r="M20" s="196" t="s">
        <v>82</v>
      </c>
      <c r="N20" s="196" t="s">
        <v>29</v>
      </c>
      <c r="O20" s="196" t="s">
        <v>97</v>
      </c>
      <c r="Q20" s="195">
        <v>8</v>
      </c>
      <c r="R20" s="195">
        <v>10</v>
      </c>
      <c r="S20" s="195">
        <v>14</v>
      </c>
      <c r="T20" s="195">
        <v>8</v>
      </c>
      <c r="U20" s="195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201" t="s">
        <v>82</v>
      </c>
      <c r="AD20" s="203">
        <v>0</v>
      </c>
      <c r="AE20" s="203">
        <v>9</v>
      </c>
      <c r="AF20" s="203">
        <v>43</v>
      </c>
      <c r="AG20" s="203">
        <v>12</v>
      </c>
      <c r="AH20" s="203">
        <v>0</v>
      </c>
      <c r="AI20" s="5"/>
      <c r="AJ20" s="201" t="s">
        <v>82</v>
      </c>
      <c r="AK20" s="203">
        <v>0</v>
      </c>
      <c r="AL20" s="203">
        <v>9</v>
      </c>
      <c r="AM20" s="203">
        <v>43</v>
      </c>
      <c r="AN20" s="203">
        <v>12</v>
      </c>
      <c r="AO20" s="203">
        <v>0</v>
      </c>
    </row>
    <row r="21" spans="1:41" ht="15.9" customHeight="1">
      <c r="A21" s="203" t="s">
        <v>95</v>
      </c>
      <c r="B21" s="201" t="s">
        <v>317</v>
      </c>
      <c r="C21" s="203">
        <v>0</v>
      </c>
      <c r="D21" s="203">
        <v>9</v>
      </c>
      <c r="E21" s="203">
        <v>44</v>
      </c>
      <c r="F21" s="203">
        <v>10</v>
      </c>
      <c r="G21" s="203">
        <v>0</v>
      </c>
      <c r="H21" s="201">
        <v>17</v>
      </c>
      <c r="I21" s="82"/>
      <c r="J21" s="195">
        <v>17</v>
      </c>
      <c r="K21" s="196" t="s">
        <v>31</v>
      </c>
      <c r="L21" s="196" t="s">
        <v>97</v>
      </c>
      <c r="M21" s="196" t="s">
        <v>83</v>
      </c>
      <c r="N21" s="196" t="s">
        <v>98</v>
      </c>
      <c r="O21" s="196" t="s">
        <v>31</v>
      </c>
      <c r="Q21" s="195">
        <v>7</v>
      </c>
      <c r="R21" s="195">
        <v>6</v>
      </c>
      <c r="S21" s="195">
        <v>16</v>
      </c>
      <c r="T21" s="195">
        <v>15</v>
      </c>
      <c r="U21" s="195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201" t="s">
        <v>98</v>
      </c>
      <c r="AD21" s="203">
        <v>0</v>
      </c>
      <c r="AE21" s="203">
        <v>9</v>
      </c>
      <c r="AF21" s="203">
        <v>42</v>
      </c>
      <c r="AG21" s="203">
        <v>13</v>
      </c>
      <c r="AH21" s="203">
        <v>0</v>
      </c>
      <c r="AI21" s="5"/>
      <c r="AJ21" s="201" t="s">
        <v>98</v>
      </c>
      <c r="AK21" s="203">
        <v>0</v>
      </c>
      <c r="AL21" s="203">
        <v>9</v>
      </c>
      <c r="AM21" s="203">
        <v>42</v>
      </c>
      <c r="AN21" s="203">
        <v>13</v>
      </c>
      <c r="AO21" s="203">
        <v>0</v>
      </c>
    </row>
    <row r="22" spans="1:41" ht="15.9" customHeight="1">
      <c r="A22" s="203" t="s">
        <v>86</v>
      </c>
      <c r="B22" s="201" t="s">
        <v>318</v>
      </c>
      <c r="C22" s="203">
        <v>0</v>
      </c>
      <c r="D22" s="203">
        <v>3</v>
      </c>
      <c r="E22" s="203">
        <v>6</v>
      </c>
      <c r="F22" s="203">
        <v>1</v>
      </c>
      <c r="G22" s="203">
        <v>0</v>
      </c>
      <c r="H22" s="201">
        <v>18</v>
      </c>
      <c r="I22" s="82"/>
      <c r="J22" s="23">
        <v>18</v>
      </c>
      <c r="K22" s="196" t="s">
        <v>28</v>
      </c>
      <c r="L22" s="196" t="s">
        <v>82</v>
      </c>
      <c r="M22" s="196" t="s">
        <v>95</v>
      </c>
      <c r="N22" s="196" t="s">
        <v>31</v>
      </c>
      <c r="O22" s="196" t="s">
        <v>13</v>
      </c>
      <c r="Q22" s="195">
        <v>9</v>
      </c>
      <c r="R22" s="195">
        <v>14</v>
      </c>
      <c r="S22" s="195">
        <v>17</v>
      </c>
      <c r="T22" s="195">
        <v>7</v>
      </c>
      <c r="U22" s="195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201" t="s">
        <v>83</v>
      </c>
      <c r="AD22" s="203">
        <v>0</v>
      </c>
      <c r="AE22" s="203">
        <v>11</v>
      </c>
      <c r="AF22" s="203">
        <v>42</v>
      </c>
      <c r="AG22" s="203">
        <v>11</v>
      </c>
      <c r="AH22" s="203">
        <v>0</v>
      </c>
      <c r="AI22" s="5"/>
      <c r="AJ22" s="201" t="s">
        <v>83</v>
      </c>
      <c r="AK22" s="203">
        <v>0</v>
      </c>
      <c r="AL22" s="203">
        <v>11</v>
      </c>
      <c r="AM22" s="203">
        <v>42</v>
      </c>
      <c r="AN22" s="203">
        <v>11</v>
      </c>
      <c r="AO22" s="203">
        <v>0</v>
      </c>
    </row>
    <row r="23" spans="1:41" ht="15.9" customHeight="1">
      <c r="A23" s="203" t="s">
        <v>88</v>
      </c>
      <c r="B23" s="201" t="s">
        <v>319</v>
      </c>
      <c r="C23" s="203">
        <v>0</v>
      </c>
      <c r="D23" s="203">
        <v>2</v>
      </c>
      <c r="E23" s="203">
        <v>9</v>
      </c>
      <c r="F23" s="203">
        <v>2</v>
      </c>
      <c r="G23" s="203">
        <v>0</v>
      </c>
      <c r="H23" s="201">
        <v>19</v>
      </c>
      <c r="I23" s="82"/>
      <c r="J23" s="195">
        <v>19</v>
      </c>
      <c r="K23" s="196" t="s">
        <v>16</v>
      </c>
      <c r="L23" s="196" t="s">
        <v>30</v>
      </c>
      <c r="M23" s="196" t="s">
        <v>82</v>
      </c>
      <c r="N23" s="196" t="s">
        <v>29</v>
      </c>
      <c r="O23" s="196" t="s">
        <v>28</v>
      </c>
      <c r="Q23" s="195">
        <v>3</v>
      </c>
      <c r="R23" s="195">
        <v>10</v>
      </c>
      <c r="S23" s="195">
        <v>14</v>
      </c>
      <c r="T23" s="195">
        <v>8</v>
      </c>
      <c r="U23" s="195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201" t="s">
        <v>95</v>
      </c>
      <c r="AD23" s="203">
        <v>0</v>
      </c>
      <c r="AE23" s="203">
        <v>10</v>
      </c>
      <c r="AF23" s="203">
        <v>44</v>
      </c>
      <c r="AG23" s="203">
        <v>11</v>
      </c>
      <c r="AH23" s="203">
        <v>0</v>
      </c>
      <c r="AI23" s="5"/>
      <c r="AJ23" s="201" t="s">
        <v>95</v>
      </c>
      <c r="AK23" s="203">
        <v>0</v>
      </c>
      <c r="AL23" s="203">
        <v>10</v>
      </c>
      <c r="AM23" s="203">
        <v>44</v>
      </c>
      <c r="AN23" s="203">
        <v>11</v>
      </c>
      <c r="AO23" s="203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6" t="s">
        <v>14</v>
      </c>
      <c r="L24" s="196" t="s">
        <v>16</v>
      </c>
      <c r="M24" s="196" t="s">
        <v>83</v>
      </c>
      <c r="N24" s="196" t="s">
        <v>97</v>
      </c>
      <c r="O24" s="196" t="s">
        <v>31</v>
      </c>
      <c r="Q24" s="195">
        <v>1</v>
      </c>
      <c r="R24" s="195">
        <v>3</v>
      </c>
      <c r="S24" s="195">
        <v>16</v>
      </c>
      <c r="T24" s="195">
        <v>6</v>
      </c>
      <c r="U24" s="195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201" t="s">
        <v>86</v>
      </c>
      <c r="AD24" s="203">
        <v>0</v>
      </c>
      <c r="AE24" s="203">
        <v>4</v>
      </c>
      <c r="AF24" s="203">
        <v>6</v>
      </c>
      <c r="AG24" s="203">
        <v>2</v>
      </c>
      <c r="AH24" s="203">
        <v>0</v>
      </c>
      <c r="AI24" s="5"/>
      <c r="AJ24" s="201" t="s">
        <v>86</v>
      </c>
      <c r="AK24" s="203">
        <v>0</v>
      </c>
      <c r="AL24" s="203">
        <v>4</v>
      </c>
      <c r="AM24" s="203">
        <v>6</v>
      </c>
      <c r="AN24" s="203">
        <v>2</v>
      </c>
      <c r="AO24" s="203">
        <v>0</v>
      </c>
    </row>
    <row r="25" spans="1:41" ht="16.5" customHeight="1">
      <c r="I25" s="82"/>
      <c r="J25" s="195">
        <v>21</v>
      </c>
      <c r="K25" s="196" t="s">
        <v>29</v>
      </c>
      <c r="L25" s="196" t="s">
        <v>31</v>
      </c>
      <c r="M25" s="196" t="s">
        <v>95</v>
      </c>
      <c r="N25" s="196" t="s">
        <v>31</v>
      </c>
      <c r="O25" s="196" t="s">
        <v>28</v>
      </c>
      <c r="Q25" s="195">
        <v>8</v>
      </c>
      <c r="R25" s="195">
        <v>7</v>
      </c>
      <c r="S25" s="195">
        <v>17</v>
      </c>
      <c r="T25" s="195">
        <v>7</v>
      </c>
      <c r="U25" s="195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201" t="s">
        <v>88</v>
      </c>
      <c r="AD25" s="203">
        <v>0</v>
      </c>
      <c r="AE25" s="203">
        <v>3</v>
      </c>
      <c r="AF25" s="203">
        <v>9</v>
      </c>
      <c r="AG25" s="203">
        <v>3</v>
      </c>
      <c r="AH25" s="203">
        <v>0</v>
      </c>
      <c r="AI25" s="5"/>
      <c r="AJ25" s="201" t="s">
        <v>88</v>
      </c>
      <c r="AK25" s="203">
        <v>0</v>
      </c>
      <c r="AL25" s="203">
        <v>3</v>
      </c>
      <c r="AM25" s="203">
        <v>9</v>
      </c>
      <c r="AN25" s="203">
        <v>3</v>
      </c>
      <c r="AO25" s="203">
        <v>0</v>
      </c>
    </row>
    <row r="26" spans="1:41" ht="16.5" customHeight="1">
      <c r="B26" s="5" t="s">
        <v>320</v>
      </c>
      <c r="C26" s="5">
        <v>1</v>
      </c>
      <c r="D26" s="158">
        <v>0.76</v>
      </c>
      <c r="E26" s="158">
        <v>0</v>
      </c>
      <c r="F26" s="158">
        <v>0.75</v>
      </c>
      <c r="G26" s="5">
        <v>1</v>
      </c>
      <c r="I26" s="82"/>
      <c r="J26" s="23">
        <v>22</v>
      </c>
      <c r="K26" s="196" t="s">
        <v>97</v>
      </c>
      <c r="L26" s="196" t="s">
        <v>97</v>
      </c>
      <c r="M26" s="196" t="s">
        <v>88</v>
      </c>
      <c r="N26" s="196" t="s">
        <v>16</v>
      </c>
      <c r="O26" s="196" t="s">
        <v>29</v>
      </c>
      <c r="Q26" s="195">
        <v>6</v>
      </c>
      <c r="R26" s="195">
        <v>6</v>
      </c>
      <c r="S26" s="195">
        <v>19</v>
      </c>
      <c r="T26" s="195">
        <v>3</v>
      </c>
      <c r="U26" s="195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8">
        <v>0.24</v>
      </c>
      <c r="E27" s="158">
        <v>1</v>
      </c>
      <c r="F27" s="158">
        <v>0.25</v>
      </c>
      <c r="G27" s="5">
        <v>0</v>
      </c>
      <c r="I27" s="82"/>
      <c r="J27" s="195">
        <v>23</v>
      </c>
      <c r="K27" s="196" t="s">
        <v>31</v>
      </c>
      <c r="L27" s="196" t="s">
        <v>28</v>
      </c>
      <c r="M27" s="196" t="s">
        <v>95</v>
      </c>
      <c r="N27" s="196" t="s">
        <v>82</v>
      </c>
      <c r="O27" s="196" t="s">
        <v>16</v>
      </c>
      <c r="Q27" s="195">
        <v>7</v>
      </c>
      <c r="R27" s="195">
        <v>9</v>
      </c>
      <c r="S27" s="195">
        <v>17</v>
      </c>
      <c r="T27" s="195">
        <v>14</v>
      </c>
      <c r="U27" s="195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6" t="s">
        <v>97</v>
      </c>
      <c r="L28" s="196" t="s">
        <v>31</v>
      </c>
      <c r="M28" s="196" t="s">
        <v>83</v>
      </c>
      <c r="N28" s="196" t="s">
        <v>29</v>
      </c>
      <c r="O28" s="196" t="s">
        <v>31</v>
      </c>
      <c r="Q28" s="195">
        <v>6</v>
      </c>
      <c r="R28" s="195">
        <v>7</v>
      </c>
      <c r="S28" s="195">
        <v>16</v>
      </c>
      <c r="T28" s="195">
        <v>8</v>
      </c>
      <c r="U28" s="195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308</v>
      </c>
      <c r="AH28" s="5"/>
      <c r="AI28" s="5"/>
      <c r="AJ28" s="25" t="s">
        <v>308</v>
      </c>
      <c r="AO28" s="5"/>
    </row>
    <row r="29" spans="1:41" ht="16.5" customHeight="1">
      <c r="I29" s="82"/>
      <c r="J29" s="195">
        <v>25</v>
      </c>
      <c r="K29" s="196" t="s">
        <v>28</v>
      </c>
      <c r="L29" s="196" t="s">
        <v>13</v>
      </c>
      <c r="M29" s="196" t="s">
        <v>82</v>
      </c>
      <c r="N29" s="196" t="s">
        <v>31</v>
      </c>
      <c r="O29" s="196" t="s">
        <v>12</v>
      </c>
      <c r="Q29" s="195">
        <v>9</v>
      </c>
      <c r="R29" s="195">
        <v>5</v>
      </c>
      <c r="S29" s="195">
        <v>14</v>
      </c>
      <c r="T29" s="195">
        <v>7</v>
      </c>
      <c r="U29" s="195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2" t="s">
        <v>36</v>
      </c>
      <c r="AD29" s="122" t="s">
        <v>7</v>
      </c>
      <c r="AE29" s="122" t="s">
        <v>8</v>
      </c>
      <c r="AF29" s="122" t="s">
        <v>9</v>
      </c>
      <c r="AG29" s="122" t="s">
        <v>10</v>
      </c>
      <c r="AH29" s="122" t="s">
        <v>11</v>
      </c>
      <c r="AI29" s="5"/>
      <c r="AJ29" s="122" t="s">
        <v>36</v>
      </c>
      <c r="AK29" s="122" t="s">
        <v>7</v>
      </c>
      <c r="AL29" s="122" t="s">
        <v>8</v>
      </c>
      <c r="AM29" s="122" t="s">
        <v>9</v>
      </c>
      <c r="AN29" s="122" t="s">
        <v>10</v>
      </c>
      <c r="AO29" s="122" t="s">
        <v>11</v>
      </c>
    </row>
    <row r="30" spans="1:41" ht="16.5" customHeight="1">
      <c r="I30" s="82"/>
      <c r="J30" s="23">
        <v>26</v>
      </c>
      <c r="K30" s="196" t="s">
        <v>31</v>
      </c>
      <c r="L30" s="196" t="s">
        <v>31</v>
      </c>
      <c r="M30" s="196" t="s">
        <v>88</v>
      </c>
      <c r="N30" s="196" t="s">
        <v>82</v>
      </c>
      <c r="O30" s="196" t="s">
        <v>15</v>
      </c>
      <c r="Q30" s="195">
        <v>7</v>
      </c>
      <c r="R30" s="195">
        <v>7</v>
      </c>
      <c r="S30" s="195">
        <v>19</v>
      </c>
      <c r="T30" s="195">
        <v>14</v>
      </c>
      <c r="U30" s="195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201" t="s">
        <v>306</v>
      </c>
      <c r="AD30" s="126">
        <v>0</v>
      </c>
      <c r="AE30" s="126">
        <v>0</v>
      </c>
      <c r="AF30" s="126">
        <v>0</v>
      </c>
      <c r="AG30" s="126">
        <v>0</v>
      </c>
      <c r="AH30" s="126">
        <v>0</v>
      </c>
      <c r="AI30" s="5"/>
      <c r="AJ30" s="201" t="s">
        <v>306</v>
      </c>
      <c r="AK30" s="126">
        <v>0</v>
      </c>
      <c r="AL30" s="126">
        <v>0</v>
      </c>
      <c r="AM30" s="126">
        <v>0</v>
      </c>
      <c r="AN30" s="126">
        <v>0</v>
      </c>
      <c r="AO30" s="126">
        <v>0</v>
      </c>
    </row>
    <row r="31" spans="1:41" ht="16.5" customHeight="1">
      <c r="I31" s="82"/>
      <c r="J31" s="195">
        <v>27</v>
      </c>
      <c r="K31" s="196" t="s">
        <v>97</v>
      </c>
      <c r="L31" s="196" t="s">
        <v>16</v>
      </c>
      <c r="M31" s="196" t="s">
        <v>95</v>
      </c>
      <c r="N31" s="196" t="s">
        <v>83</v>
      </c>
      <c r="O31" s="196" t="s">
        <v>30</v>
      </c>
      <c r="Q31" s="195">
        <v>6</v>
      </c>
      <c r="R31" s="195">
        <v>3</v>
      </c>
      <c r="S31" s="195">
        <v>17</v>
      </c>
      <c r="T31" s="195">
        <v>16</v>
      </c>
      <c r="U31" s="195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201" t="s">
        <v>14</v>
      </c>
      <c r="AD31" s="201">
        <v>1</v>
      </c>
      <c r="AE31" s="201">
        <v>1</v>
      </c>
      <c r="AF31" s="201">
        <v>0</v>
      </c>
      <c r="AG31" s="201">
        <v>1</v>
      </c>
      <c r="AH31" s="201">
        <v>1</v>
      </c>
      <c r="AI31" s="5"/>
      <c r="AJ31" s="201" t="s">
        <v>14</v>
      </c>
      <c r="AK31" s="201">
        <v>1</v>
      </c>
      <c r="AL31" s="201">
        <v>1</v>
      </c>
      <c r="AM31" s="201">
        <v>0</v>
      </c>
      <c r="AN31" s="201">
        <v>1</v>
      </c>
      <c r="AO31" s="201">
        <v>1</v>
      </c>
    </row>
    <row r="32" spans="1:41" ht="16.5" customHeight="1">
      <c r="J32" s="23">
        <v>28</v>
      </c>
      <c r="K32" s="196" t="s">
        <v>29</v>
      </c>
      <c r="L32" s="196" t="s">
        <v>31</v>
      </c>
      <c r="M32" s="196" t="s">
        <v>83</v>
      </c>
      <c r="N32" s="196" t="s">
        <v>97</v>
      </c>
      <c r="O32" s="196" t="s">
        <v>31</v>
      </c>
      <c r="Q32" s="195">
        <v>8</v>
      </c>
      <c r="R32" s="195">
        <v>7</v>
      </c>
      <c r="S32" s="195">
        <v>16</v>
      </c>
      <c r="T32" s="195">
        <v>6</v>
      </c>
      <c r="U32" s="195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6" t="s">
        <v>15</v>
      </c>
      <c r="AD32" s="202">
        <v>3</v>
      </c>
      <c r="AE32" s="202">
        <v>10</v>
      </c>
      <c r="AF32" s="202">
        <v>0</v>
      </c>
      <c r="AG32" s="202">
        <v>3</v>
      </c>
      <c r="AH32" s="202">
        <v>9</v>
      </c>
      <c r="AI32" s="5"/>
      <c r="AJ32" s="136" t="s">
        <v>15</v>
      </c>
      <c r="AK32" s="202">
        <v>3</v>
      </c>
      <c r="AL32" s="202">
        <v>10</v>
      </c>
      <c r="AM32" s="202">
        <v>0</v>
      </c>
      <c r="AN32" s="202">
        <v>3</v>
      </c>
      <c r="AO32" s="202">
        <v>9</v>
      </c>
    </row>
    <row r="33" spans="10:41" ht="16.5" customHeight="1">
      <c r="J33" s="195">
        <v>29</v>
      </c>
      <c r="K33" s="196" t="s">
        <v>13</v>
      </c>
      <c r="L33" s="196" t="s">
        <v>29</v>
      </c>
      <c r="M33" s="196" t="s">
        <v>95</v>
      </c>
      <c r="N33" s="196" t="s">
        <v>98</v>
      </c>
      <c r="O33" s="196" t="s">
        <v>15</v>
      </c>
      <c r="Q33" s="195">
        <v>5</v>
      </c>
      <c r="R33" s="195">
        <v>8</v>
      </c>
      <c r="S33" s="195">
        <v>17</v>
      </c>
      <c r="T33" s="195">
        <v>15</v>
      </c>
      <c r="U33" s="195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6" t="s">
        <v>16</v>
      </c>
      <c r="AD33" s="202">
        <v>3</v>
      </c>
      <c r="AE33" s="202">
        <v>12</v>
      </c>
      <c r="AF33" s="202">
        <v>0</v>
      </c>
      <c r="AG33" s="202">
        <v>3</v>
      </c>
      <c r="AH33" s="202">
        <v>8</v>
      </c>
      <c r="AI33" s="5"/>
      <c r="AJ33" s="136" t="s">
        <v>16</v>
      </c>
      <c r="AK33" s="202">
        <v>3</v>
      </c>
      <c r="AL33" s="202">
        <v>12</v>
      </c>
      <c r="AM33" s="202">
        <v>0</v>
      </c>
      <c r="AN33" s="202">
        <v>3</v>
      </c>
      <c r="AO33" s="202">
        <v>8</v>
      </c>
    </row>
    <row r="34" spans="10:41" ht="16.5" customHeight="1">
      <c r="J34" s="23">
        <v>30</v>
      </c>
      <c r="K34" s="196" t="s">
        <v>30</v>
      </c>
      <c r="L34" s="196" t="s">
        <v>83</v>
      </c>
      <c r="M34" s="196" t="s">
        <v>83</v>
      </c>
      <c r="N34" s="196" t="s">
        <v>29</v>
      </c>
      <c r="O34" s="196" t="s">
        <v>13</v>
      </c>
      <c r="Q34" s="195">
        <v>10</v>
      </c>
      <c r="R34" s="195">
        <v>16</v>
      </c>
      <c r="S34" s="195">
        <v>16</v>
      </c>
      <c r="T34" s="195">
        <v>8</v>
      </c>
      <c r="U34" s="195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6" t="s">
        <v>12</v>
      </c>
      <c r="AD34" s="202">
        <v>7</v>
      </c>
      <c r="AE34" s="202">
        <v>13</v>
      </c>
      <c r="AF34" s="202">
        <v>0</v>
      </c>
      <c r="AG34" s="202">
        <v>7</v>
      </c>
      <c r="AH34" s="202">
        <v>14</v>
      </c>
      <c r="AI34" s="5"/>
      <c r="AJ34" s="136" t="s">
        <v>12</v>
      </c>
      <c r="AK34" s="202">
        <v>7</v>
      </c>
      <c r="AL34" s="202">
        <v>13</v>
      </c>
      <c r="AM34" s="202">
        <v>0</v>
      </c>
      <c r="AN34" s="202">
        <v>7</v>
      </c>
      <c r="AO34" s="202">
        <v>14</v>
      </c>
    </row>
    <row r="35" spans="10:41" ht="16.5" customHeight="1">
      <c r="J35" s="195">
        <v>31</v>
      </c>
      <c r="K35" s="196" t="s">
        <v>13</v>
      </c>
      <c r="L35" s="196" t="s">
        <v>97</v>
      </c>
      <c r="M35" s="196" t="s">
        <v>95</v>
      </c>
      <c r="N35" s="196" t="s">
        <v>97</v>
      </c>
      <c r="O35" s="196" t="s">
        <v>29</v>
      </c>
      <c r="Q35" s="195">
        <v>5</v>
      </c>
      <c r="R35" s="195">
        <v>6</v>
      </c>
      <c r="S35" s="195">
        <v>17</v>
      </c>
      <c r="T35" s="195">
        <v>6</v>
      </c>
      <c r="U35" s="195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6" t="s">
        <v>13</v>
      </c>
      <c r="AD35" s="202">
        <v>43</v>
      </c>
      <c r="AE35" s="202">
        <v>22</v>
      </c>
      <c r="AF35" s="202">
        <v>0</v>
      </c>
      <c r="AG35" s="202">
        <v>31</v>
      </c>
      <c r="AH35" s="202">
        <v>36</v>
      </c>
      <c r="AI35" s="5"/>
      <c r="AJ35" s="136" t="s">
        <v>13</v>
      </c>
      <c r="AK35" s="202">
        <v>43</v>
      </c>
      <c r="AL35" s="202">
        <v>22</v>
      </c>
      <c r="AM35" s="202">
        <v>0</v>
      </c>
      <c r="AN35" s="202">
        <v>31</v>
      </c>
      <c r="AO35" s="202">
        <v>36</v>
      </c>
    </row>
    <row r="36" spans="10:41" ht="16.5" customHeight="1">
      <c r="J36" s="23">
        <v>32</v>
      </c>
      <c r="K36" s="196" t="s">
        <v>97</v>
      </c>
      <c r="L36" s="196" t="s">
        <v>12</v>
      </c>
      <c r="M36" s="196" t="s">
        <v>81</v>
      </c>
      <c r="N36" s="196" t="s">
        <v>98</v>
      </c>
      <c r="O36" s="196" t="s">
        <v>12</v>
      </c>
      <c r="Q36" s="195">
        <v>6</v>
      </c>
      <c r="R36" s="195">
        <v>4</v>
      </c>
      <c r="S36" s="195">
        <v>13</v>
      </c>
      <c r="T36" s="195">
        <v>15</v>
      </c>
      <c r="U36" s="195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6" t="s">
        <v>97</v>
      </c>
      <c r="AD36" s="202">
        <v>42</v>
      </c>
      <c r="AE36" s="202">
        <v>22</v>
      </c>
      <c r="AF36" s="202">
        <v>0</v>
      </c>
      <c r="AG36" s="202">
        <v>27</v>
      </c>
      <c r="AH36" s="202">
        <v>34</v>
      </c>
      <c r="AI36" s="5"/>
      <c r="AJ36" s="136" t="s">
        <v>97</v>
      </c>
      <c r="AK36" s="202">
        <v>42</v>
      </c>
      <c r="AL36" s="202">
        <v>22</v>
      </c>
      <c r="AM36" s="202">
        <v>0</v>
      </c>
      <c r="AN36" s="202">
        <v>27</v>
      </c>
      <c r="AO36" s="202">
        <v>34</v>
      </c>
    </row>
    <row r="37" spans="10:41" ht="16.5" customHeight="1">
      <c r="J37" s="195">
        <v>33</v>
      </c>
      <c r="K37" s="196" t="s">
        <v>29</v>
      </c>
      <c r="L37" s="196" t="s">
        <v>86</v>
      </c>
      <c r="M37" s="196" t="s">
        <v>83</v>
      </c>
      <c r="N37" s="196" t="s">
        <v>31</v>
      </c>
      <c r="O37" s="196" t="s">
        <v>15</v>
      </c>
      <c r="Q37" s="195">
        <v>8</v>
      </c>
      <c r="R37" s="195">
        <v>18</v>
      </c>
      <c r="S37" s="195">
        <v>16</v>
      </c>
      <c r="T37" s="195">
        <v>7</v>
      </c>
      <c r="U37" s="195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6" t="s">
        <v>31</v>
      </c>
      <c r="AD37" s="202">
        <v>43</v>
      </c>
      <c r="AE37" s="202">
        <v>27</v>
      </c>
      <c r="AF37" s="202">
        <v>0</v>
      </c>
      <c r="AG37" s="202">
        <v>31</v>
      </c>
      <c r="AH37" s="202">
        <v>35</v>
      </c>
      <c r="AI37" s="5"/>
      <c r="AJ37" s="136" t="s">
        <v>31</v>
      </c>
      <c r="AK37" s="202">
        <v>43</v>
      </c>
      <c r="AL37" s="202">
        <v>27</v>
      </c>
      <c r="AM37" s="202">
        <v>0</v>
      </c>
      <c r="AN37" s="202">
        <v>31</v>
      </c>
      <c r="AO37" s="202">
        <v>35</v>
      </c>
    </row>
    <row r="38" spans="10:41" ht="16.5" customHeight="1">
      <c r="J38" s="23">
        <v>34</v>
      </c>
      <c r="K38" s="196" t="s">
        <v>31</v>
      </c>
      <c r="L38" s="196" t="s">
        <v>13</v>
      </c>
      <c r="M38" s="196" t="s">
        <v>86</v>
      </c>
      <c r="N38" s="196" t="s">
        <v>95</v>
      </c>
      <c r="O38" s="196" t="s">
        <v>97</v>
      </c>
      <c r="Q38" s="195">
        <v>7</v>
      </c>
      <c r="R38" s="195">
        <v>5</v>
      </c>
      <c r="S38" s="195">
        <v>18</v>
      </c>
      <c r="T38" s="195">
        <v>17</v>
      </c>
      <c r="U38" s="195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6" t="s">
        <v>29</v>
      </c>
      <c r="AD38" s="202">
        <v>43</v>
      </c>
      <c r="AE38" s="202">
        <v>24</v>
      </c>
      <c r="AF38" s="202">
        <v>0</v>
      </c>
      <c r="AG38" s="202">
        <v>32</v>
      </c>
      <c r="AH38" s="202">
        <v>34</v>
      </c>
      <c r="AI38" s="5"/>
      <c r="AJ38" s="136" t="s">
        <v>29</v>
      </c>
      <c r="AK38" s="202">
        <v>43</v>
      </c>
      <c r="AL38" s="202">
        <v>24</v>
      </c>
      <c r="AM38" s="202">
        <v>0</v>
      </c>
      <c r="AN38" s="202">
        <v>32</v>
      </c>
      <c r="AO38" s="202">
        <v>34</v>
      </c>
    </row>
    <row r="39" spans="10:41" ht="16.5" customHeight="1">
      <c r="J39" s="195">
        <v>35</v>
      </c>
      <c r="K39" s="196" t="s">
        <v>97</v>
      </c>
      <c r="L39" s="196" t="s">
        <v>12</v>
      </c>
      <c r="M39" s="196" t="s">
        <v>98</v>
      </c>
      <c r="N39" s="196" t="s">
        <v>12</v>
      </c>
      <c r="O39" s="196" t="s">
        <v>13</v>
      </c>
      <c r="Q39" s="195">
        <v>6</v>
      </c>
      <c r="R39" s="195">
        <v>4</v>
      </c>
      <c r="S39" s="195">
        <v>15</v>
      </c>
      <c r="T39" s="195">
        <v>4</v>
      </c>
      <c r="U39" s="195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6" t="s">
        <v>28</v>
      </c>
      <c r="AD39" s="202">
        <v>7</v>
      </c>
      <c r="AE39" s="202">
        <v>12</v>
      </c>
      <c r="AF39" s="202">
        <v>0</v>
      </c>
      <c r="AG39" s="202">
        <v>6</v>
      </c>
      <c r="AH39" s="202">
        <v>13</v>
      </c>
      <c r="AI39" s="5"/>
      <c r="AJ39" s="136" t="s">
        <v>28</v>
      </c>
      <c r="AK39" s="202">
        <v>7</v>
      </c>
      <c r="AL39" s="202">
        <v>12</v>
      </c>
      <c r="AM39" s="202">
        <v>0</v>
      </c>
      <c r="AN39" s="202">
        <v>6</v>
      </c>
      <c r="AO39" s="202">
        <v>13</v>
      </c>
    </row>
    <row r="40" spans="10:41" ht="16.5" customHeight="1">
      <c r="J40" s="23">
        <v>36</v>
      </c>
      <c r="K40" s="196" t="s">
        <v>13</v>
      </c>
      <c r="L40" s="196" t="s">
        <v>13</v>
      </c>
      <c r="M40" s="196" t="s">
        <v>83</v>
      </c>
      <c r="N40" s="196" t="s">
        <v>29</v>
      </c>
      <c r="O40" s="196" t="s">
        <v>31</v>
      </c>
      <c r="Q40" s="195">
        <v>5</v>
      </c>
      <c r="R40" s="195">
        <v>5</v>
      </c>
      <c r="S40" s="195">
        <v>16</v>
      </c>
      <c r="T40" s="195">
        <v>8</v>
      </c>
      <c r="U40" s="195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6" t="s">
        <v>30</v>
      </c>
      <c r="AD40" s="202">
        <v>7</v>
      </c>
      <c r="AE40" s="202">
        <v>8</v>
      </c>
      <c r="AF40" s="202">
        <v>0</v>
      </c>
      <c r="AG40" s="202">
        <v>7</v>
      </c>
      <c r="AH40" s="202">
        <v>14</v>
      </c>
      <c r="AI40" s="5"/>
      <c r="AJ40" s="136" t="s">
        <v>30</v>
      </c>
      <c r="AK40" s="202">
        <v>7</v>
      </c>
      <c r="AL40" s="202">
        <v>8</v>
      </c>
      <c r="AM40" s="202">
        <v>0</v>
      </c>
      <c r="AN40" s="202">
        <v>7</v>
      </c>
      <c r="AO40" s="202">
        <v>14</v>
      </c>
    </row>
    <row r="41" spans="10:41" ht="16.5" customHeight="1">
      <c r="J41" s="195">
        <v>37</v>
      </c>
      <c r="K41" s="196" t="s">
        <v>97</v>
      </c>
      <c r="L41" s="196" t="s">
        <v>97</v>
      </c>
      <c r="M41" s="196" t="s">
        <v>88</v>
      </c>
      <c r="N41" s="196" t="s">
        <v>79</v>
      </c>
      <c r="O41" s="196" t="s">
        <v>97</v>
      </c>
      <c r="Q41" s="195">
        <v>6</v>
      </c>
      <c r="R41" s="195">
        <v>6</v>
      </c>
      <c r="S41" s="195">
        <v>19</v>
      </c>
      <c r="T41" s="195">
        <v>11</v>
      </c>
      <c r="U41" s="195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201" t="s">
        <v>79</v>
      </c>
      <c r="AD41" s="203">
        <v>0</v>
      </c>
      <c r="AE41" s="203">
        <v>3</v>
      </c>
      <c r="AF41" s="203">
        <v>3</v>
      </c>
      <c r="AG41" s="203">
        <v>2</v>
      </c>
      <c r="AH41" s="203">
        <v>0</v>
      </c>
      <c r="AI41" s="5"/>
      <c r="AJ41" s="201" t="s">
        <v>79</v>
      </c>
      <c r="AK41" s="203">
        <v>0</v>
      </c>
      <c r="AL41" s="203">
        <v>3</v>
      </c>
      <c r="AM41" s="203">
        <v>3</v>
      </c>
      <c r="AN41" s="203">
        <v>2</v>
      </c>
      <c r="AO41" s="203">
        <v>0</v>
      </c>
    </row>
    <row r="42" spans="10:41" ht="16.5" customHeight="1">
      <c r="J42" s="23">
        <v>38</v>
      </c>
      <c r="K42" s="196" t="s">
        <v>29</v>
      </c>
      <c r="L42" s="196" t="s">
        <v>31</v>
      </c>
      <c r="M42" s="196" t="s">
        <v>82</v>
      </c>
      <c r="N42" s="196" t="s">
        <v>29</v>
      </c>
      <c r="O42" s="196" t="s">
        <v>29</v>
      </c>
      <c r="Q42" s="195">
        <v>8</v>
      </c>
      <c r="R42" s="195">
        <v>7</v>
      </c>
      <c r="S42" s="195">
        <v>14</v>
      </c>
      <c r="T42" s="195">
        <v>8</v>
      </c>
      <c r="U42" s="195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201" t="s">
        <v>80</v>
      </c>
      <c r="AD42" s="203">
        <v>0</v>
      </c>
      <c r="AE42" s="203">
        <v>4</v>
      </c>
      <c r="AF42" s="203">
        <v>1</v>
      </c>
      <c r="AG42" s="203">
        <v>2</v>
      </c>
      <c r="AH42" s="203">
        <v>0</v>
      </c>
      <c r="AI42" s="5"/>
      <c r="AJ42" s="201" t="s">
        <v>80</v>
      </c>
      <c r="AK42" s="203">
        <v>0</v>
      </c>
      <c r="AL42" s="203">
        <v>4</v>
      </c>
      <c r="AM42" s="203">
        <v>1</v>
      </c>
      <c r="AN42" s="203">
        <v>2</v>
      </c>
      <c r="AO42" s="203">
        <v>0</v>
      </c>
    </row>
    <row r="43" spans="10:41" ht="16.5" customHeight="1">
      <c r="J43" s="195">
        <v>39</v>
      </c>
      <c r="K43" s="196" t="s">
        <v>31</v>
      </c>
      <c r="L43" s="196" t="s">
        <v>97</v>
      </c>
      <c r="M43" s="196" t="s">
        <v>83</v>
      </c>
      <c r="N43" s="196" t="s">
        <v>13</v>
      </c>
      <c r="O43" s="196" t="s">
        <v>31</v>
      </c>
      <c r="Q43" s="195">
        <v>7</v>
      </c>
      <c r="R43" s="195">
        <v>6</v>
      </c>
      <c r="S43" s="195">
        <v>16</v>
      </c>
      <c r="T43" s="195">
        <v>5</v>
      </c>
      <c r="U43" s="195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201" t="s">
        <v>81</v>
      </c>
      <c r="AD43" s="203">
        <v>0</v>
      </c>
      <c r="AE43" s="203">
        <v>4</v>
      </c>
      <c r="AF43" s="203">
        <v>8</v>
      </c>
      <c r="AG43" s="203">
        <v>3</v>
      </c>
      <c r="AH43" s="203">
        <v>0</v>
      </c>
      <c r="AI43" s="5"/>
      <c r="AJ43" s="201" t="s">
        <v>81</v>
      </c>
      <c r="AK43" s="203">
        <v>0</v>
      </c>
      <c r="AL43" s="203">
        <v>4</v>
      </c>
      <c r="AM43" s="203">
        <v>8</v>
      </c>
      <c r="AN43" s="203">
        <v>3</v>
      </c>
      <c r="AO43" s="203">
        <v>0</v>
      </c>
    </row>
    <row r="44" spans="10:41" ht="16.5" customHeight="1">
      <c r="J44" s="23">
        <v>40</v>
      </c>
      <c r="K44" s="196" t="s">
        <v>30</v>
      </c>
      <c r="L44" s="196" t="s">
        <v>28</v>
      </c>
      <c r="M44" s="196" t="s">
        <v>82</v>
      </c>
      <c r="N44" s="196" t="s">
        <v>29</v>
      </c>
      <c r="O44" s="196" t="s">
        <v>29</v>
      </c>
      <c r="Q44" s="195">
        <v>10</v>
      </c>
      <c r="R44" s="195">
        <v>9</v>
      </c>
      <c r="S44" s="195">
        <v>14</v>
      </c>
      <c r="T44" s="195">
        <v>8</v>
      </c>
      <c r="U44" s="195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201" t="s">
        <v>82</v>
      </c>
      <c r="AD44" s="203">
        <v>0</v>
      </c>
      <c r="AE44" s="203">
        <v>9</v>
      </c>
      <c r="AF44" s="203">
        <v>43</v>
      </c>
      <c r="AG44" s="203">
        <v>12</v>
      </c>
      <c r="AH44" s="203">
        <v>0</v>
      </c>
      <c r="AI44" s="5"/>
      <c r="AJ44" s="201" t="s">
        <v>82</v>
      </c>
      <c r="AK44" s="203">
        <v>0</v>
      </c>
      <c r="AL44" s="203">
        <v>9</v>
      </c>
      <c r="AM44" s="203">
        <v>43</v>
      </c>
      <c r="AN44" s="203">
        <v>12</v>
      </c>
      <c r="AO44" s="203">
        <v>0</v>
      </c>
    </row>
    <row r="45" spans="10:41" ht="16.5" customHeight="1">
      <c r="J45" s="195">
        <v>41</v>
      </c>
      <c r="K45" s="196" t="s">
        <v>31</v>
      </c>
      <c r="L45" s="196" t="s">
        <v>97</v>
      </c>
      <c r="M45" s="196" t="s">
        <v>98</v>
      </c>
      <c r="N45" s="196" t="s">
        <v>97</v>
      </c>
      <c r="O45" s="196" t="s">
        <v>15</v>
      </c>
      <c r="Q45" s="195">
        <v>7</v>
      </c>
      <c r="R45" s="195">
        <v>6</v>
      </c>
      <c r="S45" s="195">
        <v>15</v>
      </c>
      <c r="T45" s="195">
        <v>6</v>
      </c>
      <c r="U45" s="195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201" t="s">
        <v>98</v>
      </c>
      <c r="AD45" s="203">
        <v>0</v>
      </c>
      <c r="AE45" s="203">
        <v>9</v>
      </c>
      <c r="AF45" s="203">
        <v>42</v>
      </c>
      <c r="AG45" s="203">
        <v>13</v>
      </c>
      <c r="AH45" s="203">
        <v>0</v>
      </c>
      <c r="AI45" s="5"/>
      <c r="AJ45" s="201" t="s">
        <v>98</v>
      </c>
      <c r="AK45" s="203">
        <v>0</v>
      </c>
      <c r="AL45" s="203">
        <v>9</v>
      </c>
      <c r="AM45" s="203">
        <v>42</v>
      </c>
      <c r="AN45" s="203">
        <v>13</v>
      </c>
      <c r="AO45" s="203">
        <v>0</v>
      </c>
    </row>
    <row r="46" spans="10:41" ht="16.5" customHeight="1">
      <c r="J46" s="23">
        <v>42</v>
      </c>
      <c r="K46" s="196" t="s">
        <v>29</v>
      </c>
      <c r="L46" s="196" t="s">
        <v>16</v>
      </c>
      <c r="M46" s="196" t="s">
        <v>83</v>
      </c>
      <c r="N46" s="196" t="s">
        <v>29</v>
      </c>
      <c r="O46" s="196" t="s">
        <v>13</v>
      </c>
      <c r="Q46" s="195">
        <v>8</v>
      </c>
      <c r="R46" s="195">
        <v>3</v>
      </c>
      <c r="S46" s="195">
        <v>16</v>
      </c>
      <c r="T46" s="195">
        <v>8</v>
      </c>
      <c r="U46" s="195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201" t="s">
        <v>83</v>
      </c>
      <c r="AD46" s="203">
        <v>0</v>
      </c>
      <c r="AE46" s="203">
        <v>11</v>
      </c>
      <c r="AF46" s="203">
        <v>42</v>
      </c>
      <c r="AG46" s="203">
        <v>11</v>
      </c>
      <c r="AH46" s="203">
        <v>0</v>
      </c>
      <c r="AI46" s="5"/>
      <c r="AJ46" s="201" t="s">
        <v>83</v>
      </c>
      <c r="AK46" s="203">
        <v>0</v>
      </c>
      <c r="AL46" s="203">
        <v>11</v>
      </c>
      <c r="AM46" s="203">
        <v>42</v>
      </c>
      <c r="AN46" s="203">
        <v>11</v>
      </c>
      <c r="AO46" s="203">
        <v>0</v>
      </c>
    </row>
    <row r="47" spans="10:41" ht="16.5" customHeight="1">
      <c r="J47" s="195">
        <v>43</v>
      </c>
      <c r="K47" s="196" t="s">
        <v>97</v>
      </c>
      <c r="L47" s="196" t="s">
        <v>12</v>
      </c>
      <c r="M47" s="196" t="s">
        <v>98</v>
      </c>
      <c r="N47" s="196" t="s">
        <v>13</v>
      </c>
      <c r="O47" s="196" t="s">
        <v>29</v>
      </c>
      <c r="Q47" s="195">
        <v>6</v>
      </c>
      <c r="R47" s="195">
        <v>4</v>
      </c>
      <c r="S47" s="195">
        <v>15</v>
      </c>
      <c r="T47" s="195">
        <v>5</v>
      </c>
      <c r="U47" s="195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201" t="s">
        <v>95</v>
      </c>
      <c r="AD47" s="203">
        <v>0</v>
      </c>
      <c r="AE47" s="203">
        <v>10</v>
      </c>
      <c r="AF47" s="203">
        <v>44</v>
      </c>
      <c r="AG47" s="203">
        <v>11</v>
      </c>
      <c r="AH47" s="203">
        <v>0</v>
      </c>
      <c r="AI47" s="5"/>
      <c r="AJ47" s="201" t="s">
        <v>95</v>
      </c>
      <c r="AK47" s="203">
        <v>0</v>
      </c>
      <c r="AL47" s="203">
        <v>10</v>
      </c>
      <c r="AM47" s="203">
        <v>44</v>
      </c>
      <c r="AN47" s="203">
        <v>11</v>
      </c>
      <c r="AO47" s="203">
        <v>0</v>
      </c>
    </row>
    <row r="48" spans="10:41" ht="16.5" customHeight="1">
      <c r="J48" s="23">
        <v>44</v>
      </c>
      <c r="K48" s="196" t="s">
        <v>16</v>
      </c>
      <c r="L48" s="196" t="s">
        <v>31</v>
      </c>
      <c r="M48" s="196" t="s">
        <v>95</v>
      </c>
      <c r="N48" s="196" t="s">
        <v>31</v>
      </c>
      <c r="O48" s="196" t="s">
        <v>97</v>
      </c>
      <c r="Q48" s="195">
        <v>3</v>
      </c>
      <c r="R48" s="195">
        <v>7</v>
      </c>
      <c r="S48" s="195">
        <v>17</v>
      </c>
      <c r="T48" s="195">
        <v>7</v>
      </c>
      <c r="U48" s="195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201" t="s">
        <v>86</v>
      </c>
      <c r="AD48" s="203">
        <v>0</v>
      </c>
      <c r="AE48" s="203">
        <v>4</v>
      </c>
      <c r="AF48" s="203">
        <v>6</v>
      </c>
      <c r="AG48" s="203">
        <v>2</v>
      </c>
      <c r="AH48" s="203">
        <v>0</v>
      </c>
      <c r="AI48" s="5"/>
      <c r="AJ48" s="201" t="s">
        <v>86</v>
      </c>
      <c r="AK48" s="203">
        <v>0</v>
      </c>
      <c r="AL48" s="203">
        <v>4</v>
      </c>
      <c r="AM48" s="203">
        <v>6</v>
      </c>
      <c r="AN48" s="203">
        <v>2</v>
      </c>
      <c r="AO48" s="203">
        <v>0</v>
      </c>
    </row>
    <row r="49" spans="10:41" ht="16.5" customHeight="1">
      <c r="J49" s="195">
        <v>45</v>
      </c>
      <c r="K49" s="196" t="s">
        <v>31</v>
      </c>
      <c r="L49" s="196" t="s">
        <v>97</v>
      </c>
      <c r="M49" s="196" t="s">
        <v>83</v>
      </c>
      <c r="N49" s="196" t="s">
        <v>98</v>
      </c>
      <c r="O49" s="196" t="s">
        <v>12</v>
      </c>
      <c r="Q49" s="195">
        <v>7</v>
      </c>
      <c r="R49" s="195">
        <v>6</v>
      </c>
      <c r="S49" s="195">
        <v>16</v>
      </c>
      <c r="T49" s="195">
        <v>15</v>
      </c>
      <c r="U49" s="195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201" t="s">
        <v>88</v>
      </c>
      <c r="AD49" s="203">
        <v>0</v>
      </c>
      <c r="AE49" s="203">
        <v>3</v>
      </c>
      <c r="AF49" s="203">
        <v>9</v>
      </c>
      <c r="AG49" s="203">
        <v>3</v>
      </c>
      <c r="AH49" s="203">
        <v>0</v>
      </c>
      <c r="AI49" s="5"/>
      <c r="AJ49" s="201" t="s">
        <v>88</v>
      </c>
      <c r="AK49" s="203">
        <v>0</v>
      </c>
      <c r="AL49" s="203">
        <v>3</v>
      </c>
      <c r="AM49" s="203">
        <v>9</v>
      </c>
      <c r="AN49" s="203">
        <v>3</v>
      </c>
      <c r="AO49" s="203">
        <v>0</v>
      </c>
    </row>
    <row r="50" spans="10:41" ht="16.5" customHeight="1">
      <c r="J50" s="23">
        <v>46</v>
      </c>
      <c r="K50" s="196" t="s">
        <v>97</v>
      </c>
      <c r="L50" s="196" t="s">
        <v>98</v>
      </c>
      <c r="M50" s="196" t="s">
        <v>98</v>
      </c>
      <c r="N50" s="196" t="s">
        <v>31</v>
      </c>
      <c r="O50" s="196" t="s">
        <v>31</v>
      </c>
      <c r="Q50" s="195">
        <v>6</v>
      </c>
      <c r="R50" s="195">
        <v>15</v>
      </c>
      <c r="S50" s="195">
        <v>15</v>
      </c>
      <c r="T50" s="195">
        <v>7</v>
      </c>
      <c r="U50" s="195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5">
        <v>47</v>
      </c>
      <c r="K51" s="196" t="s">
        <v>29</v>
      </c>
      <c r="L51" s="196" t="s">
        <v>29</v>
      </c>
      <c r="M51" s="196" t="s">
        <v>83</v>
      </c>
      <c r="N51" s="196" t="s">
        <v>12</v>
      </c>
      <c r="O51" s="196" t="s">
        <v>30</v>
      </c>
      <c r="Q51" s="195">
        <v>8</v>
      </c>
      <c r="R51" s="195">
        <v>8</v>
      </c>
      <c r="S51" s="195">
        <v>16</v>
      </c>
      <c r="T51" s="195">
        <v>4</v>
      </c>
      <c r="U51" s="195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6" t="s">
        <v>13</v>
      </c>
      <c r="L52" s="196" t="s">
        <v>97</v>
      </c>
      <c r="M52" s="196" t="s">
        <v>95</v>
      </c>
      <c r="N52" s="196" t="s">
        <v>95</v>
      </c>
      <c r="O52" s="196" t="s">
        <v>15</v>
      </c>
      <c r="Q52" s="195">
        <v>5</v>
      </c>
      <c r="R52" s="195">
        <v>6</v>
      </c>
      <c r="S52" s="195">
        <v>17</v>
      </c>
      <c r="T52" s="195">
        <v>17</v>
      </c>
      <c r="U52" s="195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309</v>
      </c>
      <c r="AH52" s="5"/>
      <c r="AI52" s="5"/>
      <c r="AJ52" s="25" t="s">
        <v>309</v>
      </c>
      <c r="AO52" s="5"/>
    </row>
    <row r="53" spans="10:41" ht="16.5" customHeight="1">
      <c r="J53" s="195">
        <v>49</v>
      </c>
      <c r="K53" s="196" t="s">
        <v>97</v>
      </c>
      <c r="L53" s="196" t="s">
        <v>29</v>
      </c>
      <c r="M53" s="196" t="s">
        <v>82</v>
      </c>
      <c r="N53" s="196" t="s">
        <v>29</v>
      </c>
      <c r="O53" s="196" t="s">
        <v>31</v>
      </c>
      <c r="Q53" s="195">
        <v>6</v>
      </c>
      <c r="R53" s="195">
        <v>8</v>
      </c>
      <c r="S53" s="195">
        <v>14</v>
      </c>
      <c r="T53" s="195">
        <v>8</v>
      </c>
      <c r="U53" s="195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2" t="s">
        <v>36</v>
      </c>
      <c r="AD53" s="122" t="s">
        <v>7</v>
      </c>
      <c r="AE53" s="122" t="s">
        <v>8</v>
      </c>
      <c r="AF53" s="122" t="s">
        <v>9</v>
      </c>
      <c r="AG53" s="122" t="s">
        <v>10</v>
      </c>
      <c r="AH53" s="122" t="s">
        <v>11</v>
      </c>
      <c r="AI53" s="5"/>
      <c r="AJ53" s="122" t="s">
        <v>36</v>
      </c>
      <c r="AK53" s="122" t="s">
        <v>7</v>
      </c>
      <c r="AL53" s="122" t="s">
        <v>8</v>
      </c>
      <c r="AM53" s="122" t="s">
        <v>9</v>
      </c>
      <c r="AN53" s="122" t="s">
        <v>10</v>
      </c>
      <c r="AO53" s="122" t="s">
        <v>11</v>
      </c>
    </row>
    <row r="54" spans="10:41" ht="16.5" customHeight="1">
      <c r="J54" s="23">
        <v>50</v>
      </c>
      <c r="K54" s="196" t="s">
        <v>31</v>
      </c>
      <c r="L54" s="196" t="s">
        <v>31</v>
      </c>
      <c r="M54" s="196" t="s">
        <v>83</v>
      </c>
      <c r="N54" s="196" t="s">
        <v>13</v>
      </c>
      <c r="O54" s="196" t="s">
        <v>29</v>
      </c>
      <c r="Q54" s="195">
        <v>7</v>
      </c>
      <c r="R54" s="195">
        <v>7</v>
      </c>
      <c r="S54" s="195">
        <v>16</v>
      </c>
      <c r="T54" s="195">
        <v>5</v>
      </c>
      <c r="U54" s="195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201" t="s">
        <v>306</v>
      </c>
      <c r="AD54" s="126">
        <v>0</v>
      </c>
      <c r="AE54" s="126">
        <v>0</v>
      </c>
      <c r="AF54" s="126">
        <v>0</v>
      </c>
      <c r="AG54" s="126">
        <v>0</v>
      </c>
      <c r="AH54" s="126">
        <v>0</v>
      </c>
      <c r="AI54" s="5"/>
      <c r="AJ54" s="201" t="s">
        <v>306</v>
      </c>
      <c r="AK54" s="126">
        <v>0</v>
      </c>
      <c r="AL54" s="126">
        <v>0</v>
      </c>
      <c r="AM54" s="126">
        <v>0</v>
      </c>
      <c r="AN54" s="126">
        <v>0</v>
      </c>
      <c r="AO54" s="126">
        <v>0</v>
      </c>
    </row>
    <row r="55" spans="10:41" ht="16.5" customHeight="1">
      <c r="J55" s="195">
        <v>51</v>
      </c>
      <c r="K55" s="196" t="s">
        <v>13</v>
      </c>
      <c r="L55" s="196" t="s">
        <v>16</v>
      </c>
      <c r="M55" s="196" t="s">
        <v>95</v>
      </c>
      <c r="N55" s="196" t="s">
        <v>82</v>
      </c>
      <c r="O55" s="196" t="s">
        <v>31</v>
      </c>
      <c r="Q55" s="195">
        <v>5</v>
      </c>
      <c r="R55" s="195">
        <v>3</v>
      </c>
      <c r="S55" s="195">
        <v>17</v>
      </c>
      <c r="T55" s="195">
        <v>14</v>
      </c>
      <c r="U55" s="195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201" t="s">
        <v>14</v>
      </c>
      <c r="AD55" s="201">
        <v>1</v>
      </c>
      <c r="AE55" s="201">
        <v>1</v>
      </c>
      <c r="AF55" s="201">
        <v>0</v>
      </c>
      <c r="AG55" s="201">
        <v>1</v>
      </c>
      <c r="AH55" s="201">
        <v>1</v>
      </c>
      <c r="AI55" s="5"/>
      <c r="AJ55" s="201" t="s">
        <v>14</v>
      </c>
      <c r="AK55" s="201">
        <v>1</v>
      </c>
      <c r="AL55" s="201">
        <v>1</v>
      </c>
      <c r="AM55" s="201">
        <v>0</v>
      </c>
      <c r="AN55" s="201">
        <v>1</v>
      </c>
      <c r="AO55" s="201">
        <v>1</v>
      </c>
    </row>
    <row r="56" spans="10:41" ht="16.5" customHeight="1">
      <c r="J56" s="23">
        <v>52</v>
      </c>
      <c r="K56" s="196" t="s">
        <v>29</v>
      </c>
      <c r="L56" s="196" t="s">
        <v>31</v>
      </c>
      <c r="M56" s="196" t="s">
        <v>82</v>
      </c>
      <c r="N56" s="196" t="s">
        <v>97</v>
      </c>
      <c r="O56" s="196" t="s">
        <v>29</v>
      </c>
      <c r="Q56" s="195">
        <v>8</v>
      </c>
      <c r="R56" s="195">
        <v>7</v>
      </c>
      <c r="S56" s="195">
        <v>14</v>
      </c>
      <c r="T56" s="195">
        <v>6</v>
      </c>
      <c r="U56" s="195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6" t="s">
        <v>15</v>
      </c>
      <c r="AD56" s="202">
        <v>3</v>
      </c>
      <c r="AE56" s="202">
        <v>10</v>
      </c>
      <c r="AF56" s="202">
        <v>0</v>
      </c>
      <c r="AG56" s="202">
        <v>3</v>
      </c>
      <c r="AH56" s="202">
        <v>9</v>
      </c>
      <c r="AI56" s="5"/>
      <c r="AJ56" s="136" t="s">
        <v>15</v>
      </c>
      <c r="AK56" s="202">
        <v>3</v>
      </c>
      <c r="AL56" s="202">
        <v>10</v>
      </c>
      <c r="AM56" s="202">
        <v>0</v>
      </c>
      <c r="AN56" s="202">
        <v>3</v>
      </c>
      <c r="AO56" s="202">
        <v>9</v>
      </c>
    </row>
    <row r="57" spans="10:41" ht="16.5" customHeight="1">
      <c r="J57" s="195">
        <v>53</v>
      </c>
      <c r="K57" s="196" t="s">
        <v>31</v>
      </c>
      <c r="L57" s="196" t="s">
        <v>82</v>
      </c>
      <c r="M57" s="196" t="s">
        <v>80</v>
      </c>
      <c r="N57" s="196" t="s">
        <v>12</v>
      </c>
      <c r="O57" s="196" t="s">
        <v>13</v>
      </c>
      <c r="Q57" s="195">
        <v>7</v>
      </c>
      <c r="R57" s="195">
        <v>14</v>
      </c>
      <c r="S57" s="195">
        <v>12</v>
      </c>
      <c r="T57" s="195">
        <v>4</v>
      </c>
      <c r="U57" s="195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6" t="s">
        <v>16</v>
      </c>
      <c r="AD57" s="202">
        <v>3</v>
      </c>
      <c r="AE57" s="202">
        <v>12</v>
      </c>
      <c r="AF57" s="202">
        <v>0</v>
      </c>
      <c r="AG57" s="202">
        <v>3</v>
      </c>
      <c r="AH57" s="202">
        <v>8</v>
      </c>
      <c r="AI57" s="5"/>
      <c r="AJ57" s="136" t="s">
        <v>16</v>
      </c>
      <c r="AK57" s="202">
        <v>3</v>
      </c>
      <c r="AL57" s="202">
        <v>12</v>
      </c>
      <c r="AM57" s="202">
        <v>0</v>
      </c>
      <c r="AN57" s="202">
        <v>3</v>
      </c>
      <c r="AO57" s="202">
        <v>8</v>
      </c>
    </row>
    <row r="58" spans="10:41" ht="16.5" customHeight="1">
      <c r="J58" s="23">
        <v>54</v>
      </c>
      <c r="K58" s="196" t="s">
        <v>13</v>
      </c>
      <c r="L58" s="196" t="s">
        <v>28</v>
      </c>
      <c r="M58" s="196" t="s">
        <v>95</v>
      </c>
      <c r="N58" s="196" t="s">
        <v>29</v>
      </c>
      <c r="O58" s="196" t="s">
        <v>31</v>
      </c>
      <c r="Q58" s="195">
        <v>5</v>
      </c>
      <c r="R58" s="195">
        <v>9</v>
      </c>
      <c r="S58" s="195">
        <v>17</v>
      </c>
      <c r="T58" s="195">
        <v>8</v>
      </c>
      <c r="U58" s="195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6" t="s">
        <v>12</v>
      </c>
      <c r="AD58" s="202">
        <v>7</v>
      </c>
      <c r="AE58" s="202">
        <v>13</v>
      </c>
      <c r="AF58" s="202">
        <v>0</v>
      </c>
      <c r="AG58" s="202">
        <v>7</v>
      </c>
      <c r="AH58" s="202">
        <v>14</v>
      </c>
      <c r="AI58" s="5"/>
      <c r="AJ58" s="136" t="s">
        <v>12</v>
      </c>
      <c r="AK58" s="202">
        <v>7</v>
      </c>
      <c r="AL58" s="202">
        <v>13</v>
      </c>
      <c r="AM58" s="202">
        <v>0</v>
      </c>
      <c r="AN58" s="202">
        <v>7</v>
      </c>
      <c r="AO58" s="202">
        <v>14</v>
      </c>
    </row>
    <row r="59" spans="10:41" ht="16.5" customHeight="1">
      <c r="J59" s="195">
        <v>55</v>
      </c>
      <c r="K59" s="196" t="s">
        <v>31</v>
      </c>
      <c r="L59" s="196" t="s">
        <v>12</v>
      </c>
      <c r="M59" s="196" t="s">
        <v>82</v>
      </c>
      <c r="N59" s="196" t="s">
        <v>28</v>
      </c>
      <c r="O59" s="196" t="s">
        <v>29</v>
      </c>
      <c r="Q59" s="195">
        <v>7</v>
      </c>
      <c r="R59" s="195">
        <v>4</v>
      </c>
      <c r="S59" s="195">
        <v>14</v>
      </c>
      <c r="T59" s="195">
        <v>9</v>
      </c>
      <c r="U59" s="195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6" t="s">
        <v>13</v>
      </c>
      <c r="AD59" s="202">
        <v>43</v>
      </c>
      <c r="AE59" s="202">
        <v>22</v>
      </c>
      <c r="AF59" s="202">
        <v>0</v>
      </c>
      <c r="AG59" s="202">
        <v>31</v>
      </c>
      <c r="AH59" s="202">
        <v>36</v>
      </c>
      <c r="AI59" s="5"/>
      <c r="AJ59" s="136" t="s">
        <v>13</v>
      </c>
      <c r="AK59" s="202">
        <v>43</v>
      </c>
      <c r="AL59" s="202">
        <v>22</v>
      </c>
      <c r="AM59" s="202">
        <v>0</v>
      </c>
      <c r="AN59" s="202">
        <v>31</v>
      </c>
      <c r="AO59" s="202">
        <v>36</v>
      </c>
    </row>
    <row r="60" spans="10:41" ht="16.5" customHeight="1">
      <c r="J60" s="23">
        <v>56</v>
      </c>
      <c r="K60" s="196" t="s">
        <v>12</v>
      </c>
      <c r="L60" s="196" t="s">
        <v>16</v>
      </c>
      <c r="M60" s="196" t="s">
        <v>86</v>
      </c>
      <c r="N60" s="196" t="s">
        <v>97</v>
      </c>
      <c r="O60" s="196" t="s">
        <v>97</v>
      </c>
      <c r="Q60" s="195">
        <v>4</v>
      </c>
      <c r="R60" s="195">
        <v>3</v>
      </c>
      <c r="S60" s="195">
        <v>18</v>
      </c>
      <c r="T60" s="195">
        <v>6</v>
      </c>
      <c r="U60" s="195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6" t="s">
        <v>97</v>
      </c>
      <c r="AD60" s="202">
        <v>42</v>
      </c>
      <c r="AE60" s="202">
        <v>22</v>
      </c>
      <c r="AF60" s="202">
        <v>0</v>
      </c>
      <c r="AG60" s="202">
        <v>27</v>
      </c>
      <c r="AH60" s="202">
        <v>34</v>
      </c>
      <c r="AI60" s="5"/>
      <c r="AJ60" s="136" t="s">
        <v>97</v>
      </c>
      <c r="AK60" s="202">
        <v>42</v>
      </c>
      <c r="AL60" s="202">
        <v>22</v>
      </c>
      <c r="AM60" s="202">
        <v>0</v>
      </c>
      <c r="AN60" s="202">
        <v>27</v>
      </c>
      <c r="AO60" s="202">
        <v>34</v>
      </c>
    </row>
    <row r="61" spans="10:41">
      <c r="J61" s="195">
        <v>57</v>
      </c>
      <c r="K61" s="196" t="s">
        <v>13</v>
      </c>
      <c r="L61" s="196" t="s">
        <v>29</v>
      </c>
      <c r="M61" s="196" t="s">
        <v>82</v>
      </c>
      <c r="N61" s="196" t="s">
        <v>82</v>
      </c>
      <c r="O61" s="196" t="s">
        <v>29</v>
      </c>
      <c r="Q61" s="195">
        <v>5</v>
      </c>
      <c r="R61" s="195">
        <v>8</v>
      </c>
      <c r="S61" s="195">
        <v>14</v>
      </c>
      <c r="T61" s="195">
        <v>14</v>
      </c>
      <c r="U61" s="195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6" t="s">
        <v>31</v>
      </c>
      <c r="AD61" s="202">
        <v>43</v>
      </c>
      <c r="AE61" s="202">
        <v>27</v>
      </c>
      <c r="AF61" s="202">
        <v>0</v>
      </c>
      <c r="AG61" s="202">
        <v>31</v>
      </c>
      <c r="AH61" s="202">
        <v>35</v>
      </c>
      <c r="AI61" s="5"/>
      <c r="AJ61" s="136" t="s">
        <v>31</v>
      </c>
      <c r="AK61" s="202">
        <v>43</v>
      </c>
      <c r="AL61" s="202">
        <v>27</v>
      </c>
      <c r="AM61" s="202">
        <v>0</v>
      </c>
      <c r="AN61" s="202">
        <v>31</v>
      </c>
      <c r="AO61" s="202">
        <v>35</v>
      </c>
    </row>
    <row r="62" spans="10:41">
      <c r="J62" s="23">
        <v>58</v>
      </c>
      <c r="K62" s="196" t="s">
        <v>97</v>
      </c>
      <c r="L62" s="196" t="s">
        <v>14</v>
      </c>
      <c r="M62" s="196" t="s">
        <v>98</v>
      </c>
      <c r="N62" s="196" t="s">
        <v>28</v>
      </c>
      <c r="O62" s="196" t="s">
        <v>13</v>
      </c>
      <c r="Q62" s="195">
        <v>6</v>
      </c>
      <c r="R62" s="195">
        <v>1</v>
      </c>
      <c r="S62" s="195">
        <v>15</v>
      </c>
      <c r="T62" s="195">
        <v>9</v>
      </c>
      <c r="U62" s="195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6" t="s">
        <v>29</v>
      </c>
      <c r="AD62" s="202">
        <v>43</v>
      </c>
      <c r="AE62" s="202">
        <v>24</v>
      </c>
      <c r="AF62" s="202">
        <v>0</v>
      </c>
      <c r="AG62" s="202">
        <v>32</v>
      </c>
      <c r="AH62" s="202">
        <v>34</v>
      </c>
      <c r="AI62" s="5"/>
      <c r="AJ62" s="136" t="s">
        <v>29</v>
      </c>
      <c r="AK62" s="202">
        <v>43</v>
      </c>
      <c r="AL62" s="202">
        <v>24</v>
      </c>
      <c r="AM62" s="202">
        <v>0</v>
      </c>
      <c r="AN62" s="202">
        <v>32</v>
      </c>
      <c r="AO62" s="202">
        <v>34</v>
      </c>
    </row>
    <row r="63" spans="10:41" ht="16.5" customHeight="1">
      <c r="J63" s="195">
        <v>59</v>
      </c>
      <c r="K63" s="196" t="s">
        <v>14</v>
      </c>
      <c r="L63" s="196" t="s">
        <v>16</v>
      </c>
      <c r="M63" s="196" t="s">
        <v>82</v>
      </c>
      <c r="N63" s="196" t="s">
        <v>15</v>
      </c>
      <c r="O63" s="196" t="s">
        <v>31</v>
      </c>
      <c r="Q63" s="195">
        <v>1</v>
      </c>
      <c r="R63" s="195">
        <v>3</v>
      </c>
      <c r="S63" s="195">
        <v>14</v>
      </c>
      <c r="T63" s="195">
        <v>2</v>
      </c>
      <c r="U63" s="195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6" t="s">
        <v>28</v>
      </c>
      <c r="AD63" s="202">
        <v>7</v>
      </c>
      <c r="AE63" s="202">
        <v>12</v>
      </c>
      <c r="AF63" s="202">
        <v>0</v>
      </c>
      <c r="AG63" s="202">
        <v>6</v>
      </c>
      <c r="AH63" s="202">
        <v>13</v>
      </c>
      <c r="AI63" s="5"/>
      <c r="AJ63" s="136" t="s">
        <v>28</v>
      </c>
      <c r="AK63" s="202">
        <v>7</v>
      </c>
      <c r="AL63" s="202">
        <v>12</v>
      </c>
      <c r="AM63" s="202">
        <v>0</v>
      </c>
      <c r="AN63" s="202">
        <v>6</v>
      </c>
      <c r="AO63" s="202">
        <v>13</v>
      </c>
    </row>
    <row r="64" spans="10:41" ht="16.5" customHeight="1">
      <c r="J64" s="23">
        <v>60</v>
      </c>
      <c r="K64" s="196" t="s">
        <v>29</v>
      </c>
      <c r="L64" s="196" t="s">
        <v>30</v>
      </c>
      <c r="M64" s="196" t="s">
        <v>95</v>
      </c>
      <c r="N64" s="196" t="s">
        <v>28</v>
      </c>
      <c r="O64" s="196" t="s">
        <v>13</v>
      </c>
      <c r="Q64" s="195">
        <v>8</v>
      </c>
      <c r="R64" s="195">
        <v>10</v>
      </c>
      <c r="S64" s="195">
        <v>17</v>
      </c>
      <c r="T64" s="195">
        <v>9</v>
      </c>
      <c r="U64" s="195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6" t="s">
        <v>30</v>
      </c>
      <c r="AD64" s="202">
        <v>7</v>
      </c>
      <c r="AE64" s="202">
        <v>8</v>
      </c>
      <c r="AF64" s="202">
        <v>0</v>
      </c>
      <c r="AG64" s="202">
        <v>7</v>
      </c>
      <c r="AH64" s="202">
        <v>14</v>
      </c>
      <c r="AI64" s="5"/>
      <c r="AJ64" s="136" t="s">
        <v>30</v>
      </c>
      <c r="AK64" s="202">
        <v>7</v>
      </c>
      <c r="AL64" s="202">
        <v>8</v>
      </c>
      <c r="AM64" s="202">
        <v>0</v>
      </c>
      <c r="AN64" s="202">
        <v>7</v>
      </c>
      <c r="AO64" s="202">
        <v>14</v>
      </c>
    </row>
    <row r="65" spans="10:41" ht="16.5" customHeight="1">
      <c r="J65" s="195">
        <v>61</v>
      </c>
      <c r="K65" s="196" t="s">
        <v>97</v>
      </c>
      <c r="L65" s="196" t="s">
        <v>31</v>
      </c>
      <c r="M65" s="196" t="s">
        <v>83</v>
      </c>
      <c r="N65" s="196" t="s">
        <v>83</v>
      </c>
      <c r="O65" s="196" t="s">
        <v>12</v>
      </c>
      <c r="Q65" s="195">
        <v>6</v>
      </c>
      <c r="R65" s="195">
        <v>7</v>
      </c>
      <c r="S65" s="195">
        <v>16</v>
      </c>
      <c r="T65" s="195">
        <v>16</v>
      </c>
      <c r="U65" s="195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201" t="s">
        <v>79</v>
      </c>
      <c r="AD65" s="203">
        <v>0</v>
      </c>
      <c r="AE65" s="203">
        <v>3</v>
      </c>
      <c r="AF65" s="203">
        <v>3</v>
      </c>
      <c r="AG65" s="203">
        <v>2</v>
      </c>
      <c r="AH65" s="203">
        <v>0</v>
      </c>
      <c r="AI65" s="5"/>
      <c r="AJ65" s="201" t="s">
        <v>79</v>
      </c>
      <c r="AK65" s="203">
        <v>0</v>
      </c>
      <c r="AL65" s="203">
        <v>3</v>
      </c>
      <c r="AM65" s="203">
        <v>3</v>
      </c>
      <c r="AN65" s="203">
        <v>2</v>
      </c>
      <c r="AO65" s="203">
        <v>0</v>
      </c>
    </row>
    <row r="66" spans="10:41" ht="16.5" customHeight="1">
      <c r="J66" s="23">
        <v>62</v>
      </c>
      <c r="K66" s="196" t="s">
        <v>29</v>
      </c>
      <c r="L66" s="196" t="s">
        <v>82</v>
      </c>
      <c r="M66" s="196" t="s">
        <v>82</v>
      </c>
      <c r="N66" s="196" t="s">
        <v>97</v>
      </c>
      <c r="O66" s="196" t="s">
        <v>30</v>
      </c>
      <c r="Q66" s="195">
        <v>8</v>
      </c>
      <c r="R66" s="195">
        <v>14</v>
      </c>
      <c r="S66" s="195">
        <v>14</v>
      </c>
      <c r="T66" s="195">
        <v>6</v>
      </c>
      <c r="U66" s="195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201" t="s">
        <v>80</v>
      </c>
      <c r="AD66" s="203">
        <v>0</v>
      </c>
      <c r="AE66" s="203">
        <v>4</v>
      </c>
      <c r="AF66" s="203">
        <v>1</v>
      </c>
      <c r="AG66" s="203">
        <v>2</v>
      </c>
      <c r="AH66" s="203">
        <v>0</v>
      </c>
      <c r="AI66" s="5"/>
      <c r="AJ66" s="201" t="s">
        <v>80</v>
      </c>
      <c r="AK66" s="203">
        <v>0</v>
      </c>
      <c r="AL66" s="203">
        <v>4</v>
      </c>
      <c r="AM66" s="203">
        <v>1</v>
      </c>
      <c r="AN66" s="203">
        <v>2</v>
      </c>
      <c r="AO66" s="203">
        <v>0</v>
      </c>
    </row>
    <row r="67" spans="10:41" ht="16.5" customHeight="1">
      <c r="J67" s="195">
        <v>63</v>
      </c>
      <c r="K67" s="196" t="s">
        <v>31</v>
      </c>
      <c r="L67" s="196" t="s">
        <v>13</v>
      </c>
      <c r="M67" s="196" t="s">
        <v>95</v>
      </c>
      <c r="N67" s="196" t="s">
        <v>13</v>
      </c>
      <c r="O67" s="196" t="s">
        <v>31</v>
      </c>
      <c r="Q67" s="195">
        <v>7</v>
      </c>
      <c r="R67" s="195">
        <v>5</v>
      </c>
      <c r="S67" s="195">
        <v>17</v>
      </c>
      <c r="T67" s="195">
        <v>5</v>
      </c>
      <c r="U67" s="195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201" t="s">
        <v>81</v>
      </c>
      <c r="AD67" s="203">
        <v>0</v>
      </c>
      <c r="AE67" s="203">
        <v>4</v>
      </c>
      <c r="AF67" s="203">
        <v>8</v>
      </c>
      <c r="AG67" s="203">
        <v>3</v>
      </c>
      <c r="AH67" s="203">
        <v>0</v>
      </c>
      <c r="AI67" s="5"/>
      <c r="AJ67" s="201" t="s">
        <v>81</v>
      </c>
      <c r="AK67" s="203">
        <v>0</v>
      </c>
      <c r="AL67" s="203">
        <v>4</v>
      </c>
      <c r="AM67" s="203">
        <v>8</v>
      </c>
      <c r="AN67" s="203">
        <v>3</v>
      </c>
      <c r="AO67" s="203">
        <v>0</v>
      </c>
    </row>
    <row r="68" spans="10:41" ht="16.5" customHeight="1">
      <c r="J68" s="23">
        <v>64</v>
      </c>
      <c r="K68" s="196" t="s">
        <v>29</v>
      </c>
      <c r="L68" s="196" t="s">
        <v>31</v>
      </c>
      <c r="M68" s="196" t="s">
        <v>80</v>
      </c>
      <c r="N68" s="196" t="s">
        <v>15</v>
      </c>
      <c r="O68" s="196" t="s">
        <v>12</v>
      </c>
      <c r="Q68" s="195">
        <v>8</v>
      </c>
      <c r="R68" s="195">
        <v>7</v>
      </c>
      <c r="S68" s="195">
        <v>12</v>
      </c>
      <c r="T68" s="195">
        <v>2</v>
      </c>
      <c r="U68" s="195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201" t="s">
        <v>82</v>
      </c>
      <c r="AD68" s="203">
        <v>0</v>
      </c>
      <c r="AE68" s="203">
        <v>9</v>
      </c>
      <c r="AF68" s="203">
        <v>43</v>
      </c>
      <c r="AG68" s="203">
        <v>12</v>
      </c>
      <c r="AH68" s="203">
        <v>0</v>
      </c>
      <c r="AI68" s="5"/>
      <c r="AJ68" s="201" t="s">
        <v>82</v>
      </c>
      <c r="AK68" s="203">
        <v>0</v>
      </c>
      <c r="AL68" s="203">
        <v>9</v>
      </c>
      <c r="AM68" s="203">
        <v>43</v>
      </c>
      <c r="AN68" s="203">
        <v>12</v>
      </c>
      <c r="AO68" s="203">
        <v>0</v>
      </c>
    </row>
    <row r="69" spans="10:41" ht="16.5" customHeight="1">
      <c r="J69" s="195">
        <v>65</v>
      </c>
      <c r="K69" s="196" t="s">
        <v>97</v>
      </c>
      <c r="L69" s="196" t="s">
        <v>28</v>
      </c>
      <c r="M69" s="196" t="s">
        <v>82</v>
      </c>
      <c r="N69" s="196" t="s">
        <v>29</v>
      </c>
      <c r="O69" s="196" t="s">
        <v>16</v>
      </c>
      <c r="Q69" s="195">
        <v>6</v>
      </c>
      <c r="R69" s="195">
        <v>9</v>
      </c>
      <c r="S69" s="195">
        <v>14</v>
      </c>
      <c r="T69" s="195">
        <v>8</v>
      </c>
      <c r="U69" s="195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201" t="s">
        <v>98</v>
      </c>
      <c r="AD69" s="203">
        <v>0</v>
      </c>
      <c r="AE69" s="203">
        <v>9</v>
      </c>
      <c r="AF69" s="203">
        <v>42</v>
      </c>
      <c r="AG69" s="203">
        <v>13</v>
      </c>
      <c r="AH69" s="203">
        <v>0</v>
      </c>
      <c r="AI69" s="5"/>
      <c r="AJ69" s="201" t="s">
        <v>98</v>
      </c>
      <c r="AK69" s="203">
        <v>0</v>
      </c>
      <c r="AL69" s="203">
        <v>9</v>
      </c>
      <c r="AM69" s="203">
        <v>42</v>
      </c>
      <c r="AN69" s="203">
        <v>13</v>
      </c>
      <c r="AO69" s="203">
        <v>0</v>
      </c>
    </row>
    <row r="70" spans="10:41" ht="16.5" customHeight="1">
      <c r="J70" s="23">
        <v>66</v>
      </c>
      <c r="K70" s="196" t="s">
        <v>29</v>
      </c>
      <c r="L70" s="196" t="s">
        <v>29</v>
      </c>
      <c r="M70" s="196" t="s">
        <v>98</v>
      </c>
      <c r="N70" s="196" t="s">
        <v>97</v>
      </c>
      <c r="O70" s="196" t="s">
        <v>13</v>
      </c>
      <c r="Q70" s="195">
        <v>8</v>
      </c>
      <c r="R70" s="195">
        <v>8</v>
      </c>
      <c r="S70" s="195">
        <v>15</v>
      </c>
      <c r="T70" s="195">
        <v>6</v>
      </c>
      <c r="U70" s="195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201" t="s">
        <v>83</v>
      </c>
      <c r="AD70" s="203">
        <v>0</v>
      </c>
      <c r="AE70" s="203">
        <v>11</v>
      </c>
      <c r="AF70" s="203">
        <v>42</v>
      </c>
      <c r="AG70" s="203">
        <v>11</v>
      </c>
      <c r="AH70" s="203">
        <v>0</v>
      </c>
      <c r="AI70" s="5"/>
      <c r="AJ70" s="201" t="s">
        <v>83</v>
      </c>
      <c r="AK70" s="203">
        <v>0</v>
      </c>
      <c r="AL70" s="203">
        <v>11</v>
      </c>
      <c r="AM70" s="203">
        <v>42</v>
      </c>
      <c r="AN70" s="203">
        <v>11</v>
      </c>
      <c r="AO70" s="203">
        <v>0</v>
      </c>
    </row>
    <row r="71" spans="10:41" ht="16.5" customHeight="1">
      <c r="J71" s="195">
        <v>67</v>
      </c>
      <c r="K71" s="196" t="s">
        <v>13</v>
      </c>
      <c r="L71" s="196" t="s">
        <v>13</v>
      </c>
      <c r="M71" s="196" t="s">
        <v>86</v>
      </c>
      <c r="N71" s="196" t="s">
        <v>13</v>
      </c>
      <c r="O71" s="196" t="s">
        <v>12</v>
      </c>
      <c r="Q71" s="195">
        <v>5</v>
      </c>
      <c r="R71" s="195">
        <v>5</v>
      </c>
      <c r="S71" s="195">
        <v>18</v>
      </c>
      <c r="T71" s="195">
        <v>5</v>
      </c>
      <c r="U71" s="195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201" t="s">
        <v>95</v>
      </c>
      <c r="AD71" s="203">
        <v>0</v>
      </c>
      <c r="AE71" s="203">
        <v>10</v>
      </c>
      <c r="AF71" s="203">
        <v>44</v>
      </c>
      <c r="AG71" s="203">
        <v>11</v>
      </c>
      <c r="AH71" s="203">
        <v>0</v>
      </c>
      <c r="AI71" s="5"/>
      <c r="AJ71" s="201" t="s">
        <v>95</v>
      </c>
      <c r="AK71" s="203">
        <v>0</v>
      </c>
      <c r="AL71" s="203">
        <v>10</v>
      </c>
      <c r="AM71" s="203">
        <v>44</v>
      </c>
      <c r="AN71" s="203">
        <v>11</v>
      </c>
      <c r="AO71" s="203">
        <v>0</v>
      </c>
    </row>
    <row r="72" spans="10:41" ht="16.5" customHeight="1">
      <c r="J72" s="23">
        <v>68</v>
      </c>
      <c r="K72" s="196" t="s">
        <v>29</v>
      </c>
      <c r="L72" s="196" t="s">
        <v>15</v>
      </c>
      <c r="M72" s="196" t="s">
        <v>83</v>
      </c>
      <c r="N72" s="196" t="s">
        <v>83</v>
      </c>
      <c r="O72" s="196" t="s">
        <v>16</v>
      </c>
      <c r="Q72" s="195">
        <v>8</v>
      </c>
      <c r="R72" s="195">
        <v>2</v>
      </c>
      <c r="S72" s="195">
        <v>16</v>
      </c>
      <c r="T72" s="195">
        <v>16</v>
      </c>
      <c r="U72" s="195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201" t="s">
        <v>86</v>
      </c>
      <c r="AD72" s="203">
        <v>0</v>
      </c>
      <c r="AE72" s="203">
        <v>4</v>
      </c>
      <c r="AF72" s="203">
        <v>6</v>
      </c>
      <c r="AG72" s="203">
        <v>2</v>
      </c>
      <c r="AH72" s="203">
        <v>0</v>
      </c>
      <c r="AI72" s="5"/>
      <c r="AJ72" s="201" t="s">
        <v>86</v>
      </c>
      <c r="AK72" s="203">
        <v>0</v>
      </c>
      <c r="AL72" s="203">
        <v>4</v>
      </c>
      <c r="AM72" s="203">
        <v>6</v>
      </c>
      <c r="AN72" s="203">
        <v>2</v>
      </c>
      <c r="AO72" s="203">
        <v>0</v>
      </c>
    </row>
    <row r="73" spans="10:41" ht="16.5" customHeight="1">
      <c r="J73" s="195">
        <v>69</v>
      </c>
      <c r="K73" s="196" t="s">
        <v>97</v>
      </c>
      <c r="L73" s="196" t="s">
        <v>28</v>
      </c>
      <c r="M73" s="196" t="s">
        <v>95</v>
      </c>
      <c r="N73" s="196" t="s">
        <v>30</v>
      </c>
      <c r="O73" s="196" t="s">
        <v>97</v>
      </c>
      <c r="Q73" s="195">
        <v>6</v>
      </c>
      <c r="R73" s="195">
        <v>9</v>
      </c>
      <c r="S73" s="195">
        <v>17</v>
      </c>
      <c r="T73" s="195">
        <v>10</v>
      </c>
      <c r="U73" s="195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201" t="s">
        <v>88</v>
      </c>
      <c r="AD73" s="203">
        <v>0</v>
      </c>
      <c r="AE73" s="203">
        <v>3</v>
      </c>
      <c r="AF73" s="203">
        <v>9</v>
      </c>
      <c r="AG73" s="203">
        <v>3</v>
      </c>
      <c r="AH73" s="203">
        <v>0</v>
      </c>
      <c r="AI73" s="5"/>
      <c r="AJ73" s="201" t="s">
        <v>88</v>
      </c>
      <c r="AK73" s="203">
        <v>0</v>
      </c>
      <c r="AL73" s="203">
        <v>3</v>
      </c>
      <c r="AM73" s="203">
        <v>9</v>
      </c>
      <c r="AN73" s="203">
        <v>3</v>
      </c>
      <c r="AO73" s="203">
        <v>0</v>
      </c>
    </row>
    <row r="74" spans="10:41" ht="16.5" customHeight="1">
      <c r="J74" s="23">
        <v>70</v>
      </c>
      <c r="K74" s="196" t="s">
        <v>29</v>
      </c>
      <c r="L74" s="196" t="s">
        <v>13</v>
      </c>
      <c r="M74" s="196" t="s">
        <v>98</v>
      </c>
      <c r="N74" s="196" t="s">
        <v>31</v>
      </c>
      <c r="O74" s="196" t="s">
        <v>13</v>
      </c>
      <c r="Q74" s="195">
        <v>8</v>
      </c>
      <c r="R74" s="195">
        <v>5</v>
      </c>
      <c r="S74" s="195">
        <v>15</v>
      </c>
      <c r="T74" s="195">
        <v>7</v>
      </c>
      <c r="U74" s="195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5">
        <v>71</v>
      </c>
      <c r="K75" s="196" t="s">
        <v>30</v>
      </c>
      <c r="L75" s="196" t="s">
        <v>83</v>
      </c>
      <c r="M75" s="196" t="s">
        <v>83</v>
      </c>
      <c r="N75" s="196" t="s">
        <v>97</v>
      </c>
      <c r="O75" s="196" t="s">
        <v>28</v>
      </c>
      <c r="Q75" s="195">
        <v>10</v>
      </c>
      <c r="R75" s="195">
        <v>16</v>
      </c>
      <c r="S75" s="195">
        <v>16</v>
      </c>
      <c r="T75" s="195">
        <v>6</v>
      </c>
      <c r="U75" s="195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6" t="s">
        <v>31</v>
      </c>
      <c r="L76" s="196" t="s">
        <v>31</v>
      </c>
      <c r="M76" s="196" t="s">
        <v>98</v>
      </c>
      <c r="N76" s="196" t="s">
        <v>29</v>
      </c>
      <c r="O76" s="196" t="s">
        <v>97</v>
      </c>
      <c r="Q76" s="195">
        <v>7</v>
      </c>
      <c r="R76" s="195">
        <v>7</v>
      </c>
      <c r="S76" s="195">
        <v>15</v>
      </c>
      <c r="T76" s="195">
        <v>8</v>
      </c>
      <c r="U76" s="195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5">
        <v>73</v>
      </c>
      <c r="K77" s="196" t="s">
        <v>97</v>
      </c>
      <c r="L77" s="196" t="s">
        <v>30</v>
      </c>
      <c r="M77" s="196" t="s">
        <v>79</v>
      </c>
      <c r="N77" s="196" t="s">
        <v>81</v>
      </c>
      <c r="O77" s="196" t="s">
        <v>13</v>
      </c>
      <c r="Q77" s="195">
        <v>6</v>
      </c>
      <c r="R77" s="195">
        <v>10</v>
      </c>
      <c r="S77" s="195">
        <v>11</v>
      </c>
      <c r="T77" s="195">
        <v>13</v>
      </c>
      <c r="U77" s="195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6" t="s">
        <v>31</v>
      </c>
      <c r="L78" s="196" t="s">
        <v>13</v>
      </c>
      <c r="M78" s="196" t="s">
        <v>98</v>
      </c>
      <c r="N78" s="196" t="s">
        <v>29</v>
      </c>
      <c r="O78" s="196" t="s">
        <v>31</v>
      </c>
      <c r="Q78" s="195">
        <v>7</v>
      </c>
      <c r="R78" s="195">
        <v>5</v>
      </c>
      <c r="S78" s="195">
        <v>15</v>
      </c>
      <c r="T78" s="195">
        <v>8</v>
      </c>
      <c r="U78" s="195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5">
        <v>75</v>
      </c>
      <c r="K79" s="196" t="s">
        <v>29</v>
      </c>
      <c r="L79" s="196" t="s">
        <v>16</v>
      </c>
      <c r="M79" s="196" t="s">
        <v>82</v>
      </c>
      <c r="N79" s="196" t="s">
        <v>13</v>
      </c>
      <c r="O79" s="196" t="s">
        <v>13</v>
      </c>
      <c r="Q79" s="195">
        <v>8</v>
      </c>
      <c r="R79" s="195">
        <v>3</v>
      </c>
      <c r="S79" s="195">
        <v>14</v>
      </c>
      <c r="T79" s="195">
        <v>5</v>
      </c>
      <c r="U79" s="195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6" t="s">
        <v>31</v>
      </c>
      <c r="L80" s="196" t="s">
        <v>31</v>
      </c>
      <c r="M80" s="196" t="s">
        <v>83</v>
      </c>
      <c r="N80" s="196" t="s">
        <v>31</v>
      </c>
      <c r="O80" s="196" t="s">
        <v>97</v>
      </c>
      <c r="Q80" s="195">
        <v>7</v>
      </c>
      <c r="R80" s="195">
        <v>7</v>
      </c>
      <c r="S80" s="195">
        <v>16</v>
      </c>
      <c r="T80" s="195">
        <v>7</v>
      </c>
      <c r="U80" s="195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5">
        <v>77</v>
      </c>
      <c r="K81" s="196" t="s">
        <v>29</v>
      </c>
      <c r="L81" s="196" t="s">
        <v>13</v>
      </c>
      <c r="M81" s="196" t="s">
        <v>82</v>
      </c>
      <c r="N81" s="196" t="s">
        <v>13</v>
      </c>
      <c r="O81" s="196" t="s">
        <v>31</v>
      </c>
      <c r="Q81" s="195">
        <v>8</v>
      </c>
      <c r="R81" s="195">
        <v>5</v>
      </c>
      <c r="S81" s="195">
        <v>14</v>
      </c>
      <c r="T81" s="195">
        <v>5</v>
      </c>
      <c r="U81" s="195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6" t="s">
        <v>31</v>
      </c>
      <c r="L82" s="196" t="s">
        <v>81</v>
      </c>
      <c r="M82" s="196" t="s">
        <v>83</v>
      </c>
      <c r="N82" s="196" t="s">
        <v>83</v>
      </c>
      <c r="O82" s="196" t="s">
        <v>30</v>
      </c>
      <c r="Q82" s="195">
        <v>7</v>
      </c>
      <c r="R82" s="195">
        <v>13</v>
      </c>
      <c r="S82" s="195">
        <v>16</v>
      </c>
      <c r="T82" s="195">
        <v>16</v>
      </c>
      <c r="U82" s="195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5">
        <v>79</v>
      </c>
      <c r="K83" s="196" t="s">
        <v>13</v>
      </c>
      <c r="L83" s="196" t="s">
        <v>97</v>
      </c>
      <c r="M83" s="196" t="s">
        <v>88</v>
      </c>
      <c r="N83" s="196" t="s">
        <v>13</v>
      </c>
      <c r="O83" s="196" t="s">
        <v>15</v>
      </c>
      <c r="Q83" s="195">
        <v>5</v>
      </c>
      <c r="R83" s="195">
        <v>6</v>
      </c>
      <c r="S83" s="195">
        <v>19</v>
      </c>
      <c r="T83" s="195">
        <v>5</v>
      </c>
      <c r="U83" s="195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6" t="s">
        <v>12</v>
      </c>
      <c r="L84" s="196" t="s">
        <v>88</v>
      </c>
      <c r="M84" s="196" t="s">
        <v>98</v>
      </c>
      <c r="N84" s="196" t="s">
        <v>29</v>
      </c>
      <c r="O84" s="196" t="s">
        <v>12</v>
      </c>
      <c r="Q84" s="195">
        <v>4</v>
      </c>
      <c r="R84" s="195">
        <v>19</v>
      </c>
      <c r="S84" s="195">
        <v>15</v>
      </c>
      <c r="T84" s="195">
        <v>8</v>
      </c>
      <c r="U84" s="195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5">
        <v>81</v>
      </c>
      <c r="K85" s="196" t="s">
        <v>30</v>
      </c>
      <c r="L85" s="196" t="s">
        <v>82</v>
      </c>
      <c r="M85" s="196" t="s">
        <v>95</v>
      </c>
      <c r="N85" s="196" t="s">
        <v>83</v>
      </c>
      <c r="O85" s="196" t="s">
        <v>31</v>
      </c>
      <c r="Q85" s="195">
        <v>10</v>
      </c>
      <c r="R85" s="195">
        <v>14</v>
      </c>
      <c r="S85" s="195">
        <v>17</v>
      </c>
      <c r="T85" s="195">
        <v>16</v>
      </c>
      <c r="U85" s="195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6" t="s">
        <v>13</v>
      </c>
      <c r="L86" s="196" t="s">
        <v>29</v>
      </c>
      <c r="M86" s="196" t="s">
        <v>88</v>
      </c>
      <c r="N86" s="196" t="s">
        <v>30</v>
      </c>
      <c r="O86" s="196" t="s">
        <v>29</v>
      </c>
      <c r="Q86" s="195">
        <v>5</v>
      </c>
      <c r="R86" s="195">
        <v>8</v>
      </c>
      <c r="S86" s="195">
        <v>19</v>
      </c>
      <c r="T86" s="195">
        <v>10</v>
      </c>
      <c r="U86" s="195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5">
        <v>83</v>
      </c>
      <c r="K87" s="196" t="s">
        <v>31</v>
      </c>
      <c r="L87" s="196" t="s">
        <v>13</v>
      </c>
      <c r="M87" s="196" t="s">
        <v>81</v>
      </c>
      <c r="N87" s="196" t="s">
        <v>97</v>
      </c>
      <c r="O87" s="196" t="s">
        <v>97</v>
      </c>
      <c r="Q87" s="195">
        <v>7</v>
      </c>
      <c r="R87" s="195">
        <v>5</v>
      </c>
      <c r="S87" s="195">
        <v>13</v>
      </c>
      <c r="T87" s="195">
        <v>6</v>
      </c>
      <c r="U87" s="195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6" t="s">
        <v>29</v>
      </c>
      <c r="L88" s="196" t="s">
        <v>31</v>
      </c>
      <c r="M88" s="196" t="s">
        <v>98</v>
      </c>
      <c r="N88" s="196" t="s">
        <v>13</v>
      </c>
      <c r="O88" s="196" t="s">
        <v>13</v>
      </c>
      <c r="Q88" s="195">
        <v>8</v>
      </c>
      <c r="R88" s="195">
        <v>7</v>
      </c>
      <c r="S88" s="195">
        <v>15</v>
      </c>
      <c r="T88" s="195">
        <v>5</v>
      </c>
      <c r="U88" s="195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5">
        <v>85</v>
      </c>
      <c r="K89" s="196" t="s">
        <v>13</v>
      </c>
      <c r="L89" s="196" t="s">
        <v>29</v>
      </c>
      <c r="M89" s="196" t="s">
        <v>95</v>
      </c>
      <c r="N89" s="196" t="s">
        <v>14</v>
      </c>
      <c r="O89" s="196" t="s">
        <v>30</v>
      </c>
      <c r="Q89" s="195">
        <v>5</v>
      </c>
      <c r="R89" s="195">
        <v>8</v>
      </c>
      <c r="S89" s="195">
        <v>17</v>
      </c>
      <c r="T89" s="195">
        <v>1</v>
      </c>
      <c r="U89" s="195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6" t="s">
        <v>31</v>
      </c>
      <c r="L90" s="196" t="s">
        <v>28</v>
      </c>
      <c r="M90" s="196" t="s">
        <v>98</v>
      </c>
      <c r="N90" s="196" t="s">
        <v>13</v>
      </c>
      <c r="O90" s="196" t="s">
        <v>31</v>
      </c>
      <c r="Q90" s="195">
        <v>7</v>
      </c>
      <c r="R90" s="195">
        <v>9</v>
      </c>
      <c r="S90" s="195">
        <v>15</v>
      </c>
      <c r="T90" s="195">
        <v>5</v>
      </c>
      <c r="U90" s="195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5">
        <v>87</v>
      </c>
      <c r="K91" s="196" t="s">
        <v>97</v>
      </c>
      <c r="L91" s="196" t="s">
        <v>15</v>
      </c>
      <c r="M91" s="196" t="s">
        <v>79</v>
      </c>
      <c r="N91" s="196" t="s">
        <v>29</v>
      </c>
      <c r="O91" s="196" t="s">
        <v>29</v>
      </c>
      <c r="Q91" s="195">
        <v>6</v>
      </c>
      <c r="R91" s="195">
        <v>2</v>
      </c>
      <c r="S91" s="195">
        <v>11</v>
      </c>
      <c r="T91" s="195">
        <v>8</v>
      </c>
      <c r="U91" s="195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6" t="s">
        <v>13</v>
      </c>
      <c r="L92" s="196" t="s">
        <v>13</v>
      </c>
      <c r="M92" s="196" t="s">
        <v>95</v>
      </c>
      <c r="N92" s="196" t="s">
        <v>31</v>
      </c>
      <c r="O92" s="196" t="s">
        <v>28</v>
      </c>
      <c r="Q92" s="195">
        <v>5</v>
      </c>
      <c r="R92" s="195">
        <v>5</v>
      </c>
      <c r="S92" s="195">
        <v>17</v>
      </c>
      <c r="T92" s="195">
        <v>7</v>
      </c>
      <c r="U92" s="195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5">
        <v>89</v>
      </c>
      <c r="K93" s="196" t="s">
        <v>30</v>
      </c>
      <c r="L93" s="196" t="s">
        <v>97</v>
      </c>
      <c r="M93" s="196" t="s">
        <v>82</v>
      </c>
      <c r="N93" s="196" t="s">
        <v>97</v>
      </c>
      <c r="O93" s="196" t="s">
        <v>29</v>
      </c>
      <c r="Q93" s="195">
        <v>10</v>
      </c>
      <c r="R93" s="195">
        <v>6</v>
      </c>
      <c r="S93" s="195">
        <v>14</v>
      </c>
      <c r="T93" s="195">
        <v>6</v>
      </c>
      <c r="U93" s="195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6" t="s">
        <v>29</v>
      </c>
      <c r="L94" s="196" t="s">
        <v>80</v>
      </c>
      <c r="M94" s="196" t="s">
        <v>95</v>
      </c>
      <c r="N94" s="196" t="s">
        <v>83</v>
      </c>
      <c r="O94" s="196" t="s">
        <v>14</v>
      </c>
      <c r="Q94" s="195">
        <v>8</v>
      </c>
      <c r="R94" s="195">
        <v>12</v>
      </c>
      <c r="S94" s="195">
        <v>17</v>
      </c>
      <c r="T94" s="195">
        <v>16</v>
      </c>
      <c r="U94" s="195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5">
        <v>91</v>
      </c>
      <c r="K95" s="196" t="s">
        <v>97</v>
      </c>
      <c r="L95" s="196" t="s">
        <v>95</v>
      </c>
      <c r="M95" s="196" t="s">
        <v>79</v>
      </c>
      <c r="N95" s="196" t="s">
        <v>98</v>
      </c>
      <c r="O95" s="196" t="s">
        <v>29</v>
      </c>
      <c r="Q95" s="195">
        <v>6</v>
      </c>
      <c r="R95" s="195">
        <v>17</v>
      </c>
      <c r="S95" s="195">
        <v>11</v>
      </c>
      <c r="T95" s="195">
        <v>15</v>
      </c>
      <c r="U95" s="195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6" t="s">
        <v>13</v>
      </c>
      <c r="L96" s="196" t="s">
        <v>97</v>
      </c>
      <c r="M96" s="196" t="s">
        <v>86</v>
      </c>
      <c r="N96" s="196" t="s">
        <v>14</v>
      </c>
      <c r="O96" s="196" t="s">
        <v>13</v>
      </c>
      <c r="Q96" s="195">
        <v>5</v>
      </c>
      <c r="R96" s="195">
        <v>6</v>
      </c>
      <c r="S96" s="195">
        <v>18</v>
      </c>
      <c r="T96" s="195">
        <v>1</v>
      </c>
      <c r="U96" s="195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5">
        <v>93</v>
      </c>
      <c r="K97" s="196" t="s">
        <v>31</v>
      </c>
      <c r="L97" s="196" t="s">
        <v>95</v>
      </c>
      <c r="M97" s="196" t="s">
        <v>98</v>
      </c>
      <c r="N97" s="196" t="s">
        <v>29</v>
      </c>
      <c r="O97" s="196" t="s">
        <v>30</v>
      </c>
      <c r="Q97" s="195">
        <v>7</v>
      </c>
      <c r="R97" s="195">
        <v>17</v>
      </c>
      <c r="S97" s="195">
        <v>15</v>
      </c>
      <c r="T97" s="195">
        <v>8</v>
      </c>
      <c r="U97" s="195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6" t="s">
        <v>29</v>
      </c>
      <c r="L98" s="196" t="s">
        <v>15</v>
      </c>
      <c r="M98" s="196" t="s">
        <v>82</v>
      </c>
      <c r="N98" s="196" t="s">
        <v>31</v>
      </c>
      <c r="O98" s="196" t="s">
        <v>13</v>
      </c>
      <c r="Q98" s="195">
        <v>8</v>
      </c>
      <c r="R98" s="195">
        <v>2</v>
      </c>
      <c r="S98" s="195">
        <v>14</v>
      </c>
      <c r="T98" s="195">
        <v>7</v>
      </c>
      <c r="U98" s="195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5">
        <v>95</v>
      </c>
      <c r="K99" s="196" t="s">
        <v>97</v>
      </c>
      <c r="L99" s="196" t="s">
        <v>13</v>
      </c>
      <c r="M99" s="196" t="s">
        <v>98</v>
      </c>
      <c r="N99" s="196" t="s">
        <v>98</v>
      </c>
      <c r="O99" s="196" t="s">
        <v>97</v>
      </c>
      <c r="Q99" s="195">
        <v>6</v>
      </c>
      <c r="R99" s="195">
        <v>5</v>
      </c>
      <c r="S99" s="195">
        <v>15</v>
      </c>
      <c r="T99" s="195">
        <v>15</v>
      </c>
      <c r="U99" s="195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6" t="s">
        <v>13</v>
      </c>
      <c r="L100" s="196" t="s">
        <v>29</v>
      </c>
      <c r="M100" s="196" t="s">
        <v>95</v>
      </c>
      <c r="N100" s="196" t="s">
        <v>29</v>
      </c>
      <c r="O100" s="196" t="s">
        <v>29</v>
      </c>
      <c r="Q100" s="195">
        <v>5</v>
      </c>
      <c r="R100" s="195">
        <v>8</v>
      </c>
      <c r="S100" s="195">
        <v>17</v>
      </c>
      <c r="T100" s="195">
        <v>8</v>
      </c>
      <c r="U100" s="195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5">
        <v>97</v>
      </c>
      <c r="K101" s="196" t="s">
        <v>31</v>
      </c>
      <c r="L101" s="196" t="s">
        <v>95</v>
      </c>
      <c r="M101" s="196" t="s">
        <v>82</v>
      </c>
      <c r="N101" s="196" t="s">
        <v>95</v>
      </c>
      <c r="O101" s="196" t="s">
        <v>28</v>
      </c>
      <c r="Q101" s="195">
        <v>7</v>
      </c>
      <c r="R101" s="195">
        <v>17</v>
      </c>
      <c r="S101" s="195">
        <v>14</v>
      </c>
      <c r="T101" s="195">
        <v>17</v>
      </c>
      <c r="U101" s="195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6" t="s">
        <v>15</v>
      </c>
      <c r="L102" s="196" t="s">
        <v>29</v>
      </c>
      <c r="M102" s="196" t="s">
        <v>83</v>
      </c>
      <c r="N102" s="196" t="s">
        <v>28</v>
      </c>
      <c r="O102" s="196" t="s">
        <v>15</v>
      </c>
      <c r="Q102" s="195">
        <v>2</v>
      </c>
      <c r="R102" s="195">
        <v>8</v>
      </c>
      <c r="S102" s="195">
        <v>16</v>
      </c>
      <c r="T102" s="195">
        <v>9</v>
      </c>
      <c r="U102" s="195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5">
        <v>99</v>
      </c>
      <c r="K103" s="196" t="s">
        <v>31</v>
      </c>
      <c r="L103" s="196" t="s">
        <v>15</v>
      </c>
      <c r="M103" s="196" t="s">
        <v>82</v>
      </c>
      <c r="N103" s="196" t="s">
        <v>31</v>
      </c>
      <c r="O103" s="196" t="s">
        <v>29</v>
      </c>
      <c r="Q103" s="195">
        <v>7</v>
      </c>
      <c r="R103" s="195">
        <v>2</v>
      </c>
      <c r="S103" s="195">
        <v>14</v>
      </c>
      <c r="T103" s="195">
        <v>7</v>
      </c>
      <c r="U103" s="195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6" t="s">
        <v>13</v>
      </c>
      <c r="L104" s="196" t="s">
        <v>29</v>
      </c>
      <c r="M104" s="196" t="s">
        <v>95</v>
      </c>
      <c r="N104" s="196" t="s">
        <v>83</v>
      </c>
      <c r="O104" s="196" t="s">
        <v>97</v>
      </c>
      <c r="Q104" s="195">
        <v>5</v>
      </c>
      <c r="R104" s="195">
        <v>8</v>
      </c>
      <c r="S104" s="195">
        <v>17</v>
      </c>
      <c r="T104" s="195">
        <v>16</v>
      </c>
      <c r="U104" s="195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6" t="s">
        <v>97</v>
      </c>
      <c r="L105" s="196" t="s">
        <v>14</v>
      </c>
      <c r="M105" s="196" t="s">
        <v>82</v>
      </c>
      <c r="N105" s="196" t="s">
        <v>98</v>
      </c>
      <c r="O105" s="196" t="s">
        <v>29</v>
      </c>
      <c r="Q105" s="195">
        <v>6</v>
      </c>
      <c r="R105" s="195">
        <v>1</v>
      </c>
      <c r="S105" s="195">
        <v>14</v>
      </c>
      <c r="T105" s="195">
        <v>15</v>
      </c>
      <c r="U105" s="195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5">
        <v>102</v>
      </c>
      <c r="K106" s="196" t="s">
        <v>13</v>
      </c>
      <c r="L106" s="196" t="s">
        <v>31</v>
      </c>
      <c r="M106" s="196" t="s">
        <v>98</v>
      </c>
      <c r="N106" s="196" t="s">
        <v>12</v>
      </c>
      <c r="O106" s="196" t="s">
        <v>13</v>
      </c>
      <c r="Q106" s="195">
        <v>5</v>
      </c>
      <c r="R106" s="195">
        <v>7</v>
      </c>
      <c r="S106" s="195">
        <v>15</v>
      </c>
      <c r="T106" s="195">
        <v>4</v>
      </c>
      <c r="U106" s="195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6" t="s">
        <v>31</v>
      </c>
      <c r="L107" s="196" t="s">
        <v>95</v>
      </c>
      <c r="M107" s="196" t="s">
        <v>82</v>
      </c>
      <c r="N107" s="196" t="s">
        <v>83</v>
      </c>
      <c r="O107" s="196" t="s">
        <v>28</v>
      </c>
      <c r="Q107" s="195">
        <v>7</v>
      </c>
      <c r="R107" s="195">
        <v>17</v>
      </c>
      <c r="S107" s="195">
        <v>14</v>
      </c>
      <c r="T107" s="195">
        <v>16</v>
      </c>
      <c r="U107" s="195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5">
        <v>104</v>
      </c>
      <c r="K108" s="196" t="s">
        <v>97</v>
      </c>
      <c r="L108" s="196" t="s">
        <v>31</v>
      </c>
      <c r="M108" s="196" t="s">
        <v>98</v>
      </c>
      <c r="N108" s="196" t="s">
        <v>13</v>
      </c>
      <c r="O108" s="196" t="s">
        <v>29</v>
      </c>
      <c r="Q108" s="195">
        <v>6</v>
      </c>
      <c r="R108" s="195">
        <v>7</v>
      </c>
      <c r="S108" s="195">
        <v>15</v>
      </c>
      <c r="T108" s="195">
        <v>5</v>
      </c>
      <c r="U108" s="195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6" t="s">
        <v>31</v>
      </c>
      <c r="L109" s="196" t="s">
        <v>29</v>
      </c>
      <c r="M109" s="196" t="s">
        <v>81</v>
      </c>
      <c r="N109" s="196" t="s">
        <v>29</v>
      </c>
      <c r="O109" s="196" t="s">
        <v>31</v>
      </c>
      <c r="Q109" s="195">
        <v>7</v>
      </c>
      <c r="R109" s="195">
        <v>8</v>
      </c>
      <c r="S109" s="195">
        <v>13</v>
      </c>
      <c r="T109" s="195">
        <v>8</v>
      </c>
      <c r="U109" s="195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5">
        <v>106</v>
      </c>
      <c r="K110" s="196" t="s">
        <v>13</v>
      </c>
      <c r="L110" s="196" t="s">
        <v>30</v>
      </c>
      <c r="M110" s="196" t="s">
        <v>82</v>
      </c>
      <c r="N110" s="196" t="s">
        <v>13</v>
      </c>
      <c r="O110" s="196" t="s">
        <v>29</v>
      </c>
      <c r="Q110" s="195">
        <v>5</v>
      </c>
      <c r="R110" s="195">
        <v>10</v>
      </c>
      <c r="S110" s="195">
        <v>14</v>
      </c>
      <c r="T110" s="195">
        <v>5</v>
      </c>
      <c r="U110" s="195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6" t="s">
        <v>31</v>
      </c>
      <c r="L111" s="196" t="s">
        <v>31</v>
      </c>
      <c r="M111" s="196" t="s">
        <v>95</v>
      </c>
      <c r="N111" s="196" t="s">
        <v>98</v>
      </c>
      <c r="O111" s="196" t="s">
        <v>97</v>
      </c>
      <c r="Q111" s="195">
        <v>7</v>
      </c>
      <c r="R111" s="195">
        <v>7</v>
      </c>
      <c r="S111" s="195">
        <v>17</v>
      </c>
      <c r="T111" s="195">
        <v>15</v>
      </c>
      <c r="U111" s="195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5">
        <v>108</v>
      </c>
      <c r="K112" s="196" t="s">
        <v>13</v>
      </c>
      <c r="L112" s="196" t="s">
        <v>15</v>
      </c>
      <c r="M112" s="196" t="s">
        <v>83</v>
      </c>
      <c r="N112" s="196" t="s">
        <v>16</v>
      </c>
      <c r="O112" s="196" t="s">
        <v>31</v>
      </c>
      <c r="Q112" s="195">
        <v>5</v>
      </c>
      <c r="R112" s="195">
        <v>2</v>
      </c>
      <c r="S112" s="195">
        <v>16</v>
      </c>
      <c r="T112" s="195">
        <v>3</v>
      </c>
      <c r="U112" s="195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6" t="s">
        <v>28</v>
      </c>
      <c r="L113" s="196" t="s">
        <v>29</v>
      </c>
      <c r="M113" s="196" t="s">
        <v>98</v>
      </c>
      <c r="N113" s="196" t="s">
        <v>31</v>
      </c>
      <c r="O113" s="196" t="s">
        <v>16</v>
      </c>
      <c r="Q113" s="195">
        <v>9</v>
      </c>
      <c r="R113" s="195">
        <v>8</v>
      </c>
      <c r="S113" s="195">
        <v>15</v>
      </c>
      <c r="T113" s="195">
        <v>7</v>
      </c>
      <c r="U113" s="195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5">
        <v>110</v>
      </c>
      <c r="K114" s="196" t="s">
        <v>31</v>
      </c>
      <c r="L114" s="196" t="s">
        <v>95</v>
      </c>
      <c r="M114" s="196" t="s">
        <v>82</v>
      </c>
      <c r="N114" s="196" t="s">
        <v>13</v>
      </c>
      <c r="O114" s="196" t="s">
        <v>29</v>
      </c>
      <c r="Q114" s="195">
        <v>7</v>
      </c>
      <c r="R114" s="195">
        <v>17</v>
      </c>
      <c r="S114" s="195">
        <v>14</v>
      </c>
      <c r="T114" s="195">
        <v>5</v>
      </c>
      <c r="U114" s="195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6" t="s">
        <v>13</v>
      </c>
      <c r="L115" s="196" t="s">
        <v>15</v>
      </c>
      <c r="M115" s="196" t="s">
        <v>83</v>
      </c>
      <c r="N115" s="196" t="s">
        <v>15</v>
      </c>
      <c r="O115" s="196" t="s">
        <v>13</v>
      </c>
      <c r="Q115" s="195">
        <v>5</v>
      </c>
      <c r="R115" s="195">
        <v>2</v>
      </c>
      <c r="S115" s="195">
        <v>16</v>
      </c>
      <c r="T115" s="195">
        <v>2</v>
      </c>
      <c r="U115" s="195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5">
        <v>112</v>
      </c>
      <c r="K116" s="196" t="s">
        <v>31</v>
      </c>
      <c r="L116" s="196" t="s">
        <v>31</v>
      </c>
      <c r="M116" s="196" t="s">
        <v>82</v>
      </c>
      <c r="N116" s="196" t="s">
        <v>29</v>
      </c>
      <c r="O116" s="196" t="s">
        <v>28</v>
      </c>
      <c r="Q116" s="195">
        <v>7</v>
      </c>
      <c r="R116" s="195">
        <v>7</v>
      </c>
      <c r="S116" s="195">
        <v>14</v>
      </c>
      <c r="T116" s="195">
        <v>8</v>
      </c>
      <c r="U116" s="195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6" t="s">
        <v>13</v>
      </c>
      <c r="L117" s="196" t="s">
        <v>82</v>
      </c>
      <c r="M117" s="196" t="s">
        <v>95</v>
      </c>
      <c r="N117" s="196" t="s">
        <v>97</v>
      </c>
      <c r="O117" s="196" t="s">
        <v>14</v>
      </c>
      <c r="Q117" s="195">
        <v>5</v>
      </c>
      <c r="R117" s="195">
        <v>14</v>
      </c>
      <c r="S117" s="195">
        <v>17</v>
      </c>
      <c r="T117" s="195">
        <v>6</v>
      </c>
      <c r="U117" s="195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5">
        <v>114</v>
      </c>
      <c r="K118" s="196" t="s">
        <v>31</v>
      </c>
      <c r="L118" s="196" t="s">
        <v>98</v>
      </c>
      <c r="M118" s="196" t="s">
        <v>83</v>
      </c>
      <c r="N118" s="196" t="s">
        <v>13</v>
      </c>
      <c r="O118" s="196" t="s">
        <v>16</v>
      </c>
      <c r="Q118" s="195">
        <v>7</v>
      </c>
      <c r="R118" s="195">
        <v>15</v>
      </c>
      <c r="S118" s="195">
        <v>16</v>
      </c>
      <c r="T118" s="195">
        <v>5</v>
      </c>
      <c r="U118" s="195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6" t="s">
        <v>13</v>
      </c>
      <c r="L119" s="196" t="s">
        <v>83</v>
      </c>
      <c r="M119" s="196" t="s">
        <v>82</v>
      </c>
      <c r="N119" s="196" t="s">
        <v>28</v>
      </c>
      <c r="O119" s="196" t="s">
        <v>13</v>
      </c>
      <c r="Q119" s="195">
        <v>5</v>
      </c>
      <c r="R119" s="195">
        <v>16</v>
      </c>
      <c r="S119" s="195">
        <v>14</v>
      </c>
      <c r="T119" s="195">
        <v>9</v>
      </c>
      <c r="U119" s="195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5">
        <v>116</v>
      </c>
      <c r="K120" s="196" t="s">
        <v>31</v>
      </c>
      <c r="L120" s="196" t="s">
        <v>12</v>
      </c>
      <c r="M120" s="196" t="s">
        <v>98</v>
      </c>
      <c r="N120" s="196" t="s">
        <v>29</v>
      </c>
      <c r="O120" s="196" t="s">
        <v>97</v>
      </c>
      <c r="Q120" s="195">
        <v>7</v>
      </c>
      <c r="R120" s="195">
        <v>4</v>
      </c>
      <c r="S120" s="195">
        <v>15</v>
      </c>
      <c r="T120" s="195">
        <v>8</v>
      </c>
      <c r="U120" s="195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6" t="s">
        <v>29</v>
      </c>
      <c r="L121" s="196" t="s">
        <v>97</v>
      </c>
      <c r="M121" s="196" t="s">
        <v>95</v>
      </c>
      <c r="N121" s="196" t="s">
        <v>31</v>
      </c>
      <c r="O121" s="196" t="s">
        <v>12</v>
      </c>
      <c r="Q121" s="195">
        <v>8</v>
      </c>
      <c r="R121" s="195">
        <v>6</v>
      </c>
      <c r="S121" s="195">
        <v>17</v>
      </c>
      <c r="T121" s="195">
        <v>7</v>
      </c>
      <c r="U121" s="195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5">
        <v>118</v>
      </c>
      <c r="K122" s="196" t="s">
        <v>97</v>
      </c>
      <c r="L122" s="196" t="s">
        <v>12</v>
      </c>
      <c r="M122" s="196" t="s">
        <v>82</v>
      </c>
      <c r="N122" s="196" t="s">
        <v>13</v>
      </c>
      <c r="O122" s="196" t="s">
        <v>31</v>
      </c>
      <c r="Q122" s="195">
        <v>6</v>
      </c>
      <c r="R122" s="195">
        <v>4</v>
      </c>
      <c r="S122" s="195">
        <v>14</v>
      </c>
      <c r="T122" s="195">
        <v>5</v>
      </c>
      <c r="U122" s="195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6" t="s">
        <v>31</v>
      </c>
      <c r="L123" s="196" t="s">
        <v>79</v>
      </c>
      <c r="M123" s="196" t="s">
        <v>95</v>
      </c>
      <c r="N123" s="196" t="s">
        <v>31</v>
      </c>
      <c r="O123" s="196" t="s">
        <v>29</v>
      </c>
      <c r="Q123" s="195">
        <v>7</v>
      </c>
      <c r="R123" s="195">
        <v>11</v>
      </c>
      <c r="S123" s="195">
        <v>17</v>
      </c>
      <c r="T123" s="195">
        <v>7</v>
      </c>
      <c r="U123" s="195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5">
        <v>120</v>
      </c>
      <c r="K124" s="196" t="s">
        <v>29</v>
      </c>
      <c r="L124" s="196" t="s">
        <v>13</v>
      </c>
      <c r="M124" s="196" t="s">
        <v>98</v>
      </c>
      <c r="N124" s="196" t="s">
        <v>83</v>
      </c>
      <c r="O124" s="196" t="s">
        <v>97</v>
      </c>
      <c r="Q124" s="195">
        <v>8</v>
      </c>
      <c r="R124" s="195">
        <v>5</v>
      </c>
      <c r="S124" s="195">
        <v>15</v>
      </c>
      <c r="T124" s="195">
        <v>16</v>
      </c>
      <c r="U124" s="195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6" t="s">
        <v>13</v>
      </c>
      <c r="L125" s="196" t="s">
        <v>97</v>
      </c>
      <c r="M125" s="196" t="s">
        <v>80</v>
      </c>
      <c r="N125" s="196" t="s">
        <v>97</v>
      </c>
      <c r="O125" s="196" t="s">
        <v>14</v>
      </c>
      <c r="Q125" s="195">
        <v>5</v>
      </c>
      <c r="R125" s="195">
        <v>6</v>
      </c>
      <c r="S125" s="195">
        <v>12</v>
      </c>
      <c r="T125" s="195">
        <v>6</v>
      </c>
      <c r="U125" s="195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5">
        <v>122</v>
      </c>
      <c r="K126" s="196" t="s">
        <v>31</v>
      </c>
      <c r="L126" s="196" t="s">
        <v>31</v>
      </c>
      <c r="M126" s="196" t="s">
        <v>98</v>
      </c>
      <c r="N126" s="196" t="s">
        <v>29</v>
      </c>
      <c r="O126" s="196" t="s">
        <v>29</v>
      </c>
      <c r="Q126" s="195">
        <v>7</v>
      </c>
      <c r="R126" s="195">
        <v>7</v>
      </c>
      <c r="S126" s="195">
        <v>15</v>
      </c>
      <c r="T126" s="195">
        <v>8</v>
      </c>
      <c r="U126" s="195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6" t="s">
        <v>97</v>
      </c>
      <c r="L127" s="196" t="s">
        <v>81</v>
      </c>
      <c r="M127" s="196" t="s">
        <v>83</v>
      </c>
      <c r="N127" s="196" t="s">
        <v>97</v>
      </c>
      <c r="O127" s="196" t="s">
        <v>31</v>
      </c>
      <c r="Q127" s="195">
        <v>6</v>
      </c>
      <c r="R127" s="195">
        <v>13</v>
      </c>
      <c r="S127" s="195">
        <v>16</v>
      </c>
      <c r="T127" s="195">
        <v>6</v>
      </c>
      <c r="U127" s="195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5">
        <v>124</v>
      </c>
      <c r="K128" s="196" t="s">
        <v>12</v>
      </c>
      <c r="L128" s="196" t="s">
        <v>29</v>
      </c>
      <c r="M128" s="196" t="s">
        <v>98</v>
      </c>
      <c r="N128" s="196" t="s">
        <v>31</v>
      </c>
      <c r="O128" s="196" t="s">
        <v>30</v>
      </c>
      <c r="Q128" s="195">
        <v>4</v>
      </c>
      <c r="R128" s="195">
        <v>8</v>
      </c>
      <c r="S128" s="195">
        <v>15</v>
      </c>
      <c r="T128" s="195">
        <v>7</v>
      </c>
      <c r="U128" s="195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6" t="s">
        <v>13</v>
      </c>
      <c r="L129" s="196" t="s">
        <v>13</v>
      </c>
      <c r="M129" s="196" t="s">
        <v>82</v>
      </c>
      <c r="N129" s="196" t="s">
        <v>29</v>
      </c>
      <c r="O129" s="196" t="s">
        <v>97</v>
      </c>
      <c r="Q129" s="195">
        <v>5</v>
      </c>
      <c r="R129" s="195">
        <v>5</v>
      </c>
      <c r="S129" s="195">
        <v>14</v>
      </c>
      <c r="T129" s="195">
        <v>8</v>
      </c>
      <c r="U129" s="195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5">
        <v>126</v>
      </c>
      <c r="K130" s="196" t="s">
        <v>29</v>
      </c>
      <c r="L130" s="196" t="s">
        <v>98</v>
      </c>
      <c r="M130" s="196" t="s">
        <v>81</v>
      </c>
      <c r="N130" s="196" t="s">
        <v>31</v>
      </c>
      <c r="O130" s="196" t="s">
        <v>13</v>
      </c>
      <c r="Q130" s="195">
        <v>8</v>
      </c>
      <c r="R130" s="195">
        <v>15</v>
      </c>
      <c r="S130" s="195">
        <v>13</v>
      </c>
      <c r="T130" s="195">
        <v>7</v>
      </c>
      <c r="U130" s="195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6" t="s">
        <v>97</v>
      </c>
      <c r="L131" s="196" t="s">
        <v>12</v>
      </c>
      <c r="M131" s="196" t="s">
        <v>83</v>
      </c>
      <c r="N131" s="196" t="s">
        <v>13</v>
      </c>
      <c r="O131" s="196" t="s">
        <v>16</v>
      </c>
      <c r="Q131" s="195">
        <v>6</v>
      </c>
      <c r="R131" s="195">
        <v>4</v>
      </c>
      <c r="S131" s="195">
        <v>16</v>
      </c>
      <c r="T131" s="195">
        <v>5</v>
      </c>
      <c r="U131" s="195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5">
        <v>128</v>
      </c>
      <c r="K132" s="196" t="s">
        <v>29</v>
      </c>
      <c r="L132" s="196" t="s">
        <v>80</v>
      </c>
      <c r="M132" s="196" t="s">
        <v>88</v>
      </c>
      <c r="N132" s="196" t="s">
        <v>31</v>
      </c>
      <c r="O132" s="196" t="s">
        <v>97</v>
      </c>
      <c r="Q132" s="195">
        <v>8</v>
      </c>
      <c r="R132" s="195">
        <v>12</v>
      </c>
      <c r="S132" s="195">
        <v>19</v>
      </c>
      <c r="T132" s="195">
        <v>7</v>
      </c>
      <c r="U132" s="195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6" t="s">
        <v>31</v>
      </c>
      <c r="L133" s="196" t="s">
        <v>29</v>
      </c>
      <c r="M133" s="196" t="s">
        <v>95</v>
      </c>
      <c r="N133" s="196" t="s">
        <v>29</v>
      </c>
      <c r="O133" s="196" t="s">
        <v>13</v>
      </c>
      <c r="Q133" s="195">
        <v>7</v>
      </c>
      <c r="R133" s="195">
        <v>8</v>
      </c>
      <c r="S133" s="195">
        <v>17</v>
      </c>
      <c r="T133" s="195">
        <v>8</v>
      </c>
      <c r="U133" s="195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5">
        <v>130</v>
      </c>
      <c r="K134" s="196" t="s">
        <v>16</v>
      </c>
      <c r="L134" s="196" t="s">
        <v>31</v>
      </c>
      <c r="M134" s="196" t="s">
        <v>82</v>
      </c>
      <c r="N134" s="196" t="s">
        <v>31</v>
      </c>
      <c r="O134" s="196" t="s">
        <v>16</v>
      </c>
      <c r="Q134" s="195">
        <v>3</v>
      </c>
      <c r="R134" s="195">
        <v>7</v>
      </c>
      <c r="S134" s="195">
        <v>14</v>
      </c>
      <c r="T134" s="195">
        <v>7</v>
      </c>
      <c r="U134" s="195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6" t="s">
        <v>29</v>
      </c>
      <c r="L135" s="196" t="s">
        <v>12</v>
      </c>
      <c r="M135" s="196" t="s">
        <v>86</v>
      </c>
      <c r="N135" s="196" t="s">
        <v>29</v>
      </c>
      <c r="O135" s="196" t="s">
        <v>97</v>
      </c>
      <c r="Q135" s="195">
        <v>8</v>
      </c>
      <c r="R135" s="195">
        <v>4</v>
      </c>
      <c r="S135" s="195">
        <v>18</v>
      </c>
      <c r="T135" s="195">
        <v>8</v>
      </c>
      <c r="U135" s="195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5">
        <v>132</v>
      </c>
      <c r="K136" s="196" t="s">
        <v>97</v>
      </c>
      <c r="L136" s="196" t="s">
        <v>98</v>
      </c>
      <c r="M136" s="196" t="s">
        <v>98</v>
      </c>
      <c r="N136" s="196" t="s">
        <v>13</v>
      </c>
      <c r="O136" s="196" t="s">
        <v>13</v>
      </c>
      <c r="Q136" s="195">
        <v>6</v>
      </c>
      <c r="R136" s="195">
        <v>15</v>
      </c>
      <c r="S136" s="195">
        <v>15</v>
      </c>
      <c r="T136" s="195">
        <v>5</v>
      </c>
      <c r="U136" s="195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6" t="s">
        <v>13</v>
      </c>
      <c r="L137" s="196" t="s">
        <v>15</v>
      </c>
      <c r="M137" s="196" t="s">
        <v>83</v>
      </c>
      <c r="N137" s="196" t="s">
        <v>29</v>
      </c>
      <c r="O137" s="196" t="s">
        <v>31</v>
      </c>
      <c r="Q137" s="195">
        <v>5</v>
      </c>
      <c r="R137" s="195">
        <v>2</v>
      </c>
      <c r="S137" s="195">
        <v>16</v>
      </c>
      <c r="T137" s="195">
        <v>8</v>
      </c>
      <c r="U137" s="195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5">
        <v>134</v>
      </c>
      <c r="K138" s="196" t="s">
        <v>29</v>
      </c>
      <c r="L138" s="196" t="s">
        <v>97</v>
      </c>
      <c r="M138" s="196" t="s">
        <v>95</v>
      </c>
      <c r="N138" s="196" t="s">
        <v>31</v>
      </c>
      <c r="O138" s="196" t="s">
        <v>12</v>
      </c>
      <c r="Q138" s="195">
        <v>8</v>
      </c>
      <c r="R138" s="195">
        <v>6</v>
      </c>
      <c r="S138" s="195">
        <v>17</v>
      </c>
      <c r="T138" s="195">
        <v>7</v>
      </c>
      <c r="U138" s="195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6" t="s">
        <v>97</v>
      </c>
      <c r="L139" s="196" t="s">
        <v>79</v>
      </c>
      <c r="M139" s="196" t="s">
        <v>83</v>
      </c>
      <c r="N139" s="196" t="s">
        <v>97</v>
      </c>
      <c r="O139" s="196" t="s">
        <v>13</v>
      </c>
      <c r="Q139" s="195">
        <v>6</v>
      </c>
      <c r="R139" s="195">
        <v>11</v>
      </c>
      <c r="S139" s="195">
        <v>16</v>
      </c>
      <c r="T139" s="195">
        <v>6</v>
      </c>
      <c r="U139" s="195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5">
        <v>136</v>
      </c>
      <c r="K140" s="196" t="s">
        <v>29</v>
      </c>
      <c r="L140" s="196" t="s">
        <v>86</v>
      </c>
      <c r="M140" s="196" t="s">
        <v>82</v>
      </c>
      <c r="N140" s="196" t="s">
        <v>13</v>
      </c>
      <c r="O140" s="196" t="s">
        <v>30</v>
      </c>
      <c r="Q140" s="195">
        <v>8</v>
      </c>
      <c r="R140" s="195">
        <v>18</v>
      </c>
      <c r="S140" s="195">
        <v>14</v>
      </c>
      <c r="T140" s="195">
        <v>5</v>
      </c>
      <c r="U140" s="195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6" t="s">
        <v>97</v>
      </c>
      <c r="L141" s="196" t="s">
        <v>13</v>
      </c>
      <c r="M141" s="196" t="s">
        <v>98</v>
      </c>
      <c r="N141" s="196" t="s">
        <v>95</v>
      </c>
      <c r="O141" s="196" t="s">
        <v>31</v>
      </c>
      <c r="Q141" s="195">
        <v>6</v>
      </c>
      <c r="R141" s="195">
        <v>5</v>
      </c>
      <c r="S141" s="195">
        <v>15</v>
      </c>
      <c r="T141" s="195">
        <v>17</v>
      </c>
      <c r="U141" s="195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5">
        <v>138</v>
      </c>
      <c r="K142" s="196" t="s">
        <v>29</v>
      </c>
      <c r="L142" s="196" t="s">
        <v>15</v>
      </c>
      <c r="M142" s="196" t="s">
        <v>95</v>
      </c>
      <c r="N142" s="196" t="s">
        <v>31</v>
      </c>
      <c r="O142" s="196" t="s">
        <v>97</v>
      </c>
      <c r="Q142" s="195">
        <v>8</v>
      </c>
      <c r="R142" s="195">
        <v>2</v>
      </c>
      <c r="S142" s="195">
        <v>17</v>
      </c>
      <c r="T142" s="195">
        <v>7</v>
      </c>
      <c r="U142" s="195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6" t="s">
        <v>13</v>
      </c>
      <c r="L143" s="196" t="s">
        <v>31</v>
      </c>
      <c r="M143" s="196" t="s">
        <v>98</v>
      </c>
      <c r="N143" s="196" t="s">
        <v>97</v>
      </c>
      <c r="O143" s="196" t="s">
        <v>31</v>
      </c>
      <c r="Q143" s="195">
        <v>5</v>
      </c>
      <c r="R143" s="195">
        <v>7</v>
      </c>
      <c r="S143" s="195">
        <v>15</v>
      </c>
      <c r="T143" s="195">
        <v>6</v>
      </c>
      <c r="U143" s="195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5">
        <v>140</v>
      </c>
      <c r="K144" s="196" t="s">
        <v>97</v>
      </c>
      <c r="L144" s="196" t="s">
        <v>29</v>
      </c>
      <c r="M144" s="196" t="s">
        <v>86</v>
      </c>
      <c r="N144" s="196" t="s">
        <v>98</v>
      </c>
      <c r="O144" s="196" t="s">
        <v>97</v>
      </c>
      <c r="Q144" s="195">
        <v>6</v>
      </c>
      <c r="R144" s="195">
        <v>8</v>
      </c>
      <c r="S144" s="195">
        <v>18</v>
      </c>
      <c r="T144" s="195">
        <v>15</v>
      </c>
      <c r="U144" s="195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6" t="s">
        <v>31</v>
      </c>
      <c r="L145" s="196" t="s">
        <v>13</v>
      </c>
      <c r="M145" s="196" t="s">
        <v>95</v>
      </c>
      <c r="N145" s="196" t="s">
        <v>31</v>
      </c>
      <c r="O145" s="196" t="s">
        <v>12</v>
      </c>
      <c r="Q145" s="195">
        <v>7</v>
      </c>
      <c r="R145" s="195">
        <v>5</v>
      </c>
      <c r="S145" s="195">
        <v>17</v>
      </c>
      <c r="T145" s="195">
        <v>7</v>
      </c>
      <c r="U145" s="195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5">
        <v>142</v>
      </c>
      <c r="K146" s="196" t="s">
        <v>97</v>
      </c>
      <c r="L146" s="196" t="s">
        <v>88</v>
      </c>
      <c r="M146" s="196" t="s">
        <v>82</v>
      </c>
      <c r="N146" s="196" t="s">
        <v>28</v>
      </c>
      <c r="O146" s="196" t="s">
        <v>97</v>
      </c>
      <c r="Q146" s="195">
        <v>6</v>
      </c>
      <c r="R146" s="195">
        <v>19</v>
      </c>
      <c r="S146" s="195">
        <v>14</v>
      </c>
      <c r="T146" s="195">
        <v>9</v>
      </c>
      <c r="U146" s="195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6" t="s">
        <v>13</v>
      </c>
      <c r="L147" s="196" t="s">
        <v>97</v>
      </c>
      <c r="M147" s="196" t="s">
        <v>98</v>
      </c>
      <c r="N147" s="196" t="s">
        <v>31</v>
      </c>
      <c r="O147" s="196" t="s">
        <v>13</v>
      </c>
      <c r="Q147" s="195">
        <v>5</v>
      </c>
      <c r="R147" s="195">
        <v>6</v>
      </c>
      <c r="S147" s="195">
        <v>15</v>
      </c>
      <c r="T147" s="195">
        <v>7</v>
      </c>
      <c r="U147" s="195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5">
        <v>144</v>
      </c>
      <c r="K148" s="196" t="s">
        <v>97</v>
      </c>
      <c r="L148" s="196" t="s">
        <v>16</v>
      </c>
      <c r="M148" s="196" t="s">
        <v>83</v>
      </c>
      <c r="N148" s="196" t="s">
        <v>13</v>
      </c>
      <c r="O148" s="196" t="s">
        <v>97</v>
      </c>
      <c r="Q148" s="195">
        <v>6</v>
      </c>
      <c r="R148" s="195">
        <v>3</v>
      </c>
      <c r="S148" s="195">
        <v>16</v>
      </c>
      <c r="T148" s="195">
        <v>5</v>
      </c>
      <c r="U148" s="195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6" t="s">
        <v>29</v>
      </c>
      <c r="L149" s="196" t="s">
        <v>95</v>
      </c>
      <c r="M149" s="196" t="s">
        <v>95</v>
      </c>
      <c r="N149" s="196" t="s">
        <v>31</v>
      </c>
      <c r="O149" s="196" t="s">
        <v>13</v>
      </c>
      <c r="Q149" s="195">
        <v>8</v>
      </c>
      <c r="R149" s="195">
        <v>17</v>
      </c>
      <c r="S149" s="195">
        <v>17</v>
      </c>
      <c r="T149" s="195">
        <v>7</v>
      </c>
      <c r="U149" s="195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5">
        <v>146</v>
      </c>
      <c r="K150" s="196" t="s">
        <v>97</v>
      </c>
      <c r="L150" s="196" t="s">
        <v>29</v>
      </c>
      <c r="M150" s="196" t="s">
        <v>82</v>
      </c>
      <c r="N150" s="196" t="s">
        <v>97</v>
      </c>
      <c r="O150" s="196" t="s">
        <v>28</v>
      </c>
      <c r="Q150" s="195">
        <v>6</v>
      </c>
      <c r="R150" s="195">
        <v>8</v>
      </c>
      <c r="S150" s="195">
        <v>14</v>
      </c>
      <c r="T150" s="195">
        <v>6</v>
      </c>
      <c r="U150" s="195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6" t="s">
        <v>31</v>
      </c>
      <c r="L151" s="196" t="s">
        <v>97</v>
      </c>
      <c r="M151" s="196" t="s">
        <v>98</v>
      </c>
      <c r="N151" s="196" t="s">
        <v>31</v>
      </c>
      <c r="O151" s="196" t="s">
        <v>31</v>
      </c>
      <c r="Q151" s="195">
        <v>7</v>
      </c>
      <c r="R151" s="195">
        <v>6</v>
      </c>
      <c r="S151" s="195">
        <v>15</v>
      </c>
      <c r="T151" s="195">
        <v>7</v>
      </c>
      <c r="U151" s="195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5">
        <v>148</v>
      </c>
      <c r="K152" s="196" t="s">
        <v>13</v>
      </c>
      <c r="L152" s="196" t="s">
        <v>95</v>
      </c>
      <c r="M152" s="196" t="s">
        <v>81</v>
      </c>
      <c r="N152" s="196" t="s">
        <v>13</v>
      </c>
      <c r="O152" s="196" t="s">
        <v>97</v>
      </c>
      <c r="Q152" s="195">
        <v>5</v>
      </c>
      <c r="R152" s="195">
        <v>17</v>
      </c>
      <c r="S152" s="195">
        <v>13</v>
      </c>
      <c r="T152" s="195">
        <v>5</v>
      </c>
      <c r="U152" s="195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6" t="s">
        <v>97</v>
      </c>
      <c r="L153" s="196" t="s">
        <v>12</v>
      </c>
      <c r="M153" s="196" t="s">
        <v>82</v>
      </c>
      <c r="N153" s="196" t="s">
        <v>97</v>
      </c>
      <c r="O153" s="196" t="s">
        <v>28</v>
      </c>
      <c r="Q153" s="195">
        <v>6</v>
      </c>
      <c r="R153" s="195">
        <v>4</v>
      </c>
      <c r="S153" s="195">
        <v>14</v>
      </c>
      <c r="T153" s="195">
        <v>6</v>
      </c>
      <c r="U153" s="195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5">
        <v>150</v>
      </c>
      <c r="K154" s="196" t="s">
        <v>13</v>
      </c>
      <c r="L154" s="196" t="s">
        <v>30</v>
      </c>
      <c r="M154" s="196" t="s">
        <v>98</v>
      </c>
      <c r="N154" s="196" t="s">
        <v>31</v>
      </c>
      <c r="O154" s="196" t="s">
        <v>29</v>
      </c>
      <c r="Q154" s="195">
        <v>5</v>
      </c>
      <c r="R154" s="195">
        <v>10</v>
      </c>
      <c r="S154" s="195">
        <v>15</v>
      </c>
      <c r="T154" s="195">
        <v>7</v>
      </c>
      <c r="U154" s="195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6" t="s">
        <v>15</v>
      </c>
      <c r="L155" s="196" t="s">
        <v>97</v>
      </c>
      <c r="M155" s="196" t="s">
        <v>95</v>
      </c>
      <c r="N155" s="196" t="s">
        <v>13</v>
      </c>
      <c r="O155" s="196" t="s">
        <v>15</v>
      </c>
      <c r="Q155" s="195">
        <v>2</v>
      </c>
      <c r="R155" s="195">
        <v>6</v>
      </c>
      <c r="S155" s="195">
        <v>17</v>
      </c>
      <c r="T155" s="195">
        <v>5</v>
      </c>
      <c r="U155" s="195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5">
        <v>152</v>
      </c>
      <c r="K156" s="196" t="s">
        <v>29</v>
      </c>
      <c r="L156" s="196" t="s">
        <v>83</v>
      </c>
      <c r="M156" s="196" t="s">
        <v>88</v>
      </c>
      <c r="N156" s="196" t="s">
        <v>82</v>
      </c>
      <c r="O156" s="196" t="s">
        <v>31</v>
      </c>
      <c r="Q156" s="195">
        <v>8</v>
      </c>
      <c r="R156" s="195">
        <v>16</v>
      </c>
      <c r="S156" s="195">
        <v>19</v>
      </c>
      <c r="T156" s="195">
        <v>14</v>
      </c>
      <c r="U156" s="195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6" t="s">
        <v>31</v>
      </c>
      <c r="L157" s="196" t="s">
        <v>29</v>
      </c>
      <c r="M157" s="196" t="s">
        <v>98</v>
      </c>
      <c r="N157" s="196" t="s">
        <v>97</v>
      </c>
      <c r="O157" s="196" t="s">
        <v>29</v>
      </c>
      <c r="Q157" s="195">
        <v>7</v>
      </c>
      <c r="R157" s="195">
        <v>8</v>
      </c>
      <c r="S157" s="195">
        <v>15</v>
      </c>
      <c r="T157" s="195">
        <v>6</v>
      </c>
      <c r="U157" s="195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5">
        <v>154</v>
      </c>
      <c r="K158" s="196" t="s">
        <v>29</v>
      </c>
      <c r="L158" s="196" t="s">
        <v>30</v>
      </c>
      <c r="M158" s="196" t="s">
        <v>95</v>
      </c>
      <c r="N158" s="196" t="s">
        <v>31</v>
      </c>
      <c r="O158" s="196" t="s">
        <v>13</v>
      </c>
      <c r="Q158" s="195">
        <v>8</v>
      </c>
      <c r="R158" s="195">
        <v>10</v>
      </c>
      <c r="S158" s="195">
        <v>17</v>
      </c>
      <c r="T158" s="195">
        <v>7</v>
      </c>
      <c r="U158" s="195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6" t="s">
        <v>13</v>
      </c>
      <c r="L159" s="196" t="s">
        <v>97</v>
      </c>
      <c r="M159" s="196" t="s">
        <v>81</v>
      </c>
      <c r="N159" s="196" t="s">
        <v>95</v>
      </c>
      <c r="O159" s="196" t="s">
        <v>31</v>
      </c>
      <c r="Q159" s="195">
        <v>5</v>
      </c>
      <c r="R159" s="195">
        <v>6</v>
      </c>
      <c r="S159" s="195">
        <v>13</v>
      </c>
      <c r="T159" s="195">
        <v>17</v>
      </c>
      <c r="U159" s="195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5">
        <v>156</v>
      </c>
      <c r="K160" s="196" t="s">
        <v>31</v>
      </c>
      <c r="L160" s="196" t="s">
        <v>29</v>
      </c>
      <c r="M160" s="196" t="s">
        <v>98</v>
      </c>
      <c r="N160" s="196" t="s">
        <v>88</v>
      </c>
      <c r="O160" s="196" t="s">
        <v>29</v>
      </c>
      <c r="Q160" s="195">
        <v>7</v>
      </c>
      <c r="R160" s="195">
        <v>8</v>
      </c>
      <c r="S160" s="195">
        <v>15</v>
      </c>
      <c r="T160" s="195">
        <v>19</v>
      </c>
      <c r="U160" s="195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6" t="s">
        <v>29</v>
      </c>
      <c r="L161" s="196" t="s">
        <v>15</v>
      </c>
      <c r="M161" s="196" t="s">
        <v>95</v>
      </c>
      <c r="N161" s="196" t="s">
        <v>80</v>
      </c>
      <c r="O161" s="196" t="s">
        <v>97</v>
      </c>
      <c r="Q161" s="195">
        <v>8</v>
      </c>
      <c r="R161" s="195">
        <v>2</v>
      </c>
      <c r="S161" s="195">
        <v>17</v>
      </c>
      <c r="T161" s="195">
        <v>12</v>
      </c>
      <c r="U161" s="195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5">
        <v>158</v>
      </c>
      <c r="K162" s="196" t="s">
        <v>13</v>
      </c>
      <c r="L162" s="196" t="s">
        <v>12</v>
      </c>
      <c r="M162" s="196" t="s">
        <v>98</v>
      </c>
      <c r="N162" s="196" t="s">
        <v>98</v>
      </c>
      <c r="O162" s="196" t="s">
        <v>29</v>
      </c>
      <c r="Q162" s="195">
        <v>5</v>
      </c>
      <c r="R162" s="195">
        <v>4</v>
      </c>
      <c r="S162" s="195">
        <v>15</v>
      </c>
      <c r="T162" s="195">
        <v>15</v>
      </c>
      <c r="U162" s="195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6" t="s">
        <v>29</v>
      </c>
      <c r="L163" s="196" t="s">
        <v>16</v>
      </c>
      <c r="M163" s="196" t="s">
        <v>83</v>
      </c>
      <c r="N163" s="196" t="s">
        <v>88</v>
      </c>
      <c r="O163" s="196" t="s">
        <v>31</v>
      </c>
      <c r="Q163" s="195">
        <v>8</v>
      </c>
      <c r="R163" s="195">
        <v>3</v>
      </c>
      <c r="S163" s="195">
        <v>16</v>
      </c>
      <c r="T163" s="195">
        <v>19</v>
      </c>
      <c r="U163" s="195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5">
        <v>160</v>
      </c>
      <c r="K164" s="196" t="s">
        <v>28</v>
      </c>
      <c r="L164" s="196" t="s">
        <v>31</v>
      </c>
      <c r="M164" s="196" t="s">
        <v>95</v>
      </c>
      <c r="N164" s="196" t="s">
        <v>31</v>
      </c>
      <c r="O164" s="196" t="s">
        <v>12</v>
      </c>
      <c r="Q164" s="195">
        <v>9</v>
      </c>
      <c r="R164" s="195">
        <v>7</v>
      </c>
      <c r="S164" s="195">
        <v>17</v>
      </c>
      <c r="T164" s="195">
        <v>7</v>
      </c>
      <c r="U164" s="195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6" t="s">
        <v>13</v>
      </c>
      <c r="L165" s="196" t="s">
        <v>29</v>
      </c>
      <c r="M165" s="196" t="s">
        <v>98</v>
      </c>
      <c r="N165" s="196" t="s">
        <v>98</v>
      </c>
      <c r="O165" s="196" t="s">
        <v>97</v>
      </c>
      <c r="Q165" s="195">
        <v>5</v>
      </c>
      <c r="R165" s="195">
        <v>8</v>
      </c>
      <c r="S165" s="195">
        <v>15</v>
      </c>
      <c r="T165" s="195">
        <v>15</v>
      </c>
      <c r="U165" s="195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5">
        <v>162</v>
      </c>
      <c r="K166" s="196" t="s">
        <v>28</v>
      </c>
      <c r="L166" s="196" t="s">
        <v>81</v>
      </c>
      <c r="M166" s="196" t="s">
        <v>95</v>
      </c>
      <c r="N166" s="196" t="s">
        <v>97</v>
      </c>
      <c r="O166" s="196" t="s">
        <v>31</v>
      </c>
      <c r="Q166" s="195">
        <v>9</v>
      </c>
      <c r="R166" s="195">
        <v>13</v>
      </c>
      <c r="S166" s="195">
        <v>17</v>
      </c>
      <c r="T166" s="195">
        <v>6</v>
      </c>
      <c r="U166" s="195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6" t="s">
        <v>97</v>
      </c>
      <c r="L167" s="196" t="s">
        <v>16</v>
      </c>
      <c r="M167" s="196" t="s">
        <v>82</v>
      </c>
      <c r="N167" s="196" t="s">
        <v>13</v>
      </c>
      <c r="O167" s="196" t="s">
        <v>30</v>
      </c>
      <c r="Q167" s="195">
        <v>6</v>
      </c>
      <c r="R167" s="195">
        <v>3</v>
      </c>
      <c r="S167" s="195">
        <v>14</v>
      </c>
      <c r="T167" s="195">
        <v>5</v>
      </c>
      <c r="U167" s="195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5">
        <v>164</v>
      </c>
      <c r="K168" s="196" t="s">
        <v>13</v>
      </c>
      <c r="L168" s="196" t="s">
        <v>13</v>
      </c>
      <c r="M168" s="196" t="s">
        <v>98</v>
      </c>
      <c r="N168" s="196" t="s">
        <v>31</v>
      </c>
      <c r="O168" s="196" t="s">
        <v>13</v>
      </c>
      <c r="Q168" s="195">
        <v>5</v>
      </c>
      <c r="R168" s="195">
        <v>5</v>
      </c>
      <c r="S168" s="195">
        <v>15</v>
      </c>
      <c r="T168" s="195">
        <v>7</v>
      </c>
      <c r="U168" s="195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6" t="s">
        <v>29</v>
      </c>
      <c r="L169" s="196" t="s">
        <v>16</v>
      </c>
      <c r="M169" s="196" t="s">
        <v>95</v>
      </c>
      <c r="N169" s="196" t="s">
        <v>29</v>
      </c>
      <c r="O169" s="196" t="s">
        <v>30</v>
      </c>
      <c r="Q169" s="195">
        <v>8</v>
      </c>
      <c r="R169" s="195">
        <v>3</v>
      </c>
      <c r="S169" s="195">
        <v>17</v>
      </c>
      <c r="T169" s="195">
        <v>8</v>
      </c>
      <c r="U169" s="195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5">
        <v>166</v>
      </c>
      <c r="K170" s="196" t="s">
        <v>28</v>
      </c>
      <c r="L170" s="196" t="s">
        <v>97</v>
      </c>
      <c r="M170" s="196" t="s">
        <v>83</v>
      </c>
      <c r="N170" s="196" t="s">
        <v>31</v>
      </c>
      <c r="O170" s="196" t="s">
        <v>31</v>
      </c>
      <c r="Q170" s="195">
        <v>9</v>
      </c>
      <c r="R170" s="195">
        <v>6</v>
      </c>
      <c r="S170" s="195">
        <v>16</v>
      </c>
      <c r="T170" s="195">
        <v>7</v>
      </c>
      <c r="U170" s="195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6" t="s">
        <v>97</v>
      </c>
      <c r="L171" s="196" t="s">
        <v>83</v>
      </c>
      <c r="M171" s="196" t="s">
        <v>98</v>
      </c>
      <c r="N171" s="196" t="s">
        <v>95</v>
      </c>
      <c r="O171" s="196" t="s">
        <v>29</v>
      </c>
      <c r="Q171" s="195">
        <v>6</v>
      </c>
      <c r="R171" s="195">
        <v>16</v>
      </c>
      <c r="S171" s="195">
        <v>15</v>
      </c>
      <c r="T171" s="195">
        <v>17</v>
      </c>
      <c r="U171" s="195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5">
        <v>168</v>
      </c>
      <c r="K172" s="196" t="s">
        <v>31</v>
      </c>
      <c r="L172" s="196" t="s">
        <v>28</v>
      </c>
      <c r="M172" s="196" t="s">
        <v>95</v>
      </c>
      <c r="N172" s="196" t="s">
        <v>14</v>
      </c>
      <c r="O172" s="196" t="s">
        <v>28</v>
      </c>
      <c r="Q172" s="195">
        <v>7</v>
      </c>
      <c r="R172" s="195">
        <v>9</v>
      </c>
      <c r="S172" s="195">
        <v>17</v>
      </c>
      <c r="T172" s="195">
        <v>1</v>
      </c>
      <c r="U172" s="195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6" t="s">
        <v>29</v>
      </c>
      <c r="L173" s="196" t="s">
        <v>15</v>
      </c>
      <c r="M173" s="196" t="s">
        <v>83</v>
      </c>
      <c r="N173" s="196" t="s">
        <v>82</v>
      </c>
      <c r="O173" s="196" t="s">
        <v>13</v>
      </c>
      <c r="Q173" s="195">
        <v>8</v>
      </c>
      <c r="R173" s="195">
        <v>2</v>
      </c>
      <c r="S173" s="195">
        <v>16</v>
      </c>
      <c r="T173" s="195">
        <v>14</v>
      </c>
      <c r="U173" s="195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5">
        <v>170</v>
      </c>
      <c r="K174" s="196" t="s">
        <v>31</v>
      </c>
      <c r="L174" s="196" t="s">
        <v>98</v>
      </c>
      <c r="M174" s="196" t="s">
        <v>82</v>
      </c>
      <c r="N174" s="196" t="s">
        <v>13</v>
      </c>
      <c r="O174" s="196" t="s">
        <v>31</v>
      </c>
      <c r="Q174" s="195">
        <v>7</v>
      </c>
      <c r="R174" s="195">
        <v>15</v>
      </c>
      <c r="S174" s="195">
        <v>14</v>
      </c>
      <c r="T174" s="195">
        <v>5</v>
      </c>
      <c r="U174" s="195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6" t="s">
        <v>29</v>
      </c>
      <c r="L175" s="196" t="s">
        <v>28</v>
      </c>
      <c r="M175" s="196" t="s">
        <v>83</v>
      </c>
      <c r="N175" s="196" t="s">
        <v>81</v>
      </c>
      <c r="O175" s="196" t="s">
        <v>16</v>
      </c>
      <c r="Q175" s="195">
        <v>8</v>
      </c>
      <c r="R175" s="195">
        <v>9</v>
      </c>
      <c r="S175" s="195">
        <v>16</v>
      </c>
      <c r="T175" s="195">
        <v>13</v>
      </c>
      <c r="U175" s="195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5">
        <v>172</v>
      </c>
      <c r="K176" s="196" t="s">
        <v>12</v>
      </c>
      <c r="L176" s="196" t="s">
        <v>13</v>
      </c>
      <c r="M176" s="196" t="s">
        <v>88</v>
      </c>
      <c r="N176" s="196" t="s">
        <v>86</v>
      </c>
      <c r="O176" s="196" t="s">
        <v>13</v>
      </c>
      <c r="Q176" s="195">
        <v>4</v>
      </c>
      <c r="R176" s="195">
        <v>5</v>
      </c>
      <c r="S176" s="195">
        <v>19</v>
      </c>
      <c r="T176" s="195">
        <v>18</v>
      </c>
      <c r="U176" s="195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6" t="s">
        <v>13</v>
      </c>
      <c r="L177" s="196" t="s">
        <v>83</v>
      </c>
      <c r="M177" s="196" t="s">
        <v>95</v>
      </c>
      <c r="N177" s="196" t="s">
        <v>29</v>
      </c>
      <c r="O177" s="196" t="s">
        <v>97</v>
      </c>
      <c r="Q177" s="195">
        <v>5</v>
      </c>
      <c r="R177" s="195">
        <v>16</v>
      </c>
      <c r="S177" s="195">
        <v>17</v>
      </c>
      <c r="T177" s="195">
        <v>8</v>
      </c>
      <c r="U177" s="195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5">
        <v>174</v>
      </c>
      <c r="K178" s="196" t="s">
        <v>29</v>
      </c>
      <c r="L178" s="196" t="s">
        <v>98</v>
      </c>
      <c r="M178" s="196" t="s">
        <v>98</v>
      </c>
      <c r="N178" s="196" t="s">
        <v>95</v>
      </c>
      <c r="O178" s="196" t="s">
        <v>31</v>
      </c>
      <c r="Q178" s="195">
        <v>8</v>
      </c>
      <c r="R178" s="195">
        <v>15</v>
      </c>
      <c r="S178" s="195">
        <v>15</v>
      </c>
      <c r="T178" s="195">
        <v>17</v>
      </c>
      <c r="U178" s="195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6" t="s">
        <v>31</v>
      </c>
      <c r="L179" s="196" t="s">
        <v>31</v>
      </c>
      <c r="M179" s="196" t="s">
        <v>83</v>
      </c>
      <c r="N179" s="196" t="s">
        <v>12</v>
      </c>
      <c r="O179" s="196" t="s">
        <v>13</v>
      </c>
      <c r="Q179" s="195">
        <v>7</v>
      </c>
      <c r="R179" s="195">
        <v>7</v>
      </c>
      <c r="S179" s="195">
        <v>16</v>
      </c>
      <c r="T179" s="195">
        <v>4</v>
      </c>
      <c r="U179" s="195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5">
        <v>176</v>
      </c>
      <c r="K180" s="196" t="s">
        <v>97</v>
      </c>
      <c r="L180" s="196" t="s">
        <v>28</v>
      </c>
      <c r="M180" s="196" t="s">
        <v>98</v>
      </c>
      <c r="N180" s="196" t="s">
        <v>13</v>
      </c>
      <c r="O180" s="196" t="s">
        <v>31</v>
      </c>
      <c r="Q180" s="195">
        <v>6</v>
      </c>
      <c r="R180" s="195">
        <v>9</v>
      </c>
      <c r="S180" s="195">
        <v>15</v>
      </c>
      <c r="T180" s="195">
        <v>5</v>
      </c>
      <c r="U180" s="195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6" t="s">
        <v>13</v>
      </c>
      <c r="L181" s="196" t="s">
        <v>29</v>
      </c>
      <c r="M181" s="196" t="s">
        <v>82</v>
      </c>
      <c r="N181" s="196" t="s">
        <v>97</v>
      </c>
      <c r="O181" s="196" t="s">
        <v>13</v>
      </c>
      <c r="Q181" s="195">
        <v>5</v>
      </c>
      <c r="R181" s="195">
        <v>8</v>
      </c>
      <c r="S181" s="195">
        <v>14</v>
      </c>
      <c r="T181" s="195">
        <v>6</v>
      </c>
      <c r="U181" s="195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5">
        <v>178</v>
      </c>
      <c r="K182" s="196" t="s">
        <v>29</v>
      </c>
      <c r="L182" s="196" t="s">
        <v>31</v>
      </c>
      <c r="M182" s="196" t="s">
        <v>83</v>
      </c>
      <c r="N182" s="196" t="s">
        <v>95</v>
      </c>
      <c r="O182" s="196" t="s">
        <v>29</v>
      </c>
      <c r="Q182" s="195">
        <v>8</v>
      </c>
      <c r="R182" s="195">
        <v>7</v>
      </c>
      <c r="S182" s="195">
        <v>16</v>
      </c>
      <c r="T182" s="195">
        <v>17</v>
      </c>
      <c r="U182" s="195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6" t="s">
        <v>97</v>
      </c>
      <c r="L183" s="196" t="s">
        <v>97</v>
      </c>
      <c r="M183" s="196" t="s">
        <v>82</v>
      </c>
      <c r="N183" s="196" t="s">
        <v>97</v>
      </c>
      <c r="O183" s="196" t="s">
        <v>97</v>
      </c>
      <c r="Q183" s="195">
        <v>6</v>
      </c>
      <c r="R183" s="195">
        <v>6</v>
      </c>
      <c r="S183" s="195">
        <v>14</v>
      </c>
      <c r="T183" s="195">
        <v>6</v>
      </c>
      <c r="U183" s="195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5">
        <v>180</v>
      </c>
      <c r="K184" s="196" t="s">
        <v>13</v>
      </c>
      <c r="L184" s="196" t="s">
        <v>31</v>
      </c>
      <c r="M184" s="196" t="s">
        <v>83</v>
      </c>
      <c r="N184" s="196" t="s">
        <v>29</v>
      </c>
      <c r="O184" s="196" t="s">
        <v>30</v>
      </c>
      <c r="Q184" s="195">
        <v>5</v>
      </c>
      <c r="R184" s="195">
        <v>7</v>
      </c>
      <c r="S184" s="195">
        <v>16</v>
      </c>
      <c r="T184" s="195">
        <v>8</v>
      </c>
      <c r="U184" s="195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6" t="s">
        <v>31</v>
      </c>
      <c r="L185" s="196" t="s">
        <v>82</v>
      </c>
      <c r="M185" s="196" t="s">
        <v>98</v>
      </c>
      <c r="N185" s="196" t="s">
        <v>98</v>
      </c>
      <c r="O185" s="196" t="s">
        <v>13</v>
      </c>
      <c r="Q185" s="195">
        <v>7</v>
      </c>
      <c r="R185" s="195">
        <v>14</v>
      </c>
      <c r="S185" s="195">
        <v>15</v>
      </c>
      <c r="T185" s="195">
        <v>15</v>
      </c>
      <c r="U185" s="195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5">
        <v>182</v>
      </c>
      <c r="K186" s="196" t="s">
        <v>97</v>
      </c>
      <c r="L186" s="196" t="s">
        <v>29</v>
      </c>
      <c r="M186" s="196" t="s">
        <v>83</v>
      </c>
      <c r="N186" s="196" t="s">
        <v>13</v>
      </c>
      <c r="O186" s="196" t="s">
        <v>29</v>
      </c>
      <c r="Q186" s="195">
        <v>6</v>
      </c>
      <c r="R186" s="195">
        <v>8</v>
      </c>
      <c r="S186" s="195">
        <v>16</v>
      </c>
      <c r="T186" s="195">
        <v>5</v>
      </c>
      <c r="U186" s="195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6" t="s">
        <v>29</v>
      </c>
      <c r="L187" s="196" t="s">
        <v>31</v>
      </c>
      <c r="M187" s="196" t="s">
        <v>82</v>
      </c>
      <c r="N187" s="196" t="s">
        <v>30</v>
      </c>
      <c r="O187" s="196" t="s">
        <v>31</v>
      </c>
      <c r="Q187" s="195">
        <v>8</v>
      </c>
      <c r="R187" s="195">
        <v>7</v>
      </c>
      <c r="S187" s="195">
        <v>14</v>
      </c>
      <c r="T187" s="195">
        <v>10</v>
      </c>
      <c r="U187" s="195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5">
        <v>184</v>
      </c>
      <c r="K188" s="196" t="s">
        <v>13</v>
      </c>
      <c r="L188" s="196" t="s">
        <v>82</v>
      </c>
      <c r="M188" s="196" t="s">
        <v>98</v>
      </c>
      <c r="N188" s="196" t="s">
        <v>97</v>
      </c>
      <c r="O188" s="196" t="s">
        <v>29</v>
      </c>
      <c r="Q188" s="195">
        <v>5</v>
      </c>
      <c r="R188" s="195">
        <v>14</v>
      </c>
      <c r="S188" s="195">
        <v>15</v>
      </c>
      <c r="T188" s="195">
        <v>6</v>
      </c>
      <c r="U188" s="195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6" t="s">
        <v>12</v>
      </c>
      <c r="L189" s="196" t="s">
        <v>83</v>
      </c>
      <c r="M189" s="196" t="s">
        <v>95</v>
      </c>
      <c r="N189" s="196" t="s">
        <v>13</v>
      </c>
      <c r="O189" s="196" t="s">
        <v>97</v>
      </c>
      <c r="Q189" s="195">
        <v>4</v>
      </c>
      <c r="R189" s="195">
        <v>16</v>
      </c>
      <c r="S189" s="195">
        <v>17</v>
      </c>
      <c r="T189" s="195">
        <v>5</v>
      </c>
      <c r="U189" s="195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5">
        <v>186</v>
      </c>
      <c r="K190" s="196" t="s">
        <v>13</v>
      </c>
      <c r="L190" s="196" t="s">
        <v>98</v>
      </c>
      <c r="M190" s="196" t="s">
        <v>98</v>
      </c>
      <c r="N190" s="196" t="s">
        <v>31</v>
      </c>
      <c r="O190" s="196" t="s">
        <v>13</v>
      </c>
      <c r="Q190" s="195">
        <v>5</v>
      </c>
      <c r="R190" s="195">
        <v>15</v>
      </c>
      <c r="S190" s="195">
        <v>15</v>
      </c>
      <c r="T190" s="195">
        <v>7</v>
      </c>
      <c r="U190" s="195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6" t="s">
        <v>97</v>
      </c>
      <c r="L191" s="196" t="s">
        <v>13</v>
      </c>
      <c r="M191" s="196" t="s">
        <v>82</v>
      </c>
      <c r="N191" s="196" t="s">
        <v>82</v>
      </c>
      <c r="O191" s="196" t="s">
        <v>28</v>
      </c>
      <c r="Q191" s="195">
        <v>6</v>
      </c>
      <c r="R191" s="195">
        <v>5</v>
      </c>
      <c r="S191" s="195">
        <v>14</v>
      </c>
      <c r="T191" s="195">
        <v>14</v>
      </c>
      <c r="U191" s="195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5">
        <v>188</v>
      </c>
      <c r="K192" s="196" t="s">
        <v>13</v>
      </c>
      <c r="L192" s="196" t="s">
        <v>12</v>
      </c>
      <c r="M192" s="196" t="s">
        <v>95</v>
      </c>
      <c r="N192" s="196" t="s">
        <v>97</v>
      </c>
      <c r="O192" s="196" t="s">
        <v>13</v>
      </c>
      <c r="Q192" s="195">
        <v>5</v>
      </c>
      <c r="R192" s="195">
        <v>4</v>
      </c>
      <c r="S192" s="195">
        <v>17</v>
      </c>
      <c r="T192" s="195">
        <v>6</v>
      </c>
      <c r="U192" s="195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6" t="s">
        <v>97</v>
      </c>
      <c r="L193" s="196" t="s">
        <v>29</v>
      </c>
      <c r="M193" s="196" t="s">
        <v>83</v>
      </c>
      <c r="N193" s="196" t="s">
        <v>12</v>
      </c>
      <c r="O193" s="196" t="s">
        <v>97</v>
      </c>
      <c r="Q193" s="195">
        <v>6</v>
      </c>
      <c r="R193" s="195">
        <v>8</v>
      </c>
      <c r="S193" s="195">
        <v>16</v>
      </c>
      <c r="T193" s="195">
        <v>4</v>
      </c>
      <c r="U193" s="195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5">
        <v>190</v>
      </c>
      <c r="K194" s="196" t="s">
        <v>29</v>
      </c>
      <c r="L194" s="196" t="s">
        <v>83</v>
      </c>
      <c r="M194" s="196" t="s">
        <v>98</v>
      </c>
      <c r="N194" s="196" t="s">
        <v>83</v>
      </c>
      <c r="O194" s="196" t="s">
        <v>30</v>
      </c>
      <c r="Q194" s="195">
        <v>8</v>
      </c>
      <c r="R194" s="195">
        <v>16</v>
      </c>
      <c r="S194" s="195">
        <v>15</v>
      </c>
      <c r="T194" s="195">
        <v>16</v>
      </c>
      <c r="U194" s="195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6" t="s">
        <v>31</v>
      </c>
      <c r="L195" s="196" t="s">
        <v>13</v>
      </c>
      <c r="M195" s="196" t="s">
        <v>83</v>
      </c>
      <c r="N195" s="196" t="s">
        <v>97</v>
      </c>
      <c r="O195" s="196" t="s">
        <v>29</v>
      </c>
      <c r="Q195" s="195">
        <v>7</v>
      </c>
      <c r="R195" s="195">
        <v>5</v>
      </c>
      <c r="S195" s="195">
        <v>16</v>
      </c>
      <c r="T195" s="195">
        <v>6</v>
      </c>
      <c r="U195" s="195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5">
        <v>192</v>
      </c>
      <c r="K196" s="196" t="s">
        <v>29</v>
      </c>
      <c r="L196" s="196" t="s">
        <v>95</v>
      </c>
      <c r="M196" s="196" t="s">
        <v>95</v>
      </c>
      <c r="N196" s="196" t="s">
        <v>82</v>
      </c>
      <c r="O196" s="196" t="s">
        <v>13</v>
      </c>
      <c r="Q196" s="195">
        <v>8</v>
      </c>
      <c r="R196" s="195">
        <v>17</v>
      </c>
      <c r="S196" s="195">
        <v>17</v>
      </c>
      <c r="T196" s="195">
        <v>14</v>
      </c>
      <c r="U196" s="195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6" t="s">
        <v>13</v>
      </c>
      <c r="L197" s="196" t="s">
        <v>28</v>
      </c>
      <c r="M197" s="196" t="s">
        <v>82</v>
      </c>
      <c r="N197" s="196" t="s">
        <v>12</v>
      </c>
      <c r="O197" s="196" t="s">
        <v>97</v>
      </c>
      <c r="Q197" s="195">
        <v>5</v>
      </c>
      <c r="R197" s="195">
        <v>9</v>
      </c>
      <c r="S197" s="195">
        <v>14</v>
      </c>
      <c r="T197" s="195">
        <v>4</v>
      </c>
      <c r="U197" s="195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5">
        <v>194</v>
      </c>
      <c r="K198" s="196" t="s">
        <v>29</v>
      </c>
      <c r="L198" s="196" t="s">
        <v>30</v>
      </c>
      <c r="M198" s="196" t="s">
        <v>95</v>
      </c>
      <c r="N198" s="196" t="s">
        <v>13</v>
      </c>
      <c r="O198" s="196" t="s">
        <v>29</v>
      </c>
      <c r="Q198" s="195">
        <v>8</v>
      </c>
      <c r="R198" s="195">
        <v>10</v>
      </c>
      <c r="S198" s="195">
        <v>17</v>
      </c>
      <c r="T198" s="195">
        <v>5</v>
      </c>
      <c r="U198" s="195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6" t="s">
        <v>97</v>
      </c>
      <c r="L199" s="196" t="s">
        <v>83</v>
      </c>
      <c r="M199" s="196" t="s">
        <v>81</v>
      </c>
      <c r="N199" s="196" t="s">
        <v>97</v>
      </c>
      <c r="O199" s="196" t="s">
        <v>12</v>
      </c>
      <c r="Q199" s="195">
        <v>6</v>
      </c>
      <c r="R199" s="195">
        <v>16</v>
      </c>
      <c r="S199" s="195">
        <v>13</v>
      </c>
      <c r="T199" s="195">
        <v>6</v>
      </c>
      <c r="U199" s="195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5">
        <v>196</v>
      </c>
      <c r="K200" s="196" t="s">
        <v>13</v>
      </c>
      <c r="L200" s="196" t="s">
        <v>28</v>
      </c>
      <c r="M200" s="196" t="s">
        <v>95</v>
      </c>
      <c r="N200" s="196" t="s">
        <v>30</v>
      </c>
      <c r="O200" s="196" t="s">
        <v>97</v>
      </c>
      <c r="Q200" s="195">
        <v>5</v>
      </c>
      <c r="R200" s="195">
        <v>9</v>
      </c>
      <c r="S200" s="195">
        <v>17</v>
      </c>
      <c r="T200" s="195">
        <v>10</v>
      </c>
      <c r="U200" s="195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6" t="s">
        <v>31</v>
      </c>
      <c r="L201" s="196" t="s">
        <v>80</v>
      </c>
      <c r="M201" s="196" t="s">
        <v>82</v>
      </c>
      <c r="N201" s="196" t="s">
        <v>29</v>
      </c>
      <c r="O201" s="196" t="s">
        <v>30</v>
      </c>
      <c r="Q201" s="195">
        <v>7</v>
      </c>
      <c r="R201" s="195">
        <v>12</v>
      </c>
      <c r="S201" s="195">
        <v>14</v>
      </c>
      <c r="T201" s="195">
        <v>8</v>
      </c>
      <c r="U201" s="195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5">
        <v>198</v>
      </c>
      <c r="K202" s="196" t="s">
        <v>29</v>
      </c>
      <c r="L202" s="196" t="s">
        <v>12</v>
      </c>
      <c r="M202" s="196" t="s">
        <v>98</v>
      </c>
      <c r="N202" s="196" t="s">
        <v>82</v>
      </c>
      <c r="O202" s="196" t="s">
        <v>97</v>
      </c>
      <c r="Q202" s="195">
        <v>8</v>
      </c>
      <c r="R202" s="195">
        <v>4</v>
      </c>
      <c r="S202" s="195">
        <v>15</v>
      </c>
      <c r="T202" s="195">
        <v>14</v>
      </c>
      <c r="U202" s="195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6" t="s">
        <v>13</v>
      </c>
      <c r="L203" s="196" t="s">
        <v>13</v>
      </c>
      <c r="M203" s="196" t="s">
        <v>82</v>
      </c>
      <c r="N203" s="196" t="s">
        <v>13</v>
      </c>
      <c r="O203" s="196" t="s">
        <v>13</v>
      </c>
      <c r="Q203" s="195">
        <v>5</v>
      </c>
      <c r="R203" s="195">
        <v>5</v>
      </c>
      <c r="S203" s="195">
        <v>14</v>
      </c>
      <c r="T203" s="195">
        <v>5</v>
      </c>
      <c r="U203" s="195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5"/>
      <c r="K204" s="196"/>
      <c r="L204" s="196"/>
      <c r="M204" s="196"/>
      <c r="N204" s="196"/>
      <c r="O204" s="196"/>
      <c r="Q204" s="195"/>
      <c r="R204" s="195"/>
      <c r="S204" s="195"/>
      <c r="T204" s="195"/>
      <c r="U204" s="195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6"/>
      <c r="L205" s="196"/>
      <c r="M205" s="196"/>
      <c r="N205" s="196"/>
      <c r="O205" s="196"/>
      <c r="Q205" s="195"/>
      <c r="R205" s="195"/>
      <c r="S205" s="195"/>
      <c r="T205" s="195"/>
      <c r="U205" s="195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6"/>
      <c r="L206" s="196"/>
      <c r="M206" s="196"/>
      <c r="N206" s="196"/>
      <c r="O206" s="196"/>
      <c r="Q206" s="195"/>
      <c r="R206" s="195"/>
      <c r="S206" s="195"/>
      <c r="T206" s="195"/>
      <c r="U206" s="195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5"/>
      <c r="K207" s="196"/>
      <c r="L207" s="196"/>
      <c r="M207" s="196"/>
      <c r="N207" s="196"/>
      <c r="O207" s="196"/>
      <c r="Q207" s="195"/>
      <c r="R207" s="195"/>
      <c r="S207" s="195"/>
      <c r="T207" s="195"/>
      <c r="U207" s="195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6"/>
      <c r="L208" s="196"/>
      <c r="M208" s="196"/>
      <c r="N208" s="196"/>
      <c r="O208" s="196"/>
      <c r="Q208" s="195"/>
      <c r="R208" s="195"/>
      <c r="S208" s="195"/>
      <c r="T208" s="195"/>
      <c r="U208" s="195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5"/>
      <c r="K209" s="196"/>
      <c r="L209" s="196"/>
      <c r="M209" s="196"/>
      <c r="N209" s="196"/>
      <c r="O209" s="196"/>
      <c r="Q209" s="195"/>
      <c r="R209" s="195"/>
      <c r="S209" s="195"/>
      <c r="T209" s="195"/>
      <c r="U209" s="195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6"/>
      <c r="L210" s="196"/>
      <c r="M210" s="196"/>
      <c r="N210" s="196"/>
      <c r="O210" s="196"/>
      <c r="Q210" s="195"/>
      <c r="R210" s="195"/>
      <c r="S210" s="195"/>
      <c r="T210" s="195"/>
      <c r="U210" s="195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5"/>
      <c r="K211" s="196"/>
      <c r="L211" s="196"/>
      <c r="M211" s="196"/>
      <c r="N211" s="196"/>
      <c r="O211" s="196"/>
      <c r="Q211" s="195"/>
      <c r="R211" s="195"/>
      <c r="S211" s="195"/>
      <c r="T211" s="195"/>
      <c r="U211" s="195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201"/>
      <c r="L212" s="201"/>
      <c r="M212" s="201"/>
      <c r="N212" s="201"/>
      <c r="O212" s="201"/>
      <c r="Q212" s="195"/>
      <c r="R212" s="195"/>
      <c r="S212" s="195"/>
      <c r="T212" s="195"/>
      <c r="U212" s="195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5"/>
      <c r="K213" s="201"/>
      <c r="L213" s="201"/>
      <c r="M213" s="201"/>
      <c r="N213" s="201"/>
      <c r="O213" s="201"/>
      <c r="Q213" s="195"/>
      <c r="R213" s="195"/>
      <c r="S213" s="195"/>
      <c r="T213" s="195"/>
      <c r="U213" s="195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201"/>
      <c r="L214" s="201"/>
      <c r="M214" s="201"/>
      <c r="N214" s="201"/>
      <c r="O214" s="201"/>
      <c r="Q214" s="195"/>
      <c r="R214" s="195"/>
      <c r="S214" s="195"/>
      <c r="T214" s="195"/>
      <c r="U214" s="195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5"/>
      <c r="K215" s="201"/>
      <c r="L215" s="201"/>
      <c r="M215" s="201"/>
      <c r="N215" s="201"/>
      <c r="O215" s="201"/>
      <c r="Q215" s="195"/>
      <c r="R215" s="195"/>
      <c r="S215" s="195"/>
      <c r="T215" s="195"/>
      <c r="U215" s="195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201"/>
      <c r="L216" s="201"/>
      <c r="M216" s="201"/>
      <c r="N216" s="201"/>
      <c r="O216" s="201"/>
      <c r="Q216" s="195"/>
      <c r="R216" s="195"/>
      <c r="S216" s="195"/>
      <c r="T216" s="195"/>
      <c r="U216" s="195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5"/>
      <c r="K217" s="201"/>
      <c r="L217" s="201"/>
      <c r="M217" s="201"/>
      <c r="N217" s="201"/>
      <c r="O217" s="201"/>
      <c r="Q217" s="195"/>
      <c r="R217" s="195"/>
      <c r="S217" s="195"/>
      <c r="T217" s="195"/>
      <c r="U217" s="195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201"/>
      <c r="L218" s="201"/>
      <c r="M218" s="201"/>
      <c r="N218" s="201"/>
      <c r="O218" s="201"/>
      <c r="Q218" s="195"/>
      <c r="R218" s="195"/>
      <c r="S218" s="195"/>
      <c r="T218" s="195"/>
      <c r="U218" s="195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5"/>
      <c r="K219" s="201"/>
      <c r="L219" s="201"/>
      <c r="M219" s="201"/>
      <c r="N219" s="201"/>
      <c r="O219" s="201"/>
      <c r="Q219" s="195"/>
      <c r="R219" s="195"/>
      <c r="S219" s="195"/>
      <c r="T219" s="195"/>
      <c r="U219" s="195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201"/>
      <c r="L220" s="201"/>
      <c r="M220" s="201"/>
      <c r="N220" s="201"/>
      <c r="O220" s="201"/>
      <c r="Q220" s="195"/>
      <c r="R220" s="195"/>
      <c r="S220" s="195"/>
      <c r="T220" s="195"/>
      <c r="U220" s="195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5"/>
      <c r="K221" s="201"/>
      <c r="L221" s="201"/>
      <c r="M221" s="201"/>
      <c r="N221" s="201"/>
      <c r="O221" s="201"/>
      <c r="Q221" s="195"/>
      <c r="R221" s="195"/>
      <c r="S221" s="195"/>
      <c r="T221" s="195"/>
      <c r="U221" s="195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201"/>
      <c r="L222" s="201"/>
      <c r="M222" s="201"/>
      <c r="N222" s="201"/>
      <c r="O222" s="201"/>
      <c r="Q222" s="195"/>
      <c r="R222" s="195"/>
      <c r="S222" s="195"/>
      <c r="T222" s="195"/>
      <c r="U222" s="195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5"/>
      <c r="K223" s="201"/>
      <c r="L223" s="201"/>
      <c r="M223" s="201"/>
      <c r="N223" s="201"/>
      <c r="O223" s="201"/>
      <c r="Q223" s="195"/>
      <c r="R223" s="195"/>
      <c r="S223" s="195"/>
      <c r="T223" s="195"/>
      <c r="U223" s="195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201"/>
      <c r="L224" s="201"/>
      <c r="M224" s="201"/>
      <c r="N224" s="201"/>
      <c r="O224" s="201"/>
      <c r="Q224" s="195"/>
      <c r="R224" s="195"/>
      <c r="S224" s="195"/>
      <c r="T224" s="195"/>
      <c r="U224" s="195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5"/>
      <c r="K225" s="201"/>
      <c r="L225" s="201"/>
      <c r="M225" s="201"/>
      <c r="N225" s="201"/>
      <c r="O225" s="201"/>
      <c r="Q225" s="195"/>
      <c r="R225" s="195"/>
      <c r="S225" s="195"/>
      <c r="T225" s="195"/>
      <c r="U225" s="195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201"/>
      <c r="L226" s="201"/>
      <c r="M226" s="201"/>
      <c r="N226" s="201"/>
      <c r="O226" s="201"/>
      <c r="Q226" s="195"/>
      <c r="R226" s="195"/>
      <c r="S226" s="195"/>
      <c r="T226" s="195"/>
      <c r="U226" s="195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5"/>
      <c r="K227" s="201"/>
      <c r="L227" s="201"/>
      <c r="M227" s="201"/>
      <c r="N227" s="201"/>
      <c r="O227" s="201"/>
      <c r="Q227" s="195"/>
      <c r="R227" s="195"/>
      <c r="S227" s="195"/>
      <c r="T227" s="195"/>
      <c r="U227" s="195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201"/>
      <c r="L228" s="201"/>
      <c r="M228" s="201"/>
      <c r="N228" s="201"/>
      <c r="O228" s="201"/>
      <c r="Q228" s="195"/>
      <c r="R228" s="195"/>
      <c r="S228" s="195"/>
      <c r="T228" s="195"/>
      <c r="U228" s="195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5"/>
      <c r="K229" s="201"/>
      <c r="L229" s="201"/>
      <c r="M229" s="201"/>
      <c r="N229" s="201"/>
      <c r="O229" s="201"/>
      <c r="Q229" s="195"/>
      <c r="R229" s="195"/>
      <c r="S229" s="195"/>
      <c r="T229" s="195"/>
      <c r="U229" s="195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201"/>
      <c r="L230" s="201"/>
      <c r="M230" s="201"/>
      <c r="N230" s="201"/>
      <c r="O230" s="201"/>
      <c r="Q230" s="195"/>
      <c r="R230" s="195"/>
      <c r="S230" s="195"/>
      <c r="T230" s="195"/>
      <c r="U230" s="195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5"/>
      <c r="K231" s="201"/>
      <c r="L231" s="201"/>
      <c r="M231" s="201"/>
      <c r="N231" s="201"/>
      <c r="O231" s="201"/>
      <c r="Q231" s="195"/>
      <c r="R231" s="195"/>
      <c r="S231" s="195"/>
      <c r="T231" s="195"/>
      <c r="U231" s="195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201"/>
      <c r="L232" s="201"/>
      <c r="M232" s="201"/>
      <c r="N232" s="201"/>
      <c r="O232" s="201"/>
      <c r="Q232" s="195"/>
      <c r="R232" s="195"/>
      <c r="S232" s="195"/>
      <c r="T232" s="195"/>
      <c r="U232" s="195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5"/>
      <c r="K233" s="201"/>
      <c r="L233" s="201"/>
      <c r="M233" s="201"/>
      <c r="N233" s="201"/>
      <c r="O233" s="201"/>
      <c r="Q233" s="195"/>
      <c r="R233" s="195"/>
      <c r="S233" s="195"/>
      <c r="T233" s="195"/>
      <c r="U233" s="195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201"/>
      <c r="L234" s="201"/>
      <c r="M234" s="201"/>
      <c r="N234" s="201"/>
      <c r="O234" s="201"/>
      <c r="Q234" s="195"/>
      <c r="R234" s="195"/>
      <c r="S234" s="195"/>
      <c r="T234" s="195"/>
      <c r="U234" s="195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5"/>
      <c r="K235" s="201"/>
      <c r="L235" s="201"/>
      <c r="M235" s="201"/>
      <c r="N235" s="201"/>
      <c r="O235" s="201"/>
      <c r="Q235" s="195"/>
      <c r="R235" s="195"/>
      <c r="S235" s="195"/>
      <c r="T235" s="195"/>
      <c r="U235" s="195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201"/>
      <c r="L236" s="201"/>
      <c r="M236" s="201"/>
      <c r="N236" s="201"/>
      <c r="O236" s="201"/>
      <c r="Q236" s="195"/>
      <c r="R236" s="195"/>
      <c r="S236" s="195"/>
      <c r="T236" s="195"/>
      <c r="U236" s="195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5"/>
      <c r="K237" s="201"/>
      <c r="L237" s="201"/>
      <c r="M237" s="201"/>
      <c r="N237" s="201"/>
      <c r="O237" s="201"/>
      <c r="Q237" s="195"/>
      <c r="R237" s="195"/>
      <c r="S237" s="195"/>
      <c r="T237" s="195"/>
      <c r="U237" s="195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201"/>
      <c r="L238" s="201"/>
      <c r="M238" s="201"/>
      <c r="N238" s="201"/>
      <c r="O238" s="201"/>
      <c r="Q238" s="195"/>
      <c r="R238" s="195"/>
      <c r="S238" s="195"/>
      <c r="T238" s="195"/>
      <c r="U238" s="195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5"/>
      <c r="K239" s="201"/>
      <c r="L239" s="201"/>
      <c r="M239" s="201"/>
      <c r="N239" s="201"/>
      <c r="O239" s="201"/>
      <c r="Q239" s="195"/>
      <c r="R239" s="195"/>
      <c r="S239" s="195"/>
      <c r="T239" s="195"/>
      <c r="U239" s="195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201"/>
      <c r="L240" s="201"/>
      <c r="M240" s="201"/>
      <c r="N240" s="201"/>
      <c r="O240" s="201"/>
      <c r="Q240" s="195"/>
      <c r="R240" s="195"/>
      <c r="S240" s="195"/>
      <c r="T240" s="195"/>
      <c r="U240" s="195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5"/>
      <c r="K241" s="201"/>
      <c r="L241" s="201"/>
      <c r="M241" s="201"/>
      <c r="N241" s="201"/>
      <c r="O241" s="201"/>
      <c r="Q241" s="195"/>
      <c r="R241" s="195"/>
      <c r="S241" s="195"/>
      <c r="T241" s="195"/>
      <c r="U241" s="195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201"/>
      <c r="L242" s="201"/>
      <c r="M242" s="201"/>
      <c r="N242" s="201"/>
      <c r="O242" s="201"/>
      <c r="Q242" s="195"/>
      <c r="R242" s="195"/>
      <c r="S242" s="195"/>
      <c r="T242" s="195"/>
      <c r="U242" s="195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5"/>
      <c r="K243" s="201"/>
      <c r="L243" s="201"/>
      <c r="M243" s="201"/>
      <c r="N243" s="201"/>
      <c r="O243" s="201"/>
      <c r="Q243" s="195"/>
      <c r="R243" s="195"/>
      <c r="S243" s="195"/>
      <c r="T243" s="195"/>
      <c r="U243" s="195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201"/>
      <c r="L244" s="201"/>
      <c r="M244" s="201"/>
      <c r="N244" s="201"/>
      <c r="O244" s="201"/>
      <c r="Q244" s="195"/>
      <c r="R244" s="195"/>
      <c r="S244" s="195"/>
      <c r="T244" s="195"/>
      <c r="U244" s="195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5"/>
      <c r="K245" s="201"/>
      <c r="L245" s="201"/>
      <c r="M245" s="201"/>
      <c r="N245" s="201"/>
      <c r="O245" s="201"/>
      <c r="Q245" s="195"/>
      <c r="R245" s="195"/>
      <c r="S245" s="195"/>
      <c r="T245" s="195"/>
      <c r="U245" s="195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201"/>
      <c r="L246" s="201"/>
      <c r="M246" s="201"/>
      <c r="N246" s="201"/>
      <c r="O246" s="201"/>
      <c r="Q246" s="195"/>
      <c r="R246" s="195"/>
      <c r="S246" s="195"/>
      <c r="T246" s="195"/>
      <c r="U246" s="195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5"/>
      <c r="K247" s="201"/>
      <c r="L247" s="201"/>
      <c r="M247" s="201"/>
      <c r="N247" s="201"/>
      <c r="O247" s="201"/>
      <c r="Q247" s="195"/>
      <c r="R247" s="195"/>
      <c r="S247" s="195"/>
      <c r="T247" s="195"/>
      <c r="U247" s="195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201"/>
      <c r="L248" s="201"/>
      <c r="M248" s="201"/>
      <c r="N248" s="201"/>
      <c r="O248" s="201"/>
      <c r="Q248" s="195"/>
      <c r="R248" s="195"/>
      <c r="S248" s="195"/>
      <c r="T248" s="195"/>
      <c r="U248" s="195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5"/>
      <c r="K249" s="201"/>
      <c r="L249" s="201"/>
      <c r="M249" s="201"/>
      <c r="N249" s="201"/>
      <c r="O249" s="201"/>
      <c r="Q249" s="195"/>
      <c r="R249" s="195"/>
      <c r="S249" s="195"/>
      <c r="T249" s="195"/>
      <c r="U249" s="195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201"/>
      <c r="L250" s="201"/>
      <c r="M250" s="201"/>
      <c r="N250" s="201"/>
      <c r="O250" s="201"/>
      <c r="Q250" s="195"/>
      <c r="R250" s="195"/>
      <c r="S250" s="195"/>
      <c r="T250" s="195"/>
      <c r="U250" s="195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5"/>
      <c r="K251" s="201"/>
      <c r="L251" s="201"/>
      <c r="M251" s="201"/>
      <c r="N251" s="201"/>
      <c r="O251" s="201"/>
      <c r="Q251" s="195"/>
      <c r="R251" s="195"/>
      <c r="S251" s="195"/>
      <c r="T251" s="195"/>
      <c r="U251" s="195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201"/>
      <c r="L252" s="201"/>
      <c r="M252" s="201"/>
      <c r="N252" s="201"/>
      <c r="O252" s="201"/>
      <c r="Q252" s="195"/>
      <c r="R252" s="195"/>
      <c r="S252" s="195"/>
      <c r="T252" s="195"/>
      <c r="U252" s="195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5"/>
      <c r="K253" s="201"/>
      <c r="L253" s="201"/>
      <c r="M253" s="201"/>
      <c r="N253" s="201"/>
      <c r="O253" s="201"/>
      <c r="Q253" s="195"/>
      <c r="R253" s="195"/>
      <c r="S253" s="195"/>
      <c r="T253" s="195"/>
      <c r="U253" s="195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201"/>
      <c r="L254" s="201"/>
      <c r="M254" s="201"/>
      <c r="N254" s="201"/>
      <c r="O254" s="201"/>
      <c r="Q254" s="195"/>
      <c r="R254" s="195"/>
      <c r="S254" s="195"/>
      <c r="T254" s="195"/>
      <c r="U254" s="195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5"/>
      <c r="K255" s="201"/>
      <c r="L255" s="201"/>
      <c r="M255" s="201"/>
      <c r="N255" s="201"/>
      <c r="O255" s="201"/>
      <c r="Q255" s="195"/>
      <c r="R255" s="195"/>
      <c r="S255" s="195"/>
      <c r="T255" s="195"/>
      <c r="U255" s="195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201"/>
      <c r="L256" s="201"/>
      <c r="M256" s="201"/>
      <c r="N256" s="201"/>
      <c r="O256" s="201"/>
      <c r="Q256" s="195"/>
      <c r="R256" s="195"/>
      <c r="S256" s="195"/>
      <c r="T256" s="195"/>
      <c r="U256" s="195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5"/>
      <c r="K257" s="201"/>
      <c r="L257" s="201"/>
      <c r="M257" s="201"/>
      <c r="N257" s="201"/>
      <c r="O257" s="201"/>
      <c r="Q257" s="195"/>
      <c r="R257" s="195"/>
      <c r="S257" s="195"/>
      <c r="T257" s="195"/>
      <c r="U257" s="195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201"/>
      <c r="L258" s="201"/>
      <c r="M258" s="201"/>
      <c r="N258" s="201"/>
      <c r="O258" s="201"/>
      <c r="Q258" s="195"/>
      <c r="R258" s="195"/>
      <c r="S258" s="195"/>
      <c r="T258" s="195"/>
      <c r="U258" s="195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5"/>
      <c r="K259" s="201"/>
      <c r="L259" s="201"/>
      <c r="M259" s="201"/>
      <c r="N259" s="201"/>
      <c r="O259" s="201"/>
      <c r="Q259" s="195"/>
      <c r="R259" s="195"/>
      <c r="S259" s="195"/>
      <c r="T259" s="195"/>
      <c r="U259" s="195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201"/>
      <c r="L260" s="201"/>
      <c r="M260" s="201"/>
      <c r="N260" s="201"/>
      <c r="O260" s="201"/>
      <c r="Q260" s="195"/>
      <c r="R260" s="195"/>
      <c r="S260" s="195"/>
      <c r="T260" s="195"/>
      <c r="U260" s="195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5"/>
      <c r="K261" s="201"/>
      <c r="L261" s="201"/>
      <c r="M261" s="201"/>
      <c r="N261" s="201"/>
      <c r="O261" s="201"/>
      <c r="Q261" s="195"/>
      <c r="R261" s="195"/>
      <c r="S261" s="195"/>
      <c r="T261" s="195"/>
      <c r="U261" s="195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201"/>
      <c r="L262" s="201"/>
      <c r="M262" s="201"/>
      <c r="N262" s="201"/>
      <c r="O262" s="201"/>
      <c r="Q262" s="195"/>
      <c r="R262" s="195"/>
      <c r="S262" s="195"/>
      <c r="T262" s="195"/>
      <c r="U262" s="195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5"/>
      <c r="K263" s="201"/>
      <c r="L263" s="201"/>
      <c r="M263" s="201"/>
      <c r="N263" s="201"/>
      <c r="O263" s="201"/>
      <c r="Q263" s="195"/>
      <c r="R263" s="195"/>
      <c r="S263" s="195"/>
      <c r="T263" s="195"/>
      <c r="U263" s="195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201"/>
      <c r="L264" s="201"/>
      <c r="M264" s="201"/>
      <c r="N264" s="201"/>
      <c r="O264" s="201"/>
      <c r="Q264" s="195"/>
      <c r="R264" s="195"/>
      <c r="S264" s="195"/>
      <c r="T264" s="195"/>
      <c r="U264" s="195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5"/>
      <c r="K265" s="201"/>
      <c r="L265" s="201"/>
      <c r="M265" s="201"/>
      <c r="N265" s="201"/>
      <c r="O265" s="201"/>
      <c r="Q265" s="195"/>
      <c r="R265" s="195"/>
      <c r="S265" s="195"/>
      <c r="T265" s="195"/>
      <c r="U265" s="195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201"/>
      <c r="L266" s="201"/>
      <c r="M266" s="201"/>
      <c r="N266" s="201"/>
      <c r="O266" s="201"/>
      <c r="Q266" s="195"/>
      <c r="R266" s="195"/>
      <c r="S266" s="195"/>
      <c r="T266" s="195"/>
      <c r="U266" s="195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5"/>
      <c r="K267" s="201"/>
      <c r="L267" s="201"/>
      <c r="M267" s="201"/>
      <c r="N267" s="201"/>
      <c r="O267" s="201"/>
      <c r="Q267" s="195"/>
      <c r="R267" s="195"/>
      <c r="S267" s="195"/>
      <c r="T267" s="195"/>
      <c r="U267" s="195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201"/>
      <c r="L268" s="201"/>
      <c r="M268" s="201"/>
      <c r="N268" s="201"/>
      <c r="O268" s="201"/>
      <c r="Q268" s="195"/>
      <c r="R268" s="195"/>
      <c r="S268" s="195"/>
      <c r="T268" s="195"/>
      <c r="U268" s="195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5"/>
      <c r="K269" s="201"/>
      <c r="L269" s="201"/>
      <c r="M269" s="201"/>
      <c r="N269" s="201"/>
      <c r="O269" s="201"/>
      <c r="Q269" s="195"/>
      <c r="R269" s="195"/>
      <c r="S269" s="195"/>
      <c r="T269" s="195"/>
      <c r="U269" s="195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201"/>
      <c r="L270" s="201"/>
      <c r="M270" s="201"/>
      <c r="N270" s="201"/>
      <c r="O270" s="201"/>
      <c r="Q270" s="195"/>
      <c r="R270" s="195"/>
      <c r="S270" s="195"/>
      <c r="T270" s="195"/>
      <c r="U270" s="195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5"/>
      <c r="K271" s="201"/>
      <c r="L271" s="201"/>
      <c r="M271" s="201"/>
      <c r="N271" s="201"/>
      <c r="O271" s="201"/>
      <c r="Q271" s="195"/>
      <c r="R271" s="195"/>
      <c r="S271" s="195"/>
      <c r="T271" s="195"/>
      <c r="U271" s="195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201"/>
      <c r="L272" s="201"/>
      <c r="M272" s="201"/>
      <c r="N272" s="201"/>
      <c r="O272" s="201"/>
      <c r="Q272" s="195"/>
      <c r="R272" s="195"/>
      <c r="S272" s="195"/>
      <c r="T272" s="195"/>
      <c r="U272" s="195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5"/>
      <c r="K273" s="201"/>
      <c r="L273" s="201"/>
      <c r="M273" s="201"/>
      <c r="N273" s="201"/>
      <c r="O273" s="201"/>
      <c r="Q273" s="195"/>
      <c r="R273" s="195"/>
      <c r="S273" s="195"/>
      <c r="T273" s="195"/>
      <c r="U273" s="195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201"/>
      <c r="L274" s="201"/>
      <c r="M274" s="201"/>
      <c r="N274" s="201"/>
      <c r="O274" s="201"/>
      <c r="Q274" s="195"/>
      <c r="R274" s="195"/>
      <c r="S274" s="195"/>
      <c r="T274" s="195"/>
      <c r="U274" s="195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5"/>
      <c r="K275" s="201"/>
      <c r="L275" s="201"/>
      <c r="M275" s="201"/>
      <c r="N275" s="201"/>
      <c r="O275" s="201"/>
      <c r="Q275" s="195"/>
      <c r="R275" s="195"/>
      <c r="S275" s="195"/>
      <c r="T275" s="195"/>
      <c r="U275" s="195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201"/>
      <c r="L276" s="201"/>
      <c r="M276" s="201"/>
      <c r="N276" s="201"/>
      <c r="O276" s="201"/>
      <c r="Q276" s="195"/>
      <c r="R276" s="195"/>
      <c r="S276" s="195"/>
      <c r="T276" s="195"/>
      <c r="U276" s="195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5"/>
      <c r="K277" s="201"/>
      <c r="L277" s="201"/>
      <c r="M277" s="201"/>
      <c r="N277" s="201"/>
      <c r="O277" s="201"/>
      <c r="Q277" s="195"/>
      <c r="R277" s="195"/>
      <c r="S277" s="195"/>
      <c r="T277" s="195"/>
      <c r="U277" s="195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201"/>
      <c r="L278" s="201"/>
      <c r="M278" s="201"/>
      <c r="N278" s="201"/>
      <c r="O278" s="201"/>
      <c r="Q278" s="195"/>
      <c r="R278" s="195"/>
      <c r="S278" s="195"/>
      <c r="T278" s="195"/>
      <c r="U278" s="195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5"/>
      <c r="K279" s="201"/>
      <c r="L279" s="201"/>
      <c r="M279" s="201"/>
      <c r="N279" s="201"/>
      <c r="O279" s="201"/>
      <c r="Q279" s="195"/>
      <c r="R279" s="195"/>
      <c r="S279" s="195"/>
      <c r="T279" s="195"/>
      <c r="U279" s="195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201"/>
      <c r="L280" s="201"/>
      <c r="M280" s="201"/>
      <c r="N280" s="201"/>
      <c r="O280" s="201"/>
      <c r="Q280" s="195"/>
      <c r="R280" s="195"/>
      <c r="S280" s="195"/>
      <c r="T280" s="195"/>
      <c r="U280" s="195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5"/>
      <c r="K281" s="201"/>
      <c r="L281" s="201"/>
      <c r="M281" s="201"/>
      <c r="N281" s="201"/>
      <c r="O281" s="201"/>
      <c r="Q281" s="195"/>
      <c r="R281" s="195"/>
      <c r="S281" s="195"/>
      <c r="T281" s="195"/>
      <c r="U281" s="195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201"/>
      <c r="L282" s="201"/>
      <c r="M282" s="201"/>
      <c r="N282" s="201"/>
      <c r="O282" s="201"/>
      <c r="Q282" s="195"/>
      <c r="R282" s="195"/>
      <c r="S282" s="195"/>
      <c r="T282" s="195"/>
      <c r="U282" s="195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5"/>
      <c r="K283" s="201"/>
      <c r="L283" s="201"/>
      <c r="M283" s="201"/>
      <c r="N283" s="201"/>
      <c r="O283" s="201"/>
      <c r="Q283" s="195"/>
      <c r="R283" s="195"/>
      <c r="S283" s="195"/>
      <c r="T283" s="195"/>
      <c r="U283" s="195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201"/>
      <c r="L284" s="201"/>
      <c r="M284" s="201"/>
      <c r="N284" s="201"/>
      <c r="O284" s="201"/>
      <c r="Q284" s="195"/>
      <c r="R284" s="195"/>
      <c r="S284" s="195"/>
      <c r="T284" s="195"/>
      <c r="U284" s="195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5"/>
      <c r="K285" s="201"/>
      <c r="L285" s="201"/>
      <c r="M285" s="201"/>
      <c r="N285" s="201"/>
      <c r="O285" s="201"/>
      <c r="Q285" s="195"/>
      <c r="R285" s="195"/>
      <c r="S285" s="195"/>
      <c r="T285" s="195"/>
      <c r="U285" s="195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201"/>
      <c r="L286" s="201"/>
      <c r="M286" s="201"/>
      <c r="N286" s="201"/>
      <c r="O286" s="201"/>
      <c r="Q286" s="195"/>
      <c r="R286" s="195"/>
      <c r="S286" s="195"/>
      <c r="T286" s="195"/>
      <c r="U286" s="195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5"/>
      <c r="K287" s="201"/>
      <c r="L287" s="201"/>
      <c r="M287" s="201"/>
      <c r="N287" s="201"/>
      <c r="O287" s="201"/>
      <c r="Q287" s="195"/>
      <c r="R287" s="195"/>
      <c r="S287" s="195"/>
      <c r="T287" s="195"/>
      <c r="U287" s="195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201"/>
      <c r="L288" s="201"/>
      <c r="M288" s="201"/>
      <c r="N288" s="201"/>
      <c r="O288" s="201"/>
      <c r="Q288" s="195"/>
      <c r="R288" s="195"/>
      <c r="S288" s="195"/>
      <c r="T288" s="195"/>
      <c r="U288" s="195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5"/>
      <c r="K289" s="201"/>
      <c r="L289" s="201"/>
      <c r="M289" s="201"/>
      <c r="N289" s="201"/>
      <c r="O289" s="201"/>
      <c r="Q289" s="195"/>
      <c r="R289" s="195"/>
      <c r="S289" s="195"/>
      <c r="T289" s="195"/>
      <c r="U289" s="195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201"/>
      <c r="L290" s="201"/>
      <c r="M290" s="201"/>
      <c r="N290" s="201"/>
      <c r="O290" s="201"/>
      <c r="Q290" s="195"/>
      <c r="R290" s="195"/>
      <c r="S290" s="195"/>
      <c r="T290" s="195"/>
      <c r="U290" s="195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5"/>
      <c r="K291" s="201"/>
      <c r="L291" s="201"/>
      <c r="M291" s="201"/>
      <c r="N291" s="201"/>
      <c r="O291" s="201"/>
      <c r="Q291" s="195"/>
      <c r="R291" s="195"/>
      <c r="S291" s="195"/>
      <c r="T291" s="195"/>
      <c r="U291" s="195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201"/>
      <c r="L292" s="201"/>
      <c r="M292" s="201"/>
      <c r="N292" s="201"/>
      <c r="O292" s="201"/>
      <c r="Q292" s="195"/>
      <c r="R292" s="195"/>
      <c r="S292" s="195"/>
      <c r="T292" s="195"/>
      <c r="U292" s="195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5"/>
      <c r="K293" s="201"/>
      <c r="L293" s="201"/>
      <c r="M293" s="201"/>
      <c r="N293" s="201"/>
      <c r="O293" s="201"/>
      <c r="Q293" s="195"/>
      <c r="R293" s="195"/>
      <c r="S293" s="195"/>
      <c r="T293" s="195"/>
      <c r="U293" s="195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5"/>
      <c r="K294" s="201"/>
      <c r="L294" s="201"/>
      <c r="M294" s="201"/>
      <c r="N294" s="201"/>
      <c r="O294" s="201"/>
      <c r="Q294" s="195"/>
      <c r="R294" s="195"/>
      <c r="S294" s="195"/>
      <c r="T294" s="195"/>
      <c r="U294" s="195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5"/>
      <c r="K295" s="201"/>
      <c r="L295" s="201"/>
      <c r="M295" s="201"/>
      <c r="N295" s="201"/>
      <c r="O295" s="201"/>
      <c r="Q295" s="195"/>
      <c r="R295" s="195"/>
      <c r="S295" s="195"/>
      <c r="T295" s="195"/>
      <c r="U295" s="195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5"/>
      <c r="K296" s="201"/>
      <c r="L296" s="201"/>
      <c r="M296" s="201"/>
      <c r="N296" s="201"/>
      <c r="O296" s="201"/>
      <c r="Q296" s="195"/>
      <c r="R296" s="195"/>
      <c r="S296" s="195"/>
      <c r="T296" s="195"/>
      <c r="U296" s="195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5"/>
      <c r="K297" s="201"/>
      <c r="L297" s="201"/>
      <c r="M297" s="201"/>
      <c r="N297" s="201"/>
      <c r="O297" s="201"/>
      <c r="Q297" s="195"/>
      <c r="R297" s="195"/>
      <c r="S297" s="195"/>
      <c r="T297" s="195"/>
      <c r="U297" s="195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5"/>
      <c r="K298" s="201"/>
      <c r="L298" s="201"/>
      <c r="M298" s="201"/>
      <c r="N298" s="201"/>
      <c r="O298" s="201"/>
      <c r="Q298" s="195"/>
      <c r="R298" s="195"/>
      <c r="S298" s="195"/>
      <c r="T298" s="195"/>
      <c r="U298" s="195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5"/>
      <c r="K299" s="201"/>
      <c r="L299" s="201"/>
      <c r="M299" s="201"/>
      <c r="N299" s="201"/>
      <c r="O299" s="201"/>
      <c r="Q299" s="195"/>
      <c r="R299" s="195"/>
      <c r="S299" s="195"/>
      <c r="T299" s="195"/>
      <c r="U299" s="195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5"/>
      <c r="K300" s="201"/>
      <c r="L300" s="201"/>
      <c r="M300" s="201"/>
      <c r="N300" s="201"/>
      <c r="O300" s="201"/>
      <c r="Q300" s="195"/>
      <c r="R300" s="195"/>
      <c r="S300" s="195"/>
      <c r="T300" s="195"/>
      <c r="U300" s="195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5"/>
      <c r="K301" s="201"/>
      <c r="L301" s="201"/>
      <c r="M301" s="201"/>
      <c r="N301" s="201"/>
      <c r="O301" s="201"/>
      <c r="Q301" s="195"/>
      <c r="R301" s="195"/>
      <c r="S301" s="195"/>
      <c r="T301" s="195"/>
      <c r="U301" s="195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5"/>
      <c r="K302" s="201"/>
      <c r="L302" s="201"/>
      <c r="M302" s="201"/>
      <c r="N302" s="201"/>
      <c r="O302" s="201"/>
      <c r="Q302" s="195"/>
      <c r="R302" s="195"/>
      <c r="S302" s="195"/>
      <c r="T302" s="195"/>
      <c r="U302" s="195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5"/>
      <c r="K303" s="201"/>
      <c r="L303" s="201"/>
      <c r="M303" s="201"/>
      <c r="N303" s="201"/>
      <c r="O303" s="201"/>
      <c r="Q303" s="195"/>
      <c r="R303" s="195"/>
      <c r="S303" s="195"/>
      <c r="T303" s="195"/>
      <c r="U303" s="195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5"/>
      <c r="K304" s="201"/>
      <c r="L304" s="201"/>
      <c r="M304" s="201"/>
      <c r="N304" s="201"/>
      <c r="O304" s="201"/>
      <c r="Q304" s="195"/>
      <c r="R304" s="195"/>
      <c r="S304" s="195"/>
      <c r="T304" s="195"/>
      <c r="U304" s="195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303</v>
      </c>
      <c r="W2" s="25" t="s">
        <v>101</v>
      </c>
      <c r="AC2" s="25" t="s">
        <v>305</v>
      </c>
      <c r="AH2" s="5"/>
      <c r="AI2" s="5"/>
      <c r="AJ2" s="25" t="s">
        <v>94</v>
      </c>
      <c r="AO2" s="5"/>
    </row>
    <row r="3" spans="1:41" ht="15.9" customHeight="1">
      <c r="A3" s="122" t="s">
        <v>36</v>
      </c>
      <c r="B3" s="122" t="s">
        <v>37</v>
      </c>
      <c r="C3" s="122" t="s">
        <v>7</v>
      </c>
      <c r="D3" s="122" t="s">
        <v>8</v>
      </c>
      <c r="E3" s="122" t="s">
        <v>9</v>
      </c>
      <c r="F3" s="122" t="s">
        <v>10</v>
      </c>
      <c r="G3" s="122" t="s">
        <v>11</v>
      </c>
      <c r="H3" s="122" t="s">
        <v>310</v>
      </c>
      <c r="I3" s="14"/>
      <c r="J3" s="122"/>
      <c r="K3" s="122" t="s">
        <v>7</v>
      </c>
      <c r="L3" s="122" t="s">
        <v>8</v>
      </c>
      <c r="M3" s="122" t="s">
        <v>9</v>
      </c>
      <c r="N3" s="122" t="s">
        <v>10</v>
      </c>
      <c r="O3" s="122" t="s">
        <v>11</v>
      </c>
      <c r="Q3" s="122" t="s">
        <v>7</v>
      </c>
      <c r="R3" s="122" t="s">
        <v>8</v>
      </c>
      <c r="S3" s="122" t="s">
        <v>9</v>
      </c>
      <c r="T3" s="122" t="s">
        <v>10</v>
      </c>
      <c r="U3" s="122" t="s">
        <v>11</v>
      </c>
      <c r="W3" s="122" t="s">
        <v>5</v>
      </c>
      <c r="X3" s="122" t="s">
        <v>8</v>
      </c>
      <c r="Y3" s="122" t="s">
        <v>9</v>
      </c>
      <c r="Z3" s="122" t="s">
        <v>10</v>
      </c>
      <c r="AA3" s="122" t="s">
        <v>11</v>
      </c>
      <c r="AO3" s="5"/>
    </row>
    <row r="4" spans="1:41" ht="15.9" customHeight="1">
      <c r="A4" s="203" t="s">
        <v>306</v>
      </c>
      <c r="B4" s="201" t="s">
        <v>38</v>
      </c>
      <c r="C4" s="203">
        <v>0</v>
      </c>
      <c r="D4" s="203">
        <v>0</v>
      </c>
      <c r="E4" s="203">
        <v>0</v>
      </c>
      <c r="F4" s="203">
        <v>0</v>
      </c>
      <c r="G4" s="203">
        <v>0</v>
      </c>
      <c r="H4" s="201">
        <v>0</v>
      </c>
      <c r="I4" s="82"/>
      <c r="J4" s="23">
        <v>0</v>
      </c>
      <c r="K4" s="24" t="s">
        <v>31</v>
      </c>
      <c r="L4" s="24" t="s">
        <v>97</v>
      </c>
      <c r="M4" s="24" t="s">
        <v>82</v>
      </c>
      <c r="N4" s="24" t="s">
        <v>97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307</v>
      </c>
      <c r="AH4" s="5"/>
      <c r="AI4" s="5"/>
      <c r="AJ4" s="25" t="s">
        <v>307</v>
      </c>
      <c r="AO4" s="5"/>
    </row>
    <row r="5" spans="1:41" ht="15.9" customHeight="1">
      <c r="A5" s="203" t="s">
        <v>14</v>
      </c>
      <c r="B5" s="201" t="s">
        <v>39</v>
      </c>
      <c r="C5" s="203">
        <v>3</v>
      </c>
      <c r="D5" s="203">
        <v>3</v>
      </c>
      <c r="E5" s="203">
        <v>0</v>
      </c>
      <c r="F5" s="203">
        <v>5</v>
      </c>
      <c r="G5" s="203">
        <v>5</v>
      </c>
      <c r="H5" s="201">
        <v>1</v>
      </c>
      <c r="I5" s="82"/>
      <c r="J5" s="195">
        <v>1</v>
      </c>
      <c r="K5" s="196" t="s">
        <v>97</v>
      </c>
      <c r="L5" s="196" t="s">
        <v>88</v>
      </c>
      <c r="M5" s="196" t="s">
        <v>95</v>
      </c>
      <c r="N5" s="196" t="s">
        <v>13</v>
      </c>
      <c r="O5" s="196" t="s">
        <v>16</v>
      </c>
      <c r="Q5" s="195">
        <v>6</v>
      </c>
      <c r="R5" s="195">
        <v>19</v>
      </c>
      <c r="S5" s="195">
        <v>17</v>
      </c>
      <c r="T5" s="195">
        <v>5</v>
      </c>
      <c r="U5" s="195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2" t="s">
        <v>36</v>
      </c>
      <c r="AD5" s="122" t="s">
        <v>7</v>
      </c>
      <c r="AE5" s="122" t="s">
        <v>8</v>
      </c>
      <c r="AF5" s="122" t="s">
        <v>9</v>
      </c>
      <c r="AG5" s="122" t="s">
        <v>10</v>
      </c>
      <c r="AH5" s="122" t="s">
        <v>11</v>
      </c>
      <c r="AI5" s="5"/>
      <c r="AJ5" s="122" t="s">
        <v>36</v>
      </c>
      <c r="AK5" s="122" t="s">
        <v>7</v>
      </c>
      <c r="AL5" s="122" t="s">
        <v>8</v>
      </c>
      <c r="AM5" s="122" t="s">
        <v>9</v>
      </c>
      <c r="AN5" s="122" t="s">
        <v>10</v>
      </c>
      <c r="AO5" s="122" t="s">
        <v>11</v>
      </c>
    </row>
    <row r="6" spans="1:41" ht="15.9" customHeight="1">
      <c r="A6" s="202" t="s">
        <v>15</v>
      </c>
      <c r="B6" s="136" t="s">
        <v>15</v>
      </c>
      <c r="C6" s="202">
        <v>3</v>
      </c>
      <c r="D6" s="202">
        <v>10</v>
      </c>
      <c r="E6" s="202">
        <v>0</v>
      </c>
      <c r="F6" s="202">
        <v>3</v>
      </c>
      <c r="G6" s="202">
        <v>9</v>
      </c>
      <c r="H6" s="136">
        <v>2</v>
      </c>
      <c r="I6" s="82"/>
      <c r="J6" s="23">
        <v>2</v>
      </c>
      <c r="K6" s="196" t="s">
        <v>31</v>
      </c>
      <c r="L6" s="196" t="s">
        <v>83</v>
      </c>
      <c r="M6" s="196" t="s">
        <v>82</v>
      </c>
      <c r="N6" s="196" t="s">
        <v>30</v>
      </c>
      <c r="O6" s="196" t="s">
        <v>13</v>
      </c>
      <c r="Q6" s="195">
        <v>7</v>
      </c>
      <c r="R6" s="195">
        <v>16</v>
      </c>
      <c r="S6" s="195">
        <v>14</v>
      </c>
      <c r="T6" s="195">
        <v>10</v>
      </c>
      <c r="U6" s="195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201" t="s">
        <v>306</v>
      </c>
      <c r="AD6" s="126">
        <v>0</v>
      </c>
      <c r="AE6" s="126">
        <v>0</v>
      </c>
      <c r="AF6" s="126">
        <v>0</v>
      </c>
      <c r="AG6" s="126">
        <v>0</v>
      </c>
      <c r="AH6" s="126">
        <v>0</v>
      </c>
      <c r="AI6" s="5"/>
      <c r="AJ6" s="201" t="s">
        <v>306</v>
      </c>
      <c r="AK6" s="126">
        <v>0</v>
      </c>
      <c r="AL6" s="126">
        <v>0</v>
      </c>
      <c r="AM6" s="126">
        <v>0</v>
      </c>
      <c r="AN6" s="126">
        <v>0</v>
      </c>
      <c r="AO6" s="126">
        <v>0</v>
      </c>
    </row>
    <row r="7" spans="1:41" ht="15.9" customHeight="1">
      <c r="A7" s="202" t="s">
        <v>16</v>
      </c>
      <c r="B7" s="136" t="s">
        <v>16</v>
      </c>
      <c r="C7" s="202">
        <v>3</v>
      </c>
      <c r="D7" s="202">
        <v>12</v>
      </c>
      <c r="E7" s="202">
        <v>0</v>
      </c>
      <c r="F7" s="202">
        <v>3</v>
      </c>
      <c r="G7" s="202">
        <v>8</v>
      </c>
      <c r="H7" s="136">
        <v>3</v>
      </c>
      <c r="I7" s="82"/>
      <c r="J7" s="195">
        <v>3</v>
      </c>
      <c r="K7" s="196" t="s">
        <v>29</v>
      </c>
      <c r="L7" s="24" t="s">
        <v>97</v>
      </c>
      <c r="M7" s="196" t="s">
        <v>98</v>
      </c>
      <c r="N7" s="196" t="s">
        <v>31</v>
      </c>
      <c r="O7" s="196" t="s">
        <v>97</v>
      </c>
      <c r="Q7" s="195">
        <v>8</v>
      </c>
      <c r="R7" s="195">
        <v>6</v>
      </c>
      <c r="S7" s="195">
        <v>15</v>
      </c>
      <c r="T7" s="195">
        <v>7</v>
      </c>
      <c r="U7" s="195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201" t="s">
        <v>14</v>
      </c>
      <c r="AD7" s="201">
        <v>1</v>
      </c>
      <c r="AE7" s="201">
        <v>1</v>
      </c>
      <c r="AF7" s="201">
        <v>0</v>
      </c>
      <c r="AG7" s="201">
        <v>1</v>
      </c>
      <c r="AH7" s="201">
        <v>1</v>
      </c>
      <c r="AI7" s="5"/>
      <c r="AJ7" s="201" t="s">
        <v>14</v>
      </c>
      <c r="AK7" s="201">
        <v>1</v>
      </c>
      <c r="AL7" s="201">
        <v>1</v>
      </c>
      <c r="AM7" s="201">
        <v>0</v>
      </c>
      <c r="AN7" s="201">
        <v>1</v>
      </c>
      <c r="AO7" s="201">
        <v>1</v>
      </c>
    </row>
    <row r="8" spans="1:41" ht="15.9" customHeight="1">
      <c r="A8" s="202" t="s">
        <v>12</v>
      </c>
      <c r="B8" s="136" t="s">
        <v>12</v>
      </c>
      <c r="C8" s="202">
        <v>7</v>
      </c>
      <c r="D8" s="202">
        <v>13</v>
      </c>
      <c r="E8" s="202">
        <v>0</v>
      </c>
      <c r="F8" s="202">
        <v>7</v>
      </c>
      <c r="G8" s="202">
        <v>14</v>
      </c>
      <c r="H8" s="136">
        <v>4</v>
      </c>
      <c r="I8" s="82"/>
      <c r="J8" s="23">
        <v>4</v>
      </c>
      <c r="K8" s="196" t="s">
        <v>97</v>
      </c>
      <c r="L8" s="196" t="s">
        <v>98</v>
      </c>
      <c r="M8" s="196" t="s">
        <v>83</v>
      </c>
      <c r="N8" s="196" t="s">
        <v>29</v>
      </c>
      <c r="O8" s="196" t="s">
        <v>12</v>
      </c>
      <c r="Q8" s="195">
        <v>6</v>
      </c>
      <c r="R8" s="195">
        <v>15</v>
      </c>
      <c r="S8" s="195">
        <v>16</v>
      </c>
      <c r="T8" s="195">
        <v>8</v>
      </c>
      <c r="U8" s="195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6" t="s">
        <v>15</v>
      </c>
      <c r="AD8" s="202">
        <v>3</v>
      </c>
      <c r="AE8" s="202">
        <v>10</v>
      </c>
      <c r="AF8" s="202">
        <v>0</v>
      </c>
      <c r="AG8" s="202">
        <v>3</v>
      </c>
      <c r="AH8" s="202">
        <v>9</v>
      </c>
      <c r="AI8" s="5"/>
      <c r="AJ8" s="136" t="s">
        <v>15</v>
      </c>
      <c r="AK8" s="202">
        <v>3</v>
      </c>
      <c r="AL8" s="202">
        <v>10</v>
      </c>
      <c r="AM8" s="202">
        <v>0</v>
      </c>
      <c r="AN8" s="202">
        <v>3</v>
      </c>
      <c r="AO8" s="202">
        <v>9</v>
      </c>
    </row>
    <row r="9" spans="1:41" ht="15.9" customHeight="1">
      <c r="A9" s="202" t="s">
        <v>13</v>
      </c>
      <c r="B9" s="136" t="s">
        <v>13</v>
      </c>
      <c r="C9" s="202">
        <v>43</v>
      </c>
      <c r="D9" s="202">
        <v>23</v>
      </c>
      <c r="E9" s="202">
        <v>0</v>
      </c>
      <c r="F9" s="202">
        <v>33</v>
      </c>
      <c r="G9" s="202">
        <v>35</v>
      </c>
      <c r="H9" s="136">
        <v>5</v>
      </c>
      <c r="I9" s="82"/>
      <c r="J9" s="195">
        <v>5</v>
      </c>
      <c r="K9" s="196" t="s">
        <v>14</v>
      </c>
      <c r="L9" s="196" t="s">
        <v>29</v>
      </c>
      <c r="M9" s="196" t="s">
        <v>82</v>
      </c>
      <c r="N9" s="196" t="s">
        <v>98</v>
      </c>
      <c r="O9" s="196" t="s">
        <v>15</v>
      </c>
      <c r="Q9" s="195">
        <v>1</v>
      </c>
      <c r="R9" s="195">
        <v>8</v>
      </c>
      <c r="S9" s="195">
        <v>14</v>
      </c>
      <c r="T9" s="195">
        <v>15</v>
      </c>
      <c r="U9" s="195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6" t="s">
        <v>16</v>
      </c>
      <c r="AD9" s="202">
        <v>3</v>
      </c>
      <c r="AE9" s="202">
        <v>12</v>
      </c>
      <c r="AF9" s="202">
        <v>0</v>
      </c>
      <c r="AG9" s="202">
        <v>3</v>
      </c>
      <c r="AH9" s="202">
        <v>8</v>
      </c>
      <c r="AI9" s="5"/>
      <c r="AJ9" s="136" t="s">
        <v>16</v>
      </c>
      <c r="AK9" s="202">
        <v>3</v>
      </c>
      <c r="AL9" s="202">
        <v>12</v>
      </c>
      <c r="AM9" s="202">
        <v>0</v>
      </c>
      <c r="AN9" s="202">
        <v>3</v>
      </c>
      <c r="AO9" s="202">
        <v>8</v>
      </c>
    </row>
    <row r="10" spans="1:41" ht="15.9" customHeight="1">
      <c r="A10" s="202" t="s">
        <v>97</v>
      </c>
      <c r="B10" s="136" t="s">
        <v>97</v>
      </c>
      <c r="C10" s="202">
        <v>42</v>
      </c>
      <c r="D10" s="202">
        <v>23</v>
      </c>
      <c r="E10" s="202">
        <v>0</v>
      </c>
      <c r="F10" s="202">
        <v>33</v>
      </c>
      <c r="G10" s="202">
        <v>34</v>
      </c>
      <c r="H10" s="136">
        <v>6</v>
      </c>
      <c r="I10" s="82"/>
      <c r="J10" s="23">
        <v>6</v>
      </c>
      <c r="K10" s="196" t="s">
        <v>31</v>
      </c>
      <c r="L10" s="196" t="s">
        <v>15</v>
      </c>
      <c r="M10" s="196" t="s">
        <v>98</v>
      </c>
      <c r="N10" s="196" t="s">
        <v>13</v>
      </c>
      <c r="O10" s="196" t="s">
        <v>29</v>
      </c>
      <c r="Q10" s="195">
        <v>7</v>
      </c>
      <c r="R10" s="195">
        <v>2</v>
      </c>
      <c r="S10" s="195">
        <v>15</v>
      </c>
      <c r="T10" s="195">
        <v>5</v>
      </c>
      <c r="U10" s="195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6" t="s">
        <v>12</v>
      </c>
      <c r="AD10" s="202">
        <v>7</v>
      </c>
      <c r="AE10" s="202">
        <v>13</v>
      </c>
      <c r="AF10" s="202">
        <v>0</v>
      </c>
      <c r="AG10" s="202">
        <v>7</v>
      </c>
      <c r="AH10" s="202">
        <v>14</v>
      </c>
      <c r="AI10" s="5"/>
      <c r="AJ10" s="136" t="s">
        <v>12</v>
      </c>
      <c r="AK10" s="202">
        <v>7</v>
      </c>
      <c r="AL10" s="202">
        <v>13</v>
      </c>
      <c r="AM10" s="202">
        <v>0</v>
      </c>
      <c r="AN10" s="202">
        <v>7</v>
      </c>
      <c r="AO10" s="202">
        <v>14</v>
      </c>
    </row>
    <row r="11" spans="1:41" ht="15.9" customHeight="1">
      <c r="A11" s="202" t="s">
        <v>31</v>
      </c>
      <c r="B11" s="136" t="s">
        <v>31</v>
      </c>
      <c r="C11" s="202">
        <v>43</v>
      </c>
      <c r="D11" s="202">
        <v>27</v>
      </c>
      <c r="E11" s="202">
        <v>0</v>
      </c>
      <c r="F11" s="202">
        <v>33</v>
      </c>
      <c r="G11" s="202">
        <v>34</v>
      </c>
      <c r="H11" s="136">
        <v>7</v>
      </c>
      <c r="I11" s="82"/>
      <c r="J11" s="195">
        <v>7</v>
      </c>
      <c r="K11" s="196" t="s">
        <v>29</v>
      </c>
      <c r="L11" s="196" t="s">
        <v>82</v>
      </c>
      <c r="M11" s="196" t="s">
        <v>95</v>
      </c>
      <c r="N11" s="196" t="s">
        <v>16</v>
      </c>
      <c r="O11" s="196" t="s">
        <v>31</v>
      </c>
      <c r="Q11" s="195">
        <v>8</v>
      </c>
      <c r="R11" s="195">
        <v>14</v>
      </c>
      <c r="S11" s="195">
        <v>17</v>
      </c>
      <c r="T11" s="195">
        <v>3</v>
      </c>
      <c r="U11" s="195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6" t="s">
        <v>13</v>
      </c>
      <c r="AD11" s="202">
        <v>43</v>
      </c>
      <c r="AE11" s="202">
        <v>22</v>
      </c>
      <c r="AF11" s="202">
        <v>0</v>
      </c>
      <c r="AG11" s="202">
        <v>31</v>
      </c>
      <c r="AH11" s="202">
        <v>36</v>
      </c>
      <c r="AI11" s="5"/>
      <c r="AJ11" s="136" t="s">
        <v>13</v>
      </c>
      <c r="AK11" s="202">
        <v>43</v>
      </c>
      <c r="AL11" s="202">
        <v>22</v>
      </c>
      <c r="AM11" s="202">
        <v>0</v>
      </c>
      <c r="AN11" s="202">
        <v>31</v>
      </c>
      <c r="AO11" s="202">
        <v>36</v>
      </c>
    </row>
    <row r="12" spans="1:41" ht="15.9" customHeight="1">
      <c r="A12" s="202" t="s">
        <v>29</v>
      </c>
      <c r="B12" s="136" t="s">
        <v>29</v>
      </c>
      <c r="C12" s="202">
        <v>43</v>
      </c>
      <c r="D12" s="202">
        <v>25</v>
      </c>
      <c r="E12" s="202">
        <v>0</v>
      </c>
      <c r="F12" s="202">
        <v>34</v>
      </c>
      <c r="G12" s="202">
        <v>34</v>
      </c>
      <c r="H12" s="136">
        <v>8</v>
      </c>
      <c r="I12" s="82"/>
      <c r="J12" s="23">
        <v>8</v>
      </c>
      <c r="K12" s="196" t="s">
        <v>31</v>
      </c>
      <c r="L12" s="196" t="s">
        <v>29</v>
      </c>
      <c r="M12" s="196" t="s">
        <v>81</v>
      </c>
      <c r="N12" s="196" t="s">
        <v>98</v>
      </c>
      <c r="O12" s="196" t="s">
        <v>30</v>
      </c>
      <c r="Q12" s="195">
        <v>7</v>
      </c>
      <c r="R12" s="195">
        <v>8</v>
      </c>
      <c r="S12" s="195">
        <v>13</v>
      </c>
      <c r="T12" s="195">
        <v>15</v>
      </c>
      <c r="U12" s="195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6" t="s">
        <v>97</v>
      </c>
      <c r="AD12" s="202">
        <v>42</v>
      </c>
      <c r="AE12" s="202">
        <v>22</v>
      </c>
      <c r="AF12" s="202">
        <v>0</v>
      </c>
      <c r="AG12" s="202">
        <v>27</v>
      </c>
      <c r="AH12" s="202">
        <v>34</v>
      </c>
      <c r="AI12" s="5"/>
      <c r="AJ12" s="136" t="s">
        <v>97</v>
      </c>
      <c r="AK12" s="202">
        <v>42</v>
      </c>
      <c r="AL12" s="202">
        <v>22</v>
      </c>
      <c r="AM12" s="202">
        <v>0</v>
      </c>
      <c r="AN12" s="202">
        <v>27</v>
      </c>
      <c r="AO12" s="202">
        <v>34</v>
      </c>
    </row>
    <row r="13" spans="1:41" ht="15.9" customHeight="1">
      <c r="A13" s="202" t="s">
        <v>28</v>
      </c>
      <c r="B13" s="136" t="s">
        <v>28</v>
      </c>
      <c r="C13" s="202">
        <v>7</v>
      </c>
      <c r="D13" s="202">
        <v>12</v>
      </c>
      <c r="E13" s="202">
        <v>0</v>
      </c>
      <c r="F13" s="202">
        <v>6</v>
      </c>
      <c r="G13" s="202">
        <v>13</v>
      </c>
      <c r="H13" s="136">
        <v>9</v>
      </c>
      <c r="I13" s="82"/>
      <c r="J13" s="195">
        <v>9</v>
      </c>
      <c r="K13" s="196" t="s">
        <v>30</v>
      </c>
      <c r="L13" s="196" t="s">
        <v>15</v>
      </c>
      <c r="M13" s="196" t="s">
        <v>98</v>
      </c>
      <c r="N13" s="196" t="s">
        <v>86</v>
      </c>
      <c r="O13" s="196" t="s">
        <v>12</v>
      </c>
      <c r="Q13" s="195">
        <v>10</v>
      </c>
      <c r="R13" s="195">
        <v>2</v>
      </c>
      <c r="S13" s="195">
        <v>15</v>
      </c>
      <c r="T13" s="195">
        <v>18</v>
      </c>
      <c r="U13" s="195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6" t="s">
        <v>31</v>
      </c>
      <c r="AD13" s="202">
        <v>43</v>
      </c>
      <c r="AE13" s="202">
        <v>27</v>
      </c>
      <c r="AF13" s="202">
        <v>0</v>
      </c>
      <c r="AG13" s="202">
        <v>31</v>
      </c>
      <c r="AH13" s="202">
        <v>35</v>
      </c>
      <c r="AI13" s="5"/>
      <c r="AJ13" s="136" t="s">
        <v>31</v>
      </c>
      <c r="AK13" s="202">
        <v>43</v>
      </c>
      <c r="AL13" s="202">
        <v>27</v>
      </c>
      <c r="AM13" s="202">
        <v>0</v>
      </c>
      <c r="AN13" s="202">
        <v>31</v>
      </c>
      <c r="AO13" s="202">
        <v>35</v>
      </c>
    </row>
    <row r="14" spans="1:41" ht="15.9" customHeight="1">
      <c r="A14" s="202" t="s">
        <v>30</v>
      </c>
      <c r="B14" s="136" t="s">
        <v>30</v>
      </c>
      <c r="C14" s="202">
        <v>6</v>
      </c>
      <c r="D14" s="202">
        <v>8</v>
      </c>
      <c r="E14" s="202">
        <v>0</v>
      </c>
      <c r="F14" s="202">
        <v>7</v>
      </c>
      <c r="G14" s="202">
        <v>14</v>
      </c>
      <c r="H14" s="136">
        <v>10</v>
      </c>
      <c r="I14" s="82"/>
      <c r="J14" s="23">
        <v>10</v>
      </c>
      <c r="K14" s="196" t="s">
        <v>13</v>
      </c>
      <c r="L14" s="196" t="s">
        <v>97</v>
      </c>
      <c r="M14" s="196" t="s">
        <v>83</v>
      </c>
      <c r="N14" s="196" t="s">
        <v>98</v>
      </c>
      <c r="O14" s="196" t="s">
        <v>30</v>
      </c>
      <c r="Q14" s="195">
        <v>5</v>
      </c>
      <c r="R14" s="195">
        <v>6</v>
      </c>
      <c r="S14" s="195">
        <v>16</v>
      </c>
      <c r="T14" s="195">
        <v>15</v>
      </c>
      <c r="U14" s="195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6" t="s">
        <v>29</v>
      </c>
      <c r="AD14" s="202">
        <v>43</v>
      </c>
      <c r="AE14" s="202">
        <v>24</v>
      </c>
      <c r="AF14" s="202">
        <v>0</v>
      </c>
      <c r="AG14" s="202">
        <v>32</v>
      </c>
      <c r="AH14" s="202">
        <v>34</v>
      </c>
      <c r="AI14" s="5"/>
      <c r="AJ14" s="136" t="s">
        <v>29</v>
      </c>
      <c r="AK14" s="202">
        <v>43</v>
      </c>
      <c r="AL14" s="202">
        <v>24</v>
      </c>
      <c r="AM14" s="202">
        <v>0</v>
      </c>
      <c r="AN14" s="202">
        <v>32</v>
      </c>
      <c r="AO14" s="202">
        <v>34</v>
      </c>
    </row>
    <row r="15" spans="1:41" ht="15.9" customHeight="1">
      <c r="A15" s="203" t="s">
        <v>79</v>
      </c>
      <c r="B15" s="201" t="s">
        <v>311</v>
      </c>
      <c r="C15" s="203">
        <v>0</v>
      </c>
      <c r="D15" s="203">
        <v>2</v>
      </c>
      <c r="E15" s="203">
        <v>3</v>
      </c>
      <c r="F15" s="203">
        <v>1</v>
      </c>
      <c r="G15" s="203">
        <v>0</v>
      </c>
      <c r="H15" s="201">
        <v>11</v>
      </c>
      <c r="I15" s="82"/>
      <c r="J15" s="195">
        <v>11</v>
      </c>
      <c r="K15" s="196" t="s">
        <v>29</v>
      </c>
      <c r="L15" s="196" t="s">
        <v>13</v>
      </c>
      <c r="M15" s="196" t="s">
        <v>82</v>
      </c>
      <c r="N15" s="196" t="s">
        <v>82</v>
      </c>
      <c r="O15" s="196" t="s">
        <v>29</v>
      </c>
      <c r="Q15" s="195">
        <v>8</v>
      </c>
      <c r="R15" s="195">
        <v>5</v>
      </c>
      <c r="S15" s="195">
        <v>14</v>
      </c>
      <c r="T15" s="195">
        <v>14</v>
      </c>
      <c r="U15" s="195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6" t="s">
        <v>28</v>
      </c>
      <c r="AD15" s="202">
        <v>7</v>
      </c>
      <c r="AE15" s="202">
        <v>12</v>
      </c>
      <c r="AF15" s="202">
        <v>0</v>
      </c>
      <c r="AG15" s="202">
        <v>6</v>
      </c>
      <c r="AH15" s="202">
        <v>13</v>
      </c>
      <c r="AI15" s="5"/>
      <c r="AJ15" s="136" t="s">
        <v>28</v>
      </c>
      <c r="AK15" s="202">
        <v>7</v>
      </c>
      <c r="AL15" s="202">
        <v>12</v>
      </c>
      <c r="AM15" s="202">
        <v>0</v>
      </c>
      <c r="AN15" s="202">
        <v>6</v>
      </c>
      <c r="AO15" s="202">
        <v>13</v>
      </c>
    </row>
    <row r="16" spans="1:41" ht="15.9" customHeight="1">
      <c r="A16" s="203" t="s">
        <v>80</v>
      </c>
      <c r="B16" s="201" t="s">
        <v>312</v>
      </c>
      <c r="C16" s="203">
        <v>0</v>
      </c>
      <c r="D16" s="203">
        <v>3</v>
      </c>
      <c r="E16" s="203">
        <v>4</v>
      </c>
      <c r="F16" s="203">
        <v>1</v>
      </c>
      <c r="G16" s="203">
        <v>0</v>
      </c>
      <c r="H16" s="201">
        <v>12</v>
      </c>
      <c r="I16" s="82"/>
      <c r="J16" s="23">
        <v>12</v>
      </c>
      <c r="K16" s="196" t="s">
        <v>13</v>
      </c>
      <c r="L16" s="196" t="s">
        <v>16</v>
      </c>
      <c r="M16" s="196" t="s">
        <v>95</v>
      </c>
      <c r="N16" s="196" t="s">
        <v>13</v>
      </c>
      <c r="O16" s="196" t="s">
        <v>31</v>
      </c>
      <c r="Q16" s="195">
        <v>5</v>
      </c>
      <c r="R16" s="195">
        <v>3</v>
      </c>
      <c r="S16" s="195">
        <v>17</v>
      </c>
      <c r="T16" s="195">
        <v>5</v>
      </c>
      <c r="U16" s="195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6" t="s">
        <v>30</v>
      </c>
      <c r="AD16" s="202">
        <v>7</v>
      </c>
      <c r="AE16" s="202">
        <v>8</v>
      </c>
      <c r="AF16" s="202">
        <v>0</v>
      </c>
      <c r="AG16" s="202">
        <v>7</v>
      </c>
      <c r="AH16" s="202">
        <v>14</v>
      </c>
      <c r="AI16" s="5"/>
      <c r="AJ16" s="136" t="s">
        <v>30</v>
      </c>
      <c r="AK16" s="202">
        <v>7</v>
      </c>
      <c r="AL16" s="202">
        <v>8</v>
      </c>
      <c r="AM16" s="202">
        <v>0</v>
      </c>
      <c r="AN16" s="202">
        <v>7</v>
      </c>
      <c r="AO16" s="202">
        <v>14</v>
      </c>
    </row>
    <row r="17" spans="1:41" ht="15.9" customHeight="1">
      <c r="A17" s="203" t="s">
        <v>81</v>
      </c>
      <c r="B17" s="201" t="s">
        <v>313</v>
      </c>
      <c r="C17" s="203">
        <v>0</v>
      </c>
      <c r="D17" s="203">
        <v>3</v>
      </c>
      <c r="E17" s="203">
        <v>8</v>
      </c>
      <c r="F17" s="203">
        <v>2</v>
      </c>
      <c r="G17" s="203">
        <v>0</v>
      </c>
      <c r="H17" s="201">
        <v>13</v>
      </c>
      <c r="I17" s="82"/>
      <c r="J17" s="195">
        <v>13</v>
      </c>
      <c r="K17" s="196" t="s">
        <v>97</v>
      </c>
      <c r="L17" s="196" t="s">
        <v>29</v>
      </c>
      <c r="M17" s="196" t="s">
        <v>82</v>
      </c>
      <c r="N17" s="196" t="s">
        <v>28</v>
      </c>
      <c r="O17" s="196" t="s">
        <v>13</v>
      </c>
      <c r="Q17" s="195">
        <v>6</v>
      </c>
      <c r="R17" s="195">
        <v>8</v>
      </c>
      <c r="S17" s="195">
        <v>14</v>
      </c>
      <c r="T17" s="195">
        <v>9</v>
      </c>
      <c r="U17" s="195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201" t="s">
        <v>79</v>
      </c>
      <c r="AD17" s="203">
        <v>0</v>
      </c>
      <c r="AE17" s="203">
        <v>3</v>
      </c>
      <c r="AF17" s="203">
        <v>3</v>
      </c>
      <c r="AG17" s="203">
        <v>2</v>
      </c>
      <c r="AH17" s="203">
        <v>0</v>
      </c>
      <c r="AI17" s="5"/>
      <c r="AJ17" s="201" t="s">
        <v>79</v>
      </c>
      <c r="AK17" s="203">
        <v>0</v>
      </c>
      <c r="AL17" s="203">
        <v>3</v>
      </c>
      <c r="AM17" s="203">
        <v>3</v>
      </c>
      <c r="AN17" s="203">
        <v>2</v>
      </c>
      <c r="AO17" s="203">
        <v>0</v>
      </c>
    </row>
    <row r="18" spans="1:41" ht="15.9" customHeight="1">
      <c r="A18" s="203" t="s">
        <v>82</v>
      </c>
      <c r="B18" s="201" t="s">
        <v>314</v>
      </c>
      <c r="C18" s="203">
        <v>0</v>
      </c>
      <c r="D18" s="203">
        <v>7</v>
      </c>
      <c r="E18" s="203">
        <v>43</v>
      </c>
      <c r="F18" s="203">
        <v>8</v>
      </c>
      <c r="G18" s="203">
        <v>0</v>
      </c>
      <c r="H18" s="201">
        <v>14</v>
      </c>
      <c r="I18" s="82"/>
      <c r="J18" s="23">
        <v>14</v>
      </c>
      <c r="K18" s="196" t="s">
        <v>31</v>
      </c>
      <c r="L18" s="196" t="s">
        <v>31</v>
      </c>
      <c r="M18" s="196" t="s">
        <v>83</v>
      </c>
      <c r="N18" s="196" t="s">
        <v>31</v>
      </c>
      <c r="O18" s="196" t="s">
        <v>97</v>
      </c>
      <c r="Q18" s="195">
        <v>7</v>
      </c>
      <c r="R18" s="195">
        <v>7</v>
      </c>
      <c r="S18" s="195">
        <v>16</v>
      </c>
      <c r="T18" s="195">
        <v>7</v>
      </c>
      <c r="U18" s="195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201" t="s">
        <v>80</v>
      </c>
      <c r="AD18" s="203">
        <v>0</v>
      </c>
      <c r="AE18" s="203">
        <v>4</v>
      </c>
      <c r="AF18" s="203">
        <v>1</v>
      </c>
      <c r="AG18" s="203">
        <v>2</v>
      </c>
      <c r="AH18" s="203">
        <v>0</v>
      </c>
      <c r="AI18" s="5"/>
      <c r="AJ18" s="201" t="s">
        <v>80</v>
      </c>
      <c r="AK18" s="203">
        <v>0</v>
      </c>
      <c r="AL18" s="203">
        <v>4</v>
      </c>
      <c r="AM18" s="203">
        <v>1</v>
      </c>
      <c r="AN18" s="203">
        <v>2</v>
      </c>
      <c r="AO18" s="203">
        <v>0</v>
      </c>
    </row>
    <row r="19" spans="1:41" ht="15.9" customHeight="1">
      <c r="A19" s="203" t="s">
        <v>98</v>
      </c>
      <c r="B19" s="201" t="s">
        <v>315</v>
      </c>
      <c r="C19" s="203">
        <v>0</v>
      </c>
      <c r="D19" s="203">
        <v>7</v>
      </c>
      <c r="E19" s="203">
        <v>42</v>
      </c>
      <c r="F19" s="203">
        <v>9</v>
      </c>
      <c r="G19" s="203">
        <v>0</v>
      </c>
      <c r="H19" s="201">
        <v>15</v>
      </c>
      <c r="I19" s="82"/>
      <c r="J19" s="195">
        <v>15</v>
      </c>
      <c r="K19" s="196" t="s">
        <v>29</v>
      </c>
      <c r="L19" s="196" t="s">
        <v>29</v>
      </c>
      <c r="M19" s="196" t="s">
        <v>82</v>
      </c>
      <c r="N19" s="196" t="s">
        <v>97</v>
      </c>
      <c r="O19" s="196" t="s">
        <v>31</v>
      </c>
      <c r="Q19" s="195">
        <v>8</v>
      </c>
      <c r="R19" s="195">
        <v>8</v>
      </c>
      <c r="S19" s="195">
        <v>14</v>
      </c>
      <c r="T19" s="195">
        <v>6</v>
      </c>
      <c r="U19" s="195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201" t="s">
        <v>81</v>
      </c>
      <c r="AD19" s="203">
        <v>0</v>
      </c>
      <c r="AE19" s="203">
        <v>4</v>
      </c>
      <c r="AF19" s="203">
        <v>8</v>
      </c>
      <c r="AG19" s="203">
        <v>3</v>
      </c>
      <c r="AH19" s="203">
        <v>0</v>
      </c>
      <c r="AI19" s="5"/>
      <c r="AJ19" s="201" t="s">
        <v>81</v>
      </c>
      <c r="AK19" s="203">
        <v>0</v>
      </c>
      <c r="AL19" s="203">
        <v>4</v>
      </c>
      <c r="AM19" s="203">
        <v>8</v>
      </c>
      <c r="AN19" s="203">
        <v>3</v>
      </c>
      <c r="AO19" s="203">
        <v>0</v>
      </c>
    </row>
    <row r="20" spans="1:41" ht="15.9" customHeight="1">
      <c r="A20" s="203" t="s">
        <v>83</v>
      </c>
      <c r="B20" s="201" t="s">
        <v>316</v>
      </c>
      <c r="C20" s="203">
        <v>0</v>
      </c>
      <c r="D20" s="203">
        <v>10</v>
      </c>
      <c r="E20" s="203">
        <v>42</v>
      </c>
      <c r="F20" s="203">
        <v>6</v>
      </c>
      <c r="G20" s="203">
        <v>0</v>
      </c>
      <c r="H20" s="201">
        <v>16</v>
      </c>
      <c r="I20" s="82"/>
      <c r="J20" s="23">
        <v>16</v>
      </c>
      <c r="K20" s="196" t="s">
        <v>13</v>
      </c>
      <c r="L20" s="196" t="s">
        <v>83</v>
      </c>
      <c r="M20" s="196" t="s">
        <v>81</v>
      </c>
      <c r="N20" s="196" t="s">
        <v>29</v>
      </c>
      <c r="O20" s="196" t="s">
        <v>97</v>
      </c>
      <c r="Q20" s="195">
        <v>5</v>
      </c>
      <c r="R20" s="195">
        <v>16</v>
      </c>
      <c r="S20" s="195">
        <v>13</v>
      </c>
      <c r="T20" s="195">
        <v>8</v>
      </c>
      <c r="U20" s="195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201" t="s">
        <v>82</v>
      </c>
      <c r="AD20" s="203">
        <v>0</v>
      </c>
      <c r="AE20" s="203">
        <v>9</v>
      </c>
      <c r="AF20" s="203">
        <v>43</v>
      </c>
      <c r="AG20" s="203">
        <v>12</v>
      </c>
      <c r="AH20" s="203">
        <v>0</v>
      </c>
      <c r="AI20" s="5"/>
      <c r="AJ20" s="201" t="s">
        <v>82</v>
      </c>
      <c r="AK20" s="203">
        <v>0</v>
      </c>
      <c r="AL20" s="203">
        <v>9</v>
      </c>
      <c r="AM20" s="203">
        <v>43</v>
      </c>
      <c r="AN20" s="203">
        <v>12</v>
      </c>
      <c r="AO20" s="203">
        <v>0</v>
      </c>
    </row>
    <row r="21" spans="1:41" ht="15.9" customHeight="1">
      <c r="A21" s="203" t="s">
        <v>95</v>
      </c>
      <c r="B21" s="201" t="s">
        <v>317</v>
      </c>
      <c r="C21" s="203">
        <v>0</v>
      </c>
      <c r="D21" s="203">
        <v>7</v>
      </c>
      <c r="E21" s="203">
        <v>43</v>
      </c>
      <c r="F21" s="203">
        <v>6</v>
      </c>
      <c r="G21" s="203">
        <v>0</v>
      </c>
      <c r="H21" s="201">
        <v>17</v>
      </c>
      <c r="I21" s="82"/>
      <c r="J21" s="195">
        <v>17</v>
      </c>
      <c r="K21" s="196" t="s">
        <v>29</v>
      </c>
      <c r="L21" s="196" t="s">
        <v>29</v>
      </c>
      <c r="M21" s="196" t="s">
        <v>83</v>
      </c>
      <c r="N21" s="196" t="s">
        <v>31</v>
      </c>
      <c r="O21" s="196" t="s">
        <v>30</v>
      </c>
      <c r="Q21" s="195">
        <v>8</v>
      </c>
      <c r="R21" s="195">
        <v>8</v>
      </c>
      <c r="S21" s="195">
        <v>16</v>
      </c>
      <c r="T21" s="195">
        <v>7</v>
      </c>
      <c r="U21" s="195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201" t="s">
        <v>98</v>
      </c>
      <c r="AD21" s="203">
        <v>0</v>
      </c>
      <c r="AE21" s="203">
        <v>9</v>
      </c>
      <c r="AF21" s="203">
        <v>42</v>
      </c>
      <c r="AG21" s="203">
        <v>13</v>
      </c>
      <c r="AH21" s="203">
        <v>0</v>
      </c>
      <c r="AI21" s="5"/>
      <c r="AJ21" s="201" t="s">
        <v>98</v>
      </c>
      <c r="AK21" s="203">
        <v>0</v>
      </c>
      <c r="AL21" s="203">
        <v>9</v>
      </c>
      <c r="AM21" s="203">
        <v>42</v>
      </c>
      <c r="AN21" s="203">
        <v>13</v>
      </c>
      <c r="AO21" s="203">
        <v>0</v>
      </c>
    </row>
    <row r="22" spans="1:41" ht="15.9" customHeight="1">
      <c r="A22" s="203" t="s">
        <v>86</v>
      </c>
      <c r="B22" s="201" t="s">
        <v>318</v>
      </c>
      <c r="C22" s="203">
        <v>0</v>
      </c>
      <c r="D22" s="203">
        <v>3</v>
      </c>
      <c r="E22" s="203">
        <v>6</v>
      </c>
      <c r="F22" s="203">
        <v>1</v>
      </c>
      <c r="G22" s="203">
        <v>0</v>
      </c>
      <c r="H22" s="201">
        <v>18</v>
      </c>
      <c r="I22" s="82"/>
      <c r="J22" s="23">
        <v>18</v>
      </c>
      <c r="K22" s="196" t="s">
        <v>31</v>
      </c>
      <c r="L22" s="196" t="s">
        <v>13</v>
      </c>
      <c r="M22" s="196" t="s">
        <v>82</v>
      </c>
      <c r="N22" s="196" t="s">
        <v>97</v>
      </c>
      <c r="O22" s="196" t="s">
        <v>14</v>
      </c>
      <c r="Q22" s="195">
        <v>7</v>
      </c>
      <c r="R22" s="195">
        <v>5</v>
      </c>
      <c r="S22" s="195">
        <v>14</v>
      </c>
      <c r="T22" s="195">
        <v>6</v>
      </c>
      <c r="U22" s="195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201" t="s">
        <v>83</v>
      </c>
      <c r="AD22" s="203">
        <v>0</v>
      </c>
      <c r="AE22" s="203">
        <v>11</v>
      </c>
      <c r="AF22" s="203">
        <v>42</v>
      </c>
      <c r="AG22" s="203">
        <v>11</v>
      </c>
      <c r="AH22" s="203">
        <v>0</v>
      </c>
      <c r="AI22" s="5"/>
      <c r="AJ22" s="201" t="s">
        <v>83</v>
      </c>
      <c r="AK22" s="203">
        <v>0</v>
      </c>
      <c r="AL22" s="203">
        <v>11</v>
      </c>
      <c r="AM22" s="203">
        <v>42</v>
      </c>
      <c r="AN22" s="203">
        <v>11</v>
      </c>
      <c r="AO22" s="203">
        <v>0</v>
      </c>
    </row>
    <row r="23" spans="1:41" ht="15.9" customHeight="1">
      <c r="A23" s="203" t="s">
        <v>88</v>
      </c>
      <c r="B23" s="201" t="s">
        <v>319</v>
      </c>
      <c r="C23" s="203">
        <v>0</v>
      </c>
      <c r="D23" s="203">
        <v>2</v>
      </c>
      <c r="E23" s="203">
        <v>9</v>
      </c>
      <c r="F23" s="203">
        <v>2</v>
      </c>
      <c r="G23" s="203">
        <v>0</v>
      </c>
      <c r="H23" s="201">
        <v>19</v>
      </c>
      <c r="I23" s="82"/>
      <c r="J23" s="195">
        <v>19</v>
      </c>
      <c r="K23" s="196" t="s">
        <v>12</v>
      </c>
      <c r="L23" s="196" t="s">
        <v>97</v>
      </c>
      <c r="M23" s="196" t="s">
        <v>86</v>
      </c>
      <c r="N23" s="196" t="s">
        <v>29</v>
      </c>
      <c r="O23" s="196" t="s">
        <v>28</v>
      </c>
      <c r="Q23" s="195">
        <v>4</v>
      </c>
      <c r="R23" s="195">
        <v>6</v>
      </c>
      <c r="S23" s="195">
        <v>18</v>
      </c>
      <c r="T23" s="195">
        <v>8</v>
      </c>
      <c r="U23" s="195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201" t="s">
        <v>95</v>
      </c>
      <c r="AD23" s="203">
        <v>0</v>
      </c>
      <c r="AE23" s="203">
        <v>10</v>
      </c>
      <c r="AF23" s="203">
        <v>44</v>
      </c>
      <c r="AG23" s="203">
        <v>11</v>
      </c>
      <c r="AH23" s="203">
        <v>0</v>
      </c>
      <c r="AI23" s="5"/>
      <c r="AJ23" s="201" t="s">
        <v>95</v>
      </c>
      <c r="AK23" s="203">
        <v>0</v>
      </c>
      <c r="AL23" s="203">
        <v>10</v>
      </c>
      <c r="AM23" s="203">
        <v>44</v>
      </c>
      <c r="AN23" s="203">
        <v>11</v>
      </c>
      <c r="AO23" s="203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6" t="s">
        <v>31</v>
      </c>
      <c r="L24" s="196" t="s">
        <v>31</v>
      </c>
      <c r="M24" s="196" t="s">
        <v>98</v>
      </c>
      <c r="N24" s="196" t="s">
        <v>80</v>
      </c>
      <c r="O24" s="196" t="s">
        <v>29</v>
      </c>
      <c r="Q24" s="195">
        <v>7</v>
      </c>
      <c r="R24" s="195">
        <v>7</v>
      </c>
      <c r="S24" s="195">
        <v>15</v>
      </c>
      <c r="T24" s="195">
        <v>12</v>
      </c>
      <c r="U24" s="195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201" t="s">
        <v>86</v>
      </c>
      <c r="AD24" s="203">
        <v>0</v>
      </c>
      <c r="AE24" s="203">
        <v>4</v>
      </c>
      <c r="AF24" s="203">
        <v>6</v>
      </c>
      <c r="AG24" s="203">
        <v>2</v>
      </c>
      <c r="AH24" s="203">
        <v>0</v>
      </c>
      <c r="AI24" s="5"/>
      <c r="AJ24" s="201" t="s">
        <v>86</v>
      </c>
      <c r="AK24" s="203">
        <v>0</v>
      </c>
      <c r="AL24" s="203">
        <v>4</v>
      </c>
      <c r="AM24" s="203">
        <v>6</v>
      </c>
      <c r="AN24" s="203">
        <v>2</v>
      </c>
      <c r="AO24" s="203">
        <v>0</v>
      </c>
    </row>
    <row r="25" spans="1:41" ht="16.5" customHeight="1">
      <c r="I25" s="82"/>
      <c r="J25" s="195">
        <v>21</v>
      </c>
      <c r="K25" s="196" t="s">
        <v>97</v>
      </c>
      <c r="L25" s="196" t="s">
        <v>80</v>
      </c>
      <c r="M25" s="196" t="s">
        <v>83</v>
      </c>
      <c r="N25" s="196" t="s">
        <v>97</v>
      </c>
      <c r="O25" s="196" t="s">
        <v>97</v>
      </c>
      <c r="Q25" s="195">
        <v>6</v>
      </c>
      <c r="R25" s="195">
        <v>12</v>
      </c>
      <c r="S25" s="195">
        <v>16</v>
      </c>
      <c r="T25" s="195">
        <v>6</v>
      </c>
      <c r="U25" s="195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201" t="s">
        <v>88</v>
      </c>
      <c r="AD25" s="203">
        <v>0</v>
      </c>
      <c r="AE25" s="203">
        <v>3</v>
      </c>
      <c r="AF25" s="203">
        <v>9</v>
      </c>
      <c r="AG25" s="203">
        <v>3</v>
      </c>
      <c r="AH25" s="203">
        <v>0</v>
      </c>
      <c r="AI25" s="5"/>
      <c r="AJ25" s="201" t="s">
        <v>88</v>
      </c>
      <c r="AK25" s="203">
        <v>0</v>
      </c>
      <c r="AL25" s="203">
        <v>3</v>
      </c>
      <c r="AM25" s="203">
        <v>9</v>
      </c>
      <c r="AN25" s="203">
        <v>3</v>
      </c>
      <c r="AO25" s="203">
        <v>0</v>
      </c>
    </row>
    <row r="26" spans="1:41" ht="16.5" customHeight="1">
      <c r="B26" s="5" t="s">
        <v>320</v>
      </c>
      <c r="C26" s="5">
        <v>1</v>
      </c>
      <c r="D26" s="158">
        <v>0.78</v>
      </c>
      <c r="E26" s="158">
        <v>0</v>
      </c>
      <c r="F26" s="158">
        <v>0.82</v>
      </c>
      <c r="G26" s="5">
        <v>1</v>
      </c>
      <c r="I26" s="82"/>
      <c r="J26" s="23">
        <v>22</v>
      </c>
      <c r="K26" s="196" t="s">
        <v>13</v>
      </c>
      <c r="L26" s="196" t="s">
        <v>29</v>
      </c>
      <c r="M26" s="196" t="s">
        <v>82</v>
      </c>
      <c r="N26" s="196" t="s">
        <v>29</v>
      </c>
      <c r="O26" s="196" t="s">
        <v>13</v>
      </c>
      <c r="Q26" s="195">
        <v>5</v>
      </c>
      <c r="R26" s="195">
        <v>8</v>
      </c>
      <c r="S26" s="195">
        <v>14</v>
      </c>
      <c r="T26" s="195">
        <v>8</v>
      </c>
      <c r="U26" s="195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8">
        <v>0.22</v>
      </c>
      <c r="E27" s="158">
        <v>1</v>
      </c>
      <c r="F27" s="158">
        <v>0.18</v>
      </c>
      <c r="G27" s="5">
        <v>0</v>
      </c>
      <c r="I27" s="82"/>
      <c r="J27" s="195">
        <v>23</v>
      </c>
      <c r="K27" s="196" t="s">
        <v>97</v>
      </c>
      <c r="L27" s="196" t="s">
        <v>97</v>
      </c>
      <c r="M27" s="196" t="s">
        <v>98</v>
      </c>
      <c r="N27" s="196" t="s">
        <v>95</v>
      </c>
      <c r="O27" s="196" t="s">
        <v>31</v>
      </c>
      <c r="Q27" s="195">
        <v>6</v>
      </c>
      <c r="R27" s="195">
        <v>6</v>
      </c>
      <c r="S27" s="195">
        <v>15</v>
      </c>
      <c r="T27" s="195">
        <v>17</v>
      </c>
      <c r="U27" s="195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6" t="s">
        <v>31</v>
      </c>
      <c r="L28" s="196" t="s">
        <v>12</v>
      </c>
      <c r="M28" s="196" t="s">
        <v>83</v>
      </c>
      <c r="N28" s="196" t="s">
        <v>29</v>
      </c>
      <c r="O28" s="196" t="s">
        <v>15</v>
      </c>
      <c r="Q28" s="195">
        <v>7</v>
      </c>
      <c r="R28" s="195">
        <v>4</v>
      </c>
      <c r="S28" s="195">
        <v>16</v>
      </c>
      <c r="T28" s="195">
        <v>8</v>
      </c>
      <c r="U28" s="195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308</v>
      </c>
      <c r="AH28" s="5"/>
      <c r="AI28" s="5"/>
      <c r="AJ28" s="25" t="s">
        <v>308</v>
      </c>
      <c r="AO28" s="5"/>
    </row>
    <row r="29" spans="1:41" ht="16.5" customHeight="1">
      <c r="I29" s="82"/>
      <c r="J29" s="195">
        <v>25</v>
      </c>
      <c r="K29" s="196" t="s">
        <v>29</v>
      </c>
      <c r="L29" s="196" t="s">
        <v>97</v>
      </c>
      <c r="M29" s="196" t="s">
        <v>82</v>
      </c>
      <c r="N29" s="196" t="s">
        <v>31</v>
      </c>
      <c r="O29" s="196" t="s">
        <v>31</v>
      </c>
      <c r="Q29" s="195">
        <v>8</v>
      </c>
      <c r="R29" s="195">
        <v>6</v>
      </c>
      <c r="S29" s="195">
        <v>14</v>
      </c>
      <c r="T29" s="195">
        <v>7</v>
      </c>
      <c r="U29" s="195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2" t="s">
        <v>36</v>
      </c>
      <c r="AD29" s="122" t="s">
        <v>7</v>
      </c>
      <c r="AE29" s="122" t="s">
        <v>8</v>
      </c>
      <c r="AF29" s="122" t="s">
        <v>9</v>
      </c>
      <c r="AG29" s="122" t="s">
        <v>10</v>
      </c>
      <c r="AH29" s="122" t="s">
        <v>11</v>
      </c>
      <c r="AI29" s="5"/>
      <c r="AJ29" s="122" t="s">
        <v>36</v>
      </c>
      <c r="AK29" s="122" t="s">
        <v>7</v>
      </c>
      <c r="AL29" s="122" t="s">
        <v>8</v>
      </c>
      <c r="AM29" s="122" t="s">
        <v>9</v>
      </c>
      <c r="AN29" s="122" t="s">
        <v>10</v>
      </c>
      <c r="AO29" s="122" t="s">
        <v>11</v>
      </c>
    </row>
    <row r="30" spans="1:41" ht="16.5" customHeight="1">
      <c r="I30" s="82"/>
      <c r="J30" s="23">
        <v>26</v>
      </c>
      <c r="K30" s="196" t="s">
        <v>13</v>
      </c>
      <c r="L30" s="196" t="s">
        <v>29</v>
      </c>
      <c r="M30" s="196" t="s">
        <v>98</v>
      </c>
      <c r="N30" s="196" t="s">
        <v>29</v>
      </c>
      <c r="O30" s="196" t="s">
        <v>13</v>
      </c>
      <c r="Q30" s="195">
        <v>5</v>
      </c>
      <c r="R30" s="195">
        <v>8</v>
      </c>
      <c r="S30" s="195">
        <v>15</v>
      </c>
      <c r="T30" s="195">
        <v>8</v>
      </c>
      <c r="U30" s="195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201" t="s">
        <v>306</v>
      </c>
      <c r="AD30" s="126">
        <v>0</v>
      </c>
      <c r="AE30" s="126">
        <v>0</v>
      </c>
      <c r="AF30" s="126">
        <v>0</v>
      </c>
      <c r="AG30" s="126">
        <v>0</v>
      </c>
      <c r="AH30" s="126">
        <v>0</v>
      </c>
      <c r="AI30" s="5"/>
      <c r="AJ30" s="201" t="s">
        <v>306</v>
      </c>
      <c r="AK30" s="126">
        <v>0</v>
      </c>
      <c r="AL30" s="126">
        <v>0</v>
      </c>
      <c r="AM30" s="126">
        <v>0</v>
      </c>
      <c r="AN30" s="126">
        <v>0</v>
      </c>
      <c r="AO30" s="126">
        <v>0</v>
      </c>
    </row>
    <row r="31" spans="1:41" ht="16.5" customHeight="1">
      <c r="I31" s="82"/>
      <c r="J31" s="195">
        <v>27</v>
      </c>
      <c r="K31" s="196" t="s">
        <v>97</v>
      </c>
      <c r="L31" s="196" t="s">
        <v>31</v>
      </c>
      <c r="M31" s="196" t="s">
        <v>83</v>
      </c>
      <c r="N31" s="196" t="s">
        <v>31</v>
      </c>
      <c r="O31" s="196" t="s">
        <v>31</v>
      </c>
      <c r="Q31" s="195">
        <v>6</v>
      </c>
      <c r="R31" s="195">
        <v>7</v>
      </c>
      <c r="S31" s="195">
        <v>16</v>
      </c>
      <c r="T31" s="195">
        <v>7</v>
      </c>
      <c r="U31" s="195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201" t="s">
        <v>14</v>
      </c>
      <c r="AD31" s="201">
        <v>1</v>
      </c>
      <c r="AE31" s="201">
        <v>1</v>
      </c>
      <c r="AF31" s="201">
        <v>0</v>
      </c>
      <c r="AG31" s="201">
        <v>1</v>
      </c>
      <c r="AH31" s="201">
        <v>1</v>
      </c>
      <c r="AI31" s="5"/>
      <c r="AJ31" s="201" t="s">
        <v>14</v>
      </c>
      <c r="AK31" s="201">
        <v>1</v>
      </c>
      <c r="AL31" s="201">
        <v>1</v>
      </c>
      <c r="AM31" s="201">
        <v>0</v>
      </c>
      <c r="AN31" s="201">
        <v>1</v>
      </c>
      <c r="AO31" s="201">
        <v>1</v>
      </c>
    </row>
    <row r="32" spans="1:41" ht="16.5" customHeight="1">
      <c r="J32" s="23">
        <v>28</v>
      </c>
      <c r="K32" s="196" t="s">
        <v>29</v>
      </c>
      <c r="L32" s="196" t="s">
        <v>28</v>
      </c>
      <c r="M32" s="196" t="s">
        <v>88</v>
      </c>
      <c r="N32" s="196" t="s">
        <v>97</v>
      </c>
      <c r="O32" s="196" t="s">
        <v>12</v>
      </c>
      <c r="Q32" s="195">
        <v>8</v>
      </c>
      <c r="R32" s="195">
        <v>9</v>
      </c>
      <c r="S32" s="195">
        <v>19</v>
      </c>
      <c r="T32" s="195">
        <v>6</v>
      </c>
      <c r="U32" s="195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6" t="s">
        <v>15</v>
      </c>
      <c r="AD32" s="202">
        <v>3</v>
      </c>
      <c r="AE32" s="202">
        <v>10</v>
      </c>
      <c r="AF32" s="202">
        <v>0</v>
      </c>
      <c r="AG32" s="202">
        <v>3</v>
      </c>
      <c r="AH32" s="202">
        <v>9</v>
      </c>
      <c r="AI32" s="5"/>
      <c r="AJ32" s="136" t="s">
        <v>15</v>
      </c>
      <c r="AK32" s="202">
        <v>3</v>
      </c>
      <c r="AL32" s="202">
        <v>10</v>
      </c>
      <c r="AM32" s="202">
        <v>0</v>
      </c>
      <c r="AN32" s="202">
        <v>3</v>
      </c>
      <c r="AO32" s="202">
        <v>9</v>
      </c>
    </row>
    <row r="33" spans="10:41" ht="16.5" customHeight="1">
      <c r="J33" s="195">
        <v>29</v>
      </c>
      <c r="K33" s="196" t="s">
        <v>13</v>
      </c>
      <c r="L33" s="196" t="s">
        <v>12</v>
      </c>
      <c r="M33" s="196" t="s">
        <v>83</v>
      </c>
      <c r="N33" s="196" t="s">
        <v>83</v>
      </c>
      <c r="O33" s="196" t="s">
        <v>29</v>
      </c>
      <c r="Q33" s="195">
        <v>5</v>
      </c>
      <c r="R33" s="195">
        <v>4</v>
      </c>
      <c r="S33" s="195">
        <v>16</v>
      </c>
      <c r="T33" s="195">
        <v>16</v>
      </c>
      <c r="U33" s="195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6" t="s">
        <v>16</v>
      </c>
      <c r="AD33" s="202">
        <v>3</v>
      </c>
      <c r="AE33" s="202">
        <v>12</v>
      </c>
      <c r="AF33" s="202">
        <v>0</v>
      </c>
      <c r="AG33" s="202">
        <v>3</v>
      </c>
      <c r="AH33" s="202">
        <v>8</v>
      </c>
      <c r="AI33" s="5"/>
      <c r="AJ33" s="136" t="s">
        <v>16</v>
      </c>
      <c r="AK33" s="202">
        <v>3</v>
      </c>
      <c r="AL33" s="202">
        <v>12</v>
      </c>
      <c r="AM33" s="202">
        <v>0</v>
      </c>
      <c r="AN33" s="202">
        <v>3</v>
      </c>
      <c r="AO33" s="202">
        <v>8</v>
      </c>
    </row>
    <row r="34" spans="10:41" ht="16.5" customHeight="1">
      <c r="J34" s="23">
        <v>30</v>
      </c>
      <c r="K34" s="196" t="s">
        <v>31</v>
      </c>
      <c r="L34" s="196" t="s">
        <v>28</v>
      </c>
      <c r="M34" s="196" t="s">
        <v>81</v>
      </c>
      <c r="N34" s="196" t="s">
        <v>13</v>
      </c>
      <c r="O34" s="196" t="s">
        <v>97</v>
      </c>
      <c r="Q34" s="195">
        <v>7</v>
      </c>
      <c r="R34" s="195">
        <v>9</v>
      </c>
      <c r="S34" s="195">
        <v>13</v>
      </c>
      <c r="T34" s="195">
        <v>5</v>
      </c>
      <c r="U34" s="195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6" t="s">
        <v>12</v>
      </c>
      <c r="AD34" s="202">
        <v>7</v>
      </c>
      <c r="AE34" s="202">
        <v>13</v>
      </c>
      <c r="AF34" s="202">
        <v>0</v>
      </c>
      <c r="AG34" s="202">
        <v>7</v>
      </c>
      <c r="AH34" s="202">
        <v>14</v>
      </c>
      <c r="AI34" s="5"/>
      <c r="AJ34" s="136" t="s">
        <v>12</v>
      </c>
      <c r="AK34" s="202">
        <v>7</v>
      </c>
      <c r="AL34" s="202">
        <v>13</v>
      </c>
      <c r="AM34" s="202">
        <v>0</v>
      </c>
      <c r="AN34" s="202">
        <v>7</v>
      </c>
      <c r="AO34" s="202">
        <v>14</v>
      </c>
    </row>
    <row r="35" spans="10:41" ht="16.5" customHeight="1">
      <c r="J35" s="195">
        <v>31</v>
      </c>
      <c r="K35" s="196" t="s">
        <v>29</v>
      </c>
      <c r="L35" s="196" t="s">
        <v>95</v>
      </c>
      <c r="M35" s="196" t="s">
        <v>98</v>
      </c>
      <c r="N35" s="196" t="s">
        <v>98</v>
      </c>
      <c r="O35" s="196" t="s">
        <v>31</v>
      </c>
      <c r="Q35" s="195">
        <v>8</v>
      </c>
      <c r="R35" s="195">
        <v>17</v>
      </c>
      <c r="S35" s="195">
        <v>15</v>
      </c>
      <c r="T35" s="195">
        <v>15</v>
      </c>
      <c r="U35" s="195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6" t="s">
        <v>13</v>
      </c>
      <c r="AD35" s="202">
        <v>43</v>
      </c>
      <c r="AE35" s="202">
        <v>22</v>
      </c>
      <c r="AF35" s="202">
        <v>0</v>
      </c>
      <c r="AG35" s="202">
        <v>31</v>
      </c>
      <c r="AH35" s="202">
        <v>36</v>
      </c>
      <c r="AI35" s="5"/>
      <c r="AJ35" s="136" t="s">
        <v>13</v>
      </c>
      <c r="AK35" s="202">
        <v>43</v>
      </c>
      <c r="AL35" s="202">
        <v>22</v>
      </c>
      <c r="AM35" s="202">
        <v>0</v>
      </c>
      <c r="AN35" s="202">
        <v>31</v>
      </c>
      <c r="AO35" s="202">
        <v>36</v>
      </c>
    </row>
    <row r="36" spans="10:41" ht="16.5" customHeight="1">
      <c r="J36" s="23">
        <v>32</v>
      </c>
      <c r="K36" s="196" t="s">
        <v>31</v>
      </c>
      <c r="L36" s="196" t="s">
        <v>31</v>
      </c>
      <c r="M36" s="196" t="s">
        <v>95</v>
      </c>
      <c r="N36" s="196" t="s">
        <v>29</v>
      </c>
      <c r="O36" s="196" t="s">
        <v>28</v>
      </c>
      <c r="Q36" s="195">
        <v>7</v>
      </c>
      <c r="R36" s="195">
        <v>7</v>
      </c>
      <c r="S36" s="195">
        <v>17</v>
      </c>
      <c r="T36" s="195">
        <v>8</v>
      </c>
      <c r="U36" s="195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6" t="s">
        <v>97</v>
      </c>
      <c r="AD36" s="202">
        <v>42</v>
      </c>
      <c r="AE36" s="202">
        <v>22</v>
      </c>
      <c r="AF36" s="202">
        <v>0</v>
      </c>
      <c r="AG36" s="202">
        <v>27</v>
      </c>
      <c r="AH36" s="202">
        <v>34</v>
      </c>
      <c r="AI36" s="5"/>
      <c r="AJ36" s="136" t="s">
        <v>97</v>
      </c>
      <c r="AK36" s="202">
        <v>42</v>
      </c>
      <c r="AL36" s="202">
        <v>22</v>
      </c>
      <c r="AM36" s="202">
        <v>0</v>
      </c>
      <c r="AN36" s="202">
        <v>27</v>
      </c>
      <c r="AO36" s="202">
        <v>34</v>
      </c>
    </row>
    <row r="37" spans="10:41" ht="16.5" customHeight="1">
      <c r="J37" s="195">
        <v>33</v>
      </c>
      <c r="K37" s="196" t="s">
        <v>97</v>
      </c>
      <c r="L37" s="196" t="s">
        <v>13</v>
      </c>
      <c r="M37" s="196" t="s">
        <v>83</v>
      </c>
      <c r="N37" s="196" t="s">
        <v>13</v>
      </c>
      <c r="O37" s="196" t="s">
        <v>30</v>
      </c>
      <c r="Q37" s="195">
        <v>6</v>
      </c>
      <c r="R37" s="195">
        <v>5</v>
      </c>
      <c r="S37" s="195">
        <v>16</v>
      </c>
      <c r="T37" s="195">
        <v>5</v>
      </c>
      <c r="U37" s="195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6" t="s">
        <v>31</v>
      </c>
      <c r="AD37" s="202">
        <v>43</v>
      </c>
      <c r="AE37" s="202">
        <v>27</v>
      </c>
      <c r="AF37" s="202">
        <v>0</v>
      </c>
      <c r="AG37" s="202">
        <v>31</v>
      </c>
      <c r="AH37" s="202">
        <v>35</v>
      </c>
      <c r="AI37" s="5"/>
      <c r="AJ37" s="136" t="s">
        <v>31</v>
      </c>
      <c r="AK37" s="202">
        <v>43</v>
      </c>
      <c r="AL37" s="202">
        <v>27</v>
      </c>
      <c r="AM37" s="202">
        <v>0</v>
      </c>
      <c r="AN37" s="202">
        <v>31</v>
      </c>
      <c r="AO37" s="202">
        <v>35</v>
      </c>
    </row>
    <row r="38" spans="10:41" ht="16.5" customHeight="1">
      <c r="J38" s="23">
        <v>34</v>
      </c>
      <c r="K38" s="196" t="s">
        <v>13</v>
      </c>
      <c r="L38" s="196" t="s">
        <v>12</v>
      </c>
      <c r="M38" s="196" t="s">
        <v>98</v>
      </c>
      <c r="N38" s="196" t="s">
        <v>31</v>
      </c>
      <c r="O38" s="196" t="s">
        <v>31</v>
      </c>
      <c r="Q38" s="195">
        <v>5</v>
      </c>
      <c r="R38" s="195">
        <v>4</v>
      </c>
      <c r="S38" s="195">
        <v>15</v>
      </c>
      <c r="T38" s="195">
        <v>7</v>
      </c>
      <c r="U38" s="195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6" t="s">
        <v>29</v>
      </c>
      <c r="AD38" s="202">
        <v>43</v>
      </c>
      <c r="AE38" s="202">
        <v>24</v>
      </c>
      <c r="AF38" s="202">
        <v>0</v>
      </c>
      <c r="AG38" s="202">
        <v>32</v>
      </c>
      <c r="AH38" s="202">
        <v>34</v>
      </c>
      <c r="AI38" s="5"/>
      <c r="AJ38" s="136" t="s">
        <v>29</v>
      </c>
      <c r="AK38" s="202">
        <v>43</v>
      </c>
      <c r="AL38" s="202">
        <v>24</v>
      </c>
      <c r="AM38" s="202">
        <v>0</v>
      </c>
      <c r="AN38" s="202">
        <v>32</v>
      </c>
      <c r="AO38" s="202">
        <v>34</v>
      </c>
    </row>
    <row r="39" spans="10:41" ht="16.5" customHeight="1">
      <c r="J39" s="195">
        <v>35</v>
      </c>
      <c r="K39" s="196" t="s">
        <v>29</v>
      </c>
      <c r="L39" s="196" t="s">
        <v>16</v>
      </c>
      <c r="M39" s="196" t="s">
        <v>83</v>
      </c>
      <c r="N39" s="196" t="s">
        <v>95</v>
      </c>
      <c r="O39" s="196" t="s">
        <v>13</v>
      </c>
      <c r="Q39" s="195">
        <v>8</v>
      </c>
      <c r="R39" s="195">
        <v>3</v>
      </c>
      <c r="S39" s="195">
        <v>16</v>
      </c>
      <c r="T39" s="195">
        <v>17</v>
      </c>
      <c r="U39" s="195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6" t="s">
        <v>28</v>
      </c>
      <c r="AD39" s="202">
        <v>7</v>
      </c>
      <c r="AE39" s="202">
        <v>12</v>
      </c>
      <c r="AF39" s="202">
        <v>0</v>
      </c>
      <c r="AG39" s="202">
        <v>6</v>
      </c>
      <c r="AH39" s="202">
        <v>13</v>
      </c>
      <c r="AI39" s="5"/>
      <c r="AJ39" s="136" t="s">
        <v>28</v>
      </c>
      <c r="AK39" s="202">
        <v>7</v>
      </c>
      <c r="AL39" s="202">
        <v>12</v>
      </c>
      <c r="AM39" s="202">
        <v>0</v>
      </c>
      <c r="AN39" s="202">
        <v>6</v>
      </c>
      <c r="AO39" s="202">
        <v>13</v>
      </c>
    </row>
    <row r="40" spans="10:41" ht="16.5" customHeight="1">
      <c r="J40" s="23">
        <v>36</v>
      </c>
      <c r="K40" s="196" t="s">
        <v>97</v>
      </c>
      <c r="L40" s="196" t="s">
        <v>14</v>
      </c>
      <c r="M40" s="196" t="s">
        <v>95</v>
      </c>
      <c r="N40" s="196" t="s">
        <v>30</v>
      </c>
      <c r="O40" s="196" t="s">
        <v>97</v>
      </c>
      <c r="Q40" s="195">
        <v>6</v>
      </c>
      <c r="R40" s="195">
        <v>1</v>
      </c>
      <c r="S40" s="195">
        <v>17</v>
      </c>
      <c r="T40" s="195">
        <v>10</v>
      </c>
      <c r="U40" s="195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6" t="s">
        <v>30</v>
      </c>
      <c r="AD40" s="202">
        <v>7</v>
      </c>
      <c r="AE40" s="202">
        <v>8</v>
      </c>
      <c r="AF40" s="202">
        <v>0</v>
      </c>
      <c r="AG40" s="202">
        <v>7</v>
      </c>
      <c r="AH40" s="202">
        <v>14</v>
      </c>
      <c r="AI40" s="5"/>
      <c r="AJ40" s="136" t="s">
        <v>30</v>
      </c>
      <c r="AK40" s="202">
        <v>7</v>
      </c>
      <c r="AL40" s="202">
        <v>8</v>
      </c>
      <c r="AM40" s="202">
        <v>0</v>
      </c>
      <c r="AN40" s="202">
        <v>7</v>
      </c>
      <c r="AO40" s="202">
        <v>14</v>
      </c>
    </row>
    <row r="41" spans="10:41" ht="16.5" customHeight="1">
      <c r="J41" s="195">
        <v>37</v>
      </c>
      <c r="K41" s="196" t="s">
        <v>29</v>
      </c>
      <c r="L41" s="196" t="s">
        <v>98</v>
      </c>
      <c r="M41" s="196" t="s">
        <v>98</v>
      </c>
      <c r="N41" s="196" t="s">
        <v>97</v>
      </c>
      <c r="O41" s="196" t="s">
        <v>12</v>
      </c>
      <c r="Q41" s="195">
        <v>8</v>
      </c>
      <c r="R41" s="195">
        <v>15</v>
      </c>
      <c r="S41" s="195">
        <v>15</v>
      </c>
      <c r="T41" s="195">
        <v>6</v>
      </c>
      <c r="U41" s="195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201" t="s">
        <v>79</v>
      </c>
      <c r="AD41" s="203">
        <v>0</v>
      </c>
      <c r="AE41" s="203">
        <v>3</v>
      </c>
      <c r="AF41" s="203">
        <v>3</v>
      </c>
      <c r="AG41" s="203">
        <v>2</v>
      </c>
      <c r="AH41" s="203">
        <v>0</v>
      </c>
      <c r="AI41" s="5"/>
      <c r="AJ41" s="201" t="s">
        <v>79</v>
      </c>
      <c r="AK41" s="203">
        <v>0</v>
      </c>
      <c r="AL41" s="203">
        <v>3</v>
      </c>
      <c r="AM41" s="203">
        <v>3</v>
      </c>
      <c r="AN41" s="203">
        <v>2</v>
      </c>
      <c r="AO41" s="203">
        <v>0</v>
      </c>
    </row>
    <row r="42" spans="10:41" ht="16.5" customHeight="1">
      <c r="J42" s="23">
        <v>38</v>
      </c>
      <c r="K42" s="196" t="s">
        <v>13</v>
      </c>
      <c r="L42" s="196" t="s">
        <v>13</v>
      </c>
      <c r="M42" s="196" t="s">
        <v>88</v>
      </c>
      <c r="N42" s="196" t="s">
        <v>12</v>
      </c>
      <c r="O42" s="196" t="s">
        <v>28</v>
      </c>
      <c r="Q42" s="195">
        <v>5</v>
      </c>
      <c r="R42" s="195">
        <v>5</v>
      </c>
      <c r="S42" s="195">
        <v>19</v>
      </c>
      <c r="T42" s="195">
        <v>4</v>
      </c>
      <c r="U42" s="195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201" t="s">
        <v>80</v>
      </c>
      <c r="AD42" s="203">
        <v>0</v>
      </c>
      <c r="AE42" s="203">
        <v>4</v>
      </c>
      <c r="AF42" s="203">
        <v>1</v>
      </c>
      <c r="AG42" s="203">
        <v>2</v>
      </c>
      <c r="AH42" s="203">
        <v>0</v>
      </c>
      <c r="AI42" s="5"/>
      <c r="AJ42" s="201" t="s">
        <v>80</v>
      </c>
      <c r="AK42" s="203">
        <v>0</v>
      </c>
      <c r="AL42" s="203">
        <v>4</v>
      </c>
      <c r="AM42" s="203">
        <v>1</v>
      </c>
      <c r="AN42" s="203">
        <v>2</v>
      </c>
      <c r="AO42" s="203">
        <v>0</v>
      </c>
    </row>
    <row r="43" spans="10:41" ht="16.5" customHeight="1">
      <c r="J43" s="195">
        <v>39</v>
      </c>
      <c r="K43" s="196" t="s">
        <v>29</v>
      </c>
      <c r="L43" s="196" t="s">
        <v>97</v>
      </c>
      <c r="M43" s="196" t="s">
        <v>79</v>
      </c>
      <c r="N43" s="196" t="s">
        <v>97</v>
      </c>
      <c r="O43" s="196" t="s">
        <v>31</v>
      </c>
      <c r="Q43" s="195">
        <v>8</v>
      </c>
      <c r="R43" s="195">
        <v>6</v>
      </c>
      <c r="S43" s="195">
        <v>11</v>
      </c>
      <c r="T43" s="195">
        <v>6</v>
      </c>
      <c r="U43" s="195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201" t="s">
        <v>81</v>
      </c>
      <c r="AD43" s="203">
        <v>0</v>
      </c>
      <c r="AE43" s="203">
        <v>4</v>
      </c>
      <c r="AF43" s="203">
        <v>8</v>
      </c>
      <c r="AG43" s="203">
        <v>3</v>
      </c>
      <c r="AH43" s="203">
        <v>0</v>
      </c>
      <c r="AI43" s="5"/>
      <c r="AJ43" s="201" t="s">
        <v>81</v>
      </c>
      <c r="AK43" s="203">
        <v>0</v>
      </c>
      <c r="AL43" s="203">
        <v>4</v>
      </c>
      <c r="AM43" s="203">
        <v>8</v>
      </c>
      <c r="AN43" s="203">
        <v>3</v>
      </c>
      <c r="AO43" s="203">
        <v>0</v>
      </c>
    </row>
    <row r="44" spans="10:41" ht="16.5" customHeight="1">
      <c r="J44" s="23">
        <v>40</v>
      </c>
      <c r="K44" s="196" t="s">
        <v>97</v>
      </c>
      <c r="L44" s="196" t="s">
        <v>30</v>
      </c>
      <c r="M44" s="196" t="s">
        <v>82</v>
      </c>
      <c r="N44" s="196" t="s">
        <v>29</v>
      </c>
      <c r="O44" s="196" t="s">
        <v>28</v>
      </c>
      <c r="Q44" s="195">
        <v>6</v>
      </c>
      <c r="R44" s="195">
        <v>10</v>
      </c>
      <c r="S44" s="195">
        <v>14</v>
      </c>
      <c r="T44" s="195">
        <v>8</v>
      </c>
      <c r="U44" s="195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201" t="s">
        <v>82</v>
      </c>
      <c r="AD44" s="203">
        <v>0</v>
      </c>
      <c r="AE44" s="203">
        <v>9</v>
      </c>
      <c r="AF44" s="203">
        <v>43</v>
      </c>
      <c r="AG44" s="203">
        <v>12</v>
      </c>
      <c r="AH44" s="203">
        <v>0</v>
      </c>
      <c r="AI44" s="5"/>
      <c r="AJ44" s="201" t="s">
        <v>82</v>
      </c>
      <c r="AK44" s="203">
        <v>0</v>
      </c>
      <c r="AL44" s="203">
        <v>9</v>
      </c>
      <c r="AM44" s="203">
        <v>43</v>
      </c>
      <c r="AN44" s="203">
        <v>12</v>
      </c>
      <c r="AO44" s="203">
        <v>0</v>
      </c>
    </row>
    <row r="45" spans="10:41" ht="16.5" customHeight="1">
      <c r="J45" s="195">
        <v>41</v>
      </c>
      <c r="K45" s="196" t="s">
        <v>31</v>
      </c>
      <c r="L45" s="196" t="s">
        <v>16</v>
      </c>
      <c r="M45" s="196" t="s">
        <v>83</v>
      </c>
      <c r="N45" s="196" t="s">
        <v>13</v>
      </c>
      <c r="O45" s="196" t="s">
        <v>13</v>
      </c>
      <c r="Q45" s="195">
        <v>7</v>
      </c>
      <c r="R45" s="195">
        <v>3</v>
      </c>
      <c r="S45" s="195">
        <v>16</v>
      </c>
      <c r="T45" s="195">
        <v>5</v>
      </c>
      <c r="U45" s="195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201" t="s">
        <v>98</v>
      </c>
      <c r="AD45" s="203">
        <v>0</v>
      </c>
      <c r="AE45" s="203">
        <v>9</v>
      </c>
      <c r="AF45" s="203">
        <v>42</v>
      </c>
      <c r="AG45" s="203">
        <v>13</v>
      </c>
      <c r="AH45" s="203">
        <v>0</v>
      </c>
      <c r="AI45" s="5"/>
      <c r="AJ45" s="201" t="s">
        <v>98</v>
      </c>
      <c r="AK45" s="203">
        <v>0</v>
      </c>
      <c r="AL45" s="203">
        <v>9</v>
      </c>
      <c r="AM45" s="203">
        <v>42</v>
      </c>
      <c r="AN45" s="203">
        <v>13</v>
      </c>
      <c r="AO45" s="203">
        <v>0</v>
      </c>
    </row>
    <row r="46" spans="10:41" ht="16.5" customHeight="1">
      <c r="J46" s="23">
        <v>42</v>
      </c>
      <c r="K46" s="196" t="s">
        <v>13</v>
      </c>
      <c r="L46" s="196" t="s">
        <v>31</v>
      </c>
      <c r="M46" s="196" t="s">
        <v>95</v>
      </c>
      <c r="N46" s="196" t="s">
        <v>97</v>
      </c>
      <c r="O46" s="196" t="s">
        <v>29</v>
      </c>
      <c r="Q46" s="195">
        <v>5</v>
      </c>
      <c r="R46" s="195">
        <v>7</v>
      </c>
      <c r="S46" s="195">
        <v>17</v>
      </c>
      <c r="T46" s="195">
        <v>6</v>
      </c>
      <c r="U46" s="195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201" t="s">
        <v>83</v>
      </c>
      <c r="AD46" s="203">
        <v>0</v>
      </c>
      <c r="AE46" s="203">
        <v>11</v>
      </c>
      <c r="AF46" s="203">
        <v>42</v>
      </c>
      <c r="AG46" s="203">
        <v>11</v>
      </c>
      <c r="AH46" s="203">
        <v>0</v>
      </c>
      <c r="AI46" s="5"/>
      <c r="AJ46" s="201" t="s">
        <v>83</v>
      </c>
      <c r="AK46" s="203">
        <v>0</v>
      </c>
      <c r="AL46" s="203">
        <v>11</v>
      </c>
      <c r="AM46" s="203">
        <v>42</v>
      </c>
      <c r="AN46" s="203">
        <v>11</v>
      </c>
      <c r="AO46" s="203">
        <v>0</v>
      </c>
    </row>
    <row r="47" spans="10:41" ht="16.5" customHeight="1">
      <c r="J47" s="195">
        <v>43</v>
      </c>
      <c r="K47" s="196" t="s">
        <v>29</v>
      </c>
      <c r="L47" s="196" t="s">
        <v>30</v>
      </c>
      <c r="M47" s="196" t="s">
        <v>83</v>
      </c>
      <c r="N47" s="196" t="s">
        <v>30</v>
      </c>
      <c r="O47" s="196" t="s">
        <v>13</v>
      </c>
      <c r="Q47" s="195">
        <v>8</v>
      </c>
      <c r="R47" s="195">
        <v>10</v>
      </c>
      <c r="S47" s="195">
        <v>16</v>
      </c>
      <c r="T47" s="195">
        <v>10</v>
      </c>
      <c r="U47" s="195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201" t="s">
        <v>95</v>
      </c>
      <c r="AD47" s="203">
        <v>0</v>
      </c>
      <c r="AE47" s="203">
        <v>10</v>
      </c>
      <c r="AF47" s="203">
        <v>44</v>
      </c>
      <c r="AG47" s="203">
        <v>11</v>
      </c>
      <c r="AH47" s="203">
        <v>0</v>
      </c>
      <c r="AI47" s="5"/>
      <c r="AJ47" s="201" t="s">
        <v>95</v>
      </c>
      <c r="AK47" s="203">
        <v>0</v>
      </c>
      <c r="AL47" s="203">
        <v>10</v>
      </c>
      <c r="AM47" s="203">
        <v>44</v>
      </c>
      <c r="AN47" s="203">
        <v>11</v>
      </c>
      <c r="AO47" s="203">
        <v>0</v>
      </c>
    </row>
    <row r="48" spans="10:41" ht="16.5" customHeight="1">
      <c r="J48" s="23">
        <v>44</v>
      </c>
      <c r="K48" s="196" t="s">
        <v>31</v>
      </c>
      <c r="L48" s="196" t="s">
        <v>97</v>
      </c>
      <c r="M48" s="196" t="s">
        <v>98</v>
      </c>
      <c r="N48" s="196" t="s">
        <v>29</v>
      </c>
      <c r="O48" s="196" t="s">
        <v>29</v>
      </c>
      <c r="Q48" s="195">
        <v>7</v>
      </c>
      <c r="R48" s="195">
        <v>6</v>
      </c>
      <c r="S48" s="195">
        <v>15</v>
      </c>
      <c r="T48" s="195">
        <v>8</v>
      </c>
      <c r="U48" s="195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201" t="s">
        <v>86</v>
      </c>
      <c r="AD48" s="203">
        <v>0</v>
      </c>
      <c r="AE48" s="203">
        <v>4</v>
      </c>
      <c r="AF48" s="203">
        <v>6</v>
      </c>
      <c r="AG48" s="203">
        <v>2</v>
      </c>
      <c r="AH48" s="203">
        <v>0</v>
      </c>
      <c r="AI48" s="5"/>
      <c r="AJ48" s="201" t="s">
        <v>86</v>
      </c>
      <c r="AK48" s="203">
        <v>0</v>
      </c>
      <c r="AL48" s="203">
        <v>4</v>
      </c>
      <c r="AM48" s="203">
        <v>6</v>
      </c>
      <c r="AN48" s="203">
        <v>2</v>
      </c>
      <c r="AO48" s="203">
        <v>0</v>
      </c>
    </row>
    <row r="49" spans="10:41" ht="16.5" customHeight="1">
      <c r="J49" s="195">
        <v>45</v>
      </c>
      <c r="K49" s="196" t="s">
        <v>97</v>
      </c>
      <c r="L49" s="196" t="s">
        <v>13</v>
      </c>
      <c r="M49" s="196" t="s">
        <v>82</v>
      </c>
      <c r="N49" s="196" t="s">
        <v>97</v>
      </c>
      <c r="O49" s="196" t="s">
        <v>30</v>
      </c>
      <c r="Q49" s="195">
        <v>6</v>
      </c>
      <c r="R49" s="195">
        <v>5</v>
      </c>
      <c r="S49" s="195">
        <v>14</v>
      </c>
      <c r="T49" s="195">
        <v>6</v>
      </c>
      <c r="U49" s="195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201" t="s">
        <v>88</v>
      </c>
      <c r="AD49" s="203">
        <v>0</v>
      </c>
      <c r="AE49" s="203">
        <v>3</v>
      </c>
      <c r="AF49" s="203">
        <v>9</v>
      </c>
      <c r="AG49" s="203">
        <v>3</v>
      </c>
      <c r="AH49" s="203">
        <v>0</v>
      </c>
      <c r="AI49" s="5"/>
      <c r="AJ49" s="201" t="s">
        <v>88</v>
      </c>
      <c r="AK49" s="203">
        <v>0</v>
      </c>
      <c r="AL49" s="203">
        <v>3</v>
      </c>
      <c r="AM49" s="203">
        <v>9</v>
      </c>
      <c r="AN49" s="203">
        <v>3</v>
      </c>
      <c r="AO49" s="203">
        <v>0</v>
      </c>
    </row>
    <row r="50" spans="10:41" ht="16.5" customHeight="1">
      <c r="J50" s="23">
        <v>46</v>
      </c>
      <c r="K50" s="196" t="s">
        <v>29</v>
      </c>
      <c r="L50" s="196" t="s">
        <v>28</v>
      </c>
      <c r="M50" s="196" t="s">
        <v>88</v>
      </c>
      <c r="N50" s="196" t="s">
        <v>83</v>
      </c>
      <c r="O50" s="196" t="s">
        <v>13</v>
      </c>
      <c r="Q50" s="195">
        <v>8</v>
      </c>
      <c r="R50" s="195">
        <v>9</v>
      </c>
      <c r="S50" s="195">
        <v>19</v>
      </c>
      <c r="T50" s="195">
        <v>16</v>
      </c>
      <c r="U50" s="195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5">
        <v>47</v>
      </c>
      <c r="K51" s="196" t="s">
        <v>13</v>
      </c>
      <c r="L51" s="196" t="s">
        <v>97</v>
      </c>
      <c r="M51" s="196" t="s">
        <v>83</v>
      </c>
      <c r="N51" s="196" t="s">
        <v>29</v>
      </c>
      <c r="O51" s="196" t="s">
        <v>97</v>
      </c>
      <c r="Q51" s="195">
        <v>5</v>
      </c>
      <c r="R51" s="195">
        <v>6</v>
      </c>
      <c r="S51" s="195">
        <v>16</v>
      </c>
      <c r="T51" s="195">
        <v>8</v>
      </c>
      <c r="U51" s="195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6" t="s">
        <v>30</v>
      </c>
      <c r="L52" s="196" t="s">
        <v>16</v>
      </c>
      <c r="M52" s="196" t="s">
        <v>95</v>
      </c>
      <c r="N52" s="196" t="s">
        <v>82</v>
      </c>
      <c r="O52" s="196" t="s">
        <v>12</v>
      </c>
      <c r="Q52" s="195">
        <v>10</v>
      </c>
      <c r="R52" s="195">
        <v>3</v>
      </c>
      <c r="S52" s="195">
        <v>17</v>
      </c>
      <c r="T52" s="195">
        <v>14</v>
      </c>
      <c r="U52" s="195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309</v>
      </c>
      <c r="AH52" s="5"/>
      <c r="AI52" s="5"/>
      <c r="AJ52" s="25" t="s">
        <v>309</v>
      </c>
      <c r="AO52" s="5"/>
    </row>
    <row r="53" spans="10:41" ht="16.5" customHeight="1">
      <c r="J53" s="195">
        <v>49</v>
      </c>
      <c r="K53" s="196" t="s">
        <v>29</v>
      </c>
      <c r="L53" s="196" t="s">
        <v>31</v>
      </c>
      <c r="M53" s="196" t="s">
        <v>98</v>
      </c>
      <c r="N53" s="196" t="s">
        <v>98</v>
      </c>
      <c r="O53" s="196" t="s">
        <v>31</v>
      </c>
      <c r="Q53" s="195">
        <v>8</v>
      </c>
      <c r="R53" s="195">
        <v>7</v>
      </c>
      <c r="S53" s="195">
        <v>15</v>
      </c>
      <c r="T53" s="195">
        <v>15</v>
      </c>
      <c r="U53" s="195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2" t="s">
        <v>36</v>
      </c>
      <c r="AD53" s="122" t="s">
        <v>7</v>
      </c>
      <c r="AE53" s="122" t="s">
        <v>8</v>
      </c>
      <c r="AF53" s="122" t="s">
        <v>9</v>
      </c>
      <c r="AG53" s="122" t="s">
        <v>10</v>
      </c>
      <c r="AH53" s="122" t="s">
        <v>11</v>
      </c>
      <c r="AI53" s="5"/>
      <c r="AJ53" s="122" t="s">
        <v>36</v>
      </c>
      <c r="AK53" s="122" t="s">
        <v>7</v>
      </c>
      <c r="AL53" s="122" t="s">
        <v>8</v>
      </c>
      <c r="AM53" s="122" t="s">
        <v>9</v>
      </c>
      <c r="AN53" s="122" t="s">
        <v>10</v>
      </c>
      <c r="AO53" s="122" t="s">
        <v>11</v>
      </c>
    </row>
    <row r="54" spans="10:41" ht="16.5" customHeight="1">
      <c r="J54" s="23">
        <v>50</v>
      </c>
      <c r="K54" s="196" t="s">
        <v>28</v>
      </c>
      <c r="L54" s="196" t="s">
        <v>98</v>
      </c>
      <c r="M54" s="196" t="s">
        <v>81</v>
      </c>
      <c r="N54" s="196" t="s">
        <v>95</v>
      </c>
      <c r="O54" s="196" t="s">
        <v>15</v>
      </c>
      <c r="Q54" s="195">
        <v>9</v>
      </c>
      <c r="R54" s="195">
        <v>15</v>
      </c>
      <c r="S54" s="195">
        <v>13</v>
      </c>
      <c r="T54" s="195">
        <v>17</v>
      </c>
      <c r="U54" s="195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201" t="s">
        <v>306</v>
      </c>
      <c r="AD54" s="126">
        <v>0</v>
      </c>
      <c r="AE54" s="126">
        <v>0</v>
      </c>
      <c r="AF54" s="126">
        <v>0</v>
      </c>
      <c r="AG54" s="126">
        <v>0</v>
      </c>
      <c r="AH54" s="126">
        <v>0</v>
      </c>
      <c r="AI54" s="5"/>
      <c r="AJ54" s="201" t="s">
        <v>306</v>
      </c>
      <c r="AK54" s="126">
        <v>0</v>
      </c>
      <c r="AL54" s="126">
        <v>0</v>
      </c>
      <c r="AM54" s="126">
        <v>0</v>
      </c>
      <c r="AN54" s="126">
        <v>0</v>
      </c>
      <c r="AO54" s="126">
        <v>0</v>
      </c>
    </row>
    <row r="55" spans="10:41" ht="16.5" customHeight="1">
      <c r="J55" s="195">
        <v>51</v>
      </c>
      <c r="K55" s="196" t="s">
        <v>13</v>
      </c>
      <c r="L55" s="196" t="s">
        <v>16</v>
      </c>
      <c r="M55" s="196" t="s">
        <v>82</v>
      </c>
      <c r="N55" s="196" t="s">
        <v>97</v>
      </c>
      <c r="O55" s="196" t="s">
        <v>97</v>
      </c>
      <c r="Q55" s="195">
        <v>5</v>
      </c>
      <c r="R55" s="195">
        <v>3</v>
      </c>
      <c r="S55" s="195">
        <v>14</v>
      </c>
      <c r="T55" s="195">
        <v>6</v>
      </c>
      <c r="U55" s="195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201" t="s">
        <v>14</v>
      </c>
      <c r="AD55" s="201">
        <v>1</v>
      </c>
      <c r="AE55" s="201">
        <v>1</v>
      </c>
      <c r="AF55" s="201">
        <v>0</v>
      </c>
      <c r="AG55" s="201">
        <v>1</v>
      </c>
      <c r="AH55" s="201">
        <v>1</v>
      </c>
      <c r="AI55" s="5"/>
      <c r="AJ55" s="201" t="s">
        <v>14</v>
      </c>
      <c r="AK55" s="201">
        <v>1</v>
      </c>
      <c r="AL55" s="201">
        <v>1</v>
      </c>
      <c r="AM55" s="201">
        <v>0</v>
      </c>
      <c r="AN55" s="201">
        <v>1</v>
      </c>
      <c r="AO55" s="201">
        <v>1</v>
      </c>
    </row>
    <row r="56" spans="10:41" ht="16.5" customHeight="1">
      <c r="J56" s="23">
        <v>52</v>
      </c>
      <c r="K56" s="196" t="s">
        <v>29</v>
      </c>
      <c r="L56" s="196" t="s">
        <v>13</v>
      </c>
      <c r="M56" s="196" t="s">
        <v>81</v>
      </c>
      <c r="N56" s="196" t="s">
        <v>29</v>
      </c>
      <c r="O56" s="196" t="s">
        <v>31</v>
      </c>
      <c r="Q56" s="195">
        <v>8</v>
      </c>
      <c r="R56" s="195">
        <v>5</v>
      </c>
      <c r="S56" s="195">
        <v>13</v>
      </c>
      <c r="T56" s="195">
        <v>8</v>
      </c>
      <c r="U56" s="195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6" t="s">
        <v>15</v>
      </c>
      <c r="AD56" s="202">
        <v>3</v>
      </c>
      <c r="AE56" s="202">
        <v>10</v>
      </c>
      <c r="AF56" s="202">
        <v>0</v>
      </c>
      <c r="AG56" s="202">
        <v>3</v>
      </c>
      <c r="AH56" s="202">
        <v>9</v>
      </c>
      <c r="AI56" s="5"/>
      <c r="AJ56" s="136" t="s">
        <v>15</v>
      </c>
      <c r="AK56" s="202">
        <v>3</v>
      </c>
      <c r="AL56" s="202">
        <v>10</v>
      </c>
      <c r="AM56" s="202">
        <v>0</v>
      </c>
      <c r="AN56" s="202">
        <v>3</v>
      </c>
      <c r="AO56" s="202">
        <v>9</v>
      </c>
    </row>
    <row r="57" spans="10:41" ht="16.5" customHeight="1">
      <c r="J57" s="195">
        <v>53</v>
      </c>
      <c r="K57" s="196" t="s">
        <v>15</v>
      </c>
      <c r="L57" s="196" t="s">
        <v>79</v>
      </c>
      <c r="M57" s="196" t="s">
        <v>95</v>
      </c>
      <c r="N57" s="196" t="s">
        <v>83</v>
      </c>
      <c r="O57" s="196" t="s">
        <v>13</v>
      </c>
      <c r="Q57" s="195">
        <v>2</v>
      </c>
      <c r="R57" s="195">
        <v>11</v>
      </c>
      <c r="S57" s="195">
        <v>17</v>
      </c>
      <c r="T57" s="195">
        <v>16</v>
      </c>
      <c r="U57" s="195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6" t="s">
        <v>16</v>
      </c>
      <c r="AD57" s="202">
        <v>3</v>
      </c>
      <c r="AE57" s="202">
        <v>12</v>
      </c>
      <c r="AF57" s="202">
        <v>0</v>
      </c>
      <c r="AG57" s="202">
        <v>3</v>
      </c>
      <c r="AH57" s="202">
        <v>8</v>
      </c>
      <c r="AI57" s="5"/>
      <c r="AJ57" s="136" t="s">
        <v>16</v>
      </c>
      <c r="AK57" s="202">
        <v>3</v>
      </c>
      <c r="AL57" s="202">
        <v>12</v>
      </c>
      <c r="AM57" s="202">
        <v>0</v>
      </c>
      <c r="AN57" s="202">
        <v>3</v>
      </c>
      <c r="AO57" s="202">
        <v>8</v>
      </c>
    </row>
    <row r="58" spans="10:41" ht="16.5" customHeight="1">
      <c r="J58" s="23">
        <v>54</v>
      </c>
      <c r="K58" s="196" t="s">
        <v>29</v>
      </c>
      <c r="L58" s="196" t="s">
        <v>14</v>
      </c>
      <c r="M58" s="196" t="s">
        <v>82</v>
      </c>
      <c r="N58" s="196" t="s">
        <v>95</v>
      </c>
      <c r="O58" s="196" t="s">
        <v>29</v>
      </c>
      <c r="Q58" s="195">
        <v>8</v>
      </c>
      <c r="R58" s="195">
        <v>1</v>
      </c>
      <c r="S58" s="195">
        <v>14</v>
      </c>
      <c r="T58" s="195">
        <v>17</v>
      </c>
      <c r="U58" s="195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6" t="s">
        <v>12</v>
      </c>
      <c r="AD58" s="202">
        <v>7</v>
      </c>
      <c r="AE58" s="202">
        <v>13</v>
      </c>
      <c r="AF58" s="202">
        <v>0</v>
      </c>
      <c r="AG58" s="202">
        <v>7</v>
      </c>
      <c r="AH58" s="202">
        <v>14</v>
      </c>
      <c r="AI58" s="5"/>
      <c r="AJ58" s="136" t="s">
        <v>12</v>
      </c>
      <c r="AK58" s="202">
        <v>7</v>
      </c>
      <c r="AL58" s="202">
        <v>13</v>
      </c>
      <c r="AM58" s="202">
        <v>0</v>
      </c>
      <c r="AN58" s="202">
        <v>7</v>
      </c>
      <c r="AO58" s="202">
        <v>14</v>
      </c>
    </row>
    <row r="59" spans="10:41" ht="16.5" customHeight="1">
      <c r="J59" s="195">
        <v>55</v>
      </c>
      <c r="K59" s="196" t="s">
        <v>97</v>
      </c>
      <c r="L59" s="196" t="s">
        <v>83</v>
      </c>
      <c r="M59" s="196" t="s">
        <v>98</v>
      </c>
      <c r="N59" s="196" t="s">
        <v>29</v>
      </c>
      <c r="O59" s="196" t="s">
        <v>28</v>
      </c>
      <c r="Q59" s="195">
        <v>6</v>
      </c>
      <c r="R59" s="195">
        <v>16</v>
      </c>
      <c r="S59" s="195">
        <v>15</v>
      </c>
      <c r="T59" s="195">
        <v>8</v>
      </c>
      <c r="U59" s="195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6" t="s">
        <v>13</v>
      </c>
      <c r="AD59" s="202">
        <v>43</v>
      </c>
      <c r="AE59" s="202">
        <v>22</v>
      </c>
      <c r="AF59" s="202">
        <v>0</v>
      </c>
      <c r="AG59" s="202">
        <v>31</v>
      </c>
      <c r="AH59" s="202">
        <v>36</v>
      </c>
      <c r="AI59" s="5"/>
      <c r="AJ59" s="136" t="s">
        <v>13</v>
      </c>
      <c r="AK59" s="202">
        <v>43</v>
      </c>
      <c r="AL59" s="202">
        <v>22</v>
      </c>
      <c r="AM59" s="202">
        <v>0</v>
      </c>
      <c r="AN59" s="202">
        <v>31</v>
      </c>
      <c r="AO59" s="202">
        <v>36</v>
      </c>
    </row>
    <row r="60" spans="10:41" ht="16.5" customHeight="1">
      <c r="J60" s="23">
        <v>56</v>
      </c>
      <c r="K60" s="196" t="s">
        <v>12</v>
      </c>
      <c r="L60" s="196" t="s">
        <v>13</v>
      </c>
      <c r="M60" s="196" t="s">
        <v>95</v>
      </c>
      <c r="N60" s="196" t="s">
        <v>97</v>
      </c>
      <c r="O60" s="196" t="s">
        <v>29</v>
      </c>
      <c r="Q60" s="195">
        <v>4</v>
      </c>
      <c r="R60" s="195">
        <v>5</v>
      </c>
      <c r="S60" s="195">
        <v>17</v>
      </c>
      <c r="T60" s="195">
        <v>6</v>
      </c>
      <c r="U60" s="195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6" t="s">
        <v>97</v>
      </c>
      <c r="AD60" s="202">
        <v>42</v>
      </c>
      <c r="AE60" s="202">
        <v>22</v>
      </c>
      <c r="AF60" s="202">
        <v>0</v>
      </c>
      <c r="AG60" s="202">
        <v>27</v>
      </c>
      <c r="AH60" s="202">
        <v>34</v>
      </c>
      <c r="AI60" s="5"/>
      <c r="AJ60" s="136" t="s">
        <v>97</v>
      </c>
      <c r="AK60" s="202">
        <v>42</v>
      </c>
      <c r="AL60" s="202">
        <v>22</v>
      </c>
      <c r="AM60" s="202">
        <v>0</v>
      </c>
      <c r="AN60" s="202">
        <v>27</v>
      </c>
      <c r="AO60" s="202">
        <v>34</v>
      </c>
    </row>
    <row r="61" spans="10:41">
      <c r="J61" s="195">
        <v>57</v>
      </c>
      <c r="K61" s="196" t="s">
        <v>29</v>
      </c>
      <c r="L61" s="196" t="s">
        <v>97</v>
      </c>
      <c r="M61" s="196" t="s">
        <v>98</v>
      </c>
      <c r="N61" s="196" t="s">
        <v>15</v>
      </c>
      <c r="O61" s="196" t="s">
        <v>12</v>
      </c>
      <c r="Q61" s="195">
        <v>8</v>
      </c>
      <c r="R61" s="195">
        <v>6</v>
      </c>
      <c r="S61" s="195">
        <v>15</v>
      </c>
      <c r="T61" s="195">
        <v>2</v>
      </c>
      <c r="U61" s="195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6" t="s">
        <v>31</v>
      </c>
      <c r="AD61" s="202">
        <v>43</v>
      </c>
      <c r="AE61" s="202">
        <v>27</v>
      </c>
      <c r="AF61" s="202">
        <v>0</v>
      </c>
      <c r="AG61" s="202">
        <v>31</v>
      </c>
      <c r="AH61" s="202">
        <v>35</v>
      </c>
      <c r="AI61" s="5"/>
      <c r="AJ61" s="136" t="s">
        <v>31</v>
      </c>
      <c r="AK61" s="202">
        <v>43</v>
      </c>
      <c r="AL61" s="202">
        <v>27</v>
      </c>
      <c r="AM61" s="202">
        <v>0</v>
      </c>
      <c r="AN61" s="202">
        <v>31</v>
      </c>
      <c r="AO61" s="202">
        <v>35</v>
      </c>
    </row>
    <row r="62" spans="10:41">
      <c r="J62" s="23">
        <v>58</v>
      </c>
      <c r="K62" s="196" t="s">
        <v>97</v>
      </c>
      <c r="L62" s="196" t="s">
        <v>82</v>
      </c>
      <c r="M62" s="196" t="s">
        <v>83</v>
      </c>
      <c r="N62" s="196" t="s">
        <v>82</v>
      </c>
      <c r="O62" s="196" t="s">
        <v>30</v>
      </c>
      <c r="Q62" s="195">
        <v>6</v>
      </c>
      <c r="R62" s="195">
        <v>14</v>
      </c>
      <c r="S62" s="195">
        <v>16</v>
      </c>
      <c r="T62" s="195">
        <v>14</v>
      </c>
      <c r="U62" s="195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6" t="s">
        <v>29</v>
      </c>
      <c r="AD62" s="202">
        <v>43</v>
      </c>
      <c r="AE62" s="202">
        <v>24</v>
      </c>
      <c r="AF62" s="202">
        <v>0</v>
      </c>
      <c r="AG62" s="202">
        <v>32</v>
      </c>
      <c r="AH62" s="202">
        <v>34</v>
      </c>
      <c r="AI62" s="5"/>
      <c r="AJ62" s="136" t="s">
        <v>29</v>
      </c>
      <c r="AK62" s="202">
        <v>43</v>
      </c>
      <c r="AL62" s="202">
        <v>24</v>
      </c>
      <c r="AM62" s="202">
        <v>0</v>
      </c>
      <c r="AN62" s="202">
        <v>32</v>
      </c>
      <c r="AO62" s="202">
        <v>34</v>
      </c>
    </row>
    <row r="63" spans="10:41" ht="16.5" customHeight="1">
      <c r="J63" s="195">
        <v>59</v>
      </c>
      <c r="K63" s="196" t="s">
        <v>29</v>
      </c>
      <c r="L63" s="196" t="s">
        <v>15</v>
      </c>
      <c r="M63" s="196" t="s">
        <v>98</v>
      </c>
      <c r="N63" s="196" t="s">
        <v>29</v>
      </c>
      <c r="O63" s="196" t="s">
        <v>12</v>
      </c>
      <c r="Q63" s="195">
        <v>8</v>
      </c>
      <c r="R63" s="195">
        <v>2</v>
      </c>
      <c r="S63" s="195">
        <v>15</v>
      </c>
      <c r="T63" s="195">
        <v>8</v>
      </c>
      <c r="U63" s="195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6" t="s">
        <v>28</v>
      </c>
      <c r="AD63" s="202">
        <v>7</v>
      </c>
      <c r="AE63" s="202">
        <v>12</v>
      </c>
      <c r="AF63" s="202">
        <v>0</v>
      </c>
      <c r="AG63" s="202">
        <v>6</v>
      </c>
      <c r="AH63" s="202">
        <v>13</v>
      </c>
      <c r="AI63" s="5"/>
      <c r="AJ63" s="136" t="s">
        <v>28</v>
      </c>
      <c r="AK63" s="202">
        <v>7</v>
      </c>
      <c r="AL63" s="202">
        <v>12</v>
      </c>
      <c r="AM63" s="202">
        <v>0</v>
      </c>
      <c r="AN63" s="202">
        <v>6</v>
      </c>
      <c r="AO63" s="202">
        <v>13</v>
      </c>
    </row>
    <row r="64" spans="10:41" ht="16.5" customHeight="1">
      <c r="J64" s="23">
        <v>60</v>
      </c>
      <c r="K64" s="196" t="s">
        <v>13</v>
      </c>
      <c r="L64" s="196" t="s">
        <v>80</v>
      </c>
      <c r="M64" s="196" t="s">
        <v>95</v>
      </c>
      <c r="N64" s="196" t="s">
        <v>97</v>
      </c>
      <c r="O64" s="196" t="s">
        <v>31</v>
      </c>
      <c r="Q64" s="195">
        <v>5</v>
      </c>
      <c r="R64" s="195">
        <v>12</v>
      </c>
      <c r="S64" s="195">
        <v>17</v>
      </c>
      <c r="T64" s="195">
        <v>6</v>
      </c>
      <c r="U64" s="195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6" t="s">
        <v>30</v>
      </c>
      <c r="AD64" s="202">
        <v>7</v>
      </c>
      <c r="AE64" s="202">
        <v>8</v>
      </c>
      <c r="AF64" s="202">
        <v>0</v>
      </c>
      <c r="AG64" s="202">
        <v>7</v>
      </c>
      <c r="AH64" s="202">
        <v>14</v>
      </c>
      <c r="AI64" s="5"/>
      <c r="AJ64" s="136" t="s">
        <v>30</v>
      </c>
      <c r="AK64" s="202">
        <v>7</v>
      </c>
      <c r="AL64" s="202">
        <v>8</v>
      </c>
      <c r="AM64" s="202">
        <v>0</v>
      </c>
      <c r="AN64" s="202">
        <v>7</v>
      </c>
      <c r="AO64" s="202">
        <v>14</v>
      </c>
    </row>
    <row r="65" spans="10:41" ht="16.5" customHeight="1">
      <c r="J65" s="195">
        <v>61</v>
      </c>
      <c r="K65" s="196" t="s">
        <v>97</v>
      </c>
      <c r="L65" s="196" t="s">
        <v>97</v>
      </c>
      <c r="M65" s="196" t="s">
        <v>81</v>
      </c>
      <c r="N65" s="196" t="s">
        <v>13</v>
      </c>
      <c r="O65" s="196" t="s">
        <v>29</v>
      </c>
      <c r="Q65" s="195">
        <v>6</v>
      </c>
      <c r="R65" s="195">
        <v>6</v>
      </c>
      <c r="S65" s="195">
        <v>13</v>
      </c>
      <c r="T65" s="195">
        <v>5</v>
      </c>
      <c r="U65" s="195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201" t="s">
        <v>79</v>
      </c>
      <c r="AD65" s="203">
        <v>0</v>
      </c>
      <c r="AE65" s="203">
        <v>3</v>
      </c>
      <c r="AF65" s="203">
        <v>3</v>
      </c>
      <c r="AG65" s="203">
        <v>2</v>
      </c>
      <c r="AH65" s="203">
        <v>0</v>
      </c>
      <c r="AI65" s="5"/>
      <c r="AJ65" s="201" t="s">
        <v>79</v>
      </c>
      <c r="AK65" s="203">
        <v>0</v>
      </c>
      <c r="AL65" s="203">
        <v>3</v>
      </c>
      <c r="AM65" s="203">
        <v>3</v>
      </c>
      <c r="AN65" s="203">
        <v>2</v>
      </c>
      <c r="AO65" s="203">
        <v>0</v>
      </c>
    </row>
    <row r="66" spans="10:41" ht="16.5" customHeight="1">
      <c r="J66" s="23">
        <v>62</v>
      </c>
      <c r="K66" s="196" t="s">
        <v>31</v>
      </c>
      <c r="L66" s="196" t="s">
        <v>86</v>
      </c>
      <c r="M66" s="196" t="s">
        <v>95</v>
      </c>
      <c r="N66" s="196" t="s">
        <v>97</v>
      </c>
      <c r="O66" s="196" t="s">
        <v>97</v>
      </c>
      <c r="Q66" s="195">
        <v>7</v>
      </c>
      <c r="R66" s="195">
        <v>18</v>
      </c>
      <c r="S66" s="195">
        <v>17</v>
      </c>
      <c r="T66" s="195">
        <v>6</v>
      </c>
      <c r="U66" s="195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201" t="s">
        <v>80</v>
      </c>
      <c r="AD66" s="203">
        <v>0</v>
      </c>
      <c r="AE66" s="203">
        <v>4</v>
      </c>
      <c r="AF66" s="203">
        <v>1</v>
      </c>
      <c r="AG66" s="203">
        <v>2</v>
      </c>
      <c r="AH66" s="203">
        <v>0</v>
      </c>
      <c r="AI66" s="5"/>
      <c r="AJ66" s="201" t="s">
        <v>80</v>
      </c>
      <c r="AK66" s="203">
        <v>0</v>
      </c>
      <c r="AL66" s="203">
        <v>4</v>
      </c>
      <c r="AM66" s="203">
        <v>1</v>
      </c>
      <c r="AN66" s="203">
        <v>2</v>
      </c>
      <c r="AO66" s="203">
        <v>0</v>
      </c>
    </row>
    <row r="67" spans="10:41" ht="16.5" customHeight="1">
      <c r="J67" s="195">
        <v>63</v>
      </c>
      <c r="K67" s="196" t="s">
        <v>13</v>
      </c>
      <c r="L67" s="196" t="s">
        <v>12</v>
      </c>
      <c r="M67" s="196" t="s">
        <v>83</v>
      </c>
      <c r="N67" s="196" t="s">
        <v>29</v>
      </c>
      <c r="O67" s="196" t="s">
        <v>29</v>
      </c>
      <c r="Q67" s="195">
        <v>5</v>
      </c>
      <c r="R67" s="195">
        <v>4</v>
      </c>
      <c r="S67" s="195">
        <v>16</v>
      </c>
      <c r="T67" s="195">
        <v>8</v>
      </c>
      <c r="U67" s="195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201" t="s">
        <v>81</v>
      </c>
      <c r="AD67" s="203">
        <v>0</v>
      </c>
      <c r="AE67" s="203">
        <v>4</v>
      </c>
      <c r="AF67" s="203">
        <v>8</v>
      </c>
      <c r="AG67" s="203">
        <v>3</v>
      </c>
      <c r="AH67" s="203">
        <v>0</v>
      </c>
      <c r="AI67" s="5"/>
      <c r="AJ67" s="201" t="s">
        <v>81</v>
      </c>
      <c r="AK67" s="203">
        <v>0</v>
      </c>
      <c r="AL67" s="203">
        <v>4</v>
      </c>
      <c r="AM67" s="203">
        <v>8</v>
      </c>
      <c r="AN67" s="203">
        <v>3</v>
      </c>
      <c r="AO67" s="203">
        <v>0</v>
      </c>
    </row>
    <row r="68" spans="10:41" ht="16.5" customHeight="1">
      <c r="J68" s="23">
        <v>64</v>
      </c>
      <c r="K68" s="196" t="s">
        <v>31</v>
      </c>
      <c r="L68" s="196" t="s">
        <v>31</v>
      </c>
      <c r="M68" s="196" t="s">
        <v>82</v>
      </c>
      <c r="N68" s="196" t="s">
        <v>13</v>
      </c>
      <c r="O68" s="196" t="s">
        <v>13</v>
      </c>
      <c r="Q68" s="195">
        <v>7</v>
      </c>
      <c r="R68" s="195">
        <v>7</v>
      </c>
      <c r="S68" s="195">
        <v>14</v>
      </c>
      <c r="T68" s="195">
        <v>5</v>
      </c>
      <c r="U68" s="195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201" t="s">
        <v>82</v>
      </c>
      <c r="AD68" s="203">
        <v>0</v>
      </c>
      <c r="AE68" s="203">
        <v>9</v>
      </c>
      <c r="AF68" s="203">
        <v>43</v>
      </c>
      <c r="AG68" s="203">
        <v>12</v>
      </c>
      <c r="AH68" s="203">
        <v>0</v>
      </c>
      <c r="AI68" s="5"/>
      <c r="AJ68" s="201" t="s">
        <v>82</v>
      </c>
      <c r="AK68" s="203">
        <v>0</v>
      </c>
      <c r="AL68" s="203">
        <v>9</v>
      </c>
      <c r="AM68" s="203">
        <v>43</v>
      </c>
      <c r="AN68" s="203">
        <v>12</v>
      </c>
      <c r="AO68" s="203">
        <v>0</v>
      </c>
    </row>
    <row r="69" spans="10:41" ht="16.5" customHeight="1">
      <c r="J69" s="195">
        <v>65</v>
      </c>
      <c r="K69" s="196" t="s">
        <v>29</v>
      </c>
      <c r="L69" s="196" t="s">
        <v>12</v>
      </c>
      <c r="M69" s="196" t="s">
        <v>98</v>
      </c>
      <c r="N69" s="196" t="s">
        <v>97</v>
      </c>
      <c r="O69" s="196" t="s">
        <v>97</v>
      </c>
      <c r="Q69" s="195">
        <v>8</v>
      </c>
      <c r="R69" s="195">
        <v>4</v>
      </c>
      <c r="S69" s="195">
        <v>15</v>
      </c>
      <c r="T69" s="195">
        <v>6</v>
      </c>
      <c r="U69" s="195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201" t="s">
        <v>98</v>
      </c>
      <c r="AD69" s="203">
        <v>0</v>
      </c>
      <c r="AE69" s="203">
        <v>9</v>
      </c>
      <c r="AF69" s="203">
        <v>42</v>
      </c>
      <c r="AG69" s="203">
        <v>13</v>
      </c>
      <c r="AH69" s="203">
        <v>0</v>
      </c>
      <c r="AI69" s="5"/>
      <c r="AJ69" s="201" t="s">
        <v>98</v>
      </c>
      <c r="AK69" s="203">
        <v>0</v>
      </c>
      <c r="AL69" s="203">
        <v>9</v>
      </c>
      <c r="AM69" s="203">
        <v>42</v>
      </c>
      <c r="AN69" s="203">
        <v>13</v>
      </c>
      <c r="AO69" s="203">
        <v>0</v>
      </c>
    </row>
    <row r="70" spans="10:41" ht="16.5" customHeight="1">
      <c r="J70" s="23">
        <v>66</v>
      </c>
      <c r="K70" s="196" t="s">
        <v>31</v>
      </c>
      <c r="L70" s="196" t="s">
        <v>95</v>
      </c>
      <c r="M70" s="196" t="s">
        <v>95</v>
      </c>
      <c r="N70" s="196" t="s">
        <v>14</v>
      </c>
      <c r="O70" s="196" t="s">
        <v>30</v>
      </c>
      <c r="Q70" s="195">
        <v>7</v>
      </c>
      <c r="R70" s="195">
        <v>17</v>
      </c>
      <c r="S70" s="195">
        <v>17</v>
      </c>
      <c r="T70" s="195">
        <v>1</v>
      </c>
      <c r="U70" s="195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201" t="s">
        <v>83</v>
      </c>
      <c r="AD70" s="203">
        <v>0</v>
      </c>
      <c r="AE70" s="203">
        <v>11</v>
      </c>
      <c r="AF70" s="203">
        <v>42</v>
      </c>
      <c r="AG70" s="203">
        <v>11</v>
      </c>
      <c r="AH70" s="203">
        <v>0</v>
      </c>
      <c r="AI70" s="5"/>
      <c r="AJ70" s="201" t="s">
        <v>83</v>
      </c>
      <c r="AK70" s="203">
        <v>0</v>
      </c>
      <c r="AL70" s="203">
        <v>11</v>
      </c>
      <c r="AM70" s="203">
        <v>42</v>
      </c>
      <c r="AN70" s="203">
        <v>11</v>
      </c>
      <c r="AO70" s="203">
        <v>0</v>
      </c>
    </row>
    <row r="71" spans="10:41" ht="16.5" customHeight="1">
      <c r="J71" s="195">
        <v>67</v>
      </c>
      <c r="K71" s="196" t="s">
        <v>97</v>
      </c>
      <c r="L71" s="196" t="s">
        <v>13</v>
      </c>
      <c r="M71" s="196" t="s">
        <v>82</v>
      </c>
      <c r="N71" s="196" t="s">
        <v>13</v>
      </c>
      <c r="O71" s="196" t="s">
        <v>29</v>
      </c>
      <c r="Q71" s="195">
        <v>6</v>
      </c>
      <c r="R71" s="195">
        <v>5</v>
      </c>
      <c r="S71" s="195">
        <v>14</v>
      </c>
      <c r="T71" s="195">
        <v>5</v>
      </c>
      <c r="U71" s="195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201" t="s">
        <v>95</v>
      </c>
      <c r="AD71" s="203">
        <v>0</v>
      </c>
      <c r="AE71" s="203">
        <v>10</v>
      </c>
      <c r="AF71" s="203">
        <v>44</v>
      </c>
      <c r="AG71" s="203">
        <v>11</v>
      </c>
      <c r="AH71" s="203">
        <v>0</v>
      </c>
      <c r="AI71" s="5"/>
      <c r="AJ71" s="201" t="s">
        <v>95</v>
      </c>
      <c r="AK71" s="203">
        <v>0</v>
      </c>
      <c r="AL71" s="203">
        <v>10</v>
      </c>
      <c r="AM71" s="203">
        <v>44</v>
      </c>
      <c r="AN71" s="203">
        <v>11</v>
      </c>
      <c r="AO71" s="203">
        <v>0</v>
      </c>
    </row>
    <row r="72" spans="10:41" ht="16.5" customHeight="1">
      <c r="J72" s="23">
        <v>68</v>
      </c>
      <c r="K72" s="196" t="s">
        <v>13</v>
      </c>
      <c r="L72" s="196" t="s">
        <v>28</v>
      </c>
      <c r="M72" s="196" t="s">
        <v>95</v>
      </c>
      <c r="N72" s="196" t="s">
        <v>97</v>
      </c>
      <c r="O72" s="196" t="s">
        <v>30</v>
      </c>
      <c r="Q72" s="195">
        <v>5</v>
      </c>
      <c r="R72" s="195">
        <v>9</v>
      </c>
      <c r="S72" s="195">
        <v>17</v>
      </c>
      <c r="T72" s="195">
        <v>6</v>
      </c>
      <c r="U72" s="195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201" t="s">
        <v>86</v>
      </c>
      <c r="AD72" s="203">
        <v>0</v>
      </c>
      <c r="AE72" s="203">
        <v>4</v>
      </c>
      <c r="AF72" s="203">
        <v>6</v>
      </c>
      <c r="AG72" s="203">
        <v>2</v>
      </c>
      <c r="AH72" s="203">
        <v>0</v>
      </c>
      <c r="AI72" s="5"/>
      <c r="AJ72" s="201" t="s">
        <v>86</v>
      </c>
      <c r="AK72" s="203">
        <v>0</v>
      </c>
      <c r="AL72" s="203">
        <v>4</v>
      </c>
      <c r="AM72" s="203">
        <v>6</v>
      </c>
      <c r="AN72" s="203">
        <v>2</v>
      </c>
      <c r="AO72" s="203">
        <v>0</v>
      </c>
    </row>
    <row r="73" spans="10:41" ht="16.5" customHeight="1">
      <c r="J73" s="195">
        <v>69</v>
      </c>
      <c r="K73" s="196" t="s">
        <v>29</v>
      </c>
      <c r="L73" s="196" t="s">
        <v>13</v>
      </c>
      <c r="M73" s="196" t="s">
        <v>98</v>
      </c>
      <c r="N73" s="196" t="s">
        <v>29</v>
      </c>
      <c r="O73" s="196" t="s">
        <v>13</v>
      </c>
      <c r="Q73" s="195">
        <v>8</v>
      </c>
      <c r="R73" s="195">
        <v>5</v>
      </c>
      <c r="S73" s="195">
        <v>15</v>
      </c>
      <c r="T73" s="195">
        <v>8</v>
      </c>
      <c r="U73" s="195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201" t="s">
        <v>88</v>
      </c>
      <c r="AD73" s="203">
        <v>0</v>
      </c>
      <c r="AE73" s="203">
        <v>3</v>
      </c>
      <c r="AF73" s="203">
        <v>9</v>
      </c>
      <c r="AG73" s="203">
        <v>3</v>
      </c>
      <c r="AH73" s="203">
        <v>0</v>
      </c>
      <c r="AI73" s="5"/>
      <c r="AJ73" s="201" t="s">
        <v>88</v>
      </c>
      <c r="AK73" s="203">
        <v>0</v>
      </c>
      <c r="AL73" s="203">
        <v>3</v>
      </c>
      <c r="AM73" s="203">
        <v>9</v>
      </c>
      <c r="AN73" s="203">
        <v>3</v>
      </c>
      <c r="AO73" s="203">
        <v>0</v>
      </c>
    </row>
    <row r="74" spans="10:41" ht="16.5" customHeight="1">
      <c r="J74" s="23">
        <v>70</v>
      </c>
      <c r="K74" s="196" t="s">
        <v>13</v>
      </c>
      <c r="L74" s="196" t="s">
        <v>97</v>
      </c>
      <c r="M74" s="196" t="s">
        <v>95</v>
      </c>
      <c r="N74" s="196" t="s">
        <v>97</v>
      </c>
      <c r="O74" s="196" t="s">
        <v>15</v>
      </c>
      <c r="Q74" s="195">
        <v>5</v>
      </c>
      <c r="R74" s="195">
        <v>6</v>
      </c>
      <c r="S74" s="195">
        <v>17</v>
      </c>
      <c r="T74" s="195">
        <v>6</v>
      </c>
      <c r="U74" s="195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5">
        <v>71</v>
      </c>
      <c r="K75" s="196" t="s">
        <v>29</v>
      </c>
      <c r="L75" s="196" t="s">
        <v>12</v>
      </c>
      <c r="M75" s="196" t="s">
        <v>81</v>
      </c>
      <c r="N75" s="196" t="s">
        <v>13</v>
      </c>
      <c r="O75" s="196" t="s">
        <v>16</v>
      </c>
      <c r="Q75" s="195">
        <v>8</v>
      </c>
      <c r="R75" s="195">
        <v>4</v>
      </c>
      <c r="S75" s="195">
        <v>13</v>
      </c>
      <c r="T75" s="195">
        <v>5</v>
      </c>
      <c r="U75" s="195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6" t="s">
        <v>15</v>
      </c>
      <c r="L76" s="196" t="s">
        <v>95</v>
      </c>
      <c r="M76" s="196" t="s">
        <v>95</v>
      </c>
      <c r="N76" s="196" t="s">
        <v>29</v>
      </c>
      <c r="O76" s="196" t="s">
        <v>31</v>
      </c>
      <c r="Q76" s="195">
        <v>2</v>
      </c>
      <c r="R76" s="195">
        <v>17</v>
      </c>
      <c r="S76" s="195">
        <v>17</v>
      </c>
      <c r="T76" s="195">
        <v>8</v>
      </c>
      <c r="U76" s="195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5">
        <v>73</v>
      </c>
      <c r="K77" s="196" t="s">
        <v>28</v>
      </c>
      <c r="L77" s="196" t="s">
        <v>12</v>
      </c>
      <c r="M77" s="196" t="s">
        <v>79</v>
      </c>
      <c r="N77" s="196" t="s">
        <v>97</v>
      </c>
      <c r="O77" s="196" t="s">
        <v>14</v>
      </c>
      <c r="Q77" s="195">
        <v>9</v>
      </c>
      <c r="R77" s="195">
        <v>4</v>
      </c>
      <c r="S77" s="195">
        <v>11</v>
      </c>
      <c r="T77" s="195">
        <v>6</v>
      </c>
      <c r="U77" s="195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6" t="s">
        <v>97</v>
      </c>
      <c r="L78" s="196" t="s">
        <v>15</v>
      </c>
      <c r="M78" s="196" t="s">
        <v>82</v>
      </c>
      <c r="N78" s="196" t="s">
        <v>31</v>
      </c>
      <c r="O78" s="196" t="s">
        <v>28</v>
      </c>
      <c r="Q78" s="195">
        <v>6</v>
      </c>
      <c r="R78" s="195">
        <v>2</v>
      </c>
      <c r="S78" s="195">
        <v>14</v>
      </c>
      <c r="T78" s="195">
        <v>7</v>
      </c>
      <c r="U78" s="195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5">
        <v>75</v>
      </c>
      <c r="K79" s="196" t="s">
        <v>29</v>
      </c>
      <c r="L79" s="196" t="s">
        <v>13</v>
      </c>
      <c r="M79" s="196" t="s">
        <v>83</v>
      </c>
      <c r="N79" s="196" t="s">
        <v>29</v>
      </c>
      <c r="O79" s="196" t="s">
        <v>97</v>
      </c>
      <c r="Q79" s="195">
        <v>8</v>
      </c>
      <c r="R79" s="195">
        <v>5</v>
      </c>
      <c r="S79" s="195">
        <v>16</v>
      </c>
      <c r="T79" s="195">
        <v>8</v>
      </c>
      <c r="U79" s="195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6" t="s">
        <v>31</v>
      </c>
      <c r="L80" s="196" t="s">
        <v>97</v>
      </c>
      <c r="M80" s="196" t="s">
        <v>81</v>
      </c>
      <c r="N80" s="196" t="s">
        <v>13</v>
      </c>
      <c r="O80" s="196" t="s">
        <v>13</v>
      </c>
      <c r="Q80" s="195">
        <v>7</v>
      </c>
      <c r="R80" s="195">
        <v>6</v>
      </c>
      <c r="S80" s="195">
        <v>13</v>
      </c>
      <c r="T80" s="195">
        <v>5</v>
      </c>
      <c r="U80" s="195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5">
        <v>77</v>
      </c>
      <c r="K81" s="196" t="s">
        <v>97</v>
      </c>
      <c r="L81" s="196" t="s">
        <v>31</v>
      </c>
      <c r="M81" s="196" t="s">
        <v>82</v>
      </c>
      <c r="N81" s="196" t="s">
        <v>12</v>
      </c>
      <c r="O81" s="196" t="s">
        <v>31</v>
      </c>
      <c r="Q81" s="195">
        <v>6</v>
      </c>
      <c r="R81" s="195">
        <v>7</v>
      </c>
      <c r="S81" s="195">
        <v>14</v>
      </c>
      <c r="T81" s="195">
        <v>4</v>
      </c>
      <c r="U81" s="195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6" t="s">
        <v>31</v>
      </c>
      <c r="L82" s="196" t="s">
        <v>86</v>
      </c>
      <c r="M82" s="196" t="s">
        <v>83</v>
      </c>
      <c r="N82" s="196" t="s">
        <v>13</v>
      </c>
      <c r="O82" s="196" t="s">
        <v>29</v>
      </c>
      <c r="Q82" s="195">
        <v>7</v>
      </c>
      <c r="R82" s="195">
        <v>18</v>
      </c>
      <c r="S82" s="195">
        <v>16</v>
      </c>
      <c r="T82" s="195">
        <v>5</v>
      </c>
      <c r="U82" s="195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5">
        <v>79</v>
      </c>
      <c r="K83" s="196" t="s">
        <v>97</v>
      </c>
      <c r="L83" s="196" t="s">
        <v>13</v>
      </c>
      <c r="M83" s="196" t="s">
        <v>82</v>
      </c>
      <c r="N83" s="196" t="s">
        <v>29</v>
      </c>
      <c r="O83" s="196" t="s">
        <v>15</v>
      </c>
      <c r="Q83" s="195">
        <v>6</v>
      </c>
      <c r="R83" s="195">
        <v>5</v>
      </c>
      <c r="S83" s="195">
        <v>14</v>
      </c>
      <c r="T83" s="195">
        <v>8</v>
      </c>
      <c r="U83" s="195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6" t="s">
        <v>29</v>
      </c>
      <c r="L84" s="196" t="s">
        <v>28</v>
      </c>
      <c r="M84" s="196" t="s">
        <v>95</v>
      </c>
      <c r="N84" s="196" t="s">
        <v>13</v>
      </c>
      <c r="O84" s="196" t="s">
        <v>29</v>
      </c>
      <c r="Q84" s="195">
        <v>8</v>
      </c>
      <c r="R84" s="195">
        <v>9</v>
      </c>
      <c r="S84" s="195">
        <v>17</v>
      </c>
      <c r="T84" s="195">
        <v>5</v>
      </c>
      <c r="U84" s="195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5">
        <v>81</v>
      </c>
      <c r="K85" s="196" t="s">
        <v>13</v>
      </c>
      <c r="L85" s="196" t="s">
        <v>97</v>
      </c>
      <c r="M85" s="196" t="s">
        <v>98</v>
      </c>
      <c r="N85" s="196" t="s">
        <v>29</v>
      </c>
      <c r="O85" s="196" t="s">
        <v>12</v>
      </c>
      <c r="Q85" s="195">
        <v>5</v>
      </c>
      <c r="R85" s="195">
        <v>6</v>
      </c>
      <c r="S85" s="195">
        <v>15</v>
      </c>
      <c r="T85" s="195">
        <v>8</v>
      </c>
      <c r="U85" s="195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6" t="s">
        <v>29</v>
      </c>
      <c r="L86" s="196" t="s">
        <v>31</v>
      </c>
      <c r="M86" s="196" t="s">
        <v>82</v>
      </c>
      <c r="N86" s="196" t="s">
        <v>13</v>
      </c>
      <c r="O86" s="196" t="s">
        <v>13</v>
      </c>
      <c r="Q86" s="195">
        <v>8</v>
      </c>
      <c r="R86" s="195">
        <v>7</v>
      </c>
      <c r="S86" s="195">
        <v>14</v>
      </c>
      <c r="T86" s="195">
        <v>5</v>
      </c>
      <c r="U86" s="195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5">
        <v>83</v>
      </c>
      <c r="K87" s="196" t="s">
        <v>97</v>
      </c>
      <c r="L87" s="196" t="s">
        <v>98</v>
      </c>
      <c r="M87" s="196" t="s">
        <v>98</v>
      </c>
      <c r="N87" s="196" t="s">
        <v>98</v>
      </c>
      <c r="O87" s="196" t="s">
        <v>31</v>
      </c>
      <c r="Q87" s="195">
        <v>6</v>
      </c>
      <c r="R87" s="195">
        <v>15</v>
      </c>
      <c r="S87" s="195">
        <v>15</v>
      </c>
      <c r="T87" s="195">
        <v>15</v>
      </c>
      <c r="U87" s="195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6" t="s">
        <v>13</v>
      </c>
      <c r="L88" s="196" t="s">
        <v>31</v>
      </c>
      <c r="M88" s="196" t="s">
        <v>95</v>
      </c>
      <c r="N88" s="196" t="s">
        <v>29</v>
      </c>
      <c r="O88" s="196" t="s">
        <v>13</v>
      </c>
      <c r="Q88" s="195">
        <v>5</v>
      </c>
      <c r="R88" s="195">
        <v>7</v>
      </c>
      <c r="S88" s="195">
        <v>17</v>
      </c>
      <c r="T88" s="195">
        <v>8</v>
      </c>
      <c r="U88" s="195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5">
        <v>85</v>
      </c>
      <c r="K89" s="196" t="s">
        <v>12</v>
      </c>
      <c r="L89" s="196" t="s">
        <v>12</v>
      </c>
      <c r="M89" s="196" t="s">
        <v>82</v>
      </c>
      <c r="N89" s="196" t="s">
        <v>13</v>
      </c>
      <c r="O89" s="196" t="s">
        <v>29</v>
      </c>
      <c r="Q89" s="195">
        <v>4</v>
      </c>
      <c r="R89" s="195">
        <v>4</v>
      </c>
      <c r="S89" s="195">
        <v>14</v>
      </c>
      <c r="T89" s="195">
        <v>5</v>
      </c>
      <c r="U89" s="195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6" t="s">
        <v>13</v>
      </c>
      <c r="L90" s="196" t="s">
        <v>29</v>
      </c>
      <c r="M90" s="196" t="s">
        <v>98</v>
      </c>
      <c r="N90" s="196" t="s">
        <v>31</v>
      </c>
      <c r="O90" s="196" t="s">
        <v>30</v>
      </c>
      <c r="Q90" s="195">
        <v>5</v>
      </c>
      <c r="R90" s="195">
        <v>8</v>
      </c>
      <c r="S90" s="195">
        <v>15</v>
      </c>
      <c r="T90" s="195">
        <v>7</v>
      </c>
      <c r="U90" s="195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5">
        <v>87</v>
      </c>
      <c r="K91" s="196" t="s">
        <v>97</v>
      </c>
      <c r="L91" s="196" t="s">
        <v>97</v>
      </c>
      <c r="M91" s="196" t="s">
        <v>82</v>
      </c>
      <c r="N91" s="196" t="s">
        <v>97</v>
      </c>
      <c r="O91" s="196" t="s">
        <v>29</v>
      </c>
      <c r="Q91" s="195">
        <v>6</v>
      </c>
      <c r="R91" s="195">
        <v>6</v>
      </c>
      <c r="S91" s="195">
        <v>14</v>
      </c>
      <c r="T91" s="195">
        <v>6</v>
      </c>
      <c r="U91" s="195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6" t="s">
        <v>13</v>
      </c>
      <c r="L92" s="196" t="s">
        <v>82</v>
      </c>
      <c r="M92" s="196" t="s">
        <v>80</v>
      </c>
      <c r="N92" s="196" t="s">
        <v>83</v>
      </c>
      <c r="O92" s="196" t="s">
        <v>13</v>
      </c>
      <c r="Q92" s="195">
        <v>5</v>
      </c>
      <c r="R92" s="195">
        <v>14</v>
      </c>
      <c r="S92" s="195">
        <v>12</v>
      </c>
      <c r="T92" s="195">
        <v>16</v>
      </c>
      <c r="U92" s="195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5">
        <v>89</v>
      </c>
      <c r="K93" s="196" t="s">
        <v>29</v>
      </c>
      <c r="L93" s="196" t="s">
        <v>31</v>
      </c>
      <c r="M93" s="196" t="s">
        <v>83</v>
      </c>
      <c r="N93" s="196" t="s">
        <v>14</v>
      </c>
      <c r="O93" s="196" t="s">
        <v>97</v>
      </c>
      <c r="Q93" s="195">
        <v>8</v>
      </c>
      <c r="R93" s="195">
        <v>7</v>
      </c>
      <c r="S93" s="195">
        <v>16</v>
      </c>
      <c r="T93" s="195">
        <v>1</v>
      </c>
      <c r="U93" s="195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6" t="s">
        <v>97</v>
      </c>
      <c r="L94" s="196" t="s">
        <v>29</v>
      </c>
      <c r="M94" s="196" t="s">
        <v>95</v>
      </c>
      <c r="N94" s="196" t="s">
        <v>97</v>
      </c>
      <c r="O94" s="196" t="s">
        <v>29</v>
      </c>
      <c r="Q94" s="195">
        <v>6</v>
      </c>
      <c r="R94" s="195">
        <v>8</v>
      </c>
      <c r="S94" s="195">
        <v>17</v>
      </c>
      <c r="T94" s="195">
        <v>6</v>
      </c>
      <c r="U94" s="195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5">
        <v>91</v>
      </c>
      <c r="K95" s="196" t="s">
        <v>31</v>
      </c>
      <c r="L95" s="196" t="s">
        <v>30</v>
      </c>
      <c r="M95" s="196" t="s">
        <v>83</v>
      </c>
      <c r="N95" s="196" t="s">
        <v>13</v>
      </c>
      <c r="O95" s="196" t="s">
        <v>30</v>
      </c>
      <c r="Q95" s="195">
        <v>7</v>
      </c>
      <c r="R95" s="195">
        <v>10</v>
      </c>
      <c r="S95" s="195">
        <v>16</v>
      </c>
      <c r="T95" s="195">
        <v>5</v>
      </c>
      <c r="U95" s="195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6" t="s">
        <v>97</v>
      </c>
      <c r="L96" s="196" t="s">
        <v>97</v>
      </c>
      <c r="M96" s="196" t="s">
        <v>95</v>
      </c>
      <c r="N96" s="196" t="s">
        <v>30</v>
      </c>
      <c r="O96" s="196" t="s">
        <v>13</v>
      </c>
      <c r="Q96" s="195">
        <v>6</v>
      </c>
      <c r="R96" s="195">
        <v>6</v>
      </c>
      <c r="S96" s="195">
        <v>17</v>
      </c>
      <c r="T96" s="195">
        <v>10</v>
      </c>
      <c r="U96" s="195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5">
        <v>93</v>
      </c>
      <c r="K97" s="196" t="s">
        <v>31</v>
      </c>
      <c r="L97" s="196" t="s">
        <v>28</v>
      </c>
      <c r="M97" s="196" t="s">
        <v>82</v>
      </c>
      <c r="N97" s="196" t="s">
        <v>31</v>
      </c>
      <c r="O97" s="196" t="s">
        <v>31</v>
      </c>
      <c r="Q97" s="195">
        <v>7</v>
      </c>
      <c r="R97" s="195">
        <v>9</v>
      </c>
      <c r="S97" s="195">
        <v>14</v>
      </c>
      <c r="T97" s="195">
        <v>7</v>
      </c>
      <c r="U97" s="195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6" t="s">
        <v>29</v>
      </c>
      <c r="L98" s="196" t="s">
        <v>86</v>
      </c>
      <c r="M98" s="196" t="s">
        <v>83</v>
      </c>
      <c r="N98" s="196" t="s">
        <v>29</v>
      </c>
      <c r="O98" s="196" t="s">
        <v>13</v>
      </c>
      <c r="Q98" s="195">
        <v>8</v>
      </c>
      <c r="R98" s="195">
        <v>18</v>
      </c>
      <c r="S98" s="195">
        <v>16</v>
      </c>
      <c r="T98" s="195">
        <v>8</v>
      </c>
      <c r="U98" s="195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5">
        <v>95</v>
      </c>
      <c r="K99" s="196" t="s">
        <v>31</v>
      </c>
      <c r="L99" s="196" t="s">
        <v>15</v>
      </c>
      <c r="M99" s="196" t="s">
        <v>95</v>
      </c>
      <c r="N99" s="196" t="s">
        <v>82</v>
      </c>
      <c r="O99" s="196" t="s">
        <v>97</v>
      </c>
      <c r="Q99" s="195">
        <v>7</v>
      </c>
      <c r="R99" s="195">
        <v>2</v>
      </c>
      <c r="S99" s="195">
        <v>17</v>
      </c>
      <c r="T99" s="195">
        <v>14</v>
      </c>
      <c r="U99" s="195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6" t="s">
        <v>13</v>
      </c>
      <c r="L100" s="196" t="s">
        <v>30</v>
      </c>
      <c r="M100" s="196" t="s">
        <v>98</v>
      </c>
      <c r="N100" s="196" t="s">
        <v>88</v>
      </c>
      <c r="O100" s="196" t="s">
        <v>12</v>
      </c>
      <c r="Q100" s="195">
        <v>5</v>
      </c>
      <c r="R100" s="195">
        <v>10</v>
      </c>
      <c r="S100" s="195">
        <v>15</v>
      </c>
      <c r="T100" s="195">
        <v>19</v>
      </c>
      <c r="U100" s="195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5">
        <v>97</v>
      </c>
      <c r="K101" s="196" t="s">
        <v>97</v>
      </c>
      <c r="L101" s="196" t="s">
        <v>28</v>
      </c>
      <c r="M101" s="196" t="s">
        <v>95</v>
      </c>
      <c r="N101" s="196" t="s">
        <v>31</v>
      </c>
      <c r="O101" s="196" t="s">
        <v>97</v>
      </c>
      <c r="Q101" s="195">
        <v>6</v>
      </c>
      <c r="R101" s="195">
        <v>9</v>
      </c>
      <c r="S101" s="195">
        <v>17</v>
      </c>
      <c r="T101" s="195">
        <v>7</v>
      </c>
      <c r="U101" s="195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6" t="s">
        <v>29</v>
      </c>
      <c r="L102" s="196" t="s">
        <v>31</v>
      </c>
      <c r="M102" s="196" t="s">
        <v>98</v>
      </c>
      <c r="N102" s="196" t="s">
        <v>88</v>
      </c>
      <c r="O102" s="196" t="s">
        <v>29</v>
      </c>
      <c r="Q102" s="195">
        <v>8</v>
      </c>
      <c r="R102" s="195">
        <v>7</v>
      </c>
      <c r="S102" s="195">
        <v>15</v>
      </c>
      <c r="T102" s="195">
        <v>19</v>
      </c>
      <c r="U102" s="195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5">
        <v>99</v>
      </c>
      <c r="K103" s="196" t="s">
        <v>31</v>
      </c>
      <c r="L103" s="196" t="s">
        <v>81</v>
      </c>
      <c r="M103" s="196" t="s">
        <v>95</v>
      </c>
      <c r="N103" s="196" t="s">
        <v>29</v>
      </c>
      <c r="O103" s="196" t="s">
        <v>12</v>
      </c>
      <c r="Q103" s="195">
        <v>7</v>
      </c>
      <c r="R103" s="195">
        <v>13</v>
      </c>
      <c r="S103" s="195">
        <v>17</v>
      </c>
      <c r="T103" s="195">
        <v>8</v>
      </c>
      <c r="U103" s="195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6" t="s">
        <v>13</v>
      </c>
      <c r="L104" s="196" t="s">
        <v>83</v>
      </c>
      <c r="M104" s="196" t="s">
        <v>82</v>
      </c>
      <c r="N104" s="196" t="s">
        <v>82</v>
      </c>
      <c r="O104" s="196" t="s">
        <v>97</v>
      </c>
      <c r="Q104" s="195">
        <v>5</v>
      </c>
      <c r="R104" s="195">
        <v>16</v>
      </c>
      <c r="S104" s="195">
        <v>14</v>
      </c>
      <c r="T104" s="195">
        <v>14</v>
      </c>
      <c r="U104" s="195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6" t="s">
        <v>30</v>
      </c>
      <c r="L105" s="196" t="s">
        <v>30</v>
      </c>
      <c r="M105" s="196" t="s">
        <v>98</v>
      </c>
      <c r="N105" s="196" t="s">
        <v>97</v>
      </c>
      <c r="O105" s="196" t="s">
        <v>15</v>
      </c>
      <c r="Q105" s="195">
        <v>10</v>
      </c>
      <c r="R105" s="195">
        <v>10</v>
      </c>
      <c r="S105" s="195">
        <v>15</v>
      </c>
      <c r="T105" s="195">
        <v>6</v>
      </c>
      <c r="U105" s="195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5">
        <v>102</v>
      </c>
      <c r="K106" s="196" t="s">
        <v>97</v>
      </c>
      <c r="L106" s="196" t="s">
        <v>31</v>
      </c>
      <c r="M106" s="196" t="s">
        <v>86</v>
      </c>
      <c r="N106" s="196" t="s">
        <v>12</v>
      </c>
      <c r="O106" s="196" t="s">
        <v>12</v>
      </c>
      <c r="Q106" s="195">
        <v>6</v>
      </c>
      <c r="R106" s="195">
        <v>7</v>
      </c>
      <c r="S106" s="195">
        <v>18</v>
      </c>
      <c r="T106" s="195">
        <v>4</v>
      </c>
      <c r="U106" s="195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6" t="s">
        <v>13</v>
      </c>
      <c r="L107" s="196" t="s">
        <v>83</v>
      </c>
      <c r="M107" s="196" t="s">
        <v>95</v>
      </c>
      <c r="N107" s="196" t="s">
        <v>98</v>
      </c>
      <c r="O107" s="196" t="s">
        <v>97</v>
      </c>
      <c r="Q107" s="195">
        <v>5</v>
      </c>
      <c r="R107" s="195">
        <v>16</v>
      </c>
      <c r="S107" s="195">
        <v>17</v>
      </c>
      <c r="T107" s="195">
        <v>15</v>
      </c>
      <c r="U107" s="195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5">
        <v>104</v>
      </c>
      <c r="K108" s="196" t="s">
        <v>31</v>
      </c>
      <c r="L108" s="196" t="s">
        <v>31</v>
      </c>
      <c r="M108" s="196" t="s">
        <v>98</v>
      </c>
      <c r="N108" s="196" t="s">
        <v>13</v>
      </c>
      <c r="O108" s="196" t="s">
        <v>31</v>
      </c>
      <c r="Q108" s="195">
        <v>7</v>
      </c>
      <c r="R108" s="195">
        <v>7</v>
      </c>
      <c r="S108" s="195">
        <v>15</v>
      </c>
      <c r="T108" s="195">
        <v>5</v>
      </c>
      <c r="U108" s="195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6" t="s">
        <v>13</v>
      </c>
      <c r="L109" s="196" t="s">
        <v>83</v>
      </c>
      <c r="M109" s="196" t="s">
        <v>95</v>
      </c>
      <c r="N109" s="196" t="s">
        <v>29</v>
      </c>
      <c r="O109" s="196" t="s">
        <v>28</v>
      </c>
      <c r="Q109" s="195">
        <v>5</v>
      </c>
      <c r="R109" s="195">
        <v>16</v>
      </c>
      <c r="S109" s="195">
        <v>17</v>
      </c>
      <c r="T109" s="195">
        <v>8</v>
      </c>
      <c r="U109" s="195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5">
        <v>106</v>
      </c>
      <c r="K110" s="196" t="s">
        <v>31</v>
      </c>
      <c r="L110" s="196" t="s">
        <v>88</v>
      </c>
      <c r="M110" s="196" t="s">
        <v>82</v>
      </c>
      <c r="N110" s="196" t="s">
        <v>13</v>
      </c>
      <c r="O110" s="196" t="s">
        <v>31</v>
      </c>
      <c r="Q110" s="195">
        <v>7</v>
      </c>
      <c r="R110" s="195">
        <v>19</v>
      </c>
      <c r="S110" s="195">
        <v>14</v>
      </c>
      <c r="T110" s="195">
        <v>5</v>
      </c>
      <c r="U110" s="195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6" t="s">
        <v>29</v>
      </c>
      <c r="L111" s="196" t="s">
        <v>16</v>
      </c>
      <c r="M111" s="196" t="s">
        <v>83</v>
      </c>
      <c r="N111" s="196" t="s">
        <v>31</v>
      </c>
      <c r="O111" s="196" t="s">
        <v>15</v>
      </c>
      <c r="Q111" s="195">
        <v>8</v>
      </c>
      <c r="R111" s="195">
        <v>3</v>
      </c>
      <c r="S111" s="195">
        <v>16</v>
      </c>
      <c r="T111" s="195">
        <v>7</v>
      </c>
      <c r="U111" s="195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5">
        <v>108</v>
      </c>
      <c r="K112" s="196" t="s">
        <v>13</v>
      </c>
      <c r="L112" s="196" t="s">
        <v>79</v>
      </c>
      <c r="M112" s="196" t="s">
        <v>98</v>
      </c>
      <c r="N112" s="196" t="s">
        <v>97</v>
      </c>
      <c r="O112" s="196" t="s">
        <v>31</v>
      </c>
      <c r="Q112" s="195">
        <v>5</v>
      </c>
      <c r="R112" s="195">
        <v>11</v>
      </c>
      <c r="S112" s="195">
        <v>15</v>
      </c>
      <c r="T112" s="195">
        <v>6</v>
      </c>
      <c r="U112" s="195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6" t="s">
        <v>97</v>
      </c>
      <c r="L113" s="196" t="s">
        <v>12</v>
      </c>
      <c r="M113" s="196" t="s">
        <v>88</v>
      </c>
      <c r="N113" s="196" t="s">
        <v>28</v>
      </c>
      <c r="O113" s="196" t="s">
        <v>13</v>
      </c>
      <c r="Q113" s="195">
        <v>6</v>
      </c>
      <c r="R113" s="195">
        <v>4</v>
      </c>
      <c r="S113" s="195">
        <v>19</v>
      </c>
      <c r="T113" s="195">
        <v>9</v>
      </c>
      <c r="U113" s="195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5">
        <v>110</v>
      </c>
      <c r="K114" s="196" t="s">
        <v>13</v>
      </c>
      <c r="L114" s="196" t="s">
        <v>31</v>
      </c>
      <c r="M114" s="196" t="s">
        <v>83</v>
      </c>
      <c r="N114" s="196" t="s">
        <v>13</v>
      </c>
      <c r="O114" s="196" t="s">
        <v>97</v>
      </c>
      <c r="Q114" s="195">
        <v>5</v>
      </c>
      <c r="R114" s="195">
        <v>7</v>
      </c>
      <c r="S114" s="195">
        <v>16</v>
      </c>
      <c r="T114" s="195">
        <v>5</v>
      </c>
      <c r="U114" s="195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6" t="s">
        <v>14</v>
      </c>
      <c r="L115" s="196" t="s">
        <v>12</v>
      </c>
      <c r="M115" s="196" t="s">
        <v>98</v>
      </c>
      <c r="N115" s="196" t="s">
        <v>31</v>
      </c>
      <c r="O115" s="196" t="s">
        <v>29</v>
      </c>
      <c r="Q115" s="195">
        <v>1</v>
      </c>
      <c r="R115" s="195">
        <v>4</v>
      </c>
      <c r="S115" s="195">
        <v>15</v>
      </c>
      <c r="T115" s="195">
        <v>7</v>
      </c>
      <c r="U115" s="195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5">
        <v>112</v>
      </c>
      <c r="K116" s="196" t="s">
        <v>97</v>
      </c>
      <c r="L116" s="196" t="s">
        <v>83</v>
      </c>
      <c r="M116" s="196" t="s">
        <v>80</v>
      </c>
      <c r="N116" s="196" t="s">
        <v>13</v>
      </c>
      <c r="O116" s="196" t="s">
        <v>31</v>
      </c>
      <c r="Q116" s="195">
        <v>6</v>
      </c>
      <c r="R116" s="195">
        <v>16</v>
      </c>
      <c r="S116" s="195">
        <v>12</v>
      </c>
      <c r="T116" s="195">
        <v>5</v>
      </c>
      <c r="U116" s="195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6" t="s">
        <v>28</v>
      </c>
      <c r="L117" s="196" t="s">
        <v>16</v>
      </c>
      <c r="M117" s="196" t="s">
        <v>82</v>
      </c>
      <c r="N117" s="196" t="s">
        <v>29</v>
      </c>
      <c r="O117" s="196" t="s">
        <v>97</v>
      </c>
      <c r="Q117" s="195">
        <v>9</v>
      </c>
      <c r="R117" s="195">
        <v>3</v>
      </c>
      <c r="S117" s="195">
        <v>14</v>
      </c>
      <c r="T117" s="195">
        <v>8</v>
      </c>
      <c r="U117" s="195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5">
        <v>114</v>
      </c>
      <c r="K118" s="196" t="s">
        <v>29</v>
      </c>
      <c r="L118" s="196" t="s">
        <v>13</v>
      </c>
      <c r="M118" s="196" t="s">
        <v>83</v>
      </c>
      <c r="N118" s="196" t="s">
        <v>12</v>
      </c>
      <c r="O118" s="196" t="s">
        <v>13</v>
      </c>
      <c r="Q118" s="195">
        <v>8</v>
      </c>
      <c r="R118" s="195">
        <v>5</v>
      </c>
      <c r="S118" s="195">
        <v>16</v>
      </c>
      <c r="T118" s="195">
        <v>4</v>
      </c>
      <c r="U118" s="195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6" t="s">
        <v>31</v>
      </c>
      <c r="L119" s="196" t="s">
        <v>16</v>
      </c>
      <c r="M119" s="196" t="s">
        <v>82</v>
      </c>
      <c r="N119" s="196" t="s">
        <v>31</v>
      </c>
      <c r="O119" s="196" t="s">
        <v>97</v>
      </c>
      <c r="Q119" s="195">
        <v>7</v>
      </c>
      <c r="R119" s="195">
        <v>3</v>
      </c>
      <c r="S119" s="195">
        <v>14</v>
      </c>
      <c r="T119" s="195">
        <v>7</v>
      </c>
      <c r="U119" s="195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5">
        <v>116</v>
      </c>
      <c r="K120" s="196" t="s">
        <v>30</v>
      </c>
      <c r="L120" s="196" t="s">
        <v>83</v>
      </c>
      <c r="M120" s="196" t="s">
        <v>98</v>
      </c>
      <c r="N120" s="196" t="s">
        <v>16</v>
      </c>
      <c r="O120" s="196" t="s">
        <v>29</v>
      </c>
      <c r="Q120" s="195">
        <v>10</v>
      </c>
      <c r="R120" s="195">
        <v>16</v>
      </c>
      <c r="S120" s="195">
        <v>15</v>
      </c>
      <c r="T120" s="195">
        <v>3</v>
      </c>
      <c r="U120" s="195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6" t="s">
        <v>31</v>
      </c>
      <c r="L121" s="196" t="s">
        <v>12</v>
      </c>
      <c r="M121" s="196" t="s">
        <v>83</v>
      </c>
      <c r="N121" s="196" t="s">
        <v>31</v>
      </c>
      <c r="O121" s="196" t="s">
        <v>97</v>
      </c>
      <c r="Q121" s="195">
        <v>7</v>
      </c>
      <c r="R121" s="195">
        <v>4</v>
      </c>
      <c r="S121" s="195">
        <v>16</v>
      </c>
      <c r="T121" s="195">
        <v>7</v>
      </c>
      <c r="U121" s="195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5">
        <v>118</v>
      </c>
      <c r="K122" s="196" t="s">
        <v>28</v>
      </c>
      <c r="L122" s="196" t="s">
        <v>98</v>
      </c>
      <c r="M122" s="196" t="s">
        <v>95</v>
      </c>
      <c r="N122" s="196" t="s">
        <v>97</v>
      </c>
      <c r="O122" s="196" t="s">
        <v>16</v>
      </c>
      <c r="Q122" s="195">
        <v>9</v>
      </c>
      <c r="R122" s="195">
        <v>15</v>
      </c>
      <c r="S122" s="195">
        <v>17</v>
      </c>
      <c r="T122" s="195">
        <v>6</v>
      </c>
      <c r="U122" s="195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6" t="s">
        <v>97</v>
      </c>
      <c r="L123" s="196" t="s">
        <v>97</v>
      </c>
      <c r="M123" s="196" t="s">
        <v>83</v>
      </c>
      <c r="N123" s="196" t="s">
        <v>13</v>
      </c>
      <c r="O123" s="196" t="s">
        <v>13</v>
      </c>
      <c r="Q123" s="195">
        <v>6</v>
      </c>
      <c r="R123" s="195">
        <v>6</v>
      </c>
      <c r="S123" s="195">
        <v>16</v>
      </c>
      <c r="T123" s="195">
        <v>5</v>
      </c>
      <c r="U123" s="195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5">
        <v>120</v>
      </c>
      <c r="K124" s="196" t="s">
        <v>29</v>
      </c>
      <c r="L124" s="196" t="s">
        <v>16</v>
      </c>
      <c r="M124" s="196" t="s">
        <v>82</v>
      </c>
      <c r="N124" s="196" t="s">
        <v>29</v>
      </c>
      <c r="O124" s="196" t="s">
        <v>29</v>
      </c>
      <c r="Q124" s="195">
        <v>8</v>
      </c>
      <c r="R124" s="195">
        <v>3</v>
      </c>
      <c r="S124" s="195">
        <v>14</v>
      </c>
      <c r="T124" s="195">
        <v>8</v>
      </c>
      <c r="U124" s="195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6" t="s">
        <v>13</v>
      </c>
      <c r="L125" s="196" t="s">
        <v>30</v>
      </c>
      <c r="M125" s="196" t="s">
        <v>83</v>
      </c>
      <c r="N125" s="196" t="s">
        <v>31</v>
      </c>
      <c r="O125" s="196" t="s">
        <v>31</v>
      </c>
      <c r="Q125" s="195">
        <v>5</v>
      </c>
      <c r="R125" s="195">
        <v>10</v>
      </c>
      <c r="S125" s="195">
        <v>16</v>
      </c>
      <c r="T125" s="195">
        <v>7</v>
      </c>
      <c r="U125" s="195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5">
        <v>122</v>
      </c>
      <c r="K126" s="196" t="s">
        <v>97</v>
      </c>
      <c r="L126" s="196" t="s">
        <v>29</v>
      </c>
      <c r="M126" s="196" t="s">
        <v>95</v>
      </c>
      <c r="N126" s="196" t="s">
        <v>13</v>
      </c>
      <c r="O126" s="196" t="s">
        <v>29</v>
      </c>
      <c r="Q126" s="195">
        <v>6</v>
      </c>
      <c r="R126" s="195">
        <v>8</v>
      </c>
      <c r="S126" s="195">
        <v>17</v>
      </c>
      <c r="T126" s="195">
        <v>5</v>
      </c>
      <c r="U126" s="195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6" t="s">
        <v>28</v>
      </c>
      <c r="L127" s="196" t="s">
        <v>82</v>
      </c>
      <c r="M127" s="196" t="s">
        <v>82</v>
      </c>
      <c r="N127" s="196" t="s">
        <v>79</v>
      </c>
      <c r="O127" s="196" t="s">
        <v>13</v>
      </c>
      <c r="Q127" s="195">
        <v>9</v>
      </c>
      <c r="R127" s="195">
        <v>14</v>
      </c>
      <c r="S127" s="195">
        <v>14</v>
      </c>
      <c r="T127" s="195">
        <v>11</v>
      </c>
      <c r="U127" s="195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5">
        <v>124</v>
      </c>
      <c r="K128" s="196" t="s">
        <v>97</v>
      </c>
      <c r="L128" s="196" t="s">
        <v>83</v>
      </c>
      <c r="M128" s="196" t="s">
        <v>98</v>
      </c>
      <c r="N128" s="196" t="s">
        <v>31</v>
      </c>
      <c r="O128" s="196" t="s">
        <v>30</v>
      </c>
      <c r="Q128" s="195">
        <v>6</v>
      </c>
      <c r="R128" s="195">
        <v>16</v>
      </c>
      <c r="S128" s="195">
        <v>15</v>
      </c>
      <c r="T128" s="195">
        <v>7</v>
      </c>
      <c r="U128" s="195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6" t="s">
        <v>30</v>
      </c>
      <c r="L129" s="196" t="s">
        <v>29</v>
      </c>
      <c r="M129" s="196" t="s">
        <v>83</v>
      </c>
      <c r="N129" s="196" t="s">
        <v>30</v>
      </c>
      <c r="O129" s="196" t="s">
        <v>13</v>
      </c>
      <c r="Q129" s="195">
        <v>10</v>
      </c>
      <c r="R129" s="195">
        <v>8</v>
      </c>
      <c r="S129" s="195">
        <v>16</v>
      </c>
      <c r="T129" s="195">
        <v>10</v>
      </c>
      <c r="U129" s="195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5">
        <v>126</v>
      </c>
      <c r="K130" s="196" t="s">
        <v>13</v>
      </c>
      <c r="L130" s="196" t="s">
        <v>82</v>
      </c>
      <c r="M130" s="196" t="s">
        <v>86</v>
      </c>
      <c r="N130" s="196" t="s">
        <v>12</v>
      </c>
      <c r="O130" s="196" t="s">
        <v>29</v>
      </c>
      <c r="Q130" s="195">
        <v>5</v>
      </c>
      <c r="R130" s="195">
        <v>14</v>
      </c>
      <c r="S130" s="195">
        <v>18</v>
      </c>
      <c r="T130" s="195">
        <v>4</v>
      </c>
      <c r="U130" s="195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6" t="s">
        <v>97</v>
      </c>
      <c r="L131" s="196" t="s">
        <v>29</v>
      </c>
      <c r="M131" s="196" t="s">
        <v>82</v>
      </c>
      <c r="N131" s="196" t="s">
        <v>97</v>
      </c>
      <c r="O131" s="196" t="s">
        <v>13</v>
      </c>
      <c r="Q131" s="195">
        <v>6</v>
      </c>
      <c r="R131" s="195">
        <v>8</v>
      </c>
      <c r="S131" s="195">
        <v>14</v>
      </c>
      <c r="T131" s="195">
        <v>6</v>
      </c>
      <c r="U131" s="195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5">
        <v>128</v>
      </c>
      <c r="K132" s="196" t="s">
        <v>12</v>
      </c>
      <c r="L132" s="196" t="s">
        <v>97</v>
      </c>
      <c r="M132" s="196" t="s">
        <v>98</v>
      </c>
      <c r="N132" s="196" t="s">
        <v>31</v>
      </c>
      <c r="O132" s="196" t="s">
        <v>29</v>
      </c>
      <c r="Q132" s="195">
        <v>4</v>
      </c>
      <c r="R132" s="195">
        <v>6</v>
      </c>
      <c r="S132" s="195">
        <v>15</v>
      </c>
      <c r="T132" s="195">
        <v>7</v>
      </c>
      <c r="U132" s="195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6" t="s">
        <v>31</v>
      </c>
      <c r="L133" s="196" t="s">
        <v>13</v>
      </c>
      <c r="M133" s="196" t="s">
        <v>83</v>
      </c>
      <c r="N133" s="196" t="s">
        <v>29</v>
      </c>
      <c r="O133" s="196" t="s">
        <v>28</v>
      </c>
      <c r="Q133" s="195">
        <v>7</v>
      </c>
      <c r="R133" s="195">
        <v>5</v>
      </c>
      <c r="S133" s="195">
        <v>16</v>
      </c>
      <c r="T133" s="195">
        <v>8</v>
      </c>
      <c r="U133" s="195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5">
        <v>130</v>
      </c>
      <c r="K134" s="196" t="s">
        <v>97</v>
      </c>
      <c r="L134" s="196" t="s">
        <v>29</v>
      </c>
      <c r="M134" s="196" t="s">
        <v>86</v>
      </c>
      <c r="N134" s="196" t="s">
        <v>15</v>
      </c>
      <c r="O134" s="196" t="s">
        <v>15</v>
      </c>
      <c r="Q134" s="195">
        <v>6</v>
      </c>
      <c r="R134" s="195">
        <v>8</v>
      </c>
      <c r="S134" s="195">
        <v>18</v>
      </c>
      <c r="T134" s="195">
        <v>2</v>
      </c>
      <c r="U134" s="195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6" t="s">
        <v>31</v>
      </c>
      <c r="L135" s="196" t="s">
        <v>81</v>
      </c>
      <c r="M135" s="196" t="s">
        <v>82</v>
      </c>
      <c r="N135" s="196" t="s">
        <v>82</v>
      </c>
      <c r="O135" s="196" t="s">
        <v>16</v>
      </c>
      <c r="Q135" s="195">
        <v>7</v>
      </c>
      <c r="R135" s="195">
        <v>13</v>
      </c>
      <c r="S135" s="195">
        <v>14</v>
      </c>
      <c r="T135" s="195">
        <v>14</v>
      </c>
      <c r="U135" s="195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5">
        <v>132</v>
      </c>
      <c r="K136" s="196" t="s">
        <v>29</v>
      </c>
      <c r="L136" s="196" t="s">
        <v>95</v>
      </c>
      <c r="M136" s="196" t="s">
        <v>83</v>
      </c>
      <c r="N136" s="196" t="s">
        <v>31</v>
      </c>
      <c r="O136" s="196" t="s">
        <v>29</v>
      </c>
      <c r="Q136" s="195">
        <v>8</v>
      </c>
      <c r="R136" s="195">
        <v>17</v>
      </c>
      <c r="S136" s="195">
        <v>16</v>
      </c>
      <c r="T136" s="195">
        <v>7</v>
      </c>
      <c r="U136" s="195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6" t="s">
        <v>13</v>
      </c>
      <c r="L137" s="196" t="s">
        <v>30</v>
      </c>
      <c r="M137" s="196" t="s">
        <v>98</v>
      </c>
      <c r="N137" s="196" t="s">
        <v>97</v>
      </c>
      <c r="O137" s="196" t="s">
        <v>13</v>
      </c>
      <c r="Q137" s="195">
        <v>5</v>
      </c>
      <c r="R137" s="195">
        <v>10</v>
      </c>
      <c r="S137" s="195">
        <v>15</v>
      </c>
      <c r="T137" s="195">
        <v>6</v>
      </c>
      <c r="U137" s="195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5">
        <v>134</v>
      </c>
      <c r="K138" s="196" t="s">
        <v>31</v>
      </c>
      <c r="L138" s="196" t="s">
        <v>29</v>
      </c>
      <c r="M138" s="196" t="s">
        <v>82</v>
      </c>
      <c r="N138" s="196" t="s">
        <v>31</v>
      </c>
      <c r="O138" s="196" t="s">
        <v>28</v>
      </c>
      <c r="Q138" s="195">
        <v>7</v>
      </c>
      <c r="R138" s="195">
        <v>8</v>
      </c>
      <c r="S138" s="195">
        <v>14</v>
      </c>
      <c r="T138" s="195">
        <v>7</v>
      </c>
      <c r="U138" s="195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6" t="s">
        <v>13</v>
      </c>
      <c r="L139" s="196" t="s">
        <v>28</v>
      </c>
      <c r="M139" s="196" t="s">
        <v>98</v>
      </c>
      <c r="N139" s="196" t="s">
        <v>29</v>
      </c>
      <c r="O139" s="196" t="s">
        <v>31</v>
      </c>
      <c r="Q139" s="195">
        <v>5</v>
      </c>
      <c r="R139" s="195">
        <v>9</v>
      </c>
      <c r="S139" s="195">
        <v>15</v>
      </c>
      <c r="T139" s="195">
        <v>8</v>
      </c>
      <c r="U139" s="195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5">
        <v>136</v>
      </c>
      <c r="K140" s="196" t="s">
        <v>97</v>
      </c>
      <c r="L140" s="196" t="s">
        <v>16</v>
      </c>
      <c r="M140" s="196" t="s">
        <v>95</v>
      </c>
      <c r="N140" s="196" t="s">
        <v>98</v>
      </c>
      <c r="O140" s="196" t="s">
        <v>16</v>
      </c>
      <c r="Q140" s="195">
        <v>6</v>
      </c>
      <c r="R140" s="195">
        <v>3</v>
      </c>
      <c r="S140" s="195">
        <v>17</v>
      </c>
      <c r="T140" s="195">
        <v>15</v>
      </c>
      <c r="U140" s="195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6" t="s">
        <v>13</v>
      </c>
      <c r="L141" s="196" t="s">
        <v>82</v>
      </c>
      <c r="M141" s="196" t="s">
        <v>83</v>
      </c>
      <c r="N141" s="196" t="s">
        <v>29</v>
      </c>
      <c r="O141" s="196" t="s">
        <v>31</v>
      </c>
      <c r="Q141" s="195">
        <v>5</v>
      </c>
      <c r="R141" s="195">
        <v>14</v>
      </c>
      <c r="S141" s="195">
        <v>16</v>
      </c>
      <c r="T141" s="195">
        <v>8</v>
      </c>
      <c r="U141" s="195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5">
        <v>138</v>
      </c>
      <c r="K142" s="196" t="s">
        <v>31</v>
      </c>
      <c r="L142" s="196" t="s">
        <v>95</v>
      </c>
      <c r="M142" s="196" t="s">
        <v>95</v>
      </c>
      <c r="N142" s="196" t="s">
        <v>31</v>
      </c>
      <c r="O142" s="196" t="s">
        <v>29</v>
      </c>
      <c r="Q142" s="195">
        <v>7</v>
      </c>
      <c r="R142" s="195">
        <v>17</v>
      </c>
      <c r="S142" s="195">
        <v>17</v>
      </c>
      <c r="T142" s="195">
        <v>7</v>
      </c>
      <c r="U142" s="195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6" t="s">
        <v>29</v>
      </c>
      <c r="L143" s="196" t="s">
        <v>31</v>
      </c>
      <c r="M143" s="196" t="s">
        <v>79</v>
      </c>
      <c r="N143" s="196" t="s">
        <v>29</v>
      </c>
      <c r="O143" s="196" t="s">
        <v>13</v>
      </c>
      <c r="Q143" s="195">
        <v>8</v>
      </c>
      <c r="R143" s="195">
        <v>7</v>
      </c>
      <c r="S143" s="195">
        <v>11</v>
      </c>
      <c r="T143" s="195">
        <v>8</v>
      </c>
      <c r="U143" s="195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5">
        <v>140</v>
      </c>
      <c r="K144" s="196" t="s">
        <v>97</v>
      </c>
      <c r="L144" s="196" t="s">
        <v>28</v>
      </c>
      <c r="M144" s="196" t="s">
        <v>98</v>
      </c>
      <c r="N144" s="196" t="s">
        <v>28</v>
      </c>
      <c r="O144" s="196" t="s">
        <v>28</v>
      </c>
      <c r="Q144" s="195">
        <v>6</v>
      </c>
      <c r="R144" s="195">
        <v>9</v>
      </c>
      <c r="S144" s="195">
        <v>15</v>
      </c>
      <c r="T144" s="195">
        <v>9</v>
      </c>
      <c r="U144" s="195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6" t="s">
        <v>13</v>
      </c>
      <c r="L145" s="196" t="s">
        <v>14</v>
      </c>
      <c r="M145" s="196" t="s">
        <v>83</v>
      </c>
      <c r="N145" s="196" t="s">
        <v>13</v>
      </c>
      <c r="O145" s="196" t="s">
        <v>30</v>
      </c>
      <c r="Q145" s="195">
        <v>5</v>
      </c>
      <c r="R145" s="195">
        <v>1</v>
      </c>
      <c r="S145" s="195">
        <v>16</v>
      </c>
      <c r="T145" s="195">
        <v>5</v>
      </c>
      <c r="U145" s="195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5">
        <v>142</v>
      </c>
      <c r="K146" s="196" t="s">
        <v>29</v>
      </c>
      <c r="L146" s="196" t="s">
        <v>16</v>
      </c>
      <c r="M146" s="196" t="s">
        <v>88</v>
      </c>
      <c r="N146" s="196" t="s">
        <v>31</v>
      </c>
      <c r="O146" s="196" t="s">
        <v>14</v>
      </c>
      <c r="Q146" s="195">
        <v>8</v>
      </c>
      <c r="R146" s="195">
        <v>3</v>
      </c>
      <c r="S146" s="195">
        <v>19</v>
      </c>
      <c r="T146" s="195">
        <v>7</v>
      </c>
      <c r="U146" s="195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6" t="s">
        <v>31</v>
      </c>
      <c r="L147" s="196" t="s">
        <v>13</v>
      </c>
      <c r="M147" s="196" t="s">
        <v>98</v>
      </c>
      <c r="N147" s="196" t="s">
        <v>98</v>
      </c>
      <c r="O147" s="196" t="s">
        <v>97</v>
      </c>
      <c r="Q147" s="195">
        <v>7</v>
      </c>
      <c r="R147" s="195">
        <v>5</v>
      </c>
      <c r="S147" s="195">
        <v>15</v>
      </c>
      <c r="T147" s="195">
        <v>15</v>
      </c>
      <c r="U147" s="195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5">
        <v>144</v>
      </c>
      <c r="K148" s="196" t="s">
        <v>97</v>
      </c>
      <c r="L148" s="196" t="s">
        <v>28</v>
      </c>
      <c r="M148" s="196" t="s">
        <v>82</v>
      </c>
      <c r="N148" s="196" t="s">
        <v>31</v>
      </c>
      <c r="O148" s="196" t="s">
        <v>29</v>
      </c>
      <c r="Q148" s="195">
        <v>6</v>
      </c>
      <c r="R148" s="195">
        <v>9</v>
      </c>
      <c r="S148" s="195">
        <v>14</v>
      </c>
      <c r="T148" s="195">
        <v>7</v>
      </c>
      <c r="U148" s="195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6" t="s">
        <v>31</v>
      </c>
      <c r="L149" s="196" t="s">
        <v>15</v>
      </c>
      <c r="M149" s="196" t="s">
        <v>95</v>
      </c>
      <c r="N149" s="196" t="s">
        <v>81</v>
      </c>
      <c r="O149" s="196" t="s">
        <v>97</v>
      </c>
      <c r="Q149" s="195">
        <v>7</v>
      </c>
      <c r="R149" s="195">
        <v>2</v>
      </c>
      <c r="S149" s="195">
        <v>17</v>
      </c>
      <c r="T149" s="195">
        <v>13</v>
      </c>
      <c r="U149" s="195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5">
        <v>146</v>
      </c>
      <c r="K150" s="196" t="s">
        <v>13</v>
      </c>
      <c r="L150" s="196" t="s">
        <v>82</v>
      </c>
      <c r="M150" s="196" t="s">
        <v>83</v>
      </c>
      <c r="N150" s="196" t="s">
        <v>97</v>
      </c>
      <c r="O150" s="196" t="s">
        <v>30</v>
      </c>
      <c r="Q150" s="195">
        <v>5</v>
      </c>
      <c r="R150" s="195">
        <v>14</v>
      </c>
      <c r="S150" s="195">
        <v>16</v>
      </c>
      <c r="T150" s="195">
        <v>6</v>
      </c>
      <c r="U150" s="195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6" t="s">
        <v>97</v>
      </c>
      <c r="L151" s="196" t="s">
        <v>15</v>
      </c>
      <c r="M151" s="196" t="s">
        <v>95</v>
      </c>
      <c r="N151" s="196" t="s">
        <v>31</v>
      </c>
      <c r="O151" s="196" t="s">
        <v>13</v>
      </c>
      <c r="Q151" s="195">
        <v>6</v>
      </c>
      <c r="R151" s="195">
        <v>2</v>
      </c>
      <c r="S151" s="195">
        <v>17</v>
      </c>
      <c r="T151" s="195">
        <v>7</v>
      </c>
      <c r="U151" s="195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5">
        <v>148</v>
      </c>
      <c r="K152" s="196" t="s">
        <v>13</v>
      </c>
      <c r="L152" s="196" t="s">
        <v>31</v>
      </c>
      <c r="M152" s="196" t="s">
        <v>98</v>
      </c>
      <c r="N152" s="196" t="s">
        <v>97</v>
      </c>
      <c r="O152" s="196" t="s">
        <v>29</v>
      </c>
      <c r="Q152" s="195">
        <v>5</v>
      </c>
      <c r="R152" s="195">
        <v>7</v>
      </c>
      <c r="S152" s="195">
        <v>15</v>
      </c>
      <c r="T152" s="195">
        <v>6</v>
      </c>
      <c r="U152" s="195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6" t="s">
        <v>97</v>
      </c>
      <c r="L153" s="196" t="s">
        <v>29</v>
      </c>
      <c r="M153" s="196" t="s">
        <v>82</v>
      </c>
      <c r="N153" s="196" t="s">
        <v>31</v>
      </c>
      <c r="O153" s="196" t="s">
        <v>97</v>
      </c>
      <c r="Q153" s="195">
        <v>6</v>
      </c>
      <c r="R153" s="195">
        <v>8</v>
      </c>
      <c r="S153" s="195">
        <v>14</v>
      </c>
      <c r="T153" s="195">
        <v>7</v>
      </c>
      <c r="U153" s="195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5">
        <v>150</v>
      </c>
      <c r="K154" s="196" t="s">
        <v>29</v>
      </c>
      <c r="L154" s="196" t="s">
        <v>31</v>
      </c>
      <c r="M154" s="196" t="s">
        <v>88</v>
      </c>
      <c r="N154" s="196" t="s">
        <v>97</v>
      </c>
      <c r="O154" s="196" t="s">
        <v>29</v>
      </c>
      <c r="Q154" s="195">
        <v>8</v>
      </c>
      <c r="R154" s="195">
        <v>7</v>
      </c>
      <c r="S154" s="195">
        <v>19</v>
      </c>
      <c r="T154" s="195">
        <v>6</v>
      </c>
      <c r="U154" s="195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6" t="s">
        <v>13</v>
      </c>
      <c r="L155" s="196" t="s">
        <v>13</v>
      </c>
      <c r="M155" s="196" t="s">
        <v>82</v>
      </c>
      <c r="N155" s="196" t="s">
        <v>28</v>
      </c>
      <c r="O155" s="196" t="s">
        <v>13</v>
      </c>
      <c r="Q155" s="195">
        <v>5</v>
      </c>
      <c r="R155" s="195">
        <v>5</v>
      </c>
      <c r="S155" s="195">
        <v>14</v>
      </c>
      <c r="T155" s="195">
        <v>9</v>
      </c>
      <c r="U155" s="195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5">
        <v>152</v>
      </c>
      <c r="K156" s="196" t="s">
        <v>16</v>
      </c>
      <c r="L156" s="196" t="s">
        <v>29</v>
      </c>
      <c r="M156" s="196" t="s">
        <v>83</v>
      </c>
      <c r="N156" s="196" t="s">
        <v>14</v>
      </c>
      <c r="O156" s="196" t="s">
        <v>31</v>
      </c>
      <c r="Q156" s="195">
        <v>3</v>
      </c>
      <c r="R156" s="195">
        <v>8</v>
      </c>
      <c r="S156" s="195">
        <v>16</v>
      </c>
      <c r="T156" s="195">
        <v>1</v>
      </c>
      <c r="U156" s="195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6" t="s">
        <v>29</v>
      </c>
      <c r="L157" s="196" t="s">
        <v>80</v>
      </c>
      <c r="M157" s="196" t="s">
        <v>95</v>
      </c>
      <c r="N157" s="196" t="s">
        <v>95</v>
      </c>
      <c r="O157" s="196" t="s">
        <v>28</v>
      </c>
      <c r="Q157" s="195">
        <v>8</v>
      </c>
      <c r="R157" s="195">
        <v>12</v>
      </c>
      <c r="S157" s="195">
        <v>17</v>
      </c>
      <c r="T157" s="195">
        <v>17</v>
      </c>
      <c r="U157" s="195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5">
        <v>154</v>
      </c>
      <c r="K158" s="196" t="s">
        <v>16</v>
      </c>
      <c r="L158" s="196" t="s">
        <v>30</v>
      </c>
      <c r="M158" s="196" t="s">
        <v>83</v>
      </c>
      <c r="N158" s="196" t="s">
        <v>31</v>
      </c>
      <c r="O158" s="196" t="s">
        <v>13</v>
      </c>
      <c r="Q158" s="195">
        <v>3</v>
      </c>
      <c r="R158" s="195">
        <v>10</v>
      </c>
      <c r="S158" s="195">
        <v>16</v>
      </c>
      <c r="T158" s="195">
        <v>7</v>
      </c>
      <c r="U158" s="195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6" t="s">
        <v>29</v>
      </c>
      <c r="L159" s="196" t="s">
        <v>97</v>
      </c>
      <c r="M159" s="196" t="s">
        <v>95</v>
      </c>
      <c r="N159" s="196" t="s">
        <v>97</v>
      </c>
      <c r="O159" s="196" t="s">
        <v>97</v>
      </c>
      <c r="Q159" s="195">
        <v>8</v>
      </c>
      <c r="R159" s="195">
        <v>6</v>
      </c>
      <c r="S159" s="195">
        <v>17</v>
      </c>
      <c r="T159" s="195">
        <v>6</v>
      </c>
      <c r="U159" s="195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5">
        <v>156</v>
      </c>
      <c r="K160" s="196" t="s">
        <v>31</v>
      </c>
      <c r="L160" s="196" t="s">
        <v>13</v>
      </c>
      <c r="M160" s="196" t="s">
        <v>80</v>
      </c>
      <c r="N160" s="196" t="s">
        <v>13</v>
      </c>
      <c r="O160" s="196" t="s">
        <v>12</v>
      </c>
      <c r="Q160" s="195">
        <v>7</v>
      </c>
      <c r="R160" s="195">
        <v>5</v>
      </c>
      <c r="S160" s="195">
        <v>12</v>
      </c>
      <c r="T160" s="195">
        <v>5</v>
      </c>
      <c r="U160" s="195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6" t="s">
        <v>13</v>
      </c>
      <c r="L161" s="196" t="s">
        <v>31</v>
      </c>
      <c r="M161" s="196" t="s">
        <v>82</v>
      </c>
      <c r="N161" s="196" t="s">
        <v>30</v>
      </c>
      <c r="O161" s="196" t="s">
        <v>16</v>
      </c>
      <c r="Q161" s="195">
        <v>5</v>
      </c>
      <c r="R161" s="195">
        <v>7</v>
      </c>
      <c r="S161" s="195">
        <v>14</v>
      </c>
      <c r="T161" s="195">
        <v>10</v>
      </c>
      <c r="U161" s="195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5">
        <v>158</v>
      </c>
      <c r="K162" s="196" t="s">
        <v>97</v>
      </c>
      <c r="L162" s="196" t="s">
        <v>98</v>
      </c>
      <c r="M162" s="196" t="s">
        <v>98</v>
      </c>
      <c r="N162" s="196" t="s">
        <v>13</v>
      </c>
      <c r="O162" s="196" t="s">
        <v>29</v>
      </c>
      <c r="Q162" s="195">
        <v>6</v>
      </c>
      <c r="R162" s="195">
        <v>15</v>
      </c>
      <c r="S162" s="195">
        <v>15</v>
      </c>
      <c r="T162" s="195">
        <v>5</v>
      </c>
      <c r="U162" s="195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6" t="s">
        <v>14</v>
      </c>
      <c r="L163" s="196" t="s">
        <v>13</v>
      </c>
      <c r="M163" s="196" t="s">
        <v>95</v>
      </c>
      <c r="N163" s="196" t="s">
        <v>31</v>
      </c>
      <c r="O163" s="196" t="s">
        <v>97</v>
      </c>
      <c r="Q163" s="195">
        <v>1</v>
      </c>
      <c r="R163" s="195">
        <v>5</v>
      </c>
      <c r="S163" s="195">
        <v>17</v>
      </c>
      <c r="T163" s="195">
        <v>7</v>
      </c>
      <c r="U163" s="195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5">
        <v>160</v>
      </c>
      <c r="K164" s="196" t="s">
        <v>13</v>
      </c>
      <c r="L164" s="196" t="s">
        <v>81</v>
      </c>
      <c r="M164" s="196" t="s">
        <v>86</v>
      </c>
      <c r="N164" s="196" t="s">
        <v>28</v>
      </c>
      <c r="O164" s="196" t="s">
        <v>29</v>
      </c>
      <c r="Q164" s="195">
        <v>5</v>
      </c>
      <c r="R164" s="195">
        <v>13</v>
      </c>
      <c r="S164" s="195">
        <v>18</v>
      </c>
      <c r="T164" s="195">
        <v>9</v>
      </c>
      <c r="U164" s="195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6" t="s">
        <v>31</v>
      </c>
      <c r="L165" s="196" t="s">
        <v>29</v>
      </c>
      <c r="M165" s="196" t="s">
        <v>82</v>
      </c>
      <c r="N165" s="196" t="s">
        <v>16</v>
      </c>
      <c r="O165" s="196" t="s">
        <v>97</v>
      </c>
      <c r="Q165" s="195">
        <v>7</v>
      </c>
      <c r="R165" s="195">
        <v>8</v>
      </c>
      <c r="S165" s="195">
        <v>14</v>
      </c>
      <c r="T165" s="195">
        <v>3</v>
      </c>
      <c r="U165" s="195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5">
        <v>162</v>
      </c>
      <c r="K166" s="196" t="s">
        <v>13</v>
      </c>
      <c r="L166" s="196" t="s">
        <v>98</v>
      </c>
      <c r="M166" s="196" t="s">
        <v>95</v>
      </c>
      <c r="N166" s="196" t="s">
        <v>28</v>
      </c>
      <c r="O166" s="196" t="s">
        <v>13</v>
      </c>
      <c r="Q166" s="195">
        <v>5</v>
      </c>
      <c r="R166" s="195">
        <v>15</v>
      </c>
      <c r="S166" s="195">
        <v>17</v>
      </c>
      <c r="T166" s="195">
        <v>9</v>
      </c>
      <c r="U166" s="195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6" t="s">
        <v>31</v>
      </c>
      <c r="L167" s="196" t="s">
        <v>31</v>
      </c>
      <c r="M167" s="196" t="s">
        <v>83</v>
      </c>
      <c r="N167" s="196" t="s">
        <v>15</v>
      </c>
      <c r="O167" s="196" t="s">
        <v>12</v>
      </c>
      <c r="Q167" s="195">
        <v>7</v>
      </c>
      <c r="R167" s="195">
        <v>7</v>
      </c>
      <c r="S167" s="195">
        <v>16</v>
      </c>
      <c r="T167" s="195">
        <v>2</v>
      </c>
      <c r="U167" s="195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5">
        <v>164</v>
      </c>
      <c r="K168" s="196" t="s">
        <v>97</v>
      </c>
      <c r="L168" s="196" t="s">
        <v>29</v>
      </c>
      <c r="M168" s="196" t="s">
        <v>82</v>
      </c>
      <c r="N168" s="196" t="s">
        <v>82</v>
      </c>
      <c r="O168" s="196" t="s">
        <v>97</v>
      </c>
      <c r="Q168" s="195">
        <v>6</v>
      </c>
      <c r="R168" s="195">
        <v>8</v>
      </c>
      <c r="S168" s="195">
        <v>14</v>
      </c>
      <c r="T168" s="195">
        <v>14</v>
      </c>
      <c r="U168" s="195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6" t="s">
        <v>29</v>
      </c>
      <c r="L169" s="196" t="s">
        <v>31</v>
      </c>
      <c r="M169" s="196" t="s">
        <v>83</v>
      </c>
      <c r="N169" s="196" t="s">
        <v>29</v>
      </c>
      <c r="O169" s="196" t="s">
        <v>16</v>
      </c>
      <c r="Q169" s="195">
        <v>8</v>
      </c>
      <c r="R169" s="195">
        <v>7</v>
      </c>
      <c r="S169" s="195">
        <v>16</v>
      </c>
      <c r="T169" s="195">
        <v>8</v>
      </c>
      <c r="U169" s="195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5">
        <v>166</v>
      </c>
      <c r="K170" s="196" t="s">
        <v>12</v>
      </c>
      <c r="L170" s="196" t="s">
        <v>12</v>
      </c>
      <c r="M170" s="196" t="s">
        <v>98</v>
      </c>
      <c r="N170" s="196" t="s">
        <v>31</v>
      </c>
      <c r="O170" s="196" t="s">
        <v>31</v>
      </c>
      <c r="Q170" s="195">
        <v>4</v>
      </c>
      <c r="R170" s="195">
        <v>4</v>
      </c>
      <c r="S170" s="195">
        <v>15</v>
      </c>
      <c r="T170" s="195">
        <v>7</v>
      </c>
      <c r="U170" s="195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6" t="s">
        <v>31</v>
      </c>
      <c r="L171" s="196" t="s">
        <v>31</v>
      </c>
      <c r="M171" s="196" t="s">
        <v>95</v>
      </c>
      <c r="N171" s="196" t="s">
        <v>29</v>
      </c>
      <c r="O171" s="196" t="s">
        <v>97</v>
      </c>
      <c r="Q171" s="195">
        <v>7</v>
      </c>
      <c r="R171" s="195">
        <v>7</v>
      </c>
      <c r="S171" s="195">
        <v>17</v>
      </c>
      <c r="T171" s="195">
        <v>8</v>
      </c>
      <c r="U171" s="195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5">
        <v>168</v>
      </c>
      <c r="K172" s="196" t="s">
        <v>29</v>
      </c>
      <c r="L172" s="196" t="s">
        <v>13</v>
      </c>
      <c r="M172" s="196" t="s">
        <v>80</v>
      </c>
      <c r="N172" s="196" t="s">
        <v>97</v>
      </c>
      <c r="O172" s="196" t="s">
        <v>29</v>
      </c>
      <c r="Q172" s="195">
        <v>8</v>
      </c>
      <c r="R172" s="195">
        <v>5</v>
      </c>
      <c r="S172" s="195">
        <v>12</v>
      </c>
      <c r="T172" s="195">
        <v>6</v>
      </c>
      <c r="U172" s="195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6" t="s">
        <v>30</v>
      </c>
      <c r="L173" s="196" t="s">
        <v>31</v>
      </c>
      <c r="M173" s="196" t="s">
        <v>95</v>
      </c>
      <c r="N173" s="196" t="s">
        <v>29</v>
      </c>
      <c r="O173" s="196" t="s">
        <v>97</v>
      </c>
      <c r="Q173" s="195">
        <v>10</v>
      </c>
      <c r="R173" s="195">
        <v>7</v>
      </c>
      <c r="S173" s="195">
        <v>17</v>
      </c>
      <c r="T173" s="195">
        <v>8</v>
      </c>
      <c r="U173" s="195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5">
        <v>170</v>
      </c>
      <c r="K174" s="196" t="s">
        <v>13</v>
      </c>
      <c r="L174" s="196" t="s">
        <v>97</v>
      </c>
      <c r="M174" s="196" t="s">
        <v>82</v>
      </c>
      <c r="N174" s="196" t="s">
        <v>12</v>
      </c>
      <c r="O174" s="196" t="s">
        <v>14</v>
      </c>
      <c r="Q174" s="195">
        <v>5</v>
      </c>
      <c r="R174" s="195">
        <v>6</v>
      </c>
      <c r="S174" s="195">
        <v>14</v>
      </c>
      <c r="T174" s="195">
        <v>4</v>
      </c>
      <c r="U174" s="195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6" t="s">
        <v>31</v>
      </c>
      <c r="L175" s="196" t="s">
        <v>28</v>
      </c>
      <c r="M175" s="196" t="s">
        <v>98</v>
      </c>
      <c r="N175" s="196" t="s">
        <v>13</v>
      </c>
      <c r="O175" s="196" t="s">
        <v>97</v>
      </c>
      <c r="Q175" s="195">
        <v>7</v>
      </c>
      <c r="R175" s="195">
        <v>9</v>
      </c>
      <c r="S175" s="195">
        <v>15</v>
      </c>
      <c r="T175" s="195">
        <v>5</v>
      </c>
      <c r="U175" s="195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5">
        <v>172</v>
      </c>
      <c r="K176" s="196" t="s">
        <v>13</v>
      </c>
      <c r="L176" s="196" t="s">
        <v>29</v>
      </c>
      <c r="M176" s="196" t="s">
        <v>88</v>
      </c>
      <c r="N176" s="196" t="s">
        <v>97</v>
      </c>
      <c r="O176" s="196" t="s">
        <v>13</v>
      </c>
      <c r="Q176" s="195">
        <v>5</v>
      </c>
      <c r="R176" s="195">
        <v>8</v>
      </c>
      <c r="S176" s="195">
        <v>19</v>
      </c>
      <c r="T176" s="195">
        <v>6</v>
      </c>
      <c r="U176" s="195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6" t="s">
        <v>31</v>
      </c>
      <c r="L177" s="196" t="s">
        <v>15</v>
      </c>
      <c r="M177" s="196" t="s">
        <v>95</v>
      </c>
      <c r="N177" s="196" t="s">
        <v>29</v>
      </c>
      <c r="O177" s="196" t="s">
        <v>97</v>
      </c>
      <c r="Q177" s="195">
        <v>7</v>
      </c>
      <c r="R177" s="195">
        <v>2</v>
      </c>
      <c r="S177" s="195">
        <v>17</v>
      </c>
      <c r="T177" s="195">
        <v>8</v>
      </c>
      <c r="U177" s="195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5">
        <v>174</v>
      </c>
      <c r="K178" s="196" t="s">
        <v>28</v>
      </c>
      <c r="L178" s="196" t="s">
        <v>13</v>
      </c>
      <c r="M178" s="196" t="s">
        <v>83</v>
      </c>
      <c r="N178" s="196" t="s">
        <v>97</v>
      </c>
      <c r="O178" s="196" t="s">
        <v>13</v>
      </c>
      <c r="Q178" s="195">
        <v>9</v>
      </c>
      <c r="R178" s="195">
        <v>5</v>
      </c>
      <c r="S178" s="195">
        <v>16</v>
      </c>
      <c r="T178" s="195">
        <v>6</v>
      </c>
      <c r="U178" s="195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6" t="s">
        <v>31</v>
      </c>
      <c r="L179" s="196" t="s">
        <v>29</v>
      </c>
      <c r="M179" s="196" t="s">
        <v>95</v>
      </c>
      <c r="N179" s="196" t="s">
        <v>14</v>
      </c>
      <c r="O179" s="196" t="s">
        <v>28</v>
      </c>
      <c r="Q179" s="195">
        <v>7</v>
      </c>
      <c r="R179" s="195">
        <v>8</v>
      </c>
      <c r="S179" s="195">
        <v>17</v>
      </c>
      <c r="T179" s="195">
        <v>1</v>
      </c>
      <c r="U179" s="195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5">
        <v>176</v>
      </c>
      <c r="K180" s="196" t="s">
        <v>16</v>
      </c>
      <c r="L180" s="196" t="s">
        <v>15</v>
      </c>
      <c r="M180" s="196" t="s">
        <v>83</v>
      </c>
      <c r="N180" s="196" t="s">
        <v>13</v>
      </c>
      <c r="O180" s="196" t="s">
        <v>13</v>
      </c>
      <c r="Q180" s="195">
        <v>3</v>
      </c>
      <c r="R180" s="195">
        <v>2</v>
      </c>
      <c r="S180" s="195">
        <v>16</v>
      </c>
      <c r="T180" s="195">
        <v>5</v>
      </c>
      <c r="U180" s="195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6" t="s">
        <v>29</v>
      </c>
      <c r="L181" s="196" t="s">
        <v>13</v>
      </c>
      <c r="M181" s="196" t="s">
        <v>98</v>
      </c>
      <c r="N181" s="196" t="s">
        <v>95</v>
      </c>
      <c r="O181" s="196" t="s">
        <v>31</v>
      </c>
      <c r="Q181" s="195">
        <v>8</v>
      </c>
      <c r="R181" s="195">
        <v>5</v>
      </c>
      <c r="S181" s="195">
        <v>15</v>
      </c>
      <c r="T181" s="195">
        <v>17</v>
      </c>
      <c r="U181" s="195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5">
        <v>178</v>
      </c>
      <c r="K182" s="196" t="s">
        <v>13</v>
      </c>
      <c r="L182" s="196" t="s">
        <v>95</v>
      </c>
      <c r="M182" s="196" t="s">
        <v>82</v>
      </c>
      <c r="N182" s="196" t="s">
        <v>29</v>
      </c>
      <c r="O182" s="196" t="s">
        <v>12</v>
      </c>
      <c r="Q182" s="195">
        <v>5</v>
      </c>
      <c r="R182" s="195">
        <v>17</v>
      </c>
      <c r="S182" s="195">
        <v>14</v>
      </c>
      <c r="T182" s="195">
        <v>8</v>
      </c>
      <c r="U182" s="195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6" t="s">
        <v>31</v>
      </c>
      <c r="L183" s="196" t="s">
        <v>97</v>
      </c>
      <c r="M183" s="196" t="s">
        <v>98</v>
      </c>
      <c r="N183" s="196" t="s">
        <v>31</v>
      </c>
      <c r="O183" s="196" t="s">
        <v>28</v>
      </c>
      <c r="Q183" s="195">
        <v>7</v>
      </c>
      <c r="R183" s="195">
        <v>6</v>
      </c>
      <c r="S183" s="195">
        <v>15</v>
      </c>
      <c r="T183" s="195">
        <v>7</v>
      </c>
      <c r="U183" s="195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5">
        <v>180</v>
      </c>
      <c r="K184" s="196" t="s">
        <v>29</v>
      </c>
      <c r="L184" s="196" t="s">
        <v>31</v>
      </c>
      <c r="M184" s="196" t="s">
        <v>95</v>
      </c>
      <c r="N184" s="196" t="s">
        <v>97</v>
      </c>
      <c r="O184" s="196" t="s">
        <v>31</v>
      </c>
      <c r="Q184" s="195">
        <v>8</v>
      </c>
      <c r="R184" s="195">
        <v>7</v>
      </c>
      <c r="S184" s="195">
        <v>17</v>
      </c>
      <c r="T184" s="195">
        <v>6</v>
      </c>
      <c r="U184" s="195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6" t="s">
        <v>13</v>
      </c>
      <c r="L185" s="196" t="s">
        <v>13</v>
      </c>
      <c r="M185" s="196" t="s">
        <v>88</v>
      </c>
      <c r="N185" s="196" t="s">
        <v>13</v>
      </c>
      <c r="O185" s="196" t="s">
        <v>29</v>
      </c>
      <c r="Q185" s="195">
        <v>5</v>
      </c>
      <c r="R185" s="195">
        <v>5</v>
      </c>
      <c r="S185" s="195">
        <v>19</v>
      </c>
      <c r="T185" s="195">
        <v>5</v>
      </c>
      <c r="U185" s="195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5">
        <v>182</v>
      </c>
      <c r="K186" s="196" t="s">
        <v>15</v>
      </c>
      <c r="L186" s="196" t="s">
        <v>15</v>
      </c>
      <c r="M186" s="196" t="s">
        <v>95</v>
      </c>
      <c r="N186" s="196" t="s">
        <v>31</v>
      </c>
      <c r="O186" s="196" t="s">
        <v>14</v>
      </c>
      <c r="Q186" s="195">
        <v>2</v>
      </c>
      <c r="R186" s="195">
        <v>2</v>
      </c>
      <c r="S186" s="195">
        <v>17</v>
      </c>
      <c r="T186" s="195">
        <v>7</v>
      </c>
      <c r="U186" s="195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6" t="s">
        <v>31</v>
      </c>
      <c r="L187" s="196" t="s">
        <v>31</v>
      </c>
      <c r="M187" s="196" t="s">
        <v>82</v>
      </c>
      <c r="N187" s="196" t="s">
        <v>13</v>
      </c>
      <c r="O187" s="196" t="s">
        <v>97</v>
      </c>
      <c r="Q187" s="195">
        <v>7</v>
      </c>
      <c r="R187" s="195">
        <v>7</v>
      </c>
      <c r="S187" s="195">
        <v>14</v>
      </c>
      <c r="T187" s="195">
        <v>5</v>
      </c>
      <c r="U187" s="195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5">
        <v>184</v>
      </c>
      <c r="K188" s="196" t="s">
        <v>29</v>
      </c>
      <c r="L188" s="196" t="s">
        <v>97</v>
      </c>
      <c r="M188" s="196" t="s">
        <v>98</v>
      </c>
      <c r="N188" s="196" t="s">
        <v>97</v>
      </c>
      <c r="O188" s="196" t="s">
        <v>16</v>
      </c>
      <c r="Q188" s="195">
        <v>8</v>
      </c>
      <c r="R188" s="195">
        <v>6</v>
      </c>
      <c r="S188" s="195">
        <v>15</v>
      </c>
      <c r="T188" s="195">
        <v>6</v>
      </c>
      <c r="U188" s="195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6" t="s">
        <v>97</v>
      </c>
      <c r="L189" s="196" t="s">
        <v>13</v>
      </c>
      <c r="M189" s="196" t="s">
        <v>82</v>
      </c>
      <c r="N189" s="196" t="s">
        <v>31</v>
      </c>
      <c r="O189" s="196" t="s">
        <v>29</v>
      </c>
      <c r="Q189" s="195">
        <v>6</v>
      </c>
      <c r="R189" s="195">
        <v>5</v>
      </c>
      <c r="S189" s="195">
        <v>14</v>
      </c>
      <c r="T189" s="195">
        <v>7</v>
      </c>
      <c r="U189" s="195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5">
        <v>186</v>
      </c>
      <c r="K190" s="196" t="s">
        <v>31</v>
      </c>
      <c r="L190" s="196" t="s">
        <v>95</v>
      </c>
      <c r="M190" s="196" t="s">
        <v>95</v>
      </c>
      <c r="N190" s="196" t="s">
        <v>13</v>
      </c>
      <c r="O190" s="196" t="s">
        <v>31</v>
      </c>
      <c r="Q190" s="195">
        <v>7</v>
      </c>
      <c r="R190" s="195">
        <v>17</v>
      </c>
      <c r="S190" s="195">
        <v>17</v>
      </c>
      <c r="T190" s="195">
        <v>5</v>
      </c>
      <c r="U190" s="195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6" t="s">
        <v>13</v>
      </c>
      <c r="L191" s="196" t="s">
        <v>31</v>
      </c>
      <c r="M191" s="196" t="s">
        <v>83</v>
      </c>
      <c r="N191" s="196" t="s">
        <v>31</v>
      </c>
      <c r="O191" s="196" t="s">
        <v>15</v>
      </c>
      <c r="Q191" s="195">
        <v>5</v>
      </c>
      <c r="R191" s="195">
        <v>7</v>
      </c>
      <c r="S191" s="195">
        <v>16</v>
      </c>
      <c r="T191" s="195">
        <v>7</v>
      </c>
      <c r="U191" s="195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5">
        <v>188</v>
      </c>
      <c r="K192" s="196" t="s">
        <v>97</v>
      </c>
      <c r="L192" s="196" t="s">
        <v>29</v>
      </c>
      <c r="M192" s="196" t="s">
        <v>98</v>
      </c>
      <c r="N192" s="196" t="s">
        <v>13</v>
      </c>
      <c r="O192" s="196" t="s">
        <v>31</v>
      </c>
      <c r="Q192" s="195">
        <v>6</v>
      </c>
      <c r="R192" s="195">
        <v>8</v>
      </c>
      <c r="S192" s="195">
        <v>15</v>
      </c>
      <c r="T192" s="195">
        <v>5</v>
      </c>
      <c r="U192" s="195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6" t="s">
        <v>31</v>
      </c>
      <c r="L193" s="196" t="s">
        <v>83</v>
      </c>
      <c r="M193" s="196" t="s">
        <v>95</v>
      </c>
      <c r="N193" s="196" t="s">
        <v>30</v>
      </c>
      <c r="O193" s="196" t="s">
        <v>30</v>
      </c>
      <c r="Q193" s="195">
        <v>7</v>
      </c>
      <c r="R193" s="195">
        <v>16</v>
      </c>
      <c r="S193" s="195">
        <v>17</v>
      </c>
      <c r="T193" s="195">
        <v>10</v>
      </c>
      <c r="U193" s="195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5">
        <v>190</v>
      </c>
      <c r="K194" s="196" t="s">
        <v>97</v>
      </c>
      <c r="L194" s="196" t="s">
        <v>31</v>
      </c>
      <c r="M194" s="196" t="s">
        <v>83</v>
      </c>
      <c r="N194" s="196" t="s">
        <v>14</v>
      </c>
      <c r="O194" s="196" t="s">
        <v>97</v>
      </c>
      <c r="Q194" s="195">
        <v>6</v>
      </c>
      <c r="R194" s="195">
        <v>7</v>
      </c>
      <c r="S194" s="195">
        <v>16</v>
      </c>
      <c r="T194" s="195">
        <v>1</v>
      </c>
      <c r="U194" s="195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6" t="s">
        <v>29</v>
      </c>
      <c r="L195" s="196" t="s">
        <v>29</v>
      </c>
      <c r="M195" s="196" t="s">
        <v>86</v>
      </c>
      <c r="N195" s="196" t="s">
        <v>12</v>
      </c>
      <c r="O195" s="196" t="s">
        <v>13</v>
      </c>
      <c r="Q195" s="195">
        <v>8</v>
      </c>
      <c r="R195" s="195">
        <v>8</v>
      </c>
      <c r="S195" s="195">
        <v>18</v>
      </c>
      <c r="T195" s="195">
        <v>4</v>
      </c>
      <c r="U195" s="195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5">
        <v>192</v>
      </c>
      <c r="K196" s="196" t="s">
        <v>31</v>
      </c>
      <c r="L196" s="196" t="s">
        <v>28</v>
      </c>
      <c r="M196" s="196" t="s">
        <v>98</v>
      </c>
      <c r="N196" s="196" t="s">
        <v>82</v>
      </c>
      <c r="O196" s="196" t="s">
        <v>31</v>
      </c>
      <c r="Q196" s="195">
        <v>7</v>
      </c>
      <c r="R196" s="195">
        <v>9</v>
      </c>
      <c r="S196" s="195">
        <v>15</v>
      </c>
      <c r="T196" s="195">
        <v>14</v>
      </c>
      <c r="U196" s="195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6" t="s">
        <v>97</v>
      </c>
      <c r="L197" s="196" t="s">
        <v>29</v>
      </c>
      <c r="M197" s="196" t="s">
        <v>82</v>
      </c>
      <c r="N197" s="196" t="s">
        <v>31</v>
      </c>
      <c r="O197" s="196" t="s">
        <v>13</v>
      </c>
      <c r="Q197" s="195">
        <v>6</v>
      </c>
      <c r="R197" s="195">
        <v>8</v>
      </c>
      <c r="S197" s="195">
        <v>14</v>
      </c>
      <c r="T197" s="195">
        <v>7</v>
      </c>
      <c r="U197" s="195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5">
        <v>194</v>
      </c>
      <c r="K198" s="196" t="s">
        <v>28</v>
      </c>
      <c r="L198" s="196" t="s">
        <v>13</v>
      </c>
      <c r="M198" s="196" t="s">
        <v>83</v>
      </c>
      <c r="N198" s="196" t="s">
        <v>81</v>
      </c>
      <c r="O198" s="196" t="s">
        <v>29</v>
      </c>
      <c r="Q198" s="195">
        <v>9</v>
      </c>
      <c r="R198" s="195">
        <v>5</v>
      </c>
      <c r="S198" s="195">
        <v>16</v>
      </c>
      <c r="T198" s="195">
        <v>13</v>
      </c>
      <c r="U198" s="195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6" t="s">
        <v>12</v>
      </c>
      <c r="L199" s="196" t="s">
        <v>12</v>
      </c>
      <c r="M199" s="196" t="s">
        <v>82</v>
      </c>
      <c r="N199" s="196" t="s">
        <v>13</v>
      </c>
      <c r="O199" s="196" t="s">
        <v>31</v>
      </c>
      <c r="Q199" s="195">
        <v>4</v>
      </c>
      <c r="R199" s="195">
        <v>4</v>
      </c>
      <c r="S199" s="195">
        <v>14</v>
      </c>
      <c r="T199" s="195">
        <v>5</v>
      </c>
      <c r="U199" s="195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5">
        <v>196</v>
      </c>
      <c r="K200" s="196" t="s">
        <v>97</v>
      </c>
      <c r="L200" s="196" t="s">
        <v>16</v>
      </c>
      <c r="M200" s="196" t="s">
        <v>98</v>
      </c>
      <c r="N200" s="196" t="s">
        <v>83</v>
      </c>
      <c r="O200" s="196" t="s">
        <v>97</v>
      </c>
      <c r="Q200" s="195">
        <v>6</v>
      </c>
      <c r="R200" s="195">
        <v>3</v>
      </c>
      <c r="S200" s="195">
        <v>15</v>
      </c>
      <c r="T200" s="195">
        <v>16</v>
      </c>
      <c r="U200" s="195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6" t="s">
        <v>13</v>
      </c>
      <c r="L201" s="196" t="s">
        <v>29</v>
      </c>
      <c r="M201" s="196" t="s">
        <v>88</v>
      </c>
      <c r="N201" s="196" t="s">
        <v>13</v>
      </c>
      <c r="O201" s="196" t="s">
        <v>31</v>
      </c>
      <c r="Q201" s="195">
        <v>5</v>
      </c>
      <c r="R201" s="195">
        <v>8</v>
      </c>
      <c r="S201" s="195">
        <v>19</v>
      </c>
      <c r="T201" s="195">
        <v>5</v>
      </c>
      <c r="U201" s="195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5">
        <v>198</v>
      </c>
      <c r="K202" s="196" t="s">
        <v>29</v>
      </c>
      <c r="L202" s="196" t="s">
        <v>97</v>
      </c>
      <c r="M202" s="196" t="s">
        <v>83</v>
      </c>
      <c r="N202" s="196" t="s">
        <v>83</v>
      </c>
      <c r="O202" s="196" t="s">
        <v>13</v>
      </c>
      <c r="Q202" s="195">
        <v>8</v>
      </c>
      <c r="R202" s="195">
        <v>6</v>
      </c>
      <c r="S202" s="195">
        <v>16</v>
      </c>
      <c r="T202" s="195">
        <v>16</v>
      </c>
      <c r="U202" s="195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6" t="s">
        <v>12</v>
      </c>
      <c r="L203" s="196" t="s">
        <v>29</v>
      </c>
      <c r="M203" s="196" t="s">
        <v>95</v>
      </c>
      <c r="N203" s="196" t="s">
        <v>31</v>
      </c>
      <c r="O203" s="196" t="s">
        <v>31</v>
      </c>
      <c r="Q203" s="195">
        <v>4</v>
      </c>
      <c r="R203" s="195">
        <v>8</v>
      </c>
      <c r="S203" s="195">
        <v>17</v>
      </c>
      <c r="T203" s="195">
        <v>7</v>
      </c>
      <c r="U203" s="195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5"/>
      <c r="K204" s="196"/>
      <c r="L204" s="196"/>
      <c r="M204" s="196"/>
      <c r="N204" s="196"/>
      <c r="O204" s="196"/>
      <c r="Q204" s="195"/>
      <c r="R204" s="195"/>
      <c r="S204" s="195"/>
      <c r="T204" s="195"/>
      <c r="U204" s="195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6"/>
      <c r="L205" s="196"/>
      <c r="M205" s="196"/>
      <c r="N205" s="196"/>
      <c r="O205" s="196"/>
      <c r="Q205" s="195"/>
      <c r="R205" s="195"/>
      <c r="S205" s="195"/>
      <c r="T205" s="195"/>
      <c r="U205" s="195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6"/>
      <c r="L206" s="196"/>
      <c r="M206" s="196"/>
      <c r="N206" s="196"/>
      <c r="O206" s="196"/>
      <c r="Q206" s="195"/>
      <c r="R206" s="195"/>
      <c r="S206" s="195"/>
      <c r="T206" s="195"/>
      <c r="U206" s="195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5"/>
      <c r="K207" s="196"/>
      <c r="L207" s="196"/>
      <c r="M207" s="196"/>
      <c r="N207" s="196"/>
      <c r="O207" s="196"/>
      <c r="Q207" s="195"/>
      <c r="R207" s="195"/>
      <c r="S207" s="195"/>
      <c r="T207" s="195"/>
      <c r="U207" s="195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6"/>
      <c r="L208" s="196"/>
      <c r="M208" s="196"/>
      <c r="N208" s="196"/>
      <c r="O208" s="196"/>
      <c r="Q208" s="195"/>
      <c r="R208" s="195"/>
      <c r="S208" s="195"/>
      <c r="T208" s="195"/>
      <c r="U208" s="195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5"/>
      <c r="K209" s="196"/>
      <c r="L209" s="196"/>
      <c r="M209" s="196"/>
      <c r="N209" s="196"/>
      <c r="O209" s="196"/>
      <c r="Q209" s="195"/>
      <c r="R209" s="195"/>
      <c r="S209" s="195"/>
      <c r="T209" s="195"/>
      <c r="U209" s="195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6"/>
      <c r="L210" s="196"/>
      <c r="M210" s="196"/>
      <c r="N210" s="196"/>
      <c r="O210" s="196"/>
      <c r="Q210" s="195"/>
      <c r="R210" s="195"/>
      <c r="S210" s="195"/>
      <c r="T210" s="195"/>
      <c r="U210" s="195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5"/>
      <c r="K211" s="196"/>
      <c r="L211" s="196"/>
      <c r="M211" s="196"/>
      <c r="N211" s="196"/>
      <c r="O211" s="196"/>
      <c r="Q211" s="195"/>
      <c r="R211" s="195"/>
      <c r="S211" s="195"/>
      <c r="T211" s="195"/>
      <c r="U211" s="195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201"/>
      <c r="L212" s="201"/>
      <c r="M212" s="201"/>
      <c r="N212" s="201"/>
      <c r="O212" s="201"/>
      <c r="Q212" s="195"/>
      <c r="R212" s="195"/>
      <c r="S212" s="195"/>
      <c r="T212" s="195"/>
      <c r="U212" s="195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5"/>
      <c r="K213" s="201"/>
      <c r="L213" s="201"/>
      <c r="M213" s="201"/>
      <c r="N213" s="201"/>
      <c r="O213" s="201"/>
      <c r="Q213" s="195"/>
      <c r="R213" s="195"/>
      <c r="S213" s="195"/>
      <c r="T213" s="195"/>
      <c r="U213" s="195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201"/>
      <c r="L214" s="201"/>
      <c r="M214" s="201"/>
      <c r="N214" s="201"/>
      <c r="O214" s="201"/>
      <c r="Q214" s="195"/>
      <c r="R214" s="195"/>
      <c r="S214" s="195"/>
      <c r="T214" s="195"/>
      <c r="U214" s="195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5"/>
      <c r="K215" s="201"/>
      <c r="L215" s="201"/>
      <c r="M215" s="201"/>
      <c r="N215" s="201"/>
      <c r="O215" s="201"/>
      <c r="Q215" s="195"/>
      <c r="R215" s="195"/>
      <c r="S215" s="195"/>
      <c r="T215" s="195"/>
      <c r="U215" s="195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201"/>
      <c r="L216" s="201"/>
      <c r="M216" s="201"/>
      <c r="N216" s="201"/>
      <c r="O216" s="201"/>
      <c r="Q216" s="195"/>
      <c r="R216" s="195"/>
      <c r="S216" s="195"/>
      <c r="T216" s="195"/>
      <c r="U216" s="195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5"/>
      <c r="K217" s="201"/>
      <c r="L217" s="201"/>
      <c r="M217" s="201"/>
      <c r="N217" s="201"/>
      <c r="O217" s="201"/>
      <c r="Q217" s="195"/>
      <c r="R217" s="195"/>
      <c r="S217" s="195"/>
      <c r="T217" s="195"/>
      <c r="U217" s="195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201"/>
      <c r="L218" s="201"/>
      <c r="M218" s="201"/>
      <c r="N218" s="201"/>
      <c r="O218" s="201"/>
      <c r="Q218" s="195"/>
      <c r="R218" s="195"/>
      <c r="S218" s="195"/>
      <c r="T218" s="195"/>
      <c r="U218" s="195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5"/>
      <c r="K219" s="201"/>
      <c r="L219" s="201"/>
      <c r="M219" s="201"/>
      <c r="N219" s="201"/>
      <c r="O219" s="201"/>
      <c r="Q219" s="195"/>
      <c r="R219" s="195"/>
      <c r="S219" s="195"/>
      <c r="T219" s="195"/>
      <c r="U219" s="195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201"/>
      <c r="L220" s="201"/>
      <c r="M220" s="201"/>
      <c r="N220" s="201"/>
      <c r="O220" s="201"/>
      <c r="Q220" s="195"/>
      <c r="R220" s="195"/>
      <c r="S220" s="195"/>
      <c r="T220" s="195"/>
      <c r="U220" s="195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5"/>
      <c r="K221" s="201"/>
      <c r="L221" s="201"/>
      <c r="M221" s="201"/>
      <c r="N221" s="201"/>
      <c r="O221" s="201"/>
      <c r="Q221" s="195"/>
      <c r="R221" s="195"/>
      <c r="S221" s="195"/>
      <c r="T221" s="195"/>
      <c r="U221" s="195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201"/>
      <c r="L222" s="201"/>
      <c r="M222" s="201"/>
      <c r="N222" s="201"/>
      <c r="O222" s="201"/>
      <c r="Q222" s="195"/>
      <c r="R222" s="195"/>
      <c r="S222" s="195"/>
      <c r="T222" s="195"/>
      <c r="U222" s="195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5"/>
      <c r="K223" s="201"/>
      <c r="L223" s="201"/>
      <c r="M223" s="201"/>
      <c r="N223" s="201"/>
      <c r="O223" s="201"/>
      <c r="Q223" s="195"/>
      <c r="R223" s="195"/>
      <c r="S223" s="195"/>
      <c r="T223" s="195"/>
      <c r="U223" s="195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201"/>
      <c r="L224" s="201"/>
      <c r="M224" s="201"/>
      <c r="N224" s="201"/>
      <c r="O224" s="201"/>
      <c r="Q224" s="195"/>
      <c r="R224" s="195"/>
      <c r="S224" s="195"/>
      <c r="T224" s="195"/>
      <c r="U224" s="195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5"/>
      <c r="K225" s="201"/>
      <c r="L225" s="201"/>
      <c r="M225" s="201"/>
      <c r="N225" s="201"/>
      <c r="O225" s="201"/>
      <c r="Q225" s="195"/>
      <c r="R225" s="195"/>
      <c r="S225" s="195"/>
      <c r="T225" s="195"/>
      <c r="U225" s="195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201"/>
      <c r="L226" s="201"/>
      <c r="M226" s="201"/>
      <c r="N226" s="201"/>
      <c r="O226" s="201"/>
      <c r="Q226" s="195"/>
      <c r="R226" s="195"/>
      <c r="S226" s="195"/>
      <c r="T226" s="195"/>
      <c r="U226" s="195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5"/>
      <c r="K227" s="201"/>
      <c r="L227" s="201"/>
      <c r="M227" s="201"/>
      <c r="N227" s="201"/>
      <c r="O227" s="201"/>
      <c r="Q227" s="195"/>
      <c r="R227" s="195"/>
      <c r="S227" s="195"/>
      <c r="T227" s="195"/>
      <c r="U227" s="195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201"/>
      <c r="L228" s="201"/>
      <c r="M228" s="201"/>
      <c r="N228" s="201"/>
      <c r="O228" s="201"/>
      <c r="Q228" s="195"/>
      <c r="R228" s="195"/>
      <c r="S228" s="195"/>
      <c r="T228" s="195"/>
      <c r="U228" s="195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5"/>
      <c r="K229" s="201"/>
      <c r="L229" s="201"/>
      <c r="M229" s="201"/>
      <c r="N229" s="201"/>
      <c r="O229" s="201"/>
      <c r="Q229" s="195"/>
      <c r="R229" s="195"/>
      <c r="S229" s="195"/>
      <c r="T229" s="195"/>
      <c r="U229" s="195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201"/>
      <c r="L230" s="201"/>
      <c r="M230" s="201"/>
      <c r="N230" s="201"/>
      <c r="O230" s="201"/>
      <c r="Q230" s="195"/>
      <c r="R230" s="195"/>
      <c r="S230" s="195"/>
      <c r="T230" s="195"/>
      <c r="U230" s="195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5"/>
      <c r="K231" s="201"/>
      <c r="L231" s="201"/>
      <c r="M231" s="201"/>
      <c r="N231" s="201"/>
      <c r="O231" s="201"/>
      <c r="Q231" s="195"/>
      <c r="R231" s="195"/>
      <c r="S231" s="195"/>
      <c r="T231" s="195"/>
      <c r="U231" s="195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201"/>
      <c r="L232" s="201"/>
      <c r="M232" s="201"/>
      <c r="N232" s="201"/>
      <c r="O232" s="201"/>
      <c r="Q232" s="195"/>
      <c r="R232" s="195"/>
      <c r="S232" s="195"/>
      <c r="T232" s="195"/>
      <c r="U232" s="195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5"/>
      <c r="K233" s="201"/>
      <c r="L233" s="201"/>
      <c r="M233" s="201"/>
      <c r="N233" s="201"/>
      <c r="O233" s="201"/>
      <c r="Q233" s="195"/>
      <c r="R233" s="195"/>
      <c r="S233" s="195"/>
      <c r="T233" s="195"/>
      <c r="U233" s="195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201"/>
      <c r="L234" s="201"/>
      <c r="M234" s="201"/>
      <c r="N234" s="201"/>
      <c r="O234" s="201"/>
      <c r="Q234" s="195"/>
      <c r="R234" s="195"/>
      <c r="S234" s="195"/>
      <c r="T234" s="195"/>
      <c r="U234" s="195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5"/>
      <c r="K235" s="201"/>
      <c r="L235" s="201"/>
      <c r="M235" s="201"/>
      <c r="N235" s="201"/>
      <c r="O235" s="201"/>
      <c r="Q235" s="195"/>
      <c r="R235" s="195"/>
      <c r="S235" s="195"/>
      <c r="T235" s="195"/>
      <c r="U235" s="195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201"/>
      <c r="L236" s="201"/>
      <c r="M236" s="201"/>
      <c r="N236" s="201"/>
      <c r="O236" s="201"/>
      <c r="Q236" s="195"/>
      <c r="R236" s="195"/>
      <c r="S236" s="195"/>
      <c r="T236" s="195"/>
      <c r="U236" s="195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5"/>
      <c r="K237" s="201"/>
      <c r="L237" s="201"/>
      <c r="M237" s="201"/>
      <c r="N237" s="201"/>
      <c r="O237" s="201"/>
      <c r="Q237" s="195"/>
      <c r="R237" s="195"/>
      <c r="S237" s="195"/>
      <c r="T237" s="195"/>
      <c r="U237" s="195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201"/>
      <c r="L238" s="201"/>
      <c r="M238" s="201"/>
      <c r="N238" s="201"/>
      <c r="O238" s="201"/>
      <c r="Q238" s="195"/>
      <c r="R238" s="195"/>
      <c r="S238" s="195"/>
      <c r="T238" s="195"/>
      <c r="U238" s="195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5"/>
      <c r="K239" s="201"/>
      <c r="L239" s="201"/>
      <c r="M239" s="201"/>
      <c r="N239" s="201"/>
      <c r="O239" s="201"/>
      <c r="Q239" s="195"/>
      <c r="R239" s="195"/>
      <c r="S239" s="195"/>
      <c r="T239" s="195"/>
      <c r="U239" s="195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201"/>
      <c r="L240" s="201"/>
      <c r="M240" s="201"/>
      <c r="N240" s="201"/>
      <c r="O240" s="201"/>
      <c r="Q240" s="195"/>
      <c r="R240" s="195"/>
      <c r="S240" s="195"/>
      <c r="T240" s="195"/>
      <c r="U240" s="195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5"/>
      <c r="K241" s="201"/>
      <c r="L241" s="201"/>
      <c r="M241" s="201"/>
      <c r="N241" s="201"/>
      <c r="O241" s="201"/>
      <c r="Q241" s="195"/>
      <c r="R241" s="195"/>
      <c r="S241" s="195"/>
      <c r="T241" s="195"/>
      <c r="U241" s="195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201"/>
      <c r="L242" s="201"/>
      <c r="M242" s="201"/>
      <c r="N242" s="201"/>
      <c r="O242" s="201"/>
      <c r="Q242" s="195"/>
      <c r="R242" s="195"/>
      <c r="S242" s="195"/>
      <c r="T242" s="195"/>
      <c r="U242" s="195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5"/>
      <c r="K243" s="201"/>
      <c r="L243" s="201"/>
      <c r="M243" s="201"/>
      <c r="N243" s="201"/>
      <c r="O243" s="201"/>
      <c r="Q243" s="195"/>
      <c r="R243" s="195"/>
      <c r="S243" s="195"/>
      <c r="T243" s="195"/>
      <c r="U243" s="195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201"/>
      <c r="L244" s="201"/>
      <c r="M244" s="201"/>
      <c r="N244" s="201"/>
      <c r="O244" s="201"/>
      <c r="Q244" s="195"/>
      <c r="R244" s="195"/>
      <c r="S244" s="195"/>
      <c r="T244" s="195"/>
      <c r="U244" s="195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5"/>
      <c r="K245" s="201"/>
      <c r="L245" s="201"/>
      <c r="M245" s="201"/>
      <c r="N245" s="201"/>
      <c r="O245" s="201"/>
      <c r="Q245" s="195"/>
      <c r="R245" s="195"/>
      <c r="S245" s="195"/>
      <c r="T245" s="195"/>
      <c r="U245" s="195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201"/>
      <c r="L246" s="201"/>
      <c r="M246" s="201"/>
      <c r="N246" s="201"/>
      <c r="O246" s="201"/>
      <c r="Q246" s="195"/>
      <c r="R246" s="195"/>
      <c r="S246" s="195"/>
      <c r="T246" s="195"/>
      <c r="U246" s="195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5"/>
      <c r="K247" s="201"/>
      <c r="L247" s="201"/>
      <c r="M247" s="201"/>
      <c r="N247" s="201"/>
      <c r="O247" s="201"/>
      <c r="Q247" s="195"/>
      <c r="R247" s="195"/>
      <c r="S247" s="195"/>
      <c r="T247" s="195"/>
      <c r="U247" s="195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201"/>
      <c r="L248" s="201"/>
      <c r="M248" s="201"/>
      <c r="N248" s="201"/>
      <c r="O248" s="201"/>
      <c r="Q248" s="195"/>
      <c r="R248" s="195"/>
      <c r="S248" s="195"/>
      <c r="T248" s="195"/>
      <c r="U248" s="195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5"/>
      <c r="K249" s="201"/>
      <c r="L249" s="201"/>
      <c r="M249" s="201"/>
      <c r="N249" s="201"/>
      <c r="O249" s="201"/>
      <c r="Q249" s="195"/>
      <c r="R249" s="195"/>
      <c r="S249" s="195"/>
      <c r="T249" s="195"/>
      <c r="U249" s="195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201"/>
      <c r="L250" s="201"/>
      <c r="M250" s="201"/>
      <c r="N250" s="201"/>
      <c r="O250" s="201"/>
      <c r="Q250" s="195"/>
      <c r="R250" s="195"/>
      <c r="S250" s="195"/>
      <c r="T250" s="195"/>
      <c r="U250" s="195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5"/>
      <c r="K251" s="201"/>
      <c r="L251" s="201"/>
      <c r="M251" s="201"/>
      <c r="N251" s="201"/>
      <c r="O251" s="201"/>
      <c r="Q251" s="195"/>
      <c r="R251" s="195"/>
      <c r="S251" s="195"/>
      <c r="T251" s="195"/>
      <c r="U251" s="195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201"/>
      <c r="L252" s="201"/>
      <c r="M252" s="201"/>
      <c r="N252" s="201"/>
      <c r="O252" s="201"/>
      <c r="Q252" s="195"/>
      <c r="R252" s="195"/>
      <c r="S252" s="195"/>
      <c r="T252" s="195"/>
      <c r="U252" s="195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5"/>
      <c r="K253" s="201"/>
      <c r="L253" s="201"/>
      <c r="M253" s="201"/>
      <c r="N253" s="201"/>
      <c r="O253" s="201"/>
      <c r="Q253" s="195"/>
      <c r="R253" s="195"/>
      <c r="S253" s="195"/>
      <c r="T253" s="195"/>
      <c r="U253" s="195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201"/>
      <c r="L254" s="201"/>
      <c r="M254" s="201"/>
      <c r="N254" s="201"/>
      <c r="O254" s="201"/>
      <c r="Q254" s="195"/>
      <c r="R254" s="195"/>
      <c r="S254" s="195"/>
      <c r="T254" s="195"/>
      <c r="U254" s="195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5"/>
      <c r="K255" s="201"/>
      <c r="L255" s="201"/>
      <c r="M255" s="201"/>
      <c r="N255" s="201"/>
      <c r="O255" s="201"/>
      <c r="Q255" s="195"/>
      <c r="R255" s="195"/>
      <c r="S255" s="195"/>
      <c r="T255" s="195"/>
      <c r="U255" s="195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201"/>
      <c r="L256" s="201"/>
      <c r="M256" s="201"/>
      <c r="N256" s="201"/>
      <c r="O256" s="201"/>
      <c r="Q256" s="195"/>
      <c r="R256" s="195"/>
      <c r="S256" s="195"/>
      <c r="T256" s="195"/>
      <c r="U256" s="195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5"/>
      <c r="K257" s="201"/>
      <c r="L257" s="201"/>
      <c r="M257" s="201"/>
      <c r="N257" s="201"/>
      <c r="O257" s="201"/>
      <c r="Q257" s="195"/>
      <c r="R257" s="195"/>
      <c r="S257" s="195"/>
      <c r="T257" s="195"/>
      <c r="U257" s="195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201"/>
      <c r="L258" s="201"/>
      <c r="M258" s="201"/>
      <c r="N258" s="201"/>
      <c r="O258" s="201"/>
      <c r="Q258" s="195"/>
      <c r="R258" s="195"/>
      <c r="S258" s="195"/>
      <c r="T258" s="195"/>
      <c r="U258" s="195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5"/>
      <c r="K259" s="201"/>
      <c r="L259" s="201"/>
      <c r="M259" s="201"/>
      <c r="N259" s="201"/>
      <c r="O259" s="201"/>
      <c r="Q259" s="195"/>
      <c r="R259" s="195"/>
      <c r="S259" s="195"/>
      <c r="T259" s="195"/>
      <c r="U259" s="195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201"/>
      <c r="L260" s="201"/>
      <c r="M260" s="201"/>
      <c r="N260" s="201"/>
      <c r="O260" s="201"/>
      <c r="Q260" s="195"/>
      <c r="R260" s="195"/>
      <c r="S260" s="195"/>
      <c r="T260" s="195"/>
      <c r="U260" s="195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5"/>
      <c r="K261" s="201"/>
      <c r="L261" s="201"/>
      <c r="M261" s="201"/>
      <c r="N261" s="201"/>
      <c r="O261" s="201"/>
      <c r="Q261" s="195"/>
      <c r="R261" s="195"/>
      <c r="S261" s="195"/>
      <c r="T261" s="195"/>
      <c r="U261" s="195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201"/>
      <c r="L262" s="201"/>
      <c r="M262" s="201"/>
      <c r="N262" s="201"/>
      <c r="O262" s="201"/>
      <c r="Q262" s="195"/>
      <c r="R262" s="195"/>
      <c r="S262" s="195"/>
      <c r="T262" s="195"/>
      <c r="U262" s="195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5"/>
      <c r="K263" s="201"/>
      <c r="L263" s="201"/>
      <c r="M263" s="201"/>
      <c r="N263" s="201"/>
      <c r="O263" s="201"/>
      <c r="Q263" s="195"/>
      <c r="R263" s="195"/>
      <c r="S263" s="195"/>
      <c r="T263" s="195"/>
      <c r="U263" s="195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201"/>
      <c r="L264" s="201"/>
      <c r="M264" s="201"/>
      <c r="N264" s="201"/>
      <c r="O264" s="201"/>
      <c r="Q264" s="195"/>
      <c r="R264" s="195"/>
      <c r="S264" s="195"/>
      <c r="T264" s="195"/>
      <c r="U264" s="195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5"/>
      <c r="K265" s="201"/>
      <c r="L265" s="201"/>
      <c r="M265" s="201"/>
      <c r="N265" s="201"/>
      <c r="O265" s="201"/>
      <c r="Q265" s="195"/>
      <c r="R265" s="195"/>
      <c r="S265" s="195"/>
      <c r="T265" s="195"/>
      <c r="U265" s="195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201"/>
      <c r="L266" s="201"/>
      <c r="M266" s="201"/>
      <c r="N266" s="201"/>
      <c r="O266" s="201"/>
      <c r="Q266" s="195"/>
      <c r="R266" s="195"/>
      <c r="S266" s="195"/>
      <c r="T266" s="195"/>
      <c r="U266" s="195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5"/>
      <c r="K267" s="201"/>
      <c r="L267" s="201"/>
      <c r="M267" s="201"/>
      <c r="N267" s="201"/>
      <c r="O267" s="201"/>
      <c r="Q267" s="195"/>
      <c r="R267" s="195"/>
      <c r="S267" s="195"/>
      <c r="T267" s="195"/>
      <c r="U267" s="195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201"/>
      <c r="L268" s="201"/>
      <c r="M268" s="201"/>
      <c r="N268" s="201"/>
      <c r="O268" s="201"/>
      <c r="Q268" s="195"/>
      <c r="R268" s="195"/>
      <c r="S268" s="195"/>
      <c r="T268" s="195"/>
      <c r="U268" s="195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5"/>
      <c r="K269" s="201"/>
      <c r="L269" s="201"/>
      <c r="M269" s="201"/>
      <c r="N269" s="201"/>
      <c r="O269" s="201"/>
      <c r="Q269" s="195"/>
      <c r="R269" s="195"/>
      <c r="S269" s="195"/>
      <c r="T269" s="195"/>
      <c r="U269" s="195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201"/>
      <c r="L270" s="201"/>
      <c r="M270" s="201"/>
      <c r="N270" s="201"/>
      <c r="O270" s="201"/>
      <c r="Q270" s="195"/>
      <c r="R270" s="195"/>
      <c r="S270" s="195"/>
      <c r="T270" s="195"/>
      <c r="U270" s="195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5"/>
      <c r="K271" s="201"/>
      <c r="L271" s="201"/>
      <c r="M271" s="201"/>
      <c r="N271" s="201"/>
      <c r="O271" s="201"/>
      <c r="Q271" s="195"/>
      <c r="R271" s="195"/>
      <c r="S271" s="195"/>
      <c r="T271" s="195"/>
      <c r="U271" s="195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201"/>
      <c r="L272" s="201"/>
      <c r="M272" s="201"/>
      <c r="N272" s="201"/>
      <c r="O272" s="201"/>
      <c r="Q272" s="195"/>
      <c r="R272" s="195"/>
      <c r="S272" s="195"/>
      <c r="T272" s="195"/>
      <c r="U272" s="195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5"/>
      <c r="K273" s="201"/>
      <c r="L273" s="201"/>
      <c r="M273" s="201"/>
      <c r="N273" s="201"/>
      <c r="O273" s="201"/>
      <c r="Q273" s="195"/>
      <c r="R273" s="195"/>
      <c r="S273" s="195"/>
      <c r="T273" s="195"/>
      <c r="U273" s="195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201"/>
      <c r="L274" s="201"/>
      <c r="M274" s="201"/>
      <c r="N274" s="201"/>
      <c r="O274" s="201"/>
      <c r="Q274" s="195"/>
      <c r="R274" s="195"/>
      <c r="S274" s="195"/>
      <c r="T274" s="195"/>
      <c r="U274" s="195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5"/>
      <c r="K275" s="201"/>
      <c r="L275" s="201"/>
      <c r="M275" s="201"/>
      <c r="N275" s="201"/>
      <c r="O275" s="201"/>
      <c r="Q275" s="195"/>
      <c r="R275" s="195"/>
      <c r="S275" s="195"/>
      <c r="T275" s="195"/>
      <c r="U275" s="195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201"/>
      <c r="L276" s="201"/>
      <c r="M276" s="201"/>
      <c r="N276" s="201"/>
      <c r="O276" s="201"/>
      <c r="Q276" s="195"/>
      <c r="R276" s="195"/>
      <c r="S276" s="195"/>
      <c r="T276" s="195"/>
      <c r="U276" s="195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5"/>
      <c r="K277" s="201"/>
      <c r="L277" s="201"/>
      <c r="M277" s="201"/>
      <c r="N277" s="201"/>
      <c r="O277" s="201"/>
      <c r="Q277" s="195"/>
      <c r="R277" s="195"/>
      <c r="S277" s="195"/>
      <c r="T277" s="195"/>
      <c r="U277" s="195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201"/>
      <c r="L278" s="201"/>
      <c r="M278" s="201"/>
      <c r="N278" s="201"/>
      <c r="O278" s="201"/>
      <c r="Q278" s="195"/>
      <c r="R278" s="195"/>
      <c r="S278" s="195"/>
      <c r="T278" s="195"/>
      <c r="U278" s="195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5"/>
      <c r="K279" s="201"/>
      <c r="L279" s="201"/>
      <c r="M279" s="201"/>
      <c r="N279" s="201"/>
      <c r="O279" s="201"/>
      <c r="Q279" s="195"/>
      <c r="R279" s="195"/>
      <c r="S279" s="195"/>
      <c r="T279" s="195"/>
      <c r="U279" s="195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201"/>
      <c r="L280" s="201"/>
      <c r="M280" s="201"/>
      <c r="N280" s="201"/>
      <c r="O280" s="201"/>
      <c r="Q280" s="195"/>
      <c r="R280" s="195"/>
      <c r="S280" s="195"/>
      <c r="T280" s="195"/>
      <c r="U280" s="195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5"/>
      <c r="K281" s="201"/>
      <c r="L281" s="201"/>
      <c r="M281" s="201"/>
      <c r="N281" s="201"/>
      <c r="O281" s="201"/>
      <c r="Q281" s="195"/>
      <c r="R281" s="195"/>
      <c r="S281" s="195"/>
      <c r="T281" s="195"/>
      <c r="U281" s="195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201"/>
      <c r="L282" s="201"/>
      <c r="M282" s="201"/>
      <c r="N282" s="201"/>
      <c r="O282" s="201"/>
      <c r="Q282" s="195"/>
      <c r="R282" s="195"/>
      <c r="S282" s="195"/>
      <c r="T282" s="195"/>
      <c r="U282" s="195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5"/>
      <c r="K283" s="201"/>
      <c r="L283" s="201"/>
      <c r="M283" s="201"/>
      <c r="N283" s="201"/>
      <c r="O283" s="201"/>
      <c r="Q283" s="195"/>
      <c r="R283" s="195"/>
      <c r="S283" s="195"/>
      <c r="T283" s="195"/>
      <c r="U283" s="195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201"/>
      <c r="L284" s="201"/>
      <c r="M284" s="201"/>
      <c r="N284" s="201"/>
      <c r="O284" s="201"/>
      <c r="Q284" s="195"/>
      <c r="R284" s="195"/>
      <c r="S284" s="195"/>
      <c r="T284" s="195"/>
      <c r="U284" s="195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5"/>
      <c r="K285" s="201"/>
      <c r="L285" s="201"/>
      <c r="M285" s="201"/>
      <c r="N285" s="201"/>
      <c r="O285" s="201"/>
      <c r="Q285" s="195"/>
      <c r="R285" s="195"/>
      <c r="S285" s="195"/>
      <c r="T285" s="195"/>
      <c r="U285" s="195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201"/>
      <c r="L286" s="201"/>
      <c r="M286" s="201"/>
      <c r="N286" s="201"/>
      <c r="O286" s="201"/>
      <c r="Q286" s="195"/>
      <c r="R286" s="195"/>
      <c r="S286" s="195"/>
      <c r="T286" s="195"/>
      <c r="U286" s="195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5"/>
      <c r="K287" s="201"/>
      <c r="L287" s="201"/>
      <c r="M287" s="201"/>
      <c r="N287" s="201"/>
      <c r="O287" s="201"/>
      <c r="Q287" s="195"/>
      <c r="R287" s="195"/>
      <c r="S287" s="195"/>
      <c r="T287" s="195"/>
      <c r="U287" s="195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201"/>
      <c r="L288" s="201"/>
      <c r="M288" s="201"/>
      <c r="N288" s="201"/>
      <c r="O288" s="201"/>
      <c r="Q288" s="195"/>
      <c r="R288" s="195"/>
      <c r="S288" s="195"/>
      <c r="T288" s="195"/>
      <c r="U288" s="195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5"/>
      <c r="K289" s="201"/>
      <c r="L289" s="201"/>
      <c r="M289" s="201"/>
      <c r="N289" s="201"/>
      <c r="O289" s="201"/>
      <c r="Q289" s="195"/>
      <c r="R289" s="195"/>
      <c r="S289" s="195"/>
      <c r="T289" s="195"/>
      <c r="U289" s="195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201"/>
      <c r="L290" s="201"/>
      <c r="M290" s="201"/>
      <c r="N290" s="201"/>
      <c r="O290" s="201"/>
      <c r="Q290" s="195"/>
      <c r="R290" s="195"/>
      <c r="S290" s="195"/>
      <c r="T290" s="195"/>
      <c r="U290" s="195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5"/>
      <c r="K291" s="201"/>
      <c r="L291" s="201"/>
      <c r="M291" s="201"/>
      <c r="N291" s="201"/>
      <c r="O291" s="201"/>
      <c r="Q291" s="195"/>
      <c r="R291" s="195"/>
      <c r="S291" s="195"/>
      <c r="T291" s="195"/>
      <c r="U291" s="195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201"/>
      <c r="L292" s="201"/>
      <c r="M292" s="201"/>
      <c r="N292" s="201"/>
      <c r="O292" s="201"/>
      <c r="Q292" s="195"/>
      <c r="R292" s="195"/>
      <c r="S292" s="195"/>
      <c r="T292" s="195"/>
      <c r="U292" s="195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5"/>
      <c r="K293" s="201"/>
      <c r="L293" s="201"/>
      <c r="M293" s="201"/>
      <c r="N293" s="201"/>
      <c r="O293" s="201"/>
      <c r="Q293" s="195"/>
      <c r="R293" s="195"/>
      <c r="S293" s="195"/>
      <c r="T293" s="195"/>
      <c r="U293" s="195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5"/>
      <c r="K294" s="201"/>
      <c r="L294" s="201"/>
      <c r="M294" s="201"/>
      <c r="N294" s="201"/>
      <c r="O294" s="201"/>
      <c r="Q294" s="195"/>
      <c r="R294" s="195"/>
      <c r="S294" s="195"/>
      <c r="T294" s="195"/>
      <c r="U294" s="195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5"/>
      <c r="K295" s="201"/>
      <c r="L295" s="201"/>
      <c r="M295" s="201"/>
      <c r="N295" s="201"/>
      <c r="O295" s="201"/>
      <c r="Q295" s="195"/>
      <c r="R295" s="195"/>
      <c r="S295" s="195"/>
      <c r="T295" s="195"/>
      <c r="U295" s="195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5"/>
      <c r="K296" s="201"/>
      <c r="L296" s="201"/>
      <c r="M296" s="201"/>
      <c r="N296" s="201"/>
      <c r="O296" s="201"/>
      <c r="Q296" s="195"/>
      <c r="R296" s="195"/>
      <c r="S296" s="195"/>
      <c r="T296" s="195"/>
      <c r="U296" s="195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5"/>
      <c r="K297" s="201"/>
      <c r="L297" s="201"/>
      <c r="M297" s="201"/>
      <c r="N297" s="201"/>
      <c r="O297" s="201"/>
      <c r="Q297" s="195"/>
      <c r="R297" s="195"/>
      <c r="S297" s="195"/>
      <c r="T297" s="195"/>
      <c r="U297" s="195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5"/>
      <c r="K298" s="201"/>
      <c r="L298" s="201"/>
      <c r="M298" s="201"/>
      <c r="N298" s="201"/>
      <c r="O298" s="201"/>
      <c r="Q298" s="195"/>
      <c r="R298" s="195"/>
      <c r="S298" s="195"/>
      <c r="T298" s="195"/>
      <c r="U298" s="195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5"/>
      <c r="K299" s="201"/>
      <c r="L299" s="201"/>
      <c r="M299" s="201"/>
      <c r="N299" s="201"/>
      <c r="O299" s="201"/>
      <c r="Q299" s="195"/>
      <c r="R299" s="195"/>
      <c r="S299" s="195"/>
      <c r="T299" s="195"/>
      <c r="U299" s="195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5"/>
      <c r="K300" s="201"/>
      <c r="L300" s="201"/>
      <c r="M300" s="201"/>
      <c r="N300" s="201"/>
      <c r="O300" s="201"/>
      <c r="Q300" s="195"/>
      <c r="R300" s="195"/>
      <c r="S300" s="195"/>
      <c r="T300" s="195"/>
      <c r="U300" s="195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5"/>
      <c r="K301" s="201"/>
      <c r="L301" s="201"/>
      <c r="M301" s="201"/>
      <c r="N301" s="201"/>
      <c r="O301" s="201"/>
      <c r="Q301" s="195"/>
      <c r="R301" s="195"/>
      <c r="S301" s="195"/>
      <c r="T301" s="195"/>
      <c r="U301" s="195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5"/>
      <c r="K302" s="201"/>
      <c r="L302" s="201"/>
      <c r="M302" s="201"/>
      <c r="N302" s="201"/>
      <c r="O302" s="201"/>
      <c r="Q302" s="195"/>
      <c r="R302" s="195"/>
      <c r="S302" s="195"/>
      <c r="T302" s="195"/>
      <c r="U302" s="195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5"/>
      <c r="K303" s="201"/>
      <c r="L303" s="201"/>
      <c r="M303" s="201"/>
      <c r="N303" s="201"/>
      <c r="O303" s="201"/>
      <c r="Q303" s="195"/>
      <c r="R303" s="195"/>
      <c r="S303" s="195"/>
      <c r="T303" s="195"/>
      <c r="U303" s="195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5"/>
      <c r="K304" s="201"/>
      <c r="L304" s="201"/>
      <c r="M304" s="201"/>
      <c r="N304" s="201"/>
      <c r="O304" s="201"/>
      <c r="Q304" s="195"/>
      <c r="R304" s="195"/>
      <c r="S304" s="195"/>
      <c r="T304" s="195"/>
      <c r="U304" s="195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zoomScale="70" zoomScaleNormal="70" workbookViewId="0">
      <selection sqref="A1:V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303</v>
      </c>
      <c r="W2" s="25" t="s">
        <v>101</v>
      </c>
      <c r="AC2" s="25" t="s">
        <v>305</v>
      </c>
      <c r="AH2" s="5"/>
      <c r="AI2" s="5"/>
      <c r="AJ2" s="25" t="s">
        <v>94</v>
      </c>
      <c r="AO2" s="5"/>
    </row>
    <row r="3" spans="1:41" ht="15.9" customHeight="1">
      <c r="A3" s="122" t="s">
        <v>36</v>
      </c>
      <c r="B3" s="122" t="s">
        <v>37</v>
      </c>
      <c r="C3" s="122" t="s">
        <v>7</v>
      </c>
      <c r="D3" s="122" t="s">
        <v>8</v>
      </c>
      <c r="E3" s="122" t="s">
        <v>9</v>
      </c>
      <c r="F3" s="122" t="s">
        <v>10</v>
      </c>
      <c r="G3" s="122" t="s">
        <v>11</v>
      </c>
      <c r="H3" s="122" t="s">
        <v>310</v>
      </c>
      <c r="I3" s="14"/>
      <c r="J3" s="122"/>
      <c r="K3" s="122" t="s">
        <v>7</v>
      </c>
      <c r="L3" s="122" t="s">
        <v>8</v>
      </c>
      <c r="M3" s="122" t="s">
        <v>9</v>
      </c>
      <c r="N3" s="122" t="s">
        <v>10</v>
      </c>
      <c r="O3" s="122" t="s">
        <v>11</v>
      </c>
      <c r="Q3" s="122" t="s">
        <v>7</v>
      </c>
      <c r="R3" s="122" t="s">
        <v>8</v>
      </c>
      <c r="S3" s="122" t="s">
        <v>9</v>
      </c>
      <c r="T3" s="122" t="s">
        <v>10</v>
      </c>
      <c r="U3" s="122" t="s">
        <v>11</v>
      </c>
      <c r="W3" s="122" t="s">
        <v>5</v>
      </c>
      <c r="X3" s="122" t="s">
        <v>8</v>
      </c>
      <c r="Y3" s="122" t="s">
        <v>9</v>
      </c>
      <c r="Z3" s="122" t="s">
        <v>10</v>
      </c>
      <c r="AA3" s="122" t="s">
        <v>11</v>
      </c>
      <c r="AO3" s="5"/>
    </row>
    <row r="4" spans="1:41" ht="15.9" customHeight="1">
      <c r="A4" s="203" t="s">
        <v>306</v>
      </c>
      <c r="B4" s="201" t="s">
        <v>38</v>
      </c>
      <c r="C4" s="203">
        <v>0</v>
      </c>
      <c r="D4" s="203">
        <v>0</v>
      </c>
      <c r="E4" s="203">
        <v>0</v>
      </c>
      <c r="F4" s="203">
        <v>0</v>
      </c>
      <c r="G4" s="203">
        <v>0</v>
      </c>
      <c r="H4" s="201">
        <v>0</v>
      </c>
      <c r="I4" s="82"/>
      <c r="J4" s="23">
        <v>0</v>
      </c>
      <c r="K4" s="24" t="s">
        <v>28</v>
      </c>
      <c r="L4" s="24" t="s">
        <v>97</v>
      </c>
      <c r="M4" s="24" t="s">
        <v>98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307</v>
      </c>
      <c r="AH4" s="5"/>
      <c r="AI4" s="5"/>
      <c r="AJ4" s="25" t="s">
        <v>307</v>
      </c>
      <c r="AO4" s="5"/>
    </row>
    <row r="5" spans="1:41" ht="15.9" customHeight="1">
      <c r="A5" s="203" t="s">
        <v>14</v>
      </c>
      <c r="B5" s="201" t="s">
        <v>39</v>
      </c>
      <c r="C5" s="203">
        <v>5</v>
      </c>
      <c r="D5" s="203">
        <v>5</v>
      </c>
      <c r="E5" s="203">
        <v>0</v>
      </c>
      <c r="F5" s="203">
        <v>8</v>
      </c>
      <c r="G5" s="203">
        <v>8</v>
      </c>
      <c r="H5" s="201">
        <v>1</v>
      </c>
      <c r="I5" s="82"/>
      <c r="J5" s="195">
        <v>1</v>
      </c>
      <c r="K5" s="196" t="s">
        <v>97</v>
      </c>
      <c r="L5" s="196" t="s">
        <v>15</v>
      </c>
      <c r="M5" s="196" t="s">
        <v>82</v>
      </c>
      <c r="N5" s="196" t="s">
        <v>28</v>
      </c>
      <c r="O5" s="196" t="s">
        <v>30</v>
      </c>
      <c r="Q5" s="195">
        <v>6</v>
      </c>
      <c r="R5" s="195">
        <v>2</v>
      </c>
      <c r="S5" s="195">
        <v>14</v>
      </c>
      <c r="T5" s="195">
        <v>9</v>
      </c>
      <c r="U5" s="195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2" t="s">
        <v>36</v>
      </c>
      <c r="AD5" s="122" t="s">
        <v>7</v>
      </c>
      <c r="AE5" s="122" t="s">
        <v>8</v>
      </c>
      <c r="AF5" s="122" t="s">
        <v>9</v>
      </c>
      <c r="AG5" s="122" t="s">
        <v>10</v>
      </c>
      <c r="AH5" s="122" t="s">
        <v>11</v>
      </c>
      <c r="AI5" s="5"/>
      <c r="AJ5" s="122" t="s">
        <v>36</v>
      </c>
      <c r="AK5" s="122" t="s">
        <v>7</v>
      </c>
      <c r="AL5" s="122" t="s">
        <v>8</v>
      </c>
      <c r="AM5" s="122" t="s">
        <v>9</v>
      </c>
      <c r="AN5" s="122" t="s">
        <v>10</v>
      </c>
      <c r="AO5" s="122" t="s">
        <v>11</v>
      </c>
    </row>
    <row r="6" spans="1:41" ht="15.9" customHeight="1">
      <c r="A6" s="202" t="s">
        <v>15</v>
      </c>
      <c r="B6" s="136" t="s">
        <v>15</v>
      </c>
      <c r="C6" s="202">
        <v>3</v>
      </c>
      <c r="D6" s="202">
        <v>10</v>
      </c>
      <c r="E6" s="202">
        <v>0</v>
      </c>
      <c r="F6" s="202">
        <v>3</v>
      </c>
      <c r="G6" s="202">
        <v>9</v>
      </c>
      <c r="H6" s="136">
        <v>2</v>
      </c>
      <c r="I6" s="82"/>
      <c r="J6" s="23">
        <v>2</v>
      </c>
      <c r="K6" s="196" t="s">
        <v>13</v>
      </c>
      <c r="L6" s="196" t="s">
        <v>97</v>
      </c>
      <c r="M6" s="196" t="s">
        <v>98</v>
      </c>
      <c r="N6" s="196" t="s">
        <v>29</v>
      </c>
      <c r="O6" s="196" t="s">
        <v>97</v>
      </c>
      <c r="Q6" s="195">
        <v>5</v>
      </c>
      <c r="R6" s="195">
        <v>6</v>
      </c>
      <c r="S6" s="195">
        <v>15</v>
      </c>
      <c r="T6" s="195">
        <v>8</v>
      </c>
      <c r="U6" s="195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201" t="s">
        <v>306</v>
      </c>
      <c r="AD6" s="126">
        <v>0</v>
      </c>
      <c r="AE6" s="126">
        <v>0</v>
      </c>
      <c r="AF6" s="126">
        <v>0</v>
      </c>
      <c r="AG6" s="126">
        <v>0</v>
      </c>
      <c r="AH6" s="126">
        <v>0</v>
      </c>
      <c r="AI6" s="5"/>
      <c r="AJ6" s="201" t="s">
        <v>306</v>
      </c>
      <c r="AK6" s="126">
        <v>0</v>
      </c>
      <c r="AL6" s="126">
        <v>0</v>
      </c>
      <c r="AM6" s="126">
        <v>0</v>
      </c>
      <c r="AN6" s="126">
        <v>0</v>
      </c>
      <c r="AO6" s="126">
        <v>0</v>
      </c>
    </row>
    <row r="7" spans="1:41" ht="15.9" customHeight="1">
      <c r="A7" s="202" t="s">
        <v>16</v>
      </c>
      <c r="B7" s="136" t="s">
        <v>16</v>
      </c>
      <c r="C7" s="202">
        <v>3</v>
      </c>
      <c r="D7" s="202">
        <v>13</v>
      </c>
      <c r="E7" s="202">
        <v>0</v>
      </c>
      <c r="F7" s="202">
        <v>3</v>
      </c>
      <c r="G7" s="202">
        <v>8</v>
      </c>
      <c r="H7" s="136">
        <v>3</v>
      </c>
      <c r="I7" s="82"/>
      <c r="J7" s="195">
        <v>3</v>
      </c>
      <c r="K7" s="196" t="s">
        <v>29</v>
      </c>
      <c r="L7" s="24" t="s">
        <v>16</v>
      </c>
      <c r="M7" s="196" t="s">
        <v>83</v>
      </c>
      <c r="N7" s="196" t="s">
        <v>30</v>
      </c>
      <c r="O7" s="196" t="s">
        <v>15</v>
      </c>
      <c r="Q7" s="195">
        <v>8</v>
      </c>
      <c r="R7" s="195">
        <v>3</v>
      </c>
      <c r="S7" s="195">
        <v>16</v>
      </c>
      <c r="T7" s="195">
        <v>10</v>
      </c>
      <c r="U7" s="195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201" t="s">
        <v>14</v>
      </c>
      <c r="AD7" s="201">
        <v>1</v>
      </c>
      <c r="AE7" s="201">
        <v>1</v>
      </c>
      <c r="AF7" s="201">
        <v>0</v>
      </c>
      <c r="AG7" s="201">
        <v>1</v>
      </c>
      <c r="AH7" s="201">
        <v>1</v>
      </c>
      <c r="AI7" s="5"/>
      <c r="AJ7" s="201" t="s">
        <v>14</v>
      </c>
      <c r="AK7" s="201">
        <v>1</v>
      </c>
      <c r="AL7" s="201">
        <v>1</v>
      </c>
      <c r="AM7" s="201">
        <v>0</v>
      </c>
      <c r="AN7" s="201">
        <v>1</v>
      </c>
      <c r="AO7" s="201">
        <v>1</v>
      </c>
    </row>
    <row r="8" spans="1:41" ht="15.9" customHeight="1">
      <c r="A8" s="202" t="s">
        <v>12</v>
      </c>
      <c r="B8" s="136" t="s">
        <v>12</v>
      </c>
      <c r="C8" s="202">
        <v>7</v>
      </c>
      <c r="D8" s="202">
        <v>14</v>
      </c>
      <c r="E8" s="202">
        <v>0</v>
      </c>
      <c r="F8" s="202">
        <v>7</v>
      </c>
      <c r="G8" s="202">
        <v>14</v>
      </c>
      <c r="H8" s="136">
        <v>4</v>
      </c>
      <c r="I8" s="82"/>
      <c r="J8" s="23">
        <v>4</v>
      </c>
      <c r="K8" s="196" t="s">
        <v>97</v>
      </c>
      <c r="L8" s="196" t="s">
        <v>31</v>
      </c>
      <c r="M8" s="196" t="s">
        <v>95</v>
      </c>
      <c r="N8" s="196" t="s">
        <v>13</v>
      </c>
      <c r="O8" s="196" t="s">
        <v>31</v>
      </c>
      <c r="Q8" s="195">
        <v>6</v>
      </c>
      <c r="R8" s="195">
        <v>7</v>
      </c>
      <c r="S8" s="195">
        <v>17</v>
      </c>
      <c r="T8" s="195">
        <v>5</v>
      </c>
      <c r="U8" s="195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6" t="s">
        <v>15</v>
      </c>
      <c r="AD8" s="202">
        <v>3</v>
      </c>
      <c r="AE8" s="202">
        <v>10</v>
      </c>
      <c r="AF8" s="202">
        <v>0</v>
      </c>
      <c r="AG8" s="202">
        <v>3</v>
      </c>
      <c r="AH8" s="202">
        <v>9</v>
      </c>
      <c r="AI8" s="5"/>
      <c r="AJ8" s="136" t="s">
        <v>15</v>
      </c>
      <c r="AK8" s="202">
        <v>3</v>
      </c>
      <c r="AL8" s="202">
        <v>10</v>
      </c>
      <c r="AM8" s="202">
        <v>0</v>
      </c>
      <c r="AN8" s="202">
        <v>3</v>
      </c>
      <c r="AO8" s="202">
        <v>9</v>
      </c>
    </row>
    <row r="9" spans="1:41" ht="15.9" customHeight="1">
      <c r="A9" s="202" t="s">
        <v>13</v>
      </c>
      <c r="B9" s="136" t="s">
        <v>13</v>
      </c>
      <c r="C9" s="202">
        <v>42</v>
      </c>
      <c r="D9" s="202">
        <v>25</v>
      </c>
      <c r="E9" s="202">
        <v>0</v>
      </c>
      <c r="F9" s="202">
        <v>33</v>
      </c>
      <c r="G9" s="202">
        <v>34</v>
      </c>
      <c r="H9" s="136">
        <v>5</v>
      </c>
      <c r="I9" s="82"/>
      <c r="J9" s="195">
        <v>5</v>
      </c>
      <c r="K9" s="196" t="s">
        <v>13</v>
      </c>
      <c r="L9" s="196" t="s">
        <v>28</v>
      </c>
      <c r="M9" s="196" t="s">
        <v>80</v>
      </c>
      <c r="N9" s="196" t="s">
        <v>98</v>
      </c>
      <c r="O9" s="196" t="s">
        <v>12</v>
      </c>
      <c r="Q9" s="195">
        <v>5</v>
      </c>
      <c r="R9" s="195">
        <v>9</v>
      </c>
      <c r="S9" s="195">
        <v>12</v>
      </c>
      <c r="T9" s="195">
        <v>15</v>
      </c>
      <c r="U9" s="195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6" t="s">
        <v>16</v>
      </c>
      <c r="AD9" s="202">
        <v>3</v>
      </c>
      <c r="AE9" s="202">
        <v>12</v>
      </c>
      <c r="AF9" s="202">
        <v>0</v>
      </c>
      <c r="AG9" s="202">
        <v>3</v>
      </c>
      <c r="AH9" s="202">
        <v>8</v>
      </c>
      <c r="AI9" s="5"/>
      <c r="AJ9" s="136" t="s">
        <v>16</v>
      </c>
      <c r="AK9" s="202">
        <v>3</v>
      </c>
      <c r="AL9" s="202">
        <v>12</v>
      </c>
      <c r="AM9" s="202">
        <v>0</v>
      </c>
      <c r="AN9" s="202">
        <v>3</v>
      </c>
      <c r="AO9" s="202">
        <v>8</v>
      </c>
    </row>
    <row r="10" spans="1:41" ht="15.9" customHeight="1">
      <c r="A10" s="202" t="s">
        <v>97</v>
      </c>
      <c r="B10" s="136" t="s">
        <v>97</v>
      </c>
      <c r="C10" s="202">
        <v>42</v>
      </c>
      <c r="D10" s="202">
        <v>25</v>
      </c>
      <c r="E10" s="202">
        <v>0</v>
      </c>
      <c r="F10" s="202">
        <v>34</v>
      </c>
      <c r="G10" s="202">
        <v>34</v>
      </c>
      <c r="H10" s="136">
        <v>6</v>
      </c>
      <c r="I10" s="82"/>
      <c r="J10" s="23">
        <v>6</v>
      </c>
      <c r="K10" s="196" t="s">
        <v>31</v>
      </c>
      <c r="L10" s="196" t="s">
        <v>88</v>
      </c>
      <c r="M10" s="196" t="s">
        <v>95</v>
      </c>
      <c r="N10" s="196" t="s">
        <v>31</v>
      </c>
      <c r="O10" s="196" t="s">
        <v>30</v>
      </c>
      <c r="Q10" s="195">
        <v>7</v>
      </c>
      <c r="R10" s="195">
        <v>19</v>
      </c>
      <c r="S10" s="195">
        <v>17</v>
      </c>
      <c r="T10" s="195">
        <v>7</v>
      </c>
      <c r="U10" s="195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6" t="s">
        <v>12</v>
      </c>
      <c r="AD10" s="202">
        <v>7</v>
      </c>
      <c r="AE10" s="202">
        <v>13</v>
      </c>
      <c r="AF10" s="202">
        <v>0</v>
      </c>
      <c r="AG10" s="202">
        <v>7</v>
      </c>
      <c r="AH10" s="202">
        <v>14</v>
      </c>
      <c r="AI10" s="5"/>
      <c r="AJ10" s="136" t="s">
        <v>12</v>
      </c>
      <c r="AK10" s="202">
        <v>7</v>
      </c>
      <c r="AL10" s="202">
        <v>13</v>
      </c>
      <c r="AM10" s="202">
        <v>0</v>
      </c>
      <c r="AN10" s="202">
        <v>7</v>
      </c>
      <c r="AO10" s="202">
        <v>14</v>
      </c>
    </row>
    <row r="11" spans="1:41" ht="15.9" customHeight="1">
      <c r="A11" s="202" t="s">
        <v>31</v>
      </c>
      <c r="B11" s="136" t="s">
        <v>31</v>
      </c>
      <c r="C11" s="202">
        <v>42</v>
      </c>
      <c r="D11" s="202">
        <v>29</v>
      </c>
      <c r="E11" s="202">
        <v>0</v>
      </c>
      <c r="F11" s="202">
        <v>33</v>
      </c>
      <c r="G11" s="202">
        <v>33</v>
      </c>
      <c r="H11" s="136">
        <v>7</v>
      </c>
      <c r="I11" s="82"/>
      <c r="J11" s="195">
        <v>7</v>
      </c>
      <c r="K11" s="196" t="s">
        <v>13</v>
      </c>
      <c r="L11" s="196" t="s">
        <v>13</v>
      </c>
      <c r="M11" s="196" t="s">
        <v>98</v>
      </c>
      <c r="N11" s="196" t="s">
        <v>97</v>
      </c>
      <c r="O11" s="196" t="s">
        <v>31</v>
      </c>
      <c r="Q11" s="195">
        <v>5</v>
      </c>
      <c r="R11" s="195">
        <v>5</v>
      </c>
      <c r="S11" s="195">
        <v>15</v>
      </c>
      <c r="T11" s="195">
        <v>6</v>
      </c>
      <c r="U11" s="195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6" t="s">
        <v>13</v>
      </c>
      <c r="AD11" s="202">
        <v>43</v>
      </c>
      <c r="AE11" s="202">
        <v>22</v>
      </c>
      <c r="AF11" s="202">
        <v>0</v>
      </c>
      <c r="AG11" s="202">
        <v>31</v>
      </c>
      <c r="AH11" s="202">
        <v>36</v>
      </c>
      <c r="AI11" s="5"/>
      <c r="AJ11" s="136" t="s">
        <v>13</v>
      </c>
      <c r="AK11" s="202">
        <v>43</v>
      </c>
      <c r="AL11" s="202">
        <v>22</v>
      </c>
      <c r="AM11" s="202">
        <v>0</v>
      </c>
      <c r="AN11" s="202">
        <v>31</v>
      </c>
      <c r="AO11" s="202">
        <v>36</v>
      </c>
    </row>
    <row r="12" spans="1:41" ht="15.9" customHeight="1">
      <c r="A12" s="202" t="s">
        <v>29</v>
      </c>
      <c r="B12" s="136" t="s">
        <v>29</v>
      </c>
      <c r="C12" s="202">
        <v>43</v>
      </c>
      <c r="D12" s="202">
        <v>26</v>
      </c>
      <c r="E12" s="202">
        <v>0</v>
      </c>
      <c r="F12" s="202">
        <v>34</v>
      </c>
      <c r="G12" s="202">
        <v>33</v>
      </c>
      <c r="H12" s="136">
        <v>8</v>
      </c>
      <c r="I12" s="82"/>
      <c r="J12" s="23">
        <v>8</v>
      </c>
      <c r="K12" s="196" t="s">
        <v>97</v>
      </c>
      <c r="L12" s="196" t="s">
        <v>30</v>
      </c>
      <c r="M12" s="196" t="s">
        <v>81</v>
      </c>
      <c r="N12" s="196" t="s">
        <v>30</v>
      </c>
      <c r="O12" s="196" t="s">
        <v>12</v>
      </c>
      <c r="Q12" s="195">
        <v>6</v>
      </c>
      <c r="R12" s="195">
        <v>10</v>
      </c>
      <c r="S12" s="195">
        <v>13</v>
      </c>
      <c r="T12" s="195">
        <v>10</v>
      </c>
      <c r="U12" s="195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6" t="s">
        <v>97</v>
      </c>
      <c r="AD12" s="202">
        <v>42</v>
      </c>
      <c r="AE12" s="202">
        <v>22</v>
      </c>
      <c r="AF12" s="202">
        <v>0</v>
      </c>
      <c r="AG12" s="202">
        <v>27</v>
      </c>
      <c r="AH12" s="202">
        <v>34</v>
      </c>
      <c r="AI12" s="5"/>
      <c r="AJ12" s="136" t="s">
        <v>97</v>
      </c>
      <c r="AK12" s="202">
        <v>42</v>
      </c>
      <c r="AL12" s="202">
        <v>22</v>
      </c>
      <c r="AM12" s="202">
        <v>0</v>
      </c>
      <c r="AN12" s="202">
        <v>27</v>
      </c>
      <c r="AO12" s="202">
        <v>34</v>
      </c>
    </row>
    <row r="13" spans="1:41" ht="15.9" customHeight="1">
      <c r="A13" s="202" t="s">
        <v>28</v>
      </c>
      <c r="B13" s="136" t="s">
        <v>28</v>
      </c>
      <c r="C13" s="202">
        <v>7</v>
      </c>
      <c r="D13" s="202">
        <v>13</v>
      </c>
      <c r="E13" s="202">
        <v>0</v>
      </c>
      <c r="F13" s="202">
        <v>6</v>
      </c>
      <c r="G13" s="202">
        <v>13</v>
      </c>
      <c r="H13" s="136">
        <v>9</v>
      </c>
      <c r="I13" s="82"/>
      <c r="J13" s="195">
        <v>9</v>
      </c>
      <c r="K13" s="196" t="s">
        <v>15</v>
      </c>
      <c r="L13" s="196" t="s">
        <v>83</v>
      </c>
      <c r="M13" s="196" t="s">
        <v>83</v>
      </c>
      <c r="N13" s="196" t="s">
        <v>97</v>
      </c>
      <c r="O13" s="196" t="s">
        <v>13</v>
      </c>
      <c r="Q13" s="195">
        <v>2</v>
      </c>
      <c r="R13" s="195">
        <v>16</v>
      </c>
      <c r="S13" s="195">
        <v>16</v>
      </c>
      <c r="T13" s="195">
        <v>6</v>
      </c>
      <c r="U13" s="195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6" t="s">
        <v>31</v>
      </c>
      <c r="AD13" s="202">
        <v>43</v>
      </c>
      <c r="AE13" s="202">
        <v>27</v>
      </c>
      <c r="AF13" s="202">
        <v>0</v>
      </c>
      <c r="AG13" s="202">
        <v>31</v>
      </c>
      <c r="AH13" s="202">
        <v>35</v>
      </c>
      <c r="AI13" s="5"/>
      <c r="AJ13" s="136" t="s">
        <v>31</v>
      </c>
      <c r="AK13" s="202">
        <v>43</v>
      </c>
      <c r="AL13" s="202">
        <v>27</v>
      </c>
      <c r="AM13" s="202">
        <v>0</v>
      </c>
      <c r="AN13" s="202">
        <v>31</v>
      </c>
      <c r="AO13" s="202">
        <v>35</v>
      </c>
    </row>
    <row r="14" spans="1:41" ht="15.9" customHeight="1">
      <c r="A14" s="202" t="s">
        <v>30</v>
      </c>
      <c r="B14" s="136" t="s">
        <v>30</v>
      </c>
      <c r="C14" s="202">
        <v>6</v>
      </c>
      <c r="D14" s="202">
        <v>8</v>
      </c>
      <c r="E14" s="202">
        <v>0</v>
      </c>
      <c r="F14" s="202">
        <v>7</v>
      </c>
      <c r="G14" s="202">
        <v>14</v>
      </c>
      <c r="H14" s="136">
        <v>10</v>
      </c>
      <c r="I14" s="82"/>
      <c r="J14" s="23">
        <v>10</v>
      </c>
      <c r="K14" s="196" t="s">
        <v>13</v>
      </c>
      <c r="L14" s="196" t="s">
        <v>14</v>
      </c>
      <c r="M14" s="196" t="s">
        <v>95</v>
      </c>
      <c r="N14" s="196" t="s">
        <v>13</v>
      </c>
      <c r="O14" s="196" t="s">
        <v>30</v>
      </c>
      <c r="Q14" s="195">
        <v>5</v>
      </c>
      <c r="R14" s="195">
        <v>1</v>
      </c>
      <c r="S14" s="195">
        <v>17</v>
      </c>
      <c r="T14" s="195">
        <v>5</v>
      </c>
      <c r="U14" s="195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6" t="s">
        <v>29</v>
      </c>
      <c r="AD14" s="202">
        <v>43</v>
      </c>
      <c r="AE14" s="202">
        <v>24</v>
      </c>
      <c r="AF14" s="202">
        <v>0</v>
      </c>
      <c r="AG14" s="202">
        <v>32</v>
      </c>
      <c r="AH14" s="202">
        <v>34</v>
      </c>
      <c r="AI14" s="5"/>
      <c r="AJ14" s="136" t="s">
        <v>29</v>
      </c>
      <c r="AK14" s="202">
        <v>43</v>
      </c>
      <c r="AL14" s="202">
        <v>24</v>
      </c>
      <c r="AM14" s="202">
        <v>0</v>
      </c>
      <c r="AN14" s="202">
        <v>32</v>
      </c>
      <c r="AO14" s="202">
        <v>34</v>
      </c>
    </row>
    <row r="15" spans="1:41" ht="15.9" customHeight="1">
      <c r="A15" s="203" t="s">
        <v>79</v>
      </c>
      <c r="B15" s="201" t="s">
        <v>311</v>
      </c>
      <c r="C15" s="203">
        <v>0</v>
      </c>
      <c r="D15" s="203">
        <v>2</v>
      </c>
      <c r="E15" s="203">
        <v>3</v>
      </c>
      <c r="F15" s="203">
        <v>1</v>
      </c>
      <c r="G15" s="203">
        <v>0</v>
      </c>
      <c r="H15" s="201">
        <v>11</v>
      </c>
      <c r="I15" s="82"/>
      <c r="J15" s="195">
        <v>11</v>
      </c>
      <c r="K15" s="196" t="s">
        <v>97</v>
      </c>
      <c r="L15" s="196" t="s">
        <v>16</v>
      </c>
      <c r="M15" s="196" t="s">
        <v>83</v>
      </c>
      <c r="N15" s="196" t="s">
        <v>14</v>
      </c>
      <c r="O15" s="196" t="s">
        <v>13</v>
      </c>
      <c r="Q15" s="195">
        <v>6</v>
      </c>
      <c r="R15" s="195">
        <v>3</v>
      </c>
      <c r="S15" s="195">
        <v>16</v>
      </c>
      <c r="T15" s="195">
        <v>1</v>
      </c>
      <c r="U15" s="195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6" t="s">
        <v>28</v>
      </c>
      <c r="AD15" s="202">
        <v>7</v>
      </c>
      <c r="AE15" s="202">
        <v>12</v>
      </c>
      <c r="AF15" s="202">
        <v>0</v>
      </c>
      <c r="AG15" s="202">
        <v>6</v>
      </c>
      <c r="AH15" s="202">
        <v>13</v>
      </c>
      <c r="AI15" s="5"/>
      <c r="AJ15" s="136" t="s">
        <v>28</v>
      </c>
      <c r="AK15" s="202">
        <v>7</v>
      </c>
      <c r="AL15" s="202">
        <v>12</v>
      </c>
      <c r="AM15" s="202">
        <v>0</v>
      </c>
      <c r="AN15" s="202">
        <v>6</v>
      </c>
      <c r="AO15" s="202">
        <v>13</v>
      </c>
    </row>
    <row r="16" spans="1:41" ht="15.9" customHeight="1">
      <c r="A16" s="203" t="s">
        <v>80</v>
      </c>
      <c r="B16" s="201" t="s">
        <v>312</v>
      </c>
      <c r="C16" s="203">
        <v>0</v>
      </c>
      <c r="D16" s="203">
        <v>2</v>
      </c>
      <c r="E16" s="203">
        <v>6</v>
      </c>
      <c r="F16" s="203">
        <v>1</v>
      </c>
      <c r="G16" s="203">
        <v>0</v>
      </c>
      <c r="H16" s="201">
        <v>12</v>
      </c>
      <c r="I16" s="82"/>
      <c r="J16" s="23">
        <v>12</v>
      </c>
      <c r="K16" s="196" t="s">
        <v>29</v>
      </c>
      <c r="L16" s="196" t="s">
        <v>97</v>
      </c>
      <c r="M16" s="196" t="s">
        <v>95</v>
      </c>
      <c r="N16" s="196" t="s">
        <v>98</v>
      </c>
      <c r="O16" s="196" t="s">
        <v>28</v>
      </c>
      <c r="Q16" s="195">
        <v>8</v>
      </c>
      <c r="R16" s="195">
        <v>6</v>
      </c>
      <c r="S16" s="195">
        <v>17</v>
      </c>
      <c r="T16" s="195">
        <v>15</v>
      </c>
      <c r="U16" s="195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6" t="s">
        <v>30</v>
      </c>
      <c r="AD16" s="202">
        <v>7</v>
      </c>
      <c r="AE16" s="202">
        <v>8</v>
      </c>
      <c r="AF16" s="202">
        <v>0</v>
      </c>
      <c r="AG16" s="202">
        <v>7</v>
      </c>
      <c r="AH16" s="202">
        <v>14</v>
      </c>
      <c r="AI16" s="5"/>
      <c r="AJ16" s="136" t="s">
        <v>30</v>
      </c>
      <c r="AK16" s="202">
        <v>7</v>
      </c>
      <c r="AL16" s="202">
        <v>8</v>
      </c>
      <c r="AM16" s="202">
        <v>0</v>
      </c>
      <c r="AN16" s="202">
        <v>7</v>
      </c>
      <c r="AO16" s="202">
        <v>14</v>
      </c>
    </row>
    <row r="17" spans="1:41" ht="15.9" customHeight="1">
      <c r="A17" s="203" t="s">
        <v>81</v>
      </c>
      <c r="B17" s="201" t="s">
        <v>313</v>
      </c>
      <c r="C17" s="203">
        <v>0</v>
      </c>
      <c r="D17" s="203">
        <v>2</v>
      </c>
      <c r="E17" s="203">
        <v>8</v>
      </c>
      <c r="F17" s="203">
        <v>2</v>
      </c>
      <c r="G17" s="203">
        <v>0</v>
      </c>
      <c r="H17" s="201">
        <v>13</v>
      </c>
      <c r="I17" s="82"/>
      <c r="J17" s="195">
        <v>13</v>
      </c>
      <c r="K17" s="196" t="s">
        <v>31</v>
      </c>
      <c r="L17" s="196" t="s">
        <v>29</v>
      </c>
      <c r="M17" s="196" t="s">
        <v>98</v>
      </c>
      <c r="N17" s="196" t="s">
        <v>31</v>
      </c>
      <c r="O17" s="196" t="s">
        <v>13</v>
      </c>
      <c r="Q17" s="195">
        <v>7</v>
      </c>
      <c r="R17" s="195">
        <v>8</v>
      </c>
      <c r="S17" s="195">
        <v>15</v>
      </c>
      <c r="T17" s="195">
        <v>7</v>
      </c>
      <c r="U17" s="195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201" t="s">
        <v>79</v>
      </c>
      <c r="AD17" s="203">
        <v>0</v>
      </c>
      <c r="AE17" s="203">
        <v>3</v>
      </c>
      <c r="AF17" s="203">
        <v>3</v>
      </c>
      <c r="AG17" s="203">
        <v>2</v>
      </c>
      <c r="AH17" s="203">
        <v>0</v>
      </c>
      <c r="AI17" s="5"/>
      <c r="AJ17" s="201" t="s">
        <v>79</v>
      </c>
      <c r="AK17" s="203">
        <v>0</v>
      </c>
      <c r="AL17" s="203">
        <v>3</v>
      </c>
      <c r="AM17" s="203">
        <v>3</v>
      </c>
      <c r="AN17" s="203">
        <v>2</v>
      </c>
      <c r="AO17" s="203">
        <v>0</v>
      </c>
    </row>
    <row r="18" spans="1:41" ht="15.9" customHeight="1">
      <c r="A18" s="203" t="s">
        <v>82</v>
      </c>
      <c r="B18" s="201" t="s">
        <v>314</v>
      </c>
      <c r="C18" s="203">
        <v>0</v>
      </c>
      <c r="D18" s="203">
        <v>5</v>
      </c>
      <c r="E18" s="203">
        <v>42</v>
      </c>
      <c r="F18" s="203">
        <v>7</v>
      </c>
      <c r="G18" s="203">
        <v>0</v>
      </c>
      <c r="H18" s="201">
        <v>14</v>
      </c>
      <c r="I18" s="82"/>
      <c r="J18" s="23">
        <v>14</v>
      </c>
      <c r="K18" s="196" t="s">
        <v>28</v>
      </c>
      <c r="L18" s="196" t="s">
        <v>16</v>
      </c>
      <c r="M18" s="196" t="s">
        <v>82</v>
      </c>
      <c r="N18" s="196" t="s">
        <v>98</v>
      </c>
      <c r="O18" s="196" t="s">
        <v>97</v>
      </c>
      <c r="Q18" s="195">
        <v>9</v>
      </c>
      <c r="R18" s="195">
        <v>3</v>
      </c>
      <c r="S18" s="195">
        <v>14</v>
      </c>
      <c r="T18" s="195">
        <v>15</v>
      </c>
      <c r="U18" s="195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201" t="s">
        <v>80</v>
      </c>
      <c r="AD18" s="203">
        <v>0</v>
      </c>
      <c r="AE18" s="203">
        <v>4</v>
      </c>
      <c r="AF18" s="203">
        <v>1</v>
      </c>
      <c r="AG18" s="203">
        <v>2</v>
      </c>
      <c r="AH18" s="203">
        <v>0</v>
      </c>
      <c r="AI18" s="5"/>
      <c r="AJ18" s="201" t="s">
        <v>80</v>
      </c>
      <c r="AK18" s="203">
        <v>0</v>
      </c>
      <c r="AL18" s="203">
        <v>4</v>
      </c>
      <c r="AM18" s="203">
        <v>1</v>
      </c>
      <c r="AN18" s="203">
        <v>2</v>
      </c>
      <c r="AO18" s="203">
        <v>0</v>
      </c>
    </row>
    <row r="19" spans="1:41" ht="15.9" customHeight="1">
      <c r="A19" s="203" t="s">
        <v>98</v>
      </c>
      <c r="B19" s="201" t="s">
        <v>315</v>
      </c>
      <c r="C19" s="203">
        <v>0</v>
      </c>
      <c r="D19" s="203">
        <v>5</v>
      </c>
      <c r="E19" s="203">
        <v>42</v>
      </c>
      <c r="F19" s="203">
        <v>6</v>
      </c>
      <c r="G19" s="203">
        <v>0</v>
      </c>
      <c r="H19" s="201">
        <v>15</v>
      </c>
      <c r="I19" s="82"/>
      <c r="J19" s="195">
        <v>15</v>
      </c>
      <c r="K19" s="196" t="s">
        <v>31</v>
      </c>
      <c r="L19" s="196" t="s">
        <v>95</v>
      </c>
      <c r="M19" s="196" t="s">
        <v>95</v>
      </c>
      <c r="N19" s="196" t="s">
        <v>80</v>
      </c>
      <c r="O19" s="196" t="s">
        <v>28</v>
      </c>
      <c r="Q19" s="195">
        <v>7</v>
      </c>
      <c r="R19" s="195">
        <v>17</v>
      </c>
      <c r="S19" s="195">
        <v>17</v>
      </c>
      <c r="T19" s="195">
        <v>12</v>
      </c>
      <c r="U19" s="195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201" t="s">
        <v>81</v>
      </c>
      <c r="AD19" s="203">
        <v>0</v>
      </c>
      <c r="AE19" s="203">
        <v>4</v>
      </c>
      <c r="AF19" s="203">
        <v>8</v>
      </c>
      <c r="AG19" s="203">
        <v>3</v>
      </c>
      <c r="AH19" s="203">
        <v>0</v>
      </c>
      <c r="AI19" s="5"/>
      <c r="AJ19" s="201" t="s">
        <v>81</v>
      </c>
      <c r="AK19" s="203">
        <v>0</v>
      </c>
      <c r="AL19" s="203">
        <v>4</v>
      </c>
      <c r="AM19" s="203">
        <v>8</v>
      </c>
      <c r="AN19" s="203">
        <v>3</v>
      </c>
      <c r="AO19" s="203">
        <v>0</v>
      </c>
    </row>
    <row r="20" spans="1:41" ht="15.9" customHeight="1">
      <c r="A20" s="203" t="s">
        <v>83</v>
      </c>
      <c r="B20" s="201" t="s">
        <v>316</v>
      </c>
      <c r="C20" s="203">
        <v>0</v>
      </c>
      <c r="D20" s="203">
        <v>7</v>
      </c>
      <c r="E20" s="203">
        <v>42</v>
      </c>
      <c r="F20" s="203">
        <v>6</v>
      </c>
      <c r="G20" s="203">
        <v>0</v>
      </c>
      <c r="H20" s="201">
        <v>16</v>
      </c>
      <c r="I20" s="82"/>
      <c r="J20" s="23">
        <v>16</v>
      </c>
      <c r="K20" s="196" t="s">
        <v>13</v>
      </c>
      <c r="L20" s="196" t="s">
        <v>12</v>
      </c>
      <c r="M20" s="196" t="s">
        <v>83</v>
      </c>
      <c r="N20" s="196" t="s">
        <v>97</v>
      </c>
      <c r="O20" s="196" t="s">
        <v>29</v>
      </c>
      <c r="Q20" s="195">
        <v>5</v>
      </c>
      <c r="R20" s="195">
        <v>4</v>
      </c>
      <c r="S20" s="195">
        <v>16</v>
      </c>
      <c r="T20" s="195">
        <v>6</v>
      </c>
      <c r="U20" s="195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201" t="s">
        <v>82</v>
      </c>
      <c r="AD20" s="203">
        <v>0</v>
      </c>
      <c r="AE20" s="203">
        <v>9</v>
      </c>
      <c r="AF20" s="203">
        <v>43</v>
      </c>
      <c r="AG20" s="203">
        <v>12</v>
      </c>
      <c r="AH20" s="203">
        <v>0</v>
      </c>
      <c r="AI20" s="5"/>
      <c r="AJ20" s="201" t="s">
        <v>82</v>
      </c>
      <c r="AK20" s="203">
        <v>0</v>
      </c>
      <c r="AL20" s="203">
        <v>9</v>
      </c>
      <c r="AM20" s="203">
        <v>43</v>
      </c>
      <c r="AN20" s="203">
        <v>12</v>
      </c>
      <c r="AO20" s="203">
        <v>0</v>
      </c>
    </row>
    <row r="21" spans="1:41" ht="15.9" customHeight="1">
      <c r="A21" s="203" t="s">
        <v>95</v>
      </c>
      <c r="B21" s="201" t="s">
        <v>317</v>
      </c>
      <c r="C21" s="203">
        <v>0</v>
      </c>
      <c r="D21" s="203">
        <v>5</v>
      </c>
      <c r="E21" s="203">
        <v>42</v>
      </c>
      <c r="F21" s="203">
        <v>6</v>
      </c>
      <c r="G21" s="203">
        <v>0</v>
      </c>
      <c r="H21" s="201">
        <v>17</v>
      </c>
      <c r="I21" s="82"/>
      <c r="J21" s="195">
        <v>17</v>
      </c>
      <c r="K21" s="196" t="s">
        <v>16</v>
      </c>
      <c r="L21" s="196" t="s">
        <v>30</v>
      </c>
      <c r="M21" s="196" t="s">
        <v>95</v>
      </c>
      <c r="N21" s="196" t="s">
        <v>13</v>
      </c>
      <c r="O21" s="196" t="s">
        <v>15</v>
      </c>
      <c r="Q21" s="195">
        <v>3</v>
      </c>
      <c r="R21" s="195">
        <v>10</v>
      </c>
      <c r="S21" s="195">
        <v>17</v>
      </c>
      <c r="T21" s="195">
        <v>5</v>
      </c>
      <c r="U21" s="195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201" t="s">
        <v>98</v>
      </c>
      <c r="AD21" s="203">
        <v>0</v>
      </c>
      <c r="AE21" s="203">
        <v>9</v>
      </c>
      <c r="AF21" s="203">
        <v>42</v>
      </c>
      <c r="AG21" s="203">
        <v>13</v>
      </c>
      <c r="AH21" s="203">
        <v>0</v>
      </c>
      <c r="AI21" s="5"/>
      <c r="AJ21" s="201" t="s">
        <v>98</v>
      </c>
      <c r="AK21" s="203">
        <v>0</v>
      </c>
      <c r="AL21" s="203">
        <v>9</v>
      </c>
      <c r="AM21" s="203">
        <v>42</v>
      </c>
      <c r="AN21" s="203">
        <v>13</v>
      </c>
      <c r="AO21" s="203">
        <v>0</v>
      </c>
    </row>
    <row r="22" spans="1:41" ht="15.9" customHeight="1">
      <c r="A22" s="203" t="s">
        <v>86</v>
      </c>
      <c r="B22" s="201" t="s">
        <v>318</v>
      </c>
      <c r="C22" s="203">
        <v>0</v>
      </c>
      <c r="D22" s="203">
        <v>2</v>
      </c>
      <c r="E22" s="203">
        <v>6</v>
      </c>
      <c r="F22" s="203">
        <v>1</v>
      </c>
      <c r="G22" s="203">
        <v>0</v>
      </c>
      <c r="H22" s="201">
        <v>18</v>
      </c>
      <c r="I22" s="82"/>
      <c r="J22" s="23">
        <v>18</v>
      </c>
      <c r="K22" s="196" t="s">
        <v>29</v>
      </c>
      <c r="L22" s="196" t="s">
        <v>12</v>
      </c>
      <c r="M22" s="196" t="s">
        <v>82</v>
      </c>
      <c r="N22" s="196" t="s">
        <v>97</v>
      </c>
      <c r="O22" s="196" t="s">
        <v>13</v>
      </c>
      <c r="Q22" s="195">
        <v>8</v>
      </c>
      <c r="R22" s="195">
        <v>4</v>
      </c>
      <c r="S22" s="195">
        <v>14</v>
      </c>
      <c r="T22" s="195">
        <v>6</v>
      </c>
      <c r="U22" s="195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201" t="s">
        <v>83</v>
      </c>
      <c r="AD22" s="203">
        <v>0</v>
      </c>
      <c r="AE22" s="203">
        <v>11</v>
      </c>
      <c r="AF22" s="203">
        <v>42</v>
      </c>
      <c r="AG22" s="203">
        <v>11</v>
      </c>
      <c r="AH22" s="203">
        <v>0</v>
      </c>
      <c r="AI22" s="5"/>
      <c r="AJ22" s="201" t="s">
        <v>83</v>
      </c>
      <c r="AK22" s="203">
        <v>0</v>
      </c>
      <c r="AL22" s="203">
        <v>11</v>
      </c>
      <c r="AM22" s="203">
        <v>42</v>
      </c>
      <c r="AN22" s="203">
        <v>11</v>
      </c>
      <c r="AO22" s="203">
        <v>0</v>
      </c>
    </row>
    <row r="23" spans="1:41" ht="15.9" customHeight="1">
      <c r="A23" s="203" t="s">
        <v>88</v>
      </c>
      <c r="B23" s="201" t="s">
        <v>319</v>
      </c>
      <c r="C23" s="203">
        <v>0</v>
      </c>
      <c r="D23" s="203">
        <v>2</v>
      </c>
      <c r="E23" s="203">
        <v>9</v>
      </c>
      <c r="F23" s="203">
        <v>2</v>
      </c>
      <c r="G23" s="203">
        <v>0</v>
      </c>
      <c r="H23" s="201">
        <v>19</v>
      </c>
      <c r="I23" s="82"/>
      <c r="J23" s="195">
        <v>19</v>
      </c>
      <c r="K23" s="196" t="s">
        <v>13</v>
      </c>
      <c r="L23" s="196" t="s">
        <v>13</v>
      </c>
      <c r="M23" s="196" t="s">
        <v>81</v>
      </c>
      <c r="N23" s="196" t="s">
        <v>13</v>
      </c>
      <c r="O23" s="196" t="s">
        <v>97</v>
      </c>
      <c r="Q23" s="195">
        <v>5</v>
      </c>
      <c r="R23" s="195">
        <v>5</v>
      </c>
      <c r="S23" s="195">
        <v>13</v>
      </c>
      <c r="T23" s="195">
        <v>5</v>
      </c>
      <c r="U23" s="195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201" t="s">
        <v>95</v>
      </c>
      <c r="AD23" s="203">
        <v>0</v>
      </c>
      <c r="AE23" s="203">
        <v>10</v>
      </c>
      <c r="AF23" s="203">
        <v>44</v>
      </c>
      <c r="AG23" s="203">
        <v>11</v>
      </c>
      <c r="AH23" s="203">
        <v>0</v>
      </c>
      <c r="AI23" s="5"/>
      <c r="AJ23" s="201" t="s">
        <v>95</v>
      </c>
      <c r="AK23" s="203">
        <v>0</v>
      </c>
      <c r="AL23" s="203">
        <v>10</v>
      </c>
      <c r="AM23" s="203">
        <v>44</v>
      </c>
      <c r="AN23" s="203">
        <v>11</v>
      </c>
      <c r="AO23" s="203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6" t="s">
        <v>29</v>
      </c>
      <c r="L24" s="196" t="s">
        <v>31</v>
      </c>
      <c r="M24" s="196" t="s">
        <v>83</v>
      </c>
      <c r="N24" s="196" t="s">
        <v>14</v>
      </c>
      <c r="O24" s="196" t="s">
        <v>30</v>
      </c>
      <c r="Q24" s="195">
        <v>8</v>
      </c>
      <c r="R24" s="195">
        <v>7</v>
      </c>
      <c r="S24" s="195">
        <v>16</v>
      </c>
      <c r="T24" s="195">
        <v>1</v>
      </c>
      <c r="U24" s="195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201" t="s">
        <v>86</v>
      </c>
      <c r="AD24" s="203">
        <v>0</v>
      </c>
      <c r="AE24" s="203">
        <v>4</v>
      </c>
      <c r="AF24" s="203">
        <v>6</v>
      </c>
      <c r="AG24" s="203">
        <v>2</v>
      </c>
      <c r="AH24" s="203">
        <v>0</v>
      </c>
      <c r="AI24" s="5"/>
      <c r="AJ24" s="201" t="s">
        <v>86</v>
      </c>
      <c r="AK24" s="203">
        <v>0</v>
      </c>
      <c r="AL24" s="203">
        <v>4</v>
      </c>
      <c r="AM24" s="203">
        <v>6</v>
      </c>
      <c r="AN24" s="203">
        <v>2</v>
      </c>
      <c r="AO24" s="203">
        <v>0</v>
      </c>
    </row>
    <row r="25" spans="1:41" ht="16.5" customHeight="1">
      <c r="I25" s="82"/>
      <c r="J25" s="195">
        <v>21</v>
      </c>
      <c r="K25" s="196" t="s">
        <v>13</v>
      </c>
      <c r="L25" s="196" t="s">
        <v>15</v>
      </c>
      <c r="M25" s="196" t="s">
        <v>98</v>
      </c>
      <c r="N25" s="196" t="s">
        <v>31</v>
      </c>
      <c r="O25" s="196" t="s">
        <v>31</v>
      </c>
      <c r="Q25" s="195">
        <v>5</v>
      </c>
      <c r="R25" s="195">
        <v>2</v>
      </c>
      <c r="S25" s="195">
        <v>15</v>
      </c>
      <c r="T25" s="195">
        <v>7</v>
      </c>
      <c r="U25" s="195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201" t="s">
        <v>88</v>
      </c>
      <c r="AD25" s="203">
        <v>0</v>
      </c>
      <c r="AE25" s="203">
        <v>3</v>
      </c>
      <c r="AF25" s="203">
        <v>9</v>
      </c>
      <c r="AG25" s="203">
        <v>3</v>
      </c>
      <c r="AH25" s="203">
        <v>0</v>
      </c>
      <c r="AI25" s="5"/>
      <c r="AJ25" s="201" t="s">
        <v>88</v>
      </c>
      <c r="AK25" s="203">
        <v>0</v>
      </c>
      <c r="AL25" s="203">
        <v>3</v>
      </c>
      <c r="AM25" s="203">
        <v>9</v>
      </c>
      <c r="AN25" s="203">
        <v>3</v>
      </c>
      <c r="AO25" s="203">
        <v>0</v>
      </c>
    </row>
    <row r="26" spans="1:41" ht="16.5" customHeight="1">
      <c r="B26" s="5" t="s">
        <v>320</v>
      </c>
      <c r="C26" s="5">
        <v>1</v>
      </c>
      <c r="D26" s="158">
        <v>0.84</v>
      </c>
      <c r="E26" s="158">
        <v>0</v>
      </c>
      <c r="F26" s="158">
        <v>0.84</v>
      </c>
      <c r="G26" s="5">
        <v>1</v>
      </c>
      <c r="I26" s="82"/>
      <c r="J26" s="23">
        <v>22</v>
      </c>
      <c r="K26" s="196" t="s">
        <v>97</v>
      </c>
      <c r="L26" s="196" t="s">
        <v>30</v>
      </c>
      <c r="M26" s="196" t="s">
        <v>79</v>
      </c>
      <c r="N26" s="196" t="s">
        <v>97</v>
      </c>
      <c r="O26" s="196" t="s">
        <v>97</v>
      </c>
      <c r="Q26" s="195">
        <v>6</v>
      </c>
      <c r="R26" s="195">
        <v>10</v>
      </c>
      <c r="S26" s="195">
        <v>11</v>
      </c>
      <c r="T26" s="195">
        <v>6</v>
      </c>
      <c r="U26" s="195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321</v>
      </c>
      <c r="C27" s="5">
        <v>0</v>
      </c>
      <c r="D27" s="158">
        <v>0.16</v>
      </c>
      <c r="E27" s="158">
        <v>1</v>
      </c>
      <c r="F27" s="158">
        <v>0.16</v>
      </c>
      <c r="G27" s="5">
        <v>0</v>
      </c>
      <c r="I27" s="82"/>
      <c r="J27" s="195">
        <v>23</v>
      </c>
      <c r="K27" s="196" t="s">
        <v>13</v>
      </c>
      <c r="L27" s="196" t="s">
        <v>13</v>
      </c>
      <c r="M27" s="196" t="s">
        <v>98</v>
      </c>
      <c r="N27" s="196" t="s">
        <v>29</v>
      </c>
      <c r="O27" s="196" t="s">
        <v>14</v>
      </c>
      <c r="Q27" s="195">
        <v>5</v>
      </c>
      <c r="R27" s="195">
        <v>5</v>
      </c>
      <c r="S27" s="195">
        <v>15</v>
      </c>
      <c r="T27" s="195">
        <v>8</v>
      </c>
      <c r="U27" s="195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6" t="s">
        <v>12</v>
      </c>
      <c r="L28" s="196" t="s">
        <v>16</v>
      </c>
      <c r="M28" s="196" t="s">
        <v>82</v>
      </c>
      <c r="N28" s="196" t="s">
        <v>12</v>
      </c>
      <c r="O28" s="196" t="s">
        <v>31</v>
      </c>
      <c r="Q28" s="195">
        <v>4</v>
      </c>
      <c r="R28" s="195">
        <v>3</v>
      </c>
      <c r="S28" s="195">
        <v>14</v>
      </c>
      <c r="T28" s="195">
        <v>4</v>
      </c>
      <c r="U28" s="195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308</v>
      </c>
      <c r="AH28" s="5"/>
      <c r="AI28" s="5"/>
      <c r="AJ28" s="25" t="s">
        <v>308</v>
      </c>
      <c r="AO28" s="5"/>
    </row>
    <row r="29" spans="1:41" ht="16.5" customHeight="1">
      <c r="I29" s="82"/>
      <c r="J29" s="195">
        <v>25</v>
      </c>
      <c r="K29" s="196" t="s">
        <v>31</v>
      </c>
      <c r="L29" s="196" t="s">
        <v>29</v>
      </c>
      <c r="M29" s="196" t="s">
        <v>98</v>
      </c>
      <c r="N29" s="196" t="s">
        <v>31</v>
      </c>
      <c r="O29" s="196" t="s">
        <v>13</v>
      </c>
      <c r="Q29" s="195">
        <v>7</v>
      </c>
      <c r="R29" s="195">
        <v>8</v>
      </c>
      <c r="S29" s="195">
        <v>15</v>
      </c>
      <c r="T29" s="195">
        <v>7</v>
      </c>
      <c r="U29" s="195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2" t="s">
        <v>36</v>
      </c>
      <c r="AD29" s="122" t="s">
        <v>7</v>
      </c>
      <c r="AE29" s="122" t="s">
        <v>8</v>
      </c>
      <c r="AF29" s="122" t="s">
        <v>9</v>
      </c>
      <c r="AG29" s="122" t="s">
        <v>10</v>
      </c>
      <c r="AH29" s="122" t="s">
        <v>11</v>
      </c>
      <c r="AI29" s="5"/>
      <c r="AJ29" s="122" t="s">
        <v>36</v>
      </c>
      <c r="AK29" s="122" t="s">
        <v>7</v>
      </c>
      <c r="AL29" s="122" t="s">
        <v>8</v>
      </c>
      <c r="AM29" s="122" t="s">
        <v>9</v>
      </c>
      <c r="AN29" s="122" t="s">
        <v>10</v>
      </c>
      <c r="AO29" s="122" t="s">
        <v>11</v>
      </c>
    </row>
    <row r="30" spans="1:41" ht="16.5" customHeight="1">
      <c r="I30" s="82"/>
      <c r="J30" s="23">
        <v>26</v>
      </c>
      <c r="K30" s="196" t="s">
        <v>13</v>
      </c>
      <c r="L30" s="196" t="s">
        <v>83</v>
      </c>
      <c r="M30" s="196" t="s">
        <v>83</v>
      </c>
      <c r="N30" s="196" t="s">
        <v>97</v>
      </c>
      <c r="O30" s="196" t="s">
        <v>29</v>
      </c>
      <c r="Q30" s="195">
        <v>5</v>
      </c>
      <c r="R30" s="195">
        <v>16</v>
      </c>
      <c r="S30" s="195">
        <v>16</v>
      </c>
      <c r="T30" s="195">
        <v>6</v>
      </c>
      <c r="U30" s="195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201" t="s">
        <v>306</v>
      </c>
      <c r="AD30" s="126">
        <v>0</v>
      </c>
      <c r="AE30" s="126">
        <v>0</v>
      </c>
      <c r="AF30" s="126">
        <v>0</v>
      </c>
      <c r="AG30" s="126">
        <v>0</v>
      </c>
      <c r="AH30" s="126">
        <v>0</v>
      </c>
      <c r="AI30" s="5"/>
      <c r="AJ30" s="201" t="s">
        <v>306</v>
      </c>
      <c r="AK30" s="126">
        <v>0</v>
      </c>
      <c r="AL30" s="126">
        <v>0</v>
      </c>
      <c r="AM30" s="126">
        <v>0</v>
      </c>
      <c r="AN30" s="126">
        <v>0</v>
      </c>
      <c r="AO30" s="126">
        <v>0</v>
      </c>
    </row>
    <row r="31" spans="1:41" ht="16.5" customHeight="1">
      <c r="I31" s="82"/>
      <c r="J31" s="195">
        <v>27</v>
      </c>
      <c r="K31" s="196" t="s">
        <v>31</v>
      </c>
      <c r="L31" s="196" t="s">
        <v>15</v>
      </c>
      <c r="M31" s="196" t="s">
        <v>82</v>
      </c>
      <c r="N31" s="196" t="s">
        <v>29</v>
      </c>
      <c r="O31" s="196" t="s">
        <v>12</v>
      </c>
      <c r="Q31" s="195">
        <v>7</v>
      </c>
      <c r="R31" s="195">
        <v>2</v>
      </c>
      <c r="S31" s="195">
        <v>14</v>
      </c>
      <c r="T31" s="195">
        <v>8</v>
      </c>
      <c r="U31" s="195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201" t="s">
        <v>14</v>
      </c>
      <c r="AD31" s="201">
        <v>1</v>
      </c>
      <c r="AE31" s="201">
        <v>1</v>
      </c>
      <c r="AF31" s="201">
        <v>0</v>
      </c>
      <c r="AG31" s="201">
        <v>1</v>
      </c>
      <c r="AH31" s="201">
        <v>1</v>
      </c>
      <c r="AI31" s="5"/>
      <c r="AJ31" s="201" t="s">
        <v>14</v>
      </c>
      <c r="AK31" s="201">
        <v>1</v>
      </c>
      <c r="AL31" s="201">
        <v>1</v>
      </c>
      <c r="AM31" s="201">
        <v>0</v>
      </c>
      <c r="AN31" s="201">
        <v>1</v>
      </c>
      <c r="AO31" s="201">
        <v>1</v>
      </c>
    </row>
    <row r="32" spans="1:41" ht="16.5" customHeight="1">
      <c r="J32" s="23">
        <v>28</v>
      </c>
      <c r="K32" s="196" t="s">
        <v>13</v>
      </c>
      <c r="L32" s="196" t="s">
        <v>31</v>
      </c>
      <c r="M32" s="196" t="s">
        <v>81</v>
      </c>
      <c r="N32" s="196" t="s">
        <v>97</v>
      </c>
      <c r="O32" s="196" t="s">
        <v>31</v>
      </c>
      <c r="Q32" s="195">
        <v>5</v>
      </c>
      <c r="R32" s="195">
        <v>7</v>
      </c>
      <c r="S32" s="195">
        <v>13</v>
      </c>
      <c r="T32" s="195">
        <v>6</v>
      </c>
      <c r="U32" s="195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6" t="s">
        <v>15</v>
      </c>
      <c r="AD32" s="202">
        <v>3</v>
      </c>
      <c r="AE32" s="202">
        <v>10</v>
      </c>
      <c r="AF32" s="202">
        <v>0</v>
      </c>
      <c r="AG32" s="202">
        <v>3</v>
      </c>
      <c r="AH32" s="202">
        <v>9</v>
      </c>
      <c r="AI32" s="5"/>
      <c r="AJ32" s="136" t="s">
        <v>15</v>
      </c>
      <c r="AK32" s="202">
        <v>3</v>
      </c>
      <c r="AL32" s="202">
        <v>10</v>
      </c>
      <c r="AM32" s="202">
        <v>0</v>
      </c>
      <c r="AN32" s="202">
        <v>3</v>
      </c>
      <c r="AO32" s="202">
        <v>9</v>
      </c>
    </row>
    <row r="33" spans="10:41" ht="16.5" customHeight="1">
      <c r="J33" s="195">
        <v>29</v>
      </c>
      <c r="K33" s="196" t="s">
        <v>97</v>
      </c>
      <c r="L33" s="196" t="s">
        <v>29</v>
      </c>
      <c r="M33" s="196" t="s">
        <v>83</v>
      </c>
      <c r="N33" s="196" t="s">
        <v>86</v>
      </c>
      <c r="O33" s="196" t="s">
        <v>13</v>
      </c>
      <c r="Q33" s="195">
        <v>6</v>
      </c>
      <c r="R33" s="195">
        <v>8</v>
      </c>
      <c r="S33" s="195">
        <v>16</v>
      </c>
      <c r="T33" s="195">
        <v>18</v>
      </c>
      <c r="U33" s="195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6" t="s">
        <v>16</v>
      </c>
      <c r="AD33" s="202">
        <v>3</v>
      </c>
      <c r="AE33" s="202">
        <v>12</v>
      </c>
      <c r="AF33" s="202">
        <v>0</v>
      </c>
      <c r="AG33" s="202">
        <v>3</v>
      </c>
      <c r="AH33" s="202">
        <v>8</v>
      </c>
      <c r="AI33" s="5"/>
      <c r="AJ33" s="136" t="s">
        <v>16</v>
      </c>
      <c r="AK33" s="202">
        <v>3</v>
      </c>
      <c r="AL33" s="202">
        <v>12</v>
      </c>
      <c r="AM33" s="202">
        <v>0</v>
      </c>
      <c r="AN33" s="202">
        <v>3</v>
      </c>
      <c r="AO33" s="202">
        <v>8</v>
      </c>
    </row>
    <row r="34" spans="10:41" ht="16.5" customHeight="1">
      <c r="J34" s="23">
        <v>30</v>
      </c>
      <c r="K34" s="196" t="s">
        <v>13</v>
      </c>
      <c r="L34" s="196" t="s">
        <v>15</v>
      </c>
      <c r="M34" s="196" t="s">
        <v>82</v>
      </c>
      <c r="N34" s="196" t="s">
        <v>13</v>
      </c>
      <c r="O34" s="196" t="s">
        <v>31</v>
      </c>
      <c r="Q34" s="195">
        <v>5</v>
      </c>
      <c r="R34" s="195">
        <v>2</v>
      </c>
      <c r="S34" s="195">
        <v>14</v>
      </c>
      <c r="T34" s="195">
        <v>5</v>
      </c>
      <c r="U34" s="195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6" t="s">
        <v>12</v>
      </c>
      <c r="AD34" s="202">
        <v>7</v>
      </c>
      <c r="AE34" s="202">
        <v>13</v>
      </c>
      <c r="AF34" s="202">
        <v>0</v>
      </c>
      <c r="AG34" s="202">
        <v>7</v>
      </c>
      <c r="AH34" s="202">
        <v>14</v>
      </c>
      <c r="AI34" s="5"/>
      <c r="AJ34" s="136" t="s">
        <v>12</v>
      </c>
      <c r="AK34" s="202">
        <v>7</v>
      </c>
      <c r="AL34" s="202">
        <v>13</v>
      </c>
      <c r="AM34" s="202">
        <v>0</v>
      </c>
      <c r="AN34" s="202">
        <v>7</v>
      </c>
      <c r="AO34" s="202">
        <v>14</v>
      </c>
    </row>
    <row r="35" spans="10:41" ht="16.5" customHeight="1">
      <c r="J35" s="195">
        <v>31</v>
      </c>
      <c r="K35" s="196" t="s">
        <v>97</v>
      </c>
      <c r="L35" s="196" t="s">
        <v>83</v>
      </c>
      <c r="M35" s="196" t="s">
        <v>86</v>
      </c>
      <c r="N35" s="196" t="s">
        <v>82</v>
      </c>
      <c r="O35" s="196" t="s">
        <v>16</v>
      </c>
      <c r="Q35" s="195">
        <v>6</v>
      </c>
      <c r="R35" s="195">
        <v>16</v>
      </c>
      <c r="S35" s="195">
        <v>18</v>
      </c>
      <c r="T35" s="195">
        <v>14</v>
      </c>
      <c r="U35" s="195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6" t="s">
        <v>13</v>
      </c>
      <c r="AD35" s="202">
        <v>43</v>
      </c>
      <c r="AE35" s="202">
        <v>22</v>
      </c>
      <c r="AF35" s="202">
        <v>0</v>
      </c>
      <c r="AG35" s="202">
        <v>31</v>
      </c>
      <c r="AH35" s="202">
        <v>36</v>
      </c>
      <c r="AI35" s="5"/>
      <c r="AJ35" s="136" t="s">
        <v>13</v>
      </c>
      <c r="AK35" s="202">
        <v>43</v>
      </c>
      <c r="AL35" s="202">
        <v>22</v>
      </c>
      <c r="AM35" s="202">
        <v>0</v>
      </c>
      <c r="AN35" s="202">
        <v>31</v>
      </c>
      <c r="AO35" s="202">
        <v>36</v>
      </c>
    </row>
    <row r="36" spans="10:41" ht="16.5" customHeight="1">
      <c r="J36" s="23">
        <v>32</v>
      </c>
      <c r="K36" s="196" t="s">
        <v>14</v>
      </c>
      <c r="L36" s="196" t="s">
        <v>13</v>
      </c>
      <c r="M36" s="196" t="s">
        <v>82</v>
      </c>
      <c r="N36" s="196" t="s">
        <v>28</v>
      </c>
      <c r="O36" s="196" t="s">
        <v>97</v>
      </c>
      <c r="Q36" s="195">
        <v>1</v>
      </c>
      <c r="R36" s="195">
        <v>5</v>
      </c>
      <c r="S36" s="195">
        <v>14</v>
      </c>
      <c r="T36" s="195">
        <v>9</v>
      </c>
      <c r="U36" s="195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6" t="s">
        <v>97</v>
      </c>
      <c r="AD36" s="202">
        <v>42</v>
      </c>
      <c r="AE36" s="202">
        <v>22</v>
      </c>
      <c r="AF36" s="202">
        <v>0</v>
      </c>
      <c r="AG36" s="202">
        <v>27</v>
      </c>
      <c r="AH36" s="202">
        <v>34</v>
      </c>
      <c r="AI36" s="5"/>
      <c r="AJ36" s="136" t="s">
        <v>97</v>
      </c>
      <c r="AK36" s="202">
        <v>42</v>
      </c>
      <c r="AL36" s="202">
        <v>22</v>
      </c>
      <c r="AM36" s="202">
        <v>0</v>
      </c>
      <c r="AN36" s="202">
        <v>27</v>
      </c>
      <c r="AO36" s="202">
        <v>34</v>
      </c>
    </row>
    <row r="37" spans="10:41" ht="16.5" customHeight="1">
      <c r="J37" s="195">
        <v>33</v>
      </c>
      <c r="K37" s="196" t="s">
        <v>29</v>
      </c>
      <c r="L37" s="196" t="s">
        <v>29</v>
      </c>
      <c r="M37" s="196" t="s">
        <v>95</v>
      </c>
      <c r="N37" s="196" t="s">
        <v>13</v>
      </c>
      <c r="O37" s="196" t="s">
        <v>12</v>
      </c>
      <c r="Q37" s="195">
        <v>8</v>
      </c>
      <c r="R37" s="195">
        <v>8</v>
      </c>
      <c r="S37" s="195">
        <v>17</v>
      </c>
      <c r="T37" s="195">
        <v>5</v>
      </c>
      <c r="U37" s="195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6" t="s">
        <v>31</v>
      </c>
      <c r="AD37" s="202">
        <v>43</v>
      </c>
      <c r="AE37" s="202">
        <v>27</v>
      </c>
      <c r="AF37" s="202">
        <v>0</v>
      </c>
      <c r="AG37" s="202">
        <v>31</v>
      </c>
      <c r="AH37" s="202">
        <v>35</v>
      </c>
      <c r="AI37" s="5"/>
      <c r="AJ37" s="136" t="s">
        <v>31</v>
      </c>
      <c r="AK37" s="202">
        <v>43</v>
      </c>
      <c r="AL37" s="202">
        <v>27</v>
      </c>
      <c r="AM37" s="202">
        <v>0</v>
      </c>
      <c r="AN37" s="202">
        <v>31</v>
      </c>
      <c r="AO37" s="202">
        <v>35</v>
      </c>
    </row>
    <row r="38" spans="10:41" ht="16.5" customHeight="1">
      <c r="J38" s="23">
        <v>34</v>
      </c>
      <c r="K38" s="196" t="s">
        <v>13</v>
      </c>
      <c r="L38" s="196" t="s">
        <v>13</v>
      </c>
      <c r="M38" s="196" t="s">
        <v>82</v>
      </c>
      <c r="N38" s="196" t="s">
        <v>79</v>
      </c>
      <c r="O38" s="196" t="s">
        <v>29</v>
      </c>
      <c r="Q38" s="195">
        <v>5</v>
      </c>
      <c r="R38" s="195">
        <v>5</v>
      </c>
      <c r="S38" s="195">
        <v>14</v>
      </c>
      <c r="T38" s="195">
        <v>11</v>
      </c>
      <c r="U38" s="195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6" t="s">
        <v>29</v>
      </c>
      <c r="AD38" s="202">
        <v>43</v>
      </c>
      <c r="AE38" s="202">
        <v>24</v>
      </c>
      <c r="AF38" s="202">
        <v>0</v>
      </c>
      <c r="AG38" s="202">
        <v>32</v>
      </c>
      <c r="AH38" s="202">
        <v>34</v>
      </c>
      <c r="AI38" s="5"/>
      <c r="AJ38" s="136" t="s">
        <v>29</v>
      </c>
      <c r="AK38" s="202">
        <v>43</v>
      </c>
      <c r="AL38" s="202">
        <v>24</v>
      </c>
      <c r="AM38" s="202">
        <v>0</v>
      </c>
      <c r="AN38" s="202">
        <v>32</v>
      </c>
      <c r="AO38" s="202">
        <v>34</v>
      </c>
    </row>
    <row r="39" spans="10:41" ht="16.5" customHeight="1">
      <c r="J39" s="195">
        <v>35</v>
      </c>
      <c r="K39" s="196" t="s">
        <v>29</v>
      </c>
      <c r="L39" s="196" t="s">
        <v>31</v>
      </c>
      <c r="M39" s="196" t="s">
        <v>83</v>
      </c>
      <c r="N39" s="196" t="s">
        <v>29</v>
      </c>
      <c r="O39" s="196" t="s">
        <v>15</v>
      </c>
      <c r="Q39" s="195">
        <v>8</v>
      </c>
      <c r="R39" s="195">
        <v>7</v>
      </c>
      <c r="S39" s="195">
        <v>16</v>
      </c>
      <c r="T39" s="195">
        <v>8</v>
      </c>
      <c r="U39" s="195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6" t="s">
        <v>28</v>
      </c>
      <c r="AD39" s="202">
        <v>7</v>
      </c>
      <c r="AE39" s="202">
        <v>12</v>
      </c>
      <c r="AF39" s="202">
        <v>0</v>
      </c>
      <c r="AG39" s="202">
        <v>6</v>
      </c>
      <c r="AH39" s="202">
        <v>13</v>
      </c>
      <c r="AI39" s="5"/>
      <c r="AJ39" s="136" t="s">
        <v>28</v>
      </c>
      <c r="AK39" s="202">
        <v>7</v>
      </c>
      <c r="AL39" s="202">
        <v>12</v>
      </c>
      <c r="AM39" s="202">
        <v>0</v>
      </c>
      <c r="AN39" s="202">
        <v>6</v>
      </c>
      <c r="AO39" s="202">
        <v>13</v>
      </c>
    </row>
    <row r="40" spans="10:41" ht="16.5" customHeight="1">
      <c r="J40" s="23">
        <v>36</v>
      </c>
      <c r="K40" s="196" t="s">
        <v>31</v>
      </c>
      <c r="L40" s="196" t="s">
        <v>29</v>
      </c>
      <c r="M40" s="196" t="s">
        <v>80</v>
      </c>
      <c r="N40" s="196" t="s">
        <v>97</v>
      </c>
      <c r="O40" s="196" t="s">
        <v>29</v>
      </c>
      <c r="Q40" s="195">
        <v>7</v>
      </c>
      <c r="R40" s="195">
        <v>8</v>
      </c>
      <c r="S40" s="195">
        <v>12</v>
      </c>
      <c r="T40" s="195">
        <v>6</v>
      </c>
      <c r="U40" s="195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6" t="s">
        <v>30</v>
      </c>
      <c r="AD40" s="202">
        <v>7</v>
      </c>
      <c r="AE40" s="202">
        <v>8</v>
      </c>
      <c r="AF40" s="202">
        <v>0</v>
      </c>
      <c r="AG40" s="202">
        <v>7</v>
      </c>
      <c r="AH40" s="202">
        <v>14</v>
      </c>
      <c r="AI40" s="5"/>
      <c r="AJ40" s="136" t="s">
        <v>30</v>
      </c>
      <c r="AK40" s="202">
        <v>7</v>
      </c>
      <c r="AL40" s="202">
        <v>8</v>
      </c>
      <c r="AM40" s="202">
        <v>0</v>
      </c>
      <c r="AN40" s="202">
        <v>7</v>
      </c>
      <c r="AO40" s="202">
        <v>14</v>
      </c>
    </row>
    <row r="41" spans="10:41" ht="16.5" customHeight="1">
      <c r="J41" s="195">
        <v>37</v>
      </c>
      <c r="K41" s="196" t="s">
        <v>13</v>
      </c>
      <c r="L41" s="196" t="s">
        <v>16</v>
      </c>
      <c r="M41" s="196" t="s">
        <v>82</v>
      </c>
      <c r="N41" s="196" t="s">
        <v>29</v>
      </c>
      <c r="O41" s="196" t="s">
        <v>13</v>
      </c>
      <c r="Q41" s="195">
        <v>5</v>
      </c>
      <c r="R41" s="195">
        <v>3</v>
      </c>
      <c r="S41" s="195">
        <v>14</v>
      </c>
      <c r="T41" s="195">
        <v>8</v>
      </c>
      <c r="U41" s="195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201" t="s">
        <v>79</v>
      </c>
      <c r="AD41" s="203">
        <v>0</v>
      </c>
      <c r="AE41" s="203">
        <v>3</v>
      </c>
      <c r="AF41" s="203">
        <v>3</v>
      </c>
      <c r="AG41" s="203">
        <v>2</v>
      </c>
      <c r="AH41" s="203">
        <v>0</v>
      </c>
      <c r="AI41" s="5"/>
      <c r="AJ41" s="201" t="s">
        <v>79</v>
      </c>
      <c r="AK41" s="203">
        <v>0</v>
      </c>
      <c r="AL41" s="203">
        <v>3</v>
      </c>
      <c r="AM41" s="203">
        <v>3</v>
      </c>
      <c r="AN41" s="203">
        <v>2</v>
      </c>
      <c r="AO41" s="203">
        <v>0</v>
      </c>
    </row>
    <row r="42" spans="10:41" ht="16.5" customHeight="1">
      <c r="J42" s="23">
        <v>38</v>
      </c>
      <c r="K42" s="196" t="s">
        <v>16</v>
      </c>
      <c r="L42" s="196" t="s">
        <v>12</v>
      </c>
      <c r="M42" s="196" t="s">
        <v>83</v>
      </c>
      <c r="N42" s="196" t="s">
        <v>12</v>
      </c>
      <c r="O42" s="196" t="s">
        <v>31</v>
      </c>
      <c r="Q42" s="195">
        <v>3</v>
      </c>
      <c r="R42" s="195">
        <v>4</v>
      </c>
      <c r="S42" s="195">
        <v>16</v>
      </c>
      <c r="T42" s="195">
        <v>4</v>
      </c>
      <c r="U42" s="195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201" t="s">
        <v>80</v>
      </c>
      <c r="AD42" s="203">
        <v>0</v>
      </c>
      <c r="AE42" s="203">
        <v>4</v>
      </c>
      <c r="AF42" s="203">
        <v>1</v>
      </c>
      <c r="AG42" s="203">
        <v>2</v>
      </c>
      <c r="AH42" s="203">
        <v>0</v>
      </c>
      <c r="AI42" s="5"/>
      <c r="AJ42" s="201" t="s">
        <v>80</v>
      </c>
      <c r="AK42" s="203">
        <v>0</v>
      </c>
      <c r="AL42" s="203">
        <v>4</v>
      </c>
      <c r="AM42" s="203">
        <v>1</v>
      </c>
      <c r="AN42" s="203">
        <v>2</v>
      </c>
      <c r="AO42" s="203">
        <v>0</v>
      </c>
    </row>
    <row r="43" spans="10:41" ht="16.5" customHeight="1">
      <c r="J43" s="195">
        <v>39</v>
      </c>
      <c r="K43" s="196" t="s">
        <v>29</v>
      </c>
      <c r="L43" s="196" t="s">
        <v>29</v>
      </c>
      <c r="M43" s="196" t="s">
        <v>88</v>
      </c>
      <c r="N43" s="196" t="s">
        <v>30</v>
      </c>
      <c r="O43" s="196" t="s">
        <v>13</v>
      </c>
      <c r="Q43" s="195">
        <v>8</v>
      </c>
      <c r="R43" s="195">
        <v>8</v>
      </c>
      <c r="S43" s="195">
        <v>19</v>
      </c>
      <c r="T43" s="195">
        <v>10</v>
      </c>
      <c r="U43" s="195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201" t="s">
        <v>81</v>
      </c>
      <c r="AD43" s="203">
        <v>0</v>
      </c>
      <c r="AE43" s="203">
        <v>4</v>
      </c>
      <c r="AF43" s="203">
        <v>8</v>
      </c>
      <c r="AG43" s="203">
        <v>3</v>
      </c>
      <c r="AH43" s="203">
        <v>0</v>
      </c>
      <c r="AI43" s="5"/>
      <c r="AJ43" s="201" t="s">
        <v>81</v>
      </c>
      <c r="AK43" s="203">
        <v>0</v>
      </c>
      <c r="AL43" s="203">
        <v>4</v>
      </c>
      <c r="AM43" s="203">
        <v>8</v>
      </c>
      <c r="AN43" s="203">
        <v>3</v>
      </c>
      <c r="AO43" s="203">
        <v>0</v>
      </c>
    </row>
    <row r="44" spans="10:41" ht="16.5" customHeight="1">
      <c r="J44" s="23">
        <v>40</v>
      </c>
      <c r="K44" s="196" t="s">
        <v>13</v>
      </c>
      <c r="L44" s="196" t="s">
        <v>13</v>
      </c>
      <c r="M44" s="196" t="s">
        <v>95</v>
      </c>
      <c r="N44" s="196" t="s">
        <v>31</v>
      </c>
      <c r="O44" s="196" t="s">
        <v>29</v>
      </c>
      <c r="Q44" s="195">
        <v>5</v>
      </c>
      <c r="R44" s="195">
        <v>5</v>
      </c>
      <c r="S44" s="195">
        <v>17</v>
      </c>
      <c r="T44" s="195">
        <v>7</v>
      </c>
      <c r="U44" s="195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201" t="s">
        <v>82</v>
      </c>
      <c r="AD44" s="203">
        <v>0</v>
      </c>
      <c r="AE44" s="203">
        <v>9</v>
      </c>
      <c r="AF44" s="203">
        <v>43</v>
      </c>
      <c r="AG44" s="203">
        <v>12</v>
      </c>
      <c r="AH44" s="203">
        <v>0</v>
      </c>
      <c r="AI44" s="5"/>
      <c r="AJ44" s="201" t="s">
        <v>82</v>
      </c>
      <c r="AK44" s="203">
        <v>0</v>
      </c>
      <c r="AL44" s="203">
        <v>9</v>
      </c>
      <c r="AM44" s="203">
        <v>43</v>
      </c>
      <c r="AN44" s="203">
        <v>12</v>
      </c>
      <c r="AO44" s="203">
        <v>0</v>
      </c>
    </row>
    <row r="45" spans="10:41" ht="16.5" customHeight="1">
      <c r="J45" s="195">
        <v>41</v>
      </c>
      <c r="K45" s="196" t="s">
        <v>29</v>
      </c>
      <c r="L45" s="196" t="s">
        <v>29</v>
      </c>
      <c r="M45" s="196" t="s">
        <v>88</v>
      </c>
      <c r="N45" s="196" t="s">
        <v>12</v>
      </c>
      <c r="O45" s="196" t="s">
        <v>13</v>
      </c>
      <c r="Q45" s="195">
        <v>8</v>
      </c>
      <c r="R45" s="195">
        <v>8</v>
      </c>
      <c r="S45" s="195">
        <v>19</v>
      </c>
      <c r="T45" s="195">
        <v>4</v>
      </c>
      <c r="U45" s="195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201" t="s">
        <v>98</v>
      </c>
      <c r="AD45" s="203">
        <v>0</v>
      </c>
      <c r="AE45" s="203">
        <v>9</v>
      </c>
      <c r="AF45" s="203">
        <v>42</v>
      </c>
      <c r="AG45" s="203">
        <v>13</v>
      </c>
      <c r="AH45" s="203">
        <v>0</v>
      </c>
      <c r="AI45" s="5"/>
      <c r="AJ45" s="201" t="s">
        <v>98</v>
      </c>
      <c r="AK45" s="203">
        <v>0</v>
      </c>
      <c r="AL45" s="203">
        <v>9</v>
      </c>
      <c r="AM45" s="203">
        <v>42</v>
      </c>
      <c r="AN45" s="203">
        <v>13</v>
      </c>
      <c r="AO45" s="203">
        <v>0</v>
      </c>
    </row>
    <row r="46" spans="10:41" ht="16.5" customHeight="1">
      <c r="J46" s="23">
        <v>42</v>
      </c>
      <c r="K46" s="196" t="s">
        <v>13</v>
      </c>
      <c r="L46" s="196" t="s">
        <v>97</v>
      </c>
      <c r="M46" s="196" t="s">
        <v>82</v>
      </c>
      <c r="N46" s="196" t="s">
        <v>29</v>
      </c>
      <c r="O46" s="196" t="s">
        <v>31</v>
      </c>
      <c r="Q46" s="195">
        <v>5</v>
      </c>
      <c r="R46" s="195">
        <v>6</v>
      </c>
      <c r="S46" s="195">
        <v>14</v>
      </c>
      <c r="T46" s="195">
        <v>8</v>
      </c>
      <c r="U46" s="195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201" t="s">
        <v>83</v>
      </c>
      <c r="AD46" s="203">
        <v>0</v>
      </c>
      <c r="AE46" s="203">
        <v>11</v>
      </c>
      <c r="AF46" s="203">
        <v>42</v>
      </c>
      <c r="AG46" s="203">
        <v>11</v>
      </c>
      <c r="AH46" s="203">
        <v>0</v>
      </c>
      <c r="AI46" s="5"/>
      <c r="AJ46" s="201" t="s">
        <v>83</v>
      </c>
      <c r="AK46" s="203">
        <v>0</v>
      </c>
      <c r="AL46" s="203">
        <v>11</v>
      </c>
      <c r="AM46" s="203">
        <v>42</v>
      </c>
      <c r="AN46" s="203">
        <v>11</v>
      </c>
      <c r="AO46" s="203">
        <v>0</v>
      </c>
    </row>
    <row r="47" spans="10:41" ht="16.5" customHeight="1">
      <c r="J47" s="195">
        <v>43</v>
      </c>
      <c r="K47" s="196" t="s">
        <v>12</v>
      </c>
      <c r="L47" s="196" t="s">
        <v>29</v>
      </c>
      <c r="M47" s="196" t="s">
        <v>95</v>
      </c>
      <c r="N47" s="196" t="s">
        <v>31</v>
      </c>
      <c r="O47" s="196" t="s">
        <v>97</v>
      </c>
      <c r="Q47" s="195">
        <v>4</v>
      </c>
      <c r="R47" s="195">
        <v>8</v>
      </c>
      <c r="S47" s="195">
        <v>17</v>
      </c>
      <c r="T47" s="195">
        <v>7</v>
      </c>
      <c r="U47" s="195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201" t="s">
        <v>95</v>
      </c>
      <c r="AD47" s="203">
        <v>0</v>
      </c>
      <c r="AE47" s="203">
        <v>10</v>
      </c>
      <c r="AF47" s="203">
        <v>44</v>
      </c>
      <c r="AG47" s="203">
        <v>11</v>
      </c>
      <c r="AH47" s="203">
        <v>0</v>
      </c>
      <c r="AI47" s="5"/>
      <c r="AJ47" s="201" t="s">
        <v>95</v>
      </c>
      <c r="AK47" s="203">
        <v>0</v>
      </c>
      <c r="AL47" s="203">
        <v>10</v>
      </c>
      <c r="AM47" s="203">
        <v>44</v>
      </c>
      <c r="AN47" s="203">
        <v>11</v>
      </c>
      <c r="AO47" s="203">
        <v>0</v>
      </c>
    </row>
    <row r="48" spans="10:41" ht="16.5" customHeight="1">
      <c r="J48" s="23">
        <v>44</v>
      </c>
      <c r="K48" s="196" t="s">
        <v>31</v>
      </c>
      <c r="L48" s="196" t="s">
        <v>31</v>
      </c>
      <c r="M48" s="196" t="s">
        <v>82</v>
      </c>
      <c r="N48" s="196" t="s">
        <v>97</v>
      </c>
      <c r="O48" s="196" t="s">
        <v>12</v>
      </c>
      <c r="Q48" s="195">
        <v>7</v>
      </c>
      <c r="R48" s="195">
        <v>7</v>
      </c>
      <c r="S48" s="195">
        <v>14</v>
      </c>
      <c r="T48" s="195">
        <v>6</v>
      </c>
      <c r="U48" s="195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201" t="s">
        <v>86</v>
      </c>
      <c r="AD48" s="203">
        <v>0</v>
      </c>
      <c r="AE48" s="203">
        <v>4</v>
      </c>
      <c r="AF48" s="203">
        <v>6</v>
      </c>
      <c r="AG48" s="203">
        <v>2</v>
      </c>
      <c r="AH48" s="203">
        <v>0</v>
      </c>
      <c r="AI48" s="5"/>
      <c r="AJ48" s="201" t="s">
        <v>86</v>
      </c>
      <c r="AK48" s="203">
        <v>0</v>
      </c>
      <c r="AL48" s="203">
        <v>4</v>
      </c>
      <c r="AM48" s="203">
        <v>6</v>
      </c>
      <c r="AN48" s="203">
        <v>2</v>
      </c>
      <c r="AO48" s="203">
        <v>0</v>
      </c>
    </row>
    <row r="49" spans="10:41" ht="16.5" customHeight="1">
      <c r="J49" s="195">
        <v>45</v>
      </c>
      <c r="K49" s="196" t="s">
        <v>97</v>
      </c>
      <c r="L49" s="196" t="s">
        <v>82</v>
      </c>
      <c r="M49" s="196" t="s">
        <v>95</v>
      </c>
      <c r="N49" s="196" t="s">
        <v>83</v>
      </c>
      <c r="O49" s="196" t="s">
        <v>13</v>
      </c>
      <c r="Q49" s="195">
        <v>6</v>
      </c>
      <c r="R49" s="195">
        <v>14</v>
      </c>
      <c r="S49" s="195">
        <v>17</v>
      </c>
      <c r="T49" s="195">
        <v>16</v>
      </c>
      <c r="U49" s="195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201" t="s">
        <v>88</v>
      </c>
      <c r="AD49" s="203">
        <v>0</v>
      </c>
      <c r="AE49" s="203">
        <v>3</v>
      </c>
      <c r="AF49" s="203">
        <v>9</v>
      </c>
      <c r="AG49" s="203">
        <v>3</v>
      </c>
      <c r="AH49" s="203">
        <v>0</v>
      </c>
      <c r="AI49" s="5"/>
      <c r="AJ49" s="201" t="s">
        <v>88</v>
      </c>
      <c r="AK49" s="203">
        <v>0</v>
      </c>
      <c r="AL49" s="203">
        <v>3</v>
      </c>
      <c r="AM49" s="203">
        <v>9</v>
      </c>
      <c r="AN49" s="203">
        <v>3</v>
      </c>
      <c r="AO49" s="203">
        <v>0</v>
      </c>
    </row>
    <row r="50" spans="10:41" ht="16.5" customHeight="1">
      <c r="J50" s="23">
        <v>46</v>
      </c>
      <c r="K50" s="196" t="s">
        <v>13</v>
      </c>
      <c r="L50" s="196" t="s">
        <v>31</v>
      </c>
      <c r="M50" s="196" t="s">
        <v>82</v>
      </c>
      <c r="N50" s="196" t="s">
        <v>31</v>
      </c>
      <c r="O50" s="196" t="s">
        <v>14</v>
      </c>
      <c r="Q50" s="195">
        <v>5</v>
      </c>
      <c r="R50" s="195">
        <v>7</v>
      </c>
      <c r="S50" s="195">
        <v>14</v>
      </c>
      <c r="T50" s="195">
        <v>7</v>
      </c>
      <c r="U50" s="195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5">
        <v>47</v>
      </c>
      <c r="K51" s="196" t="s">
        <v>31</v>
      </c>
      <c r="L51" s="196" t="s">
        <v>28</v>
      </c>
      <c r="M51" s="196" t="s">
        <v>86</v>
      </c>
      <c r="N51" s="196" t="s">
        <v>97</v>
      </c>
      <c r="O51" s="196" t="s">
        <v>13</v>
      </c>
      <c r="Q51" s="195">
        <v>7</v>
      </c>
      <c r="R51" s="195">
        <v>9</v>
      </c>
      <c r="S51" s="195">
        <v>18</v>
      </c>
      <c r="T51" s="195">
        <v>6</v>
      </c>
      <c r="U51" s="195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6" t="s">
        <v>28</v>
      </c>
      <c r="L52" s="196" t="s">
        <v>29</v>
      </c>
      <c r="M52" s="196" t="s">
        <v>95</v>
      </c>
      <c r="N52" s="196" t="s">
        <v>29</v>
      </c>
      <c r="O52" s="196" t="s">
        <v>31</v>
      </c>
      <c r="Q52" s="195">
        <v>9</v>
      </c>
      <c r="R52" s="195">
        <v>8</v>
      </c>
      <c r="S52" s="195">
        <v>17</v>
      </c>
      <c r="T52" s="195">
        <v>8</v>
      </c>
      <c r="U52" s="195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309</v>
      </c>
      <c r="AH52" s="5"/>
      <c r="AI52" s="5"/>
      <c r="AJ52" s="25" t="s">
        <v>309</v>
      </c>
      <c r="AO52" s="5"/>
    </row>
    <row r="53" spans="10:41" ht="16.5" customHeight="1">
      <c r="J53" s="195">
        <v>49</v>
      </c>
      <c r="K53" s="196" t="s">
        <v>29</v>
      </c>
      <c r="L53" s="196" t="s">
        <v>80</v>
      </c>
      <c r="M53" s="196" t="s">
        <v>98</v>
      </c>
      <c r="N53" s="196" t="s">
        <v>31</v>
      </c>
      <c r="O53" s="196" t="s">
        <v>15</v>
      </c>
      <c r="Q53" s="195">
        <v>8</v>
      </c>
      <c r="R53" s="195">
        <v>12</v>
      </c>
      <c r="S53" s="195">
        <v>15</v>
      </c>
      <c r="T53" s="195">
        <v>7</v>
      </c>
      <c r="U53" s="195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2" t="s">
        <v>36</v>
      </c>
      <c r="AD53" s="122" t="s">
        <v>7</v>
      </c>
      <c r="AE53" s="122" t="s">
        <v>8</v>
      </c>
      <c r="AF53" s="122" t="s">
        <v>9</v>
      </c>
      <c r="AG53" s="122" t="s">
        <v>10</v>
      </c>
      <c r="AH53" s="122" t="s">
        <v>11</v>
      </c>
      <c r="AI53" s="5"/>
      <c r="AJ53" s="122" t="s">
        <v>36</v>
      </c>
      <c r="AK53" s="122" t="s">
        <v>7</v>
      </c>
      <c r="AL53" s="122" t="s">
        <v>8</v>
      </c>
      <c r="AM53" s="122" t="s">
        <v>9</v>
      </c>
      <c r="AN53" s="122" t="s">
        <v>10</v>
      </c>
      <c r="AO53" s="122" t="s">
        <v>11</v>
      </c>
    </row>
    <row r="54" spans="10:41" ht="16.5" customHeight="1">
      <c r="J54" s="23">
        <v>50</v>
      </c>
      <c r="K54" s="196" t="s">
        <v>97</v>
      </c>
      <c r="L54" s="196" t="s">
        <v>13</v>
      </c>
      <c r="M54" s="196" t="s">
        <v>79</v>
      </c>
      <c r="N54" s="196" t="s">
        <v>14</v>
      </c>
      <c r="O54" s="196" t="s">
        <v>12</v>
      </c>
      <c r="Q54" s="195">
        <v>6</v>
      </c>
      <c r="R54" s="195">
        <v>5</v>
      </c>
      <c r="S54" s="195">
        <v>11</v>
      </c>
      <c r="T54" s="195">
        <v>1</v>
      </c>
      <c r="U54" s="195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201" t="s">
        <v>306</v>
      </c>
      <c r="AD54" s="126">
        <v>0</v>
      </c>
      <c r="AE54" s="126">
        <v>0</v>
      </c>
      <c r="AF54" s="126">
        <v>0</v>
      </c>
      <c r="AG54" s="126">
        <v>0</v>
      </c>
      <c r="AH54" s="126">
        <v>0</v>
      </c>
      <c r="AI54" s="5"/>
      <c r="AJ54" s="201" t="s">
        <v>306</v>
      </c>
      <c r="AK54" s="126">
        <v>0</v>
      </c>
      <c r="AL54" s="126">
        <v>0</v>
      </c>
      <c r="AM54" s="126">
        <v>0</v>
      </c>
      <c r="AN54" s="126">
        <v>0</v>
      </c>
      <c r="AO54" s="126">
        <v>0</v>
      </c>
    </row>
    <row r="55" spans="10:41" ht="16.5" customHeight="1">
      <c r="J55" s="195">
        <v>51</v>
      </c>
      <c r="K55" s="196" t="s">
        <v>29</v>
      </c>
      <c r="L55" s="196" t="s">
        <v>97</v>
      </c>
      <c r="M55" s="196" t="s">
        <v>82</v>
      </c>
      <c r="N55" s="196" t="s">
        <v>29</v>
      </c>
      <c r="O55" s="196" t="s">
        <v>16</v>
      </c>
      <c r="Q55" s="195">
        <v>8</v>
      </c>
      <c r="R55" s="195">
        <v>6</v>
      </c>
      <c r="S55" s="195">
        <v>14</v>
      </c>
      <c r="T55" s="195">
        <v>8</v>
      </c>
      <c r="U55" s="195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201" t="s">
        <v>14</v>
      </c>
      <c r="AD55" s="201">
        <v>1</v>
      </c>
      <c r="AE55" s="201">
        <v>1</v>
      </c>
      <c r="AF55" s="201">
        <v>0</v>
      </c>
      <c r="AG55" s="201">
        <v>1</v>
      </c>
      <c r="AH55" s="201">
        <v>1</v>
      </c>
      <c r="AI55" s="5"/>
      <c r="AJ55" s="201" t="s">
        <v>14</v>
      </c>
      <c r="AK55" s="201">
        <v>1</v>
      </c>
      <c r="AL55" s="201">
        <v>1</v>
      </c>
      <c r="AM55" s="201">
        <v>0</v>
      </c>
      <c r="AN55" s="201">
        <v>1</v>
      </c>
      <c r="AO55" s="201">
        <v>1</v>
      </c>
    </row>
    <row r="56" spans="10:41" ht="16.5" customHeight="1">
      <c r="J56" s="23">
        <v>52</v>
      </c>
      <c r="K56" s="196" t="s">
        <v>97</v>
      </c>
      <c r="L56" s="196" t="s">
        <v>15</v>
      </c>
      <c r="M56" s="196" t="s">
        <v>83</v>
      </c>
      <c r="N56" s="196" t="s">
        <v>13</v>
      </c>
      <c r="O56" s="196" t="s">
        <v>30</v>
      </c>
      <c r="Q56" s="195">
        <v>6</v>
      </c>
      <c r="R56" s="195">
        <v>2</v>
      </c>
      <c r="S56" s="195">
        <v>16</v>
      </c>
      <c r="T56" s="195">
        <v>5</v>
      </c>
      <c r="U56" s="195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6" t="s">
        <v>15</v>
      </c>
      <c r="AD56" s="202">
        <v>3</v>
      </c>
      <c r="AE56" s="202">
        <v>10</v>
      </c>
      <c r="AF56" s="202">
        <v>0</v>
      </c>
      <c r="AG56" s="202">
        <v>3</v>
      </c>
      <c r="AH56" s="202">
        <v>9</v>
      </c>
      <c r="AI56" s="5"/>
      <c r="AJ56" s="136" t="s">
        <v>15</v>
      </c>
      <c r="AK56" s="202">
        <v>3</v>
      </c>
      <c r="AL56" s="202">
        <v>10</v>
      </c>
      <c r="AM56" s="202">
        <v>0</v>
      </c>
      <c r="AN56" s="202">
        <v>3</v>
      </c>
      <c r="AO56" s="202">
        <v>9</v>
      </c>
    </row>
    <row r="57" spans="10:41" ht="16.5" customHeight="1">
      <c r="J57" s="195">
        <v>53</v>
      </c>
      <c r="K57" s="196" t="s">
        <v>14</v>
      </c>
      <c r="L57" s="196" t="s">
        <v>31</v>
      </c>
      <c r="M57" s="196" t="s">
        <v>82</v>
      </c>
      <c r="N57" s="196" t="s">
        <v>97</v>
      </c>
      <c r="O57" s="196" t="s">
        <v>97</v>
      </c>
      <c r="Q57" s="195">
        <v>1</v>
      </c>
      <c r="R57" s="195">
        <v>7</v>
      </c>
      <c r="S57" s="195">
        <v>14</v>
      </c>
      <c r="T57" s="195">
        <v>6</v>
      </c>
      <c r="U57" s="195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6" t="s">
        <v>16</v>
      </c>
      <c r="AD57" s="202">
        <v>3</v>
      </c>
      <c r="AE57" s="202">
        <v>12</v>
      </c>
      <c r="AF57" s="202">
        <v>0</v>
      </c>
      <c r="AG57" s="202">
        <v>3</v>
      </c>
      <c r="AH57" s="202">
        <v>8</v>
      </c>
      <c r="AI57" s="5"/>
      <c r="AJ57" s="136" t="s">
        <v>16</v>
      </c>
      <c r="AK57" s="202">
        <v>3</v>
      </c>
      <c r="AL57" s="202">
        <v>12</v>
      </c>
      <c r="AM57" s="202">
        <v>0</v>
      </c>
      <c r="AN57" s="202">
        <v>3</v>
      </c>
      <c r="AO57" s="202">
        <v>8</v>
      </c>
    </row>
    <row r="58" spans="10:41" ht="16.5" customHeight="1">
      <c r="J58" s="23">
        <v>54</v>
      </c>
      <c r="K58" s="196" t="s">
        <v>97</v>
      </c>
      <c r="L58" s="196" t="s">
        <v>30</v>
      </c>
      <c r="M58" s="196" t="s">
        <v>98</v>
      </c>
      <c r="N58" s="196" t="s">
        <v>12</v>
      </c>
      <c r="O58" s="196" t="s">
        <v>16</v>
      </c>
      <c r="Q58" s="195">
        <v>6</v>
      </c>
      <c r="R58" s="195">
        <v>10</v>
      </c>
      <c r="S58" s="195">
        <v>15</v>
      </c>
      <c r="T58" s="195">
        <v>4</v>
      </c>
      <c r="U58" s="195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6" t="s">
        <v>12</v>
      </c>
      <c r="AD58" s="202">
        <v>7</v>
      </c>
      <c r="AE58" s="202">
        <v>13</v>
      </c>
      <c r="AF58" s="202">
        <v>0</v>
      </c>
      <c r="AG58" s="202">
        <v>7</v>
      </c>
      <c r="AH58" s="202">
        <v>14</v>
      </c>
      <c r="AI58" s="5"/>
      <c r="AJ58" s="136" t="s">
        <v>12</v>
      </c>
      <c r="AK58" s="202">
        <v>7</v>
      </c>
      <c r="AL58" s="202">
        <v>13</v>
      </c>
      <c r="AM58" s="202">
        <v>0</v>
      </c>
      <c r="AN58" s="202">
        <v>7</v>
      </c>
      <c r="AO58" s="202">
        <v>14</v>
      </c>
    </row>
    <row r="59" spans="10:41" ht="16.5" customHeight="1">
      <c r="J59" s="195">
        <v>55</v>
      </c>
      <c r="K59" s="196" t="s">
        <v>31</v>
      </c>
      <c r="L59" s="196" t="s">
        <v>12</v>
      </c>
      <c r="M59" s="196" t="s">
        <v>86</v>
      </c>
      <c r="N59" s="196" t="s">
        <v>82</v>
      </c>
      <c r="O59" s="196" t="s">
        <v>15</v>
      </c>
      <c r="Q59" s="195">
        <v>7</v>
      </c>
      <c r="R59" s="195">
        <v>4</v>
      </c>
      <c r="S59" s="195">
        <v>18</v>
      </c>
      <c r="T59" s="195">
        <v>14</v>
      </c>
      <c r="U59" s="195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6" t="s">
        <v>13</v>
      </c>
      <c r="AD59" s="202">
        <v>43</v>
      </c>
      <c r="AE59" s="202">
        <v>22</v>
      </c>
      <c r="AF59" s="202">
        <v>0</v>
      </c>
      <c r="AG59" s="202">
        <v>31</v>
      </c>
      <c r="AH59" s="202">
        <v>36</v>
      </c>
      <c r="AI59" s="5"/>
      <c r="AJ59" s="136" t="s">
        <v>13</v>
      </c>
      <c r="AK59" s="202">
        <v>43</v>
      </c>
      <c r="AL59" s="202">
        <v>22</v>
      </c>
      <c r="AM59" s="202">
        <v>0</v>
      </c>
      <c r="AN59" s="202">
        <v>31</v>
      </c>
      <c r="AO59" s="202">
        <v>36</v>
      </c>
    </row>
    <row r="60" spans="10:41" ht="16.5" customHeight="1">
      <c r="J60" s="23">
        <v>56</v>
      </c>
      <c r="K60" s="196" t="s">
        <v>97</v>
      </c>
      <c r="L60" s="196" t="s">
        <v>98</v>
      </c>
      <c r="M60" s="196" t="s">
        <v>83</v>
      </c>
      <c r="N60" s="196" t="s">
        <v>31</v>
      </c>
      <c r="O60" s="196" t="s">
        <v>31</v>
      </c>
      <c r="Q60" s="195">
        <v>6</v>
      </c>
      <c r="R60" s="195">
        <v>15</v>
      </c>
      <c r="S60" s="195">
        <v>16</v>
      </c>
      <c r="T60" s="195">
        <v>7</v>
      </c>
      <c r="U60" s="195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6" t="s">
        <v>97</v>
      </c>
      <c r="AD60" s="202">
        <v>42</v>
      </c>
      <c r="AE60" s="202">
        <v>22</v>
      </c>
      <c r="AF60" s="202">
        <v>0</v>
      </c>
      <c r="AG60" s="202">
        <v>27</v>
      </c>
      <c r="AH60" s="202">
        <v>34</v>
      </c>
      <c r="AI60" s="5"/>
      <c r="AJ60" s="136" t="s">
        <v>97</v>
      </c>
      <c r="AK60" s="202">
        <v>42</v>
      </c>
      <c r="AL60" s="202">
        <v>22</v>
      </c>
      <c r="AM60" s="202">
        <v>0</v>
      </c>
      <c r="AN60" s="202">
        <v>27</v>
      </c>
      <c r="AO60" s="202">
        <v>34</v>
      </c>
    </row>
    <row r="61" spans="10:41">
      <c r="J61" s="195">
        <v>57</v>
      </c>
      <c r="K61" s="196" t="s">
        <v>13</v>
      </c>
      <c r="L61" s="196" t="s">
        <v>13</v>
      </c>
      <c r="M61" s="196" t="s">
        <v>98</v>
      </c>
      <c r="N61" s="196" t="s">
        <v>97</v>
      </c>
      <c r="O61" s="196" t="s">
        <v>29</v>
      </c>
      <c r="Q61" s="195">
        <v>5</v>
      </c>
      <c r="R61" s="195">
        <v>5</v>
      </c>
      <c r="S61" s="195">
        <v>15</v>
      </c>
      <c r="T61" s="195">
        <v>6</v>
      </c>
      <c r="U61" s="195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6" t="s">
        <v>31</v>
      </c>
      <c r="AD61" s="202">
        <v>43</v>
      </c>
      <c r="AE61" s="202">
        <v>27</v>
      </c>
      <c r="AF61" s="202">
        <v>0</v>
      </c>
      <c r="AG61" s="202">
        <v>31</v>
      </c>
      <c r="AH61" s="202">
        <v>35</v>
      </c>
      <c r="AI61" s="5"/>
      <c r="AJ61" s="136" t="s">
        <v>31</v>
      </c>
      <c r="AK61" s="202">
        <v>43</v>
      </c>
      <c r="AL61" s="202">
        <v>27</v>
      </c>
      <c r="AM61" s="202">
        <v>0</v>
      </c>
      <c r="AN61" s="202">
        <v>31</v>
      </c>
      <c r="AO61" s="202">
        <v>35</v>
      </c>
    </row>
    <row r="62" spans="10:41">
      <c r="J62" s="23">
        <v>58</v>
      </c>
      <c r="K62" s="196" t="s">
        <v>97</v>
      </c>
      <c r="L62" s="196" t="s">
        <v>29</v>
      </c>
      <c r="M62" s="196" t="s">
        <v>95</v>
      </c>
      <c r="N62" s="196" t="s">
        <v>13</v>
      </c>
      <c r="O62" s="196" t="s">
        <v>31</v>
      </c>
      <c r="Q62" s="195">
        <v>6</v>
      </c>
      <c r="R62" s="195">
        <v>8</v>
      </c>
      <c r="S62" s="195">
        <v>17</v>
      </c>
      <c r="T62" s="195">
        <v>5</v>
      </c>
      <c r="U62" s="195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6" t="s">
        <v>29</v>
      </c>
      <c r="AD62" s="202">
        <v>43</v>
      </c>
      <c r="AE62" s="202">
        <v>24</v>
      </c>
      <c r="AF62" s="202">
        <v>0</v>
      </c>
      <c r="AG62" s="202">
        <v>32</v>
      </c>
      <c r="AH62" s="202">
        <v>34</v>
      </c>
      <c r="AI62" s="5"/>
      <c r="AJ62" s="136" t="s">
        <v>29</v>
      </c>
      <c r="AK62" s="202">
        <v>43</v>
      </c>
      <c r="AL62" s="202">
        <v>24</v>
      </c>
      <c r="AM62" s="202">
        <v>0</v>
      </c>
      <c r="AN62" s="202">
        <v>32</v>
      </c>
      <c r="AO62" s="202">
        <v>34</v>
      </c>
    </row>
    <row r="63" spans="10:41" ht="16.5" customHeight="1">
      <c r="J63" s="195">
        <v>59</v>
      </c>
      <c r="K63" s="196" t="s">
        <v>31</v>
      </c>
      <c r="L63" s="196" t="s">
        <v>12</v>
      </c>
      <c r="M63" s="196" t="s">
        <v>82</v>
      </c>
      <c r="N63" s="196" t="s">
        <v>29</v>
      </c>
      <c r="O63" s="196" t="s">
        <v>29</v>
      </c>
      <c r="Q63" s="195">
        <v>7</v>
      </c>
      <c r="R63" s="195">
        <v>4</v>
      </c>
      <c r="S63" s="195">
        <v>14</v>
      </c>
      <c r="T63" s="195">
        <v>8</v>
      </c>
      <c r="U63" s="195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6" t="s">
        <v>28</v>
      </c>
      <c r="AD63" s="202">
        <v>7</v>
      </c>
      <c r="AE63" s="202">
        <v>12</v>
      </c>
      <c r="AF63" s="202">
        <v>0</v>
      </c>
      <c r="AG63" s="202">
        <v>6</v>
      </c>
      <c r="AH63" s="202">
        <v>13</v>
      </c>
      <c r="AI63" s="5"/>
      <c r="AJ63" s="136" t="s">
        <v>28</v>
      </c>
      <c r="AK63" s="202">
        <v>7</v>
      </c>
      <c r="AL63" s="202">
        <v>12</v>
      </c>
      <c r="AM63" s="202">
        <v>0</v>
      </c>
      <c r="AN63" s="202">
        <v>6</v>
      </c>
      <c r="AO63" s="202">
        <v>13</v>
      </c>
    </row>
    <row r="64" spans="10:41" ht="16.5" customHeight="1">
      <c r="J64" s="23">
        <v>60</v>
      </c>
      <c r="K64" s="196" t="s">
        <v>29</v>
      </c>
      <c r="L64" s="196" t="s">
        <v>29</v>
      </c>
      <c r="M64" s="196" t="s">
        <v>98</v>
      </c>
      <c r="N64" s="196" t="s">
        <v>83</v>
      </c>
      <c r="O64" s="196" t="s">
        <v>13</v>
      </c>
      <c r="Q64" s="195">
        <v>8</v>
      </c>
      <c r="R64" s="195">
        <v>8</v>
      </c>
      <c r="S64" s="195">
        <v>15</v>
      </c>
      <c r="T64" s="195">
        <v>16</v>
      </c>
      <c r="U64" s="195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6" t="s">
        <v>30</v>
      </c>
      <c r="AD64" s="202">
        <v>7</v>
      </c>
      <c r="AE64" s="202">
        <v>8</v>
      </c>
      <c r="AF64" s="202">
        <v>0</v>
      </c>
      <c r="AG64" s="202">
        <v>7</v>
      </c>
      <c r="AH64" s="202">
        <v>14</v>
      </c>
      <c r="AI64" s="5"/>
      <c r="AJ64" s="136" t="s">
        <v>30</v>
      </c>
      <c r="AK64" s="202">
        <v>7</v>
      </c>
      <c r="AL64" s="202">
        <v>8</v>
      </c>
      <c r="AM64" s="202">
        <v>0</v>
      </c>
      <c r="AN64" s="202">
        <v>7</v>
      </c>
      <c r="AO64" s="202">
        <v>14</v>
      </c>
    </row>
    <row r="65" spans="10:41" ht="16.5" customHeight="1">
      <c r="J65" s="195">
        <v>61</v>
      </c>
      <c r="K65" s="196" t="s">
        <v>31</v>
      </c>
      <c r="L65" s="196" t="s">
        <v>83</v>
      </c>
      <c r="M65" s="196" t="s">
        <v>82</v>
      </c>
      <c r="N65" s="196" t="s">
        <v>16</v>
      </c>
      <c r="O65" s="196" t="s">
        <v>14</v>
      </c>
      <c r="Q65" s="195">
        <v>7</v>
      </c>
      <c r="R65" s="195">
        <v>16</v>
      </c>
      <c r="S65" s="195">
        <v>14</v>
      </c>
      <c r="T65" s="195">
        <v>3</v>
      </c>
      <c r="U65" s="195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201" t="s">
        <v>79</v>
      </c>
      <c r="AD65" s="203">
        <v>0</v>
      </c>
      <c r="AE65" s="203">
        <v>3</v>
      </c>
      <c r="AF65" s="203">
        <v>3</v>
      </c>
      <c r="AG65" s="203">
        <v>2</v>
      </c>
      <c r="AH65" s="203">
        <v>0</v>
      </c>
      <c r="AI65" s="5"/>
      <c r="AJ65" s="201" t="s">
        <v>79</v>
      </c>
      <c r="AK65" s="203">
        <v>0</v>
      </c>
      <c r="AL65" s="203">
        <v>3</v>
      </c>
      <c r="AM65" s="203">
        <v>3</v>
      </c>
      <c r="AN65" s="203">
        <v>2</v>
      </c>
      <c r="AO65" s="203">
        <v>0</v>
      </c>
    </row>
    <row r="66" spans="10:41" ht="16.5" customHeight="1">
      <c r="J66" s="23">
        <v>62</v>
      </c>
      <c r="K66" s="196" t="s">
        <v>29</v>
      </c>
      <c r="L66" s="196" t="s">
        <v>13</v>
      </c>
      <c r="M66" s="196" t="s">
        <v>98</v>
      </c>
      <c r="N66" s="196" t="s">
        <v>31</v>
      </c>
      <c r="O66" s="196" t="s">
        <v>97</v>
      </c>
      <c r="Q66" s="195">
        <v>8</v>
      </c>
      <c r="R66" s="195">
        <v>5</v>
      </c>
      <c r="S66" s="195">
        <v>15</v>
      </c>
      <c r="T66" s="195">
        <v>7</v>
      </c>
      <c r="U66" s="195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201" t="s">
        <v>80</v>
      </c>
      <c r="AD66" s="203">
        <v>0</v>
      </c>
      <c r="AE66" s="203">
        <v>4</v>
      </c>
      <c r="AF66" s="203">
        <v>1</v>
      </c>
      <c r="AG66" s="203">
        <v>2</v>
      </c>
      <c r="AH66" s="203">
        <v>0</v>
      </c>
      <c r="AI66" s="5"/>
      <c r="AJ66" s="201" t="s">
        <v>80</v>
      </c>
      <c r="AK66" s="203">
        <v>0</v>
      </c>
      <c r="AL66" s="203">
        <v>4</v>
      </c>
      <c r="AM66" s="203">
        <v>1</v>
      </c>
      <c r="AN66" s="203">
        <v>2</v>
      </c>
      <c r="AO66" s="203">
        <v>0</v>
      </c>
    </row>
    <row r="67" spans="10:41" ht="16.5" customHeight="1">
      <c r="J67" s="195">
        <v>63</v>
      </c>
      <c r="K67" s="196" t="s">
        <v>31</v>
      </c>
      <c r="L67" s="196" t="s">
        <v>14</v>
      </c>
      <c r="M67" s="196" t="s">
        <v>83</v>
      </c>
      <c r="N67" s="196" t="s">
        <v>13</v>
      </c>
      <c r="O67" s="196" t="s">
        <v>31</v>
      </c>
      <c r="Q67" s="195">
        <v>7</v>
      </c>
      <c r="R67" s="195">
        <v>1</v>
      </c>
      <c r="S67" s="195">
        <v>16</v>
      </c>
      <c r="T67" s="195">
        <v>5</v>
      </c>
      <c r="U67" s="195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201" t="s">
        <v>81</v>
      </c>
      <c r="AD67" s="203">
        <v>0</v>
      </c>
      <c r="AE67" s="203">
        <v>4</v>
      </c>
      <c r="AF67" s="203">
        <v>8</v>
      </c>
      <c r="AG67" s="203">
        <v>3</v>
      </c>
      <c r="AH67" s="203">
        <v>0</v>
      </c>
      <c r="AI67" s="5"/>
      <c r="AJ67" s="201" t="s">
        <v>81</v>
      </c>
      <c r="AK67" s="203">
        <v>0</v>
      </c>
      <c r="AL67" s="203">
        <v>4</v>
      </c>
      <c r="AM67" s="203">
        <v>8</v>
      </c>
      <c r="AN67" s="203">
        <v>3</v>
      </c>
      <c r="AO67" s="203">
        <v>0</v>
      </c>
    </row>
    <row r="68" spans="10:41" ht="16.5" customHeight="1">
      <c r="J68" s="23">
        <v>64</v>
      </c>
      <c r="K68" s="196" t="s">
        <v>12</v>
      </c>
      <c r="L68" s="196" t="s">
        <v>28</v>
      </c>
      <c r="M68" s="196" t="s">
        <v>98</v>
      </c>
      <c r="N68" s="196" t="s">
        <v>31</v>
      </c>
      <c r="O68" s="196" t="s">
        <v>97</v>
      </c>
      <c r="Q68" s="195">
        <v>4</v>
      </c>
      <c r="R68" s="195">
        <v>9</v>
      </c>
      <c r="S68" s="195">
        <v>15</v>
      </c>
      <c r="T68" s="195">
        <v>7</v>
      </c>
      <c r="U68" s="195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201" t="s">
        <v>82</v>
      </c>
      <c r="AD68" s="203">
        <v>0</v>
      </c>
      <c r="AE68" s="203">
        <v>9</v>
      </c>
      <c r="AF68" s="203">
        <v>43</v>
      </c>
      <c r="AG68" s="203">
        <v>12</v>
      </c>
      <c r="AH68" s="203">
        <v>0</v>
      </c>
      <c r="AI68" s="5"/>
      <c r="AJ68" s="201" t="s">
        <v>82</v>
      </c>
      <c r="AK68" s="203">
        <v>0</v>
      </c>
      <c r="AL68" s="203">
        <v>9</v>
      </c>
      <c r="AM68" s="203">
        <v>43</v>
      </c>
      <c r="AN68" s="203">
        <v>12</v>
      </c>
      <c r="AO68" s="203">
        <v>0</v>
      </c>
    </row>
    <row r="69" spans="10:41" ht="16.5" customHeight="1">
      <c r="J69" s="195">
        <v>65</v>
      </c>
      <c r="K69" s="196" t="s">
        <v>13</v>
      </c>
      <c r="L69" s="196" t="s">
        <v>12</v>
      </c>
      <c r="M69" s="196" t="s">
        <v>82</v>
      </c>
      <c r="N69" s="196" t="s">
        <v>13</v>
      </c>
      <c r="O69" s="196" t="s">
        <v>31</v>
      </c>
      <c r="Q69" s="195">
        <v>5</v>
      </c>
      <c r="R69" s="195">
        <v>4</v>
      </c>
      <c r="S69" s="195">
        <v>14</v>
      </c>
      <c r="T69" s="195">
        <v>5</v>
      </c>
      <c r="U69" s="195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201" t="s">
        <v>98</v>
      </c>
      <c r="AD69" s="203">
        <v>0</v>
      </c>
      <c r="AE69" s="203">
        <v>9</v>
      </c>
      <c r="AF69" s="203">
        <v>42</v>
      </c>
      <c r="AG69" s="203">
        <v>13</v>
      </c>
      <c r="AH69" s="203">
        <v>0</v>
      </c>
      <c r="AI69" s="5"/>
      <c r="AJ69" s="201" t="s">
        <v>98</v>
      </c>
      <c r="AK69" s="203">
        <v>0</v>
      </c>
      <c r="AL69" s="203">
        <v>9</v>
      </c>
      <c r="AM69" s="203">
        <v>42</v>
      </c>
      <c r="AN69" s="203">
        <v>13</v>
      </c>
      <c r="AO69" s="203">
        <v>0</v>
      </c>
    </row>
    <row r="70" spans="10:41" ht="16.5" customHeight="1">
      <c r="J70" s="23">
        <v>66</v>
      </c>
      <c r="K70" s="196" t="s">
        <v>97</v>
      </c>
      <c r="L70" s="196" t="s">
        <v>15</v>
      </c>
      <c r="M70" s="196" t="s">
        <v>95</v>
      </c>
      <c r="N70" s="196" t="s">
        <v>82</v>
      </c>
      <c r="O70" s="196" t="s">
        <v>97</v>
      </c>
      <c r="Q70" s="195">
        <v>6</v>
      </c>
      <c r="R70" s="195">
        <v>2</v>
      </c>
      <c r="S70" s="195">
        <v>17</v>
      </c>
      <c r="T70" s="195">
        <v>14</v>
      </c>
      <c r="U70" s="195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201" t="s">
        <v>83</v>
      </c>
      <c r="AD70" s="203">
        <v>0</v>
      </c>
      <c r="AE70" s="203">
        <v>11</v>
      </c>
      <c r="AF70" s="203">
        <v>42</v>
      </c>
      <c r="AG70" s="203">
        <v>11</v>
      </c>
      <c r="AH70" s="203">
        <v>0</v>
      </c>
      <c r="AI70" s="5"/>
      <c r="AJ70" s="201" t="s">
        <v>83</v>
      </c>
      <c r="AK70" s="203">
        <v>0</v>
      </c>
      <c r="AL70" s="203">
        <v>11</v>
      </c>
      <c r="AM70" s="203">
        <v>42</v>
      </c>
      <c r="AN70" s="203">
        <v>11</v>
      </c>
      <c r="AO70" s="203">
        <v>0</v>
      </c>
    </row>
    <row r="71" spans="10:41" ht="16.5" customHeight="1">
      <c r="J71" s="195">
        <v>67</v>
      </c>
      <c r="K71" s="196" t="s">
        <v>30</v>
      </c>
      <c r="L71" s="196" t="s">
        <v>13</v>
      </c>
      <c r="M71" s="196" t="s">
        <v>81</v>
      </c>
      <c r="N71" s="196" t="s">
        <v>31</v>
      </c>
      <c r="O71" s="196" t="s">
        <v>29</v>
      </c>
      <c r="Q71" s="195">
        <v>10</v>
      </c>
      <c r="R71" s="195">
        <v>5</v>
      </c>
      <c r="S71" s="195">
        <v>13</v>
      </c>
      <c r="T71" s="195">
        <v>7</v>
      </c>
      <c r="U71" s="195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201" t="s">
        <v>95</v>
      </c>
      <c r="AD71" s="203">
        <v>0</v>
      </c>
      <c r="AE71" s="203">
        <v>10</v>
      </c>
      <c r="AF71" s="203">
        <v>44</v>
      </c>
      <c r="AG71" s="203">
        <v>11</v>
      </c>
      <c r="AH71" s="203">
        <v>0</v>
      </c>
      <c r="AI71" s="5"/>
      <c r="AJ71" s="201" t="s">
        <v>95</v>
      </c>
      <c r="AK71" s="203">
        <v>0</v>
      </c>
      <c r="AL71" s="203">
        <v>10</v>
      </c>
      <c r="AM71" s="203">
        <v>44</v>
      </c>
      <c r="AN71" s="203">
        <v>11</v>
      </c>
      <c r="AO71" s="203">
        <v>0</v>
      </c>
    </row>
    <row r="72" spans="10:41" ht="16.5" customHeight="1">
      <c r="J72" s="23">
        <v>68</v>
      </c>
      <c r="K72" s="196" t="s">
        <v>29</v>
      </c>
      <c r="L72" s="196" t="s">
        <v>29</v>
      </c>
      <c r="M72" s="196" t="s">
        <v>98</v>
      </c>
      <c r="N72" s="196" t="s">
        <v>97</v>
      </c>
      <c r="O72" s="196" t="s">
        <v>97</v>
      </c>
      <c r="Q72" s="195">
        <v>8</v>
      </c>
      <c r="R72" s="195">
        <v>8</v>
      </c>
      <c r="S72" s="195">
        <v>15</v>
      </c>
      <c r="T72" s="195">
        <v>6</v>
      </c>
      <c r="U72" s="195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201" t="s">
        <v>86</v>
      </c>
      <c r="AD72" s="203">
        <v>0</v>
      </c>
      <c r="AE72" s="203">
        <v>4</v>
      </c>
      <c r="AF72" s="203">
        <v>6</v>
      </c>
      <c r="AG72" s="203">
        <v>2</v>
      </c>
      <c r="AH72" s="203">
        <v>0</v>
      </c>
      <c r="AI72" s="5"/>
      <c r="AJ72" s="201" t="s">
        <v>86</v>
      </c>
      <c r="AK72" s="203">
        <v>0</v>
      </c>
      <c r="AL72" s="203">
        <v>4</v>
      </c>
      <c r="AM72" s="203">
        <v>6</v>
      </c>
      <c r="AN72" s="203">
        <v>2</v>
      </c>
      <c r="AO72" s="203">
        <v>0</v>
      </c>
    </row>
    <row r="73" spans="10:41" ht="16.5" customHeight="1">
      <c r="J73" s="195">
        <v>69</v>
      </c>
      <c r="K73" s="196" t="s">
        <v>13</v>
      </c>
      <c r="L73" s="196" t="s">
        <v>98</v>
      </c>
      <c r="M73" s="196" t="s">
        <v>95</v>
      </c>
      <c r="N73" s="196" t="s">
        <v>13</v>
      </c>
      <c r="O73" s="196" t="s">
        <v>28</v>
      </c>
      <c r="Q73" s="195">
        <v>5</v>
      </c>
      <c r="R73" s="195">
        <v>15</v>
      </c>
      <c r="S73" s="195">
        <v>17</v>
      </c>
      <c r="T73" s="195">
        <v>5</v>
      </c>
      <c r="U73" s="195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201" t="s">
        <v>88</v>
      </c>
      <c r="AD73" s="203">
        <v>0</v>
      </c>
      <c r="AE73" s="203">
        <v>3</v>
      </c>
      <c r="AF73" s="203">
        <v>9</v>
      </c>
      <c r="AG73" s="203">
        <v>3</v>
      </c>
      <c r="AH73" s="203">
        <v>0</v>
      </c>
      <c r="AI73" s="5"/>
      <c r="AJ73" s="201" t="s">
        <v>88</v>
      </c>
      <c r="AK73" s="203">
        <v>0</v>
      </c>
      <c r="AL73" s="203">
        <v>3</v>
      </c>
      <c r="AM73" s="203">
        <v>9</v>
      </c>
      <c r="AN73" s="203">
        <v>3</v>
      </c>
      <c r="AO73" s="203">
        <v>0</v>
      </c>
    </row>
    <row r="74" spans="10:41" ht="16.5" customHeight="1">
      <c r="J74" s="23">
        <v>70</v>
      </c>
      <c r="K74" s="196" t="s">
        <v>16</v>
      </c>
      <c r="L74" s="196" t="s">
        <v>15</v>
      </c>
      <c r="M74" s="196" t="s">
        <v>83</v>
      </c>
      <c r="N74" s="196" t="s">
        <v>29</v>
      </c>
      <c r="O74" s="196" t="s">
        <v>97</v>
      </c>
      <c r="Q74" s="195">
        <v>3</v>
      </c>
      <c r="R74" s="195">
        <v>2</v>
      </c>
      <c r="S74" s="195">
        <v>16</v>
      </c>
      <c r="T74" s="195">
        <v>8</v>
      </c>
      <c r="U74" s="195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5">
        <v>71</v>
      </c>
      <c r="K75" s="196" t="s">
        <v>29</v>
      </c>
      <c r="L75" s="196" t="s">
        <v>31</v>
      </c>
      <c r="M75" s="196" t="s">
        <v>95</v>
      </c>
      <c r="N75" s="196" t="s">
        <v>97</v>
      </c>
      <c r="O75" s="196" t="s">
        <v>13</v>
      </c>
      <c r="Q75" s="195">
        <v>8</v>
      </c>
      <c r="R75" s="195">
        <v>7</v>
      </c>
      <c r="S75" s="195">
        <v>17</v>
      </c>
      <c r="T75" s="195">
        <v>6</v>
      </c>
      <c r="U75" s="195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6" t="s">
        <v>97</v>
      </c>
      <c r="L76" s="196" t="s">
        <v>97</v>
      </c>
      <c r="M76" s="196" t="s">
        <v>82</v>
      </c>
      <c r="N76" s="196" t="s">
        <v>29</v>
      </c>
      <c r="O76" s="196" t="s">
        <v>16</v>
      </c>
      <c r="Q76" s="195">
        <v>6</v>
      </c>
      <c r="R76" s="195">
        <v>6</v>
      </c>
      <c r="S76" s="195">
        <v>14</v>
      </c>
      <c r="T76" s="195">
        <v>8</v>
      </c>
      <c r="U76" s="195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5">
        <v>73</v>
      </c>
      <c r="K77" s="196" t="s">
        <v>31</v>
      </c>
      <c r="L77" s="196" t="s">
        <v>16</v>
      </c>
      <c r="M77" s="196" t="s">
        <v>98</v>
      </c>
      <c r="N77" s="196" t="s">
        <v>97</v>
      </c>
      <c r="O77" s="196" t="s">
        <v>97</v>
      </c>
      <c r="Q77" s="195">
        <v>7</v>
      </c>
      <c r="R77" s="195">
        <v>3</v>
      </c>
      <c r="S77" s="195">
        <v>15</v>
      </c>
      <c r="T77" s="195">
        <v>6</v>
      </c>
      <c r="U77" s="195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6" t="s">
        <v>29</v>
      </c>
      <c r="L78" s="196" t="s">
        <v>29</v>
      </c>
      <c r="M78" s="196" t="s">
        <v>82</v>
      </c>
      <c r="N78" s="196" t="s">
        <v>13</v>
      </c>
      <c r="O78" s="196" t="s">
        <v>29</v>
      </c>
      <c r="Q78" s="195">
        <v>8</v>
      </c>
      <c r="R78" s="195">
        <v>8</v>
      </c>
      <c r="S78" s="195">
        <v>14</v>
      </c>
      <c r="T78" s="195">
        <v>5</v>
      </c>
      <c r="U78" s="195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5">
        <v>75</v>
      </c>
      <c r="K79" s="196" t="s">
        <v>13</v>
      </c>
      <c r="L79" s="196" t="s">
        <v>13</v>
      </c>
      <c r="M79" s="196" t="s">
        <v>98</v>
      </c>
      <c r="N79" s="196" t="s">
        <v>29</v>
      </c>
      <c r="O79" s="196" t="s">
        <v>13</v>
      </c>
      <c r="Q79" s="195">
        <v>5</v>
      </c>
      <c r="R79" s="195">
        <v>5</v>
      </c>
      <c r="S79" s="195">
        <v>15</v>
      </c>
      <c r="T79" s="195">
        <v>8</v>
      </c>
      <c r="U79" s="195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6" t="s">
        <v>29</v>
      </c>
      <c r="L80" s="196" t="s">
        <v>28</v>
      </c>
      <c r="M80" s="196" t="s">
        <v>82</v>
      </c>
      <c r="N80" s="196" t="s">
        <v>28</v>
      </c>
      <c r="O80" s="196" t="s">
        <v>30</v>
      </c>
      <c r="Q80" s="195">
        <v>8</v>
      </c>
      <c r="R80" s="195">
        <v>9</v>
      </c>
      <c r="S80" s="195">
        <v>14</v>
      </c>
      <c r="T80" s="195">
        <v>9</v>
      </c>
      <c r="U80" s="195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5">
        <v>77</v>
      </c>
      <c r="K81" s="196" t="s">
        <v>97</v>
      </c>
      <c r="L81" s="196" t="s">
        <v>97</v>
      </c>
      <c r="M81" s="196" t="s">
        <v>98</v>
      </c>
      <c r="N81" s="196" t="s">
        <v>13</v>
      </c>
      <c r="O81" s="196" t="s">
        <v>29</v>
      </c>
      <c r="Q81" s="195">
        <v>6</v>
      </c>
      <c r="R81" s="195">
        <v>6</v>
      </c>
      <c r="S81" s="195">
        <v>15</v>
      </c>
      <c r="T81" s="195">
        <v>5</v>
      </c>
      <c r="U81" s="195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6" t="s">
        <v>29</v>
      </c>
      <c r="L82" s="196" t="s">
        <v>16</v>
      </c>
      <c r="M82" s="196" t="s">
        <v>82</v>
      </c>
      <c r="N82" s="196" t="s">
        <v>29</v>
      </c>
      <c r="O82" s="196" t="s">
        <v>97</v>
      </c>
      <c r="Q82" s="195">
        <v>8</v>
      </c>
      <c r="R82" s="195">
        <v>3</v>
      </c>
      <c r="S82" s="195">
        <v>14</v>
      </c>
      <c r="T82" s="195">
        <v>8</v>
      </c>
      <c r="U82" s="195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5">
        <v>79</v>
      </c>
      <c r="K83" s="196" t="s">
        <v>97</v>
      </c>
      <c r="L83" s="196" t="s">
        <v>14</v>
      </c>
      <c r="M83" s="196" t="s">
        <v>81</v>
      </c>
      <c r="N83" s="196" t="s">
        <v>13</v>
      </c>
      <c r="O83" s="196" t="s">
        <v>13</v>
      </c>
      <c r="Q83" s="195">
        <v>6</v>
      </c>
      <c r="R83" s="195">
        <v>1</v>
      </c>
      <c r="S83" s="195">
        <v>13</v>
      </c>
      <c r="T83" s="195">
        <v>5</v>
      </c>
      <c r="U83" s="195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6" t="s">
        <v>12</v>
      </c>
      <c r="L84" s="196" t="s">
        <v>97</v>
      </c>
      <c r="M84" s="196" t="s">
        <v>82</v>
      </c>
      <c r="N84" s="196" t="s">
        <v>29</v>
      </c>
      <c r="O84" s="196" t="s">
        <v>31</v>
      </c>
      <c r="Q84" s="195">
        <v>4</v>
      </c>
      <c r="R84" s="195">
        <v>6</v>
      </c>
      <c r="S84" s="195">
        <v>14</v>
      </c>
      <c r="T84" s="195">
        <v>8</v>
      </c>
      <c r="U84" s="195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5">
        <v>81</v>
      </c>
      <c r="K85" s="196" t="s">
        <v>13</v>
      </c>
      <c r="L85" s="196" t="s">
        <v>29</v>
      </c>
      <c r="M85" s="196" t="s">
        <v>86</v>
      </c>
      <c r="N85" s="196" t="s">
        <v>14</v>
      </c>
      <c r="O85" s="196" t="s">
        <v>30</v>
      </c>
      <c r="Q85" s="195">
        <v>5</v>
      </c>
      <c r="R85" s="195">
        <v>8</v>
      </c>
      <c r="S85" s="195">
        <v>18</v>
      </c>
      <c r="T85" s="195">
        <v>1</v>
      </c>
      <c r="U85" s="195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6" t="s">
        <v>29</v>
      </c>
      <c r="L86" s="196" t="s">
        <v>28</v>
      </c>
      <c r="M86" s="196" t="s">
        <v>83</v>
      </c>
      <c r="N86" s="196" t="s">
        <v>97</v>
      </c>
      <c r="O86" s="196" t="s">
        <v>31</v>
      </c>
      <c r="Q86" s="195">
        <v>8</v>
      </c>
      <c r="R86" s="195">
        <v>9</v>
      </c>
      <c r="S86" s="195">
        <v>16</v>
      </c>
      <c r="T86" s="195">
        <v>6</v>
      </c>
      <c r="U86" s="195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5">
        <v>83</v>
      </c>
      <c r="K87" s="196" t="s">
        <v>30</v>
      </c>
      <c r="L87" s="196" t="s">
        <v>82</v>
      </c>
      <c r="M87" s="196" t="s">
        <v>98</v>
      </c>
      <c r="N87" s="196" t="s">
        <v>16</v>
      </c>
      <c r="O87" s="196" t="s">
        <v>13</v>
      </c>
      <c r="Q87" s="195">
        <v>10</v>
      </c>
      <c r="R87" s="195">
        <v>14</v>
      </c>
      <c r="S87" s="195">
        <v>15</v>
      </c>
      <c r="T87" s="195">
        <v>3</v>
      </c>
      <c r="U87" s="195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6" t="s">
        <v>97</v>
      </c>
      <c r="L88" s="196" t="s">
        <v>30</v>
      </c>
      <c r="M88" s="196" t="s">
        <v>95</v>
      </c>
      <c r="N88" s="196" t="s">
        <v>31</v>
      </c>
      <c r="O88" s="196" t="s">
        <v>28</v>
      </c>
      <c r="Q88" s="195">
        <v>6</v>
      </c>
      <c r="R88" s="195">
        <v>10</v>
      </c>
      <c r="S88" s="195">
        <v>17</v>
      </c>
      <c r="T88" s="195">
        <v>7</v>
      </c>
      <c r="U88" s="195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5">
        <v>85</v>
      </c>
      <c r="K89" s="196" t="s">
        <v>31</v>
      </c>
      <c r="L89" s="196" t="s">
        <v>86</v>
      </c>
      <c r="M89" s="196" t="s">
        <v>83</v>
      </c>
      <c r="N89" s="196" t="s">
        <v>97</v>
      </c>
      <c r="O89" s="196" t="s">
        <v>13</v>
      </c>
      <c r="Q89" s="195">
        <v>7</v>
      </c>
      <c r="R89" s="195">
        <v>18</v>
      </c>
      <c r="S89" s="195">
        <v>16</v>
      </c>
      <c r="T89" s="195">
        <v>6</v>
      </c>
      <c r="U89" s="195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6" t="s">
        <v>97</v>
      </c>
      <c r="L90" s="196" t="s">
        <v>15</v>
      </c>
      <c r="M90" s="196" t="s">
        <v>98</v>
      </c>
      <c r="N90" s="196" t="s">
        <v>13</v>
      </c>
      <c r="O90" s="196" t="s">
        <v>28</v>
      </c>
      <c r="Q90" s="195">
        <v>6</v>
      </c>
      <c r="R90" s="195">
        <v>2</v>
      </c>
      <c r="S90" s="195">
        <v>15</v>
      </c>
      <c r="T90" s="195">
        <v>5</v>
      </c>
      <c r="U90" s="195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5">
        <v>87</v>
      </c>
      <c r="K91" s="196" t="s">
        <v>30</v>
      </c>
      <c r="L91" s="196" t="s">
        <v>81</v>
      </c>
      <c r="M91" s="196" t="s">
        <v>80</v>
      </c>
      <c r="N91" s="196" t="s">
        <v>31</v>
      </c>
      <c r="O91" s="196" t="s">
        <v>30</v>
      </c>
      <c r="Q91" s="195">
        <v>10</v>
      </c>
      <c r="R91" s="195">
        <v>13</v>
      </c>
      <c r="S91" s="195">
        <v>12</v>
      </c>
      <c r="T91" s="195">
        <v>7</v>
      </c>
      <c r="U91" s="195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6" t="s">
        <v>28</v>
      </c>
      <c r="L92" s="196" t="s">
        <v>31</v>
      </c>
      <c r="M92" s="196" t="s">
        <v>88</v>
      </c>
      <c r="N92" s="196" t="s">
        <v>97</v>
      </c>
      <c r="O92" s="196" t="s">
        <v>28</v>
      </c>
      <c r="Q92" s="195">
        <v>9</v>
      </c>
      <c r="R92" s="195">
        <v>7</v>
      </c>
      <c r="S92" s="195">
        <v>19</v>
      </c>
      <c r="T92" s="195">
        <v>6</v>
      </c>
      <c r="U92" s="195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5">
        <v>89</v>
      </c>
      <c r="K93" s="196" t="s">
        <v>29</v>
      </c>
      <c r="L93" s="196" t="s">
        <v>28</v>
      </c>
      <c r="M93" s="196" t="s">
        <v>98</v>
      </c>
      <c r="N93" s="196" t="s">
        <v>95</v>
      </c>
      <c r="O93" s="196" t="s">
        <v>16</v>
      </c>
      <c r="Q93" s="195">
        <v>8</v>
      </c>
      <c r="R93" s="195">
        <v>9</v>
      </c>
      <c r="S93" s="195">
        <v>15</v>
      </c>
      <c r="T93" s="195">
        <v>17</v>
      </c>
      <c r="U93" s="195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6" t="s">
        <v>13</v>
      </c>
      <c r="L94" s="196" t="s">
        <v>97</v>
      </c>
      <c r="M94" s="196" t="s">
        <v>95</v>
      </c>
      <c r="N94" s="196" t="s">
        <v>29</v>
      </c>
      <c r="O94" s="196" t="s">
        <v>15</v>
      </c>
      <c r="Q94" s="195">
        <v>5</v>
      </c>
      <c r="R94" s="195">
        <v>6</v>
      </c>
      <c r="S94" s="195">
        <v>17</v>
      </c>
      <c r="T94" s="195">
        <v>8</v>
      </c>
      <c r="U94" s="195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5">
        <v>91</v>
      </c>
      <c r="K95" s="196" t="s">
        <v>31</v>
      </c>
      <c r="L95" s="196" t="s">
        <v>83</v>
      </c>
      <c r="M95" s="196" t="s">
        <v>83</v>
      </c>
      <c r="N95" s="196" t="s">
        <v>81</v>
      </c>
      <c r="O95" s="196" t="s">
        <v>30</v>
      </c>
      <c r="Q95" s="195">
        <v>7</v>
      </c>
      <c r="R95" s="195">
        <v>16</v>
      </c>
      <c r="S95" s="195">
        <v>16</v>
      </c>
      <c r="T95" s="195">
        <v>13</v>
      </c>
      <c r="U95" s="195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6" t="s">
        <v>13</v>
      </c>
      <c r="L96" s="196" t="s">
        <v>13</v>
      </c>
      <c r="M96" s="196" t="s">
        <v>82</v>
      </c>
      <c r="N96" s="196" t="s">
        <v>13</v>
      </c>
      <c r="O96" s="196" t="s">
        <v>29</v>
      </c>
      <c r="Q96" s="195">
        <v>5</v>
      </c>
      <c r="R96" s="195">
        <v>5</v>
      </c>
      <c r="S96" s="195">
        <v>14</v>
      </c>
      <c r="T96" s="195">
        <v>5</v>
      </c>
      <c r="U96" s="195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5">
        <v>93</v>
      </c>
      <c r="K97" s="196" t="s">
        <v>97</v>
      </c>
      <c r="L97" s="196" t="s">
        <v>30</v>
      </c>
      <c r="M97" s="196" t="s">
        <v>98</v>
      </c>
      <c r="N97" s="196" t="s">
        <v>82</v>
      </c>
      <c r="O97" s="196" t="s">
        <v>14</v>
      </c>
      <c r="Q97" s="195">
        <v>6</v>
      </c>
      <c r="R97" s="195">
        <v>10</v>
      </c>
      <c r="S97" s="195">
        <v>15</v>
      </c>
      <c r="T97" s="195">
        <v>14</v>
      </c>
      <c r="U97" s="195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6" t="s">
        <v>31</v>
      </c>
      <c r="L98" s="196" t="s">
        <v>97</v>
      </c>
      <c r="M98" s="196" t="s">
        <v>95</v>
      </c>
      <c r="N98" s="196" t="s">
        <v>29</v>
      </c>
      <c r="O98" s="196" t="s">
        <v>31</v>
      </c>
      <c r="Q98" s="195">
        <v>7</v>
      </c>
      <c r="R98" s="195">
        <v>6</v>
      </c>
      <c r="S98" s="195">
        <v>17</v>
      </c>
      <c r="T98" s="195">
        <v>8</v>
      </c>
      <c r="U98" s="195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5">
        <v>95</v>
      </c>
      <c r="K99" s="196" t="s">
        <v>29</v>
      </c>
      <c r="L99" s="196" t="s">
        <v>31</v>
      </c>
      <c r="M99" s="196" t="s">
        <v>82</v>
      </c>
      <c r="N99" s="196" t="s">
        <v>13</v>
      </c>
      <c r="O99" s="196" t="s">
        <v>97</v>
      </c>
      <c r="Q99" s="195">
        <v>8</v>
      </c>
      <c r="R99" s="195">
        <v>7</v>
      </c>
      <c r="S99" s="195">
        <v>14</v>
      </c>
      <c r="T99" s="195">
        <v>5</v>
      </c>
      <c r="U99" s="195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6" t="s">
        <v>14</v>
      </c>
      <c r="L100" s="196" t="s">
        <v>29</v>
      </c>
      <c r="M100" s="196" t="s">
        <v>95</v>
      </c>
      <c r="N100" s="196" t="s">
        <v>31</v>
      </c>
      <c r="O100" s="196" t="s">
        <v>12</v>
      </c>
      <c r="Q100" s="195">
        <v>1</v>
      </c>
      <c r="R100" s="195">
        <v>8</v>
      </c>
      <c r="S100" s="195">
        <v>17</v>
      </c>
      <c r="T100" s="195">
        <v>7</v>
      </c>
      <c r="U100" s="195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5">
        <v>97</v>
      </c>
      <c r="K101" s="196" t="s">
        <v>97</v>
      </c>
      <c r="L101" s="196" t="s">
        <v>97</v>
      </c>
      <c r="M101" s="196" t="s">
        <v>83</v>
      </c>
      <c r="N101" s="196" t="s">
        <v>13</v>
      </c>
      <c r="O101" s="196" t="s">
        <v>29</v>
      </c>
      <c r="Q101" s="195">
        <v>6</v>
      </c>
      <c r="R101" s="195">
        <v>6</v>
      </c>
      <c r="S101" s="195">
        <v>16</v>
      </c>
      <c r="T101" s="195">
        <v>5</v>
      </c>
      <c r="U101" s="195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6" t="s">
        <v>29</v>
      </c>
      <c r="L102" s="196" t="s">
        <v>28</v>
      </c>
      <c r="M102" s="196" t="s">
        <v>82</v>
      </c>
      <c r="N102" s="196" t="s">
        <v>88</v>
      </c>
      <c r="O102" s="196" t="s">
        <v>28</v>
      </c>
      <c r="Q102" s="195">
        <v>8</v>
      </c>
      <c r="R102" s="195">
        <v>9</v>
      </c>
      <c r="S102" s="195">
        <v>14</v>
      </c>
      <c r="T102" s="195">
        <v>19</v>
      </c>
      <c r="U102" s="195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5">
        <v>99</v>
      </c>
      <c r="K103" s="196" t="s">
        <v>13</v>
      </c>
      <c r="L103" s="196" t="s">
        <v>97</v>
      </c>
      <c r="M103" s="196" t="s">
        <v>80</v>
      </c>
      <c r="N103" s="196" t="s">
        <v>29</v>
      </c>
      <c r="O103" s="196" t="s">
        <v>29</v>
      </c>
      <c r="Q103" s="195">
        <v>5</v>
      </c>
      <c r="R103" s="195">
        <v>6</v>
      </c>
      <c r="S103" s="195">
        <v>12</v>
      </c>
      <c r="T103" s="195">
        <v>8</v>
      </c>
      <c r="U103" s="195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6" t="s">
        <v>29</v>
      </c>
      <c r="L104" s="196" t="s">
        <v>95</v>
      </c>
      <c r="M104" s="196" t="s">
        <v>83</v>
      </c>
      <c r="N104" s="196" t="s">
        <v>98</v>
      </c>
      <c r="O104" s="196" t="s">
        <v>13</v>
      </c>
      <c r="Q104" s="195">
        <v>8</v>
      </c>
      <c r="R104" s="195">
        <v>17</v>
      </c>
      <c r="S104" s="195">
        <v>16</v>
      </c>
      <c r="T104" s="195">
        <v>15</v>
      </c>
      <c r="U104" s="195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6" t="s">
        <v>97</v>
      </c>
      <c r="L105" s="196" t="s">
        <v>14</v>
      </c>
      <c r="M105" s="196" t="s">
        <v>95</v>
      </c>
      <c r="N105" s="196" t="s">
        <v>13</v>
      </c>
      <c r="O105" s="196" t="s">
        <v>97</v>
      </c>
      <c r="Q105" s="195">
        <v>6</v>
      </c>
      <c r="R105" s="195">
        <v>1</v>
      </c>
      <c r="S105" s="195">
        <v>17</v>
      </c>
      <c r="T105" s="195">
        <v>5</v>
      </c>
      <c r="U105" s="195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5">
        <v>102</v>
      </c>
      <c r="K106" s="196" t="s">
        <v>31</v>
      </c>
      <c r="L106" s="196" t="s">
        <v>29</v>
      </c>
      <c r="M106" s="196" t="s">
        <v>98</v>
      </c>
      <c r="N106" s="196" t="s">
        <v>29</v>
      </c>
      <c r="O106" s="196" t="s">
        <v>13</v>
      </c>
      <c r="Q106" s="195">
        <v>7</v>
      </c>
      <c r="R106" s="195">
        <v>8</v>
      </c>
      <c r="S106" s="195">
        <v>15</v>
      </c>
      <c r="T106" s="195">
        <v>8</v>
      </c>
      <c r="U106" s="195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6" t="s">
        <v>30</v>
      </c>
      <c r="L107" s="196" t="s">
        <v>31</v>
      </c>
      <c r="M107" s="196" t="s">
        <v>82</v>
      </c>
      <c r="N107" s="196" t="s">
        <v>95</v>
      </c>
      <c r="O107" s="196" t="s">
        <v>31</v>
      </c>
      <c r="Q107" s="195">
        <v>10</v>
      </c>
      <c r="R107" s="195">
        <v>7</v>
      </c>
      <c r="S107" s="195">
        <v>14</v>
      </c>
      <c r="T107" s="195">
        <v>17</v>
      </c>
      <c r="U107" s="195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5">
        <v>104</v>
      </c>
      <c r="K108" s="196" t="s">
        <v>28</v>
      </c>
      <c r="L108" s="196" t="s">
        <v>97</v>
      </c>
      <c r="M108" s="196" t="s">
        <v>83</v>
      </c>
      <c r="N108" s="196" t="s">
        <v>31</v>
      </c>
      <c r="O108" s="196" t="s">
        <v>97</v>
      </c>
      <c r="Q108" s="195">
        <v>9</v>
      </c>
      <c r="R108" s="195">
        <v>6</v>
      </c>
      <c r="S108" s="195">
        <v>16</v>
      </c>
      <c r="T108" s="195">
        <v>7</v>
      </c>
      <c r="U108" s="195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6" t="s">
        <v>13</v>
      </c>
      <c r="L109" s="196" t="s">
        <v>79</v>
      </c>
      <c r="M109" s="196" t="s">
        <v>82</v>
      </c>
      <c r="N109" s="196" t="s">
        <v>30</v>
      </c>
      <c r="O109" s="196" t="s">
        <v>12</v>
      </c>
      <c r="Q109" s="195">
        <v>5</v>
      </c>
      <c r="R109" s="195">
        <v>11</v>
      </c>
      <c r="S109" s="195">
        <v>14</v>
      </c>
      <c r="T109" s="195">
        <v>10</v>
      </c>
      <c r="U109" s="195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5">
        <v>106</v>
      </c>
      <c r="K110" s="196" t="s">
        <v>97</v>
      </c>
      <c r="L110" s="196" t="s">
        <v>98</v>
      </c>
      <c r="M110" s="196" t="s">
        <v>95</v>
      </c>
      <c r="N110" s="196" t="s">
        <v>14</v>
      </c>
      <c r="O110" s="196" t="s">
        <v>16</v>
      </c>
      <c r="Q110" s="195">
        <v>6</v>
      </c>
      <c r="R110" s="195">
        <v>15</v>
      </c>
      <c r="S110" s="195">
        <v>17</v>
      </c>
      <c r="T110" s="195">
        <v>1</v>
      </c>
      <c r="U110" s="195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6" t="s">
        <v>29</v>
      </c>
      <c r="L111" s="196" t="s">
        <v>29</v>
      </c>
      <c r="M111" s="196" t="s">
        <v>82</v>
      </c>
      <c r="N111" s="196" t="s">
        <v>15</v>
      </c>
      <c r="O111" s="196" t="s">
        <v>29</v>
      </c>
      <c r="Q111" s="195">
        <v>8</v>
      </c>
      <c r="R111" s="195">
        <v>8</v>
      </c>
      <c r="S111" s="195">
        <v>14</v>
      </c>
      <c r="T111" s="195">
        <v>2</v>
      </c>
      <c r="U111" s="195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5">
        <v>108</v>
      </c>
      <c r="K112" s="196" t="s">
        <v>97</v>
      </c>
      <c r="L112" s="196" t="s">
        <v>95</v>
      </c>
      <c r="M112" s="196" t="s">
        <v>95</v>
      </c>
      <c r="N112" s="196" t="s">
        <v>13</v>
      </c>
      <c r="O112" s="196" t="s">
        <v>13</v>
      </c>
      <c r="Q112" s="195">
        <v>6</v>
      </c>
      <c r="R112" s="195">
        <v>17</v>
      </c>
      <c r="S112" s="195">
        <v>17</v>
      </c>
      <c r="T112" s="195">
        <v>5</v>
      </c>
      <c r="U112" s="195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6" t="s">
        <v>29</v>
      </c>
      <c r="L113" s="196" t="s">
        <v>12</v>
      </c>
      <c r="M113" s="196" t="s">
        <v>82</v>
      </c>
      <c r="N113" s="196" t="s">
        <v>98</v>
      </c>
      <c r="O113" s="196" t="s">
        <v>29</v>
      </c>
      <c r="Q113" s="195">
        <v>8</v>
      </c>
      <c r="R113" s="195">
        <v>4</v>
      </c>
      <c r="S113" s="195">
        <v>14</v>
      </c>
      <c r="T113" s="195">
        <v>15</v>
      </c>
      <c r="U113" s="195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5">
        <v>110</v>
      </c>
      <c r="K114" s="196" t="s">
        <v>13</v>
      </c>
      <c r="L114" s="196" t="s">
        <v>31</v>
      </c>
      <c r="M114" s="196" t="s">
        <v>95</v>
      </c>
      <c r="N114" s="196" t="s">
        <v>31</v>
      </c>
      <c r="O114" s="196" t="s">
        <v>28</v>
      </c>
      <c r="Q114" s="195">
        <v>5</v>
      </c>
      <c r="R114" s="195">
        <v>7</v>
      </c>
      <c r="S114" s="195">
        <v>17</v>
      </c>
      <c r="T114" s="195">
        <v>7</v>
      </c>
      <c r="U114" s="195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6" t="s">
        <v>31</v>
      </c>
      <c r="L115" s="196" t="s">
        <v>80</v>
      </c>
      <c r="M115" s="196" t="s">
        <v>83</v>
      </c>
      <c r="N115" s="196" t="s">
        <v>15</v>
      </c>
      <c r="O115" s="196" t="s">
        <v>97</v>
      </c>
      <c r="Q115" s="195">
        <v>7</v>
      </c>
      <c r="R115" s="195">
        <v>12</v>
      </c>
      <c r="S115" s="195">
        <v>16</v>
      </c>
      <c r="T115" s="195">
        <v>2</v>
      </c>
      <c r="U115" s="195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5">
        <v>112</v>
      </c>
      <c r="K116" s="196" t="s">
        <v>28</v>
      </c>
      <c r="L116" s="196" t="s">
        <v>97</v>
      </c>
      <c r="M116" s="196" t="s">
        <v>82</v>
      </c>
      <c r="N116" s="196" t="s">
        <v>28</v>
      </c>
      <c r="O116" s="196" t="s">
        <v>12</v>
      </c>
      <c r="Q116" s="195">
        <v>9</v>
      </c>
      <c r="R116" s="195">
        <v>6</v>
      </c>
      <c r="S116" s="195">
        <v>14</v>
      </c>
      <c r="T116" s="195">
        <v>9</v>
      </c>
      <c r="U116" s="195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6" t="s">
        <v>29</v>
      </c>
      <c r="L117" s="196" t="s">
        <v>16</v>
      </c>
      <c r="M117" s="196" t="s">
        <v>95</v>
      </c>
      <c r="N117" s="196" t="s">
        <v>29</v>
      </c>
      <c r="O117" s="196" t="s">
        <v>13</v>
      </c>
      <c r="Q117" s="195">
        <v>8</v>
      </c>
      <c r="R117" s="195">
        <v>3</v>
      </c>
      <c r="S117" s="195">
        <v>17</v>
      </c>
      <c r="T117" s="195">
        <v>8</v>
      </c>
      <c r="U117" s="195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5">
        <v>114</v>
      </c>
      <c r="K118" s="196" t="s">
        <v>31</v>
      </c>
      <c r="L118" s="196" t="s">
        <v>97</v>
      </c>
      <c r="M118" s="196" t="s">
        <v>82</v>
      </c>
      <c r="N118" s="196" t="s">
        <v>31</v>
      </c>
      <c r="O118" s="196" t="s">
        <v>97</v>
      </c>
      <c r="Q118" s="195">
        <v>7</v>
      </c>
      <c r="R118" s="195">
        <v>6</v>
      </c>
      <c r="S118" s="195">
        <v>14</v>
      </c>
      <c r="T118" s="195">
        <v>7</v>
      </c>
      <c r="U118" s="195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6" t="s">
        <v>13</v>
      </c>
      <c r="L119" s="196" t="s">
        <v>83</v>
      </c>
      <c r="M119" s="196" t="s">
        <v>98</v>
      </c>
      <c r="N119" s="196" t="s">
        <v>14</v>
      </c>
      <c r="O119" s="196" t="s">
        <v>31</v>
      </c>
      <c r="Q119" s="195">
        <v>5</v>
      </c>
      <c r="R119" s="195">
        <v>16</v>
      </c>
      <c r="S119" s="195">
        <v>15</v>
      </c>
      <c r="T119" s="195">
        <v>1</v>
      </c>
      <c r="U119" s="195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5">
        <v>116</v>
      </c>
      <c r="K120" s="196" t="s">
        <v>31</v>
      </c>
      <c r="L120" s="196" t="s">
        <v>31</v>
      </c>
      <c r="M120" s="196" t="s">
        <v>95</v>
      </c>
      <c r="N120" s="196" t="s">
        <v>97</v>
      </c>
      <c r="O120" s="196" t="s">
        <v>30</v>
      </c>
      <c r="Q120" s="195">
        <v>7</v>
      </c>
      <c r="R120" s="195">
        <v>7</v>
      </c>
      <c r="S120" s="195">
        <v>17</v>
      </c>
      <c r="T120" s="195">
        <v>6</v>
      </c>
      <c r="U120" s="195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6" t="s">
        <v>97</v>
      </c>
      <c r="L121" s="196" t="s">
        <v>97</v>
      </c>
      <c r="M121" s="196" t="s">
        <v>86</v>
      </c>
      <c r="N121" s="196" t="s">
        <v>12</v>
      </c>
      <c r="O121" s="196" t="s">
        <v>29</v>
      </c>
      <c r="Q121" s="195">
        <v>6</v>
      </c>
      <c r="R121" s="195">
        <v>6</v>
      </c>
      <c r="S121" s="195">
        <v>18</v>
      </c>
      <c r="T121" s="195">
        <v>4</v>
      </c>
      <c r="U121" s="195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5">
        <v>118</v>
      </c>
      <c r="K122" s="196" t="s">
        <v>31</v>
      </c>
      <c r="L122" s="196" t="s">
        <v>13</v>
      </c>
      <c r="M122" s="196" t="s">
        <v>81</v>
      </c>
      <c r="N122" s="196" t="s">
        <v>13</v>
      </c>
      <c r="O122" s="196" t="s">
        <v>13</v>
      </c>
      <c r="Q122" s="195">
        <v>7</v>
      </c>
      <c r="R122" s="195">
        <v>5</v>
      </c>
      <c r="S122" s="195">
        <v>13</v>
      </c>
      <c r="T122" s="195">
        <v>5</v>
      </c>
      <c r="U122" s="195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6" t="s">
        <v>13</v>
      </c>
      <c r="L123" s="196" t="s">
        <v>31</v>
      </c>
      <c r="M123" s="196" t="s">
        <v>98</v>
      </c>
      <c r="N123" s="196" t="s">
        <v>31</v>
      </c>
      <c r="O123" s="196" t="s">
        <v>28</v>
      </c>
      <c r="Q123" s="195">
        <v>5</v>
      </c>
      <c r="R123" s="195">
        <v>7</v>
      </c>
      <c r="S123" s="195">
        <v>15</v>
      </c>
      <c r="T123" s="195">
        <v>7</v>
      </c>
      <c r="U123" s="195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5">
        <v>120</v>
      </c>
      <c r="K124" s="196" t="s">
        <v>29</v>
      </c>
      <c r="L124" s="196" t="s">
        <v>88</v>
      </c>
      <c r="M124" s="196" t="s">
        <v>83</v>
      </c>
      <c r="N124" s="196" t="s">
        <v>13</v>
      </c>
      <c r="O124" s="196" t="s">
        <v>29</v>
      </c>
      <c r="Q124" s="195">
        <v>8</v>
      </c>
      <c r="R124" s="195">
        <v>19</v>
      </c>
      <c r="S124" s="195">
        <v>16</v>
      </c>
      <c r="T124" s="195">
        <v>5</v>
      </c>
      <c r="U124" s="195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6" t="s">
        <v>97</v>
      </c>
      <c r="L125" s="196" t="s">
        <v>30</v>
      </c>
      <c r="M125" s="196" t="s">
        <v>98</v>
      </c>
      <c r="N125" s="196" t="s">
        <v>31</v>
      </c>
      <c r="O125" s="196" t="s">
        <v>31</v>
      </c>
      <c r="Q125" s="195">
        <v>6</v>
      </c>
      <c r="R125" s="195">
        <v>10</v>
      </c>
      <c r="S125" s="195">
        <v>15</v>
      </c>
      <c r="T125" s="195">
        <v>7</v>
      </c>
      <c r="U125" s="195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5">
        <v>122</v>
      </c>
      <c r="K126" s="196" t="s">
        <v>31</v>
      </c>
      <c r="L126" s="196" t="s">
        <v>82</v>
      </c>
      <c r="M126" s="196" t="s">
        <v>82</v>
      </c>
      <c r="N126" s="196" t="s">
        <v>98</v>
      </c>
      <c r="O126" s="196" t="s">
        <v>97</v>
      </c>
      <c r="Q126" s="195">
        <v>7</v>
      </c>
      <c r="R126" s="195">
        <v>14</v>
      </c>
      <c r="S126" s="195">
        <v>14</v>
      </c>
      <c r="T126" s="195">
        <v>15</v>
      </c>
      <c r="U126" s="195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6" t="s">
        <v>29</v>
      </c>
      <c r="L127" s="196" t="s">
        <v>97</v>
      </c>
      <c r="M127" s="196" t="s">
        <v>98</v>
      </c>
      <c r="N127" s="196" t="s">
        <v>30</v>
      </c>
      <c r="O127" s="196" t="s">
        <v>29</v>
      </c>
      <c r="Q127" s="195">
        <v>8</v>
      </c>
      <c r="R127" s="195">
        <v>6</v>
      </c>
      <c r="S127" s="195">
        <v>15</v>
      </c>
      <c r="T127" s="195">
        <v>10</v>
      </c>
      <c r="U127" s="195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5">
        <v>124</v>
      </c>
      <c r="K128" s="196" t="s">
        <v>97</v>
      </c>
      <c r="L128" s="196" t="s">
        <v>31</v>
      </c>
      <c r="M128" s="196" t="s">
        <v>95</v>
      </c>
      <c r="N128" s="196" t="s">
        <v>95</v>
      </c>
      <c r="O128" s="196" t="s">
        <v>15</v>
      </c>
      <c r="Q128" s="195">
        <v>6</v>
      </c>
      <c r="R128" s="195">
        <v>7</v>
      </c>
      <c r="S128" s="195">
        <v>17</v>
      </c>
      <c r="T128" s="195">
        <v>17</v>
      </c>
      <c r="U128" s="195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6" t="s">
        <v>13</v>
      </c>
      <c r="L129" s="196" t="s">
        <v>95</v>
      </c>
      <c r="M129" s="196" t="s">
        <v>80</v>
      </c>
      <c r="N129" s="196" t="s">
        <v>83</v>
      </c>
      <c r="O129" s="196" t="s">
        <v>29</v>
      </c>
      <c r="Q129" s="195">
        <v>5</v>
      </c>
      <c r="R129" s="195">
        <v>17</v>
      </c>
      <c r="S129" s="195">
        <v>12</v>
      </c>
      <c r="T129" s="195">
        <v>16</v>
      </c>
      <c r="U129" s="195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5">
        <v>126</v>
      </c>
      <c r="K130" s="196" t="s">
        <v>31</v>
      </c>
      <c r="L130" s="196" t="s">
        <v>16</v>
      </c>
      <c r="M130" s="196" t="s">
        <v>88</v>
      </c>
      <c r="N130" s="196" t="s">
        <v>13</v>
      </c>
      <c r="O130" s="196" t="s">
        <v>31</v>
      </c>
      <c r="Q130" s="195">
        <v>7</v>
      </c>
      <c r="R130" s="195">
        <v>3</v>
      </c>
      <c r="S130" s="195">
        <v>19</v>
      </c>
      <c r="T130" s="195">
        <v>5</v>
      </c>
      <c r="U130" s="195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6" t="s">
        <v>13</v>
      </c>
      <c r="L131" s="196" t="s">
        <v>31</v>
      </c>
      <c r="M131" s="196" t="s">
        <v>83</v>
      </c>
      <c r="N131" s="196" t="s">
        <v>97</v>
      </c>
      <c r="O131" s="196" t="s">
        <v>28</v>
      </c>
      <c r="Q131" s="195">
        <v>5</v>
      </c>
      <c r="R131" s="195">
        <v>7</v>
      </c>
      <c r="S131" s="195">
        <v>16</v>
      </c>
      <c r="T131" s="195">
        <v>6</v>
      </c>
      <c r="U131" s="195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5">
        <v>128</v>
      </c>
      <c r="K132" s="196" t="s">
        <v>31</v>
      </c>
      <c r="L132" s="196" t="s">
        <v>29</v>
      </c>
      <c r="M132" s="196" t="s">
        <v>95</v>
      </c>
      <c r="N132" s="196" t="s">
        <v>13</v>
      </c>
      <c r="O132" s="196" t="s">
        <v>30</v>
      </c>
      <c r="Q132" s="195">
        <v>7</v>
      </c>
      <c r="R132" s="195">
        <v>8</v>
      </c>
      <c r="S132" s="195">
        <v>17</v>
      </c>
      <c r="T132" s="195">
        <v>5</v>
      </c>
      <c r="U132" s="195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6" t="s">
        <v>97</v>
      </c>
      <c r="L133" s="196" t="s">
        <v>97</v>
      </c>
      <c r="M133" s="196" t="s">
        <v>98</v>
      </c>
      <c r="N133" s="196" t="s">
        <v>95</v>
      </c>
      <c r="O133" s="196" t="s">
        <v>97</v>
      </c>
      <c r="Q133" s="195">
        <v>6</v>
      </c>
      <c r="R133" s="195">
        <v>6</v>
      </c>
      <c r="S133" s="195">
        <v>15</v>
      </c>
      <c r="T133" s="195">
        <v>17</v>
      </c>
      <c r="U133" s="195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5">
        <v>130</v>
      </c>
      <c r="K134" s="196" t="s">
        <v>31</v>
      </c>
      <c r="L134" s="196" t="s">
        <v>16</v>
      </c>
      <c r="M134" s="196" t="s">
        <v>82</v>
      </c>
      <c r="N134" s="196" t="s">
        <v>31</v>
      </c>
      <c r="O134" s="196" t="s">
        <v>31</v>
      </c>
      <c r="Q134" s="195">
        <v>7</v>
      </c>
      <c r="R134" s="195">
        <v>3</v>
      </c>
      <c r="S134" s="195">
        <v>14</v>
      </c>
      <c r="T134" s="195">
        <v>7</v>
      </c>
      <c r="U134" s="195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6" t="s">
        <v>29</v>
      </c>
      <c r="L135" s="196" t="s">
        <v>28</v>
      </c>
      <c r="M135" s="196" t="s">
        <v>95</v>
      </c>
      <c r="N135" s="196" t="s">
        <v>29</v>
      </c>
      <c r="O135" s="196" t="s">
        <v>13</v>
      </c>
      <c r="Q135" s="195">
        <v>8</v>
      </c>
      <c r="R135" s="195">
        <v>9</v>
      </c>
      <c r="S135" s="195">
        <v>17</v>
      </c>
      <c r="T135" s="195">
        <v>8</v>
      </c>
      <c r="U135" s="195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5">
        <v>132</v>
      </c>
      <c r="K136" s="196" t="s">
        <v>97</v>
      </c>
      <c r="L136" s="196" t="s">
        <v>14</v>
      </c>
      <c r="M136" s="196" t="s">
        <v>83</v>
      </c>
      <c r="N136" s="196" t="s">
        <v>31</v>
      </c>
      <c r="O136" s="196" t="s">
        <v>31</v>
      </c>
      <c r="Q136" s="195">
        <v>6</v>
      </c>
      <c r="R136" s="195">
        <v>1</v>
      </c>
      <c r="S136" s="195">
        <v>16</v>
      </c>
      <c r="T136" s="195">
        <v>7</v>
      </c>
      <c r="U136" s="195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6" t="s">
        <v>13</v>
      </c>
      <c r="L137" s="196" t="s">
        <v>31</v>
      </c>
      <c r="M137" s="196" t="s">
        <v>95</v>
      </c>
      <c r="N137" s="196" t="s">
        <v>29</v>
      </c>
      <c r="O137" s="196" t="s">
        <v>16</v>
      </c>
      <c r="Q137" s="195">
        <v>5</v>
      </c>
      <c r="R137" s="195">
        <v>7</v>
      </c>
      <c r="S137" s="195">
        <v>17</v>
      </c>
      <c r="T137" s="195">
        <v>8</v>
      </c>
      <c r="U137" s="195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5">
        <v>134</v>
      </c>
      <c r="K138" s="196" t="s">
        <v>29</v>
      </c>
      <c r="L138" s="196" t="s">
        <v>86</v>
      </c>
      <c r="M138" s="196" t="s">
        <v>82</v>
      </c>
      <c r="N138" s="196" t="s">
        <v>31</v>
      </c>
      <c r="O138" s="196" t="s">
        <v>97</v>
      </c>
      <c r="Q138" s="195">
        <v>8</v>
      </c>
      <c r="R138" s="195">
        <v>18</v>
      </c>
      <c r="S138" s="195">
        <v>14</v>
      </c>
      <c r="T138" s="195">
        <v>7</v>
      </c>
      <c r="U138" s="195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6" t="s">
        <v>31</v>
      </c>
      <c r="L139" s="196" t="s">
        <v>29</v>
      </c>
      <c r="M139" s="196" t="s">
        <v>83</v>
      </c>
      <c r="N139" s="196" t="s">
        <v>29</v>
      </c>
      <c r="O139" s="196" t="s">
        <v>14</v>
      </c>
      <c r="Q139" s="195">
        <v>7</v>
      </c>
      <c r="R139" s="195">
        <v>8</v>
      </c>
      <c r="S139" s="195">
        <v>16</v>
      </c>
      <c r="T139" s="195">
        <v>8</v>
      </c>
      <c r="U139" s="195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5">
        <v>136</v>
      </c>
      <c r="K140" s="196" t="s">
        <v>13</v>
      </c>
      <c r="L140" s="196" t="s">
        <v>13</v>
      </c>
      <c r="M140" s="196" t="s">
        <v>80</v>
      </c>
      <c r="N140" s="196" t="s">
        <v>97</v>
      </c>
      <c r="O140" s="196" t="s">
        <v>31</v>
      </c>
      <c r="Q140" s="195">
        <v>5</v>
      </c>
      <c r="R140" s="195">
        <v>5</v>
      </c>
      <c r="S140" s="195">
        <v>12</v>
      </c>
      <c r="T140" s="195">
        <v>6</v>
      </c>
      <c r="U140" s="195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6" t="s">
        <v>31</v>
      </c>
      <c r="L141" s="196" t="s">
        <v>31</v>
      </c>
      <c r="M141" s="196" t="s">
        <v>98</v>
      </c>
      <c r="N141" s="196" t="s">
        <v>31</v>
      </c>
      <c r="O141" s="196" t="s">
        <v>29</v>
      </c>
      <c r="Q141" s="195">
        <v>7</v>
      </c>
      <c r="R141" s="195">
        <v>7</v>
      </c>
      <c r="S141" s="195">
        <v>15</v>
      </c>
      <c r="T141" s="195">
        <v>7</v>
      </c>
      <c r="U141" s="195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5">
        <v>138</v>
      </c>
      <c r="K142" s="196" t="s">
        <v>13</v>
      </c>
      <c r="L142" s="196" t="s">
        <v>16</v>
      </c>
      <c r="M142" s="196" t="s">
        <v>83</v>
      </c>
      <c r="N142" s="196" t="s">
        <v>13</v>
      </c>
      <c r="O142" s="196" t="s">
        <v>31</v>
      </c>
      <c r="Q142" s="195">
        <v>5</v>
      </c>
      <c r="R142" s="195">
        <v>3</v>
      </c>
      <c r="S142" s="195">
        <v>16</v>
      </c>
      <c r="T142" s="195">
        <v>5</v>
      </c>
      <c r="U142" s="195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6" t="s">
        <v>30</v>
      </c>
      <c r="L143" s="196" t="s">
        <v>31</v>
      </c>
      <c r="M143" s="196" t="s">
        <v>79</v>
      </c>
      <c r="N143" s="196" t="s">
        <v>81</v>
      </c>
      <c r="O143" s="196" t="s">
        <v>30</v>
      </c>
      <c r="Q143" s="195">
        <v>10</v>
      </c>
      <c r="R143" s="195">
        <v>7</v>
      </c>
      <c r="S143" s="195">
        <v>11</v>
      </c>
      <c r="T143" s="195">
        <v>13</v>
      </c>
      <c r="U143" s="195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5">
        <v>140</v>
      </c>
      <c r="K144" s="196" t="s">
        <v>29</v>
      </c>
      <c r="L144" s="196" t="s">
        <v>12</v>
      </c>
      <c r="M144" s="196" t="s">
        <v>98</v>
      </c>
      <c r="N144" s="196" t="s">
        <v>97</v>
      </c>
      <c r="O144" s="196" t="s">
        <v>97</v>
      </c>
      <c r="Q144" s="195">
        <v>8</v>
      </c>
      <c r="R144" s="195">
        <v>4</v>
      </c>
      <c r="S144" s="195">
        <v>15</v>
      </c>
      <c r="T144" s="195">
        <v>6</v>
      </c>
      <c r="U144" s="195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6" t="s">
        <v>97</v>
      </c>
      <c r="L145" s="196" t="s">
        <v>31</v>
      </c>
      <c r="M145" s="196" t="s">
        <v>83</v>
      </c>
      <c r="N145" s="196" t="s">
        <v>31</v>
      </c>
      <c r="O145" s="196" t="s">
        <v>12</v>
      </c>
      <c r="Q145" s="195">
        <v>6</v>
      </c>
      <c r="R145" s="195">
        <v>7</v>
      </c>
      <c r="S145" s="195">
        <v>16</v>
      </c>
      <c r="T145" s="195">
        <v>7</v>
      </c>
      <c r="U145" s="195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5">
        <v>142</v>
      </c>
      <c r="K146" s="196" t="s">
        <v>14</v>
      </c>
      <c r="L146" s="196" t="s">
        <v>82</v>
      </c>
      <c r="M146" s="196" t="s">
        <v>95</v>
      </c>
      <c r="N146" s="196" t="s">
        <v>88</v>
      </c>
      <c r="O146" s="196" t="s">
        <v>30</v>
      </c>
      <c r="Q146" s="195">
        <v>1</v>
      </c>
      <c r="R146" s="195">
        <v>14</v>
      </c>
      <c r="S146" s="195">
        <v>17</v>
      </c>
      <c r="T146" s="195">
        <v>19</v>
      </c>
      <c r="U146" s="195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6" t="s">
        <v>13</v>
      </c>
      <c r="L147" s="196" t="s">
        <v>31</v>
      </c>
      <c r="M147" s="196" t="s">
        <v>83</v>
      </c>
      <c r="N147" s="196" t="s">
        <v>97</v>
      </c>
      <c r="O147" s="196" t="s">
        <v>97</v>
      </c>
      <c r="Q147" s="195">
        <v>5</v>
      </c>
      <c r="R147" s="195">
        <v>7</v>
      </c>
      <c r="S147" s="195">
        <v>16</v>
      </c>
      <c r="T147" s="195">
        <v>6</v>
      </c>
      <c r="U147" s="195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5">
        <v>144</v>
      </c>
      <c r="K148" s="196" t="s">
        <v>15</v>
      </c>
      <c r="L148" s="196" t="s">
        <v>12</v>
      </c>
      <c r="M148" s="196" t="s">
        <v>95</v>
      </c>
      <c r="N148" s="196" t="s">
        <v>30</v>
      </c>
      <c r="O148" s="196" t="s">
        <v>12</v>
      </c>
      <c r="Q148" s="195">
        <v>2</v>
      </c>
      <c r="R148" s="195">
        <v>4</v>
      </c>
      <c r="S148" s="195">
        <v>17</v>
      </c>
      <c r="T148" s="195">
        <v>10</v>
      </c>
      <c r="U148" s="195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6" t="s">
        <v>29</v>
      </c>
      <c r="L149" s="196" t="s">
        <v>31</v>
      </c>
      <c r="M149" s="196" t="s">
        <v>83</v>
      </c>
      <c r="N149" s="196" t="s">
        <v>31</v>
      </c>
      <c r="O149" s="196" t="s">
        <v>29</v>
      </c>
      <c r="Q149" s="195">
        <v>8</v>
      </c>
      <c r="R149" s="195">
        <v>7</v>
      </c>
      <c r="S149" s="195">
        <v>16</v>
      </c>
      <c r="T149" s="195">
        <v>7</v>
      </c>
      <c r="U149" s="195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5">
        <v>146</v>
      </c>
      <c r="K150" s="196" t="s">
        <v>97</v>
      </c>
      <c r="L150" s="196" t="s">
        <v>13</v>
      </c>
      <c r="M150" s="196" t="s">
        <v>82</v>
      </c>
      <c r="N150" s="196" t="s">
        <v>97</v>
      </c>
      <c r="O150" s="196" t="s">
        <v>13</v>
      </c>
      <c r="Q150" s="195">
        <v>6</v>
      </c>
      <c r="R150" s="195">
        <v>5</v>
      </c>
      <c r="S150" s="195">
        <v>14</v>
      </c>
      <c r="T150" s="195">
        <v>6</v>
      </c>
      <c r="U150" s="195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6" t="s">
        <v>31</v>
      </c>
      <c r="L151" s="196" t="s">
        <v>31</v>
      </c>
      <c r="M151" s="196" t="s">
        <v>83</v>
      </c>
      <c r="N151" s="196" t="s">
        <v>29</v>
      </c>
      <c r="O151" s="196" t="s">
        <v>29</v>
      </c>
      <c r="Q151" s="195">
        <v>7</v>
      </c>
      <c r="R151" s="195">
        <v>7</v>
      </c>
      <c r="S151" s="195">
        <v>16</v>
      </c>
      <c r="T151" s="195">
        <v>8</v>
      </c>
      <c r="U151" s="195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5">
        <v>148</v>
      </c>
      <c r="K152" s="196" t="s">
        <v>97</v>
      </c>
      <c r="L152" s="196" t="s">
        <v>13</v>
      </c>
      <c r="M152" s="196" t="s">
        <v>88</v>
      </c>
      <c r="N152" s="196" t="s">
        <v>31</v>
      </c>
      <c r="O152" s="196" t="s">
        <v>31</v>
      </c>
      <c r="Q152" s="195">
        <v>6</v>
      </c>
      <c r="R152" s="195">
        <v>5</v>
      </c>
      <c r="S152" s="195">
        <v>19</v>
      </c>
      <c r="T152" s="195">
        <v>7</v>
      </c>
      <c r="U152" s="195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6" t="s">
        <v>13</v>
      </c>
      <c r="L153" s="196" t="s">
        <v>28</v>
      </c>
      <c r="M153" s="196" t="s">
        <v>98</v>
      </c>
      <c r="N153" s="196" t="s">
        <v>97</v>
      </c>
      <c r="O153" s="196" t="s">
        <v>13</v>
      </c>
      <c r="Q153" s="195">
        <v>5</v>
      </c>
      <c r="R153" s="195">
        <v>9</v>
      </c>
      <c r="S153" s="195">
        <v>15</v>
      </c>
      <c r="T153" s="195">
        <v>6</v>
      </c>
      <c r="U153" s="195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5">
        <v>150</v>
      </c>
      <c r="K154" s="196" t="s">
        <v>31</v>
      </c>
      <c r="L154" s="196" t="s">
        <v>15</v>
      </c>
      <c r="M154" s="196" t="s">
        <v>88</v>
      </c>
      <c r="N154" s="196" t="s">
        <v>95</v>
      </c>
      <c r="O154" s="196" t="s">
        <v>29</v>
      </c>
      <c r="Q154" s="195">
        <v>7</v>
      </c>
      <c r="R154" s="195">
        <v>2</v>
      </c>
      <c r="S154" s="195">
        <v>19</v>
      </c>
      <c r="T154" s="195">
        <v>17</v>
      </c>
      <c r="U154" s="195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6" t="s">
        <v>13</v>
      </c>
      <c r="L155" s="196" t="s">
        <v>16</v>
      </c>
      <c r="M155" s="196" t="s">
        <v>83</v>
      </c>
      <c r="N155" s="196" t="s">
        <v>12</v>
      </c>
      <c r="O155" s="196" t="s">
        <v>13</v>
      </c>
      <c r="Q155" s="195">
        <v>5</v>
      </c>
      <c r="R155" s="195">
        <v>3</v>
      </c>
      <c r="S155" s="195">
        <v>16</v>
      </c>
      <c r="T155" s="195">
        <v>4</v>
      </c>
      <c r="U155" s="195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5">
        <v>152</v>
      </c>
      <c r="K156" s="196" t="s">
        <v>29</v>
      </c>
      <c r="L156" s="196" t="s">
        <v>97</v>
      </c>
      <c r="M156" s="196" t="s">
        <v>98</v>
      </c>
      <c r="N156" s="196" t="s">
        <v>13</v>
      </c>
      <c r="O156" s="196" t="s">
        <v>29</v>
      </c>
      <c r="Q156" s="195">
        <v>8</v>
      </c>
      <c r="R156" s="195">
        <v>6</v>
      </c>
      <c r="S156" s="195">
        <v>15</v>
      </c>
      <c r="T156" s="195">
        <v>5</v>
      </c>
      <c r="U156" s="195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6" t="s">
        <v>15</v>
      </c>
      <c r="L157" s="196" t="s">
        <v>30</v>
      </c>
      <c r="M157" s="196" t="s">
        <v>81</v>
      </c>
      <c r="N157" s="196" t="s">
        <v>28</v>
      </c>
      <c r="O157" s="196" t="s">
        <v>14</v>
      </c>
      <c r="Q157" s="195">
        <v>2</v>
      </c>
      <c r="R157" s="195">
        <v>10</v>
      </c>
      <c r="S157" s="195">
        <v>13</v>
      </c>
      <c r="T157" s="195">
        <v>9</v>
      </c>
      <c r="U157" s="195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5">
        <v>154</v>
      </c>
      <c r="K158" s="196" t="s">
        <v>13</v>
      </c>
      <c r="L158" s="196" t="s">
        <v>29</v>
      </c>
      <c r="M158" s="196" t="s">
        <v>83</v>
      </c>
      <c r="N158" s="196" t="s">
        <v>29</v>
      </c>
      <c r="O158" s="196" t="s">
        <v>31</v>
      </c>
      <c r="Q158" s="195">
        <v>5</v>
      </c>
      <c r="R158" s="195">
        <v>8</v>
      </c>
      <c r="S158" s="195">
        <v>16</v>
      </c>
      <c r="T158" s="195">
        <v>8</v>
      </c>
      <c r="U158" s="195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6" t="s">
        <v>31</v>
      </c>
      <c r="L159" s="196" t="s">
        <v>97</v>
      </c>
      <c r="M159" s="196" t="s">
        <v>82</v>
      </c>
      <c r="N159" s="196" t="s">
        <v>97</v>
      </c>
      <c r="O159" s="196" t="s">
        <v>12</v>
      </c>
      <c r="Q159" s="195">
        <v>7</v>
      </c>
      <c r="R159" s="195">
        <v>6</v>
      </c>
      <c r="S159" s="195">
        <v>14</v>
      </c>
      <c r="T159" s="195">
        <v>6</v>
      </c>
      <c r="U159" s="195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5">
        <v>156</v>
      </c>
      <c r="K160" s="196" t="s">
        <v>12</v>
      </c>
      <c r="L160" s="196" t="s">
        <v>29</v>
      </c>
      <c r="M160" s="196" t="s">
        <v>98</v>
      </c>
      <c r="N160" s="196" t="s">
        <v>29</v>
      </c>
      <c r="O160" s="196" t="s">
        <v>13</v>
      </c>
      <c r="Q160" s="195">
        <v>4</v>
      </c>
      <c r="R160" s="195">
        <v>8</v>
      </c>
      <c r="S160" s="195">
        <v>15</v>
      </c>
      <c r="T160" s="195">
        <v>8</v>
      </c>
      <c r="U160" s="195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6" t="s">
        <v>13</v>
      </c>
      <c r="L161" s="196" t="s">
        <v>12</v>
      </c>
      <c r="M161" s="196" t="s">
        <v>95</v>
      </c>
      <c r="N161" s="196" t="s">
        <v>30</v>
      </c>
      <c r="O161" s="196" t="s">
        <v>31</v>
      </c>
      <c r="Q161" s="195">
        <v>5</v>
      </c>
      <c r="R161" s="195">
        <v>4</v>
      </c>
      <c r="S161" s="195">
        <v>17</v>
      </c>
      <c r="T161" s="195">
        <v>10</v>
      </c>
      <c r="U161" s="195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5">
        <v>158</v>
      </c>
      <c r="K162" s="196" t="s">
        <v>31</v>
      </c>
      <c r="L162" s="196" t="s">
        <v>29</v>
      </c>
      <c r="M162" s="196" t="s">
        <v>98</v>
      </c>
      <c r="N162" s="196" t="s">
        <v>29</v>
      </c>
      <c r="O162" s="196" t="s">
        <v>29</v>
      </c>
      <c r="Q162" s="195">
        <v>7</v>
      </c>
      <c r="R162" s="195">
        <v>8</v>
      </c>
      <c r="S162" s="195">
        <v>15</v>
      </c>
      <c r="T162" s="195">
        <v>8</v>
      </c>
      <c r="U162" s="195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6" t="s">
        <v>14</v>
      </c>
      <c r="L163" s="196" t="s">
        <v>97</v>
      </c>
      <c r="M163" s="196" t="s">
        <v>83</v>
      </c>
      <c r="N163" s="196" t="s">
        <v>31</v>
      </c>
      <c r="O163" s="196" t="s">
        <v>31</v>
      </c>
      <c r="Q163" s="195">
        <v>1</v>
      </c>
      <c r="R163" s="195">
        <v>6</v>
      </c>
      <c r="S163" s="195">
        <v>16</v>
      </c>
      <c r="T163" s="195">
        <v>7</v>
      </c>
      <c r="U163" s="195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5">
        <v>160</v>
      </c>
      <c r="K164" s="196" t="s">
        <v>31</v>
      </c>
      <c r="L164" s="196" t="s">
        <v>79</v>
      </c>
      <c r="M164" s="196" t="s">
        <v>98</v>
      </c>
      <c r="N164" s="196" t="s">
        <v>83</v>
      </c>
      <c r="O164" s="196" t="s">
        <v>97</v>
      </c>
      <c r="Q164" s="195">
        <v>7</v>
      </c>
      <c r="R164" s="195">
        <v>11</v>
      </c>
      <c r="S164" s="195">
        <v>15</v>
      </c>
      <c r="T164" s="195">
        <v>16</v>
      </c>
      <c r="U164" s="195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6" t="s">
        <v>29</v>
      </c>
      <c r="L165" s="196" t="s">
        <v>95</v>
      </c>
      <c r="M165" s="196" t="s">
        <v>82</v>
      </c>
      <c r="N165" s="196" t="s">
        <v>82</v>
      </c>
      <c r="O165" s="196" t="s">
        <v>28</v>
      </c>
      <c r="Q165" s="195">
        <v>8</v>
      </c>
      <c r="R165" s="195">
        <v>17</v>
      </c>
      <c r="S165" s="195">
        <v>14</v>
      </c>
      <c r="T165" s="195">
        <v>14</v>
      </c>
      <c r="U165" s="195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5">
        <v>162</v>
      </c>
      <c r="K166" s="196" t="s">
        <v>31</v>
      </c>
      <c r="L166" s="196" t="s">
        <v>82</v>
      </c>
      <c r="M166" s="196" t="s">
        <v>83</v>
      </c>
      <c r="N166" s="196" t="s">
        <v>97</v>
      </c>
      <c r="O166" s="196" t="s">
        <v>13</v>
      </c>
      <c r="Q166" s="195">
        <v>7</v>
      </c>
      <c r="R166" s="195">
        <v>14</v>
      </c>
      <c r="S166" s="195">
        <v>16</v>
      </c>
      <c r="T166" s="195">
        <v>6</v>
      </c>
      <c r="U166" s="195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6" t="s">
        <v>97</v>
      </c>
      <c r="L167" s="196" t="s">
        <v>15</v>
      </c>
      <c r="M167" s="196" t="s">
        <v>98</v>
      </c>
      <c r="N167" s="196" t="s">
        <v>82</v>
      </c>
      <c r="O167" s="196" t="s">
        <v>28</v>
      </c>
      <c r="Q167" s="195">
        <v>6</v>
      </c>
      <c r="R167" s="195">
        <v>2</v>
      </c>
      <c r="S167" s="195">
        <v>15</v>
      </c>
      <c r="T167" s="195">
        <v>14</v>
      </c>
      <c r="U167" s="195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5">
        <v>164</v>
      </c>
      <c r="K168" s="196" t="s">
        <v>31</v>
      </c>
      <c r="L168" s="196" t="s">
        <v>13</v>
      </c>
      <c r="M168" s="196" t="s">
        <v>86</v>
      </c>
      <c r="N168" s="196" t="s">
        <v>29</v>
      </c>
      <c r="O168" s="196" t="s">
        <v>13</v>
      </c>
      <c r="Q168" s="195">
        <v>7</v>
      </c>
      <c r="R168" s="195">
        <v>5</v>
      </c>
      <c r="S168" s="195">
        <v>18</v>
      </c>
      <c r="T168" s="195">
        <v>8</v>
      </c>
      <c r="U168" s="195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6" t="s">
        <v>29</v>
      </c>
      <c r="L169" s="196" t="s">
        <v>29</v>
      </c>
      <c r="M169" s="196" t="s">
        <v>95</v>
      </c>
      <c r="N169" s="196" t="s">
        <v>13</v>
      </c>
      <c r="O169" s="196" t="s">
        <v>97</v>
      </c>
      <c r="Q169" s="195">
        <v>8</v>
      </c>
      <c r="R169" s="195">
        <v>8</v>
      </c>
      <c r="S169" s="195">
        <v>17</v>
      </c>
      <c r="T169" s="195">
        <v>5</v>
      </c>
      <c r="U169" s="195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5">
        <v>166</v>
      </c>
      <c r="K170" s="196" t="s">
        <v>31</v>
      </c>
      <c r="L170" s="196" t="s">
        <v>13</v>
      </c>
      <c r="M170" s="196" t="s">
        <v>83</v>
      </c>
      <c r="N170" s="196" t="s">
        <v>31</v>
      </c>
      <c r="O170" s="196" t="s">
        <v>13</v>
      </c>
      <c r="Q170" s="195">
        <v>7</v>
      </c>
      <c r="R170" s="195">
        <v>5</v>
      </c>
      <c r="S170" s="195">
        <v>16</v>
      </c>
      <c r="T170" s="195">
        <v>7</v>
      </c>
      <c r="U170" s="195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6" t="s">
        <v>30</v>
      </c>
      <c r="L171" s="196" t="s">
        <v>29</v>
      </c>
      <c r="M171" s="196" t="s">
        <v>88</v>
      </c>
      <c r="N171" s="196" t="s">
        <v>29</v>
      </c>
      <c r="O171" s="196" t="s">
        <v>12</v>
      </c>
      <c r="Q171" s="195">
        <v>10</v>
      </c>
      <c r="R171" s="195">
        <v>8</v>
      </c>
      <c r="S171" s="195">
        <v>19</v>
      </c>
      <c r="T171" s="195">
        <v>8</v>
      </c>
      <c r="U171" s="195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5">
        <v>168</v>
      </c>
      <c r="K172" s="196" t="s">
        <v>29</v>
      </c>
      <c r="L172" s="196" t="s">
        <v>16</v>
      </c>
      <c r="M172" s="196" t="s">
        <v>83</v>
      </c>
      <c r="N172" s="196" t="s">
        <v>97</v>
      </c>
      <c r="O172" s="196" t="s">
        <v>29</v>
      </c>
      <c r="Q172" s="195">
        <v>8</v>
      </c>
      <c r="R172" s="195">
        <v>3</v>
      </c>
      <c r="S172" s="195">
        <v>16</v>
      </c>
      <c r="T172" s="195">
        <v>6</v>
      </c>
      <c r="U172" s="195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6" t="s">
        <v>97</v>
      </c>
      <c r="L173" s="196" t="s">
        <v>12</v>
      </c>
      <c r="M173" s="196" t="s">
        <v>98</v>
      </c>
      <c r="N173" s="196" t="s">
        <v>13</v>
      </c>
      <c r="O173" s="196" t="s">
        <v>13</v>
      </c>
      <c r="Q173" s="195">
        <v>6</v>
      </c>
      <c r="R173" s="195">
        <v>4</v>
      </c>
      <c r="S173" s="195">
        <v>15</v>
      </c>
      <c r="T173" s="195">
        <v>5</v>
      </c>
      <c r="U173" s="195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5">
        <v>170</v>
      </c>
      <c r="K174" s="196" t="s">
        <v>13</v>
      </c>
      <c r="L174" s="196" t="s">
        <v>13</v>
      </c>
      <c r="M174" s="196" t="s">
        <v>95</v>
      </c>
      <c r="N174" s="196" t="s">
        <v>14</v>
      </c>
      <c r="O174" s="196" t="s">
        <v>29</v>
      </c>
      <c r="Q174" s="195">
        <v>5</v>
      </c>
      <c r="R174" s="195">
        <v>5</v>
      </c>
      <c r="S174" s="195">
        <v>17</v>
      </c>
      <c r="T174" s="195">
        <v>1</v>
      </c>
      <c r="U174" s="195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6" t="s">
        <v>29</v>
      </c>
      <c r="L175" s="196" t="s">
        <v>12</v>
      </c>
      <c r="M175" s="196" t="s">
        <v>82</v>
      </c>
      <c r="N175" s="196" t="s">
        <v>15</v>
      </c>
      <c r="O175" s="196" t="s">
        <v>31</v>
      </c>
      <c r="Q175" s="195">
        <v>8</v>
      </c>
      <c r="R175" s="195">
        <v>4</v>
      </c>
      <c r="S175" s="195">
        <v>14</v>
      </c>
      <c r="T175" s="195">
        <v>2</v>
      </c>
      <c r="U175" s="195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5">
        <v>172</v>
      </c>
      <c r="K176" s="196" t="s">
        <v>97</v>
      </c>
      <c r="L176" s="196" t="s">
        <v>83</v>
      </c>
      <c r="M176" s="196" t="s">
        <v>83</v>
      </c>
      <c r="N176" s="196" t="s">
        <v>97</v>
      </c>
      <c r="O176" s="196" t="s">
        <v>97</v>
      </c>
      <c r="Q176" s="195">
        <v>6</v>
      </c>
      <c r="R176" s="195">
        <v>16</v>
      </c>
      <c r="S176" s="195">
        <v>16</v>
      </c>
      <c r="T176" s="195">
        <v>6</v>
      </c>
      <c r="U176" s="195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6" t="s">
        <v>28</v>
      </c>
      <c r="L177" s="196" t="s">
        <v>31</v>
      </c>
      <c r="M177" s="196" t="s">
        <v>98</v>
      </c>
      <c r="N177" s="196" t="s">
        <v>82</v>
      </c>
      <c r="O177" s="196" t="s">
        <v>14</v>
      </c>
      <c r="Q177" s="195">
        <v>9</v>
      </c>
      <c r="R177" s="195">
        <v>7</v>
      </c>
      <c r="S177" s="195">
        <v>15</v>
      </c>
      <c r="T177" s="195">
        <v>14</v>
      </c>
      <c r="U177" s="195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5">
        <v>174</v>
      </c>
      <c r="K178" s="196" t="s">
        <v>31</v>
      </c>
      <c r="L178" s="196" t="s">
        <v>13</v>
      </c>
      <c r="M178" s="196" t="s">
        <v>95</v>
      </c>
      <c r="N178" s="196" t="s">
        <v>97</v>
      </c>
      <c r="O178" s="196" t="s">
        <v>16</v>
      </c>
      <c r="Q178" s="195">
        <v>7</v>
      </c>
      <c r="R178" s="195">
        <v>5</v>
      </c>
      <c r="S178" s="195">
        <v>17</v>
      </c>
      <c r="T178" s="195">
        <v>6</v>
      </c>
      <c r="U178" s="195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6" t="s">
        <v>13</v>
      </c>
      <c r="L179" s="196" t="s">
        <v>12</v>
      </c>
      <c r="M179" s="196" t="s">
        <v>83</v>
      </c>
      <c r="N179" s="196" t="s">
        <v>29</v>
      </c>
      <c r="O179" s="196" t="s">
        <v>29</v>
      </c>
      <c r="Q179" s="195">
        <v>5</v>
      </c>
      <c r="R179" s="195">
        <v>4</v>
      </c>
      <c r="S179" s="195">
        <v>16</v>
      </c>
      <c r="T179" s="195">
        <v>8</v>
      </c>
      <c r="U179" s="195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5">
        <v>176</v>
      </c>
      <c r="K180" s="196" t="s">
        <v>12</v>
      </c>
      <c r="L180" s="196" t="s">
        <v>31</v>
      </c>
      <c r="M180" s="196" t="s">
        <v>98</v>
      </c>
      <c r="N180" s="196" t="s">
        <v>31</v>
      </c>
      <c r="O180" s="196" t="s">
        <v>97</v>
      </c>
      <c r="Q180" s="195">
        <v>4</v>
      </c>
      <c r="R180" s="195">
        <v>7</v>
      </c>
      <c r="S180" s="195">
        <v>15</v>
      </c>
      <c r="T180" s="195">
        <v>7</v>
      </c>
      <c r="U180" s="195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6" t="s">
        <v>97</v>
      </c>
      <c r="L181" s="196" t="s">
        <v>97</v>
      </c>
      <c r="M181" s="196" t="s">
        <v>95</v>
      </c>
      <c r="N181" s="196" t="s">
        <v>83</v>
      </c>
      <c r="O181" s="196" t="s">
        <v>29</v>
      </c>
      <c r="Q181" s="195">
        <v>6</v>
      </c>
      <c r="R181" s="195">
        <v>6</v>
      </c>
      <c r="S181" s="195">
        <v>17</v>
      </c>
      <c r="T181" s="195">
        <v>16</v>
      </c>
      <c r="U181" s="195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5">
        <v>178</v>
      </c>
      <c r="K182" s="196" t="s">
        <v>29</v>
      </c>
      <c r="L182" s="196" t="s">
        <v>13</v>
      </c>
      <c r="M182" s="196" t="s">
        <v>98</v>
      </c>
      <c r="N182" s="196" t="s">
        <v>29</v>
      </c>
      <c r="O182" s="196" t="s">
        <v>15</v>
      </c>
      <c r="Q182" s="195">
        <v>8</v>
      </c>
      <c r="R182" s="195">
        <v>5</v>
      </c>
      <c r="S182" s="195">
        <v>15</v>
      </c>
      <c r="T182" s="195">
        <v>8</v>
      </c>
      <c r="U182" s="195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6" t="s">
        <v>31</v>
      </c>
      <c r="L183" s="196" t="s">
        <v>31</v>
      </c>
      <c r="M183" s="196" t="s">
        <v>95</v>
      </c>
      <c r="N183" s="196" t="s">
        <v>31</v>
      </c>
      <c r="O183" s="196" t="s">
        <v>97</v>
      </c>
      <c r="Q183" s="195">
        <v>7</v>
      </c>
      <c r="R183" s="195">
        <v>7</v>
      </c>
      <c r="S183" s="195">
        <v>17</v>
      </c>
      <c r="T183" s="195">
        <v>7</v>
      </c>
      <c r="U183" s="195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5">
        <v>180</v>
      </c>
      <c r="K184" s="196" t="s">
        <v>97</v>
      </c>
      <c r="L184" s="196" t="s">
        <v>97</v>
      </c>
      <c r="M184" s="196" t="s">
        <v>88</v>
      </c>
      <c r="N184" s="196" t="s">
        <v>13</v>
      </c>
      <c r="O184" s="196" t="s">
        <v>13</v>
      </c>
      <c r="Q184" s="195">
        <v>6</v>
      </c>
      <c r="R184" s="195">
        <v>6</v>
      </c>
      <c r="S184" s="195">
        <v>19</v>
      </c>
      <c r="T184" s="195">
        <v>5</v>
      </c>
      <c r="U184" s="195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6" t="s">
        <v>31</v>
      </c>
      <c r="L185" s="196" t="s">
        <v>31</v>
      </c>
      <c r="M185" s="196" t="s">
        <v>98</v>
      </c>
      <c r="N185" s="196" t="s">
        <v>95</v>
      </c>
      <c r="O185" s="196" t="s">
        <v>31</v>
      </c>
      <c r="Q185" s="195">
        <v>7</v>
      </c>
      <c r="R185" s="195">
        <v>7</v>
      </c>
      <c r="S185" s="195">
        <v>15</v>
      </c>
      <c r="T185" s="195">
        <v>17</v>
      </c>
      <c r="U185" s="195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5">
        <v>182</v>
      </c>
      <c r="K186" s="196" t="s">
        <v>97</v>
      </c>
      <c r="L186" s="196" t="s">
        <v>28</v>
      </c>
      <c r="M186" s="196" t="s">
        <v>82</v>
      </c>
      <c r="N186" s="196" t="s">
        <v>29</v>
      </c>
      <c r="O186" s="196" t="s">
        <v>97</v>
      </c>
      <c r="Q186" s="195">
        <v>6</v>
      </c>
      <c r="R186" s="195">
        <v>9</v>
      </c>
      <c r="S186" s="195">
        <v>14</v>
      </c>
      <c r="T186" s="195">
        <v>8</v>
      </c>
      <c r="U186" s="195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6" t="s">
        <v>29</v>
      </c>
      <c r="L187" s="196" t="s">
        <v>98</v>
      </c>
      <c r="M187" s="196" t="s">
        <v>95</v>
      </c>
      <c r="N187" s="196" t="s">
        <v>14</v>
      </c>
      <c r="O187" s="196" t="s">
        <v>30</v>
      </c>
      <c r="Q187" s="195">
        <v>8</v>
      </c>
      <c r="R187" s="195">
        <v>15</v>
      </c>
      <c r="S187" s="195">
        <v>17</v>
      </c>
      <c r="T187" s="195">
        <v>1</v>
      </c>
      <c r="U187" s="195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5">
        <v>184</v>
      </c>
      <c r="K188" s="196" t="s">
        <v>31</v>
      </c>
      <c r="L188" s="196" t="s">
        <v>28</v>
      </c>
      <c r="M188" s="196" t="s">
        <v>82</v>
      </c>
      <c r="N188" s="196" t="s">
        <v>97</v>
      </c>
      <c r="O188" s="196" t="s">
        <v>13</v>
      </c>
      <c r="Q188" s="195">
        <v>7</v>
      </c>
      <c r="R188" s="195">
        <v>9</v>
      </c>
      <c r="S188" s="195">
        <v>14</v>
      </c>
      <c r="T188" s="195">
        <v>6</v>
      </c>
      <c r="U188" s="195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6" t="s">
        <v>29</v>
      </c>
      <c r="L189" s="196" t="s">
        <v>13</v>
      </c>
      <c r="M189" s="196" t="s">
        <v>95</v>
      </c>
      <c r="N189" s="196" t="s">
        <v>12</v>
      </c>
      <c r="O189" s="196" t="s">
        <v>28</v>
      </c>
      <c r="Q189" s="195">
        <v>8</v>
      </c>
      <c r="R189" s="195">
        <v>5</v>
      </c>
      <c r="S189" s="195">
        <v>17</v>
      </c>
      <c r="T189" s="195">
        <v>4</v>
      </c>
      <c r="U189" s="195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5">
        <v>186</v>
      </c>
      <c r="K190" s="196" t="s">
        <v>12</v>
      </c>
      <c r="L190" s="196" t="s">
        <v>98</v>
      </c>
      <c r="M190" s="196" t="s">
        <v>98</v>
      </c>
      <c r="N190" s="196" t="s">
        <v>97</v>
      </c>
      <c r="O190" s="196" t="s">
        <v>14</v>
      </c>
      <c r="Q190" s="195">
        <v>4</v>
      </c>
      <c r="R190" s="195">
        <v>15</v>
      </c>
      <c r="S190" s="195">
        <v>15</v>
      </c>
      <c r="T190" s="195">
        <v>6</v>
      </c>
      <c r="U190" s="195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6" t="s">
        <v>29</v>
      </c>
      <c r="L191" s="196" t="s">
        <v>97</v>
      </c>
      <c r="M191" s="196" t="s">
        <v>82</v>
      </c>
      <c r="N191" s="196" t="s">
        <v>31</v>
      </c>
      <c r="O191" s="196" t="s">
        <v>97</v>
      </c>
      <c r="Q191" s="195">
        <v>8</v>
      </c>
      <c r="R191" s="195">
        <v>6</v>
      </c>
      <c r="S191" s="195">
        <v>14</v>
      </c>
      <c r="T191" s="195">
        <v>7</v>
      </c>
      <c r="U191" s="195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5">
        <v>188</v>
      </c>
      <c r="K192" s="196" t="s">
        <v>31</v>
      </c>
      <c r="L192" s="196" t="s">
        <v>13</v>
      </c>
      <c r="M192" s="196" t="s">
        <v>83</v>
      </c>
      <c r="N192" s="196" t="s">
        <v>83</v>
      </c>
      <c r="O192" s="196" t="s">
        <v>29</v>
      </c>
      <c r="Q192" s="195">
        <v>7</v>
      </c>
      <c r="R192" s="195">
        <v>5</v>
      </c>
      <c r="S192" s="195">
        <v>16</v>
      </c>
      <c r="T192" s="195">
        <v>16</v>
      </c>
      <c r="U192" s="195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6" t="s">
        <v>97</v>
      </c>
      <c r="L193" s="196" t="s">
        <v>29</v>
      </c>
      <c r="M193" s="196" t="s">
        <v>82</v>
      </c>
      <c r="N193" s="196" t="s">
        <v>13</v>
      </c>
      <c r="O193" s="196" t="s">
        <v>97</v>
      </c>
      <c r="Q193" s="195">
        <v>6</v>
      </c>
      <c r="R193" s="195">
        <v>8</v>
      </c>
      <c r="S193" s="195">
        <v>14</v>
      </c>
      <c r="T193" s="195">
        <v>5</v>
      </c>
      <c r="U193" s="195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5">
        <v>190</v>
      </c>
      <c r="K194" s="196" t="s">
        <v>29</v>
      </c>
      <c r="L194" s="196" t="s">
        <v>81</v>
      </c>
      <c r="M194" s="196" t="s">
        <v>83</v>
      </c>
      <c r="N194" s="196" t="s">
        <v>29</v>
      </c>
      <c r="O194" s="196" t="s">
        <v>29</v>
      </c>
      <c r="Q194" s="195">
        <v>8</v>
      </c>
      <c r="R194" s="195">
        <v>13</v>
      </c>
      <c r="S194" s="195">
        <v>16</v>
      </c>
      <c r="T194" s="195">
        <v>8</v>
      </c>
      <c r="U194" s="195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6" t="s">
        <v>13</v>
      </c>
      <c r="L195" s="196" t="s">
        <v>31</v>
      </c>
      <c r="M195" s="196" t="s">
        <v>81</v>
      </c>
      <c r="N195" s="196" t="s">
        <v>13</v>
      </c>
      <c r="O195" s="196" t="s">
        <v>97</v>
      </c>
      <c r="Q195" s="195">
        <v>5</v>
      </c>
      <c r="R195" s="195">
        <v>7</v>
      </c>
      <c r="S195" s="195">
        <v>13</v>
      </c>
      <c r="T195" s="195">
        <v>5</v>
      </c>
      <c r="U195" s="195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5">
        <v>192</v>
      </c>
      <c r="K196" s="196" t="s">
        <v>97</v>
      </c>
      <c r="L196" s="196" t="s">
        <v>13</v>
      </c>
      <c r="M196" s="196" t="s">
        <v>83</v>
      </c>
      <c r="N196" s="196" t="s">
        <v>16</v>
      </c>
      <c r="O196" s="196" t="s">
        <v>12</v>
      </c>
      <c r="Q196" s="195">
        <v>6</v>
      </c>
      <c r="R196" s="195">
        <v>5</v>
      </c>
      <c r="S196" s="195">
        <v>16</v>
      </c>
      <c r="T196" s="195">
        <v>3</v>
      </c>
      <c r="U196" s="195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6" t="s">
        <v>29</v>
      </c>
      <c r="L197" s="196" t="s">
        <v>29</v>
      </c>
      <c r="M197" s="196" t="s">
        <v>95</v>
      </c>
      <c r="N197" s="196" t="s">
        <v>97</v>
      </c>
      <c r="O197" s="196" t="s">
        <v>31</v>
      </c>
      <c r="Q197" s="195">
        <v>8</v>
      </c>
      <c r="R197" s="195">
        <v>8</v>
      </c>
      <c r="S197" s="195">
        <v>17</v>
      </c>
      <c r="T197" s="195">
        <v>6</v>
      </c>
      <c r="U197" s="195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5">
        <v>194</v>
      </c>
      <c r="K198" s="196" t="s">
        <v>97</v>
      </c>
      <c r="L198" s="196" t="s">
        <v>28</v>
      </c>
      <c r="M198" s="196" t="s">
        <v>83</v>
      </c>
      <c r="N198" s="196" t="s">
        <v>29</v>
      </c>
      <c r="O198" s="196" t="s">
        <v>97</v>
      </c>
      <c r="Q198" s="195">
        <v>6</v>
      </c>
      <c r="R198" s="195">
        <v>9</v>
      </c>
      <c r="S198" s="195">
        <v>16</v>
      </c>
      <c r="T198" s="195">
        <v>8</v>
      </c>
      <c r="U198" s="195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6" t="s">
        <v>31</v>
      </c>
      <c r="L199" s="196" t="s">
        <v>13</v>
      </c>
      <c r="M199" s="196" t="s">
        <v>95</v>
      </c>
      <c r="N199" s="196" t="s">
        <v>13</v>
      </c>
      <c r="O199" s="196" t="s">
        <v>31</v>
      </c>
      <c r="Q199" s="195">
        <v>7</v>
      </c>
      <c r="R199" s="195">
        <v>5</v>
      </c>
      <c r="S199" s="195">
        <v>17</v>
      </c>
      <c r="T199" s="195">
        <v>5</v>
      </c>
      <c r="U199" s="195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5">
        <v>196</v>
      </c>
      <c r="K200" s="196" t="s">
        <v>13</v>
      </c>
      <c r="L200" s="196" t="s">
        <v>97</v>
      </c>
      <c r="M200" s="196" t="s">
        <v>88</v>
      </c>
      <c r="N200" s="196" t="s">
        <v>97</v>
      </c>
      <c r="O200" s="196" t="s">
        <v>29</v>
      </c>
      <c r="Q200" s="195">
        <v>5</v>
      </c>
      <c r="R200" s="195">
        <v>6</v>
      </c>
      <c r="S200" s="195">
        <v>19</v>
      </c>
      <c r="T200" s="195">
        <v>6</v>
      </c>
      <c r="U200" s="195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6" t="s">
        <v>97</v>
      </c>
      <c r="L201" s="196" t="s">
        <v>12</v>
      </c>
      <c r="M201" s="196" t="s">
        <v>83</v>
      </c>
      <c r="N201" s="196" t="s">
        <v>13</v>
      </c>
      <c r="O201" s="196" t="s">
        <v>31</v>
      </c>
      <c r="Q201" s="195">
        <v>6</v>
      </c>
      <c r="R201" s="195">
        <v>4</v>
      </c>
      <c r="S201" s="195">
        <v>16</v>
      </c>
      <c r="T201" s="195">
        <v>5</v>
      </c>
      <c r="U201" s="195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5">
        <v>198</v>
      </c>
      <c r="K202" s="196" t="s">
        <v>31</v>
      </c>
      <c r="L202" s="196" t="s">
        <v>28</v>
      </c>
      <c r="M202" s="196" t="s">
        <v>95</v>
      </c>
      <c r="N202" s="196" t="s">
        <v>28</v>
      </c>
      <c r="O202" s="196" t="s">
        <v>13</v>
      </c>
      <c r="Q202" s="195">
        <v>7</v>
      </c>
      <c r="R202" s="195">
        <v>9</v>
      </c>
      <c r="S202" s="195">
        <v>17</v>
      </c>
      <c r="T202" s="195">
        <v>9</v>
      </c>
      <c r="U202" s="195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6" t="s">
        <v>29</v>
      </c>
      <c r="L203" s="196" t="s">
        <v>31</v>
      </c>
      <c r="M203" s="196" t="s">
        <v>98</v>
      </c>
      <c r="N203" s="196" t="s">
        <v>31</v>
      </c>
      <c r="O203" s="196" t="s">
        <v>29</v>
      </c>
      <c r="Q203" s="195">
        <v>8</v>
      </c>
      <c r="R203" s="195">
        <v>7</v>
      </c>
      <c r="S203" s="195">
        <v>15</v>
      </c>
      <c r="T203" s="195">
        <v>7</v>
      </c>
      <c r="U203" s="195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5"/>
      <c r="K204" s="196"/>
      <c r="L204" s="196"/>
      <c r="M204" s="196"/>
      <c r="N204" s="196"/>
      <c r="O204" s="196"/>
      <c r="Q204" s="195"/>
      <c r="R204" s="195"/>
      <c r="S204" s="195"/>
      <c r="T204" s="195"/>
      <c r="U204" s="195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6"/>
      <c r="L205" s="196"/>
      <c r="M205" s="196"/>
      <c r="N205" s="196"/>
      <c r="O205" s="196"/>
      <c r="Q205" s="195"/>
      <c r="R205" s="195"/>
      <c r="S205" s="195"/>
      <c r="T205" s="195"/>
      <c r="U205" s="195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6"/>
      <c r="L206" s="196"/>
      <c r="M206" s="196"/>
      <c r="N206" s="196"/>
      <c r="O206" s="196"/>
      <c r="Q206" s="195"/>
      <c r="R206" s="195"/>
      <c r="S206" s="195"/>
      <c r="T206" s="195"/>
      <c r="U206" s="195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5"/>
      <c r="K207" s="196"/>
      <c r="L207" s="196"/>
      <c r="M207" s="196"/>
      <c r="N207" s="196"/>
      <c r="O207" s="196"/>
      <c r="Q207" s="195"/>
      <c r="R207" s="195"/>
      <c r="S207" s="195"/>
      <c r="T207" s="195"/>
      <c r="U207" s="195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6"/>
      <c r="L208" s="196"/>
      <c r="M208" s="196"/>
      <c r="N208" s="196"/>
      <c r="O208" s="196"/>
      <c r="Q208" s="195"/>
      <c r="R208" s="195"/>
      <c r="S208" s="195"/>
      <c r="T208" s="195"/>
      <c r="U208" s="195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5"/>
      <c r="K209" s="196"/>
      <c r="L209" s="196"/>
      <c r="M209" s="196"/>
      <c r="N209" s="196"/>
      <c r="O209" s="196"/>
      <c r="Q209" s="195"/>
      <c r="R209" s="195"/>
      <c r="S209" s="195"/>
      <c r="T209" s="195"/>
      <c r="U209" s="195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6"/>
      <c r="L210" s="196"/>
      <c r="M210" s="196"/>
      <c r="N210" s="196"/>
      <c r="O210" s="196"/>
      <c r="Q210" s="195"/>
      <c r="R210" s="195"/>
      <c r="S210" s="195"/>
      <c r="T210" s="195"/>
      <c r="U210" s="195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5"/>
      <c r="K211" s="196"/>
      <c r="L211" s="196"/>
      <c r="M211" s="196"/>
      <c r="N211" s="196"/>
      <c r="O211" s="196"/>
      <c r="Q211" s="195"/>
      <c r="R211" s="195"/>
      <c r="S211" s="195"/>
      <c r="T211" s="195"/>
      <c r="U211" s="195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201"/>
      <c r="L212" s="201"/>
      <c r="M212" s="201"/>
      <c r="N212" s="201"/>
      <c r="O212" s="201"/>
      <c r="Q212" s="195"/>
      <c r="R212" s="195"/>
      <c r="S212" s="195"/>
      <c r="T212" s="195"/>
      <c r="U212" s="195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5"/>
      <c r="K213" s="201"/>
      <c r="L213" s="201"/>
      <c r="M213" s="201"/>
      <c r="N213" s="201"/>
      <c r="O213" s="201"/>
      <c r="Q213" s="195"/>
      <c r="R213" s="195"/>
      <c r="S213" s="195"/>
      <c r="T213" s="195"/>
      <c r="U213" s="195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201"/>
      <c r="L214" s="201"/>
      <c r="M214" s="201"/>
      <c r="N214" s="201"/>
      <c r="O214" s="201"/>
      <c r="Q214" s="195"/>
      <c r="R214" s="195"/>
      <c r="S214" s="195"/>
      <c r="T214" s="195"/>
      <c r="U214" s="195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5"/>
      <c r="K215" s="201"/>
      <c r="L215" s="201"/>
      <c r="M215" s="201"/>
      <c r="N215" s="201"/>
      <c r="O215" s="201"/>
      <c r="Q215" s="195"/>
      <c r="R215" s="195"/>
      <c r="S215" s="195"/>
      <c r="T215" s="195"/>
      <c r="U215" s="195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201"/>
      <c r="L216" s="201"/>
      <c r="M216" s="201"/>
      <c r="N216" s="201"/>
      <c r="O216" s="201"/>
      <c r="Q216" s="195"/>
      <c r="R216" s="195"/>
      <c r="S216" s="195"/>
      <c r="T216" s="195"/>
      <c r="U216" s="195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5"/>
      <c r="K217" s="201"/>
      <c r="L217" s="201"/>
      <c r="M217" s="201"/>
      <c r="N217" s="201"/>
      <c r="O217" s="201"/>
      <c r="Q217" s="195"/>
      <c r="R217" s="195"/>
      <c r="S217" s="195"/>
      <c r="T217" s="195"/>
      <c r="U217" s="195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201"/>
      <c r="L218" s="201"/>
      <c r="M218" s="201"/>
      <c r="N218" s="201"/>
      <c r="O218" s="201"/>
      <c r="Q218" s="195"/>
      <c r="R218" s="195"/>
      <c r="S218" s="195"/>
      <c r="T218" s="195"/>
      <c r="U218" s="195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5"/>
      <c r="K219" s="201"/>
      <c r="L219" s="201"/>
      <c r="M219" s="201"/>
      <c r="N219" s="201"/>
      <c r="O219" s="201"/>
      <c r="Q219" s="195"/>
      <c r="R219" s="195"/>
      <c r="S219" s="195"/>
      <c r="T219" s="195"/>
      <c r="U219" s="195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201"/>
      <c r="L220" s="201"/>
      <c r="M220" s="201"/>
      <c r="N220" s="201"/>
      <c r="O220" s="201"/>
      <c r="Q220" s="195"/>
      <c r="R220" s="195"/>
      <c r="S220" s="195"/>
      <c r="T220" s="195"/>
      <c r="U220" s="195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5"/>
      <c r="K221" s="201"/>
      <c r="L221" s="201"/>
      <c r="M221" s="201"/>
      <c r="N221" s="201"/>
      <c r="O221" s="201"/>
      <c r="Q221" s="195"/>
      <c r="R221" s="195"/>
      <c r="S221" s="195"/>
      <c r="T221" s="195"/>
      <c r="U221" s="195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201"/>
      <c r="L222" s="201"/>
      <c r="M222" s="201"/>
      <c r="N222" s="201"/>
      <c r="O222" s="201"/>
      <c r="Q222" s="195"/>
      <c r="R222" s="195"/>
      <c r="S222" s="195"/>
      <c r="T222" s="195"/>
      <c r="U222" s="195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5"/>
      <c r="K223" s="201"/>
      <c r="L223" s="201"/>
      <c r="M223" s="201"/>
      <c r="N223" s="201"/>
      <c r="O223" s="201"/>
      <c r="Q223" s="195"/>
      <c r="R223" s="195"/>
      <c r="S223" s="195"/>
      <c r="T223" s="195"/>
      <c r="U223" s="195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201"/>
      <c r="L224" s="201"/>
      <c r="M224" s="201"/>
      <c r="N224" s="201"/>
      <c r="O224" s="201"/>
      <c r="Q224" s="195"/>
      <c r="R224" s="195"/>
      <c r="S224" s="195"/>
      <c r="T224" s="195"/>
      <c r="U224" s="195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5"/>
      <c r="K225" s="201"/>
      <c r="L225" s="201"/>
      <c r="M225" s="201"/>
      <c r="N225" s="201"/>
      <c r="O225" s="201"/>
      <c r="Q225" s="195"/>
      <c r="R225" s="195"/>
      <c r="S225" s="195"/>
      <c r="T225" s="195"/>
      <c r="U225" s="195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201"/>
      <c r="L226" s="201"/>
      <c r="M226" s="201"/>
      <c r="N226" s="201"/>
      <c r="O226" s="201"/>
      <c r="Q226" s="195"/>
      <c r="R226" s="195"/>
      <c r="S226" s="195"/>
      <c r="T226" s="195"/>
      <c r="U226" s="195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5"/>
      <c r="K227" s="201"/>
      <c r="L227" s="201"/>
      <c r="M227" s="201"/>
      <c r="N227" s="201"/>
      <c r="O227" s="201"/>
      <c r="Q227" s="195"/>
      <c r="R227" s="195"/>
      <c r="S227" s="195"/>
      <c r="T227" s="195"/>
      <c r="U227" s="195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201"/>
      <c r="L228" s="201"/>
      <c r="M228" s="201"/>
      <c r="N228" s="201"/>
      <c r="O228" s="201"/>
      <c r="Q228" s="195"/>
      <c r="R228" s="195"/>
      <c r="S228" s="195"/>
      <c r="T228" s="195"/>
      <c r="U228" s="195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5"/>
      <c r="K229" s="201"/>
      <c r="L229" s="201"/>
      <c r="M229" s="201"/>
      <c r="N229" s="201"/>
      <c r="O229" s="201"/>
      <c r="Q229" s="195"/>
      <c r="R229" s="195"/>
      <c r="S229" s="195"/>
      <c r="T229" s="195"/>
      <c r="U229" s="195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201"/>
      <c r="L230" s="201"/>
      <c r="M230" s="201"/>
      <c r="N230" s="201"/>
      <c r="O230" s="201"/>
      <c r="Q230" s="195"/>
      <c r="R230" s="195"/>
      <c r="S230" s="195"/>
      <c r="T230" s="195"/>
      <c r="U230" s="195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5"/>
      <c r="K231" s="201"/>
      <c r="L231" s="201"/>
      <c r="M231" s="201"/>
      <c r="N231" s="201"/>
      <c r="O231" s="201"/>
      <c r="Q231" s="195"/>
      <c r="R231" s="195"/>
      <c r="S231" s="195"/>
      <c r="T231" s="195"/>
      <c r="U231" s="195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201"/>
      <c r="L232" s="201"/>
      <c r="M232" s="201"/>
      <c r="N232" s="201"/>
      <c r="O232" s="201"/>
      <c r="Q232" s="195"/>
      <c r="R232" s="195"/>
      <c r="S232" s="195"/>
      <c r="T232" s="195"/>
      <c r="U232" s="195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5"/>
      <c r="K233" s="201"/>
      <c r="L233" s="201"/>
      <c r="M233" s="201"/>
      <c r="N233" s="201"/>
      <c r="O233" s="201"/>
      <c r="Q233" s="195"/>
      <c r="R233" s="195"/>
      <c r="S233" s="195"/>
      <c r="T233" s="195"/>
      <c r="U233" s="195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201"/>
      <c r="L234" s="201"/>
      <c r="M234" s="201"/>
      <c r="N234" s="201"/>
      <c r="O234" s="201"/>
      <c r="Q234" s="195"/>
      <c r="R234" s="195"/>
      <c r="S234" s="195"/>
      <c r="T234" s="195"/>
      <c r="U234" s="195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5"/>
      <c r="K235" s="201"/>
      <c r="L235" s="201"/>
      <c r="M235" s="201"/>
      <c r="N235" s="201"/>
      <c r="O235" s="201"/>
      <c r="Q235" s="195"/>
      <c r="R235" s="195"/>
      <c r="S235" s="195"/>
      <c r="T235" s="195"/>
      <c r="U235" s="195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201"/>
      <c r="L236" s="201"/>
      <c r="M236" s="201"/>
      <c r="N236" s="201"/>
      <c r="O236" s="201"/>
      <c r="Q236" s="195"/>
      <c r="R236" s="195"/>
      <c r="S236" s="195"/>
      <c r="T236" s="195"/>
      <c r="U236" s="195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5"/>
      <c r="K237" s="201"/>
      <c r="L237" s="201"/>
      <c r="M237" s="201"/>
      <c r="N237" s="201"/>
      <c r="O237" s="201"/>
      <c r="Q237" s="195"/>
      <c r="R237" s="195"/>
      <c r="S237" s="195"/>
      <c r="T237" s="195"/>
      <c r="U237" s="195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201"/>
      <c r="L238" s="201"/>
      <c r="M238" s="201"/>
      <c r="N238" s="201"/>
      <c r="O238" s="201"/>
      <c r="Q238" s="195"/>
      <c r="R238" s="195"/>
      <c r="S238" s="195"/>
      <c r="T238" s="195"/>
      <c r="U238" s="195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5"/>
      <c r="K239" s="201"/>
      <c r="L239" s="201"/>
      <c r="M239" s="201"/>
      <c r="N239" s="201"/>
      <c r="O239" s="201"/>
      <c r="Q239" s="195"/>
      <c r="R239" s="195"/>
      <c r="S239" s="195"/>
      <c r="T239" s="195"/>
      <c r="U239" s="195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201"/>
      <c r="L240" s="201"/>
      <c r="M240" s="201"/>
      <c r="N240" s="201"/>
      <c r="O240" s="201"/>
      <c r="Q240" s="195"/>
      <c r="R240" s="195"/>
      <c r="S240" s="195"/>
      <c r="T240" s="195"/>
      <c r="U240" s="195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5"/>
      <c r="K241" s="201"/>
      <c r="L241" s="201"/>
      <c r="M241" s="201"/>
      <c r="N241" s="201"/>
      <c r="O241" s="201"/>
      <c r="Q241" s="195"/>
      <c r="R241" s="195"/>
      <c r="S241" s="195"/>
      <c r="T241" s="195"/>
      <c r="U241" s="195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201"/>
      <c r="L242" s="201"/>
      <c r="M242" s="201"/>
      <c r="N242" s="201"/>
      <c r="O242" s="201"/>
      <c r="Q242" s="195"/>
      <c r="R242" s="195"/>
      <c r="S242" s="195"/>
      <c r="T242" s="195"/>
      <c r="U242" s="195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5"/>
      <c r="K243" s="201"/>
      <c r="L243" s="201"/>
      <c r="M243" s="201"/>
      <c r="N243" s="201"/>
      <c r="O243" s="201"/>
      <c r="Q243" s="195"/>
      <c r="R243" s="195"/>
      <c r="S243" s="195"/>
      <c r="T243" s="195"/>
      <c r="U243" s="195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201"/>
      <c r="L244" s="201"/>
      <c r="M244" s="201"/>
      <c r="N244" s="201"/>
      <c r="O244" s="201"/>
      <c r="Q244" s="195"/>
      <c r="R244" s="195"/>
      <c r="S244" s="195"/>
      <c r="T244" s="195"/>
      <c r="U244" s="195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5"/>
      <c r="K245" s="201"/>
      <c r="L245" s="201"/>
      <c r="M245" s="201"/>
      <c r="N245" s="201"/>
      <c r="O245" s="201"/>
      <c r="Q245" s="195"/>
      <c r="R245" s="195"/>
      <c r="S245" s="195"/>
      <c r="T245" s="195"/>
      <c r="U245" s="195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201"/>
      <c r="L246" s="201"/>
      <c r="M246" s="201"/>
      <c r="N246" s="201"/>
      <c r="O246" s="201"/>
      <c r="Q246" s="195"/>
      <c r="R246" s="195"/>
      <c r="S246" s="195"/>
      <c r="T246" s="195"/>
      <c r="U246" s="195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5"/>
      <c r="K247" s="201"/>
      <c r="L247" s="201"/>
      <c r="M247" s="201"/>
      <c r="N247" s="201"/>
      <c r="O247" s="201"/>
      <c r="Q247" s="195"/>
      <c r="R247" s="195"/>
      <c r="S247" s="195"/>
      <c r="T247" s="195"/>
      <c r="U247" s="195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201"/>
      <c r="L248" s="201"/>
      <c r="M248" s="201"/>
      <c r="N248" s="201"/>
      <c r="O248" s="201"/>
      <c r="Q248" s="195"/>
      <c r="R248" s="195"/>
      <c r="S248" s="195"/>
      <c r="T248" s="195"/>
      <c r="U248" s="195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5"/>
      <c r="K249" s="201"/>
      <c r="L249" s="201"/>
      <c r="M249" s="201"/>
      <c r="N249" s="201"/>
      <c r="O249" s="201"/>
      <c r="Q249" s="195"/>
      <c r="R249" s="195"/>
      <c r="S249" s="195"/>
      <c r="T249" s="195"/>
      <c r="U249" s="195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201"/>
      <c r="L250" s="201"/>
      <c r="M250" s="201"/>
      <c r="N250" s="201"/>
      <c r="O250" s="201"/>
      <c r="Q250" s="195"/>
      <c r="R250" s="195"/>
      <c r="S250" s="195"/>
      <c r="T250" s="195"/>
      <c r="U250" s="195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5"/>
      <c r="K251" s="201"/>
      <c r="L251" s="201"/>
      <c r="M251" s="201"/>
      <c r="N251" s="201"/>
      <c r="O251" s="201"/>
      <c r="Q251" s="195"/>
      <c r="R251" s="195"/>
      <c r="S251" s="195"/>
      <c r="T251" s="195"/>
      <c r="U251" s="195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201"/>
      <c r="L252" s="201"/>
      <c r="M252" s="201"/>
      <c r="N252" s="201"/>
      <c r="O252" s="201"/>
      <c r="Q252" s="195"/>
      <c r="R252" s="195"/>
      <c r="S252" s="195"/>
      <c r="T252" s="195"/>
      <c r="U252" s="195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5"/>
      <c r="K253" s="201"/>
      <c r="L253" s="201"/>
      <c r="M253" s="201"/>
      <c r="N253" s="201"/>
      <c r="O253" s="201"/>
      <c r="Q253" s="195"/>
      <c r="R253" s="195"/>
      <c r="S253" s="195"/>
      <c r="T253" s="195"/>
      <c r="U253" s="195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201"/>
      <c r="L254" s="201"/>
      <c r="M254" s="201"/>
      <c r="N254" s="201"/>
      <c r="O254" s="201"/>
      <c r="Q254" s="195"/>
      <c r="R254" s="195"/>
      <c r="S254" s="195"/>
      <c r="T254" s="195"/>
      <c r="U254" s="195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5"/>
      <c r="K255" s="201"/>
      <c r="L255" s="201"/>
      <c r="M255" s="201"/>
      <c r="N255" s="201"/>
      <c r="O255" s="201"/>
      <c r="Q255" s="195"/>
      <c r="R255" s="195"/>
      <c r="S255" s="195"/>
      <c r="T255" s="195"/>
      <c r="U255" s="195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201"/>
      <c r="L256" s="201"/>
      <c r="M256" s="201"/>
      <c r="N256" s="201"/>
      <c r="O256" s="201"/>
      <c r="Q256" s="195"/>
      <c r="R256" s="195"/>
      <c r="S256" s="195"/>
      <c r="T256" s="195"/>
      <c r="U256" s="195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5"/>
      <c r="K257" s="201"/>
      <c r="L257" s="201"/>
      <c r="M257" s="201"/>
      <c r="N257" s="201"/>
      <c r="O257" s="201"/>
      <c r="Q257" s="195"/>
      <c r="R257" s="195"/>
      <c r="S257" s="195"/>
      <c r="T257" s="195"/>
      <c r="U257" s="195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201"/>
      <c r="L258" s="201"/>
      <c r="M258" s="201"/>
      <c r="N258" s="201"/>
      <c r="O258" s="201"/>
      <c r="Q258" s="195"/>
      <c r="R258" s="195"/>
      <c r="S258" s="195"/>
      <c r="T258" s="195"/>
      <c r="U258" s="195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5"/>
      <c r="K259" s="201"/>
      <c r="L259" s="201"/>
      <c r="M259" s="201"/>
      <c r="N259" s="201"/>
      <c r="O259" s="201"/>
      <c r="Q259" s="195"/>
      <c r="R259" s="195"/>
      <c r="S259" s="195"/>
      <c r="T259" s="195"/>
      <c r="U259" s="195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201"/>
      <c r="L260" s="201"/>
      <c r="M260" s="201"/>
      <c r="N260" s="201"/>
      <c r="O260" s="201"/>
      <c r="Q260" s="195"/>
      <c r="R260" s="195"/>
      <c r="S260" s="195"/>
      <c r="T260" s="195"/>
      <c r="U260" s="195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5"/>
      <c r="K261" s="201"/>
      <c r="L261" s="201"/>
      <c r="M261" s="201"/>
      <c r="N261" s="201"/>
      <c r="O261" s="201"/>
      <c r="Q261" s="195"/>
      <c r="R261" s="195"/>
      <c r="S261" s="195"/>
      <c r="T261" s="195"/>
      <c r="U261" s="195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201"/>
      <c r="L262" s="201"/>
      <c r="M262" s="201"/>
      <c r="N262" s="201"/>
      <c r="O262" s="201"/>
      <c r="Q262" s="195"/>
      <c r="R262" s="195"/>
      <c r="S262" s="195"/>
      <c r="T262" s="195"/>
      <c r="U262" s="195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5"/>
      <c r="K263" s="201"/>
      <c r="L263" s="201"/>
      <c r="M263" s="201"/>
      <c r="N263" s="201"/>
      <c r="O263" s="201"/>
      <c r="Q263" s="195"/>
      <c r="R263" s="195"/>
      <c r="S263" s="195"/>
      <c r="T263" s="195"/>
      <c r="U263" s="195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201"/>
      <c r="L264" s="201"/>
      <c r="M264" s="201"/>
      <c r="N264" s="201"/>
      <c r="O264" s="201"/>
      <c r="Q264" s="195"/>
      <c r="R264" s="195"/>
      <c r="S264" s="195"/>
      <c r="T264" s="195"/>
      <c r="U264" s="195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5"/>
      <c r="K265" s="201"/>
      <c r="L265" s="201"/>
      <c r="M265" s="201"/>
      <c r="N265" s="201"/>
      <c r="O265" s="201"/>
      <c r="Q265" s="195"/>
      <c r="R265" s="195"/>
      <c r="S265" s="195"/>
      <c r="T265" s="195"/>
      <c r="U265" s="195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201"/>
      <c r="L266" s="201"/>
      <c r="M266" s="201"/>
      <c r="N266" s="201"/>
      <c r="O266" s="201"/>
      <c r="Q266" s="195"/>
      <c r="R266" s="195"/>
      <c r="S266" s="195"/>
      <c r="T266" s="195"/>
      <c r="U266" s="195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5"/>
      <c r="K267" s="201"/>
      <c r="L267" s="201"/>
      <c r="M267" s="201"/>
      <c r="N267" s="201"/>
      <c r="O267" s="201"/>
      <c r="Q267" s="195"/>
      <c r="R267" s="195"/>
      <c r="S267" s="195"/>
      <c r="T267" s="195"/>
      <c r="U267" s="195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201"/>
      <c r="L268" s="201"/>
      <c r="M268" s="201"/>
      <c r="N268" s="201"/>
      <c r="O268" s="201"/>
      <c r="Q268" s="195"/>
      <c r="R268" s="195"/>
      <c r="S268" s="195"/>
      <c r="T268" s="195"/>
      <c r="U268" s="195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5"/>
      <c r="K269" s="201"/>
      <c r="L269" s="201"/>
      <c r="M269" s="201"/>
      <c r="N269" s="201"/>
      <c r="O269" s="201"/>
      <c r="Q269" s="195"/>
      <c r="R269" s="195"/>
      <c r="S269" s="195"/>
      <c r="T269" s="195"/>
      <c r="U269" s="195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201"/>
      <c r="L270" s="201"/>
      <c r="M270" s="201"/>
      <c r="N270" s="201"/>
      <c r="O270" s="201"/>
      <c r="Q270" s="195"/>
      <c r="R270" s="195"/>
      <c r="S270" s="195"/>
      <c r="T270" s="195"/>
      <c r="U270" s="195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5"/>
      <c r="K271" s="201"/>
      <c r="L271" s="201"/>
      <c r="M271" s="201"/>
      <c r="N271" s="201"/>
      <c r="O271" s="201"/>
      <c r="Q271" s="195"/>
      <c r="R271" s="195"/>
      <c r="S271" s="195"/>
      <c r="T271" s="195"/>
      <c r="U271" s="195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201"/>
      <c r="L272" s="201"/>
      <c r="M272" s="201"/>
      <c r="N272" s="201"/>
      <c r="O272" s="201"/>
      <c r="Q272" s="195"/>
      <c r="R272" s="195"/>
      <c r="S272" s="195"/>
      <c r="T272" s="195"/>
      <c r="U272" s="195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5"/>
      <c r="K273" s="201"/>
      <c r="L273" s="201"/>
      <c r="M273" s="201"/>
      <c r="N273" s="201"/>
      <c r="O273" s="201"/>
      <c r="Q273" s="195"/>
      <c r="R273" s="195"/>
      <c r="S273" s="195"/>
      <c r="T273" s="195"/>
      <c r="U273" s="195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201"/>
      <c r="L274" s="201"/>
      <c r="M274" s="201"/>
      <c r="N274" s="201"/>
      <c r="O274" s="201"/>
      <c r="Q274" s="195"/>
      <c r="R274" s="195"/>
      <c r="S274" s="195"/>
      <c r="T274" s="195"/>
      <c r="U274" s="195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5"/>
      <c r="K275" s="201"/>
      <c r="L275" s="201"/>
      <c r="M275" s="201"/>
      <c r="N275" s="201"/>
      <c r="O275" s="201"/>
      <c r="Q275" s="195"/>
      <c r="R275" s="195"/>
      <c r="S275" s="195"/>
      <c r="T275" s="195"/>
      <c r="U275" s="195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201"/>
      <c r="L276" s="201"/>
      <c r="M276" s="201"/>
      <c r="N276" s="201"/>
      <c r="O276" s="201"/>
      <c r="Q276" s="195"/>
      <c r="R276" s="195"/>
      <c r="S276" s="195"/>
      <c r="T276" s="195"/>
      <c r="U276" s="195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5"/>
      <c r="K277" s="201"/>
      <c r="L277" s="201"/>
      <c r="M277" s="201"/>
      <c r="N277" s="201"/>
      <c r="O277" s="201"/>
      <c r="Q277" s="195"/>
      <c r="R277" s="195"/>
      <c r="S277" s="195"/>
      <c r="T277" s="195"/>
      <c r="U277" s="195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201"/>
      <c r="L278" s="201"/>
      <c r="M278" s="201"/>
      <c r="N278" s="201"/>
      <c r="O278" s="201"/>
      <c r="Q278" s="195"/>
      <c r="R278" s="195"/>
      <c r="S278" s="195"/>
      <c r="T278" s="195"/>
      <c r="U278" s="195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5"/>
      <c r="K279" s="201"/>
      <c r="L279" s="201"/>
      <c r="M279" s="201"/>
      <c r="N279" s="201"/>
      <c r="O279" s="201"/>
      <c r="Q279" s="195"/>
      <c r="R279" s="195"/>
      <c r="S279" s="195"/>
      <c r="T279" s="195"/>
      <c r="U279" s="195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201"/>
      <c r="L280" s="201"/>
      <c r="M280" s="201"/>
      <c r="N280" s="201"/>
      <c r="O280" s="201"/>
      <c r="Q280" s="195"/>
      <c r="R280" s="195"/>
      <c r="S280" s="195"/>
      <c r="T280" s="195"/>
      <c r="U280" s="195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5"/>
      <c r="K281" s="201"/>
      <c r="L281" s="201"/>
      <c r="M281" s="201"/>
      <c r="N281" s="201"/>
      <c r="O281" s="201"/>
      <c r="Q281" s="195"/>
      <c r="R281" s="195"/>
      <c r="S281" s="195"/>
      <c r="T281" s="195"/>
      <c r="U281" s="195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201"/>
      <c r="L282" s="201"/>
      <c r="M282" s="201"/>
      <c r="N282" s="201"/>
      <c r="O282" s="201"/>
      <c r="Q282" s="195"/>
      <c r="R282" s="195"/>
      <c r="S282" s="195"/>
      <c r="T282" s="195"/>
      <c r="U282" s="195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5"/>
      <c r="K283" s="201"/>
      <c r="L283" s="201"/>
      <c r="M283" s="201"/>
      <c r="N283" s="201"/>
      <c r="O283" s="201"/>
      <c r="Q283" s="195"/>
      <c r="R283" s="195"/>
      <c r="S283" s="195"/>
      <c r="T283" s="195"/>
      <c r="U283" s="195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201"/>
      <c r="L284" s="201"/>
      <c r="M284" s="201"/>
      <c r="N284" s="201"/>
      <c r="O284" s="201"/>
      <c r="Q284" s="195"/>
      <c r="R284" s="195"/>
      <c r="S284" s="195"/>
      <c r="T284" s="195"/>
      <c r="U284" s="195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5"/>
      <c r="K285" s="201"/>
      <c r="L285" s="201"/>
      <c r="M285" s="201"/>
      <c r="N285" s="201"/>
      <c r="O285" s="201"/>
      <c r="Q285" s="195"/>
      <c r="R285" s="195"/>
      <c r="S285" s="195"/>
      <c r="T285" s="195"/>
      <c r="U285" s="195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201"/>
      <c r="L286" s="201"/>
      <c r="M286" s="201"/>
      <c r="N286" s="201"/>
      <c r="O286" s="201"/>
      <c r="Q286" s="195"/>
      <c r="R286" s="195"/>
      <c r="S286" s="195"/>
      <c r="T286" s="195"/>
      <c r="U286" s="195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5"/>
      <c r="K287" s="201"/>
      <c r="L287" s="201"/>
      <c r="M287" s="201"/>
      <c r="N287" s="201"/>
      <c r="O287" s="201"/>
      <c r="Q287" s="195"/>
      <c r="R287" s="195"/>
      <c r="S287" s="195"/>
      <c r="T287" s="195"/>
      <c r="U287" s="195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201"/>
      <c r="L288" s="201"/>
      <c r="M288" s="201"/>
      <c r="N288" s="201"/>
      <c r="O288" s="201"/>
      <c r="Q288" s="195"/>
      <c r="R288" s="195"/>
      <c r="S288" s="195"/>
      <c r="T288" s="195"/>
      <c r="U288" s="195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5"/>
      <c r="K289" s="201"/>
      <c r="L289" s="201"/>
      <c r="M289" s="201"/>
      <c r="N289" s="201"/>
      <c r="O289" s="201"/>
      <c r="Q289" s="195"/>
      <c r="R289" s="195"/>
      <c r="S289" s="195"/>
      <c r="T289" s="195"/>
      <c r="U289" s="195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201"/>
      <c r="L290" s="201"/>
      <c r="M290" s="201"/>
      <c r="N290" s="201"/>
      <c r="O290" s="201"/>
      <c r="Q290" s="195"/>
      <c r="R290" s="195"/>
      <c r="S290" s="195"/>
      <c r="T290" s="195"/>
      <c r="U290" s="195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5"/>
      <c r="K291" s="201"/>
      <c r="L291" s="201"/>
      <c r="M291" s="201"/>
      <c r="N291" s="201"/>
      <c r="O291" s="201"/>
      <c r="Q291" s="195"/>
      <c r="R291" s="195"/>
      <c r="S291" s="195"/>
      <c r="T291" s="195"/>
      <c r="U291" s="195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201"/>
      <c r="L292" s="201"/>
      <c r="M292" s="201"/>
      <c r="N292" s="201"/>
      <c r="O292" s="201"/>
      <c r="Q292" s="195"/>
      <c r="R292" s="195"/>
      <c r="S292" s="195"/>
      <c r="T292" s="195"/>
      <c r="U292" s="195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5"/>
      <c r="K293" s="201"/>
      <c r="L293" s="201"/>
      <c r="M293" s="201"/>
      <c r="N293" s="201"/>
      <c r="O293" s="201"/>
      <c r="Q293" s="195"/>
      <c r="R293" s="195"/>
      <c r="S293" s="195"/>
      <c r="T293" s="195"/>
      <c r="U293" s="195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5"/>
      <c r="K294" s="201"/>
      <c r="L294" s="201"/>
      <c r="M294" s="201"/>
      <c r="N294" s="201"/>
      <c r="O294" s="201"/>
      <c r="Q294" s="195"/>
      <c r="R294" s="195"/>
      <c r="S294" s="195"/>
      <c r="T294" s="195"/>
      <c r="U294" s="195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5"/>
      <c r="K295" s="201"/>
      <c r="L295" s="201"/>
      <c r="M295" s="201"/>
      <c r="N295" s="201"/>
      <c r="O295" s="201"/>
      <c r="Q295" s="195"/>
      <c r="R295" s="195"/>
      <c r="S295" s="195"/>
      <c r="T295" s="195"/>
      <c r="U295" s="195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5"/>
      <c r="K296" s="201"/>
      <c r="L296" s="201"/>
      <c r="M296" s="201"/>
      <c r="N296" s="201"/>
      <c r="O296" s="201"/>
      <c r="Q296" s="195"/>
      <c r="R296" s="195"/>
      <c r="S296" s="195"/>
      <c r="T296" s="195"/>
      <c r="U296" s="195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5"/>
      <c r="K297" s="201"/>
      <c r="L297" s="201"/>
      <c r="M297" s="201"/>
      <c r="N297" s="201"/>
      <c r="O297" s="201"/>
      <c r="Q297" s="195"/>
      <c r="R297" s="195"/>
      <c r="S297" s="195"/>
      <c r="T297" s="195"/>
      <c r="U297" s="195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5"/>
      <c r="K298" s="201"/>
      <c r="L298" s="201"/>
      <c r="M298" s="201"/>
      <c r="N298" s="201"/>
      <c r="O298" s="201"/>
      <c r="Q298" s="195"/>
      <c r="R298" s="195"/>
      <c r="S298" s="195"/>
      <c r="T298" s="195"/>
      <c r="U298" s="195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5"/>
      <c r="K299" s="201"/>
      <c r="L299" s="201"/>
      <c r="M299" s="201"/>
      <c r="N299" s="201"/>
      <c r="O299" s="201"/>
      <c r="Q299" s="195"/>
      <c r="R299" s="195"/>
      <c r="S299" s="195"/>
      <c r="T299" s="195"/>
      <c r="U299" s="195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5"/>
      <c r="K300" s="201"/>
      <c r="L300" s="201"/>
      <c r="M300" s="201"/>
      <c r="N300" s="201"/>
      <c r="O300" s="201"/>
      <c r="Q300" s="195"/>
      <c r="R300" s="195"/>
      <c r="S300" s="195"/>
      <c r="T300" s="195"/>
      <c r="U300" s="195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5"/>
      <c r="K301" s="201"/>
      <c r="L301" s="201"/>
      <c r="M301" s="201"/>
      <c r="N301" s="201"/>
      <c r="O301" s="201"/>
      <c r="Q301" s="195"/>
      <c r="R301" s="195"/>
      <c r="S301" s="195"/>
      <c r="T301" s="195"/>
      <c r="U301" s="195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5"/>
      <c r="K302" s="201"/>
      <c r="L302" s="201"/>
      <c r="M302" s="201"/>
      <c r="N302" s="201"/>
      <c r="O302" s="201"/>
      <c r="Q302" s="195"/>
      <c r="R302" s="195"/>
      <c r="S302" s="195"/>
      <c r="T302" s="195"/>
      <c r="U302" s="195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5"/>
      <c r="K303" s="201"/>
      <c r="L303" s="201"/>
      <c r="M303" s="201"/>
      <c r="N303" s="201"/>
      <c r="O303" s="201"/>
      <c r="Q303" s="195"/>
      <c r="R303" s="195"/>
      <c r="S303" s="195"/>
      <c r="T303" s="195"/>
      <c r="U303" s="195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5"/>
      <c r="K304" s="201"/>
      <c r="L304" s="201"/>
      <c r="M304" s="201"/>
      <c r="N304" s="201"/>
      <c r="O304" s="201"/>
      <c r="Q304" s="195"/>
      <c r="R304" s="195"/>
      <c r="S304" s="195"/>
      <c r="T304" s="195"/>
      <c r="U304" s="195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zoomScale="70" zoomScaleNormal="70" workbookViewId="0">
      <selection activeCell="AB1" sqref="AB1:AP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303</v>
      </c>
      <c r="W2" s="25" t="s">
        <v>101</v>
      </c>
      <c r="AC2" s="25" t="s">
        <v>305</v>
      </c>
      <c r="AH2" s="5"/>
      <c r="AI2" s="5"/>
      <c r="AJ2" s="25" t="s">
        <v>94</v>
      </c>
      <c r="AO2" s="5"/>
    </row>
    <row r="3" spans="1:41" ht="15.9" customHeight="1">
      <c r="A3" s="122" t="s">
        <v>36</v>
      </c>
      <c r="B3" s="122" t="s">
        <v>37</v>
      </c>
      <c r="C3" s="122" t="s">
        <v>7</v>
      </c>
      <c r="D3" s="122" t="s">
        <v>8</v>
      </c>
      <c r="E3" s="122" t="s">
        <v>9</v>
      </c>
      <c r="F3" s="122" t="s">
        <v>10</v>
      </c>
      <c r="G3" s="122" t="s">
        <v>11</v>
      </c>
      <c r="H3" s="122" t="s">
        <v>310</v>
      </c>
      <c r="I3" s="14"/>
      <c r="J3" s="122"/>
      <c r="K3" s="122" t="s">
        <v>7</v>
      </c>
      <c r="L3" s="122" t="s">
        <v>8</v>
      </c>
      <c r="M3" s="122" t="s">
        <v>9</v>
      </c>
      <c r="N3" s="122" t="s">
        <v>10</v>
      </c>
      <c r="O3" s="122" t="s">
        <v>11</v>
      </c>
      <c r="Q3" s="122" t="s">
        <v>7</v>
      </c>
      <c r="R3" s="122" t="s">
        <v>8</v>
      </c>
      <c r="S3" s="122" t="s">
        <v>9</v>
      </c>
      <c r="T3" s="122" t="s">
        <v>10</v>
      </c>
      <c r="U3" s="122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3" t="s">
        <v>306</v>
      </c>
      <c r="B4" s="201" t="s">
        <v>38</v>
      </c>
      <c r="C4" s="203">
        <v>0</v>
      </c>
      <c r="D4" s="203">
        <v>0</v>
      </c>
      <c r="E4" s="203">
        <v>0</v>
      </c>
      <c r="F4" s="203">
        <v>0</v>
      </c>
      <c r="G4" s="203">
        <v>0</v>
      </c>
      <c r="H4" s="201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97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307</v>
      </c>
      <c r="AH4" s="5"/>
      <c r="AI4" s="5"/>
      <c r="AJ4" s="25" t="s">
        <v>307</v>
      </c>
      <c r="AO4" s="5"/>
    </row>
    <row r="5" spans="1:41" ht="15.9" customHeight="1">
      <c r="A5" s="203" t="s">
        <v>14</v>
      </c>
      <c r="B5" s="201" t="s">
        <v>39</v>
      </c>
      <c r="C5" s="203">
        <v>6</v>
      </c>
      <c r="D5" s="203">
        <v>6</v>
      </c>
      <c r="E5" s="203">
        <v>6</v>
      </c>
      <c r="F5" s="203">
        <v>9</v>
      </c>
      <c r="G5" s="203">
        <v>9</v>
      </c>
      <c r="H5" s="201">
        <v>1</v>
      </c>
      <c r="I5" s="82"/>
      <c r="J5" s="195">
        <v>1</v>
      </c>
      <c r="K5" s="196" t="s">
        <v>29</v>
      </c>
      <c r="L5" s="196" t="s">
        <v>88</v>
      </c>
      <c r="M5" s="196" t="s">
        <v>16</v>
      </c>
      <c r="N5" s="196" t="s">
        <v>31</v>
      </c>
      <c r="O5" s="196" t="s">
        <v>30</v>
      </c>
      <c r="Q5" s="195">
        <v>8</v>
      </c>
      <c r="R5" s="195">
        <v>19</v>
      </c>
      <c r="S5" s="195">
        <v>3</v>
      </c>
      <c r="T5" s="195">
        <v>7</v>
      </c>
      <c r="U5" s="195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22" t="s">
        <v>36</v>
      </c>
      <c r="AD5" s="122" t="s">
        <v>7</v>
      </c>
      <c r="AE5" s="122" t="s">
        <v>8</v>
      </c>
      <c r="AF5" s="122" t="s">
        <v>9</v>
      </c>
      <c r="AG5" s="122" t="s">
        <v>10</v>
      </c>
      <c r="AH5" s="122" t="s">
        <v>11</v>
      </c>
      <c r="AI5" s="5"/>
      <c r="AJ5" s="122" t="s">
        <v>36</v>
      </c>
      <c r="AK5" s="122" t="s">
        <v>7</v>
      </c>
      <c r="AL5" s="122" t="s">
        <v>8</v>
      </c>
      <c r="AM5" s="122" t="s">
        <v>9</v>
      </c>
      <c r="AN5" s="122" t="s">
        <v>10</v>
      </c>
      <c r="AO5" s="122" t="s">
        <v>11</v>
      </c>
    </row>
    <row r="6" spans="1:41" ht="15.9" customHeight="1">
      <c r="A6" s="202" t="s">
        <v>15</v>
      </c>
      <c r="B6" s="136" t="s">
        <v>15</v>
      </c>
      <c r="C6" s="202">
        <v>3</v>
      </c>
      <c r="D6" s="202">
        <v>20</v>
      </c>
      <c r="E6" s="202">
        <v>4</v>
      </c>
      <c r="F6" s="202">
        <v>21</v>
      </c>
      <c r="G6" s="202">
        <v>22</v>
      </c>
      <c r="H6" s="136">
        <v>2</v>
      </c>
      <c r="I6" s="82"/>
      <c r="J6" s="23">
        <v>2</v>
      </c>
      <c r="K6" s="196" t="s">
        <v>29</v>
      </c>
      <c r="L6" s="196" t="s">
        <v>80</v>
      </c>
      <c r="M6" s="196" t="s">
        <v>14</v>
      </c>
      <c r="N6" s="196" t="s">
        <v>30</v>
      </c>
      <c r="O6" s="196" t="s">
        <v>14</v>
      </c>
      <c r="Q6" s="195">
        <v>8</v>
      </c>
      <c r="R6" s="195">
        <v>12</v>
      </c>
      <c r="S6" s="195">
        <v>1</v>
      </c>
      <c r="T6" s="195">
        <v>10</v>
      </c>
      <c r="U6" s="195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201" t="s">
        <v>306</v>
      </c>
      <c r="AD6" s="126">
        <v>0</v>
      </c>
      <c r="AE6" s="126">
        <v>0</v>
      </c>
      <c r="AF6" s="126">
        <v>0</v>
      </c>
      <c r="AG6" s="126">
        <v>0</v>
      </c>
      <c r="AH6" s="126">
        <v>0</v>
      </c>
      <c r="AI6" s="5"/>
      <c r="AJ6" s="201" t="s">
        <v>306</v>
      </c>
      <c r="AK6" s="126">
        <v>0</v>
      </c>
      <c r="AL6" s="126">
        <v>0</v>
      </c>
      <c r="AM6" s="126">
        <v>0</v>
      </c>
      <c r="AN6" s="126">
        <v>0</v>
      </c>
      <c r="AO6" s="126">
        <v>0</v>
      </c>
    </row>
    <row r="7" spans="1:41" ht="15.9" customHeight="1">
      <c r="A7" s="202" t="s">
        <v>16</v>
      </c>
      <c r="B7" s="136" t="s">
        <v>16</v>
      </c>
      <c r="C7" s="202">
        <v>2</v>
      </c>
      <c r="D7" s="202">
        <v>18</v>
      </c>
      <c r="E7" s="202">
        <v>4</v>
      </c>
      <c r="F7" s="202">
        <v>20</v>
      </c>
      <c r="G7" s="202">
        <v>22</v>
      </c>
      <c r="H7" s="136">
        <v>3</v>
      </c>
      <c r="I7" s="82"/>
      <c r="J7" s="195">
        <v>3</v>
      </c>
      <c r="K7" s="196" t="s">
        <v>97</v>
      </c>
      <c r="L7" s="24" t="s">
        <v>98</v>
      </c>
      <c r="M7" s="196" t="s">
        <v>29</v>
      </c>
      <c r="N7" s="196" t="s">
        <v>16</v>
      </c>
      <c r="O7" s="196" t="s">
        <v>16</v>
      </c>
      <c r="Q7" s="195">
        <v>6</v>
      </c>
      <c r="R7" s="195">
        <v>15</v>
      </c>
      <c r="S7" s="195">
        <v>8</v>
      </c>
      <c r="T7" s="195">
        <v>3</v>
      </c>
      <c r="U7" s="195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201" t="s">
        <v>14</v>
      </c>
      <c r="AD7" s="201">
        <v>6</v>
      </c>
      <c r="AE7" s="201">
        <v>6</v>
      </c>
      <c r="AF7" s="201">
        <v>6</v>
      </c>
      <c r="AG7" s="201">
        <v>9</v>
      </c>
      <c r="AH7" s="201">
        <v>9</v>
      </c>
      <c r="AI7" s="5"/>
      <c r="AJ7" s="201" t="s">
        <v>14</v>
      </c>
      <c r="AK7" s="201">
        <v>6</v>
      </c>
      <c r="AL7" s="201">
        <v>6</v>
      </c>
      <c r="AM7" s="201">
        <v>6</v>
      </c>
      <c r="AN7" s="201">
        <v>9</v>
      </c>
      <c r="AO7" s="201">
        <v>9</v>
      </c>
    </row>
    <row r="8" spans="1:41" ht="15.9" customHeight="1">
      <c r="A8" s="202" t="s">
        <v>12</v>
      </c>
      <c r="B8" s="136" t="s">
        <v>12</v>
      </c>
      <c r="C8" s="202">
        <v>4</v>
      </c>
      <c r="D8" s="202">
        <v>18</v>
      </c>
      <c r="E8" s="202">
        <v>4</v>
      </c>
      <c r="F8" s="202">
        <v>20</v>
      </c>
      <c r="G8" s="202">
        <v>21</v>
      </c>
      <c r="H8" s="136">
        <v>4</v>
      </c>
      <c r="I8" s="82"/>
      <c r="J8" s="23">
        <v>4</v>
      </c>
      <c r="K8" s="196" t="s">
        <v>29</v>
      </c>
      <c r="L8" s="196" t="s">
        <v>98</v>
      </c>
      <c r="M8" s="196" t="s">
        <v>13</v>
      </c>
      <c r="N8" s="196" t="s">
        <v>81</v>
      </c>
      <c r="O8" s="196" t="s">
        <v>16</v>
      </c>
      <c r="Q8" s="195">
        <v>8</v>
      </c>
      <c r="R8" s="195">
        <v>15</v>
      </c>
      <c r="S8" s="195">
        <v>5</v>
      </c>
      <c r="T8" s="195">
        <v>13</v>
      </c>
      <c r="U8" s="195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6" t="s">
        <v>15</v>
      </c>
      <c r="AD8" s="202">
        <v>4</v>
      </c>
      <c r="AE8" s="202">
        <v>17</v>
      </c>
      <c r="AF8" s="202">
        <v>4</v>
      </c>
      <c r="AG8" s="202">
        <v>21</v>
      </c>
      <c r="AH8" s="202">
        <v>22</v>
      </c>
      <c r="AI8" s="5"/>
      <c r="AJ8" s="136" t="s">
        <v>15</v>
      </c>
      <c r="AK8" s="202">
        <v>4</v>
      </c>
      <c r="AL8" s="202">
        <v>17</v>
      </c>
      <c r="AM8" s="202">
        <v>4</v>
      </c>
      <c r="AN8" s="202">
        <v>21</v>
      </c>
      <c r="AO8" s="202">
        <v>22</v>
      </c>
    </row>
    <row r="9" spans="1:41" ht="15.9" customHeight="1">
      <c r="A9" s="202" t="s">
        <v>13</v>
      </c>
      <c r="B9" s="136" t="s">
        <v>13</v>
      </c>
      <c r="C9" s="202">
        <v>40</v>
      </c>
      <c r="D9" s="202">
        <v>17</v>
      </c>
      <c r="E9" s="202">
        <v>41</v>
      </c>
      <c r="F9" s="202">
        <v>14</v>
      </c>
      <c r="G9" s="202">
        <v>21</v>
      </c>
      <c r="H9" s="136">
        <v>5</v>
      </c>
      <c r="I9" s="82"/>
      <c r="J9" s="195">
        <v>5</v>
      </c>
      <c r="K9" s="196" t="s">
        <v>31</v>
      </c>
      <c r="L9" s="196" t="s">
        <v>95</v>
      </c>
      <c r="M9" s="196" t="s">
        <v>31</v>
      </c>
      <c r="N9" s="196" t="s">
        <v>30</v>
      </c>
      <c r="O9" s="196" t="s">
        <v>30</v>
      </c>
      <c r="Q9" s="195">
        <v>7</v>
      </c>
      <c r="R9" s="195">
        <v>17</v>
      </c>
      <c r="S9" s="195">
        <v>7</v>
      </c>
      <c r="T9" s="195">
        <v>10</v>
      </c>
      <c r="U9" s="195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6" t="s">
        <v>16</v>
      </c>
      <c r="AD9" s="202">
        <v>4</v>
      </c>
      <c r="AE9" s="202">
        <v>18</v>
      </c>
      <c r="AF9" s="202">
        <v>4</v>
      </c>
      <c r="AG9" s="202">
        <v>20</v>
      </c>
      <c r="AH9" s="202">
        <v>22</v>
      </c>
      <c r="AI9" s="5"/>
      <c r="AJ9" s="136" t="s">
        <v>16</v>
      </c>
      <c r="AK9" s="202">
        <v>4</v>
      </c>
      <c r="AL9" s="202">
        <v>18</v>
      </c>
      <c r="AM9" s="202">
        <v>4</v>
      </c>
      <c r="AN9" s="202">
        <v>20</v>
      </c>
      <c r="AO9" s="202">
        <v>22</v>
      </c>
    </row>
    <row r="10" spans="1:41" ht="15.9" customHeight="1">
      <c r="A10" s="202" t="s">
        <v>97</v>
      </c>
      <c r="B10" s="136" t="s">
        <v>97</v>
      </c>
      <c r="C10" s="202">
        <v>43</v>
      </c>
      <c r="D10" s="202">
        <v>11</v>
      </c>
      <c r="E10" s="202">
        <v>41</v>
      </c>
      <c r="F10" s="202">
        <v>14</v>
      </c>
      <c r="G10" s="202">
        <v>21</v>
      </c>
      <c r="H10" s="136">
        <v>6</v>
      </c>
      <c r="I10" s="82"/>
      <c r="J10" s="23">
        <v>6</v>
      </c>
      <c r="K10" s="196" t="s">
        <v>97</v>
      </c>
      <c r="L10" s="196" t="s">
        <v>13</v>
      </c>
      <c r="M10" s="196" t="s">
        <v>13</v>
      </c>
      <c r="N10" s="196" t="s">
        <v>30</v>
      </c>
      <c r="O10" s="196" t="s">
        <v>13</v>
      </c>
      <c r="Q10" s="195">
        <v>6</v>
      </c>
      <c r="R10" s="195">
        <v>5</v>
      </c>
      <c r="S10" s="195">
        <v>5</v>
      </c>
      <c r="T10" s="195">
        <v>10</v>
      </c>
      <c r="U10" s="195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6" t="s">
        <v>12</v>
      </c>
      <c r="AD10" s="202">
        <v>4</v>
      </c>
      <c r="AE10" s="202">
        <v>18</v>
      </c>
      <c r="AF10" s="202">
        <v>4</v>
      </c>
      <c r="AG10" s="202">
        <v>20</v>
      </c>
      <c r="AH10" s="202">
        <v>21</v>
      </c>
      <c r="AI10" s="5"/>
      <c r="AJ10" s="136" t="s">
        <v>12</v>
      </c>
      <c r="AK10" s="202">
        <v>4</v>
      </c>
      <c r="AL10" s="202">
        <v>18</v>
      </c>
      <c r="AM10" s="202">
        <v>4</v>
      </c>
      <c r="AN10" s="202">
        <v>20</v>
      </c>
      <c r="AO10" s="202">
        <v>21</v>
      </c>
    </row>
    <row r="11" spans="1:41" ht="15.9" customHeight="1">
      <c r="A11" s="202" t="s">
        <v>31</v>
      </c>
      <c r="B11" s="136" t="s">
        <v>31</v>
      </c>
      <c r="C11" s="202">
        <v>48</v>
      </c>
      <c r="D11" s="202">
        <v>12</v>
      </c>
      <c r="E11" s="202">
        <v>41</v>
      </c>
      <c r="F11" s="202">
        <v>14</v>
      </c>
      <c r="G11" s="202">
        <v>21</v>
      </c>
      <c r="H11" s="136">
        <v>7</v>
      </c>
      <c r="I11" s="82"/>
      <c r="J11" s="195">
        <v>7</v>
      </c>
      <c r="K11" s="196" t="s">
        <v>97</v>
      </c>
      <c r="L11" s="196" t="s">
        <v>13</v>
      </c>
      <c r="M11" s="196" t="s">
        <v>31</v>
      </c>
      <c r="N11" s="196" t="s">
        <v>31</v>
      </c>
      <c r="O11" s="196" t="s">
        <v>97</v>
      </c>
      <c r="Q11" s="195">
        <v>6</v>
      </c>
      <c r="R11" s="195">
        <v>5</v>
      </c>
      <c r="S11" s="195">
        <v>7</v>
      </c>
      <c r="T11" s="195">
        <v>7</v>
      </c>
      <c r="U11" s="195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6" t="s">
        <v>13</v>
      </c>
      <c r="AD11" s="202">
        <v>40</v>
      </c>
      <c r="AE11" s="202">
        <v>14</v>
      </c>
      <c r="AF11" s="202">
        <v>41</v>
      </c>
      <c r="AG11" s="202">
        <v>14</v>
      </c>
      <c r="AH11" s="202">
        <v>21</v>
      </c>
      <c r="AI11" s="5"/>
      <c r="AJ11" s="136" t="s">
        <v>13</v>
      </c>
      <c r="AK11" s="202">
        <v>40</v>
      </c>
      <c r="AL11" s="202">
        <v>14</v>
      </c>
      <c r="AM11" s="202">
        <v>41</v>
      </c>
      <c r="AN11" s="202">
        <v>14</v>
      </c>
      <c r="AO11" s="202">
        <v>21</v>
      </c>
    </row>
    <row r="12" spans="1:41" ht="15.9" customHeight="1">
      <c r="A12" s="202" t="s">
        <v>29</v>
      </c>
      <c r="B12" s="136" t="s">
        <v>29</v>
      </c>
      <c r="C12" s="202">
        <v>47</v>
      </c>
      <c r="D12" s="202">
        <v>12</v>
      </c>
      <c r="E12" s="202">
        <v>41</v>
      </c>
      <c r="F12" s="202">
        <v>14</v>
      </c>
      <c r="G12" s="202">
        <v>21</v>
      </c>
      <c r="H12" s="136">
        <v>8</v>
      </c>
      <c r="I12" s="82"/>
      <c r="J12" s="23">
        <v>8</v>
      </c>
      <c r="K12" s="196" t="s">
        <v>31</v>
      </c>
      <c r="L12" s="196" t="s">
        <v>80</v>
      </c>
      <c r="M12" s="196" t="s">
        <v>98</v>
      </c>
      <c r="N12" s="196" t="s">
        <v>12</v>
      </c>
      <c r="O12" s="196" t="s">
        <v>28</v>
      </c>
      <c r="Q12" s="195">
        <v>7</v>
      </c>
      <c r="R12" s="195">
        <v>12</v>
      </c>
      <c r="S12" s="195">
        <v>15</v>
      </c>
      <c r="T12" s="195">
        <v>4</v>
      </c>
      <c r="U12" s="195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6" t="s">
        <v>97</v>
      </c>
      <c r="AD12" s="202">
        <v>40</v>
      </c>
      <c r="AE12" s="202">
        <v>14</v>
      </c>
      <c r="AF12" s="202">
        <v>41</v>
      </c>
      <c r="AG12" s="202">
        <v>14</v>
      </c>
      <c r="AH12" s="202">
        <v>21</v>
      </c>
      <c r="AI12" s="5"/>
      <c r="AJ12" s="136" t="s">
        <v>97</v>
      </c>
      <c r="AK12" s="202">
        <v>40</v>
      </c>
      <c r="AL12" s="202">
        <v>14</v>
      </c>
      <c r="AM12" s="202">
        <v>41</v>
      </c>
      <c r="AN12" s="202">
        <v>14</v>
      </c>
      <c r="AO12" s="202">
        <v>21</v>
      </c>
    </row>
    <row r="13" spans="1:41" ht="15.9" customHeight="1">
      <c r="A13" s="202" t="s">
        <v>28</v>
      </c>
      <c r="B13" s="136" t="s">
        <v>28</v>
      </c>
      <c r="C13" s="202">
        <v>3</v>
      </c>
      <c r="D13" s="202">
        <v>19</v>
      </c>
      <c r="E13" s="202">
        <v>3</v>
      </c>
      <c r="F13" s="202">
        <v>21</v>
      </c>
      <c r="G13" s="202">
        <v>21</v>
      </c>
      <c r="H13" s="136">
        <v>9</v>
      </c>
      <c r="I13" s="82"/>
      <c r="J13" s="195">
        <v>9</v>
      </c>
      <c r="K13" s="196" t="s">
        <v>97</v>
      </c>
      <c r="L13" s="196" t="s">
        <v>14</v>
      </c>
      <c r="M13" s="196" t="s">
        <v>31</v>
      </c>
      <c r="N13" s="196" t="s">
        <v>97</v>
      </c>
      <c r="O13" s="196" t="s">
        <v>28</v>
      </c>
      <c r="Q13" s="195">
        <v>6</v>
      </c>
      <c r="R13" s="195">
        <v>1</v>
      </c>
      <c r="S13" s="195">
        <v>7</v>
      </c>
      <c r="T13" s="195">
        <v>6</v>
      </c>
      <c r="U13" s="195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6" t="s">
        <v>31</v>
      </c>
      <c r="AD13" s="202">
        <v>47</v>
      </c>
      <c r="AE13" s="202">
        <v>13</v>
      </c>
      <c r="AF13" s="202">
        <v>41</v>
      </c>
      <c r="AG13" s="202">
        <v>14</v>
      </c>
      <c r="AH13" s="202">
        <v>21</v>
      </c>
      <c r="AI13" s="5"/>
      <c r="AJ13" s="136" t="s">
        <v>31</v>
      </c>
      <c r="AK13" s="202">
        <v>47</v>
      </c>
      <c r="AL13" s="202">
        <v>13</v>
      </c>
      <c r="AM13" s="202">
        <v>41</v>
      </c>
      <c r="AN13" s="202">
        <v>14</v>
      </c>
      <c r="AO13" s="202">
        <v>21</v>
      </c>
    </row>
    <row r="14" spans="1:41" ht="15.9" customHeight="1">
      <c r="A14" s="202" t="s">
        <v>30</v>
      </c>
      <c r="B14" s="136" t="s">
        <v>30</v>
      </c>
      <c r="C14" s="202">
        <v>4</v>
      </c>
      <c r="D14" s="202">
        <v>16</v>
      </c>
      <c r="E14" s="202">
        <v>3</v>
      </c>
      <c r="F14" s="202">
        <v>21</v>
      </c>
      <c r="G14" s="202">
        <v>21</v>
      </c>
      <c r="H14" s="136">
        <v>10</v>
      </c>
      <c r="I14" s="82"/>
      <c r="J14" s="23">
        <v>10</v>
      </c>
      <c r="K14" s="196" t="s">
        <v>29</v>
      </c>
      <c r="L14" s="196" t="s">
        <v>28</v>
      </c>
      <c r="M14" s="196" t="s">
        <v>29</v>
      </c>
      <c r="N14" s="196" t="s">
        <v>16</v>
      </c>
      <c r="O14" s="196" t="s">
        <v>15</v>
      </c>
      <c r="Q14" s="195">
        <v>8</v>
      </c>
      <c r="R14" s="195">
        <v>9</v>
      </c>
      <c r="S14" s="195">
        <v>8</v>
      </c>
      <c r="T14" s="195">
        <v>3</v>
      </c>
      <c r="U14" s="195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6" t="s">
        <v>29</v>
      </c>
      <c r="AD14" s="202">
        <v>47</v>
      </c>
      <c r="AE14" s="202">
        <v>13</v>
      </c>
      <c r="AF14" s="202">
        <v>41</v>
      </c>
      <c r="AG14" s="202">
        <v>14</v>
      </c>
      <c r="AH14" s="202">
        <v>21</v>
      </c>
      <c r="AI14" s="5"/>
      <c r="AJ14" s="136" t="s">
        <v>29</v>
      </c>
      <c r="AK14" s="202">
        <v>47</v>
      </c>
      <c r="AL14" s="202">
        <v>13</v>
      </c>
      <c r="AM14" s="202">
        <v>41</v>
      </c>
      <c r="AN14" s="202">
        <v>14</v>
      </c>
      <c r="AO14" s="202">
        <v>21</v>
      </c>
    </row>
    <row r="15" spans="1:41" ht="15.9" customHeight="1">
      <c r="A15" s="203" t="s">
        <v>79</v>
      </c>
      <c r="B15" s="201" t="s">
        <v>311</v>
      </c>
      <c r="C15" s="203">
        <v>0</v>
      </c>
      <c r="D15" s="203">
        <v>8</v>
      </c>
      <c r="E15" s="203">
        <v>0</v>
      </c>
      <c r="F15" s="203">
        <v>4</v>
      </c>
      <c r="G15" s="203">
        <v>0</v>
      </c>
      <c r="H15" s="201">
        <v>11</v>
      </c>
      <c r="I15" s="82"/>
      <c r="J15" s="195">
        <v>11</v>
      </c>
      <c r="K15" s="196" t="s">
        <v>97</v>
      </c>
      <c r="L15" s="196" t="s">
        <v>15</v>
      </c>
      <c r="M15" s="196" t="s">
        <v>97</v>
      </c>
      <c r="N15" s="196" t="s">
        <v>12</v>
      </c>
      <c r="O15" s="196" t="s">
        <v>12</v>
      </c>
      <c r="Q15" s="195">
        <v>6</v>
      </c>
      <c r="R15" s="195">
        <v>2</v>
      </c>
      <c r="S15" s="195">
        <v>6</v>
      </c>
      <c r="T15" s="195">
        <v>4</v>
      </c>
      <c r="U15" s="195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6" t="s">
        <v>28</v>
      </c>
      <c r="AD15" s="202">
        <v>4</v>
      </c>
      <c r="AE15" s="202">
        <v>17</v>
      </c>
      <c r="AF15" s="202">
        <v>3</v>
      </c>
      <c r="AG15" s="202">
        <v>21</v>
      </c>
      <c r="AH15" s="202">
        <v>21</v>
      </c>
      <c r="AI15" s="5"/>
      <c r="AJ15" s="136" t="s">
        <v>28</v>
      </c>
      <c r="AK15" s="202">
        <v>4</v>
      </c>
      <c r="AL15" s="202">
        <v>17</v>
      </c>
      <c r="AM15" s="202">
        <v>3</v>
      </c>
      <c r="AN15" s="202">
        <v>21</v>
      </c>
      <c r="AO15" s="202">
        <v>21</v>
      </c>
    </row>
    <row r="16" spans="1:41" ht="15.9" customHeight="1">
      <c r="A16" s="203" t="s">
        <v>80</v>
      </c>
      <c r="B16" s="201" t="s">
        <v>312</v>
      </c>
      <c r="C16" s="203">
        <v>0</v>
      </c>
      <c r="D16" s="203">
        <v>7</v>
      </c>
      <c r="E16" s="203">
        <v>0</v>
      </c>
      <c r="F16" s="203">
        <v>4</v>
      </c>
      <c r="G16" s="203">
        <v>0</v>
      </c>
      <c r="H16" s="201">
        <v>12</v>
      </c>
      <c r="I16" s="82"/>
      <c r="J16" s="23">
        <v>12</v>
      </c>
      <c r="K16" s="196" t="s">
        <v>13</v>
      </c>
      <c r="L16" s="196" t="s">
        <v>86</v>
      </c>
      <c r="M16" s="196" t="s">
        <v>97</v>
      </c>
      <c r="N16" s="196" t="s">
        <v>30</v>
      </c>
      <c r="O16" s="196" t="s">
        <v>12</v>
      </c>
      <c r="Q16" s="195">
        <v>5</v>
      </c>
      <c r="R16" s="195">
        <v>18</v>
      </c>
      <c r="S16" s="195">
        <v>6</v>
      </c>
      <c r="T16" s="195">
        <v>10</v>
      </c>
      <c r="U16" s="195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6" t="s">
        <v>30</v>
      </c>
      <c r="AD16" s="202">
        <v>4</v>
      </c>
      <c r="AE16" s="202">
        <v>17</v>
      </c>
      <c r="AF16" s="202">
        <v>3</v>
      </c>
      <c r="AG16" s="202">
        <v>21</v>
      </c>
      <c r="AH16" s="202">
        <v>21</v>
      </c>
      <c r="AI16" s="5"/>
      <c r="AJ16" s="136" t="s">
        <v>30</v>
      </c>
      <c r="AK16" s="202">
        <v>4</v>
      </c>
      <c r="AL16" s="202">
        <v>17</v>
      </c>
      <c r="AM16" s="202">
        <v>3</v>
      </c>
      <c r="AN16" s="202">
        <v>21</v>
      </c>
      <c r="AO16" s="202">
        <v>21</v>
      </c>
    </row>
    <row r="17" spans="1:41" ht="15.9" customHeight="1">
      <c r="A17" s="203" t="s">
        <v>81</v>
      </c>
      <c r="B17" s="201" t="s">
        <v>313</v>
      </c>
      <c r="C17" s="203">
        <v>0</v>
      </c>
      <c r="D17" s="203">
        <v>7</v>
      </c>
      <c r="E17" s="203">
        <v>0</v>
      </c>
      <c r="F17" s="203">
        <v>4</v>
      </c>
      <c r="G17" s="203">
        <v>0</v>
      </c>
      <c r="H17" s="201">
        <v>13</v>
      </c>
      <c r="I17" s="82"/>
      <c r="J17" s="195">
        <v>13</v>
      </c>
      <c r="K17" s="196" t="s">
        <v>13</v>
      </c>
      <c r="L17" s="196" t="s">
        <v>97</v>
      </c>
      <c r="M17" s="196" t="s">
        <v>15</v>
      </c>
      <c r="N17" s="196" t="s">
        <v>30</v>
      </c>
      <c r="O17" s="196" t="s">
        <v>16</v>
      </c>
      <c r="Q17" s="195">
        <v>5</v>
      </c>
      <c r="R17" s="195">
        <v>6</v>
      </c>
      <c r="S17" s="195">
        <v>2</v>
      </c>
      <c r="T17" s="195">
        <v>10</v>
      </c>
      <c r="U17" s="195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201" t="s">
        <v>79</v>
      </c>
      <c r="AD17" s="203">
        <v>0</v>
      </c>
      <c r="AE17" s="203">
        <v>8</v>
      </c>
      <c r="AF17" s="203">
        <v>1</v>
      </c>
      <c r="AG17" s="203">
        <v>5</v>
      </c>
      <c r="AH17" s="203">
        <v>0</v>
      </c>
      <c r="AI17" s="5"/>
      <c r="AJ17" s="201" t="s">
        <v>79</v>
      </c>
      <c r="AK17" s="203">
        <v>0</v>
      </c>
      <c r="AL17" s="203">
        <v>8</v>
      </c>
      <c r="AM17" s="203">
        <v>1</v>
      </c>
      <c r="AN17" s="203">
        <v>5</v>
      </c>
      <c r="AO17" s="203">
        <v>0</v>
      </c>
    </row>
    <row r="18" spans="1:41" ht="15.9" customHeight="1">
      <c r="A18" s="203" t="s">
        <v>82</v>
      </c>
      <c r="B18" s="201" t="s">
        <v>314</v>
      </c>
      <c r="C18" s="203">
        <v>0</v>
      </c>
      <c r="D18" s="203">
        <v>4</v>
      </c>
      <c r="E18" s="203">
        <v>3</v>
      </c>
      <c r="F18" s="203">
        <v>3</v>
      </c>
      <c r="G18" s="203">
        <v>0</v>
      </c>
      <c r="H18" s="201">
        <v>14</v>
      </c>
      <c r="I18" s="82"/>
      <c r="J18" s="23">
        <v>14</v>
      </c>
      <c r="K18" s="196" t="s">
        <v>97</v>
      </c>
      <c r="L18" s="196" t="s">
        <v>79</v>
      </c>
      <c r="M18" s="196" t="s">
        <v>29</v>
      </c>
      <c r="N18" s="196" t="s">
        <v>29</v>
      </c>
      <c r="O18" s="196" t="s">
        <v>16</v>
      </c>
      <c r="Q18" s="195">
        <v>6</v>
      </c>
      <c r="R18" s="195">
        <v>11</v>
      </c>
      <c r="S18" s="195">
        <v>8</v>
      </c>
      <c r="T18" s="195">
        <v>8</v>
      </c>
      <c r="U18" s="195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201" t="s">
        <v>80</v>
      </c>
      <c r="AD18" s="203">
        <v>0</v>
      </c>
      <c r="AE18" s="203">
        <v>8</v>
      </c>
      <c r="AF18" s="203">
        <v>1</v>
      </c>
      <c r="AG18" s="203">
        <v>5</v>
      </c>
      <c r="AH18" s="203">
        <v>0</v>
      </c>
      <c r="AI18" s="5"/>
      <c r="AJ18" s="201" t="s">
        <v>80</v>
      </c>
      <c r="AK18" s="203">
        <v>0</v>
      </c>
      <c r="AL18" s="203">
        <v>8</v>
      </c>
      <c r="AM18" s="203">
        <v>1</v>
      </c>
      <c r="AN18" s="203">
        <v>5</v>
      </c>
      <c r="AO18" s="203">
        <v>0</v>
      </c>
    </row>
    <row r="19" spans="1:41" ht="15.9" customHeight="1">
      <c r="A19" s="203" t="s">
        <v>98</v>
      </c>
      <c r="B19" s="201" t="s">
        <v>315</v>
      </c>
      <c r="C19" s="203">
        <v>0</v>
      </c>
      <c r="D19" s="203">
        <v>4</v>
      </c>
      <c r="E19" s="203">
        <v>3</v>
      </c>
      <c r="F19" s="203">
        <v>3</v>
      </c>
      <c r="G19" s="203">
        <v>0</v>
      </c>
      <c r="H19" s="201">
        <v>15</v>
      </c>
      <c r="I19" s="82"/>
      <c r="J19" s="195">
        <v>15</v>
      </c>
      <c r="K19" s="196" t="s">
        <v>31</v>
      </c>
      <c r="L19" s="196" t="s">
        <v>16</v>
      </c>
      <c r="M19" s="196" t="s">
        <v>31</v>
      </c>
      <c r="N19" s="196" t="s">
        <v>15</v>
      </c>
      <c r="O19" s="196" t="s">
        <v>31</v>
      </c>
      <c r="Q19" s="195">
        <v>7</v>
      </c>
      <c r="R19" s="195">
        <v>3</v>
      </c>
      <c r="S19" s="195">
        <v>7</v>
      </c>
      <c r="T19" s="195">
        <v>2</v>
      </c>
      <c r="U19" s="195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201" t="s">
        <v>81</v>
      </c>
      <c r="AD19" s="203">
        <v>0</v>
      </c>
      <c r="AE19" s="203">
        <v>8</v>
      </c>
      <c r="AF19" s="203">
        <v>1</v>
      </c>
      <c r="AG19" s="203">
        <v>5</v>
      </c>
      <c r="AH19" s="203">
        <v>0</v>
      </c>
      <c r="AI19" s="5"/>
      <c r="AJ19" s="201" t="s">
        <v>81</v>
      </c>
      <c r="AK19" s="203">
        <v>0</v>
      </c>
      <c r="AL19" s="203">
        <v>8</v>
      </c>
      <c r="AM19" s="203">
        <v>1</v>
      </c>
      <c r="AN19" s="203">
        <v>5</v>
      </c>
      <c r="AO19" s="203">
        <v>0</v>
      </c>
    </row>
    <row r="20" spans="1:41" ht="15.9" customHeight="1">
      <c r="A20" s="203" t="s">
        <v>83</v>
      </c>
      <c r="B20" s="201" t="s">
        <v>316</v>
      </c>
      <c r="C20" s="203">
        <v>0</v>
      </c>
      <c r="D20" s="203">
        <v>4</v>
      </c>
      <c r="E20" s="203">
        <v>3</v>
      </c>
      <c r="F20" s="203">
        <v>3</v>
      </c>
      <c r="G20" s="203">
        <v>0</v>
      </c>
      <c r="H20" s="201">
        <v>16</v>
      </c>
      <c r="I20" s="82"/>
      <c r="J20" s="23">
        <v>16</v>
      </c>
      <c r="K20" s="196" t="s">
        <v>16</v>
      </c>
      <c r="L20" s="196" t="s">
        <v>79</v>
      </c>
      <c r="M20" s="196" t="s">
        <v>15</v>
      </c>
      <c r="N20" s="196" t="s">
        <v>86</v>
      </c>
      <c r="O20" s="196" t="s">
        <v>13</v>
      </c>
      <c r="Q20" s="195">
        <v>3</v>
      </c>
      <c r="R20" s="195">
        <v>11</v>
      </c>
      <c r="S20" s="195">
        <v>2</v>
      </c>
      <c r="T20" s="195">
        <v>18</v>
      </c>
      <c r="U20" s="195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201" t="s">
        <v>82</v>
      </c>
      <c r="AD20" s="203">
        <v>0</v>
      </c>
      <c r="AE20" s="203">
        <v>5</v>
      </c>
      <c r="AF20" s="203">
        <v>4</v>
      </c>
      <c r="AG20" s="203">
        <v>4</v>
      </c>
      <c r="AH20" s="203">
        <v>0</v>
      </c>
      <c r="AI20" s="5"/>
      <c r="AJ20" s="201" t="s">
        <v>82</v>
      </c>
      <c r="AK20" s="203">
        <v>0</v>
      </c>
      <c r="AL20" s="203">
        <v>5</v>
      </c>
      <c r="AM20" s="203">
        <v>4</v>
      </c>
      <c r="AN20" s="203">
        <v>4</v>
      </c>
      <c r="AO20" s="203">
        <v>0</v>
      </c>
    </row>
    <row r="21" spans="1:41" ht="15.9" customHeight="1">
      <c r="A21" s="203" t="s">
        <v>95</v>
      </c>
      <c r="B21" s="201" t="s">
        <v>317</v>
      </c>
      <c r="C21" s="203">
        <v>0</v>
      </c>
      <c r="D21" s="203">
        <v>4</v>
      </c>
      <c r="E21" s="203">
        <v>3</v>
      </c>
      <c r="F21" s="203">
        <v>3</v>
      </c>
      <c r="G21" s="203">
        <v>0</v>
      </c>
      <c r="H21" s="201">
        <v>17</v>
      </c>
      <c r="I21" s="82"/>
      <c r="J21" s="195">
        <v>17</v>
      </c>
      <c r="K21" s="196" t="s">
        <v>31</v>
      </c>
      <c r="L21" s="196" t="s">
        <v>97</v>
      </c>
      <c r="M21" s="196" t="s">
        <v>30</v>
      </c>
      <c r="N21" s="196" t="s">
        <v>28</v>
      </c>
      <c r="O21" s="196" t="s">
        <v>97</v>
      </c>
      <c r="Q21" s="195">
        <v>7</v>
      </c>
      <c r="R21" s="195">
        <v>6</v>
      </c>
      <c r="S21" s="195">
        <v>10</v>
      </c>
      <c r="T21" s="195">
        <v>9</v>
      </c>
      <c r="U21" s="195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201" t="s">
        <v>98</v>
      </c>
      <c r="AD21" s="203">
        <v>0</v>
      </c>
      <c r="AE21" s="203">
        <v>5</v>
      </c>
      <c r="AF21" s="203">
        <v>4</v>
      </c>
      <c r="AG21" s="203">
        <v>4</v>
      </c>
      <c r="AH21" s="203">
        <v>0</v>
      </c>
      <c r="AI21" s="5"/>
      <c r="AJ21" s="201" t="s">
        <v>98</v>
      </c>
      <c r="AK21" s="203">
        <v>0</v>
      </c>
      <c r="AL21" s="203">
        <v>5</v>
      </c>
      <c r="AM21" s="203">
        <v>4</v>
      </c>
      <c r="AN21" s="203">
        <v>4</v>
      </c>
      <c r="AO21" s="203">
        <v>0</v>
      </c>
    </row>
    <row r="22" spans="1:41" ht="15.9" customHeight="1">
      <c r="A22" s="203" t="s">
        <v>86</v>
      </c>
      <c r="B22" s="201" t="s">
        <v>318</v>
      </c>
      <c r="C22" s="203">
        <v>0</v>
      </c>
      <c r="D22" s="203">
        <v>8</v>
      </c>
      <c r="E22" s="203">
        <v>0</v>
      </c>
      <c r="F22" s="203">
        <v>4</v>
      </c>
      <c r="G22" s="203">
        <v>0</v>
      </c>
      <c r="H22" s="201">
        <v>18</v>
      </c>
      <c r="I22" s="82"/>
      <c r="J22" s="23">
        <v>18</v>
      </c>
      <c r="K22" s="196" t="s">
        <v>29</v>
      </c>
      <c r="L22" s="196" t="s">
        <v>97</v>
      </c>
      <c r="M22" s="196" t="s">
        <v>29</v>
      </c>
      <c r="N22" s="196" t="s">
        <v>12</v>
      </c>
      <c r="O22" s="196" t="s">
        <v>15</v>
      </c>
      <c r="Q22" s="195">
        <v>8</v>
      </c>
      <c r="R22" s="195">
        <v>6</v>
      </c>
      <c r="S22" s="195">
        <v>8</v>
      </c>
      <c r="T22" s="195">
        <v>4</v>
      </c>
      <c r="U22" s="195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201" t="s">
        <v>83</v>
      </c>
      <c r="AD22" s="203">
        <v>0</v>
      </c>
      <c r="AE22" s="203">
        <v>5</v>
      </c>
      <c r="AF22" s="203">
        <v>4</v>
      </c>
      <c r="AG22" s="203">
        <v>4</v>
      </c>
      <c r="AH22" s="203">
        <v>0</v>
      </c>
      <c r="AI22" s="5"/>
      <c r="AJ22" s="201" t="s">
        <v>83</v>
      </c>
      <c r="AK22" s="203">
        <v>0</v>
      </c>
      <c r="AL22" s="203">
        <v>5</v>
      </c>
      <c r="AM22" s="203">
        <v>4</v>
      </c>
      <c r="AN22" s="203">
        <v>4</v>
      </c>
      <c r="AO22" s="203">
        <v>0</v>
      </c>
    </row>
    <row r="23" spans="1:41" ht="15.9" customHeight="1">
      <c r="A23" s="203" t="s">
        <v>88</v>
      </c>
      <c r="B23" s="201" t="s">
        <v>319</v>
      </c>
      <c r="C23" s="203">
        <v>0</v>
      </c>
      <c r="D23" s="203">
        <v>5</v>
      </c>
      <c r="E23" s="203">
        <v>0</v>
      </c>
      <c r="F23" s="203">
        <v>4</v>
      </c>
      <c r="G23" s="203">
        <v>0</v>
      </c>
      <c r="H23" s="201">
        <v>19</v>
      </c>
      <c r="I23" s="82"/>
      <c r="J23" s="195">
        <v>19</v>
      </c>
      <c r="K23" s="196" t="s">
        <v>97</v>
      </c>
      <c r="L23" s="196" t="s">
        <v>13</v>
      </c>
      <c r="M23" s="196" t="s">
        <v>97</v>
      </c>
      <c r="N23" s="196" t="s">
        <v>83</v>
      </c>
      <c r="O23" s="196" t="s">
        <v>15</v>
      </c>
      <c r="Q23" s="195">
        <v>6</v>
      </c>
      <c r="R23" s="195">
        <v>5</v>
      </c>
      <c r="S23" s="195">
        <v>6</v>
      </c>
      <c r="T23" s="195">
        <v>16</v>
      </c>
      <c r="U23" s="195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201" t="s">
        <v>95</v>
      </c>
      <c r="AD23" s="203">
        <v>0</v>
      </c>
      <c r="AE23" s="203">
        <v>5</v>
      </c>
      <c r="AF23" s="203">
        <v>4</v>
      </c>
      <c r="AG23" s="203">
        <v>4</v>
      </c>
      <c r="AH23" s="203">
        <v>0</v>
      </c>
      <c r="AI23" s="5"/>
      <c r="AJ23" s="201" t="s">
        <v>95</v>
      </c>
      <c r="AK23" s="203">
        <v>0</v>
      </c>
      <c r="AL23" s="203">
        <v>5</v>
      </c>
      <c r="AM23" s="203">
        <v>4</v>
      </c>
      <c r="AN23" s="203">
        <v>4</v>
      </c>
      <c r="AO23" s="203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6" t="s">
        <v>31</v>
      </c>
      <c r="L24" s="196" t="s">
        <v>95</v>
      </c>
      <c r="M24" s="196" t="s">
        <v>31</v>
      </c>
      <c r="N24" s="196" t="s">
        <v>28</v>
      </c>
      <c r="O24" s="196" t="s">
        <v>13</v>
      </c>
      <c r="Q24" s="195">
        <v>7</v>
      </c>
      <c r="R24" s="195">
        <v>17</v>
      </c>
      <c r="S24" s="195">
        <v>7</v>
      </c>
      <c r="T24" s="195">
        <v>9</v>
      </c>
      <c r="U24" s="195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201" t="s">
        <v>86</v>
      </c>
      <c r="AD24" s="203">
        <v>0</v>
      </c>
      <c r="AE24" s="203">
        <v>9</v>
      </c>
      <c r="AF24" s="203">
        <v>1</v>
      </c>
      <c r="AG24" s="203">
        <v>5</v>
      </c>
      <c r="AH24" s="203">
        <v>0</v>
      </c>
      <c r="AI24" s="5"/>
      <c r="AJ24" s="201" t="s">
        <v>86</v>
      </c>
      <c r="AK24" s="203">
        <v>0</v>
      </c>
      <c r="AL24" s="203">
        <v>9</v>
      </c>
      <c r="AM24" s="203">
        <v>1</v>
      </c>
      <c r="AN24" s="203">
        <v>5</v>
      </c>
      <c r="AO24" s="203">
        <v>0</v>
      </c>
    </row>
    <row r="25" spans="1:41" ht="16.5" customHeight="1">
      <c r="I25" s="82"/>
      <c r="J25" s="195">
        <v>21</v>
      </c>
      <c r="K25" s="196" t="s">
        <v>29</v>
      </c>
      <c r="L25" s="196" t="s">
        <v>95</v>
      </c>
      <c r="M25" s="196" t="s">
        <v>12</v>
      </c>
      <c r="N25" s="196" t="s">
        <v>15</v>
      </c>
      <c r="O25" s="196" t="s">
        <v>15</v>
      </c>
      <c r="Q25" s="195">
        <v>8</v>
      </c>
      <c r="R25" s="195">
        <v>17</v>
      </c>
      <c r="S25" s="195">
        <v>4</v>
      </c>
      <c r="T25" s="195">
        <v>2</v>
      </c>
      <c r="U25" s="195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201" t="s">
        <v>88</v>
      </c>
      <c r="AD25" s="203">
        <v>0</v>
      </c>
      <c r="AE25" s="203">
        <v>9</v>
      </c>
      <c r="AF25" s="203">
        <v>1</v>
      </c>
      <c r="AG25" s="203">
        <v>5</v>
      </c>
      <c r="AH25" s="203">
        <v>0</v>
      </c>
      <c r="AI25" s="5"/>
      <c r="AJ25" s="201" t="s">
        <v>88</v>
      </c>
      <c r="AK25" s="203">
        <v>0</v>
      </c>
      <c r="AL25" s="203">
        <v>9</v>
      </c>
      <c r="AM25" s="203">
        <v>1</v>
      </c>
      <c r="AN25" s="203">
        <v>5</v>
      </c>
      <c r="AO25" s="203">
        <v>0</v>
      </c>
    </row>
    <row r="26" spans="1:41" ht="16.5" customHeight="1">
      <c r="B26" s="5" t="s">
        <v>320</v>
      </c>
      <c r="C26" s="5">
        <v>1</v>
      </c>
      <c r="D26" s="158">
        <v>0.745</v>
      </c>
      <c r="E26" s="158">
        <v>0.94</v>
      </c>
      <c r="F26" s="158">
        <v>0.84</v>
      </c>
      <c r="G26" s="5">
        <v>1</v>
      </c>
      <c r="I26" s="82"/>
      <c r="J26" s="23">
        <v>22</v>
      </c>
      <c r="K26" s="196" t="s">
        <v>29</v>
      </c>
      <c r="L26" s="196" t="s">
        <v>16</v>
      </c>
      <c r="M26" s="196" t="s">
        <v>29</v>
      </c>
      <c r="N26" s="196" t="s">
        <v>31</v>
      </c>
      <c r="O26" s="196" t="s">
        <v>13</v>
      </c>
      <c r="Q26" s="195">
        <v>8</v>
      </c>
      <c r="R26" s="195">
        <v>3</v>
      </c>
      <c r="S26" s="195">
        <v>8</v>
      </c>
      <c r="T26" s="195">
        <v>7</v>
      </c>
      <c r="U26" s="195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3">
        <v>200</v>
      </c>
      <c r="AE26" s="103">
        <v>209</v>
      </c>
      <c r="AF26" s="103">
        <v>209</v>
      </c>
      <c r="AG26" s="103">
        <v>209</v>
      </c>
      <c r="AH26" s="103">
        <v>200</v>
      </c>
      <c r="AI26" s="5"/>
      <c r="AK26" s="103">
        <v>200</v>
      </c>
      <c r="AL26" s="103">
        <v>209</v>
      </c>
      <c r="AM26" s="103">
        <v>209</v>
      </c>
      <c r="AN26" s="103">
        <v>209</v>
      </c>
      <c r="AO26" s="103">
        <v>200</v>
      </c>
    </row>
    <row r="27" spans="1:41" ht="16.5" customHeight="1">
      <c r="B27" s="5" t="s">
        <v>321</v>
      </c>
      <c r="C27" s="5">
        <v>0</v>
      </c>
      <c r="D27" s="158">
        <v>0.255</v>
      </c>
      <c r="E27" s="158">
        <v>0.06</v>
      </c>
      <c r="F27" s="158">
        <v>0.16</v>
      </c>
      <c r="G27" s="5">
        <v>0</v>
      </c>
      <c r="I27" s="82"/>
      <c r="J27" s="195">
        <v>23</v>
      </c>
      <c r="K27" s="196" t="s">
        <v>29</v>
      </c>
      <c r="L27" s="196" t="s">
        <v>12</v>
      </c>
      <c r="M27" s="196" t="s">
        <v>97</v>
      </c>
      <c r="N27" s="196" t="s">
        <v>14</v>
      </c>
      <c r="O27" s="196" t="s">
        <v>97</v>
      </c>
      <c r="Q27" s="195">
        <v>8</v>
      </c>
      <c r="R27" s="195">
        <v>4</v>
      </c>
      <c r="S27" s="195">
        <v>6</v>
      </c>
      <c r="T27" s="195">
        <v>1</v>
      </c>
      <c r="U27" s="195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6" t="s">
        <v>13</v>
      </c>
      <c r="L28" s="196" t="s">
        <v>12</v>
      </c>
      <c r="M28" s="196" t="s">
        <v>28</v>
      </c>
      <c r="N28" s="196" t="s">
        <v>88</v>
      </c>
      <c r="O28" s="196" t="s">
        <v>29</v>
      </c>
      <c r="Q28" s="195">
        <v>5</v>
      </c>
      <c r="R28" s="195">
        <v>4</v>
      </c>
      <c r="S28" s="195">
        <v>9</v>
      </c>
      <c r="T28" s="195">
        <v>19</v>
      </c>
      <c r="U28" s="195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308</v>
      </c>
      <c r="AH28" s="5"/>
      <c r="AI28" s="5"/>
      <c r="AJ28" s="25" t="s">
        <v>308</v>
      </c>
      <c r="AO28" s="5"/>
    </row>
    <row r="29" spans="1:41" ht="16.5" customHeight="1">
      <c r="I29" s="82"/>
      <c r="J29" s="195">
        <v>25</v>
      </c>
      <c r="K29" s="196" t="s">
        <v>29</v>
      </c>
      <c r="L29" s="196" t="s">
        <v>29</v>
      </c>
      <c r="M29" s="196" t="s">
        <v>29</v>
      </c>
      <c r="N29" s="196" t="s">
        <v>12</v>
      </c>
      <c r="O29" s="196" t="s">
        <v>12</v>
      </c>
      <c r="Q29" s="195">
        <v>8</v>
      </c>
      <c r="R29" s="195">
        <v>8</v>
      </c>
      <c r="S29" s="195">
        <v>8</v>
      </c>
      <c r="T29" s="195">
        <v>4</v>
      </c>
      <c r="U29" s="195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22" t="s">
        <v>36</v>
      </c>
      <c r="AD29" s="122" t="s">
        <v>7</v>
      </c>
      <c r="AE29" s="122" t="s">
        <v>8</v>
      </c>
      <c r="AF29" s="122" t="s">
        <v>9</v>
      </c>
      <c r="AG29" s="122" t="s">
        <v>10</v>
      </c>
      <c r="AH29" s="122" t="s">
        <v>11</v>
      </c>
      <c r="AI29" s="5"/>
      <c r="AJ29" s="122" t="s">
        <v>36</v>
      </c>
      <c r="AK29" s="122" t="s">
        <v>7</v>
      </c>
      <c r="AL29" s="122" t="s">
        <v>8</v>
      </c>
      <c r="AM29" s="122" t="s">
        <v>9</v>
      </c>
      <c r="AN29" s="122" t="s">
        <v>10</v>
      </c>
      <c r="AO29" s="122" t="s">
        <v>11</v>
      </c>
    </row>
    <row r="30" spans="1:41" ht="16.5" customHeight="1">
      <c r="I30" s="82"/>
      <c r="J30" s="23">
        <v>26</v>
      </c>
      <c r="K30" s="196" t="s">
        <v>31</v>
      </c>
      <c r="L30" s="196" t="s">
        <v>29</v>
      </c>
      <c r="M30" s="196" t="s">
        <v>97</v>
      </c>
      <c r="N30" s="196" t="s">
        <v>30</v>
      </c>
      <c r="O30" s="196" t="s">
        <v>97</v>
      </c>
      <c r="Q30" s="195">
        <v>7</v>
      </c>
      <c r="R30" s="195">
        <v>8</v>
      </c>
      <c r="S30" s="195">
        <v>6</v>
      </c>
      <c r="T30" s="195">
        <v>10</v>
      </c>
      <c r="U30" s="195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201" t="s">
        <v>306</v>
      </c>
      <c r="AD30" s="126">
        <v>0</v>
      </c>
      <c r="AE30" s="126">
        <v>0</v>
      </c>
      <c r="AF30" s="126">
        <v>0</v>
      </c>
      <c r="AG30" s="126">
        <v>0</v>
      </c>
      <c r="AH30" s="126">
        <v>0</v>
      </c>
      <c r="AI30" s="5"/>
      <c r="AJ30" s="201" t="s">
        <v>306</v>
      </c>
      <c r="AK30" s="126">
        <v>0</v>
      </c>
      <c r="AL30" s="126">
        <v>0</v>
      </c>
      <c r="AM30" s="126">
        <v>0</v>
      </c>
      <c r="AN30" s="126">
        <v>0</v>
      </c>
      <c r="AO30" s="126">
        <v>0</v>
      </c>
    </row>
    <row r="31" spans="1:41" ht="16.5" customHeight="1">
      <c r="I31" s="82"/>
      <c r="J31" s="195">
        <v>27</v>
      </c>
      <c r="K31" s="196" t="s">
        <v>13</v>
      </c>
      <c r="L31" s="196" t="s">
        <v>86</v>
      </c>
      <c r="M31" s="196" t="s">
        <v>31</v>
      </c>
      <c r="N31" s="196" t="s">
        <v>88</v>
      </c>
      <c r="O31" s="196" t="s">
        <v>28</v>
      </c>
      <c r="Q31" s="195">
        <v>5</v>
      </c>
      <c r="R31" s="195">
        <v>18</v>
      </c>
      <c r="S31" s="195">
        <v>7</v>
      </c>
      <c r="T31" s="195">
        <v>19</v>
      </c>
      <c r="U31" s="195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201" t="s">
        <v>14</v>
      </c>
      <c r="AD31" s="201">
        <v>6</v>
      </c>
      <c r="AE31" s="201">
        <v>6</v>
      </c>
      <c r="AF31" s="201">
        <v>6</v>
      </c>
      <c r="AG31" s="201">
        <v>9</v>
      </c>
      <c r="AH31" s="201">
        <v>9</v>
      </c>
      <c r="AI31" s="5"/>
      <c r="AJ31" s="201" t="s">
        <v>14</v>
      </c>
      <c r="AK31" s="201">
        <v>6</v>
      </c>
      <c r="AL31" s="201">
        <v>6</v>
      </c>
      <c r="AM31" s="201">
        <v>6</v>
      </c>
      <c r="AN31" s="201">
        <v>9</v>
      </c>
      <c r="AO31" s="201">
        <v>9</v>
      </c>
    </row>
    <row r="32" spans="1:41" ht="16.5" customHeight="1">
      <c r="J32" s="23">
        <v>28</v>
      </c>
      <c r="K32" s="196" t="s">
        <v>29</v>
      </c>
      <c r="L32" s="196" t="s">
        <v>82</v>
      </c>
      <c r="M32" s="196" t="s">
        <v>97</v>
      </c>
      <c r="N32" s="196" t="s">
        <v>79</v>
      </c>
      <c r="O32" s="196" t="s">
        <v>28</v>
      </c>
      <c r="Q32" s="195">
        <v>8</v>
      </c>
      <c r="R32" s="195">
        <v>14</v>
      </c>
      <c r="S32" s="195">
        <v>6</v>
      </c>
      <c r="T32" s="195">
        <v>11</v>
      </c>
      <c r="U32" s="195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6" t="s">
        <v>15</v>
      </c>
      <c r="AD32" s="202">
        <v>4</v>
      </c>
      <c r="AE32" s="202">
        <v>17</v>
      </c>
      <c r="AF32" s="202">
        <v>4</v>
      </c>
      <c r="AG32" s="202">
        <v>21</v>
      </c>
      <c r="AH32" s="202">
        <v>22</v>
      </c>
      <c r="AI32" s="5"/>
      <c r="AJ32" s="136" t="s">
        <v>15</v>
      </c>
      <c r="AK32" s="202">
        <v>4</v>
      </c>
      <c r="AL32" s="202">
        <v>17</v>
      </c>
      <c r="AM32" s="202">
        <v>4</v>
      </c>
      <c r="AN32" s="202">
        <v>21</v>
      </c>
      <c r="AO32" s="202">
        <v>22</v>
      </c>
    </row>
    <row r="33" spans="10:41" ht="16.5" customHeight="1">
      <c r="J33" s="195">
        <v>29</v>
      </c>
      <c r="K33" s="196" t="s">
        <v>15</v>
      </c>
      <c r="L33" s="196" t="s">
        <v>81</v>
      </c>
      <c r="M33" s="196" t="s">
        <v>13</v>
      </c>
      <c r="N33" s="196" t="s">
        <v>16</v>
      </c>
      <c r="O33" s="196" t="s">
        <v>15</v>
      </c>
      <c r="Q33" s="195">
        <v>2</v>
      </c>
      <c r="R33" s="195">
        <v>13</v>
      </c>
      <c r="S33" s="195">
        <v>5</v>
      </c>
      <c r="T33" s="195">
        <v>3</v>
      </c>
      <c r="U33" s="195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6" t="s">
        <v>16</v>
      </c>
      <c r="AD33" s="202">
        <v>4</v>
      </c>
      <c r="AE33" s="202">
        <v>18</v>
      </c>
      <c r="AF33" s="202">
        <v>4</v>
      </c>
      <c r="AG33" s="202">
        <v>20</v>
      </c>
      <c r="AH33" s="202">
        <v>22</v>
      </c>
      <c r="AI33" s="5"/>
      <c r="AJ33" s="136" t="s">
        <v>16</v>
      </c>
      <c r="AK33" s="202">
        <v>4</v>
      </c>
      <c r="AL33" s="202">
        <v>18</v>
      </c>
      <c r="AM33" s="202">
        <v>4</v>
      </c>
      <c r="AN33" s="202">
        <v>20</v>
      </c>
      <c r="AO33" s="202">
        <v>22</v>
      </c>
    </row>
    <row r="34" spans="10:41" ht="16.5" customHeight="1">
      <c r="J34" s="23">
        <v>30</v>
      </c>
      <c r="K34" s="196" t="s">
        <v>29</v>
      </c>
      <c r="L34" s="196" t="s">
        <v>30</v>
      </c>
      <c r="M34" s="196" t="s">
        <v>29</v>
      </c>
      <c r="N34" s="196" t="s">
        <v>15</v>
      </c>
      <c r="O34" s="196" t="s">
        <v>15</v>
      </c>
      <c r="Q34" s="195">
        <v>8</v>
      </c>
      <c r="R34" s="195">
        <v>10</v>
      </c>
      <c r="S34" s="195">
        <v>8</v>
      </c>
      <c r="T34" s="195">
        <v>2</v>
      </c>
      <c r="U34" s="195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6" t="s">
        <v>12</v>
      </c>
      <c r="AD34" s="202">
        <v>4</v>
      </c>
      <c r="AE34" s="202">
        <v>18</v>
      </c>
      <c r="AF34" s="202">
        <v>4</v>
      </c>
      <c r="AG34" s="202">
        <v>20</v>
      </c>
      <c r="AH34" s="202">
        <v>21</v>
      </c>
      <c r="AI34" s="5"/>
      <c r="AJ34" s="136" t="s">
        <v>12</v>
      </c>
      <c r="AK34" s="202">
        <v>4</v>
      </c>
      <c r="AL34" s="202">
        <v>18</v>
      </c>
      <c r="AM34" s="202">
        <v>4</v>
      </c>
      <c r="AN34" s="202">
        <v>20</v>
      </c>
      <c r="AO34" s="202">
        <v>21</v>
      </c>
    </row>
    <row r="35" spans="10:41" ht="16.5" customHeight="1">
      <c r="J35" s="195">
        <v>31</v>
      </c>
      <c r="K35" s="196" t="s">
        <v>13</v>
      </c>
      <c r="L35" s="196" t="s">
        <v>30</v>
      </c>
      <c r="M35" s="196" t="s">
        <v>31</v>
      </c>
      <c r="N35" s="196" t="s">
        <v>97</v>
      </c>
      <c r="O35" s="196" t="s">
        <v>14</v>
      </c>
      <c r="Q35" s="195">
        <v>5</v>
      </c>
      <c r="R35" s="195">
        <v>10</v>
      </c>
      <c r="S35" s="195">
        <v>7</v>
      </c>
      <c r="T35" s="195">
        <v>6</v>
      </c>
      <c r="U35" s="195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6" t="s">
        <v>13</v>
      </c>
      <c r="AD35" s="202">
        <v>40</v>
      </c>
      <c r="AE35" s="202">
        <v>14</v>
      </c>
      <c r="AF35" s="202">
        <v>41</v>
      </c>
      <c r="AG35" s="202">
        <v>14</v>
      </c>
      <c r="AH35" s="202">
        <v>21</v>
      </c>
      <c r="AI35" s="5"/>
      <c r="AJ35" s="136" t="s">
        <v>13</v>
      </c>
      <c r="AK35" s="202">
        <v>40</v>
      </c>
      <c r="AL35" s="202">
        <v>14</v>
      </c>
      <c r="AM35" s="202">
        <v>41</v>
      </c>
      <c r="AN35" s="202">
        <v>14</v>
      </c>
      <c r="AO35" s="202">
        <v>21</v>
      </c>
    </row>
    <row r="36" spans="10:41" ht="16.5" customHeight="1">
      <c r="J36" s="23">
        <v>32</v>
      </c>
      <c r="K36" s="196" t="s">
        <v>31</v>
      </c>
      <c r="L36" s="196" t="s">
        <v>13</v>
      </c>
      <c r="M36" s="196" t="s">
        <v>12</v>
      </c>
      <c r="N36" s="196" t="s">
        <v>97</v>
      </c>
      <c r="O36" s="196" t="s">
        <v>28</v>
      </c>
      <c r="Q36" s="195">
        <v>7</v>
      </c>
      <c r="R36" s="195">
        <v>5</v>
      </c>
      <c r="S36" s="195">
        <v>4</v>
      </c>
      <c r="T36" s="195">
        <v>6</v>
      </c>
      <c r="U36" s="195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6" t="s">
        <v>97</v>
      </c>
      <c r="AD36" s="202">
        <v>40</v>
      </c>
      <c r="AE36" s="202">
        <v>14</v>
      </c>
      <c r="AF36" s="202">
        <v>41</v>
      </c>
      <c r="AG36" s="202">
        <v>14</v>
      </c>
      <c r="AH36" s="202">
        <v>21</v>
      </c>
      <c r="AI36" s="5"/>
      <c r="AJ36" s="136" t="s">
        <v>97</v>
      </c>
      <c r="AK36" s="202">
        <v>40</v>
      </c>
      <c r="AL36" s="202">
        <v>14</v>
      </c>
      <c r="AM36" s="202">
        <v>41</v>
      </c>
      <c r="AN36" s="202">
        <v>14</v>
      </c>
      <c r="AO36" s="202">
        <v>21</v>
      </c>
    </row>
    <row r="37" spans="10:41" ht="16.5" customHeight="1">
      <c r="J37" s="195">
        <v>33</v>
      </c>
      <c r="K37" s="196" t="s">
        <v>13</v>
      </c>
      <c r="L37" s="196" t="s">
        <v>29</v>
      </c>
      <c r="M37" s="196" t="s">
        <v>29</v>
      </c>
      <c r="N37" s="196" t="s">
        <v>83</v>
      </c>
      <c r="O37" s="196" t="s">
        <v>29</v>
      </c>
      <c r="Q37" s="195">
        <v>5</v>
      </c>
      <c r="R37" s="195">
        <v>8</v>
      </c>
      <c r="S37" s="195">
        <v>8</v>
      </c>
      <c r="T37" s="195">
        <v>16</v>
      </c>
      <c r="U37" s="195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6" t="s">
        <v>31</v>
      </c>
      <c r="AD37" s="202">
        <v>47</v>
      </c>
      <c r="AE37" s="202">
        <v>13</v>
      </c>
      <c r="AF37" s="202">
        <v>41</v>
      </c>
      <c r="AG37" s="202">
        <v>14</v>
      </c>
      <c r="AH37" s="202">
        <v>21</v>
      </c>
      <c r="AI37" s="5"/>
      <c r="AJ37" s="136" t="s">
        <v>31</v>
      </c>
      <c r="AK37" s="202">
        <v>47</v>
      </c>
      <c r="AL37" s="202">
        <v>13</v>
      </c>
      <c r="AM37" s="202">
        <v>41</v>
      </c>
      <c r="AN37" s="202">
        <v>14</v>
      </c>
      <c r="AO37" s="202">
        <v>21</v>
      </c>
    </row>
    <row r="38" spans="10:41" ht="16.5" customHeight="1">
      <c r="J38" s="23">
        <v>34</v>
      </c>
      <c r="K38" s="196" t="s">
        <v>97</v>
      </c>
      <c r="L38" s="196" t="s">
        <v>80</v>
      </c>
      <c r="M38" s="196" t="s">
        <v>13</v>
      </c>
      <c r="N38" s="196" t="s">
        <v>29</v>
      </c>
      <c r="O38" s="196" t="s">
        <v>16</v>
      </c>
      <c r="Q38" s="195">
        <v>6</v>
      </c>
      <c r="R38" s="195">
        <v>12</v>
      </c>
      <c r="S38" s="195">
        <v>5</v>
      </c>
      <c r="T38" s="195">
        <v>8</v>
      </c>
      <c r="U38" s="195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6" t="s">
        <v>29</v>
      </c>
      <c r="AD38" s="202">
        <v>47</v>
      </c>
      <c r="AE38" s="202">
        <v>13</v>
      </c>
      <c r="AF38" s="202">
        <v>41</v>
      </c>
      <c r="AG38" s="202">
        <v>14</v>
      </c>
      <c r="AH38" s="202">
        <v>21</v>
      </c>
      <c r="AI38" s="5"/>
      <c r="AJ38" s="136" t="s">
        <v>29</v>
      </c>
      <c r="AK38" s="202">
        <v>47</v>
      </c>
      <c r="AL38" s="202">
        <v>13</v>
      </c>
      <c r="AM38" s="202">
        <v>41</v>
      </c>
      <c r="AN38" s="202">
        <v>14</v>
      </c>
      <c r="AO38" s="202">
        <v>21</v>
      </c>
    </row>
    <row r="39" spans="10:41" ht="16.5" customHeight="1">
      <c r="J39" s="195">
        <v>35</v>
      </c>
      <c r="K39" s="196" t="s">
        <v>97</v>
      </c>
      <c r="L39" s="196" t="s">
        <v>31</v>
      </c>
      <c r="M39" s="196" t="s">
        <v>97</v>
      </c>
      <c r="N39" s="196" t="s">
        <v>15</v>
      </c>
      <c r="O39" s="196" t="s">
        <v>30</v>
      </c>
      <c r="Q39" s="195">
        <v>6</v>
      </c>
      <c r="R39" s="195">
        <v>7</v>
      </c>
      <c r="S39" s="195">
        <v>6</v>
      </c>
      <c r="T39" s="195">
        <v>2</v>
      </c>
      <c r="U39" s="195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6" t="s">
        <v>28</v>
      </c>
      <c r="AD39" s="202">
        <v>4</v>
      </c>
      <c r="AE39" s="202">
        <v>17</v>
      </c>
      <c r="AF39" s="202">
        <v>3</v>
      </c>
      <c r="AG39" s="202">
        <v>21</v>
      </c>
      <c r="AH39" s="202">
        <v>21</v>
      </c>
      <c r="AI39" s="5"/>
      <c r="AJ39" s="136" t="s">
        <v>28</v>
      </c>
      <c r="AK39" s="202">
        <v>4</v>
      </c>
      <c r="AL39" s="202">
        <v>17</v>
      </c>
      <c r="AM39" s="202">
        <v>3</v>
      </c>
      <c r="AN39" s="202">
        <v>21</v>
      </c>
      <c r="AO39" s="202">
        <v>21</v>
      </c>
    </row>
    <row r="40" spans="10:41" ht="16.5" customHeight="1">
      <c r="J40" s="23">
        <v>36</v>
      </c>
      <c r="K40" s="196" t="s">
        <v>31</v>
      </c>
      <c r="L40" s="196" t="s">
        <v>83</v>
      </c>
      <c r="M40" s="196" t="s">
        <v>29</v>
      </c>
      <c r="N40" s="196" t="s">
        <v>82</v>
      </c>
      <c r="O40" s="196" t="s">
        <v>15</v>
      </c>
      <c r="Q40" s="195">
        <v>7</v>
      </c>
      <c r="R40" s="195">
        <v>16</v>
      </c>
      <c r="S40" s="195">
        <v>8</v>
      </c>
      <c r="T40" s="195">
        <v>14</v>
      </c>
      <c r="U40" s="195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6" t="s">
        <v>30</v>
      </c>
      <c r="AD40" s="202">
        <v>4</v>
      </c>
      <c r="AE40" s="202">
        <v>17</v>
      </c>
      <c r="AF40" s="202">
        <v>3</v>
      </c>
      <c r="AG40" s="202">
        <v>21</v>
      </c>
      <c r="AH40" s="202">
        <v>21</v>
      </c>
      <c r="AI40" s="5"/>
      <c r="AJ40" s="136" t="s">
        <v>30</v>
      </c>
      <c r="AK40" s="202">
        <v>4</v>
      </c>
      <c r="AL40" s="202">
        <v>17</v>
      </c>
      <c r="AM40" s="202">
        <v>3</v>
      </c>
      <c r="AN40" s="202">
        <v>21</v>
      </c>
      <c r="AO40" s="202">
        <v>21</v>
      </c>
    </row>
    <row r="41" spans="10:41" ht="16.5" customHeight="1">
      <c r="J41" s="195">
        <v>37</v>
      </c>
      <c r="K41" s="196" t="s">
        <v>13</v>
      </c>
      <c r="L41" s="196" t="s">
        <v>83</v>
      </c>
      <c r="M41" s="196" t="s">
        <v>31</v>
      </c>
      <c r="N41" s="196" t="s">
        <v>14</v>
      </c>
      <c r="O41" s="196" t="s">
        <v>28</v>
      </c>
      <c r="Q41" s="195">
        <v>5</v>
      </c>
      <c r="R41" s="195">
        <v>16</v>
      </c>
      <c r="S41" s="195">
        <v>7</v>
      </c>
      <c r="T41" s="195">
        <v>1</v>
      </c>
      <c r="U41" s="195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201" t="s">
        <v>79</v>
      </c>
      <c r="AD41" s="203">
        <v>0</v>
      </c>
      <c r="AE41" s="203">
        <v>8</v>
      </c>
      <c r="AF41" s="203">
        <v>1</v>
      </c>
      <c r="AG41" s="203">
        <v>5</v>
      </c>
      <c r="AH41" s="203">
        <v>0</v>
      </c>
      <c r="AI41" s="5"/>
      <c r="AJ41" s="201" t="s">
        <v>79</v>
      </c>
      <c r="AK41" s="203">
        <v>0</v>
      </c>
      <c r="AL41" s="203">
        <v>8</v>
      </c>
      <c r="AM41" s="203">
        <v>1</v>
      </c>
      <c r="AN41" s="203">
        <v>5</v>
      </c>
      <c r="AO41" s="203">
        <v>0</v>
      </c>
    </row>
    <row r="42" spans="10:41" ht="16.5" customHeight="1">
      <c r="J42" s="23">
        <v>38</v>
      </c>
      <c r="K42" s="196" t="s">
        <v>13</v>
      </c>
      <c r="L42" s="196" t="s">
        <v>30</v>
      </c>
      <c r="M42" s="196" t="s">
        <v>30</v>
      </c>
      <c r="N42" s="196" t="s">
        <v>97</v>
      </c>
      <c r="O42" s="196" t="s">
        <v>13</v>
      </c>
      <c r="Q42" s="195">
        <v>5</v>
      </c>
      <c r="R42" s="195">
        <v>10</v>
      </c>
      <c r="S42" s="195">
        <v>10</v>
      </c>
      <c r="T42" s="195">
        <v>6</v>
      </c>
      <c r="U42" s="195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201" t="s">
        <v>80</v>
      </c>
      <c r="AD42" s="203">
        <v>0</v>
      </c>
      <c r="AE42" s="203">
        <v>8</v>
      </c>
      <c r="AF42" s="203">
        <v>1</v>
      </c>
      <c r="AG42" s="203">
        <v>5</v>
      </c>
      <c r="AH42" s="203">
        <v>0</v>
      </c>
      <c r="AI42" s="5"/>
      <c r="AJ42" s="201" t="s">
        <v>80</v>
      </c>
      <c r="AK42" s="203">
        <v>0</v>
      </c>
      <c r="AL42" s="203">
        <v>8</v>
      </c>
      <c r="AM42" s="203">
        <v>1</v>
      </c>
      <c r="AN42" s="203">
        <v>5</v>
      </c>
      <c r="AO42" s="203">
        <v>0</v>
      </c>
    </row>
    <row r="43" spans="10:41" ht="16.5" customHeight="1">
      <c r="J43" s="195">
        <v>39</v>
      </c>
      <c r="K43" s="196" t="s">
        <v>13</v>
      </c>
      <c r="L43" s="196" t="s">
        <v>13</v>
      </c>
      <c r="M43" s="196" t="s">
        <v>31</v>
      </c>
      <c r="N43" s="196" t="s">
        <v>97</v>
      </c>
      <c r="O43" s="196" t="s">
        <v>13</v>
      </c>
      <c r="Q43" s="195">
        <v>5</v>
      </c>
      <c r="R43" s="195">
        <v>5</v>
      </c>
      <c r="S43" s="195">
        <v>7</v>
      </c>
      <c r="T43" s="195">
        <v>6</v>
      </c>
      <c r="U43" s="195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201" t="s">
        <v>81</v>
      </c>
      <c r="AD43" s="203">
        <v>0</v>
      </c>
      <c r="AE43" s="203">
        <v>8</v>
      </c>
      <c r="AF43" s="203">
        <v>1</v>
      </c>
      <c r="AG43" s="203">
        <v>5</v>
      </c>
      <c r="AH43" s="203">
        <v>0</v>
      </c>
      <c r="AI43" s="5"/>
      <c r="AJ43" s="201" t="s">
        <v>81</v>
      </c>
      <c r="AK43" s="203">
        <v>0</v>
      </c>
      <c r="AL43" s="203">
        <v>8</v>
      </c>
      <c r="AM43" s="203">
        <v>1</v>
      </c>
      <c r="AN43" s="203">
        <v>5</v>
      </c>
      <c r="AO43" s="203">
        <v>0</v>
      </c>
    </row>
    <row r="44" spans="10:41" ht="16.5" customHeight="1">
      <c r="J44" s="23">
        <v>40</v>
      </c>
      <c r="K44" s="196" t="s">
        <v>29</v>
      </c>
      <c r="L44" s="196" t="s">
        <v>16</v>
      </c>
      <c r="M44" s="196" t="s">
        <v>13</v>
      </c>
      <c r="N44" s="196" t="s">
        <v>95</v>
      </c>
      <c r="O44" s="196" t="s">
        <v>31</v>
      </c>
      <c r="Q44" s="195">
        <v>8</v>
      </c>
      <c r="R44" s="195">
        <v>3</v>
      </c>
      <c r="S44" s="195">
        <v>5</v>
      </c>
      <c r="T44" s="195">
        <v>17</v>
      </c>
      <c r="U44" s="195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201" t="s">
        <v>82</v>
      </c>
      <c r="AD44" s="203">
        <v>0</v>
      </c>
      <c r="AE44" s="203">
        <v>5</v>
      </c>
      <c r="AF44" s="203">
        <v>4</v>
      </c>
      <c r="AG44" s="203">
        <v>4</v>
      </c>
      <c r="AH44" s="203">
        <v>0</v>
      </c>
      <c r="AI44" s="5"/>
      <c r="AJ44" s="201" t="s">
        <v>82</v>
      </c>
      <c r="AK44" s="203">
        <v>0</v>
      </c>
      <c r="AL44" s="203">
        <v>5</v>
      </c>
      <c r="AM44" s="203">
        <v>4</v>
      </c>
      <c r="AN44" s="203">
        <v>4</v>
      </c>
      <c r="AO44" s="203">
        <v>0</v>
      </c>
    </row>
    <row r="45" spans="10:41" ht="16.5" customHeight="1">
      <c r="J45" s="195">
        <v>41</v>
      </c>
      <c r="K45" s="196" t="s">
        <v>97</v>
      </c>
      <c r="L45" s="196" t="s">
        <v>30</v>
      </c>
      <c r="M45" s="196" t="s">
        <v>97</v>
      </c>
      <c r="N45" s="196" t="s">
        <v>15</v>
      </c>
      <c r="O45" s="196" t="s">
        <v>13</v>
      </c>
      <c r="Q45" s="195">
        <v>6</v>
      </c>
      <c r="R45" s="195">
        <v>10</v>
      </c>
      <c r="S45" s="195">
        <v>6</v>
      </c>
      <c r="T45" s="195">
        <v>2</v>
      </c>
      <c r="U45" s="195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201" t="s">
        <v>98</v>
      </c>
      <c r="AD45" s="203">
        <v>0</v>
      </c>
      <c r="AE45" s="203">
        <v>5</v>
      </c>
      <c r="AF45" s="203">
        <v>4</v>
      </c>
      <c r="AG45" s="203">
        <v>4</v>
      </c>
      <c r="AH45" s="203">
        <v>0</v>
      </c>
      <c r="AI45" s="5"/>
      <c r="AJ45" s="201" t="s">
        <v>98</v>
      </c>
      <c r="AK45" s="203">
        <v>0</v>
      </c>
      <c r="AL45" s="203">
        <v>5</v>
      </c>
      <c r="AM45" s="203">
        <v>4</v>
      </c>
      <c r="AN45" s="203">
        <v>4</v>
      </c>
      <c r="AO45" s="203">
        <v>0</v>
      </c>
    </row>
    <row r="46" spans="10:41" ht="16.5" customHeight="1">
      <c r="J46" s="23">
        <v>42</v>
      </c>
      <c r="K46" s="196" t="s">
        <v>97</v>
      </c>
      <c r="L46" s="196" t="s">
        <v>13</v>
      </c>
      <c r="M46" s="196" t="s">
        <v>31</v>
      </c>
      <c r="N46" s="196" t="s">
        <v>16</v>
      </c>
      <c r="O46" s="196" t="s">
        <v>30</v>
      </c>
      <c r="Q46" s="195">
        <v>6</v>
      </c>
      <c r="R46" s="195">
        <v>5</v>
      </c>
      <c r="S46" s="195">
        <v>7</v>
      </c>
      <c r="T46" s="195">
        <v>3</v>
      </c>
      <c r="U46" s="195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201" t="s">
        <v>83</v>
      </c>
      <c r="AD46" s="203">
        <v>0</v>
      </c>
      <c r="AE46" s="203">
        <v>5</v>
      </c>
      <c r="AF46" s="203">
        <v>4</v>
      </c>
      <c r="AG46" s="203">
        <v>4</v>
      </c>
      <c r="AH46" s="203">
        <v>0</v>
      </c>
      <c r="AI46" s="5"/>
      <c r="AJ46" s="201" t="s">
        <v>83</v>
      </c>
      <c r="AK46" s="203">
        <v>0</v>
      </c>
      <c r="AL46" s="203">
        <v>5</v>
      </c>
      <c r="AM46" s="203">
        <v>4</v>
      </c>
      <c r="AN46" s="203">
        <v>4</v>
      </c>
      <c r="AO46" s="203">
        <v>0</v>
      </c>
    </row>
    <row r="47" spans="10:41" ht="16.5" customHeight="1">
      <c r="J47" s="195">
        <v>43</v>
      </c>
      <c r="K47" s="196" t="s">
        <v>97</v>
      </c>
      <c r="L47" s="196" t="s">
        <v>86</v>
      </c>
      <c r="M47" s="196" t="s">
        <v>29</v>
      </c>
      <c r="N47" s="196" t="s">
        <v>16</v>
      </c>
      <c r="O47" s="196" t="s">
        <v>14</v>
      </c>
      <c r="Q47" s="195">
        <v>6</v>
      </c>
      <c r="R47" s="195">
        <v>18</v>
      </c>
      <c r="S47" s="195">
        <v>8</v>
      </c>
      <c r="T47" s="195">
        <v>3</v>
      </c>
      <c r="U47" s="195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201" t="s">
        <v>95</v>
      </c>
      <c r="AD47" s="203">
        <v>0</v>
      </c>
      <c r="AE47" s="203">
        <v>5</v>
      </c>
      <c r="AF47" s="203">
        <v>4</v>
      </c>
      <c r="AG47" s="203">
        <v>4</v>
      </c>
      <c r="AH47" s="203">
        <v>0</v>
      </c>
      <c r="AI47" s="5"/>
      <c r="AJ47" s="201" t="s">
        <v>95</v>
      </c>
      <c r="AK47" s="203">
        <v>0</v>
      </c>
      <c r="AL47" s="203">
        <v>5</v>
      </c>
      <c r="AM47" s="203">
        <v>4</v>
      </c>
      <c r="AN47" s="203">
        <v>4</v>
      </c>
      <c r="AO47" s="203">
        <v>0</v>
      </c>
    </row>
    <row r="48" spans="10:41" ht="16.5" customHeight="1">
      <c r="J48" s="23">
        <v>44</v>
      </c>
      <c r="K48" s="196" t="s">
        <v>13</v>
      </c>
      <c r="L48" s="196" t="s">
        <v>14</v>
      </c>
      <c r="M48" s="196" t="s">
        <v>31</v>
      </c>
      <c r="N48" s="196" t="s">
        <v>15</v>
      </c>
      <c r="O48" s="196" t="s">
        <v>13</v>
      </c>
      <c r="Q48" s="195">
        <v>5</v>
      </c>
      <c r="R48" s="195">
        <v>1</v>
      </c>
      <c r="S48" s="195">
        <v>7</v>
      </c>
      <c r="T48" s="195">
        <v>2</v>
      </c>
      <c r="U48" s="195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201" t="s">
        <v>86</v>
      </c>
      <c r="AD48" s="203">
        <v>0</v>
      </c>
      <c r="AE48" s="203">
        <v>9</v>
      </c>
      <c r="AF48" s="203">
        <v>1</v>
      </c>
      <c r="AG48" s="203">
        <v>5</v>
      </c>
      <c r="AH48" s="203">
        <v>0</v>
      </c>
      <c r="AI48" s="5"/>
      <c r="AJ48" s="201" t="s">
        <v>86</v>
      </c>
      <c r="AK48" s="203">
        <v>0</v>
      </c>
      <c r="AL48" s="203">
        <v>9</v>
      </c>
      <c r="AM48" s="203">
        <v>1</v>
      </c>
      <c r="AN48" s="203">
        <v>5</v>
      </c>
      <c r="AO48" s="203">
        <v>0</v>
      </c>
    </row>
    <row r="49" spans="10:41" ht="16.5" customHeight="1">
      <c r="J49" s="195">
        <v>45</v>
      </c>
      <c r="K49" s="196" t="s">
        <v>29</v>
      </c>
      <c r="L49" s="196" t="s">
        <v>12</v>
      </c>
      <c r="M49" s="196" t="s">
        <v>97</v>
      </c>
      <c r="N49" s="196" t="s">
        <v>30</v>
      </c>
      <c r="O49" s="196" t="s">
        <v>12</v>
      </c>
      <c r="Q49" s="195">
        <v>8</v>
      </c>
      <c r="R49" s="195">
        <v>4</v>
      </c>
      <c r="S49" s="195">
        <v>6</v>
      </c>
      <c r="T49" s="195">
        <v>10</v>
      </c>
      <c r="U49" s="195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201" t="s">
        <v>88</v>
      </c>
      <c r="AD49" s="203">
        <v>0</v>
      </c>
      <c r="AE49" s="203">
        <v>9</v>
      </c>
      <c r="AF49" s="203">
        <v>1</v>
      </c>
      <c r="AG49" s="203">
        <v>5</v>
      </c>
      <c r="AH49" s="203">
        <v>0</v>
      </c>
      <c r="AI49" s="5"/>
      <c r="AJ49" s="201" t="s">
        <v>88</v>
      </c>
      <c r="AK49" s="203">
        <v>0</v>
      </c>
      <c r="AL49" s="203">
        <v>9</v>
      </c>
      <c r="AM49" s="203">
        <v>1</v>
      </c>
      <c r="AN49" s="203">
        <v>5</v>
      </c>
      <c r="AO49" s="203">
        <v>0</v>
      </c>
    </row>
    <row r="50" spans="10:41" ht="16.5" customHeight="1">
      <c r="J50" s="23">
        <v>46</v>
      </c>
      <c r="K50" s="196" t="s">
        <v>31</v>
      </c>
      <c r="L50" s="196" t="s">
        <v>15</v>
      </c>
      <c r="M50" s="196" t="s">
        <v>31</v>
      </c>
      <c r="N50" s="196" t="s">
        <v>16</v>
      </c>
      <c r="O50" s="196" t="s">
        <v>30</v>
      </c>
      <c r="Q50" s="195">
        <v>7</v>
      </c>
      <c r="R50" s="195">
        <v>2</v>
      </c>
      <c r="S50" s="195">
        <v>7</v>
      </c>
      <c r="T50" s="195">
        <v>3</v>
      </c>
      <c r="U50" s="195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3">
        <v>200</v>
      </c>
      <c r="AE50" s="103">
        <v>209</v>
      </c>
      <c r="AF50" s="103">
        <v>209</v>
      </c>
      <c r="AG50" s="103">
        <v>209</v>
      </c>
      <c r="AH50" s="103">
        <v>200</v>
      </c>
      <c r="AI50" s="5"/>
      <c r="AK50" s="103">
        <v>200</v>
      </c>
      <c r="AL50" s="103">
        <v>209</v>
      </c>
      <c r="AM50" s="103">
        <v>209</v>
      </c>
      <c r="AN50" s="103">
        <v>209</v>
      </c>
      <c r="AO50" s="103">
        <v>200</v>
      </c>
    </row>
    <row r="51" spans="10:41" ht="16.5" customHeight="1">
      <c r="J51" s="195">
        <v>47</v>
      </c>
      <c r="K51" s="196" t="s">
        <v>14</v>
      </c>
      <c r="L51" s="196" t="s">
        <v>15</v>
      </c>
      <c r="M51" s="196" t="s">
        <v>16</v>
      </c>
      <c r="N51" s="196" t="s">
        <v>15</v>
      </c>
      <c r="O51" s="196" t="s">
        <v>28</v>
      </c>
      <c r="Q51" s="195">
        <v>1</v>
      </c>
      <c r="R51" s="195">
        <v>2</v>
      </c>
      <c r="S51" s="195">
        <v>3</v>
      </c>
      <c r="T51" s="195">
        <v>2</v>
      </c>
      <c r="U51" s="195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6" t="s">
        <v>29</v>
      </c>
      <c r="L52" s="196" t="s">
        <v>13</v>
      </c>
      <c r="M52" s="196" t="s">
        <v>31</v>
      </c>
      <c r="N52" s="196" t="s">
        <v>31</v>
      </c>
      <c r="O52" s="196" t="s">
        <v>15</v>
      </c>
      <c r="Q52" s="195">
        <v>8</v>
      </c>
      <c r="R52" s="195">
        <v>5</v>
      </c>
      <c r="S52" s="195">
        <v>7</v>
      </c>
      <c r="T52" s="195">
        <v>7</v>
      </c>
      <c r="U52" s="195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309</v>
      </c>
      <c r="AH52" s="5"/>
      <c r="AI52" s="5"/>
      <c r="AJ52" s="25" t="s">
        <v>309</v>
      </c>
      <c r="AO52" s="5"/>
    </row>
    <row r="53" spans="10:41" ht="16.5" customHeight="1">
      <c r="J53" s="195">
        <v>49</v>
      </c>
      <c r="K53" s="196" t="s">
        <v>31</v>
      </c>
      <c r="L53" s="196" t="s">
        <v>29</v>
      </c>
      <c r="M53" s="196" t="s">
        <v>31</v>
      </c>
      <c r="N53" s="196" t="s">
        <v>28</v>
      </c>
      <c r="O53" s="196" t="s">
        <v>31</v>
      </c>
      <c r="Q53" s="195">
        <v>7</v>
      </c>
      <c r="R53" s="195">
        <v>8</v>
      </c>
      <c r="S53" s="195">
        <v>7</v>
      </c>
      <c r="T53" s="195">
        <v>9</v>
      </c>
      <c r="U53" s="195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22" t="s">
        <v>36</v>
      </c>
      <c r="AD53" s="122" t="s">
        <v>7</v>
      </c>
      <c r="AE53" s="122" t="s">
        <v>8</v>
      </c>
      <c r="AF53" s="122" t="s">
        <v>9</v>
      </c>
      <c r="AG53" s="122" t="s">
        <v>10</v>
      </c>
      <c r="AH53" s="122" t="s">
        <v>11</v>
      </c>
      <c r="AI53" s="5"/>
      <c r="AJ53" s="122" t="s">
        <v>36</v>
      </c>
      <c r="AK53" s="122" t="s">
        <v>7</v>
      </c>
      <c r="AL53" s="122" t="s">
        <v>8</v>
      </c>
      <c r="AM53" s="122" t="s">
        <v>9</v>
      </c>
      <c r="AN53" s="122" t="s">
        <v>10</v>
      </c>
      <c r="AO53" s="122" t="s">
        <v>11</v>
      </c>
    </row>
    <row r="54" spans="10:41" ht="16.5" customHeight="1">
      <c r="J54" s="23">
        <v>50</v>
      </c>
      <c r="K54" s="196" t="s">
        <v>31</v>
      </c>
      <c r="L54" s="196" t="s">
        <v>29</v>
      </c>
      <c r="M54" s="196" t="s">
        <v>31</v>
      </c>
      <c r="N54" s="196" t="s">
        <v>28</v>
      </c>
      <c r="O54" s="196" t="s">
        <v>12</v>
      </c>
      <c r="Q54" s="195">
        <v>7</v>
      </c>
      <c r="R54" s="195">
        <v>8</v>
      </c>
      <c r="S54" s="195">
        <v>7</v>
      </c>
      <c r="T54" s="195">
        <v>9</v>
      </c>
      <c r="U54" s="195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201" t="s">
        <v>306</v>
      </c>
      <c r="AD54" s="126">
        <v>0</v>
      </c>
      <c r="AE54" s="126">
        <v>0</v>
      </c>
      <c r="AF54" s="126">
        <v>0</v>
      </c>
      <c r="AG54" s="126">
        <v>0</v>
      </c>
      <c r="AH54" s="126">
        <v>0</v>
      </c>
      <c r="AI54" s="5"/>
      <c r="AJ54" s="201" t="s">
        <v>306</v>
      </c>
      <c r="AK54" s="126">
        <v>0</v>
      </c>
      <c r="AL54" s="126">
        <v>0</v>
      </c>
      <c r="AM54" s="126">
        <v>0</v>
      </c>
      <c r="AN54" s="126">
        <v>0</v>
      </c>
      <c r="AO54" s="126">
        <v>0</v>
      </c>
    </row>
    <row r="55" spans="10:41" ht="16.5" customHeight="1">
      <c r="J55" s="195">
        <v>51</v>
      </c>
      <c r="K55" s="196" t="s">
        <v>97</v>
      </c>
      <c r="L55" s="196" t="s">
        <v>29</v>
      </c>
      <c r="M55" s="196" t="s">
        <v>29</v>
      </c>
      <c r="N55" s="196" t="s">
        <v>82</v>
      </c>
      <c r="O55" s="196" t="s">
        <v>15</v>
      </c>
      <c r="Q55" s="195">
        <v>6</v>
      </c>
      <c r="R55" s="195">
        <v>8</v>
      </c>
      <c r="S55" s="195">
        <v>8</v>
      </c>
      <c r="T55" s="195">
        <v>14</v>
      </c>
      <c r="U55" s="195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201" t="s">
        <v>14</v>
      </c>
      <c r="AD55" s="201">
        <v>6</v>
      </c>
      <c r="AE55" s="201">
        <v>6</v>
      </c>
      <c r="AF55" s="201">
        <v>6</v>
      </c>
      <c r="AG55" s="201">
        <v>9</v>
      </c>
      <c r="AH55" s="201">
        <v>9</v>
      </c>
      <c r="AI55" s="5"/>
      <c r="AJ55" s="201" t="s">
        <v>14</v>
      </c>
      <c r="AK55" s="201">
        <v>6</v>
      </c>
      <c r="AL55" s="201">
        <v>6</v>
      </c>
      <c r="AM55" s="201">
        <v>6</v>
      </c>
      <c r="AN55" s="201">
        <v>9</v>
      </c>
      <c r="AO55" s="201">
        <v>9</v>
      </c>
    </row>
    <row r="56" spans="10:41" ht="16.5" customHeight="1">
      <c r="J56" s="23">
        <v>52</v>
      </c>
      <c r="K56" s="196" t="s">
        <v>29</v>
      </c>
      <c r="L56" s="196" t="s">
        <v>28</v>
      </c>
      <c r="M56" s="196" t="s">
        <v>31</v>
      </c>
      <c r="N56" s="196" t="s">
        <v>12</v>
      </c>
      <c r="O56" s="196" t="s">
        <v>13</v>
      </c>
      <c r="Q56" s="195">
        <v>8</v>
      </c>
      <c r="R56" s="195">
        <v>9</v>
      </c>
      <c r="S56" s="195">
        <v>7</v>
      </c>
      <c r="T56" s="195">
        <v>4</v>
      </c>
      <c r="U56" s="195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6" t="s">
        <v>15</v>
      </c>
      <c r="AD56" s="202">
        <v>4</v>
      </c>
      <c r="AE56" s="202">
        <v>17</v>
      </c>
      <c r="AF56" s="202">
        <v>4</v>
      </c>
      <c r="AG56" s="202">
        <v>21</v>
      </c>
      <c r="AH56" s="202">
        <v>22</v>
      </c>
      <c r="AI56" s="5"/>
      <c r="AJ56" s="136" t="s">
        <v>15</v>
      </c>
      <c r="AK56" s="202">
        <v>4</v>
      </c>
      <c r="AL56" s="202">
        <v>17</v>
      </c>
      <c r="AM56" s="202">
        <v>4</v>
      </c>
      <c r="AN56" s="202">
        <v>21</v>
      </c>
      <c r="AO56" s="202">
        <v>22</v>
      </c>
    </row>
    <row r="57" spans="10:41" ht="16.5" customHeight="1">
      <c r="J57" s="195">
        <v>53</v>
      </c>
      <c r="K57" s="196" t="s">
        <v>31</v>
      </c>
      <c r="L57" s="196" t="s">
        <v>28</v>
      </c>
      <c r="M57" s="196" t="s">
        <v>97</v>
      </c>
      <c r="N57" s="196" t="s">
        <v>12</v>
      </c>
      <c r="O57" s="196" t="s">
        <v>16</v>
      </c>
      <c r="Q57" s="195">
        <v>7</v>
      </c>
      <c r="R57" s="195">
        <v>9</v>
      </c>
      <c r="S57" s="195">
        <v>6</v>
      </c>
      <c r="T57" s="195">
        <v>4</v>
      </c>
      <c r="U57" s="195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6" t="s">
        <v>16</v>
      </c>
      <c r="AD57" s="202">
        <v>4</v>
      </c>
      <c r="AE57" s="202">
        <v>18</v>
      </c>
      <c r="AF57" s="202">
        <v>4</v>
      </c>
      <c r="AG57" s="202">
        <v>20</v>
      </c>
      <c r="AH57" s="202">
        <v>22</v>
      </c>
      <c r="AI57" s="5"/>
      <c r="AJ57" s="136" t="s">
        <v>16</v>
      </c>
      <c r="AK57" s="202">
        <v>4</v>
      </c>
      <c r="AL57" s="202">
        <v>18</v>
      </c>
      <c r="AM57" s="202">
        <v>4</v>
      </c>
      <c r="AN57" s="202">
        <v>20</v>
      </c>
      <c r="AO57" s="202">
        <v>22</v>
      </c>
    </row>
    <row r="58" spans="10:41" ht="16.5" customHeight="1">
      <c r="J58" s="23">
        <v>54</v>
      </c>
      <c r="K58" s="196" t="s">
        <v>31</v>
      </c>
      <c r="L58" s="196" t="s">
        <v>12</v>
      </c>
      <c r="M58" s="196" t="s">
        <v>29</v>
      </c>
      <c r="N58" s="196" t="s">
        <v>79</v>
      </c>
      <c r="O58" s="196" t="s">
        <v>15</v>
      </c>
      <c r="Q58" s="195">
        <v>7</v>
      </c>
      <c r="R58" s="195">
        <v>4</v>
      </c>
      <c r="S58" s="195">
        <v>8</v>
      </c>
      <c r="T58" s="195">
        <v>11</v>
      </c>
      <c r="U58" s="195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6" t="s">
        <v>12</v>
      </c>
      <c r="AD58" s="202">
        <v>4</v>
      </c>
      <c r="AE58" s="202">
        <v>18</v>
      </c>
      <c r="AF58" s="202">
        <v>4</v>
      </c>
      <c r="AG58" s="202">
        <v>20</v>
      </c>
      <c r="AH58" s="202">
        <v>21</v>
      </c>
      <c r="AI58" s="5"/>
      <c r="AJ58" s="136" t="s">
        <v>12</v>
      </c>
      <c r="AK58" s="202">
        <v>4</v>
      </c>
      <c r="AL58" s="202">
        <v>18</v>
      </c>
      <c r="AM58" s="202">
        <v>4</v>
      </c>
      <c r="AN58" s="202">
        <v>20</v>
      </c>
      <c r="AO58" s="202">
        <v>21</v>
      </c>
    </row>
    <row r="59" spans="10:41" ht="16.5" customHeight="1">
      <c r="J59" s="195">
        <v>55</v>
      </c>
      <c r="K59" s="196" t="s">
        <v>31</v>
      </c>
      <c r="L59" s="196" t="s">
        <v>12</v>
      </c>
      <c r="M59" s="196" t="s">
        <v>29</v>
      </c>
      <c r="N59" s="196" t="s">
        <v>12</v>
      </c>
      <c r="O59" s="196" t="s">
        <v>29</v>
      </c>
      <c r="Q59" s="195">
        <v>7</v>
      </c>
      <c r="R59" s="195">
        <v>4</v>
      </c>
      <c r="S59" s="195">
        <v>8</v>
      </c>
      <c r="T59" s="195">
        <v>4</v>
      </c>
      <c r="U59" s="195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6" t="s">
        <v>13</v>
      </c>
      <c r="AD59" s="202">
        <v>40</v>
      </c>
      <c r="AE59" s="202">
        <v>14</v>
      </c>
      <c r="AF59" s="202">
        <v>41</v>
      </c>
      <c r="AG59" s="202">
        <v>14</v>
      </c>
      <c r="AH59" s="202">
        <v>21</v>
      </c>
      <c r="AI59" s="5"/>
      <c r="AJ59" s="136" t="s">
        <v>13</v>
      </c>
      <c r="AK59" s="202">
        <v>40</v>
      </c>
      <c r="AL59" s="202">
        <v>14</v>
      </c>
      <c r="AM59" s="202">
        <v>41</v>
      </c>
      <c r="AN59" s="202">
        <v>14</v>
      </c>
      <c r="AO59" s="202">
        <v>21</v>
      </c>
    </row>
    <row r="60" spans="10:41" ht="16.5" customHeight="1">
      <c r="J60" s="23">
        <v>56</v>
      </c>
      <c r="K60" s="196" t="s">
        <v>13</v>
      </c>
      <c r="L60" s="196" t="s">
        <v>82</v>
      </c>
      <c r="M60" s="196" t="s">
        <v>29</v>
      </c>
      <c r="N60" s="196" t="s">
        <v>29</v>
      </c>
      <c r="O60" s="196" t="s">
        <v>30</v>
      </c>
      <c r="Q60" s="195">
        <v>5</v>
      </c>
      <c r="R60" s="195">
        <v>14</v>
      </c>
      <c r="S60" s="195">
        <v>8</v>
      </c>
      <c r="T60" s="195">
        <v>8</v>
      </c>
      <c r="U60" s="195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6" t="s">
        <v>97</v>
      </c>
      <c r="AD60" s="202">
        <v>40</v>
      </c>
      <c r="AE60" s="202">
        <v>14</v>
      </c>
      <c r="AF60" s="202">
        <v>41</v>
      </c>
      <c r="AG60" s="202">
        <v>14</v>
      </c>
      <c r="AH60" s="202">
        <v>21</v>
      </c>
      <c r="AI60" s="5"/>
      <c r="AJ60" s="136" t="s">
        <v>97</v>
      </c>
      <c r="AK60" s="202">
        <v>40</v>
      </c>
      <c r="AL60" s="202">
        <v>14</v>
      </c>
      <c r="AM60" s="202">
        <v>41</v>
      </c>
      <c r="AN60" s="202">
        <v>14</v>
      </c>
      <c r="AO60" s="202">
        <v>21</v>
      </c>
    </row>
    <row r="61" spans="10:41">
      <c r="J61" s="195">
        <v>57</v>
      </c>
      <c r="K61" s="196" t="s">
        <v>97</v>
      </c>
      <c r="L61" s="196" t="s">
        <v>82</v>
      </c>
      <c r="M61" s="196" t="s">
        <v>97</v>
      </c>
      <c r="N61" s="196" t="s">
        <v>12</v>
      </c>
      <c r="O61" s="196" t="s">
        <v>30</v>
      </c>
      <c r="Q61" s="195">
        <v>6</v>
      </c>
      <c r="R61" s="195">
        <v>14</v>
      </c>
      <c r="S61" s="195">
        <v>6</v>
      </c>
      <c r="T61" s="195">
        <v>4</v>
      </c>
      <c r="U61" s="195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6" t="s">
        <v>31</v>
      </c>
      <c r="AD61" s="202">
        <v>47</v>
      </c>
      <c r="AE61" s="202">
        <v>13</v>
      </c>
      <c r="AF61" s="202">
        <v>41</v>
      </c>
      <c r="AG61" s="202">
        <v>14</v>
      </c>
      <c r="AH61" s="202">
        <v>21</v>
      </c>
      <c r="AI61" s="5"/>
      <c r="AJ61" s="136" t="s">
        <v>31</v>
      </c>
      <c r="AK61" s="202">
        <v>47</v>
      </c>
      <c r="AL61" s="202">
        <v>13</v>
      </c>
      <c r="AM61" s="202">
        <v>41</v>
      </c>
      <c r="AN61" s="202">
        <v>14</v>
      </c>
      <c r="AO61" s="202">
        <v>21</v>
      </c>
    </row>
    <row r="62" spans="10:41">
      <c r="J62" s="23">
        <v>58</v>
      </c>
      <c r="K62" s="196" t="s">
        <v>30</v>
      </c>
      <c r="L62" s="196" t="s">
        <v>28</v>
      </c>
      <c r="M62" s="196" t="s">
        <v>97</v>
      </c>
      <c r="N62" s="196" t="s">
        <v>95</v>
      </c>
      <c r="O62" s="196" t="s">
        <v>16</v>
      </c>
      <c r="Q62" s="195">
        <v>10</v>
      </c>
      <c r="R62" s="195">
        <v>9</v>
      </c>
      <c r="S62" s="195">
        <v>6</v>
      </c>
      <c r="T62" s="195">
        <v>17</v>
      </c>
      <c r="U62" s="195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6" t="s">
        <v>29</v>
      </c>
      <c r="AD62" s="202">
        <v>47</v>
      </c>
      <c r="AE62" s="202">
        <v>13</v>
      </c>
      <c r="AF62" s="202">
        <v>41</v>
      </c>
      <c r="AG62" s="202">
        <v>14</v>
      </c>
      <c r="AH62" s="202">
        <v>21</v>
      </c>
      <c r="AI62" s="5"/>
      <c r="AJ62" s="136" t="s">
        <v>29</v>
      </c>
      <c r="AK62" s="202">
        <v>47</v>
      </c>
      <c r="AL62" s="202">
        <v>13</v>
      </c>
      <c r="AM62" s="202">
        <v>41</v>
      </c>
      <c r="AN62" s="202">
        <v>14</v>
      </c>
      <c r="AO62" s="202">
        <v>21</v>
      </c>
    </row>
    <row r="63" spans="10:41" ht="16.5" customHeight="1">
      <c r="J63" s="195">
        <v>59</v>
      </c>
      <c r="K63" s="196" t="s">
        <v>29</v>
      </c>
      <c r="L63" s="196" t="s">
        <v>81</v>
      </c>
      <c r="M63" s="196" t="s">
        <v>14</v>
      </c>
      <c r="N63" s="196" t="s">
        <v>86</v>
      </c>
      <c r="O63" s="196" t="s">
        <v>13</v>
      </c>
      <c r="Q63" s="195">
        <v>8</v>
      </c>
      <c r="R63" s="195">
        <v>13</v>
      </c>
      <c r="S63" s="195">
        <v>1</v>
      </c>
      <c r="T63" s="195">
        <v>18</v>
      </c>
      <c r="U63" s="195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6" t="s">
        <v>28</v>
      </c>
      <c r="AD63" s="202">
        <v>4</v>
      </c>
      <c r="AE63" s="202">
        <v>17</v>
      </c>
      <c r="AF63" s="202">
        <v>3</v>
      </c>
      <c r="AG63" s="202">
        <v>21</v>
      </c>
      <c r="AH63" s="202">
        <v>21</v>
      </c>
      <c r="AI63" s="5"/>
      <c r="AJ63" s="136" t="s">
        <v>28</v>
      </c>
      <c r="AK63" s="202">
        <v>4</v>
      </c>
      <c r="AL63" s="202">
        <v>17</v>
      </c>
      <c r="AM63" s="202">
        <v>3</v>
      </c>
      <c r="AN63" s="202">
        <v>21</v>
      </c>
      <c r="AO63" s="202">
        <v>21</v>
      </c>
    </row>
    <row r="64" spans="10:41" ht="16.5" customHeight="1">
      <c r="J64" s="23">
        <v>60</v>
      </c>
      <c r="K64" s="196" t="s">
        <v>97</v>
      </c>
      <c r="L64" s="196" t="s">
        <v>28</v>
      </c>
      <c r="M64" s="196" t="s">
        <v>13</v>
      </c>
      <c r="N64" s="196" t="s">
        <v>12</v>
      </c>
      <c r="O64" s="196" t="s">
        <v>28</v>
      </c>
      <c r="Q64" s="195">
        <v>6</v>
      </c>
      <c r="R64" s="195">
        <v>9</v>
      </c>
      <c r="S64" s="195">
        <v>5</v>
      </c>
      <c r="T64" s="195">
        <v>4</v>
      </c>
      <c r="U64" s="195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6" t="s">
        <v>30</v>
      </c>
      <c r="AD64" s="202">
        <v>4</v>
      </c>
      <c r="AE64" s="202">
        <v>17</v>
      </c>
      <c r="AF64" s="202">
        <v>3</v>
      </c>
      <c r="AG64" s="202">
        <v>21</v>
      </c>
      <c r="AH64" s="202">
        <v>21</v>
      </c>
      <c r="AI64" s="5"/>
      <c r="AJ64" s="136" t="s">
        <v>30</v>
      </c>
      <c r="AK64" s="202">
        <v>4</v>
      </c>
      <c r="AL64" s="202">
        <v>17</v>
      </c>
      <c r="AM64" s="202">
        <v>3</v>
      </c>
      <c r="AN64" s="202">
        <v>21</v>
      </c>
      <c r="AO64" s="202">
        <v>21</v>
      </c>
    </row>
    <row r="65" spans="10:41" ht="16.5" customHeight="1">
      <c r="J65" s="195">
        <v>61</v>
      </c>
      <c r="K65" s="196" t="s">
        <v>31</v>
      </c>
      <c r="L65" s="196" t="s">
        <v>30</v>
      </c>
      <c r="M65" s="196" t="s">
        <v>82</v>
      </c>
      <c r="N65" s="196" t="s">
        <v>16</v>
      </c>
      <c r="O65" s="196" t="s">
        <v>29</v>
      </c>
      <c r="Q65" s="195">
        <v>7</v>
      </c>
      <c r="R65" s="195">
        <v>10</v>
      </c>
      <c r="S65" s="195">
        <v>14</v>
      </c>
      <c r="T65" s="195">
        <v>3</v>
      </c>
      <c r="U65" s="195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201" t="s">
        <v>79</v>
      </c>
      <c r="AD65" s="203">
        <v>0</v>
      </c>
      <c r="AE65" s="203">
        <v>8</v>
      </c>
      <c r="AF65" s="203">
        <v>1</v>
      </c>
      <c r="AG65" s="203">
        <v>5</v>
      </c>
      <c r="AH65" s="203">
        <v>0</v>
      </c>
      <c r="AI65" s="5"/>
      <c r="AJ65" s="201" t="s">
        <v>79</v>
      </c>
      <c r="AK65" s="203">
        <v>0</v>
      </c>
      <c r="AL65" s="203">
        <v>8</v>
      </c>
      <c r="AM65" s="203">
        <v>1</v>
      </c>
      <c r="AN65" s="203">
        <v>5</v>
      </c>
      <c r="AO65" s="203">
        <v>0</v>
      </c>
    </row>
    <row r="66" spans="10:41" ht="16.5" customHeight="1">
      <c r="J66" s="23">
        <v>62</v>
      </c>
      <c r="K66" s="196" t="s">
        <v>15</v>
      </c>
      <c r="L66" s="196" t="s">
        <v>16</v>
      </c>
      <c r="M66" s="196" t="s">
        <v>13</v>
      </c>
      <c r="N66" s="196" t="s">
        <v>28</v>
      </c>
      <c r="O66" s="196" t="s">
        <v>28</v>
      </c>
      <c r="Q66" s="195">
        <v>2</v>
      </c>
      <c r="R66" s="195">
        <v>3</v>
      </c>
      <c r="S66" s="195">
        <v>5</v>
      </c>
      <c r="T66" s="195">
        <v>9</v>
      </c>
      <c r="U66" s="195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201" t="s">
        <v>80</v>
      </c>
      <c r="AD66" s="203">
        <v>0</v>
      </c>
      <c r="AE66" s="203">
        <v>8</v>
      </c>
      <c r="AF66" s="203">
        <v>1</v>
      </c>
      <c r="AG66" s="203">
        <v>5</v>
      </c>
      <c r="AH66" s="203">
        <v>0</v>
      </c>
      <c r="AI66" s="5"/>
      <c r="AJ66" s="201" t="s">
        <v>80</v>
      </c>
      <c r="AK66" s="203">
        <v>0</v>
      </c>
      <c r="AL66" s="203">
        <v>8</v>
      </c>
      <c r="AM66" s="203">
        <v>1</v>
      </c>
      <c r="AN66" s="203">
        <v>5</v>
      </c>
      <c r="AO66" s="203">
        <v>0</v>
      </c>
    </row>
    <row r="67" spans="10:41" ht="16.5" customHeight="1">
      <c r="J67" s="195">
        <v>63</v>
      </c>
      <c r="K67" s="196" t="s">
        <v>31</v>
      </c>
      <c r="L67" s="196" t="s">
        <v>86</v>
      </c>
      <c r="M67" s="196" t="s">
        <v>97</v>
      </c>
      <c r="N67" s="196" t="s">
        <v>98</v>
      </c>
      <c r="O67" s="196" t="s">
        <v>16</v>
      </c>
      <c r="Q67" s="195">
        <v>7</v>
      </c>
      <c r="R67" s="195">
        <v>18</v>
      </c>
      <c r="S67" s="195">
        <v>6</v>
      </c>
      <c r="T67" s="195">
        <v>15</v>
      </c>
      <c r="U67" s="195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201" t="s">
        <v>81</v>
      </c>
      <c r="AD67" s="203">
        <v>0</v>
      </c>
      <c r="AE67" s="203">
        <v>8</v>
      </c>
      <c r="AF67" s="203">
        <v>1</v>
      </c>
      <c r="AG67" s="203">
        <v>5</v>
      </c>
      <c r="AH67" s="203">
        <v>0</v>
      </c>
      <c r="AI67" s="5"/>
      <c r="AJ67" s="201" t="s">
        <v>81</v>
      </c>
      <c r="AK67" s="203">
        <v>0</v>
      </c>
      <c r="AL67" s="203">
        <v>8</v>
      </c>
      <c r="AM67" s="203">
        <v>1</v>
      </c>
      <c r="AN67" s="203">
        <v>5</v>
      </c>
      <c r="AO67" s="203">
        <v>0</v>
      </c>
    </row>
    <row r="68" spans="10:41" ht="16.5" customHeight="1">
      <c r="J68" s="23">
        <v>64</v>
      </c>
      <c r="K68" s="196" t="s">
        <v>97</v>
      </c>
      <c r="L68" s="196" t="s">
        <v>16</v>
      </c>
      <c r="M68" s="196" t="s">
        <v>13</v>
      </c>
      <c r="N68" s="196" t="s">
        <v>29</v>
      </c>
      <c r="O68" s="196" t="s">
        <v>30</v>
      </c>
      <c r="Q68" s="195">
        <v>6</v>
      </c>
      <c r="R68" s="195">
        <v>3</v>
      </c>
      <c r="S68" s="195">
        <v>5</v>
      </c>
      <c r="T68" s="195">
        <v>8</v>
      </c>
      <c r="U68" s="195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201" t="s">
        <v>82</v>
      </c>
      <c r="AD68" s="203">
        <v>0</v>
      </c>
      <c r="AE68" s="203">
        <v>5</v>
      </c>
      <c r="AF68" s="203">
        <v>4</v>
      </c>
      <c r="AG68" s="203">
        <v>4</v>
      </c>
      <c r="AH68" s="203">
        <v>0</v>
      </c>
      <c r="AI68" s="5"/>
      <c r="AJ68" s="201" t="s">
        <v>82</v>
      </c>
      <c r="AK68" s="203">
        <v>0</v>
      </c>
      <c r="AL68" s="203">
        <v>5</v>
      </c>
      <c r="AM68" s="203">
        <v>4</v>
      </c>
      <c r="AN68" s="203">
        <v>4</v>
      </c>
      <c r="AO68" s="203">
        <v>0</v>
      </c>
    </row>
    <row r="69" spans="10:41" ht="16.5" customHeight="1">
      <c r="J69" s="195">
        <v>65</v>
      </c>
      <c r="K69" s="196" t="s">
        <v>14</v>
      </c>
      <c r="L69" s="196" t="s">
        <v>16</v>
      </c>
      <c r="M69" s="196" t="s">
        <v>97</v>
      </c>
      <c r="N69" s="196" t="s">
        <v>16</v>
      </c>
      <c r="O69" s="196" t="s">
        <v>28</v>
      </c>
      <c r="Q69" s="195">
        <v>1</v>
      </c>
      <c r="R69" s="195">
        <v>3</v>
      </c>
      <c r="S69" s="195">
        <v>6</v>
      </c>
      <c r="T69" s="195">
        <v>3</v>
      </c>
      <c r="U69" s="195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201" t="s">
        <v>98</v>
      </c>
      <c r="AD69" s="203">
        <v>0</v>
      </c>
      <c r="AE69" s="203">
        <v>5</v>
      </c>
      <c r="AF69" s="203">
        <v>4</v>
      </c>
      <c r="AG69" s="203">
        <v>4</v>
      </c>
      <c r="AH69" s="203">
        <v>0</v>
      </c>
      <c r="AI69" s="5"/>
      <c r="AJ69" s="201" t="s">
        <v>98</v>
      </c>
      <c r="AK69" s="203">
        <v>0</v>
      </c>
      <c r="AL69" s="203">
        <v>5</v>
      </c>
      <c r="AM69" s="203">
        <v>4</v>
      </c>
      <c r="AN69" s="203">
        <v>4</v>
      </c>
      <c r="AO69" s="203">
        <v>0</v>
      </c>
    </row>
    <row r="70" spans="10:41" ht="16.5" customHeight="1">
      <c r="J70" s="23">
        <v>66</v>
      </c>
      <c r="K70" s="196" t="s">
        <v>31</v>
      </c>
      <c r="L70" s="196" t="s">
        <v>79</v>
      </c>
      <c r="M70" s="196" t="s">
        <v>98</v>
      </c>
      <c r="N70" s="196" t="s">
        <v>30</v>
      </c>
      <c r="O70" s="196" t="s">
        <v>97</v>
      </c>
      <c r="Q70" s="195">
        <v>7</v>
      </c>
      <c r="R70" s="195">
        <v>11</v>
      </c>
      <c r="S70" s="195">
        <v>15</v>
      </c>
      <c r="T70" s="195">
        <v>10</v>
      </c>
      <c r="U70" s="195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201" t="s">
        <v>83</v>
      </c>
      <c r="AD70" s="203">
        <v>0</v>
      </c>
      <c r="AE70" s="203">
        <v>5</v>
      </c>
      <c r="AF70" s="203">
        <v>4</v>
      </c>
      <c r="AG70" s="203">
        <v>4</v>
      </c>
      <c r="AH70" s="203">
        <v>0</v>
      </c>
      <c r="AI70" s="5"/>
      <c r="AJ70" s="201" t="s">
        <v>83</v>
      </c>
      <c r="AK70" s="203">
        <v>0</v>
      </c>
      <c r="AL70" s="203">
        <v>5</v>
      </c>
      <c r="AM70" s="203">
        <v>4</v>
      </c>
      <c r="AN70" s="203">
        <v>4</v>
      </c>
      <c r="AO70" s="203">
        <v>0</v>
      </c>
    </row>
    <row r="71" spans="10:41" ht="16.5" customHeight="1">
      <c r="J71" s="195">
        <v>67</v>
      </c>
      <c r="K71" s="196" t="s">
        <v>30</v>
      </c>
      <c r="L71" s="196" t="s">
        <v>79</v>
      </c>
      <c r="M71" s="196" t="s">
        <v>97</v>
      </c>
      <c r="N71" s="196" t="s">
        <v>79</v>
      </c>
      <c r="O71" s="196" t="s">
        <v>15</v>
      </c>
      <c r="Q71" s="195">
        <v>10</v>
      </c>
      <c r="R71" s="195">
        <v>11</v>
      </c>
      <c r="S71" s="195">
        <v>6</v>
      </c>
      <c r="T71" s="195">
        <v>11</v>
      </c>
      <c r="U71" s="195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201" t="s">
        <v>95</v>
      </c>
      <c r="AD71" s="203">
        <v>0</v>
      </c>
      <c r="AE71" s="203">
        <v>5</v>
      </c>
      <c r="AF71" s="203">
        <v>4</v>
      </c>
      <c r="AG71" s="203">
        <v>4</v>
      </c>
      <c r="AH71" s="203">
        <v>0</v>
      </c>
      <c r="AI71" s="5"/>
      <c r="AJ71" s="201" t="s">
        <v>95</v>
      </c>
      <c r="AK71" s="203">
        <v>0</v>
      </c>
      <c r="AL71" s="203">
        <v>5</v>
      </c>
      <c r="AM71" s="203">
        <v>4</v>
      </c>
      <c r="AN71" s="203">
        <v>4</v>
      </c>
      <c r="AO71" s="203">
        <v>0</v>
      </c>
    </row>
    <row r="72" spans="10:41" ht="16.5" customHeight="1">
      <c r="J72" s="23">
        <v>68</v>
      </c>
      <c r="K72" s="196" t="s">
        <v>97</v>
      </c>
      <c r="L72" s="196" t="s">
        <v>14</v>
      </c>
      <c r="M72" s="196" t="s">
        <v>29</v>
      </c>
      <c r="N72" s="196" t="s">
        <v>30</v>
      </c>
      <c r="O72" s="196" t="s">
        <v>97</v>
      </c>
      <c r="Q72" s="195">
        <v>6</v>
      </c>
      <c r="R72" s="195">
        <v>1</v>
      </c>
      <c r="S72" s="195">
        <v>8</v>
      </c>
      <c r="T72" s="195">
        <v>10</v>
      </c>
      <c r="U72" s="195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201" t="s">
        <v>86</v>
      </c>
      <c r="AD72" s="203">
        <v>0</v>
      </c>
      <c r="AE72" s="203">
        <v>9</v>
      </c>
      <c r="AF72" s="203">
        <v>1</v>
      </c>
      <c r="AG72" s="203">
        <v>5</v>
      </c>
      <c r="AH72" s="203">
        <v>0</v>
      </c>
      <c r="AI72" s="5"/>
      <c r="AJ72" s="201" t="s">
        <v>86</v>
      </c>
      <c r="AK72" s="203">
        <v>0</v>
      </c>
      <c r="AL72" s="203">
        <v>9</v>
      </c>
      <c r="AM72" s="203">
        <v>1</v>
      </c>
      <c r="AN72" s="203">
        <v>5</v>
      </c>
      <c r="AO72" s="203">
        <v>0</v>
      </c>
    </row>
    <row r="73" spans="10:41" ht="16.5" customHeight="1">
      <c r="J73" s="195">
        <v>69</v>
      </c>
      <c r="K73" s="196" t="s">
        <v>30</v>
      </c>
      <c r="L73" s="196" t="s">
        <v>28</v>
      </c>
      <c r="M73" s="196" t="s">
        <v>97</v>
      </c>
      <c r="N73" s="196" t="s">
        <v>97</v>
      </c>
      <c r="O73" s="196" t="s">
        <v>31</v>
      </c>
      <c r="Q73" s="195">
        <v>10</v>
      </c>
      <c r="R73" s="195">
        <v>9</v>
      </c>
      <c r="S73" s="195">
        <v>6</v>
      </c>
      <c r="T73" s="195">
        <v>6</v>
      </c>
      <c r="U73" s="195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201" t="s">
        <v>88</v>
      </c>
      <c r="AD73" s="203">
        <v>0</v>
      </c>
      <c r="AE73" s="203">
        <v>9</v>
      </c>
      <c r="AF73" s="203">
        <v>1</v>
      </c>
      <c r="AG73" s="203">
        <v>5</v>
      </c>
      <c r="AH73" s="203">
        <v>0</v>
      </c>
      <c r="AI73" s="5"/>
      <c r="AJ73" s="201" t="s">
        <v>88</v>
      </c>
      <c r="AK73" s="203">
        <v>0</v>
      </c>
      <c r="AL73" s="203">
        <v>9</v>
      </c>
      <c r="AM73" s="203">
        <v>1</v>
      </c>
      <c r="AN73" s="203">
        <v>5</v>
      </c>
      <c r="AO73" s="203">
        <v>0</v>
      </c>
    </row>
    <row r="74" spans="10:41" ht="16.5" customHeight="1">
      <c r="J74" s="23">
        <v>70</v>
      </c>
      <c r="K74" s="196" t="s">
        <v>29</v>
      </c>
      <c r="L74" s="196" t="s">
        <v>28</v>
      </c>
      <c r="M74" s="196" t="s">
        <v>31</v>
      </c>
      <c r="N74" s="196" t="s">
        <v>16</v>
      </c>
      <c r="O74" s="196" t="s">
        <v>12</v>
      </c>
      <c r="Q74" s="195">
        <v>8</v>
      </c>
      <c r="R74" s="195">
        <v>9</v>
      </c>
      <c r="S74" s="195">
        <v>7</v>
      </c>
      <c r="T74" s="195">
        <v>3</v>
      </c>
      <c r="U74" s="195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3">
        <v>200</v>
      </c>
      <c r="AE74" s="103">
        <v>209</v>
      </c>
      <c r="AF74" s="103">
        <v>209</v>
      </c>
      <c r="AG74" s="103">
        <v>209</v>
      </c>
      <c r="AH74" s="103">
        <v>200</v>
      </c>
      <c r="AI74" s="5"/>
      <c r="AK74" s="103">
        <v>200</v>
      </c>
      <c r="AL74" s="103">
        <v>209</v>
      </c>
      <c r="AM74" s="103">
        <v>209</v>
      </c>
      <c r="AN74" s="103">
        <v>209</v>
      </c>
      <c r="AO74" s="103">
        <v>200</v>
      </c>
    </row>
    <row r="75" spans="10:41" ht="16.5" customHeight="1">
      <c r="J75" s="195">
        <v>71</v>
      </c>
      <c r="K75" s="196" t="s">
        <v>13</v>
      </c>
      <c r="L75" s="196" t="s">
        <v>16</v>
      </c>
      <c r="M75" s="196" t="s">
        <v>97</v>
      </c>
      <c r="N75" s="196" t="s">
        <v>14</v>
      </c>
      <c r="O75" s="196" t="s">
        <v>30</v>
      </c>
      <c r="Q75" s="195">
        <v>5</v>
      </c>
      <c r="R75" s="195">
        <v>3</v>
      </c>
      <c r="S75" s="195">
        <v>6</v>
      </c>
      <c r="T75" s="195">
        <v>1</v>
      </c>
      <c r="U75" s="195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6" t="s">
        <v>28</v>
      </c>
      <c r="L76" s="196" t="s">
        <v>16</v>
      </c>
      <c r="M76" s="196" t="s">
        <v>82</v>
      </c>
      <c r="N76" s="196" t="s">
        <v>79</v>
      </c>
      <c r="O76" s="196" t="s">
        <v>31</v>
      </c>
      <c r="Q76" s="195">
        <v>9</v>
      </c>
      <c r="R76" s="195">
        <v>3</v>
      </c>
      <c r="S76" s="195">
        <v>14</v>
      </c>
      <c r="T76" s="195">
        <v>11</v>
      </c>
      <c r="U76" s="195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5">
        <v>73</v>
      </c>
      <c r="K77" s="196" t="s">
        <v>13</v>
      </c>
      <c r="L77" s="196" t="s">
        <v>82</v>
      </c>
      <c r="M77" s="196" t="s">
        <v>13</v>
      </c>
      <c r="N77" s="196" t="s">
        <v>15</v>
      </c>
      <c r="O77" s="196" t="s">
        <v>12</v>
      </c>
      <c r="Q77" s="195">
        <v>5</v>
      </c>
      <c r="R77" s="195">
        <v>14</v>
      </c>
      <c r="S77" s="195">
        <v>5</v>
      </c>
      <c r="T77" s="195">
        <v>2</v>
      </c>
      <c r="U77" s="195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6" t="s">
        <v>31</v>
      </c>
      <c r="L78" s="196" t="s">
        <v>15</v>
      </c>
      <c r="M78" s="196" t="s">
        <v>97</v>
      </c>
      <c r="N78" s="196" t="s">
        <v>28</v>
      </c>
      <c r="O78" s="196" t="s">
        <v>30</v>
      </c>
      <c r="Q78" s="195">
        <v>7</v>
      </c>
      <c r="R78" s="195">
        <v>2</v>
      </c>
      <c r="S78" s="195">
        <v>6</v>
      </c>
      <c r="T78" s="195">
        <v>9</v>
      </c>
      <c r="U78" s="195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5">
        <v>75</v>
      </c>
      <c r="K79" s="196" t="s">
        <v>31</v>
      </c>
      <c r="L79" s="196" t="s">
        <v>30</v>
      </c>
      <c r="M79" s="196" t="s">
        <v>31</v>
      </c>
      <c r="N79" s="196" t="s">
        <v>81</v>
      </c>
      <c r="O79" s="196" t="s">
        <v>31</v>
      </c>
      <c r="Q79" s="195">
        <v>7</v>
      </c>
      <c r="R79" s="195">
        <v>10</v>
      </c>
      <c r="S79" s="195">
        <v>7</v>
      </c>
      <c r="T79" s="195">
        <v>13</v>
      </c>
      <c r="U79" s="195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6" t="s">
        <v>29</v>
      </c>
      <c r="L80" s="196" t="s">
        <v>15</v>
      </c>
      <c r="M80" s="196" t="s">
        <v>30</v>
      </c>
      <c r="N80" s="196" t="s">
        <v>31</v>
      </c>
      <c r="O80" s="196" t="s">
        <v>13</v>
      </c>
      <c r="Q80" s="195">
        <v>8</v>
      </c>
      <c r="R80" s="195">
        <v>2</v>
      </c>
      <c r="S80" s="195">
        <v>10</v>
      </c>
      <c r="T80" s="195">
        <v>7</v>
      </c>
      <c r="U80" s="195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5">
        <v>77</v>
      </c>
      <c r="K81" s="196" t="s">
        <v>31</v>
      </c>
      <c r="L81" s="196" t="s">
        <v>97</v>
      </c>
      <c r="M81" s="196" t="s">
        <v>13</v>
      </c>
      <c r="N81" s="196" t="s">
        <v>29</v>
      </c>
      <c r="O81" s="196" t="s">
        <v>31</v>
      </c>
      <c r="Q81" s="195">
        <v>7</v>
      </c>
      <c r="R81" s="195">
        <v>6</v>
      </c>
      <c r="S81" s="195">
        <v>5</v>
      </c>
      <c r="T81" s="195">
        <v>8</v>
      </c>
      <c r="U81" s="195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6" t="s">
        <v>13</v>
      </c>
      <c r="L82" s="196" t="s">
        <v>80</v>
      </c>
      <c r="M82" s="196" t="s">
        <v>29</v>
      </c>
      <c r="N82" s="196" t="s">
        <v>12</v>
      </c>
      <c r="O82" s="196" t="s">
        <v>13</v>
      </c>
      <c r="Q82" s="195">
        <v>5</v>
      </c>
      <c r="R82" s="195">
        <v>12</v>
      </c>
      <c r="S82" s="195">
        <v>8</v>
      </c>
      <c r="T82" s="195">
        <v>4</v>
      </c>
      <c r="U82" s="195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5">
        <v>79</v>
      </c>
      <c r="K83" s="196" t="s">
        <v>97</v>
      </c>
      <c r="L83" s="196" t="s">
        <v>30</v>
      </c>
      <c r="M83" s="196" t="s">
        <v>97</v>
      </c>
      <c r="N83" s="196" t="s">
        <v>16</v>
      </c>
      <c r="O83" s="196" t="s">
        <v>15</v>
      </c>
      <c r="Q83" s="195">
        <v>6</v>
      </c>
      <c r="R83" s="195">
        <v>10</v>
      </c>
      <c r="S83" s="195">
        <v>6</v>
      </c>
      <c r="T83" s="195">
        <v>3</v>
      </c>
      <c r="U83" s="195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6" t="s">
        <v>29</v>
      </c>
      <c r="L84" s="196" t="s">
        <v>30</v>
      </c>
      <c r="M84" s="196" t="s">
        <v>95</v>
      </c>
      <c r="N84" s="196" t="s">
        <v>14</v>
      </c>
      <c r="O84" s="196" t="s">
        <v>30</v>
      </c>
      <c r="Q84" s="195">
        <v>8</v>
      </c>
      <c r="R84" s="195">
        <v>10</v>
      </c>
      <c r="S84" s="195">
        <v>17</v>
      </c>
      <c r="T84" s="195">
        <v>1</v>
      </c>
      <c r="U84" s="195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5">
        <v>81</v>
      </c>
      <c r="K85" s="196" t="s">
        <v>31</v>
      </c>
      <c r="L85" s="196" t="s">
        <v>31</v>
      </c>
      <c r="M85" s="196" t="s">
        <v>31</v>
      </c>
      <c r="N85" s="196" t="s">
        <v>31</v>
      </c>
      <c r="O85" s="196" t="s">
        <v>29</v>
      </c>
      <c r="Q85" s="195">
        <v>7</v>
      </c>
      <c r="R85" s="195">
        <v>7</v>
      </c>
      <c r="S85" s="195">
        <v>7</v>
      </c>
      <c r="T85" s="195">
        <v>7</v>
      </c>
      <c r="U85" s="195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6" t="s">
        <v>12</v>
      </c>
      <c r="L86" s="196" t="s">
        <v>13</v>
      </c>
      <c r="M86" s="196" t="s">
        <v>12</v>
      </c>
      <c r="N86" s="196" t="s">
        <v>31</v>
      </c>
      <c r="O86" s="196" t="s">
        <v>15</v>
      </c>
      <c r="Q86" s="195">
        <v>4</v>
      </c>
      <c r="R86" s="195">
        <v>5</v>
      </c>
      <c r="S86" s="195">
        <v>4</v>
      </c>
      <c r="T86" s="195">
        <v>7</v>
      </c>
      <c r="U86" s="195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5">
        <v>83</v>
      </c>
      <c r="K87" s="196" t="s">
        <v>97</v>
      </c>
      <c r="L87" s="196" t="s">
        <v>16</v>
      </c>
      <c r="M87" s="196" t="s">
        <v>13</v>
      </c>
      <c r="N87" s="196" t="s">
        <v>13</v>
      </c>
      <c r="O87" s="196" t="s">
        <v>16</v>
      </c>
      <c r="Q87" s="195">
        <v>6</v>
      </c>
      <c r="R87" s="195">
        <v>3</v>
      </c>
      <c r="S87" s="195">
        <v>5</v>
      </c>
      <c r="T87" s="195">
        <v>5</v>
      </c>
      <c r="U87" s="195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6" t="s">
        <v>97</v>
      </c>
      <c r="L88" s="196" t="s">
        <v>28</v>
      </c>
      <c r="M88" s="196" t="s">
        <v>29</v>
      </c>
      <c r="N88" s="196" t="s">
        <v>16</v>
      </c>
      <c r="O88" s="196" t="s">
        <v>12</v>
      </c>
      <c r="Q88" s="195">
        <v>6</v>
      </c>
      <c r="R88" s="195">
        <v>9</v>
      </c>
      <c r="S88" s="195">
        <v>8</v>
      </c>
      <c r="T88" s="195">
        <v>3</v>
      </c>
      <c r="U88" s="195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5">
        <v>85</v>
      </c>
      <c r="K89" s="196" t="s">
        <v>14</v>
      </c>
      <c r="L89" s="196" t="s">
        <v>79</v>
      </c>
      <c r="M89" s="196" t="s">
        <v>29</v>
      </c>
      <c r="N89" s="196" t="s">
        <v>16</v>
      </c>
      <c r="O89" s="196" t="s">
        <v>29</v>
      </c>
      <c r="Q89" s="195">
        <v>1</v>
      </c>
      <c r="R89" s="195">
        <v>11</v>
      </c>
      <c r="S89" s="195">
        <v>8</v>
      </c>
      <c r="T89" s="195">
        <v>3</v>
      </c>
      <c r="U89" s="195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6" t="s">
        <v>29</v>
      </c>
      <c r="L90" s="196" t="s">
        <v>16</v>
      </c>
      <c r="M90" s="196" t="s">
        <v>29</v>
      </c>
      <c r="N90" s="196" t="s">
        <v>16</v>
      </c>
      <c r="O90" s="196" t="s">
        <v>12</v>
      </c>
      <c r="Q90" s="195">
        <v>8</v>
      </c>
      <c r="R90" s="195">
        <v>3</v>
      </c>
      <c r="S90" s="195">
        <v>8</v>
      </c>
      <c r="T90" s="195">
        <v>3</v>
      </c>
      <c r="U90" s="195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5">
        <v>87</v>
      </c>
      <c r="K91" s="196" t="s">
        <v>31</v>
      </c>
      <c r="L91" s="196" t="s">
        <v>14</v>
      </c>
      <c r="M91" s="196" t="s">
        <v>31</v>
      </c>
      <c r="N91" s="196" t="s">
        <v>80</v>
      </c>
      <c r="O91" s="196" t="s">
        <v>12</v>
      </c>
      <c r="Q91" s="195">
        <v>7</v>
      </c>
      <c r="R91" s="195">
        <v>1</v>
      </c>
      <c r="S91" s="195">
        <v>7</v>
      </c>
      <c r="T91" s="195">
        <v>12</v>
      </c>
      <c r="U91" s="195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6" t="s">
        <v>13</v>
      </c>
      <c r="L92" s="196" t="s">
        <v>13</v>
      </c>
      <c r="M92" s="196" t="s">
        <v>97</v>
      </c>
      <c r="N92" s="196" t="s">
        <v>28</v>
      </c>
      <c r="O92" s="196" t="s">
        <v>13</v>
      </c>
      <c r="Q92" s="195">
        <v>5</v>
      </c>
      <c r="R92" s="195">
        <v>5</v>
      </c>
      <c r="S92" s="195">
        <v>6</v>
      </c>
      <c r="T92" s="195">
        <v>9</v>
      </c>
      <c r="U92" s="195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5">
        <v>89</v>
      </c>
      <c r="K93" s="196" t="s">
        <v>13</v>
      </c>
      <c r="L93" s="196" t="s">
        <v>13</v>
      </c>
      <c r="M93" s="196" t="s">
        <v>14</v>
      </c>
      <c r="N93" s="196" t="s">
        <v>30</v>
      </c>
      <c r="O93" s="196" t="s">
        <v>13</v>
      </c>
      <c r="Q93" s="195">
        <v>5</v>
      </c>
      <c r="R93" s="195">
        <v>5</v>
      </c>
      <c r="S93" s="195">
        <v>1</v>
      </c>
      <c r="T93" s="195">
        <v>10</v>
      </c>
      <c r="U93" s="195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6" t="s">
        <v>97</v>
      </c>
      <c r="L94" s="196" t="s">
        <v>30</v>
      </c>
      <c r="M94" s="196" t="s">
        <v>83</v>
      </c>
      <c r="N94" s="196" t="s">
        <v>12</v>
      </c>
      <c r="O94" s="196" t="s">
        <v>14</v>
      </c>
      <c r="Q94" s="195">
        <v>6</v>
      </c>
      <c r="R94" s="195">
        <v>10</v>
      </c>
      <c r="S94" s="195">
        <v>16</v>
      </c>
      <c r="T94" s="195">
        <v>4</v>
      </c>
      <c r="U94" s="195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5">
        <v>91</v>
      </c>
      <c r="K95" s="196" t="s">
        <v>13</v>
      </c>
      <c r="L95" s="196" t="s">
        <v>16</v>
      </c>
      <c r="M95" s="196" t="s">
        <v>29</v>
      </c>
      <c r="N95" s="196" t="s">
        <v>12</v>
      </c>
      <c r="O95" s="196" t="s">
        <v>16</v>
      </c>
      <c r="Q95" s="195">
        <v>5</v>
      </c>
      <c r="R95" s="195">
        <v>3</v>
      </c>
      <c r="S95" s="195">
        <v>8</v>
      </c>
      <c r="T95" s="195">
        <v>4</v>
      </c>
      <c r="U95" s="195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6" t="s">
        <v>29</v>
      </c>
      <c r="L96" s="196" t="s">
        <v>79</v>
      </c>
      <c r="M96" s="196" t="s">
        <v>97</v>
      </c>
      <c r="N96" s="196" t="s">
        <v>28</v>
      </c>
      <c r="O96" s="196" t="s">
        <v>16</v>
      </c>
      <c r="Q96" s="195">
        <v>8</v>
      </c>
      <c r="R96" s="195">
        <v>11</v>
      </c>
      <c r="S96" s="195">
        <v>6</v>
      </c>
      <c r="T96" s="195">
        <v>9</v>
      </c>
      <c r="U96" s="195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5">
        <v>93</v>
      </c>
      <c r="K97" s="196" t="s">
        <v>15</v>
      </c>
      <c r="L97" s="196" t="s">
        <v>30</v>
      </c>
      <c r="M97" s="196" t="s">
        <v>31</v>
      </c>
      <c r="N97" s="196" t="s">
        <v>95</v>
      </c>
      <c r="O97" s="196" t="s">
        <v>31</v>
      </c>
      <c r="Q97" s="195">
        <v>2</v>
      </c>
      <c r="R97" s="195">
        <v>10</v>
      </c>
      <c r="S97" s="195">
        <v>7</v>
      </c>
      <c r="T97" s="195">
        <v>17</v>
      </c>
      <c r="U97" s="195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6" t="s">
        <v>13</v>
      </c>
      <c r="L98" s="196" t="s">
        <v>80</v>
      </c>
      <c r="M98" s="196" t="s">
        <v>13</v>
      </c>
      <c r="N98" s="196" t="s">
        <v>15</v>
      </c>
      <c r="O98" s="196" t="s">
        <v>30</v>
      </c>
      <c r="Q98" s="195">
        <v>5</v>
      </c>
      <c r="R98" s="195">
        <v>12</v>
      </c>
      <c r="S98" s="195">
        <v>5</v>
      </c>
      <c r="T98" s="195">
        <v>2</v>
      </c>
      <c r="U98" s="195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5">
        <v>95</v>
      </c>
      <c r="K99" s="196" t="s">
        <v>13</v>
      </c>
      <c r="L99" s="196" t="s">
        <v>15</v>
      </c>
      <c r="M99" s="196" t="s">
        <v>28</v>
      </c>
      <c r="N99" s="196" t="s">
        <v>30</v>
      </c>
      <c r="O99" s="196" t="s">
        <v>13</v>
      </c>
      <c r="Q99" s="195">
        <v>5</v>
      </c>
      <c r="R99" s="195">
        <v>2</v>
      </c>
      <c r="S99" s="195">
        <v>9</v>
      </c>
      <c r="T99" s="195">
        <v>10</v>
      </c>
      <c r="U99" s="195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6" t="s">
        <v>31</v>
      </c>
      <c r="L100" s="196" t="s">
        <v>13</v>
      </c>
      <c r="M100" s="196" t="s">
        <v>29</v>
      </c>
      <c r="N100" s="196" t="s">
        <v>15</v>
      </c>
      <c r="O100" s="196" t="s">
        <v>15</v>
      </c>
      <c r="Q100" s="195">
        <v>7</v>
      </c>
      <c r="R100" s="195">
        <v>5</v>
      </c>
      <c r="S100" s="195">
        <v>8</v>
      </c>
      <c r="T100" s="195">
        <v>2</v>
      </c>
      <c r="U100" s="195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5">
        <v>97</v>
      </c>
      <c r="K101" s="196" t="s">
        <v>29</v>
      </c>
      <c r="L101" s="196" t="s">
        <v>13</v>
      </c>
      <c r="M101" s="196" t="s">
        <v>13</v>
      </c>
      <c r="N101" s="196" t="s">
        <v>15</v>
      </c>
      <c r="O101" s="196" t="s">
        <v>15</v>
      </c>
      <c r="Q101" s="195">
        <v>8</v>
      </c>
      <c r="R101" s="195">
        <v>5</v>
      </c>
      <c r="S101" s="195">
        <v>5</v>
      </c>
      <c r="T101" s="195">
        <v>2</v>
      </c>
      <c r="U101" s="195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6" t="s">
        <v>14</v>
      </c>
      <c r="L102" s="196" t="s">
        <v>79</v>
      </c>
      <c r="M102" s="196" t="s">
        <v>13</v>
      </c>
      <c r="N102" s="196" t="s">
        <v>13</v>
      </c>
      <c r="O102" s="196" t="s">
        <v>97</v>
      </c>
      <c r="Q102" s="195">
        <v>1</v>
      </c>
      <c r="R102" s="195">
        <v>11</v>
      </c>
      <c r="S102" s="195">
        <v>5</v>
      </c>
      <c r="T102" s="195">
        <v>5</v>
      </c>
      <c r="U102" s="195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5">
        <v>99</v>
      </c>
      <c r="K103" s="196" t="s">
        <v>97</v>
      </c>
      <c r="L103" s="196" t="s">
        <v>98</v>
      </c>
      <c r="M103" s="196" t="s">
        <v>29</v>
      </c>
      <c r="N103" s="196" t="s">
        <v>28</v>
      </c>
      <c r="O103" s="196" t="s">
        <v>28</v>
      </c>
      <c r="Q103" s="195">
        <v>6</v>
      </c>
      <c r="R103" s="195">
        <v>15</v>
      </c>
      <c r="S103" s="195">
        <v>8</v>
      </c>
      <c r="T103" s="195">
        <v>9</v>
      </c>
      <c r="U103" s="195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6" t="s">
        <v>97</v>
      </c>
      <c r="L104" s="196" t="s">
        <v>12</v>
      </c>
      <c r="M104" s="196" t="s">
        <v>31</v>
      </c>
      <c r="N104" s="196" t="s">
        <v>31</v>
      </c>
      <c r="O104" s="196" t="s">
        <v>12</v>
      </c>
      <c r="Q104" s="195">
        <v>6</v>
      </c>
      <c r="R104" s="195">
        <v>4</v>
      </c>
      <c r="S104" s="195">
        <v>7</v>
      </c>
      <c r="T104" s="195">
        <v>7</v>
      </c>
      <c r="U104" s="195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6" t="s">
        <v>28</v>
      </c>
      <c r="L105" s="196" t="s">
        <v>97</v>
      </c>
      <c r="M105" s="196" t="s">
        <v>31</v>
      </c>
      <c r="N105" s="196" t="s">
        <v>29</v>
      </c>
      <c r="O105" s="196" t="s">
        <v>13</v>
      </c>
      <c r="Q105" s="195">
        <v>9</v>
      </c>
      <c r="R105" s="195">
        <v>6</v>
      </c>
      <c r="S105" s="195">
        <v>7</v>
      </c>
      <c r="T105" s="195">
        <v>8</v>
      </c>
      <c r="U105" s="195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5">
        <v>102</v>
      </c>
      <c r="K106" s="196" t="s">
        <v>12</v>
      </c>
      <c r="L106" s="196" t="s">
        <v>97</v>
      </c>
      <c r="M106" s="196" t="s">
        <v>97</v>
      </c>
      <c r="N106" s="196" t="s">
        <v>29</v>
      </c>
      <c r="O106" s="196" t="s">
        <v>28</v>
      </c>
      <c r="Q106" s="195">
        <v>4</v>
      </c>
      <c r="R106" s="195">
        <v>6</v>
      </c>
      <c r="S106" s="195">
        <v>6</v>
      </c>
      <c r="T106" s="195">
        <v>8</v>
      </c>
      <c r="U106" s="195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6" t="s">
        <v>29</v>
      </c>
      <c r="L107" s="196" t="s">
        <v>97</v>
      </c>
      <c r="M107" s="196" t="s">
        <v>16</v>
      </c>
      <c r="N107" s="196" t="s">
        <v>13</v>
      </c>
      <c r="O107" s="196" t="s">
        <v>30</v>
      </c>
      <c r="Q107" s="195">
        <v>8</v>
      </c>
      <c r="R107" s="195">
        <v>6</v>
      </c>
      <c r="S107" s="195">
        <v>3</v>
      </c>
      <c r="T107" s="195">
        <v>5</v>
      </c>
      <c r="U107" s="195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5">
        <v>104</v>
      </c>
      <c r="K108" s="196" t="s">
        <v>13</v>
      </c>
      <c r="L108" s="196" t="s">
        <v>30</v>
      </c>
      <c r="M108" s="196" t="s">
        <v>29</v>
      </c>
      <c r="N108" s="196" t="s">
        <v>30</v>
      </c>
      <c r="O108" s="196" t="s">
        <v>30</v>
      </c>
      <c r="Q108" s="195">
        <v>5</v>
      </c>
      <c r="R108" s="195">
        <v>10</v>
      </c>
      <c r="S108" s="195">
        <v>8</v>
      </c>
      <c r="T108" s="195">
        <v>10</v>
      </c>
      <c r="U108" s="195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6" t="s">
        <v>30</v>
      </c>
      <c r="L109" s="196" t="s">
        <v>16</v>
      </c>
      <c r="M109" s="196" t="s">
        <v>31</v>
      </c>
      <c r="N109" s="196" t="s">
        <v>28</v>
      </c>
      <c r="O109" s="196" t="s">
        <v>16</v>
      </c>
      <c r="Q109" s="195">
        <v>10</v>
      </c>
      <c r="R109" s="195">
        <v>3</v>
      </c>
      <c r="S109" s="195">
        <v>7</v>
      </c>
      <c r="T109" s="195">
        <v>9</v>
      </c>
      <c r="U109" s="195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5">
        <v>106</v>
      </c>
      <c r="K110" s="196" t="s">
        <v>29</v>
      </c>
      <c r="L110" s="196" t="s">
        <v>12</v>
      </c>
      <c r="M110" s="196" t="s">
        <v>13</v>
      </c>
      <c r="N110" s="196" t="s">
        <v>14</v>
      </c>
      <c r="O110" s="196" t="s">
        <v>28</v>
      </c>
      <c r="Q110" s="195">
        <v>8</v>
      </c>
      <c r="R110" s="195">
        <v>4</v>
      </c>
      <c r="S110" s="195">
        <v>5</v>
      </c>
      <c r="T110" s="195">
        <v>1</v>
      </c>
      <c r="U110" s="195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6" t="s">
        <v>29</v>
      </c>
      <c r="L111" s="196" t="s">
        <v>88</v>
      </c>
      <c r="M111" s="196" t="s">
        <v>14</v>
      </c>
      <c r="N111" s="196" t="s">
        <v>97</v>
      </c>
      <c r="O111" s="196" t="s">
        <v>12</v>
      </c>
      <c r="Q111" s="195">
        <v>8</v>
      </c>
      <c r="R111" s="195">
        <v>19</v>
      </c>
      <c r="S111" s="195">
        <v>1</v>
      </c>
      <c r="T111" s="195">
        <v>6</v>
      </c>
      <c r="U111" s="195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5">
        <v>108</v>
      </c>
      <c r="K112" s="196" t="s">
        <v>29</v>
      </c>
      <c r="L112" s="196" t="s">
        <v>86</v>
      </c>
      <c r="M112" s="196" t="s">
        <v>98</v>
      </c>
      <c r="N112" s="196" t="s">
        <v>15</v>
      </c>
      <c r="O112" s="196" t="s">
        <v>16</v>
      </c>
      <c r="Q112" s="195">
        <v>8</v>
      </c>
      <c r="R112" s="195">
        <v>18</v>
      </c>
      <c r="S112" s="195">
        <v>15</v>
      </c>
      <c r="T112" s="195">
        <v>2</v>
      </c>
      <c r="U112" s="195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6" t="s">
        <v>31</v>
      </c>
      <c r="L113" s="196" t="s">
        <v>97</v>
      </c>
      <c r="M113" s="196" t="s">
        <v>83</v>
      </c>
      <c r="N113" s="196" t="s">
        <v>15</v>
      </c>
      <c r="O113" s="196" t="s">
        <v>15</v>
      </c>
      <c r="Q113" s="195">
        <v>7</v>
      </c>
      <c r="R113" s="195">
        <v>6</v>
      </c>
      <c r="S113" s="195">
        <v>16</v>
      </c>
      <c r="T113" s="195">
        <v>2</v>
      </c>
      <c r="U113" s="195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5">
        <v>110</v>
      </c>
      <c r="K114" s="196" t="s">
        <v>97</v>
      </c>
      <c r="L114" s="196" t="s">
        <v>95</v>
      </c>
      <c r="M114" s="196" t="s">
        <v>29</v>
      </c>
      <c r="N114" s="196" t="s">
        <v>15</v>
      </c>
      <c r="O114" s="196" t="s">
        <v>13</v>
      </c>
      <c r="Q114" s="195">
        <v>6</v>
      </c>
      <c r="R114" s="195">
        <v>17</v>
      </c>
      <c r="S114" s="195">
        <v>8</v>
      </c>
      <c r="T114" s="195">
        <v>2</v>
      </c>
      <c r="U114" s="195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6" t="s">
        <v>13</v>
      </c>
      <c r="L115" s="196" t="s">
        <v>29</v>
      </c>
      <c r="M115" s="196" t="s">
        <v>13</v>
      </c>
      <c r="N115" s="196" t="s">
        <v>30</v>
      </c>
      <c r="O115" s="196" t="s">
        <v>13</v>
      </c>
      <c r="Q115" s="195">
        <v>5</v>
      </c>
      <c r="R115" s="195">
        <v>8</v>
      </c>
      <c r="S115" s="195">
        <v>5</v>
      </c>
      <c r="T115" s="195">
        <v>10</v>
      </c>
      <c r="U115" s="195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5">
        <v>112</v>
      </c>
      <c r="K116" s="196" t="s">
        <v>31</v>
      </c>
      <c r="L116" s="196" t="s">
        <v>28</v>
      </c>
      <c r="M116" s="196" t="s">
        <v>97</v>
      </c>
      <c r="N116" s="196" t="s">
        <v>29</v>
      </c>
      <c r="O116" s="196" t="s">
        <v>31</v>
      </c>
      <c r="Q116" s="195">
        <v>7</v>
      </c>
      <c r="R116" s="195">
        <v>9</v>
      </c>
      <c r="S116" s="195">
        <v>6</v>
      </c>
      <c r="T116" s="195">
        <v>8</v>
      </c>
      <c r="U116" s="195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6" t="s">
        <v>97</v>
      </c>
      <c r="L117" s="196" t="s">
        <v>28</v>
      </c>
      <c r="M117" s="196" t="s">
        <v>95</v>
      </c>
      <c r="N117" s="196" t="s">
        <v>30</v>
      </c>
      <c r="O117" s="196" t="s">
        <v>16</v>
      </c>
      <c r="Q117" s="195">
        <v>6</v>
      </c>
      <c r="R117" s="195">
        <v>9</v>
      </c>
      <c r="S117" s="195">
        <v>17</v>
      </c>
      <c r="T117" s="195">
        <v>10</v>
      </c>
      <c r="U117" s="195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5">
        <v>114</v>
      </c>
      <c r="K118" s="196" t="s">
        <v>29</v>
      </c>
      <c r="L118" s="196" t="s">
        <v>81</v>
      </c>
      <c r="M118" s="196" t="s">
        <v>31</v>
      </c>
      <c r="N118" s="196" t="s">
        <v>16</v>
      </c>
      <c r="O118" s="196" t="s">
        <v>97</v>
      </c>
      <c r="Q118" s="195">
        <v>8</v>
      </c>
      <c r="R118" s="195">
        <v>13</v>
      </c>
      <c r="S118" s="195">
        <v>7</v>
      </c>
      <c r="T118" s="195">
        <v>3</v>
      </c>
      <c r="U118" s="195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6" t="s">
        <v>31</v>
      </c>
      <c r="L119" s="196" t="s">
        <v>29</v>
      </c>
      <c r="M119" s="196" t="s">
        <v>97</v>
      </c>
      <c r="N119" s="196" t="s">
        <v>13</v>
      </c>
      <c r="O119" s="196" t="s">
        <v>14</v>
      </c>
      <c r="Q119" s="195">
        <v>7</v>
      </c>
      <c r="R119" s="195">
        <v>8</v>
      </c>
      <c r="S119" s="195">
        <v>6</v>
      </c>
      <c r="T119" s="195">
        <v>5</v>
      </c>
      <c r="U119" s="195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5">
        <v>116</v>
      </c>
      <c r="K120" s="196" t="s">
        <v>13</v>
      </c>
      <c r="L120" s="196" t="s">
        <v>29</v>
      </c>
      <c r="M120" s="196" t="s">
        <v>82</v>
      </c>
      <c r="N120" s="196" t="s">
        <v>14</v>
      </c>
      <c r="O120" s="196" t="s">
        <v>31</v>
      </c>
      <c r="Q120" s="195">
        <v>5</v>
      </c>
      <c r="R120" s="195">
        <v>8</v>
      </c>
      <c r="S120" s="195">
        <v>14</v>
      </c>
      <c r="T120" s="195">
        <v>1</v>
      </c>
      <c r="U120" s="195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6" t="s">
        <v>31</v>
      </c>
      <c r="L121" s="196" t="s">
        <v>13</v>
      </c>
      <c r="M121" s="196" t="s">
        <v>97</v>
      </c>
      <c r="N121" s="196" t="s">
        <v>12</v>
      </c>
      <c r="O121" s="196" t="s">
        <v>16</v>
      </c>
      <c r="Q121" s="195">
        <v>7</v>
      </c>
      <c r="R121" s="195">
        <v>5</v>
      </c>
      <c r="S121" s="195">
        <v>6</v>
      </c>
      <c r="T121" s="195">
        <v>4</v>
      </c>
      <c r="U121" s="195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5">
        <v>118</v>
      </c>
      <c r="K122" s="196" t="s">
        <v>31</v>
      </c>
      <c r="L122" s="196" t="s">
        <v>13</v>
      </c>
      <c r="M122" s="196" t="s">
        <v>31</v>
      </c>
      <c r="N122" s="196" t="s">
        <v>31</v>
      </c>
      <c r="O122" s="196" t="s">
        <v>15</v>
      </c>
      <c r="Q122" s="195">
        <v>7</v>
      </c>
      <c r="R122" s="195">
        <v>5</v>
      </c>
      <c r="S122" s="195">
        <v>7</v>
      </c>
      <c r="T122" s="195">
        <v>7</v>
      </c>
      <c r="U122" s="195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6" t="s">
        <v>13</v>
      </c>
      <c r="L123" s="196" t="s">
        <v>13</v>
      </c>
      <c r="M123" s="196" t="s">
        <v>31</v>
      </c>
      <c r="N123" s="196" t="s">
        <v>31</v>
      </c>
      <c r="O123" s="196" t="s">
        <v>16</v>
      </c>
      <c r="Q123" s="195">
        <v>5</v>
      </c>
      <c r="R123" s="195">
        <v>5</v>
      </c>
      <c r="S123" s="195">
        <v>7</v>
      </c>
      <c r="T123" s="195">
        <v>7</v>
      </c>
      <c r="U123" s="195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5">
        <v>120</v>
      </c>
      <c r="K124" s="196" t="s">
        <v>13</v>
      </c>
      <c r="L124" s="196" t="s">
        <v>30</v>
      </c>
      <c r="M124" s="196" t="s">
        <v>97</v>
      </c>
      <c r="N124" s="196" t="s">
        <v>28</v>
      </c>
      <c r="O124" s="196" t="s">
        <v>12</v>
      </c>
      <c r="Q124" s="195">
        <v>5</v>
      </c>
      <c r="R124" s="195">
        <v>10</v>
      </c>
      <c r="S124" s="195">
        <v>6</v>
      </c>
      <c r="T124" s="195">
        <v>9</v>
      </c>
      <c r="U124" s="195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6" t="s">
        <v>31</v>
      </c>
      <c r="L125" s="196" t="s">
        <v>16</v>
      </c>
      <c r="M125" s="196" t="s">
        <v>97</v>
      </c>
      <c r="N125" s="196" t="s">
        <v>16</v>
      </c>
      <c r="O125" s="196" t="s">
        <v>13</v>
      </c>
      <c r="Q125" s="195">
        <v>7</v>
      </c>
      <c r="R125" s="195">
        <v>3</v>
      </c>
      <c r="S125" s="195">
        <v>6</v>
      </c>
      <c r="T125" s="195">
        <v>3</v>
      </c>
      <c r="U125" s="195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5">
        <v>122</v>
      </c>
      <c r="K126" s="196" t="s">
        <v>97</v>
      </c>
      <c r="L126" s="196" t="s">
        <v>28</v>
      </c>
      <c r="M126" s="196" t="s">
        <v>14</v>
      </c>
      <c r="N126" s="196" t="s">
        <v>81</v>
      </c>
      <c r="O126" s="196" t="s">
        <v>28</v>
      </c>
      <c r="Q126" s="195">
        <v>6</v>
      </c>
      <c r="R126" s="195">
        <v>9</v>
      </c>
      <c r="S126" s="195">
        <v>1</v>
      </c>
      <c r="T126" s="195">
        <v>13</v>
      </c>
      <c r="U126" s="195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6" t="s">
        <v>29</v>
      </c>
      <c r="L127" s="196" t="s">
        <v>30</v>
      </c>
      <c r="M127" s="196" t="s">
        <v>29</v>
      </c>
      <c r="N127" s="196" t="s">
        <v>80</v>
      </c>
      <c r="O127" s="196" t="s">
        <v>16</v>
      </c>
      <c r="Q127" s="195">
        <v>8</v>
      </c>
      <c r="R127" s="195">
        <v>10</v>
      </c>
      <c r="S127" s="195">
        <v>8</v>
      </c>
      <c r="T127" s="195">
        <v>12</v>
      </c>
      <c r="U127" s="195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5">
        <v>124</v>
      </c>
      <c r="K128" s="196" t="s">
        <v>13</v>
      </c>
      <c r="L128" s="196" t="s">
        <v>88</v>
      </c>
      <c r="M128" s="196" t="s">
        <v>15</v>
      </c>
      <c r="N128" s="196" t="s">
        <v>30</v>
      </c>
      <c r="O128" s="196" t="s">
        <v>30</v>
      </c>
      <c r="Q128" s="195">
        <v>5</v>
      </c>
      <c r="R128" s="195">
        <v>19</v>
      </c>
      <c r="S128" s="195">
        <v>2</v>
      </c>
      <c r="T128" s="195">
        <v>10</v>
      </c>
      <c r="U128" s="195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6" t="s">
        <v>31</v>
      </c>
      <c r="L129" s="196" t="s">
        <v>15</v>
      </c>
      <c r="M129" s="196" t="s">
        <v>13</v>
      </c>
      <c r="N129" s="196" t="s">
        <v>30</v>
      </c>
      <c r="O129" s="196" t="s">
        <v>16</v>
      </c>
      <c r="Q129" s="195">
        <v>7</v>
      </c>
      <c r="R129" s="195">
        <v>2</v>
      </c>
      <c r="S129" s="195">
        <v>5</v>
      </c>
      <c r="T129" s="195">
        <v>10</v>
      </c>
      <c r="U129" s="195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5">
        <v>126</v>
      </c>
      <c r="K130" s="196" t="s">
        <v>29</v>
      </c>
      <c r="L130" s="196" t="s">
        <v>86</v>
      </c>
      <c r="M130" s="196" t="s">
        <v>29</v>
      </c>
      <c r="N130" s="196" t="s">
        <v>30</v>
      </c>
      <c r="O130" s="196" t="s">
        <v>15</v>
      </c>
      <c r="Q130" s="195">
        <v>8</v>
      </c>
      <c r="R130" s="195">
        <v>18</v>
      </c>
      <c r="S130" s="195">
        <v>8</v>
      </c>
      <c r="T130" s="195">
        <v>10</v>
      </c>
      <c r="U130" s="195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6" t="s">
        <v>97</v>
      </c>
      <c r="L131" s="196" t="s">
        <v>12</v>
      </c>
      <c r="M131" s="196" t="s">
        <v>31</v>
      </c>
      <c r="N131" s="196" t="s">
        <v>12</v>
      </c>
      <c r="O131" s="196" t="s">
        <v>12</v>
      </c>
      <c r="Q131" s="195">
        <v>6</v>
      </c>
      <c r="R131" s="195">
        <v>4</v>
      </c>
      <c r="S131" s="195">
        <v>7</v>
      </c>
      <c r="T131" s="195">
        <v>4</v>
      </c>
      <c r="U131" s="195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5">
        <v>128</v>
      </c>
      <c r="K132" s="196" t="s">
        <v>97</v>
      </c>
      <c r="L132" s="196" t="s">
        <v>88</v>
      </c>
      <c r="M132" s="196" t="s">
        <v>31</v>
      </c>
      <c r="N132" s="196" t="s">
        <v>97</v>
      </c>
      <c r="O132" s="196" t="s">
        <v>12</v>
      </c>
      <c r="Q132" s="195">
        <v>6</v>
      </c>
      <c r="R132" s="195">
        <v>19</v>
      </c>
      <c r="S132" s="195">
        <v>7</v>
      </c>
      <c r="T132" s="195">
        <v>6</v>
      </c>
      <c r="U132" s="195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6" t="s">
        <v>13</v>
      </c>
      <c r="L133" s="196" t="s">
        <v>88</v>
      </c>
      <c r="M133" s="196" t="s">
        <v>13</v>
      </c>
      <c r="N133" s="196" t="s">
        <v>30</v>
      </c>
      <c r="O133" s="196" t="s">
        <v>30</v>
      </c>
      <c r="Q133" s="195">
        <v>5</v>
      </c>
      <c r="R133" s="195">
        <v>19</v>
      </c>
      <c r="S133" s="195">
        <v>5</v>
      </c>
      <c r="T133" s="195">
        <v>10</v>
      </c>
      <c r="U133" s="195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5">
        <v>130</v>
      </c>
      <c r="K134" s="196" t="s">
        <v>29</v>
      </c>
      <c r="L134" s="196" t="s">
        <v>15</v>
      </c>
      <c r="M134" s="196" t="s">
        <v>13</v>
      </c>
      <c r="N134" s="196" t="s">
        <v>12</v>
      </c>
      <c r="O134" s="196" t="s">
        <v>28</v>
      </c>
      <c r="Q134" s="195">
        <v>8</v>
      </c>
      <c r="R134" s="195">
        <v>2</v>
      </c>
      <c r="S134" s="195">
        <v>5</v>
      </c>
      <c r="T134" s="195">
        <v>4</v>
      </c>
      <c r="U134" s="195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6" t="s">
        <v>29</v>
      </c>
      <c r="L135" s="196" t="s">
        <v>81</v>
      </c>
      <c r="M135" s="196" t="s">
        <v>31</v>
      </c>
      <c r="N135" s="196" t="s">
        <v>13</v>
      </c>
      <c r="O135" s="196" t="s">
        <v>97</v>
      </c>
      <c r="Q135" s="195">
        <v>8</v>
      </c>
      <c r="R135" s="195">
        <v>13</v>
      </c>
      <c r="S135" s="195">
        <v>7</v>
      </c>
      <c r="T135" s="195">
        <v>5</v>
      </c>
      <c r="U135" s="195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5">
        <v>132</v>
      </c>
      <c r="K136" s="196" t="s">
        <v>31</v>
      </c>
      <c r="L136" s="196" t="s">
        <v>29</v>
      </c>
      <c r="M136" s="196" t="s">
        <v>83</v>
      </c>
      <c r="N136" s="196" t="s">
        <v>80</v>
      </c>
      <c r="O136" s="196" t="s">
        <v>15</v>
      </c>
      <c r="Q136" s="195">
        <v>7</v>
      </c>
      <c r="R136" s="195">
        <v>8</v>
      </c>
      <c r="S136" s="195">
        <v>16</v>
      </c>
      <c r="T136" s="195">
        <v>12</v>
      </c>
      <c r="U136" s="195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6" t="s">
        <v>97</v>
      </c>
      <c r="L137" s="196" t="s">
        <v>12</v>
      </c>
      <c r="M137" s="196" t="s">
        <v>31</v>
      </c>
      <c r="N137" s="196" t="s">
        <v>15</v>
      </c>
      <c r="O137" s="196" t="s">
        <v>13</v>
      </c>
      <c r="Q137" s="195">
        <v>6</v>
      </c>
      <c r="R137" s="195">
        <v>4</v>
      </c>
      <c r="S137" s="195">
        <v>7</v>
      </c>
      <c r="T137" s="195">
        <v>2</v>
      </c>
      <c r="U137" s="195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5">
        <v>134</v>
      </c>
      <c r="K138" s="196" t="s">
        <v>29</v>
      </c>
      <c r="L138" s="196" t="s">
        <v>13</v>
      </c>
      <c r="M138" s="196" t="s">
        <v>13</v>
      </c>
      <c r="N138" s="196" t="s">
        <v>28</v>
      </c>
      <c r="O138" s="196" t="s">
        <v>16</v>
      </c>
      <c r="Q138" s="195">
        <v>8</v>
      </c>
      <c r="R138" s="195">
        <v>5</v>
      </c>
      <c r="S138" s="195">
        <v>5</v>
      </c>
      <c r="T138" s="195">
        <v>9</v>
      </c>
      <c r="U138" s="195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6" t="s">
        <v>31</v>
      </c>
      <c r="L139" s="196" t="s">
        <v>15</v>
      </c>
      <c r="M139" s="196" t="s">
        <v>29</v>
      </c>
      <c r="N139" s="196" t="s">
        <v>86</v>
      </c>
      <c r="O139" s="196" t="s">
        <v>30</v>
      </c>
      <c r="Q139" s="195">
        <v>7</v>
      </c>
      <c r="R139" s="195">
        <v>2</v>
      </c>
      <c r="S139" s="195">
        <v>8</v>
      </c>
      <c r="T139" s="195">
        <v>18</v>
      </c>
      <c r="U139" s="195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5">
        <v>136</v>
      </c>
      <c r="K140" s="196" t="s">
        <v>13</v>
      </c>
      <c r="L140" s="196" t="s">
        <v>31</v>
      </c>
      <c r="M140" s="196" t="s">
        <v>13</v>
      </c>
      <c r="N140" s="196" t="s">
        <v>28</v>
      </c>
      <c r="O140" s="196" t="s">
        <v>31</v>
      </c>
      <c r="Q140" s="195">
        <v>5</v>
      </c>
      <c r="R140" s="195">
        <v>7</v>
      </c>
      <c r="S140" s="195">
        <v>5</v>
      </c>
      <c r="T140" s="195">
        <v>9</v>
      </c>
      <c r="U140" s="195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6" t="s">
        <v>29</v>
      </c>
      <c r="L141" s="196" t="s">
        <v>31</v>
      </c>
      <c r="M141" s="196" t="s">
        <v>97</v>
      </c>
      <c r="N141" s="196" t="s">
        <v>15</v>
      </c>
      <c r="O141" s="196" t="s">
        <v>28</v>
      </c>
      <c r="Q141" s="195">
        <v>8</v>
      </c>
      <c r="R141" s="195">
        <v>7</v>
      </c>
      <c r="S141" s="195">
        <v>6</v>
      </c>
      <c r="T141" s="195">
        <v>2</v>
      </c>
      <c r="U141" s="195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5">
        <v>138</v>
      </c>
      <c r="K142" s="196" t="s">
        <v>31</v>
      </c>
      <c r="L142" s="196" t="s">
        <v>31</v>
      </c>
      <c r="M142" s="196" t="s">
        <v>95</v>
      </c>
      <c r="N142" s="196" t="s">
        <v>97</v>
      </c>
      <c r="O142" s="196" t="s">
        <v>12</v>
      </c>
      <c r="Q142" s="195">
        <v>7</v>
      </c>
      <c r="R142" s="195">
        <v>7</v>
      </c>
      <c r="S142" s="195">
        <v>17</v>
      </c>
      <c r="T142" s="195">
        <v>6</v>
      </c>
      <c r="U142" s="195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6" t="s">
        <v>13</v>
      </c>
      <c r="L143" s="196" t="s">
        <v>16</v>
      </c>
      <c r="M143" s="196" t="s">
        <v>29</v>
      </c>
      <c r="N143" s="196" t="s">
        <v>12</v>
      </c>
      <c r="O143" s="196" t="s">
        <v>31</v>
      </c>
      <c r="Q143" s="195">
        <v>5</v>
      </c>
      <c r="R143" s="195">
        <v>3</v>
      </c>
      <c r="S143" s="195">
        <v>8</v>
      </c>
      <c r="T143" s="195">
        <v>4</v>
      </c>
      <c r="U143" s="195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5">
        <v>140</v>
      </c>
      <c r="K144" s="196" t="s">
        <v>97</v>
      </c>
      <c r="L144" s="196" t="s">
        <v>31</v>
      </c>
      <c r="M144" s="196" t="s">
        <v>13</v>
      </c>
      <c r="N144" s="196" t="s">
        <v>29</v>
      </c>
      <c r="O144" s="196" t="s">
        <v>31</v>
      </c>
      <c r="Q144" s="195">
        <v>6</v>
      </c>
      <c r="R144" s="195">
        <v>7</v>
      </c>
      <c r="S144" s="195">
        <v>5</v>
      </c>
      <c r="T144" s="195">
        <v>8</v>
      </c>
      <c r="U144" s="195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6" t="s">
        <v>31</v>
      </c>
      <c r="L145" s="196" t="s">
        <v>31</v>
      </c>
      <c r="M145" s="196" t="s">
        <v>13</v>
      </c>
      <c r="N145" s="196" t="s">
        <v>31</v>
      </c>
      <c r="O145" s="196" t="s">
        <v>14</v>
      </c>
      <c r="Q145" s="195">
        <v>7</v>
      </c>
      <c r="R145" s="195">
        <v>7</v>
      </c>
      <c r="S145" s="195">
        <v>5</v>
      </c>
      <c r="T145" s="195">
        <v>7</v>
      </c>
      <c r="U145" s="195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5">
        <v>142</v>
      </c>
      <c r="K146" s="196" t="s">
        <v>97</v>
      </c>
      <c r="L146" s="196" t="s">
        <v>97</v>
      </c>
      <c r="M146" s="196" t="s">
        <v>13</v>
      </c>
      <c r="N146" s="196" t="s">
        <v>13</v>
      </c>
      <c r="O146" s="196" t="s">
        <v>97</v>
      </c>
      <c r="Q146" s="195">
        <v>6</v>
      </c>
      <c r="R146" s="195">
        <v>6</v>
      </c>
      <c r="S146" s="195">
        <v>5</v>
      </c>
      <c r="T146" s="195">
        <v>5</v>
      </c>
      <c r="U146" s="195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6" t="s">
        <v>13</v>
      </c>
      <c r="L147" s="196" t="s">
        <v>80</v>
      </c>
      <c r="M147" s="196" t="s">
        <v>97</v>
      </c>
      <c r="N147" s="196" t="s">
        <v>13</v>
      </c>
      <c r="O147" s="196" t="s">
        <v>31</v>
      </c>
      <c r="Q147" s="195">
        <v>5</v>
      </c>
      <c r="R147" s="195">
        <v>12</v>
      </c>
      <c r="S147" s="195">
        <v>6</v>
      </c>
      <c r="T147" s="195">
        <v>5</v>
      </c>
      <c r="U147" s="195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5">
        <v>144</v>
      </c>
      <c r="K148" s="196" t="s">
        <v>31</v>
      </c>
      <c r="L148" s="196" t="s">
        <v>28</v>
      </c>
      <c r="M148" s="196" t="s">
        <v>31</v>
      </c>
      <c r="N148" s="196" t="s">
        <v>31</v>
      </c>
      <c r="O148" s="196" t="s">
        <v>97</v>
      </c>
      <c r="Q148" s="195">
        <v>7</v>
      </c>
      <c r="R148" s="195">
        <v>9</v>
      </c>
      <c r="S148" s="195">
        <v>7</v>
      </c>
      <c r="T148" s="195">
        <v>7</v>
      </c>
      <c r="U148" s="195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6" t="s">
        <v>29</v>
      </c>
      <c r="L149" s="196" t="s">
        <v>14</v>
      </c>
      <c r="M149" s="196" t="s">
        <v>31</v>
      </c>
      <c r="N149" s="196" t="s">
        <v>12</v>
      </c>
      <c r="O149" s="196" t="s">
        <v>16</v>
      </c>
      <c r="Q149" s="195">
        <v>8</v>
      </c>
      <c r="R149" s="195">
        <v>1</v>
      </c>
      <c r="S149" s="195">
        <v>7</v>
      </c>
      <c r="T149" s="195">
        <v>4</v>
      </c>
      <c r="U149" s="195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5">
        <v>146</v>
      </c>
      <c r="K150" s="196" t="s">
        <v>31</v>
      </c>
      <c r="L150" s="196" t="s">
        <v>15</v>
      </c>
      <c r="M150" s="196" t="s">
        <v>31</v>
      </c>
      <c r="N150" s="196" t="s">
        <v>12</v>
      </c>
      <c r="O150" s="196" t="s">
        <v>97</v>
      </c>
      <c r="Q150" s="195">
        <v>7</v>
      </c>
      <c r="R150" s="195">
        <v>2</v>
      </c>
      <c r="S150" s="195">
        <v>7</v>
      </c>
      <c r="T150" s="195">
        <v>4</v>
      </c>
      <c r="U150" s="195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6" t="s">
        <v>97</v>
      </c>
      <c r="L151" s="196" t="s">
        <v>15</v>
      </c>
      <c r="M151" s="196" t="s">
        <v>97</v>
      </c>
      <c r="N151" s="196" t="s">
        <v>12</v>
      </c>
      <c r="O151" s="196" t="s">
        <v>15</v>
      </c>
      <c r="Q151" s="195">
        <v>6</v>
      </c>
      <c r="R151" s="195">
        <v>2</v>
      </c>
      <c r="S151" s="195">
        <v>6</v>
      </c>
      <c r="T151" s="195">
        <v>4</v>
      </c>
      <c r="U151" s="195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5">
        <v>148</v>
      </c>
      <c r="K152" s="196" t="s">
        <v>12</v>
      </c>
      <c r="L152" s="196" t="s">
        <v>16</v>
      </c>
      <c r="M152" s="196" t="s">
        <v>13</v>
      </c>
      <c r="N152" s="196" t="s">
        <v>30</v>
      </c>
      <c r="O152" s="196" t="s">
        <v>14</v>
      </c>
      <c r="Q152" s="195">
        <v>4</v>
      </c>
      <c r="R152" s="195">
        <v>3</v>
      </c>
      <c r="S152" s="195">
        <v>5</v>
      </c>
      <c r="T152" s="195">
        <v>10</v>
      </c>
      <c r="U152" s="195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6" t="s">
        <v>31</v>
      </c>
      <c r="L153" s="196" t="s">
        <v>12</v>
      </c>
      <c r="M153" s="196" t="s">
        <v>16</v>
      </c>
      <c r="N153" s="196" t="s">
        <v>81</v>
      </c>
      <c r="O153" s="196" t="s">
        <v>97</v>
      </c>
      <c r="Q153" s="195">
        <v>7</v>
      </c>
      <c r="R153" s="195">
        <v>4</v>
      </c>
      <c r="S153" s="195">
        <v>3</v>
      </c>
      <c r="T153" s="195">
        <v>13</v>
      </c>
      <c r="U153" s="195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5">
        <v>150</v>
      </c>
      <c r="K154" s="196" t="s">
        <v>31</v>
      </c>
      <c r="L154" s="196" t="s">
        <v>83</v>
      </c>
      <c r="M154" s="196" t="s">
        <v>29</v>
      </c>
      <c r="N154" s="196" t="s">
        <v>28</v>
      </c>
      <c r="O154" s="196" t="s">
        <v>28</v>
      </c>
      <c r="Q154" s="195">
        <v>7</v>
      </c>
      <c r="R154" s="195">
        <v>16</v>
      </c>
      <c r="S154" s="195">
        <v>8</v>
      </c>
      <c r="T154" s="195">
        <v>9</v>
      </c>
      <c r="U154" s="195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6" t="s">
        <v>97</v>
      </c>
      <c r="L155" s="196" t="s">
        <v>12</v>
      </c>
      <c r="M155" s="196" t="s">
        <v>13</v>
      </c>
      <c r="N155" s="196" t="s">
        <v>13</v>
      </c>
      <c r="O155" s="196" t="s">
        <v>28</v>
      </c>
      <c r="Q155" s="195">
        <v>6</v>
      </c>
      <c r="R155" s="195">
        <v>4</v>
      </c>
      <c r="S155" s="195">
        <v>5</v>
      </c>
      <c r="T155" s="195">
        <v>5</v>
      </c>
      <c r="U155" s="195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5">
        <v>152</v>
      </c>
      <c r="K156" s="196" t="s">
        <v>31</v>
      </c>
      <c r="L156" s="196" t="s">
        <v>30</v>
      </c>
      <c r="M156" s="196" t="s">
        <v>13</v>
      </c>
      <c r="N156" s="196" t="s">
        <v>29</v>
      </c>
      <c r="O156" s="196" t="s">
        <v>97</v>
      </c>
      <c r="Q156" s="195">
        <v>7</v>
      </c>
      <c r="R156" s="195">
        <v>10</v>
      </c>
      <c r="S156" s="195">
        <v>5</v>
      </c>
      <c r="T156" s="195">
        <v>8</v>
      </c>
      <c r="U156" s="195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6" t="s">
        <v>97</v>
      </c>
      <c r="L157" s="196" t="s">
        <v>15</v>
      </c>
      <c r="M157" s="196" t="s">
        <v>13</v>
      </c>
      <c r="N157" s="196" t="s">
        <v>83</v>
      </c>
      <c r="O157" s="196" t="s">
        <v>97</v>
      </c>
      <c r="Q157" s="195">
        <v>6</v>
      </c>
      <c r="R157" s="195">
        <v>2</v>
      </c>
      <c r="S157" s="195">
        <v>5</v>
      </c>
      <c r="T157" s="195">
        <v>16</v>
      </c>
      <c r="U157" s="195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5">
        <v>154</v>
      </c>
      <c r="K158" s="196" t="s">
        <v>29</v>
      </c>
      <c r="L158" s="196" t="s">
        <v>12</v>
      </c>
      <c r="M158" s="196" t="s">
        <v>29</v>
      </c>
      <c r="N158" s="196" t="s">
        <v>15</v>
      </c>
      <c r="O158" s="196" t="s">
        <v>29</v>
      </c>
      <c r="Q158" s="195">
        <v>8</v>
      </c>
      <c r="R158" s="195">
        <v>4</v>
      </c>
      <c r="S158" s="195">
        <v>8</v>
      </c>
      <c r="T158" s="195">
        <v>2</v>
      </c>
      <c r="U158" s="195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6" t="s">
        <v>29</v>
      </c>
      <c r="L159" s="196" t="s">
        <v>31</v>
      </c>
      <c r="M159" s="196" t="s">
        <v>29</v>
      </c>
      <c r="N159" s="196" t="s">
        <v>14</v>
      </c>
      <c r="O159" s="196" t="s">
        <v>14</v>
      </c>
      <c r="Q159" s="195">
        <v>8</v>
      </c>
      <c r="R159" s="195">
        <v>7</v>
      </c>
      <c r="S159" s="195">
        <v>8</v>
      </c>
      <c r="T159" s="195">
        <v>1</v>
      </c>
      <c r="U159" s="195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5">
        <v>156</v>
      </c>
      <c r="K160" s="196" t="s">
        <v>14</v>
      </c>
      <c r="L160" s="196" t="s">
        <v>97</v>
      </c>
      <c r="M160" s="196" t="s">
        <v>31</v>
      </c>
      <c r="N160" s="196" t="s">
        <v>31</v>
      </c>
      <c r="O160" s="196" t="s">
        <v>13</v>
      </c>
      <c r="Q160" s="195">
        <v>1</v>
      </c>
      <c r="R160" s="195">
        <v>6</v>
      </c>
      <c r="S160" s="195">
        <v>7</v>
      </c>
      <c r="T160" s="195">
        <v>7</v>
      </c>
      <c r="U160" s="195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6" t="s">
        <v>29</v>
      </c>
      <c r="L161" s="196" t="s">
        <v>15</v>
      </c>
      <c r="M161" s="196" t="s">
        <v>97</v>
      </c>
      <c r="N161" s="196" t="s">
        <v>28</v>
      </c>
      <c r="O161" s="196" t="s">
        <v>31</v>
      </c>
      <c r="Q161" s="195">
        <v>8</v>
      </c>
      <c r="R161" s="195">
        <v>2</v>
      </c>
      <c r="S161" s="195">
        <v>6</v>
      </c>
      <c r="T161" s="195">
        <v>9</v>
      </c>
      <c r="U161" s="195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5">
        <v>158</v>
      </c>
      <c r="K162" s="196" t="s">
        <v>31</v>
      </c>
      <c r="L162" s="196" t="s">
        <v>30</v>
      </c>
      <c r="M162" s="196" t="s">
        <v>97</v>
      </c>
      <c r="N162" s="196" t="s">
        <v>28</v>
      </c>
      <c r="O162" s="196" t="s">
        <v>97</v>
      </c>
      <c r="Q162" s="195">
        <v>7</v>
      </c>
      <c r="R162" s="195">
        <v>10</v>
      </c>
      <c r="S162" s="195">
        <v>6</v>
      </c>
      <c r="T162" s="195">
        <v>9</v>
      </c>
      <c r="U162" s="195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6" t="s">
        <v>29</v>
      </c>
      <c r="L163" s="196" t="s">
        <v>12</v>
      </c>
      <c r="M163" s="196" t="s">
        <v>97</v>
      </c>
      <c r="N163" s="196" t="s">
        <v>28</v>
      </c>
      <c r="O163" s="196" t="s">
        <v>97</v>
      </c>
      <c r="Q163" s="195">
        <v>8</v>
      </c>
      <c r="R163" s="195">
        <v>4</v>
      </c>
      <c r="S163" s="195">
        <v>6</v>
      </c>
      <c r="T163" s="195">
        <v>9</v>
      </c>
      <c r="U163" s="195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5">
        <v>160</v>
      </c>
      <c r="K164" s="196" t="s">
        <v>29</v>
      </c>
      <c r="L164" s="196" t="s">
        <v>16</v>
      </c>
      <c r="M164" s="196" t="s">
        <v>13</v>
      </c>
      <c r="N164" s="196" t="s">
        <v>30</v>
      </c>
      <c r="O164" s="196" t="s">
        <v>29</v>
      </c>
      <c r="Q164" s="195">
        <v>8</v>
      </c>
      <c r="R164" s="195">
        <v>3</v>
      </c>
      <c r="S164" s="195">
        <v>5</v>
      </c>
      <c r="T164" s="195">
        <v>10</v>
      </c>
      <c r="U164" s="195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6" t="s">
        <v>13</v>
      </c>
      <c r="L165" s="196" t="s">
        <v>79</v>
      </c>
      <c r="M165" s="196" t="s">
        <v>15</v>
      </c>
      <c r="N165" s="196" t="s">
        <v>29</v>
      </c>
      <c r="O165" s="196" t="s">
        <v>30</v>
      </c>
      <c r="Q165" s="195">
        <v>5</v>
      </c>
      <c r="R165" s="195">
        <v>11</v>
      </c>
      <c r="S165" s="195">
        <v>2</v>
      </c>
      <c r="T165" s="195">
        <v>8</v>
      </c>
      <c r="U165" s="195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5">
        <v>162</v>
      </c>
      <c r="K166" s="196" t="s">
        <v>97</v>
      </c>
      <c r="L166" s="196" t="s">
        <v>12</v>
      </c>
      <c r="M166" s="196" t="s">
        <v>31</v>
      </c>
      <c r="N166" s="196" t="s">
        <v>29</v>
      </c>
      <c r="O166" s="196" t="s">
        <v>29</v>
      </c>
      <c r="Q166" s="195">
        <v>6</v>
      </c>
      <c r="R166" s="195">
        <v>4</v>
      </c>
      <c r="S166" s="195">
        <v>7</v>
      </c>
      <c r="T166" s="195">
        <v>8</v>
      </c>
      <c r="U166" s="195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6" t="s">
        <v>29</v>
      </c>
      <c r="L167" s="196" t="s">
        <v>16</v>
      </c>
      <c r="M167" s="196" t="s">
        <v>13</v>
      </c>
      <c r="N167" s="196" t="s">
        <v>13</v>
      </c>
      <c r="O167" s="196" t="s">
        <v>15</v>
      </c>
      <c r="Q167" s="195">
        <v>8</v>
      </c>
      <c r="R167" s="195">
        <v>3</v>
      </c>
      <c r="S167" s="195">
        <v>5</v>
      </c>
      <c r="T167" s="195">
        <v>5</v>
      </c>
      <c r="U167" s="195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5">
        <v>164</v>
      </c>
      <c r="K168" s="196" t="s">
        <v>31</v>
      </c>
      <c r="L168" s="196" t="s">
        <v>81</v>
      </c>
      <c r="M168" s="196" t="s">
        <v>97</v>
      </c>
      <c r="N168" s="196" t="s">
        <v>15</v>
      </c>
      <c r="O168" s="196" t="s">
        <v>28</v>
      </c>
      <c r="Q168" s="195">
        <v>7</v>
      </c>
      <c r="R168" s="195">
        <v>13</v>
      </c>
      <c r="S168" s="195">
        <v>6</v>
      </c>
      <c r="T168" s="195">
        <v>2</v>
      </c>
      <c r="U168" s="195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6" t="s">
        <v>31</v>
      </c>
      <c r="L169" s="196" t="s">
        <v>28</v>
      </c>
      <c r="M169" s="196" t="s">
        <v>97</v>
      </c>
      <c r="N169" s="196" t="s">
        <v>15</v>
      </c>
      <c r="O169" s="196" t="s">
        <v>12</v>
      </c>
      <c r="Q169" s="195">
        <v>7</v>
      </c>
      <c r="R169" s="195">
        <v>9</v>
      </c>
      <c r="S169" s="195">
        <v>6</v>
      </c>
      <c r="T169" s="195">
        <v>2</v>
      </c>
      <c r="U169" s="195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5">
        <v>166</v>
      </c>
      <c r="K170" s="196" t="s">
        <v>31</v>
      </c>
      <c r="L170" s="196" t="s">
        <v>15</v>
      </c>
      <c r="M170" s="196" t="s">
        <v>97</v>
      </c>
      <c r="N170" s="196" t="s">
        <v>13</v>
      </c>
      <c r="O170" s="196" t="s">
        <v>16</v>
      </c>
      <c r="Q170" s="195">
        <v>7</v>
      </c>
      <c r="R170" s="195">
        <v>2</v>
      </c>
      <c r="S170" s="195">
        <v>6</v>
      </c>
      <c r="T170" s="195">
        <v>5</v>
      </c>
      <c r="U170" s="195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6" t="s">
        <v>29</v>
      </c>
      <c r="L171" s="196" t="s">
        <v>29</v>
      </c>
      <c r="M171" s="196" t="s">
        <v>13</v>
      </c>
      <c r="N171" s="196" t="s">
        <v>15</v>
      </c>
      <c r="O171" s="196" t="s">
        <v>29</v>
      </c>
      <c r="Q171" s="195">
        <v>8</v>
      </c>
      <c r="R171" s="195">
        <v>8</v>
      </c>
      <c r="S171" s="195">
        <v>5</v>
      </c>
      <c r="T171" s="195">
        <v>2</v>
      </c>
      <c r="U171" s="195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5">
        <v>168</v>
      </c>
      <c r="K172" s="196" t="s">
        <v>31</v>
      </c>
      <c r="L172" s="196" t="s">
        <v>16</v>
      </c>
      <c r="M172" s="196" t="s">
        <v>97</v>
      </c>
      <c r="N172" s="196" t="s">
        <v>97</v>
      </c>
      <c r="O172" s="196" t="s">
        <v>15</v>
      </c>
      <c r="Q172" s="195">
        <v>7</v>
      </c>
      <c r="R172" s="195">
        <v>3</v>
      </c>
      <c r="S172" s="195">
        <v>6</v>
      </c>
      <c r="T172" s="195">
        <v>6</v>
      </c>
      <c r="U172" s="195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6" t="s">
        <v>13</v>
      </c>
      <c r="L173" s="196" t="s">
        <v>28</v>
      </c>
      <c r="M173" s="196" t="s">
        <v>13</v>
      </c>
      <c r="N173" s="196" t="s">
        <v>16</v>
      </c>
      <c r="O173" s="196" t="s">
        <v>12</v>
      </c>
      <c r="Q173" s="195">
        <v>5</v>
      </c>
      <c r="R173" s="195">
        <v>9</v>
      </c>
      <c r="S173" s="195">
        <v>5</v>
      </c>
      <c r="T173" s="195">
        <v>3</v>
      </c>
      <c r="U173" s="195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5">
        <v>170</v>
      </c>
      <c r="K174" s="196" t="s">
        <v>97</v>
      </c>
      <c r="L174" s="196" t="s">
        <v>31</v>
      </c>
      <c r="M174" s="196" t="s">
        <v>14</v>
      </c>
      <c r="N174" s="196" t="s">
        <v>97</v>
      </c>
      <c r="O174" s="196" t="s">
        <v>31</v>
      </c>
      <c r="Q174" s="195">
        <v>6</v>
      </c>
      <c r="R174" s="195">
        <v>7</v>
      </c>
      <c r="S174" s="195">
        <v>1</v>
      </c>
      <c r="T174" s="195">
        <v>6</v>
      </c>
      <c r="U174" s="195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6" t="s">
        <v>31</v>
      </c>
      <c r="L175" s="196" t="s">
        <v>31</v>
      </c>
      <c r="M175" s="196" t="s">
        <v>29</v>
      </c>
      <c r="N175" s="196" t="s">
        <v>31</v>
      </c>
      <c r="O175" s="196" t="s">
        <v>29</v>
      </c>
      <c r="Q175" s="195">
        <v>7</v>
      </c>
      <c r="R175" s="195">
        <v>7</v>
      </c>
      <c r="S175" s="195">
        <v>8</v>
      </c>
      <c r="T175" s="195">
        <v>7</v>
      </c>
      <c r="U175" s="195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5">
        <v>172</v>
      </c>
      <c r="K176" s="196" t="s">
        <v>97</v>
      </c>
      <c r="L176" s="196" t="s">
        <v>12</v>
      </c>
      <c r="M176" s="196" t="s">
        <v>29</v>
      </c>
      <c r="N176" s="196" t="s">
        <v>82</v>
      </c>
      <c r="O176" s="196" t="s">
        <v>14</v>
      </c>
      <c r="Q176" s="195">
        <v>6</v>
      </c>
      <c r="R176" s="195">
        <v>4</v>
      </c>
      <c r="S176" s="195">
        <v>8</v>
      </c>
      <c r="T176" s="195">
        <v>14</v>
      </c>
      <c r="U176" s="195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6" t="s">
        <v>97</v>
      </c>
      <c r="L177" s="196" t="s">
        <v>81</v>
      </c>
      <c r="M177" s="196" t="s">
        <v>13</v>
      </c>
      <c r="N177" s="196" t="s">
        <v>86</v>
      </c>
      <c r="O177" s="196" t="s">
        <v>29</v>
      </c>
      <c r="Q177" s="195">
        <v>6</v>
      </c>
      <c r="R177" s="195">
        <v>13</v>
      </c>
      <c r="S177" s="195">
        <v>5</v>
      </c>
      <c r="T177" s="195">
        <v>18</v>
      </c>
      <c r="U177" s="195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5">
        <v>174</v>
      </c>
      <c r="K178" s="196" t="s">
        <v>97</v>
      </c>
      <c r="L178" s="196" t="s">
        <v>15</v>
      </c>
      <c r="M178" s="196" t="s">
        <v>29</v>
      </c>
      <c r="N178" s="196" t="s">
        <v>88</v>
      </c>
      <c r="O178" s="196" t="s">
        <v>29</v>
      </c>
      <c r="Q178" s="195">
        <v>6</v>
      </c>
      <c r="R178" s="195">
        <v>2</v>
      </c>
      <c r="S178" s="195">
        <v>8</v>
      </c>
      <c r="T178" s="195">
        <v>19</v>
      </c>
      <c r="U178" s="195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6" t="s">
        <v>14</v>
      </c>
      <c r="L179" s="196" t="s">
        <v>15</v>
      </c>
      <c r="M179" s="196" t="s">
        <v>13</v>
      </c>
      <c r="N179" s="196" t="s">
        <v>28</v>
      </c>
      <c r="O179" s="196" t="s">
        <v>31</v>
      </c>
      <c r="Q179" s="195">
        <v>1</v>
      </c>
      <c r="R179" s="195">
        <v>2</v>
      </c>
      <c r="S179" s="195">
        <v>5</v>
      </c>
      <c r="T179" s="195">
        <v>9</v>
      </c>
      <c r="U179" s="195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5">
        <v>176</v>
      </c>
      <c r="K180" s="196" t="s">
        <v>31</v>
      </c>
      <c r="L180" s="196" t="s">
        <v>15</v>
      </c>
      <c r="M180" s="196" t="s">
        <v>13</v>
      </c>
      <c r="N180" s="196" t="s">
        <v>13</v>
      </c>
      <c r="O180" s="196" t="s">
        <v>30</v>
      </c>
      <c r="Q180" s="195">
        <v>7</v>
      </c>
      <c r="R180" s="195">
        <v>2</v>
      </c>
      <c r="S180" s="195">
        <v>5</v>
      </c>
      <c r="T180" s="195">
        <v>5</v>
      </c>
      <c r="U180" s="195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6" t="s">
        <v>97</v>
      </c>
      <c r="L181" s="196" t="s">
        <v>15</v>
      </c>
      <c r="M181" s="196" t="s">
        <v>31</v>
      </c>
      <c r="N181" s="196" t="s">
        <v>15</v>
      </c>
      <c r="O181" s="196" t="s">
        <v>30</v>
      </c>
      <c r="Q181" s="195">
        <v>6</v>
      </c>
      <c r="R181" s="195">
        <v>2</v>
      </c>
      <c r="S181" s="195">
        <v>7</v>
      </c>
      <c r="T181" s="195">
        <v>2</v>
      </c>
      <c r="U181" s="195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5">
        <v>178</v>
      </c>
      <c r="K182" s="196" t="s">
        <v>13</v>
      </c>
      <c r="L182" s="196" t="s">
        <v>30</v>
      </c>
      <c r="M182" s="196" t="s">
        <v>29</v>
      </c>
      <c r="N182" s="196" t="s">
        <v>14</v>
      </c>
      <c r="O182" s="196" t="s">
        <v>29</v>
      </c>
      <c r="Q182" s="195">
        <v>5</v>
      </c>
      <c r="R182" s="195">
        <v>10</v>
      </c>
      <c r="S182" s="195">
        <v>8</v>
      </c>
      <c r="T182" s="195">
        <v>1</v>
      </c>
      <c r="U182" s="195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6" t="s">
        <v>13</v>
      </c>
      <c r="L183" s="196" t="s">
        <v>28</v>
      </c>
      <c r="M183" s="196" t="s">
        <v>97</v>
      </c>
      <c r="N183" s="196" t="s">
        <v>29</v>
      </c>
      <c r="O183" s="196" t="s">
        <v>97</v>
      </c>
      <c r="Q183" s="195">
        <v>5</v>
      </c>
      <c r="R183" s="195">
        <v>9</v>
      </c>
      <c r="S183" s="195">
        <v>6</v>
      </c>
      <c r="T183" s="195">
        <v>8</v>
      </c>
      <c r="U183" s="195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5">
        <v>180</v>
      </c>
      <c r="K184" s="196" t="s">
        <v>13</v>
      </c>
      <c r="L184" s="196" t="s">
        <v>98</v>
      </c>
      <c r="M184" s="196" t="s">
        <v>97</v>
      </c>
      <c r="N184" s="196" t="s">
        <v>16</v>
      </c>
      <c r="O184" s="196" t="s">
        <v>12</v>
      </c>
      <c r="Q184" s="195">
        <v>5</v>
      </c>
      <c r="R184" s="195">
        <v>15</v>
      </c>
      <c r="S184" s="195">
        <v>6</v>
      </c>
      <c r="T184" s="195">
        <v>3</v>
      </c>
      <c r="U184" s="195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6" t="s">
        <v>29</v>
      </c>
      <c r="L185" s="196" t="s">
        <v>29</v>
      </c>
      <c r="M185" s="196" t="s">
        <v>13</v>
      </c>
      <c r="N185" s="196" t="s">
        <v>16</v>
      </c>
      <c r="O185" s="196" t="s">
        <v>29</v>
      </c>
      <c r="Q185" s="195">
        <v>8</v>
      </c>
      <c r="R185" s="195">
        <v>8</v>
      </c>
      <c r="S185" s="195">
        <v>5</v>
      </c>
      <c r="T185" s="195">
        <v>3</v>
      </c>
      <c r="U185" s="195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5">
        <v>182</v>
      </c>
      <c r="K186" s="196" t="s">
        <v>13</v>
      </c>
      <c r="L186" s="196" t="s">
        <v>31</v>
      </c>
      <c r="M186" s="196" t="s">
        <v>31</v>
      </c>
      <c r="N186" s="196" t="s">
        <v>97</v>
      </c>
      <c r="O186" s="196" t="s">
        <v>29</v>
      </c>
      <c r="Q186" s="195">
        <v>5</v>
      </c>
      <c r="R186" s="195">
        <v>7</v>
      </c>
      <c r="S186" s="195">
        <v>7</v>
      </c>
      <c r="T186" s="195">
        <v>6</v>
      </c>
      <c r="U186" s="195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6" t="s">
        <v>29</v>
      </c>
      <c r="L187" s="196" t="s">
        <v>28</v>
      </c>
      <c r="M187" s="196" t="s">
        <v>13</v>
      </c>
      <c r="N187" s="196" t="s">
        <v>98</v>
      </c>
      <c r="O187" s="196" t="s">
        <v>28</v>
      </c>
      <c r="Q187" s="195">
        <v>8</v>
      </c>
      <c r="R187" s="195">
        <v>9</v>
      </c>
      <c r="S187" s="195">
        <v>5</v>
      </c>
      <c r="T187" s="195">
        <v>15</v>
      </c>
      <c r="U187" s="195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5">
        <v>184</v>
      </c>
      <c r="K188" s="196" t="s">
        <v>12</v>
      </c>
      <c r="L188" s="196" t="s">
        <v>81</v>
      </c>
      <c r="M188" s="196" t="s">
        <v>29</v>
      </c>
      <c r="N188" s="196" t="s">
        <v>28</v>
      </c>
      <c r="O188" s="196" t="s">
        <v>30</v>
      </c>
      <c r="Q188" s="195">
        <v>4</v>
      </c>
      <c r="R188" s="195">
        <v>13</v>
      </c>
      <c r="S188" s="195">
        <v>8</v>
      </c>
      <c r="T188" s="195">
        <v>9</v>
      </c>
      <c r="U188" s="195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6" t="s">
        <v>29</v>
      </c>
      <c r="L189" s="196" t="s">
        <v>14</v>
      </c>
      <c r="M189" s="196" t="s">
        <v>13</v>
      </c>
      <c r="N189" s="196" t="s">
        <v>12</v>
      </c>
      <c r="O189" s="196" t="s">
        <v>29</v>
      </c>
      <c r="Q189" s="195">
        <v>8</v>
      </c>
      <c r="R189" s="195">
        <v>1</v>
      </c>
      <c r="S189" s="195">
        <v>5</v>
      </c>
      <c r="T189" s="195">
        <v>4</v>
      </c>
      <c r="U189" s="195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5">
        <v>186</v>
      </c>
      <c r="K190" s="196" t="s">
        <v>13</v>
      </c>
      <c r="L190" s="196" t="s">
        <v>86</v>
      </c>
      <c r="M190" s="196" t="s">
        <v>13</v>
      </c>
      <c r="N190" s="196" t="s">
        <v>14</v>
      </c>
      <c r="O190" s="196" t="s">
        <v>29</v>
      </c>
      <c r="Q190" s="195">
        <v>5</v>
      </c>
      <c r="R190" s="195">
        <v>18</v>
      </c>
      <c r="S190" s="195">
        <v>5</v>
      </c>
      <c r="T190" s="195">
        <v>1</v>
      </c>
      <c r="U190" s="195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6" t="s">
        <v>29</v>
      </c>
      <c r="L191" s="196" t="s">
        <v>15</v>
      </c>
      <c r="M191" s="196" t="s">
        <v>29</v>
      </c>
      <c r="N191" s="196" t="s">
        <v>97</v>
      </c>
      <c r="O191" s="196" t="s">
        <v>31</v>
      </c>
      <c r="Q191" s="195">
        <v>8</v>
      </c>
      <c r="R191" s="195">
        <v>2</v>
      </c>
      <c r="S191" s="195">
        <v>8</v>
      </c>
      <c r="T191" s="195">
        <v>6</v>
      </c>
      <c r="U191" s="195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5">
        <v>188</v>
      </c>
      <c r="K192" s="196" t="s">
        <v>97</v>
      </c>
      <c r="L192" s="196" t="s">
        <v>31</v>
      </c>
      <c r="M192" s="196" t="s">
        <v>29</v>
      </c>
      <c r="N192" s="196" t="s">
        <v>16</v>
      </c>
      <c r="O192" s="196" t="s">
        <v>31</v>
      </c>
      <c r="Q192" s="195">
        <v>6</v>
      </c>
      <c r="R192" s="195">
        <v>7</v>
      </c>
      <c r="S192" s="195">
        <v>8</v>
      </c>
      <c r="T192" s="195">
        <v>3</v>
      </c>
      <c r="U192" s="195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6" t="s">
        <v>13</v>
      </c>
      <c r="L193" s="196" t="s">
        <v>28</v>
      </c>
      <c r="M193" s="196" t="s">
        <v>31</v>
      </c>
      <c r="N193" s="196" t="s">
        <v>13</v>
      </c>
      <c r="O193" s="196" t="s">
        <v>28</v>
      </c>
      <c r="Q193" s="195">
        <v>5</v>
      </c>
      <c r="R193" s="195">
        <v>9</v>
      </c>
      <c r="S193" s="195">
        <v>7</v>
      </c>
      <c r="T193" s="195">
        <v>5</v>
      </c>
      <c r="U193" s="195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5">
        <v>190</v>
      </c>
      <c r="K194" s="196" t="s">
        <v>29</v>
      </c>
      <c r="L194" s="196" t="s">
        <v>12</v>
      </c>
      <c r="M194" s="196" t="s">
        <v>97</v>
      </c>
      <c r="N194" s="196" t="s">
        <v>13</v>
      </c>
      <c r="O194" s="196" t="s">
        <v>12</v>
      </c>
      <c r="Q194" s="195">
        <v>8</v>
      </c>
      <c r="R194" s="195">
        <v>4</v>
      </c>
      <c r="S194" s="195">
        <v>6</v>
      </c>
      <c r="T194" s="195">
        <v>5</v>
      </c>
      <c r="U194" s="195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6" t="s">
        <v>28</v>
      </c>
      <c r="L195" s="196" t="s">
        <v>97</v>
      </c>
      <c r="M195" s="196" t="s">
        <v>28</v>
      </c>
      <c r="N195" s="196" t="s">
        <v>88</v>
      </c>
      <c r="O195" s="196" t="s">
        <v>29</v>
      </c>
      <c r="Q195" s="195">
        <v>9</v>
      </c>
      <c r="R195" s="195">
        <v>6</v>
      </c>
      <c r="S195" s="195">
        <v>9</v>
      </c>
      <c r="T195" s="195">
        <v>19</v>
      </c>
      <c r="U195" s="195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5">
        <v>192</v>
      </c>
      <c r="K196" s="196" t="s">
        <v>13</v>
      </c>
      <c r="L196" s="196" t="s">
        <v>15</v>
      </c>
      <c r="M196" s="196" t="s">
        <v>13</v>
      </c>
      <c r="N196" s="196" t="s">
        <v>29</v>
      </c>
      <c r="O196" s="196" t="s">
        <v>97</v>
      </c>
      <c r="Q196" s="195">
        <v>5</v>
      </c>
      <c r="R196" s="195">
        <v>2</v>
      </c>
      <c r="S196" s="195">
        <v>5</v>
      </c>
      <c r="T196" s="195">
        <v>8</v>
      </c>
      <c r="U196" s="195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6" t="s">
        <v>29</v>
      </c>
      <c r="L197" s="196" t="s">
        <v>83</v>
      </c>
      <c r="M197" s="196" t="s">
        <v>31</v>
      </c>
      <c r="N197" s="196" t="s">
        <v>16</v>
      </c>
      <c r="O197" s="196" t="s">
        <v>29</v>
      </c>
      <c r="Q197" s="195">
        <v>8</v>
      </c>
      <c r="R197" s="195">
        <v>16</v>
      </c>
      <c r="S197" s="195">
        <v>7</v>
      </c>
      <c r="T197" s="195">
        <v>3</v>
      </c>
      <c r="U197" s="195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5">
        <v>194</v>
      </c>
      <c r="K198" s="196" t="s">
        <v>31</v>
      </c>
      <c r="L198" s="196" t="s">
        <v>12</v>
      </c>
      <c r="M198" s="196" t="s">
        <v>31</v>
      </c>
      <c r="N198" s="196" t="s">
        <v>30</v>
      </c>
      <c r="O198" s="196" t="s">
        <v>16</v>
      </c>
      <c r="Q198" s="195">
        <v>7</v>
      </c>
      <c r="R198" s="195">
        <v>4</v>
      </c>
      <c r="S198" s="195">
        <v>7</v>
      </c>
      <c r="T198" s="195">
        <v>10</v>
      </c>
      <c r="U198" s="195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6" t="s">
        <v>13</v>
      </c>
      <c r="L199" s="196" t="s">
        <v>28</v>
      </c>
      <c r="M199" s="196" t="s">
        <v>13</v>
      </c>
      <c r="N199" s="196" t="s">
        <v>13</v>
      </c>
      <c r="O199" s="196" t="s">
        <v>31</v>
      </c>
      <c r="Q199" s="195">
        <v>5</v>
      </c>
      <c r="R199" s="195">
        <v>9</v>
      </c>
      <c r="S199" s="195">
        <v>5</v>
      </c>
      <c r="T199" s="195">
        <v>5</v>
      </c>
      <c r="U199" s="195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5">
        <v>196</v>
      </c>
      <c r="K200" s="196" t="s">
        <v>97</v>
      </c>
      <c r="L200" s="196" t="s">
        <v>86</v>
      </c>
      <c r="M200" s="196" t="s">
        <v>29</v>
      </c>
      <c r="N200" s="196" t="s">
        <v>28</v>
      </c>
      <c r="O200" s="196" t="s">
        <v>31</v>
      </c>
      <c r="Q200" s="195">
        <v>6</v>
      </c>
      <c r="R200" s="195">
        <v>18</v>
      </c>
      <c r="S200" s="195">
        <v>8</v>
      </c>
      <c r="T200" s="195">
        <v>9</v>
      </c>
      <c r="U200" s="195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6" t="s">
        <v>13</v>
      </c>
      <c r="L201" s="196" t="s">
        <v>28</v>
      </c>
      <c r="M201" s="196" t="s">
        <v>97</v>
      </c>
      <c r="N201" s="196" t="s">
        <v>28</v>
      </c>
      <c r="O201" s="196" t="s">
        <v>97</v>
      </c>
      <c r="Q201" s="195">
        <v>5</v>
      </c>
      <c r="R201" s="195">
        <v>9</v>
      </c>
      <c r="S201" s="195">
        <v>6</v>
      </c>
      <c r="T201" s="195">
        <v>9</v>
      </c>
      <c r="U201" s="195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5">
        <v>198</v>
      </c>
      <c r="K202" s="196" t="s">
        <v>97</v>
      </c>
      <c r="L202" s="196" t="s">
        <v>13</v>
      </c>
      <c r="M202" s="196" t="s">
        <v>29</v>
      </c>
      <c r="N202" s="196" t="s">
        <v>98</v>
      </c>
      <c r="O202" s="196" t="s">
        <v>97</v>
      </c>
      <c r="Q202" s="195">
        <v>6</v>
      </c>
      <c r="R202" s="195">
        <v>5</v>
      </c>
      <c r="S202" s="195">
        <v>8</v>
      </c>
      <c r="T202" s="195">
        <v>15</v>
      </c>
      <c r="U202" s="195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6" t="s">
        <v>31</v>
      </c>
      <c r="L203" s="196" t="s">
        <v>80</v>
      </c>
      <c r="M203" s="196" t="s">
        <v>29</v>
      </c>
      <c r="N203" s="196" t="s">
        <v>80</v>
      </c>
      <c r="O203" s="196" t="s">
        <v>12</v>
      </c>
      <c r="Q203" s="195">
        <v>7</v>
      </c>
      <c r="R203" s="195">
        <v>12</v>
      </c>
      <c r="S203" s="195">
        <v>8</v>
      </c>
      <c r="T203" s="195">
        <v>12</v>
      </c>
      <c r="U203" s="195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5"/>
      <c r="K204" s="196"/>
      <c r="L204" s="196"/>
      <c r="M204" s="196"/>
      <c r="N204" s="196"/>
      <c r="O204" s="196"/>
      <c r="Q204" s="195"/>
      <c r="R204" s="195"/>
      <c r="S204" s="195"/>
      <c r="T204" s="195"/>
      <c r="U204" s="195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6"/>
      <c r="L205" s="196"/>
      <c r="M205" s="196"/>
      <c r="N205" s="196"/>
      <c r="O205" s="196"/>
      <c r="Q205" s="195"/>
      <c r="R205" s="195"/>
      <c r="S205" s="195"/>
      <c r="T205" s="195"/>
      <c r="U205" s="195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6"/>
      <c r="L206" s="196"/>
      <c r="M206" s="196"/>
      <c r="N206" s="196"/>
      <c r="O206" s="196"/>
      <c r="Q206" s="195"/>
      <c r="R206" s="195"/>
      <c r="S206" s="195"/>
      <c r="T206" s="195"/>
      <c r="U206" s="195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5"/>
      <c r="K207" s="196"/>
      <c r="L207" s="196"/>
      <c r="M207" s="196"/>
      <c r="N207" s="196"/>
      <c r="O207" s="196"/>
      <c r="Q207" s="195"/>
      <c r="R207" s="195"/>
      <c r="S207" s="195"/>
      <c r="T207" s="195"/>
      <c r="U207" s="195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6"/>
      <c r="L208" s="196"/>
      <c r="M208" s="196"/>
      <c r="N208" s="196"/>
      <c r="O208" s="196"/>
      <c r="Q208" s="195"/>
      <c r="R208" s="195"/>
      <c r="S208" s="195"/>
      <c r="T208" s="195"/>
      <c r="U208" s="195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5"/>
      <c r="K209" s="196"/>
      <c r="L209" s="196"/>
      <c r="M209" s="196"/>
      <c r="N209" s="196"/>
      <c r="O209" s="196"/>
      <c r="Q209" s="195"/>
      <c r="R209" s="195"/>
      <c r="S209" s="195"/>
      <c r="T209" s="195"/>
      <c r="U209" s="195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6"/>
      <c r="L210" s="196"/>
      <c r="M210" s="196"/>
      <c r="N210" s="196"/>
      <c r="O210" s="196"/>
      <c r="Q210" s="195"/>
      <c r="R210" s="195"/>
      <c r="S210" s="195"/>
      <c r="T210" s="195"/>
      <c r="U210" s="195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5"/>
      <c r="K211" s="196"/>
      <c r="L211" s="196"/>
      <c r="M211" s="196"/>
      <c r="N211" s="196"/>
      <c r="O211" s="196"/>
      <c r="Q211" s="195"/>
      <c r="R211" s="195"/>
      <c r="S211" s="195"/>
      <c r="T211" s="195"/>
      <c r="U211" s="195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201"/>
      <c r="L212" s="201"/>
      <c r="M212" s="201"/>
      <c r="N212" s="201"/>
      <c r="O212" s="201"/>
      <c r="Q212" s="195"/>
      <c r="R212" s="195"/>
      <c r="S212" s="195"/>
      <c r="T212" s="195"/>
      <c r="U212" s="195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5"/>
      <c r="K213" s="201"/>
      <c r="L213" s="201"/>
      <c r="M213" s="201"/>
      <c r="N213" s="201"/>
      <c r="O213" s="201"/>
      <c r="Q213" s="195"/>
      <c r="R213" s="195"/>
      <c r="S213" s="195"/>
      <c r="T213" s="195"/>
      <c r="U213" s="195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201"/>
      <c r="L214" s="201"/>
      <c r="M214" s="201"/>
      <c r="N214" s="201"/>
      <c r="O214" s="201"/>
      <c r="Q214" s="195"/>
      <c r="R214" s="195"/>
      <c r="S214" s="195"/>
      <c r="T214" s="195"/>
      <c r="U214" s="195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5"/>
      <c r="K215" s="201"/>
      <c r="L215" s="201"/>
      <c r="M215" s="201"/>
      <c r="N215" s="201"/>
      <c r="O215" s="201"/>
      <c r="Q215" s="195"/>
      <c r="R215" s="195"/>
      <c r="S215" s="195"/>
      <c r="T215" s="195"/>
      <c r="U215" s="195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201"/>
      <c r="L216" s="201"/>
      <c r="M216" s="201"/>
      <c r="N216" s="201"/>
      <c r="O216" s="201"/>
      <c r="Q216" s="195"/>
      <c r="R216" s="195"/>
      <c r="S216" s="195"/>
      <c r="T216" s="195"/>
      <c r="U216" s="195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5"/>
      <c r="K217" s="201"/>
      <c r="L217" s="201"/>
      <c r="M217" s="201"/>
      <c r="N217" s="201"/>
      <c r="O217" s="201"/>
      <c r="Q217" s="195"/>
      <c r="R217" s="195"/>
      <c r="S217" s="195"/>
      <c r="T217" s="195"/>
      <c r="U217" s="195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201"/>
      <c r="L218" s="201"/>
      <c r="M218" s="201"/>
      <c r="N218" s="201"/>
      <c r="O218" s="201"/>
      <c r="Q218" s="195"/>
      <c r="R218" s="195"/>
      <c r="S218" s="195"/>
      <c r="T218" s="195"/>
      <c r="U218" s="195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5"/>
      <c r="K219" s="201"/>
      <c r="L219" s="201"/>
      <c r="M219" s="201"/>
      <c r="N219" s="201"/>
      <c r="O219" s="201"/>
      <c r="Q219" s="195"/>
      <c r="R219" s="195"/>
      <c r="S219" s="195"/>
      <c r="T219" s="195"/>
      <c r="U219" s="195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201"/>
      <c r="L220" s="201"/>
      <c r="M220" s="201"/>
      <c r="N220" s="201"/>
      <c r="O220" s="201"/>
      <c r="Q220" s="195"/>
      <c r="R220" s="195"/>
      <c r="S220" s="195"/>
      <c r="T220" s="195"/>
      <c r="U220" s="195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5"/>
      <c r="K221" s="201"/>
      <c r="L221" s="201"/>
      <c r="M221" s="201"/>
      <c r="N221" s="201"/>
      <c r="O221" s="201"/>
      <c r="Q221" s="195"/>
      <c r="R221" s="195"/>
      <c r="S221" s="195"/>
      <c r="T221" s="195"/>
      <c r="U221" s="195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201"/>
      <c r="L222" s="201"/>
      <c r="M222" s="201"/>
      <c r="N222" s="201"/>
      <c r="O222" s="201"/>
      <c r="Q222" s="195"/>
      <c r="R222" s="195"/>
      <c r="S222" s="195"/>
      <c r="T222" s="195"/>
      <c r="U222" s="195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5"/>
      <c r="K223" s="201"/>
      <c r="L223" s="201"/>
      <c r="M223" s="201"/>
      <c r="N223" s="201"/>
      <c r="O223" s="201"/>
      <c r="Q223" s="195"/>
      <c r="R223" s="195"/>
      <c r="S223" s="195"/>
      <c r="T223" s="195"/>
      <c r="U223" s="195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201"/>
      <c r="L224" s="201"/>
      <c r="M224" s="201"/>
      <c r="N224" s="201"/>
      <c r="O224" s="201"/>
      <c r="Q224" s="195"/>
      <c r="R224" s="195"/>
      <c r="S224" s="195"/>
      <c r="T224" s="195"/>
      <c r="U224" s="195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5"/>
      <c r="K225" s="201"/>
      <c r="L225" s="201"/>
      <c r="M225" s="201"/>
      <c r="N225" s="201"/>
      <c r="O225" s="201"/>
      <c r="Q225" s="195"/>
      <c r="R225" s="195"/>
      <c r="S225" s="195"/>
      <c r="T225" s="195"/>
      <c r="U225" s="195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201"/>
      <c r="L226" s="201"/>
      <c r="M226" s="201"/>
      <c r="N226" s="201"/>
      <c r="O226" s="201"/>
      <c r="Q226" s="195"/>
      <c r="R226" s="195"/>
      <c r="S226" s="195"/>
      <c r="T226" s="195"/>
      <c r="U226" s="195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5"/>
      <c r="K227" s="201"/>
      <c r="L227" s="201"/>
      <c r="M227" s="201"/>
      <c r="N227" s="201"/>
      <c r="O227" s="201"/>
      <c r="Q227" s="195"/>
      <c r="R227" s="195"/>
      <c r="S227" s="195"/>
      <c r="T227" s="195"/>
      <c r="U227" s="195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201"/>
      <c r="L228" s="201"/>
      <c r="M228" s="201"/>
      <c r="N228" s="201"/>
      <c r="O228" s="201"/>
      <c r="Q228" s="195"/>
      <c r="R228" s="195"/>
      <c r="S228" s="195"/>
      <c r="T228" s="195"/>
      <c r="U228" s="195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5"/>
      <c r="K229" s="201"/>
      <c r="L229" s="201"/>
      <c r="M229" s="201"/>
      <c r="N229" s="201"/>
      <c r="O229" s="201"/>
      <c r="Q229" s="195"/>
      <c r="R229" s="195"/>
      <c r="S229" s="195"/>
      <c r="T229" s="195"/>
      <c r="U229" s="195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201"/>
      <c r="L230" s="201"/>
      <c r="M230" s="201"/>
      <c r="N230" s="201"/>
      <c r="O230" s="201"/>
      <c r="Q230" s="195"/>
      <c r="R230" s="195"/>
      <c r="S230" s="195"/>
      <c r="T230" s="195"/>
      <c r="U230" s="195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5"/>
      <c r="K231" s="201"/>
      <c r="L231" s="201"/>
      <c r="M231" s="201"/>
      <c r="N231" s="201"/>
      <c r="O231" s="201"/>
      <c r="Q231" s="195"/>
      <c r="R231" s="195"/>
      <c r="S231" s="195"/>
      <c r="T231" s="195"/>
      <c r="U231" s="195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201"/>
      <c r="L232" s="201"/>
      <c r="M232" s="201"/>
      <c r="N232" s="201"/>
      <c r="O232" s="201"/>
      <c r="Q232" s="195"/>
      <c r="R232" s="195"/>
      <c r="S232" s="195"/>
      <c r="T232" s="195"/>
      <c r="U232" s="195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5"/>
      <c r="K233" s="201"/>
      <c r="L233" s="201"/>
      <c r="M233" s="201"/>
      <c r="N233" s="201"/>
      <c r="O233" s="201"/>
      <c r="Q233" s="195"/>
      <c r="R233" s="195"/>
      <c r="S233" s="195"/>
      <c r="T233" s="195"/>
      <c r="U233" s="195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201"/>
      <c r="L234" s="201"/>
      <c r="M234" s="201"/>
      <c r="N234" s="201"/>
      <c r="O234" s="201"/>
      <c r="Q234" s="195"/>
      <c r="R234" s="195"/>
      <c r="S234" s="195"/>
      <c r="T234" s="195"/>
      <c r="U234" s="195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5"/>
      <c r="K235" s="201"/>
      <c r="L235" s="201"/>
      <c r="M235" s="201"/>
      <c r="N235" s="201"/>
      <c r="O235" s="201"/>
      <c r="Q235" s="195"/>
      <c r="R235" s="195"/>
      <c r="S235" s="195"/>
      <c r="T235" s="195"/>
      <c r="U235" s="195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201"/>
      <c r="L236" s="201"/>
      <c r="M236" s="201"/>
      <c r="N236" s="201"/>
      <c r="O236" s="201"/>
      <c r="Q236" s="195"/>
      <c r="R236" s="195"/>
      <c r="S236" s="195"/>
      <c r="T236" s="195"/>
      <c r="U236" s="195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5"/>
      <c r="K237" s="201"/>
      <c r="L237" s="201"/>
      <c r="M237" s="201"/>
      <c r="N237" s="201"/>
      <c r="O237" s="201"/>
      <c r="Q237" s="195"/>
      <c r="R237" s="195"/>
      <c r="S237" s="195"/>
      <c r="T237" s="195"/>
      <c r="U237" s="195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201"/>
      <c r="L238" s="201"/>
      <c r="M238" s="201"/>
      <c r="N238" s="201"/>
      <c r="O238" s="201"/>
      <c r="Q238" s="195"/>
      <c r="R238" s="195"/>
      <c r="S238" s="195"/>
      <c r="T238" s="195"/>
      <c r="U238" s="195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5"/>
      <c r="K239" s="201"/>
      <c r="L239" s="201"/>
      <c r="M239" s="201"/>
      <c r="N239" s="201"/>
      <c r="O239" s="201"/>
      <c r="Q239" s="195"/>
      <c r="R239" s="195"/>
      <c r="S239" s="195"/>
      <c r="T239" s="195"/>
      <c r="U239" s="195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201"/>
      <c r="L240" s="201"/>
      <c r="M240" s="201"/>
      <c r="N240" s="201"/>
      <c r="O240" s="201"/>
      <c r="Q240" s="195"/>
      <c r="R240" s="195"/>
      <c r="S240" s="195"/>
      <c r="T240" s="195"/>
      <c r="U240" s="195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5"/>
      <c r="K241" s="201"/>
      <c r="L241" s="201"/>
      <c r="M241" s="201"/>
      <c r="N241" s="201"/>
      <c r="O241" s="201"/>
      <c r="Q241" s="195"/>
      <c r="R241" s="195"/>
      <c r="S241" s="195"/>
      <c r="T241" s="195"/>
      <c r="U241" s="195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201"/>
      <c r="L242" s="201"/>
      <c r="M242" s="201"/>
      <c r="N242" s="201"/>
      <c r="O242" s="201"/>
      <c r="Q242" s="195"/>
      <c r="R242" s="195"/>
      <c r="S242" s="195"/>
      <c r="T242" s="195"/>
      <c r="U242" s="195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5"/>
      <c r="K243" s="201"/>
      <c r="L243" s="201"/>
      <c r="M243" s="201"/>
      <c r="N243" s="201"/>
      <c r="O243" s="201"/>
      <c r="Q243" s="195"/>
      <c r="R243" s="195"/>
      <c r="S243" s="195"/>
      <c r="T243" s="195"/>
      <c r="U243" s="195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201"/>
      <c r="L244" s="201"/>
      <c r="M244" s="201"/>
      <c r="N244" s="201"/>
      <c r="O244" s="201"/>
      <c r="Q244" s="195"/>
      <c r="R244" s="195"/>
      <c r="S244" s="195"/>
      <c r="T244" s="195"/>
      <c r="U244" s="195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5"/>
      <c r="K245" s="201"/>
      <c r="L245" s="201"/>
      <c r="M245" s="201"/>
      <c r="N245" s="201"/>
      <c r="O245" s="201"/>
      <c r="Q245" s="195"/>
      <c r="R245" s="195"/>
      <c r="S245" s="195"/>
      <c r="T245" s="195"/>
      <c r="U245" s="195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201"/>
      <c r="L246" s="201"/>
      <c r="M246" s="201"/>
      <c r="N246" s="201"/>
      <c r="O246" s="201"/>
      <c r="Q246" s="195"/>
      <c r="R246" s="195"/>
      <c r="S246" s="195"/>
      <c r="T246" s="195"/>
      <c r="U246" s="195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5"/>
      <c r="K247" s="201"/>
      <c r="L247" s="201"/>
      <c r="M247" s="201"/>
      <c r="N247" s="201"/>
      <c r="O247" s="201"/>
      <c r="Q247" s="195"/>
      <c r="R247" s="195"/>
      <c r="S247" s="195"/>
      <c r="T247" s="195"/>
      <c r="U247" s="195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201"/>
      <c r="L248" s="201"/>
      <c r="M248" s="201"/>
      <c r="N248" s="201"/>
      <c r="O248" s="201"/>
      <c r="Q248" s="195"/>
      <c r="R248" s="195"/>
      <c r="S248" s="195"/>
      <c r="T248" s="195"/>
      <c r="U248" s="195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5"/>
      <c r="K249" s="201"/>
      <c r="L249" s="201"/>
      <c r="M249" s="201"/>
      <c r="N249" s="201"/>
      <c r="O249" s="201"/>
      <c r="Q249" s="195"/>
      <c r="R249" s="195"/>
      <c r="S249" s="195"/>
      <c r="T249" s="195"/>
      <c r="U249" s="195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201"/>
      <c r="L250" s="201"/>
      <c r="M250" s="201"/>
      <c r="N250" s="201"/>
      <c r="O250" s="201"/>
      <c r="Q250" s="195"/>
      <c r="R250" s="195"/>
      <c r="S250" s="195"/>
      <c r="T250" s="195"/>
      <c r="U250" s="195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5"/>
      <c r="K251" s="201"/>
      <c r="L251" s="201"/>
      <c r="M251" s="201"/>
      <c r="N251" s="201"/>
      <c r="O251" s="201"/>
      <c r="Q251" s="195"/>
      <c r="R251" s="195"/>
      <c r="S251" s="195"/>
      <c r="T251" s="195"/>
      <c r="U251" s="195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201"/>
      <c r="L252" s="201"/>
      <c r="M252" s="201"/>
      <c r="N252" s="201"/>
      <c r="O252" s="201"/>
      <c r="Q252" s="195"/>
      <c r="R252" s="195"/>
      <c r="S252" s="195"/>
      <c r="T252" s="195"/>
      <c r="U252" s="195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5"/>
      <c r="K253" s="201"/>
      <c r="L253" s="201"/>
      <c r="M253" s="201"/>
      <c r="N253" s="201"/>
      <c r="O253" s="201"/>
      <c r="Q253" s="195"/>
      <c r="R253" s="195"/>
      <c r="S253" s="195"/>
      <c r="T253" s="195"/>
      <c r="U253" s="195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201"/>
      <c r="L254" s="201"/>
      <c r="M254" s="201"/>
      <c r="N254" s="201"/>
      <c r="O254" s="201"/>
      <c r="Q254" s="195"/>
      <c r="R254" s="195"/>
      <c r="S254" s="195"/>
      <c r="T254" s="195"/>
      <c r="U254" s="195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5"/>
      <c r="K255" s="201"/>
      <c r="L255" s="201"/>
      <c r="M255" s="201"/>
      <c r="N255" s="201"/>
      <c r="O255" s="201"/>
      <c r="Q255" s="195"/>
      <c r="R255" s="195"/>
      <c r="S255" s="195"/>
      <c r="T255" s="195"/>
      <c r="U255" s="195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201"/>
      <c r="L256" s="201"/>
      <c r="M256" s="201"/>
      <c r="N256" s="201"/>
      <c r="O256" s="201"/>
      <c r="Q256" s="195"/>
      <c r="R256" s="195"/>
      <c r="S256" s="195"/>
      <c r="T256" s="195"/>
      <c r="U256" s="195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5"/>
      <c r="K257" s="201"/>
      <c r="L257" s="201"/>
      <c r="M257" s="201"/>
      <c r="N257" s="201"/>
      <c r="O257" s="201"/>
      <c r="Q257" s="195"/>
      <c r="R257" s="195"/>
      <c r="S257" s="195"/>
      <c r="T257" s="195"/>
      <c r="U257" s="195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201"/>
      <c r="L258" s="201"/>
      <c r="M258" s="201"/>
      <c r="N258" s="201"/>
      <c r="O258" s="201"/>
      <c r="Q258" s="195"/>
      <c r="R258" s="195"/>
      <c r="S258" s="195"/>
      <c r="T258" s="195"/>
      <c r="U258" s="195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5"/>
      <c r="K259" s="201"/>
      <c r="L259" s="201"/>
      <c r="M259" s="201"/>
      <c r="N259" s="201"/>
      <c r="O259" s="201"/>
      <c r="Q259" s="195"/>
      <c r="R259" s="195"/>
      <c r="S259" s="195"/>
      <c r="T259" s="195"/>
      <c r="U259" s="195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201"/>
      <c r="L260" s="201"/>
      <c r="M260" s="201"/>
      <c r="N260" s="201"/>
      <c r="O260" s="201"/>
      <c r="Q260" s="195"/>
      <c r="R260" s="195"/>
      <c r="S260" s="195"/>
      <c r="T260" s="195"/>
      <c r="U260" s="195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5"/>
      <c r="K261" s="201"/>
      <c r="L261" s="201"/>
      <c r="M261" s="201"/>
      <c r="N261" s="201"/>
      <c r="O261" s="201"/>
      <c r="Q261" s="195"/>
      <c r="R261" s="195"/>
      <c r="S261" s="195"/>
      <c r="T261" s="195"/>
      <c r="U261" s="195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201"/>
      <c r="L262" s="201"/>
      <c r="M262" s="201"/>
      <c r="N262" s="201"/>
      <c r="O262" s="201"/>
      <c r="Q262" s="195"/>
      <c r="R262" s="195"/>
      <c r="S262" s="195"/>
      <c r="T262" s="195"/>
      <c r="U262" s="195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5"/>
      <c r="K263" s="201"/>
      <c r="L263" s="201"/>
      <c r="M263" s="201"/>
      <c r="N263" s="201"/>
      <c r="O263" s="201"/>
      <c r="Q263" s="195"/>
      <c r="R263" s="195"/>
      <c r="S263" s="195"/>
      <c r="T263" s="195"/>
      <c r="U263" s="195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201"/>
      <c r="L264" s="201"/>
      <c r="M264" s="201"/>
      <c r="N264" s="201"/>
      <c r="O264" s="201"/>
      <c r="Q264" s="195"/>
      <c r="R264" s="195"/>
      <c r="S264" s="195"/>
      <c r="T264" s="195"/>
      <c r="U264" s="195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5"/>
      <c r="K265" s="201"/>
      <c r="L265" s="201"/>
      <c r="M265" s="201"/>
      <c r="N265" s="201"/>
      <c r="O265" s="201"/>
      <c r="Q265" s="195"/>
      <c r="R265" s="195"/>
      <c r="S265" s="195"/>
      <c r="T265" s="195"/>
      <c r="U265" s="195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201"/>
      <c r="L266" s="201"/>
      <c r="M266" s="201"/>
      <c r="N266" s="201"/>
      <c r="O266" s="201"/>
      <c r="Q266" s="195"/>
      <c r="R266" s="195"/>
      <c r="S266" s="195"/>
      <c r="T266" s="195"/>
      <c r="U266" s="195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5"/>
      <c r="K267" s="201"/>
      <c r="L267" s="201"/>
      <c r="M267" s="201"/>
      <c r="N267" s="201"/>
      <c r="O267" s="201"/>
      <c r="Q267" s="195"/>
      <c r="R267" s="195"/>
      <c r="S267" s="195"/>
      <c r="T267" s="195"/>
      <c r="U267" s="195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201"/>
      <c r="L268" s="201"/>
      <c r="M268" s="201"/>
      <c r="N268" s="201"/>
      <c r="O268" s="201"/>
      <c r="Q268" s="195"/>
      <c r="R268" s="195"/>
      <c r="S268" s="195"/>
      <c r="T268" s="195"/>
      <c r="U268" s="195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5"/>
      <c r="K269" s="201"/>
      <c r="L269" s="201"/>
      <c r="M269" s="201"/>
      <c r="N269" s="201"/>
      <c r="O269" s="201"/>
      <c r="Q269" s="195"/>
      <c r="R269" s="195"/>
      <c r="S269" s="195"/>
      <c r="T269" s="195"/>
      <c r="U269" s="195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201"/>
      <c r="L270" s="201"/>
      <c r="M270" s="201"/>
      <c r="N270" s="201"/>
      <c r="O270" s="201"/>
      <c r="Q270" s="195"/>
      <c r="R270" s="195"/>
      <c r="S270" s="195"/>
      <c r="T270" s="195"/>
      <c r="U270" s="195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5"/>
      <c r="K271" s="201"/>
      <c r="L271" s="201"/>
      <c r="M271" s="201"/>
      <c r="N271" s="201"/>
      <c r="O271" s="201"/>
      <c r="Q271" s="195"/>
      <c r="R271" s="195"/>
      <c r="S271" s="195"/>
      <c r="T271" s="195"/>
      <c r="U271" s="195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201"/>
      <c r="L272" s="201"/>
      <c r="M272" s="201"/>
      <c r="N272" s="201"/>
      <c r="O272" s="201"/>
      <c r="Q272" s="195"/>
      <c r="R272" s="195"/>
      <c r="S272" s="195"/>
      <c r="T272" s="195"/>
      <c r="U272" s="195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5"/>
      <c r="K273" s="201"/>
      <c r="L273" s="201"/>
      <c r="M273" s="201"/>
      <c r="N273" s="201"/>
      <c r="O273" s="201"/>
      <c r="Q273" s="195"/>
      <c r="R273" s="195"/>
      <c r="S273" s="195"/>
      <c r="T273" s="195"/>
      <c r="U273" s="195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201"/>
      <c r="L274" s="201"/>
      <c r="M274" s="201"/>
      <c r="N274" s="201"/>
      <c r="O274" s="201"/>
      <c r="Q274" s="195"/>
      <c r="R274" s="195"/>
      <c r="S274" s="195"/>
      <c r="T274" s="195"/>
      <c r="U274" s="195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5"/>
      <c r="K275" s="201"/>
      <c r="L275" s="201"/>
      <c r="M275" s="201"/>
      <c r="N275" s="201"/>
      <c r="O275" s="201"/>
      <c r="Q275" s="195"/>
      <c r="R275" s="195"/>
      <c r="S275" s="195"/>
      <c r="T275" s="195"/>
      <c r="U275" s="195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201"/>
      <c r="L276" s="201"/>
      <c r="M276" s="201"/>
      <c r="N276" s="201"/>
      <c r="O276" s="201"/>
      <c r="Q276" s="195"/>
      <c r="R276" s="195"/>
      <c r="S276" s="195"/>
      <c r="T276" s="195"/>
      <c r="U276" s="195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5"/>
      <c r="K277" s="201"/>
      <c r="L277" s="201"/>
      <c r="M277" s="201"/>
      <c r="N277" s="201"/>
      <c r="O277" s="201"/>
      <c r="Q277" s="195"/>
      <c r="R277" s="195"/>
      <c r="S277" s="195"/>
      <c r="T277" s="195"/>
      <c r="U277" s="195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201"/>
      <c r="L278" s="201"/>
      <c r="M278" s="201"/>
      <c r="N278" s="201"/>
      <c r="O278" s="201"/>
      <c r="Q278" s="195"/>
      <c r="R278" s="195"/>
      <c r="S278" s="195"/>
      <c r="T278" s="195"/>
      <c r="U278" s="195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5"/>
      <c r="K279" s="201"/>
      <c r="L279" s="201"/>
      <c r="M279" s="201"/>
      <c r="N279" s="201"/>
      <c r="O279" s="201"/>
      <c r="Q279" s="195"/>
      <c r="R279" s="195"/>
      <c r="S279" s="195"/>
      <c r="T279" s="195"/>
      <c r="U279" s="195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201"/>
      <c r="L280" s="201"/>
      <c r="M280" s="201"/>
      <c r="N280" s="201"/>
      <c r="O280" s="201"/>
      <c r="Q280" s="195"/>
      <c r="R280" s="195"/>
      <c r="S280" s="195"/>
      <c r="T280" s="195"/>
      <c r="U280" s="195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5"/>
      <c r="K281" s="201"/>
      <c r="L281" s="201"/>
      <c r="M281" s="201"/>
      <c r="N281" s="201"/>
      <c r="O281" s="201"/>
      <c r="Q281" s="195"/>
      <c r="R281" s="195"/>
      <c r="S281" s="195"/>
      <c r="T281" s="195"/>
      <c r="U281" s="195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201"/>
      <c r="L282" s="201"/>
      <c r="M282" s="201"/>
      <c r="N282" s="201"/>
      <c r="O282" s="201"/>
      <c r="Q282" s="195"/>
      <c r="R282" s="195"/>
      <c r="S282" s="195"/>
      <c r="T282" s="195"/>
      <c r="U282" s="195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5"/>
      <c r="K283" s="201"/>
      <c r="L283" s="201"/>
      <c r="M283" s="201"/>
      <c r="N283" s="201"/>
      <c r="O283" s="201"/>
      <c r="Q283" s="195"/>
      <c r="R283" s="195"/>
      <c r="S283" s="195"/>
      <c r="T283" s="195"/>
      <c r="U283" s="195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201"/>
      <c r="L284" s="201"/>
      <c r="M284" s="201"/>
      <c r="N284" s="201"/>
      <c r="O284" s="201"/>
      <c r="Q284" s="195"/>
      <c r="R284" s="195"/>
      <c r="S284" s="195"/>
      <c r="T284" s="195"/>
      <c r="U284" s="195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5"/>
      <c r="K285" s="201"/>
      <c r="L285" s="201"/>
      <c r="M285" s="201"/>
      <c r="N285" s="201"/>
      <c r="O285" s="201"/>
      <c r="Q285" s="195"/>
      <c r="R285" s="195"/>
      <c r="S285" s="195"/>
      <c r="T285" s="195"/>
      <c r="U285" s="195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201"/>
      <c r="L286" s="201"/>
      <c r="M286" s="201"/>
      <c r="N286" s="201"/>
      <c r="O286" s="201"/>
      <c r="Q286" s="195"/>
      <c r="R286" s="195"/>
      <c r="S286" s="195"/>
      <c r="T286" s="195"/>
      <c r="U286" s="195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5"/>
      <c r="K287" s="201"/>
      <c r="L287" s="201"/>
      <c r="M287" s="201"/>
      <c r="N287" s="201"/>
      <c r="O287" s="201"/>
      <c r="Q287" s="195"/>
      <c r="R287" s="195"/>
      <c r="S287" s="195"/>
      <c r="T287" s="195"/>
      <c r="U287" s="195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201"/>
      <c r="L288" s="201"/>
      <c r="M288" s="201"/>
      <c r="N288" s="201"/>
      <c r="O288" s="201"/>
      <c r="Q288" s="195"/>
      <c r="R288" s="195"/>
      <c r="S288" s="195"/>
      <c r="T288" s="195"/>
      <c r="U288" s="195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5"/>
      <c r="K289" s="201"/>
      <c r="L289" s="201"/>
      <c r="M289" s="201"/>
      <c r="N289" s="201"/>
      <c r="O289" s="201"/>
      <c r="Q289" s="195"/>
      <c r="R289" s="195"/>
      <c r="S289" s="195"/>
      <c r="T289" s="195"/>
      <c r="U289" s="195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201"/>
      <c r="L290" s="201"/>
      <c r="M290" s="201"/>
      <c r="N290" s="201"/>
      <c r="O290" s="201"/>
      <c r="Q290" s="195"/>
      <c r="R290" s="195"/>
      <c r="S290" s="195"/>
      <c r="T290" s="195"/>
      <c r="U290" s="195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5"/>
      <c r="K291" s="201"/>
      <c r="L291" s="201"/>
      <c r="M291" s="201"/>
      <c r="N291" s="201"/>
      <c r="O291" s="201"/>
      <c r="Q291" s="195"/>
      <c r="R291" s="195"/>
      <c r="S291" s="195"/>
      <c r="T291" s="195"/>
      <c r="U291" s="195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201"/>
      <c r="L292" s="201"/>
      <c r="M292" s="201"/>
      <c r="N292" s="201"/>
      <c r="O292" s="201"/>
      <c r="Q292" s="195"/>
      <c r="R292" s="195"/>
      <c r="S292" s="195"/>
      <c r="T292" s="195"/>
      <c r="U292" s="195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5"/>
      <c r="K293" s="201"/>
      <c r="L293" s="201"/>
      <c r="M293" s="201"/>
      <c r="N293" s="201"/>
      <c r="O293" s="201"/>
      <c r="Q293" s="195"/>
      <c r="R293" s="195"/>
      <c r="S293" s="195"/>
      <c r="T293" s="195"/>
      <c r="U293" s="195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5"/>
      <c r="K294" s="201"/>
      <c r="L294" s="201"/>
      <c r="M294" s="201"/>
      <c r="N294" s="201"/>
      <c r="O294" s="201"/>
      <c r="Q294" s="195"/>
      <c r="R294" s="195"/>
      <c r="S294" s="195"/>
      <c r="T294" s="195"/>
      <c r="U294" s="195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5"/>
      <c r="K295" s="201"/>
      <c r="L295" s="201"/>
      <c r="M295" s="201"/>
      <c r="N295" s="201"/>
      <c r="O295" s="201"/>
      <c r="Q295" s="195"/>
      <c r="R295" s="195"/>
      <c r="S295" s="195"/>
      <c r="T295" s="195"/>
      <c r="U295" s="195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5"/>
      <c r="K296" s="201"/>
      <c r="L296" s="201"/>
      <c r="M296" s="201"/>
      <c r="N296" s="201"/>
      <c r="O296" s="201"/>
      <c r="Q296" s="195"/>
      <c r="R296" s="195"/>
      <c r="S296" s="195"/>
      <c r="T296" s="195"/>
      <c r="U296" s="195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5"/>
      <c r="K297" s="201"/>
      <c r="L297" s="201"/>
      <c r="M297" s="201"/>
      <c r="N297" s="201"/>
      <c r="O297" s="201"/>
      <c r="Q297" s="195"/>
      <c r="R297" s="195"/>
      <c r="S297" s="195"/>
      <c r="T297" s="195"/>
      <c r="U297" s="195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5"/>
      <c r="K298" s="201"/>
      <c r="L298" s="201"/>
      <c r="M298" s="201"/>
      <c r="N298" s="201"/>
      <c r="O298" s="201"/>
      <c r="Q298" s="195"/>
      <c r="R298" s="195"/>
      <c r="S298" s="195"/>
      <c r="T298" s="195"/>
      <c r="U298" s="195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5"/>
      <c r="K299" s="201"/>
      <c r="L299" s="201"/>
      <c r="M299" s="201"/>
      <c r="N299" s="201"/>
      <c r="O299" s="201"/>
      <c r="Q299" s="195"/>
      <c r="R299" s="195"/>
      <c r="S299" s="195"/>
      <c r="T299" s="195"/>
      <c r="U299" s="195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5"/>
      <c r="K300" s="201"/>
      <c r="L300" s="201"/>
      <c r="M300" s="201"/>
      <c r="N300" s="201"/>
      <c r="O300" s="201"/>
      <c r="Q300" s="195"/>
      <c r="R300" s="195"/>
      <c r="S300" s="195"/>
      <c r="T300" s="195"/>
      <c r="U300" s="195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5"/>
      <c r="K301" s="201"/>
      <c r="L301" s="201"/>
      <c r="M301" s="201"/>
      <c r="N301" s="201"/>
      <c r="O301" s="201"/>
      <c r="Q301" s="195"/>
      <c r="R301" s="195"/>
      <c r="S301" s="195"/>
      <c r="T301" s="195"/>
      <c r="U301" s="195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5"/>
      <c r="K302" s="201"/>
      <c r="L302" s="201"/>
      <c r="M302" s="201"/>
      <c r="N302" s="201"/>
      <c r="O302" s="201"/>
      <c r="Q302" s="195"/>
      <c r="R302" s="195"/>
      <c r="S302" s="195"/>
      <c r="T302" s="195"/>
      <c r="U302" s="195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5"/>
      <c r="K303" s="201"/>
      <c r="L303" s="201"/>
      <c r="M303" s="201"/>
      <c r="N303" s="201"/>
      <c r="O303" s="201"/>
      <c r="Q303" s="195"/>
      <c r="R303" s="195"/>
      <c r="S303" s="195"/>
      <c r="T303" s="195"/>
      <c r="U303" s="195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5"/>
      <c r="K304" s="201"/>
      <c r="L304" s="201"/>
      <c r="M304" s="201"/>
      <c r="N304" s="201"/>
      <c r="O304" s="201"/>
      <c r="Q304" s="195"/>
      <c r="R304" s="195"/>
      <c r="S304" s="195"/>
      <c r="T304" s="195"/>
      <c r="U304" s="195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129</v>
      </c>
      <c r="F2" s="145">
        <f>Parameter!L5+Parameter!L7</f>
        <v>0.89999999999999991</v>
      </c>
      <c r="G2" s="145">
        <f>Parameter!L6</f>
        <v>0.1</v>
      </c>
      <c r="M2" s="15" t="s">
        <v>128</v>
      </c>
      <c r="S2" s="15" t="s">
        <v>193</v>
      </c>
    </row>
    <row r="3" spans="2:31">
      <c r="B3" s="122" t="s">
        <v>65</v>
      </c>
      <c r="C3" s="122" t="s">
        <v>128</v>
      </c>
      <c r="D3" s="122" t="s">
        <v>183</v>
      </c>
      <c r="E3" s="122" t="s">
        <v>184</v>
      </c>
      <c r="M3" s="128" t="s">
        <v>188</v>
      </c>
      <c r="N3" s="128" t="s">
        <v>92</v>
      </c>
      <c r="O3" s="128" t="s">
        <v>93</v>
      </c>
      <c r="P3" s="128" t="s">
        <v>186</v>
      </c>
      <c r="Q3" s="128" t="s">
        <v>187</v>
      </c>
      <c r="S3" s="128" t="s">
        <v>188</v>
      </c>
      <c r="T3" s="128" t="s">
        <v>92</v>
      </c>
      <c r="U3" s="128" t="s">
        <v>93</v>
      </c>
      <c r="V3" s="128" t="s">
        <v>186</v>
      </c>
      <c r="W3" s="128" t="s">
        <v>187</v>
      </c>
      <c r="Y3" s="15" t="s">
        <v>194</v>
      </c>
      <c r="Z3" s="15" t="s">
        <v>195</v>
      </c>
      <c r="AA3" s="15" t="s">
        <v>93</v>
      </c>
    </row>
    <row r="4" spans="2:31">
      <c r="B4" s="113">
        <v>0</v>
      </c>
      <c r="C4" s="146">
        <v>0.12890728185260192</v>
      </c>
      <c r="D4" s="149">
        <v>0.17979999999999999</v>
      </c>
      <c r="E4" s="149">
        <v>0</v>
      </c>
      <c r="F4" s="140" cm="1">
        <f t="array" ref="F4:F13">D4:D13*F2+E4:E13*G2</f>
        <v>0.16181999999999996</v>
      </c>
      <c r="G4" s="15">
        <v>0</v>
      </c>
      <c r="H4" s="140" cm="1">
        <f t="array" ref="H4:H13">G4:G13/10000</f>
        <v>0</v>
      </c>
      <c r="M4" s="156">
        <v>0</v>
      </c>
      <c r="N4" s="155">
        <v>0.12890728185260192</v>
      </c>
      <c r="O4" s="155">
        <v>5.6827150749802685E-2</v>
      </c>
      <c r="P4" s="155">
        <v>0.1214574898785425</v>
      </c>
      <c r="Q4" s="155">
        <v>0.14634146341463414</v>
      </c>
      <c r="S4" s="156">
        <v>0</v>
      </c>
      <c r="T4" s="155">
        <v>4.3664399999999999E-2</v>
      </c>
      <c r="U4" s="155">
        <v>0</v>
      </c>
      <c r="V4" s="155">
        <v>0</v>
      </c>
      <c r="W4" s="155">
        <v>0</v>
      </c>
    </row>
    <row r="5" spans="2:31">
      <c r="B5" s="113">
        <v>1</v>
      </c>
      <c r="C5" s="146">
        <v>0.30351325173901561</v>
      </c>
      <c r="D5" s="149">
        <v>0.35339999999999999</v>
      </c>
      <c r="E5" s="149">
        <v>0</v>
      </c>
      <c r="F5" s="140">
        <v>0.31805999999999995</v>
      </c>
      <c r="G5" s="15" cm="1">
        <f t="array" ref="G5:G13">TRANSPOSE(Parameter!AD5:AL5)</f>
        <v>300</v>
      </c>
      <c r="H5" s="140">
        <v>0.03</v>
      </c>
      <c r="M5" s="157">
        <v>1</v>
      </c>
      <c r="N5" s="139">
        <v>0.30351325173901561</v>
      </c>
      <c r="O5" s="139">
        <v>0.14601420678768745</v>
      </c>
      <c r="P5" s="139">
        <v>0.22672064777327935</v>
      </c>
      <c r="Q5" s="139">
        <v>0.3902439024390244</v>
      </c>
      <c r="S5" s="157">
        <v>1</v>
      </c>
      <c r="T5" s="139">
        <v>0.31492110000000001</v>
      </c>
      <c r="U5" s="139">
        <v>0</v>
      </c>
      <c r="V5" s="139">
        <v>0</v>
      </c>
      <c r="W5" s="139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40" cm="1">
        <f t="array" ref="AC5:AC13">_xlfn.ANCHORARRAY(Y5)/10000</f>
        <v>0.03</v>
      </c>
      <c r="AD5" s="140" cm="1">
        <f t="array" ref="AD5:AD13">_xlfn.ANCHORARRAY(Z5)/10000</f>
        <v>0</v>
      </c>
      <c r="AE5" s="140" cm="1">
        <f t="array" ref="AE5:AE13">_xlfn.ANCHORARRAY(AA5)/10000</f>
        <v>0</v>
      </c>
    </row>
    <row r="6" spans="2:31">
      <c r="B6" s="113">
        <v>2</v>
      </c>
      <c r="C6" s="146">
        <v>0.30338117460596986</v>
      </c>
      <c r="D6" s="149">
        <v>0.29630000000000001</v>
      </c>
      <c r="E6" s="149">
        <v>0</v>
      </c>
      <c r="F6" s="140">
        <v>0.26666999999999996</v>
      </c>
      <c r="G6" s="15">
        <v>600</v>
      </c>
      <c r="H6" s="140">
        <v>0.06</v>
      </c>
      <c r="M6" s="157">
        <v>2</v>
      </c>
      <c r="N6" s="139">
        <v>0.30338117460596986</v>
      </c>
      <c r="O6" s="139">
        <v>0.23993685872138912</v>
      </c>
      <c r="P6" s="139">
        <v>0.25506072874493929</v>
      </c>
      <c r="Q6" s="139">
        <v>0.26829268292682928</v>
      </c>
      <c r="S6" s="157">
        <v>2</v>
      </c>
      <c r="T6" s="139">
        <v>0.35247650000000003</v>
      </c>
      <c r="U6" s="139">
        <v>0</v>
      </c>
      <c r="V6" s="139">
        <v>0</v>
      </c>
      <c r="W6" s="139">
        <v>0</v>
      </c>
      <c r="Y6" s="15">
        <v>600</v>
      </c>
      <c r="Z6" s="15">
        <v>0</v>
      </c>
      <c r="AA6" s="15">
        <v>0</v>
      </c>
      <c r="AC6" s="140">
        <v>0.06</v>
      </c>
      <c r="AD6" s="140">
        <v>0</v>
      </c>
      <c r="AE6" s="140">
        <v>0</v>
      </c>
    </row>
    <row r="7" spans="2:31">
      <c r="B7" s="113">
        <v>3</v>
      </c>
      <c r="C7" s="146">
        <v>0.18173813507088141</v>
      </c>
      <c r="D7" s="149">
        <v>0.13270000000000001</v>
      </c>
      <c r="E7" s="149">
        <v>0.17960000000000001</v>
      </c>
      <c r="F7" s="140">
        <v>0.13738999999999998</v>
      </c>
      <c r="G7" s="15">
        <v>1080</v>
      </c>
      <c r="H7" s="140">
        <v>0.108</v>
      </c>
      <c r="M7" s="157">
        <v>3</v>
      </c>
      <c r="N7" s="139">
        <v>0.18173813507088141</v>
      </c>
      <c r="O7" s="139">
        <v>0.24072612470402527</v>
      </c>
      <c r="P7" s="139">
        <v>0.20647773279352227</v>
      </c>
      <c r="Q7" s="139">
        <v>0.12195121951219512</v>
      </c>
      <c r="S7" s="157">
        <v>3</v>
      </c>
      <c r="T7" s="139">
        <v>0.16485949999999999</v>
      </c>
      <c r="U7" s="139">
        <v>0.17066543425199321</v>
      </c>
      <c r="V7" s="139">
        <v>0.27341059521774169</v>
      </c>
      <c r="W7" s="139">
        <v>0.34563942836203743</v>
      </c>
      <c r="Y7" s="15">
        <v>1080</v>
      </c>
      <c r="Z7" s="15">
        <v>525</v>
      </c>
      <c r="AA7" s="15">
        <v>525</v>
      </c>
      <c r="AC7" s="140">
        <v>0.108</v>
      </c>
      <c r="AD7" s="140">
        <v>5.2499999999999998E-2</v>
      </c>
      <c r="AE7" s="140">
        <v>5.2499999999999998E-2</v>
      </c>
    </row>
    <row r="8" spans="2:31">
      <c r="B8" s="113">
        <v>4</v>
      </c>
      <c r="C8" s="146">
        <v>6.3705203839042004E-2</v>
      </c>
      <c r="D8" s="149">
        <v>3.3300000000000003E-2</v>
      </c>
      <c r="E8" s="149">
        <v>0.38219999999999998</v>
      </c>
      <c r="F8" s="140">
        <v>6.8190000000000001E-2</v>
      </c>
      <c r="G8" s="15">
        <v>1440</v>
      </c>
      <c r="H8" s="140">
        <v>0.14399999999999999</v>
      </c>
      <c r="M8" s="157">
        <v>4</v>
      </c>
      <c r="N8" s="139">
        <v>6.3705203839042004E-2</v>
      </c>
      <c r="O8" s="139">
        <v>0.17363851617995266</v>
      </c>
      <c r="P8" s="139">
        <v>8.9068825910931168E-2</v>
      </c>
      <c r="Q8" s="139">
        <v>2.4390243902439025E-2</v>
      </c>
      <c r="S8" s="157">
        <v>4</v>
      </c>
      <c r="T8" s="139">
        <v>6.9643399999999994E-2</v>
      </c>
      <c r="U8" s="139">
        <v>0.39462506183361939</v>
      </c>
      <c r="V8" s="139">
        <v>0.40069120484576121</v>
      </c>
      <c r="W8" s="139">
        <v>0.42079516306339321</v>
      </c>
      <c r="Y8" s="15">
        <v>1440</v>
      </c>
      <c r="Z8" s="15">
        <v>700</v>
      </c>
      <c r="AA8" s="15">
        <v>700</v>
      </c>
      <c r="AC8" s="140">
        <v>0.14399999999999999</v>
      </c>
      <c r="AD8" s="140">
        <v>7.0000000000000007E-2</v>
      </c>
      <c r="AE8" s="140">
        <v>7.0000000000000007E-2</v>
      </c>
    </row>
    <row r="9" spans="2:31">
      <c r="B9" s="113">
        <v>5</v>
      </c>
      <c r="C9" s="146">
        <v>1.4748613190103021E-2</v>
      </c>
      <c r="D9" s="149">
        <v>4.4000000000000003E-3</v>
      </c>
      <c r="E9" s="149">
        <v>0.29920000000000002</v>
      </c>
      <c r="F9" s="140">
        <v>3.388E-2</v>
      </c>
      <c r="G9" s="15">
        <v>2250</v>
      </c>
      <c r="H9" s="140">
        <v>0.22500000000000001</v>
      </c>
      <c r="M9" s="157">
        <v>5</v>
      </c>
      <c r="N9" s="139">
        <v>1.4748613190103021E-2</v>
      </c>
      <c r="O9" s="139">
        <v>0.10023677979479084</v>
      </c>
      <c r="P9" s="139">
        <v>7.6923076923076927E-2</v>
      </c>
      <c r="Q9" s="139">
        <v>4.878048780487805E-2</v>
      </c>
      <c r="S9" s="157">
        <v>5</v>
      </c>
      <c r="T9" s="139">
        <v>3.9675799999999997E-2</v>
      </c>
      <c r="U9" s="139">
        <v>0.30825772020316261</v>
      </c>
      <c r="V9" s="139">
        <v>0.23469213296534211</v>
      </c>
      <c r="W9" s="139">
        <v>0.19085745694393549</v>
      </c>
      <c r="Y9" s="15">
        <v>2250</v>
      </c>
      <c r="Z9" s="15">
        <v>1750</v>
      </c>
      <c r="AA9" s="15">
        <v>1750</v>
      </c>
      <c r="AC9" s="140">
        <v>0.22500000000000001</v>
      </c>
      <c r="AD9" s="140">
        <v>0.17499999999999999</v>
      </c>
      <c r="AE9" s="140">
        <v>0.17499999999999999</v>
      </c>
    </row>
    <row r="10" spans="2:31">
      <c r="B10" s="113">
        <v>6</v>
      </c>
      <c r="C10" s="146">
        <v>3.6101083032490976E-3</v>
      </c>
      <c r="D10" s="149">
        <v>2.0000000000000001E-4</v>
      </c>
      <c r="E10" s="149">
        <v>0.1134</v>
      </c>
      <c r="F10" s="140">
        <v>1.1520000000000001E-2</v>
      </c>
      <c r="G10" s="15">
        <v>2700</v>
      </c>
      <c r="H10" s="140">
        <v>0.27</v>
      </c>
      <c r="M10" s="157">
        <v>6</v>
      </c>
      <c r="N10" s="139">
        <v>3.6101083032490976E-3</v>
      </c>
      <c r="O10" s="139">
        <v>3.1570639305445937E-2</v>
      </c>
      <c r="P10" s="139">
        <v>1.2145748987854251E-2</v>
      </c>
      <c r="Q10" s="139">
        <v>0</v>
      </c>
      <c r="S10" s="157">
        <v>6</v>
      </c>
      <c r="T10" s="139">
        <v>1.29564E-2</v>
      </c>
      <c r="U10" s="139">
        <v>0.104598098891988</v>
      </c>
      <c r="V10" s="139">
        <v>7.5171580001465454E-2</v>
      </c>
      <c r="W10" s="139">
        <v>3.8090875778673497E-2</v>
      </c>
      <c r="Y10" s="15">
        <v>2700</v>
      </c>
      <c r="Z10" s="15">
        <v>2100</v>
      </c>
      <c r="AA10" s="15">
        <v>2100</v>
      </c>
      <c r="AC10" s="140">
        <v>0.27</v>
      </c>
      <c r="AD10" s="140">
        <v>0.21</v>
      </c>
      <c r="AE10" s="140">
        <v>0.21</v>
      </c>
    </row>
    <row r="11" spans="2:31">
      <c r="B11" s="113">
        <v>7</v>
      </c>
      <c r="C11" s="146">
        <v>3.9623139913709608E-4</v>
      </c>
      <c r="D11" s="149">
        <v>0</v>
      </c>
      <c r="E11" s="149">
        <v>2.3E-2</v>
      </c>
      <c r="F11" s="140">
        <v>2.3E-3</v>
      </c>
      <c r="G11" s="15">
        <v>3150</v>
      </c>
      <c r="H11" s="140">
        <v>0.315</v>
      </c>
      <c r="M11" s="157">
        <v>7</v>
      </c>
      <c r="N11" s="139">
        <v>3.9623139913709608E-4</v>
      </c>
      <c r="O11" s="139">
        <v>1.0260457774269928E-2</v>
      </c>
      <c r="P11" s="139">
        <v>1.2145748987854251E-2</v>
      </c>
      <c r="Q11" s="139">
        <v>0</v>
      </c>
      <c r="S11" s="157">
        <v>7</v>
      </c>
      <c r="T11" s="139">
        <v>1.6918E-3</v>
      </c>
      <c r="U11" s="139">
        <v>1.9803014925997061E-2</v>
      </c>
      <c r="V11" s="139">
        <v>1.4459126102142001E-2</v>
      </c>
      <c r="W11" s="139">
        <v>4.3972150971051671E-3</v>
      </c>
      <c r="Y11" s="15">
        <v>3150</v>
      </c>
      <c r="Z11" s="15">
        <v>3675</v>
      </c>
      <c r="AA11" s="15">
        <v>3675</v>
      </c>
      <c r="AC11" s="140">
        <v>0.315</v>
      </c>
      <c r="AD11" s="140">
        <v>0.36749999999999999</v>
      </c>
      <c r="AE11" s="140">
        <v>0.36749999999999999</v>
      </c>
    </row>
    <row r="12" spans="2:31">
      <c r="B12" s="113">
        <v>8</v>
      </c>
      <c r="C12" s="146">
        <v>0</v>
      </c>
      <c r="D12" s="149">
        <v>0</v>
      </c>
      <c r="E12" s="149">
        <v>2.3999999999999998E-3</v>
      </c>
      <c r="F12" s="140">
        <v>2.3999999999999998E-4</v>
      </c>
      <c r="G12" s="15">
        <v>3600</v>
      </c>
      <c r="H12" s="140">
        <v>0.36</v>
      </c>
      <c r="M12" s="157">
        <v>8</v>
      </c>
      <c r="N12" s="139">
        <v>0</v>
      </c>
      <c r="O12" s="139">
        <v>7.8926598263614838E-4</v>
      </c>
      <c r="P12" s="139">
        <v>0</v>
      </c>
      <c r="Q12" s="139">
        <v>0</v>
      </c>
      <c r="S12" s="157">
        <v>8</v>
      </c>
      <c r="T12" s="139">
        <v>1.111E-4</v>
      </c>
      <c r="U12" s="139">
        <v>1.9554519253769821E-3</v>
      </c>
      <c r="V12" s="139">
        <v>1.5753608675475659E-3</v>
      </c>
      <c r="W12" s="139">
        <v>2.198607548552583E-4</v>
      </c>
      <c r="Y12" s="15">
        <v>3600</v>
      </c>
      <c r="Z12" s="15">
        <v>4200</v>
      </c>
      <c r="AA12" s="15">
        <v>4200</v>
      </c>
      <c r="AC12" s="140">
        <v>0.36</v>
      </c>
      <c r="AD12" s="140">
        <v>0.42</v>
      </c>
      <c r="AE12" s="140">
        <v>0.42</v>
      </c>
    </row>
    <row r="13" spans="2:31">
      <c r="B13" s="113">
        <v>9</v>
      </c>
      <c r="C13" s="146">
        <v>0</v>
      </c>
      <c r="D13" s="149">
        <v>0</v>
      </c>
      <c r="E13" s="149">
        <v>1E-4</v>
      </c>
      <c r="F13" s="140">
        <v>1.0000000000000001E-5</v>
      </c>
      <c r="G13" s="15">
        <v>4050</v>
      </c>
      <c r="H13" s="140">
        <v>0.40500000000000003</v>
      </c>
      <c r="M13" s="157">
        <v>9</v>
      </c>
      <c r="N13" s="139">
        <v>0</v>
      </c>
      <c r="O13" s="139">
        <v>0</v>
      </c>
      <c r="P13" s="139">
        <v>0</v>
      </c>
      <c r="Q13" s="139">
        <v>0</v>
      </c>
      <c r="S13" s="157">
        <v>9</v>
      </c>
      <c r="T13" s="139">
        <v>0</v>
      </c>
      <c r="U13" s="139">
        <v>9.5217967862774646E-5</v>
      </c>
      <c r="V13" s="139">
        <v>0</v>
      </c>
      <c r="W13" s="139">
        <v>0</v>
      </c>
      <c r="Y13" s="15">
        <v>4050</v>
      </c>
      <c r="Z13" s="15">
        <v>4725</v>
      </c>
      <c r="AA13" s="15">
        <v>4725</v>
      </c>
      <c r="AC13" s="140">
        <v>0.40500000000000003</v>
      </c>
      <c r="AD13" s="140">
        <v>0.47249999999999998</v>
      </c>
      <c r="AE13" s="140">
        <v>0.47249999999999998</v>
      </c>
    </row>
    <row r="14" spans="2:31">
      <c r="M14" s="157" t="s">
        <v>189</v>
      </c>
      <c r="N14" s="154">
        <f>SUMPRODUCT($M$4:$M$13,N4:N13)</f>
        <v>1.808488157083737</v>
      </c>
      <c r="O14" s="154">
        <f t="shared" ref="O14:Q14" si="0">SUMPRODUCT($M$4:$M$13,O4:O13)</f>
        <v>2.8113654301499604</v>
      </c>
      <c r="P14" s="154">
        <f t="shared" si="0"/>
        <v>2.2550607287449393</v>
      </c>
      <c r="Q14" s="154">
        <f t="shared" si="0"/>
        <v>1.6341463414634148</v>
      </c>
      <c r="S14" s="157" t="s">
        <v>189</v>
      </c>
      <c r="T14" s="154">
        <f>SUMPRODUCT($M$4:$M$13,T4:T13)</f>
        <v>2.0818749999999997</v>
      </c>
      <c r="U14" s="154">
        <f t="shared" ref="U14" si="1">SUMPRODUCT($M$4:$M$13,U4:U13)</f>
        <v>4.4144954260539579</v>
      </c>
      <c r="V14" s="154">
        <f t="shared" ref="V14" si="2">SUMPRODUCT($M$4:$M$13,V4:V13)</f>
        <v>4.1613035195271477</v>
      </c>
      <c r="W14" s="154">
        <f t="shared" ref="W14" si="3">SUMPRODUCT($M$4:$M$13,W4:W13)</f>
        <v>3.9354708684499817</v>
      </c>
    </row>
    <row r="15" spans="2:31">
      <c r="G15" s="15" t="s">
        <v>185</v>
      </c>
      <c r="T15" s="153" cm="1">
        <f t="array" ref="T15:W15">T14:W14/N14:Q14</f>
        <v>1.1511687217001798</v>
      </c>
      <c r="U15" s="153">
        <v>1.5702318093235164</v>
      </c>
      <c r="V15" s="153">
        <v>1.8453177187131158</v>
      </c>
      <c r="W15" s="153">
        <v>2.408273218006705</v>
      </c>
      <c r="AB15" s="15" t="s">
        <v>196</v>
      </c>
      <c r="AC15" s="140">
        <f>SUMPRODUCT(T5:T13,AC5:AC13)</f>
        <v>7.14278946E-2</v>
      </c>
      <c r="AD15" s="140">
        <f>SUMPRODUCT(U5:U13,AD5:AD13)</f>
        <v>0.12063827971323134</v>
      </c>
      <c r="AE15" s="140">
        <f>SUMPRODUCT(U5:U13,AE5:AE13)</f>
        <v>0.12063827971323134</v>
      </c>
    </row>
    <row r="16" spans="2:31">
      <c r="G16" s="140">
        <f>SUMPRODUCT(H4:H13,D4:D13)</f>
        <v>4.8550799999999991E-2</v>
      </c>
      <c r="H16" s="153">
        <f>1/G16</f>
        <v>20.596982953936912</v>
      </c>
      <c r="AC16" s="140" cm="1">
        <f t="array" ref="AC16:AE16">1-AC15:AE15</f>
        <v>0.92857210540000001</v>
      </c>
      <c r="AD16" s="140">
        <v>0.87936172028676862</v>
      </c>
      <c r="AE16" s="140">
        <v>0.87936172028676862</v>
      </c>
    </row>
    <row r="17" spans="2:49">
      <c r="B17" s="15" t="s">
        <v>190</v>
      </c>
      <c r="M17" s="15" t="s">
        <v>128</v>
      </c>
      <c r="S17" s="15" t="s">
        <v>127</v>
      </c>
      <c r="Y17" s="15" t="s">
        <v>194</v>
      </c>
      <c r="AC17" s="15" t="s">
        <v>195</v>
      </c>
      <c r="AG17" s="15" t="s">
        <v>93</v>
      </c>
    </row>
    <row r="18" spans="2:49">
      <c r="B18" s="122"/>
      <c r="C18" s="122" t="s">
        <v>128</v>
      </c>
      <c r="D18" s="122" t="s">
        <v>183</v>
      </c>
      <c r="E18" s="122" t="s">
        <v>184</v>
      </c>
      <c r="G18" s="15" t="s">
        <v>181</v>
      </c>
      <c r="H18" s="15" t="s">
        <v>182</v>
      </c>
      <c r="M18" s="128" t="s">
        <v>191</v>
      </c>
      <c r="N18" s="128" t="s">
        <v>92</v>
      </c>
      <c r="O18" s="128" t="s">
        <v>93</v>
      </c>
      <c r="S18" s="128" t="s">
        <v>191</v>
      </c>
      <c r="T18" s="128" t="s">
        <v>92</v>
      </c>
      <c r="U18" s="128" t="s">
        <v>194</v>
      </c>
      <c r="V18" s="128" t="s">
        <v>195</v>
      </c>
      <c r="W18" s="128" t="s">
        <v>93</v>
      </c>
      <c r="Y18" s="122" t="s">
        <v>181</v>
      </c>
      <c r="Z18" s="122" t="s">
        <v>182</v>
      </c>
      <c r="AA18" s="122"/>
      <c r="AC18" s="122" t="s">
        <v>181</v>
      </c>
      <c r="AD18" s="122" t="s">
        <v>182</v>
      </c>
      <c r="AE18" s="122"/>
      <c r="AG18" s="122" t="s">
        <v>181</v>
      </c>
      <c r="AH18" s="122" t="s">
        <v>182</v>
      </c>
      <c r="AI18" s="122"/>
    </row>
    <row r="19" spans="2:49">
      <c r="B19" s="141">
        <v>0</v>
      </c>
      <c r="C19" s="147">
        <v>0.86973562490871026</v>
      </c>
      <c r="D19" s="142" cm="1">
        <f t="array" ref="D19:D31">K19:K31</f>
        <v>0</v>
      </c>
      <c r="E19" s="142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40" cm="1">
        <f t="array" ref="I19:I31">_xlfn.ANCHORARRAY(G19)/SUM(_xlfn.ANCHORARRAY(G19))*G16</f>
        <v>0</v>
      </c>
      <c r="J19" s="140" cm="1">
        <f t="array" ref="J19:J31">_xlfn.ANCHORARRAY(H19)/SUM(_xlfn.ANCHORARRAY(H19))*(1-G16)</f>
        <v>0</v>
      </c>
      <c r="K19" s="140" cm="1">
        <f t="array" ref="K19:K23">J19:J23</f>
        <v>0</v>
      </c>
      <c r="M19" s="156">
        <v>0</v>
      </c>
      <c r="N19" s="155">
        <v>0.86973562490871026</v>
      </c>
      <c r="O19" s="155">
        <v>0.64345873104997198</v>
      </c>
      <c r="P19" s="162"/>
      <c r="Q19" s="140"/>
      <c r="R19" s="140"/>
      <c r="S19" s="156">
        <v>0</v>
      </c>
      <c r="T19" s="155" cm="1">
        <f t="array" ref="T19:T31">_xlfn.ANCHORARRAY(U19)*U33+_xlfn.ANCHORARRAY(V19)*V33</f>
        <v>0.74375000000000002</v>
      </c>
      <c r="U19" s="155" cm="1">
        <f t="array" ref="U19:U31">_xlfn.ANCHORARRAY(AA19)</f>
        <v>0.85</v>
      </c>
      <c r="V19" s="155" cm="1">
        <f t="array" ref="V19:V31">_xlfn.ANCHORARRAY(AE19)</f>
        <v>0</v>
      </c>
      <c r="W19" s="155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40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40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40" cm="1">
        <f t="array" ref="AI19:AI31">_xlfn.ANCHORARRAY(AG19)*AE15/SUM(_xlfn.ANCHORARRAY(AG19))+_xlfn.ANCHORARRAY(AH19)*AE16/SUM(_xlfn.ANCHORARRAY(AH19))</f>
        <v>0</v>
      </c>
      <c r="AN19" s="104"/>
      <c r="AO19" s="160">
        <v>50</v>
      </c>
      <c r="AP19" s="160">
        <v>50</v>
      </c>
      <c r="AQ19" s="160">
        <v>250</v>
      </c>
      <c r="AR19" s="160">
        <v>1500</v>
      </c>
      <c r="AS19" s="160">
        <v>4000</v>
      </c>
      <c r="AT19" s="160">
        <v>4000</v>
      </c>
      <c r="AU19" s="160">
        <v>4000</v>
      </c>
      <c r="AV19" s="160">
        <v>4000</v>
      </c>
      <c r="AW19" s="160">
        <v>4000</v>
      </c>
    </row>
    <row r="20" spans="2:49">
      <c r="B20" s="143">
        <v>2</v>
      </c>
      <c r="C20" s="148">
        <v>3.4690101757631819E-2</v>
      </c>
      <c r="D20" s="144">
        <v>0.34252171199999998</v>
      </c>
      <c r="E20" s="144">
        <v>0</v>
      </c>
      <c r="G20" s="15">
        <v>0</v>
      </c>
      <c r="H20" s="15">
        <v>3600</v>
      </c>
      <c r="I20" s="140">
        <v>0</v>
      </c>
      <c r="J20" s="140">
        <v>0.34252171199999998</v>
      </c>
      <c r="K20" s="140">
        <v>0.34252171199999998</v>
      </c>
      <c r="M20" s="157">
        <v>2</v>
      </c>
      <c r="N20" s="139">
        <v>3.4690101757631819E-2</v>
      </c>
      <c r="O20" s="139">
        <v>0.21617069062324537</v>
      </c>
      <c r="P20" s="140"/>
      <c r="Q20" s="140"/>
      <c r="R20" s="140"/>
      <c r="S20" s="157">
        <v>2</v>
      </c>
      <c r="T20" s="139">
        <v>8.3321277412904599E-2</v>
      </c>
      <c r="U20" s="139">
        <v>0.05</v>
      </c>
      <c r="V20" s="139">
        <v>0.3165702193032367</v>
      </c>
      <c r="W20" s="139">
        <v>0.52761703217206113</v>
      </c>
      <c r="X20" s="140"/>
      <c r="Y20" s="15">
        <v>0</v>
      </c>
      <c r="Z20" s="15">
        <v>500</v>
      </c>
      <c r="AA20" s="140">
        <v>0.05</v>
      </c>
      <c r="AC20" s="15">
        <v>0</v>
      </c>
      <c r="AD20" s="15">
        <v>3600</v>
      </c>
      <c r="AE20" s="140">
        <v>0.3165702193032367</v>
      </c>
      <c r="AG20" s="15">
        <v>0</v>
      </c>
      <c r="AH20" s="15">
        <v>6000</v>
      </c>
      <c r="AI20" s="140">
        <v>0.52761703217206113</v>
      </c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</row>
    <row r="21" spans="2:49">
      <c r="B21" s="143">
        <v>3</v>
      </c>
      <c r="C21" s="148">
        <v>2.8506743268903064E-2</v>
      </c>
      <c r="D21" s="144">
        <v>0.32349272800000001</v>
      </c>
      <c r="E21" s="144">
        <v>0</v>
      </c>
      <c r="G21" s="15">
        <v>0</v>
      </c>
      <c r="H21" s="15">
        <v>3400</v>
      </c>
      <c r="I21" s="140">
        <v>0</v>
      </c>
      <c r="J21" s="140">
        <v>0.32349272800000001</v>
      </c>
      <c r="K21" s="140">
        <v>0.32349272800000001</v>
      </c>
      <c r="M21" s="157">
        <v>3</v>
      </c>
      <c r="N21" s="139">
        <v>2.8506743268903064E-2</v>
      </c>
      <c r="O21" s="139">
        <v>8.5906793935991016E-2</v>
      </c>
      <c r="P21" s="140"/>
      <c r="Q21" s="140"/>
      <c r="R21" s="140"/>
      <c r="S21" s="157">
        <v>3</v>
      </c>
      <c r="T21" s="139">
        <v>7.2372873112187652E-2</v>
      </c>
      <c r="U21" s="139">
        <v>3.9999999999999994E-2</v>
      </c>
      <c r="V21" s="139">
        <v>0.2989829848975013</v>
      </c>
      <c r="W21" s="139">
        <v>0.24622128168029522</v>
      </c>
      <c r="X21" s="140"/>
      <c r="Y21" s="15">
        <v>0</v>
      </c>
      <c r="Z21" s="15">
        <v>400</v>
      </c>
      <c r="AA21" s="140">
        <v>3.9999999999999994E-2</v>
      </c>
      <c r="AC21" s="15">
        <v>0</v>
      </c>
      <c r="AD21" s="15">
        <v>3400</v>
      </c>
      <c r="AE21" s="140">
        <v>0.2989829848975013</v>
      </c>
      <c r="AG21" s="15">
        <v>0</v>
      </c>
      <c r="AH21" s="15">
        <v>2800</v>
      </c>
      <c r="AI21" s="140">
        <v>0.24622128168029522</v>
      </c>
      <c r="AN21" s="104">
        <v>300</v>
      </c>
      <c r="AO21" s="160" cm="1">
        <f t="array" ref="AO21:AW21">Parameter!AD4:AL4*AN21</f>
        <v>300</v>
      </c>
      <c r="AP21" s="160">
        <v>600</v>
      </c>
      <c r="AQ21" s="160">
        <v>900</v>
      </c>
      <c r="AR21" s="160">
        <v>1200</v>
      </c>
      <c r="AS21" s="160">
        <v>1500</v>
      </c>
      <c r="AT21" s="160">
        <v>1800</v>
      </c>
      <c r="AU21" s="160">
        <v>2100</v>
      </c>
      <c r="AV21" s="160">
        <v>2400</v>
      </c>
      <c r="AW21" s="160">
        <v>2700</v>
      </c>
    </row>
    <row r="22" spans="2:49">
      <c r="B22" s="143">
        <v>5</v>
      </c>
      <c r="C22" s="148">
        <v>1.9109985880519986E-2</v>
      </c>
      <c r="D22" s="144">
        <v>0.14271738</v>
      </c>
      <c r="E22" s="144">
        <v>0</v>
      </c>
      <c r="G22" s="15">
        <v>0</v>
      </c>
      <c r="H22" s="15">
        <v>1500</v>
      </c>
      <c r="I22" s="140">
        <v>0</v>
      </c>
      <c r="J22" s="140">
        <v>0.14271738</v>
      </c>
      <c r="K22" s="140">
        <v>0.14271738</v>
      </c>
      <c r="M22" s="157">
        <v>5</v>
      </c>
      <c r="N22" s="139">
        <v>1.9109985880519986E-2</v>
      </c>
      <c r="O22" s="139">
        <v>2.1897810218978103E-2</v>
      </c>
      <c r="P22" s="140"/>
      <c r="Q22" s="140"/>
      <c r="R22" s="140"/>
      <c r="S22" s="157">
        <v>5</v>
      </c>
      <c r="T22" s="139">
        <v>4.2738032255376909E-2</v>
      </c>
      <c r="U22" s="139">
        <v>0.03</v>
      </c>
      <c r="V22" s="139">
        <v>0.13190425804301528</v>
      </c>
      <c r="W22" s="139">
        <v>7.9142554825809175E-2</v>
      </c>
      <c r="X22" s="140"/>
      <c r="Y22" s="15">
        <v>0</v>
      </c>
      <c r="Z22" s="15">
        <v>300</v>
      </c>
      <c r="AA22" s="140">
        <v>0.03</v>
      </c>
      <c r="AC22" s="15">
        <v>0</v>
      </c>
      <c r="AD22" s="15">
        <v>1500</v>
      </c>
      <c r="AE22" s="140">
        <v>0.13190425804301528</v>
      </c>
      <c r="AG22" s="15">
        <v>0</v>
      </c>
      <c r="AH22" s="15">
        <v>900</v>
      </c>
      <c r="AI22" s="140">
        <v>7.9142554825809175E-2</v>
      </c>
      <c r="AN22" s="104"/>
      <c r="AO22" s="161">
        <v>1</v>
      </c>
      <c r="AP22" s="161">
        <v>1</v>
      </c>
      <c r="AQ22" s="161">
        <v>1.2</v>
      </c>
      <c r="AR22" s="161">
        <v>1.2</v>
      </c>
      <c r="AS22" s="161">
        <v>1.5</v>
      </c>
      <c r="AT22" s="161">
        <v>1.5</v>
      </c>
      <c r="AU22" s="161">
        <v>1.5</v>
      </c>
      <c r="AV22" s="161">
        <v>1.5</v>
      </c>
      <c r="AW22" s="161">
        <v>1.5</v>
      </c>
    </row>
    <row r="23" spans="2:49">
      <c r="B23" s="143">
        <v>8</v>
      </c>
      <c r="C23" s="148">
        <v>1.8111884707142509E-2</v>
      </c>
      <c r="D23" s="144">
        <v>0.14271738</v>
      </c>
      <c r="E23" s="144">
        <v>0</v>
      </c>
      <c r="G23" s="15">
        <v>0</v>
      </c>
      <c r="H23" s="15">
        <v>1500</v>
      </c>
      <c r="I23" s="140">
        <v>0</v>
      </c>
      <c r="J23" s="140">
        <v>0.14271738</v>
      </c>
      <c r="K23" s="140">
        <v>0.14271738</v>
      </c>
      <c r="M23" s="157">
        <v>8</v>
      </c>
      <c r="N23" s="139">
        <v>1.8111884707142509E-2</v>
      </c>
      <c r="O23" s="139">
        <v>1.0668163952835485E-2</v>
      </c>
      <c r="P23" s="140"/>
      <c r="Q23" s="140"/>
      <c r="R23" s="140"/>
      <c r="S23" s="157">
        <v>8</v>
      </c>
      <c r="T23" s="139">
        <v>4.2738032255376909E-2</v>
      </c>
      <c r="U23" s="139">
        <v>0.03</v>
      </c>
      <c r="V23" s="139">
        <v>0.13190425804301528</v>
      </c>
      <c r="W23" s="139">
        <v>2.6380851608603057E-2</v>
      </c>
      <c r="X23" s="140"/>
      <c r="Y23" s="15">
        <v>0</v>
      </c>
      <c r="Z23" s="15">
        <v>300</v>
      </c>
      <c r="AA23" s="140">
        <v>0.03</v>
      </c>
      <c r="AC23" s="15">
        <v>0</v>
      </c>
      <c r="AD23" s="15">
        <v>1500</v>
      </c>
      <c r="AE23" s="140">
        <v>0.13190425804301528</v>
      </c>
      <c r="AG23" s="15">
        <v>0</v>
      </c>
      <c r="AH23" s="15">
        <v>300</v>
      </c>
      <c r="AI23" s="140">
        <v>2.6380851608603057E-2</v>
      </c>
      <c r="AN23" s="104"/>
      <c r="AO23" s="104" cm="1">
        <f t="array" ref="AO23:AW23">INT(AO21:AW21*AO22:AW22)</f>
        <v>300</v>
      </c>
      <c r="AP23" s="104">
        <v>600</v>
      </c>
      <c r="AQ23" s="104">
        <v>1080</v>
      </c>
      <c r="AR23" s="104">
        <v>1440</v>
      </c>
      <c r="AS23" s="104">
        <v>2250</v>
      </c>
      <c r="AT23" s="104">
        <v>2700</v>
      </c>
      <c r="AU23" s="104">
        <v>3150</v>
      </c>
      <c r="AV23" s="104">
        <v>3600</v>
      </c>
      <c r="AW23" s="104">
        <v>4050</v>
      </c>
    </row>
    <row r="24" spans="2:49">
      <c r="B24" s="143">
        <v>10</v>
      </c>
      <c r="C24" s="148">
        <v>1.4849797945372219E-2</v>
      </c>
      <c r="D24" s="144">
        <v>1.3011614399999998E-2</v>
      </c>
      <c r="E24" s="144">
        <v>0</v>
      </c>
      <c r="G24" s="15">
        <v>2680</v>
      </c>
      <c r="H24" s="15">
        <v>0</v>
      </c>
      <c r="I24" s="140">
        <v>1.3011614399999998E-2</v>
      </c>
      <c r="J24" s="140">
        <v>0</v>
      </c>
      <c r="K24" s="140" cm="1">
        <f t="array" ref="K24:K31">I24:I31</f>
        <v>1.3011614399999998E-2</v>
      </c>
      <c r="M24" s="157">
        <v>10</v>
      </c>
      <c r="N24" s="139">
        <v>1.4849797945372219E-2</v>
      </c>
      <c r="O24" s="139">
        <v>1.0106681639528355E-2</v>
      </c>
      <c r="P24" s="140"/>
      <c r="Q24" s="140"/>
      <c r="R24" s="140"/>
      <c r="S24" s="157">
        <v>10</v>
      </c>
      <c r="T24" s="139">
        <v>4.0413823703932504E-3</v>
      </c>
      <c r="U24" s="139">
        <v>0</v>
      </c>
      <c r="V24" s="139">
        <v>3.2331058963146003E-2</v>
      </c>
      <c r="W24" s="139">
        <v>4.342978069676328E-2</v>
      </c>
      <c r="X24" s="140"/>
      <c r="Y24" s="15">
        <v>2680</v>
      </c>
      <c r="Z24" s="15">
        <v>0</v>
      </c>
      <c r="AA24" s="140">
        <v>0</v>
      </c>
      <c r="AC24" s="15">
        <v>2680</v>
      </c>
      <c r="AD24" s="15">
        <v>0</v>
      </c>
      <c r="AE24" s="140">
        <v>3.2331058963146003E-2</v>
      </c>
      <c r="AG24" s="15">
        <v>3600</v>
      </c>
      <c r="AH24" s="15">
        <v>0</v>
      </c>
      <c r="AI24" s="140">
        <v>4.342978069676328E-2</v>
      </c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</row>
    <row r="25" spans="2:49">
      <c r="B25" s="143">
        <v>15</v>
      </c>
      <c r="C25" s="148">
        <v>8.7881591119333951E-3</v>
      </c>
      <c r="D25" s="144">
        <v>1.4565239999999997E-2</v>
      </c>
      <c r="E25" s="144">
        <v>0</v>
      </c>
      <c r="G25" s="15">
        <v>3000</v>
      </c>
      <c r="H25" s="15">
        <v>0</v>
      </c>
      <c r="I25" s="140">
        <v>1.4565239999999997E-2</v>
      </c>
      <c r="J25" s="140">
        <v>0</v>
      </c>
      <c r="K25" s="140">
        <v>1.4565239999999997E-2</v>
      </c>
      <c r="M25" s="157">
        <v>15</v>
      </c>
      <c r="N25" s="139">
        <v>8.7881591119333951E-3</v>
      </c>
      <c r="O25" s="139">
        <v>5.8955642897248733E-3</v>
      </c>
      <c r="P25" s="140"/>
      <c r="Q25" s="140"/>
      <c r="R25" s="140"/>
      <c r="S25" s="157">
        <v>15</v>
      </c>
      <c r="T25" s="139">
        <v>4.5239354892461746E-3</v>
      </c>
      <c r="U25" s="139">
        <v>0</v>
      </c>
      <c r="V25" s="139">
        <v>3.6191483913969397E-2</v>
      </c>
      <c r="W25" s="139">
        <v>3.0159569928307831E-2</v>
      </c>
      <c r="X25" s="140"/>
      <c r="Y25" s="15">
        <v>3000</v>
      </c>
      <c r="Z25" s="15">
        <v>0</v>
      </c>
      <c r="AA25" s="140">
        <v>0</v>
      </c>
      <c r="AC25" s="15">
        <v>3000</v>
      </c>
      <c r="AD25" s="15">
        <v>0</v>
      </c>
      <c r="AE25" s="140">
        <v>3.6191483913969397E-2</v>
      </c>
      <c r="AG25" s="15">
        <v>2500</v>
      </c>
      <c r="AH25" s="15">
        <v>0</v>
      </c>
      <c r="AI25" s="140">
        <v>3.0159569928307831E-2</v>
      </c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</row>
    <row r="26" spans="2:49">
      <c r="B26" s="143">
        <v>20</v>
      </c>
      <c r="C26" s="148">
        <v>4.5523151078436146E-3</v>
      </c>
      <c r="D26" s="144">
        <v>9.7101599999999989E-3</v>
      </c>
      <c r="E26" s="144">
        <v>0</v>
      </c>
      <c r="G26" s="15">
        <v>2000</v>
      </c>
      <c r="H26" s="15">
        <v>0</v>
      </c>
      <c r="I26" s="140">
        <v>9.7101599999999989E-3</v>
      </c>
      <c r="J26" s="140">
        <v>0</v>
      </c>
      <c r="K26" s="140">
        <v>9.7101599999999989E-3</v>
      </c>
      <c r="M26" s="157">
        <v>20</v>
      </c>
      <c r="N26" s="139">
        <v>4.5523151078436146E-3</v>
      </c>
      <c r="O26" s="139">
        <v>2.807411566535654E-3</v>
      </c>
      <c r="P26" s="140"/>
      <c r="Q26" s="140"/>
      <c r="R26" s="140"/>
      <c r="S26" s="157">
        <v>20</v>
      </c>
      <c r="T26" s="139">
        <v>3.0159569928307835E-3</v>
      </c>
      <c r="U26" s="139">
        <v>0</v>
      </c>
      <c r="V26" s="139">
        <v>2.4127655942646268E-2</v>
      </c>
      <c r="W26" s="139">
        <v>1.8095741956984698E-2</v>
      </c>
      <c r="X26" s="140"/>
      <c r="Y26" s="15">
        <v>2000</v>
      </c>
      <c r="Z26" s="15">
        <v>0</v>
      </c>
      <c r="AA26" s="140">
        <v>0</v>
      </c>
      <c r="AC26" s="15">
        <v>2000</v>
      </c>
      <c r="AD26" s="15">
        <v>0</v>
      </c>
      <c r="AE26" s="140">
        <v>2.4127655942646268E-2</v>
      </c>
      <c r="AG26" s="15">
        <v>1500</v>
      </c>
      <c r="AH26" s="15">
        <v>0</v>
      </c>
      <c r="AI26" s="140">
        <v>1.8095741956984698E-2</v>
      </c>
      <c r="AN26" s="104">
        <v>350</v>
      </c>
      <c r="AO26" s="160" cm="1">
        <f t="array" ref="AO26:AW26">Parameter!AD4:AL4*AN26</f>
        <v>350</v>
      </c>
      <c r="AP26" s="160">
        <v>700</v>
      </c>
      <c r="AQ26" s="160">
        <v>1050</v>
      </c>
      <c r="AR26" s="160">
        <v>1400</v>
      </c>
      <c r="AS26" s="160">
        <v>1750</v>
      </c>
      <c r="AT26" s="160">
        <v>2100</v>
      </c>
      <c r="AU26" s="160">
        <v>2450</v>
      </c>
      <c r="AV26" s="160">
        <v>2800</v>
      </c>
      <c r="AW26" s="160">
        <v>3150</v>
      </c>
    </row>
    <row r="27" spans="2:49">
      <c r="B27" s="143">
        <v>25</v>
      </c>
      <c r="C27" s="148">
        <v>1.3876040703052729E-3</v>
      </c>
      <c r="D27" s="144">
        <v>2.4275399999999997E-3</v>
      </c>
      <c r="E27" s="144">
        <v>0</v>
      </c>
      <c r="G27" s="15">
        <v>500</v>
      </c>
      <c r="H27" s="15">
        <v>0</v>
      </c>
      <c r="I27" s="140">
        <v>2.4275399999999997E-3</v>
      </c>
      <c r="J27" s="140">
        <v>0</v>
      </c>
      <c r="K27" s="140">
        <v>2.4275399999999997E-3</v>
      </c>
      <c r="M27" s="157">
        <v>25</v>
      </c>
      <c r="N27" s="139">
        <v>1.3876040703052729E-3</v>
      </c>
      <c r="O27" s="139">
        <v>5.6148231330713087E-4</v>
      </c>
      <c r="P27" s="140"/>
      <c r="Q27" s="140"/>
      <c r="R27" s="140"/>
      <c r="S27" s="157">
        <v>25</v>
      </c>
      <c r="T27" s="139">
        <v>7.5398924820769587E-4</v>
      </c>
      <c r="U27" s="139">
        <v>0</v>
      </c>
      <c r="V27" s="139">
        <v>6.031913985661567E-3</v>
      </c>
      <c r="W27" s="139">
        <v>3.0159569928307835E-3</v>
      </c>
      <c r="X27" s="140"/>
      <c r="Y27" s="15">
        <v>500</v>
      </c>
      <c r="Z27" s="15">
        <v>0</v>
      </c>
      <c r="AA27" s="140">
        <v>0</v>
      </c>
      <c r="AC27" s="15">
        <v>500</v>
      </c>
      <c r="AD27" s="15">
        <v>0</v>
      </c>
      <c r="AE27" s="140">
        <v>6.031913985661567E-3</v>
      </c>
      <c r="AG27" s="15">
        <v>250</v>
      </c>
      <c r="AH27" s="15">
        <v>0</v>
      </c>
      <c r="AI27" s="140">
        <v>3.0159569928307835E-3</v>
      </c>
      <c r="AN27" s="104"/>
      <c r="AO27" s="161">
        <v>0</v>
      </c>
      <c r="AP27" s="161">
        <v>0</v>
      </c>
      <c r="AQ27" s="161">
        <v>1</v>
      </c>
      <c r="AR27" s="161">
        <v>1</v>
      </c>
      <c r="AS27" s="161">
        <v>1</v>
      </c>
      <c r="AT27" s="161">
        <v>1</v>
      </c>
      <c r="AU27" s="161">
        <v>1.5</v>
      </c>
      <c r="AV27" s="161">
        <v>1.5</v>
      </c>
      <c r="AW27" s="161">
        <v>1.5</v>
      </c>
    </row>
    <row r="28" spans="2:49">
      <c r="B28" s="143">
        <v>35</v>
      </c>
      <c r="C28" s="148">
        <v>1.9475144846389794E-4</v>
      </c>
      <c r="D28" s="144">
        <v>4.8550799999999995E-4</v>
      </c>
      <c r="E28" s="144">
        <v>0</v>
      </c>
      <c r="G28" s="15">
        <v>100</v>
      </c>
      <c r="H28" s="15">
        <v>0</v>
      </c>
      <c r="I28" s="140">
        <v>4.8550799999999995E-4</v>
      </c>
      <c r="J28" s="140">
        <v>0</v>
      </c>
      <c r="K28" s="140">
        <v>4.8550799999999995E-4</v>
      </c>
      <c r="M28" s="157">
        <v>35</v>
      </c>
      <c r="N28" s="139">
        <v>1.9475144846389794E-4</v>
      </c>
      <c r="O28" s="139">
        <v>5.6148231330713087E-4</v>
      </c>
      <c r="P28" s="140"/>
      <c r="Q28" s="140"/>
      <c r="R28" s="140"/>
      <c r="S28" s="157">
        <v>35</v>
      </c>
      <c r="T28" s="139">
        <v>1.5079784964153919E-4</v>
      </c>
      <c r="U28" s="139">
        <v>0</v>
      </c>
      <c r="V28" s="139">
        <v>1.2063827971323135E-3</v>
      </c>
      <c r="W28" s="139">
        <v>6.0319139856615674E-4</v>
      </c>
      <c r="X28" s="140"/>
      <c r="Y28" s="15">
        <v>100</v>
      </c>
      <c r="Z28" s="15">
        <v>0</v>
      </c>
      <c r="AA28" s="140">
        <v>0</v>
      </c>
      <c r="AC28" s="15">
        <v>100</v>
      </c>
      <c r="AD28" s="15">
        <v>0</v>
      </c>
      <c r="AE28" s="140">
        <v>1.2063827971323135E-3</v>
      </c>
      <c r="AG28" s="15">
        <v>50</v>
      </c>
      <c r="AH28" s="15">
        <v>0</v>
      </c>
      <c r="AI28" s="140">
        <v>6.0319139856615674E-4</v>
      </c>
      <c r="AN28" s="104"/>
      <c r="AO28" s="104" cm="1">
        <f t="array" ref="AO28:AW28">INT(_xlfn.ANCHORARRAY(AO26)*AO27:AW27)</f>
        <v>0</v>
      </c>
      <c r="AP28" s="104">
        <v>0</v>
      </c>
      <c r="AQ28" s="104">
        <v>1050</v>
      </c>
      <c r="AR28" s="104">
        <v>1400</v>
      </c>
      <c r="AS28" s="104">
        <v>1750</v>
      </c>
      <c r="AT28" s="104">
        <v>2100</v>
      </c>
      <c r="AU28" s="104">
        <v>3675</v>
      </c>
      <c r="AV28" s="104">
        <v>4200</v>
      </c>
      <c r="AW28" s="104">
        <v>4725</v>
      </c>
    </row>
    <row r="29" spans="2:49">
      <c r="B29" s="143">
        <v>50</v>
      </c>
      <c r="C29" s="148">
        <v>2.4343931057987243E-5</v>
      </c>
      <c r="D29" s="144">
        <v>5.8260959999999985E-3</v>
      </c>
      <c r="E29" s="144">
        <v>0</v>
      </c>
      <c r="G29" s="15">
        <v>1200</v>
      </c>
      <c r="H29" s="15">
        <v>0</v>
      </c>
      <c r="I29" s="140">
        <v>5.8260959999999985E-3</v>
      </c>
      <c r="J29" s="140">
        <v>0</v>
      </c>
      <c r="K29" s="140">
        <v>5.8260959999999985E-3</v>
      </c>
      <c r="M29" s="157">
        <v>50</v>
      </c>
      <c r="N29" s="139">
        <v>2.4343931057987243E-5</v>
      </c>
      <c r="O29" s="139">
        <v>8.4222346996069624E-4</v>
      </c>
      <c r="P29" s="140"/>
      <c r="Q29" s="140"/>
      <c r="R29" s="140"/>
      <c r="S29" s="157">
        <v>50</v>
      </c>
      <c r="T29" s="139">
        <v>1.80957419569847E-3</v>
      </c>
      <c r="U29" s="139">
        <v>0</v>
      </c>
      <c r="V29" s="139">
        <v>1.447659356558776E-2</v>
      </c>
      <c r="W29" s="139">
        <v>1.2063827971323134E-2</v>
      </c>
      <c r="X29" s="140"/>
      <c r="Y29" s="15">
        <v>1200</v>
      </c>
      <c r="Z29" s="15">
        <v>0</v>
      </c>
      <c r="AA29" s="140">
        <v>0</v>
      </c>
      <c r="AC29" s="15">
        <v>1200</v>
      </c>
      <c r="AD29" s="15">
        <v>0</v>
      </c>
      <c r="AE29" s="140">
        <v>1.447659356558776E-2</v>
      </c>
      <c r="AG29" s="15">
        <v>1000</v>
      </c>
      <c r="AH29" s="15">
        <v>0</v>
      </c>
      <c r="AI29" s="140">
        <v>1.2063827971323134E-2</v>
      </c>
    </row>
    <row r="30" spans="2:49">
      <c r="B30" s="143">
        <v>80</v>
      </c>
      <c r="C30" s="148">
        <v>4.8687862115974485E-5</v>
      </c>
      <c r="D30" s="144">
        <v>9.7101599999999978E-5</v>
      </c>
      <c r="E30" s="144">
        <v>0</v>
      </c>
      <c r="G30" s="15">
        <v>20</v>
      </c>
      <c r="H30" s="15">
        <v>0</v>
      </c>
      <c r="I30" s="140">
        <v>9.7101599999999978E-5</v>
      </c>
      <c r="J30" s="140">
        <v>0</v>
      </c>
      <c r="K30" s="140">
        <v>9.7101599999999978E-5</v>
      </c>
      <c r="M30" s="157">
        <v>80</v>
      </c>
      <c r="N30" s="139">
        <v>4.8687862115974485E-5</v>
      </c>
      <c r="O30" s="139">
        <v>8.4222346996069624E-4</v>
      </c>
      <c r="P30" s="140"/>
      <c r="Q30" s="140"/>
      <c r="R30" s="140"/>
      <c r="S30" s="157">
        <v>80</v>
      </c>
      <c r="T30" s="139">
        <v>3.0159569928307832E-5</v>
      </c>
      <c r="U30" s="139">
        <v>0</v>
      </c>
      <c r="V30" s="139">
        <v>2.4127655942646266E-4</v>
      </c>
      <c r="W30" s="139">
        <v>1.2063827971323135E-3</v>
      </c>
      <c r="X30" s="140"/>
      <c r="Y30" s="15">
        <v>20</v>
      </c>
      <c r="Z30" s="15">
        <v>0</v>
      </c>
      <c r="AA30" s="140">
        <v>0</v>
      </c>
      <c r="AC30" s="15">
        <v>20</v>
      </c>
      <c r="AD30" s="15">
        <v>0</v>
      </c>
      <c r="AE30" s="140">
        <v>2.4127655942646266E-4</v>
      </c>
      <c r="AG30" s="15">
        <v>100</v>
      </c>
      <c r="AH30" s="15">
        <v>0</v>
      </c>
      <c r="AI30" s="140">
        <v>1.2063827971323135E-3</v>
      </c>
    </row>
    <row r="31" spans="2:49">
      <c r="B31" s="143">
        <v>100</v>
      </c>
      <c r="C31" s="148">
        <v>0</v>
      </c>
      <c r="D31" s="144">
        <v>2.4275399999999997E-3</v>
      </c>
      <c r="E31" s="144">
        <v>0</v>
      </c>
      <c r="G31" s="15">
        <v>500</v>
      </c>
      <c r="H31" s="15">
        <v>0</v>
      </c>
      <c r="I31" s="140">
        <v>2.4275399999999997E-3</v>
      </c>
      <c r="J31" s="140">
        <v>0</v>
      </c>
      <c r="K31" s="140">
        <v>2.4275399999999997E-3</v>
      </c>
      <c r="M31" s="157">
        <v>100</v>
      </c>
      <c r="N31" s="139">
        <v>0</v>
      </c>
      <c r="O31" s="139">
        <v>2.8074115665356543E-4</v>
      </c>
      <c r="P31" s="140"/>
      <c r="Q31" s="140"/>
      <c r="R31" s="140"/>
      <c r="S31" s="157">
        <v>100</v>
      </c>
      <c r="T31" s="139">
        <v>7.5398924820769587E-4</v>
      </c>
      <c r="U31" s="139">
        <v>0</v>
      </c>
      <c r="V31" s="139">
        <v>6.031913985661567E-3</v>
      </c>
      <c r="W31" s="139">
        <v>1.2063827971323134E-2</v>
      </c>
      <c r="X31" s="140"/>
      <c r="Y31" s="15">
        <v>500</v>
      </c>
      <c r="Z31" s="15">
        <v>0</v>
      </c>
      <c r="AA31" s="140">
        <v>0</v>
      </c>
      <c r="AC31" s="15">
        <v>500</v>
      </c>
      <c r="AD31" s="15">
        <v>0</v>
      </c>
      <c r="AE31" s="140">
        <v>6.031913985661567E-3</v>
      </c>
      <c r="AG31" s="15">
        <v>1000</v>
      </c>
      <c r="AH31" s="15">
        <v>0</v>
      </c>
      <c r="AI31" s="140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7" t="s">
        <v>192</v>
      </c>
      <c r="N32" s="154">
        <f>SUMPRODUCT($M$19:$M$31, N19:N31)</f>
        <v>0.81333073664735367</v>
      </c>
      <c r="O32" s="154">
        <f>SUMPRODUCT($M$19:$M$31, O19:O31)</f>
        <v>1.301796743402583</v>
      </c>
      <c r="S32" s="157" t="s">
        <v>192</v>
      </c>
      <c r="T32" s="154"/>
      <c r="U32" s="154">
        <f>SUMPRODUCT($M$20:$M$31, U20:U31)</f>
        <v>0.61</v>
      </c>
      <c r="V32" s="154">
        <f>SUMPRODUCT($M$20:$M$31, V20:V31)</f>
        <v>6.1329251641929341</v>
      </c>
      <c r="W32" s="154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130</v>
      </c>
    </row>
    <row r="68" spans="2:8">
      <c r="B68" s="122" t="s">
        <v>65</v>
      </c>
      <c r="C68" s="122" t="s">
        <v>128</v>
      </c>
      <c r="D68" s="122" t="s">
        <v>127</v>
      </c>
      <c r="E68" s="150"/>
    </row>
    <row r="69" spans="2:8">
      <c r="B69" s="113">
        <v>0</v>
      </c>
      <c r="C69" s="139">
        <v>5.6827150749802685E-2</v>
      </c>
      <c r="D69" s="139">
        <v>0</v>
      </c>
      <c r="E69" s="152"/>
      <c r="H69" s="15">
        <v>0</v>
      </c>
    </row>
    <row r="70" spans="2:8">
      <c r="B70" s="113">
        <v>1</v>
      </c>
      <c r="C70" s="139">
        <v>0.14601420678768745</v>
      </c>
      <c r="D70" s="139">
        <v>0</v>
      </c>
      <c r="E70" s="152"/>
      <c r="H70" s="15" cm="1">
        <f t="array" ref="H70:H78">TRANSPOSE(Parameter!AD8:AL8)</f>
        <v>0</v>
      </c>
    </row>
    <row r="71" spans="2:8">
      <c r="B71" s="113">
        <v>2</v>
      </c>
      <c r="C71" s="139">
        <v>0.23993685872138912</v>
      </c>
      <c r="D71" s="139">
        <v>1.18E-2</v>
      </c>
      <c r="E71" s="152"/>
      <c r="H71" s="15">
        <v>0</v>
      </c>
    </row>
    <row r="72" spans="2:8">
      <c r="B72" s="113">
        <v>3</v>
      </c>
      <c r="C72" s="139">
        <v>0.24072612470402527</v>
      </c>
      <c r="D72" s="139">
        <v>0.23769999999999999</v>
      </c>
      <c r="E72" s="152"/>
      <c r="H72" s="15">
        <v>525</v>
      </c>
    </row>
    <row r="73" spans="2:8">
      <c r="B73" s="113">
        <v>4</v>
      </c>
      <c r="C73" s="139">
        <v>0.17363851617995266</v>
      </c>
      <c r="D73" s="139">
        <v>0.39269999999999999</v>
      </c>
      <c r="E73" s="152"/>
      <c r="H73" s="15">
        <v>700</v>
      </c>
    </row>
    <row r="74" spans="2:8">
      <c r="B74" s="113">
        <v>5</v>
      </c>
      <c r="C74" s="139">
        <v>0.10023677979479084</v>
      </c>
      <c r="D74" s="139">
        <v>0.25750000000000001</v>
      </c>
      <c r="E74" s="152"/>
      <c r="H74" s="15">
        <v>1750</v>
      </c>
    </row>
    <row r="75" spans="2:8">
      <c r="B75" s="113">
        <v>6</v>
      </c>
      <c r="C75" s="139">
        <v>3.1570639305445937E-2</v>
      </c>
      <c r="D75" s="139">
        <v>8.2699999999999996E-2</v>
      </c>
      <c r="E75" s="152"/>
      <c r="H75" s="15">
        <v>2100</v>
      </c>
    </row>
    <row r="76" spans="2:8">
      <c r="B76" s="113">
        <v>7</v>
      </c>
      <c r="C76" s="139">
        <v>1.0260457774269928E-2</v>
      </c>
      <c r="D76" s="139">
        <v>1.5800000000000002E-2</v>
      </c>
      <c r="E76" s="152"/>
      <c r="H76" s="15">
        <v>3675</v>
      </c>
    </row>
    <row r="77" spans="2:8">
      <c r="B77" s="113">
        <v>8</v>
      </c>
      <c r="C77" s="139">
        <v>7.8926598263614838E-4</v>
      </c>
      <c r="D77" s="139">
        <v>1.6999999999999999E-3</v>
      </c>
      <c r="E77" s="152"/>
      <c r="H77" s="15">
        <v>4200</v>
      </c>
    </row>
    <row r="78" spans="2:8">
      <c r="B78" s="113">
        <v>9</v>
      </c>
      <c r="C78" s="139">
        <v>0</v>
      </c>
      <c r="D78" s="139">
        <v>1E-4</v>
      </c>
      <c r="E78" s="152"/>
      <c r="H78" s="15">
        <v>4725</v>
      </c>
    </row>
    <row r="81" spans="2:12">
      <c r="B81" s="15" t="s">
        <v>190</v>
      </c>
      <c r="I81" s="15" t="e">
        <f>1/I82</f>
        <v>#REF!</v>
      </c>
    </row>
    <row r="82" spans="2:12">
      <c r="B82" s="122"/>
      <c r="C82" s="122" t="s">
        <v>128</v>
      </c>
      <c r="D82" s="122" t="s">
        <v>127</v>
      </c>
      <c r="E82" s="150"/>
      <c r="I82" s="140" t="e">
        <f>SUMPRODUCT(#REF!,D69:D78)</f>
        <v>#REF!</v>
      </c>
    </row>
    <row r="83" spans="2:12">
      <c r="B83" s="141">
        <v>0</v>
      </c>
      <c r="C83" s="142">
        <v>0.64345873104997198</v>
      </c>
      <c r="D83" s="142" t="e" cm="1">
        <f t="array" ref="D83:D95">J83:J95</f>
        <v>#REF!</v>
      </c>
      <c r="E83" s="151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40" t="e" cm="1">
        <f t="array" ref="I83:I95">_xlfn.ANCHORARRAY(H83)/SUM(_xlfn.ANCHORARRAY(H83))*I82</f>
        <v>#REF!</v>
      </c>
      <c r="J83" s="140" t="e" cm="1">
        <f t="array" ref="J83">#REF!</f>
        <v>#REF!</v>
      </c>
      <c r="K83" s="140"/>
      <c r="L83" s="145"/>
    </row>
    <row r="84" spans="2:12">
      <c r="B84" s="143">
        <v>2</v>
      </c>
      <c r="C84" s="144">
        <v>0.21617069062324537</v>
      </c>
      <c r="D84" s="144">
        <v>0</v>
      </c>
      <c r="E84" s="151"/>
      <c r="G84" s="15">
        <v>6000</v>
      </c>
      <c r="H84" s="15">
        <v>0</v>
      </c>
      <c r="I84" s="140" t="e">
        <v>#REF!</v>
      </c>
      <c r="J84" s="140"/>
      <c r="K84" s="140"/>
      <c r="L84" s="140"/>
    </row>
    <row r="85" spans="2:12">
      <c r="B85" s="143">
        <v>3</v>
      </c>
      <c r="C85" s="144">
        <v>8.5906793935991016E-2</v>
      </c>
      <c r="D85" s="144">
        <v>0</v>
      </c>
      <c r="E85" s="151"/>
      <c r="G85" s="15">
        <v>2800</v>
      </c>
      <c r="H85" s="15">
        <v>0</v>
      </c>
      <c r="I85" s="140" t="e">
        <v>#REF!</v>
      </c>
      <c r="J85" s="140"/>
      <c r="K85" s="140"/>
      <c r="L85" s="140"/>
    </row>
    <row r="86" spans="2:12">
      <c r="B86" s="143">
        <v>5</v>
      </c>
      <c r="C86" s="144">
        <v>2.1897810218978103E-2</v>
      </c>
      <c r="D86" s="144">
        <v>0</v>
      </c>
      <c r="E86" s="151"/>
      <c r="G86" s="15">
        <v>900</v>
      </c>
      <c r="H86" s="15">
        <v>0</v>
      </c>
      <c r="I86" s="140" t="e">
        <v>#REF!</v>
      </c>
      <c r="J86" s="140"/>
      <c r="K86" s="140"/>
      <c r="L86" s="140"/>
    </row>
    <row r="87" spans="2:12">
      <c r="B87" s="143">
        <v>8</v>
      </c>
      <c r="C87" s="144">
        <v>1.0668163952835485E-2</v>
      </c>
      <c r="D87" s="144">
        <v>0</v>
      </c>
      <c r="E87" s="151"/>
      <c r="G87" s="15">
        <v>300</v>
      </c>
      <c r="H87" s="15">
        <v>0</v>
      </c>
      <c r="I87" s="140" t="e">
        <v>#REF!</v>
      </c>
      <c r="J87" s="140"/>
      <c r="K87" s="140"/>
      <c r="L87" s="140"/>
    </row>
    <row r="88" spans="2:12">
      <c r="B88" s="143">
        <v>10</v>
      </c>
      <c r="C88" s="144">
        <v>1.0106681639528355E-2</v>
      </c>
      <c r="D88" s="144" t="e">
        <v>#REF!</v>
      </c>
      <c r="E88" s="151"/>
      <c r="G88" s="15">
        <v>0</v>
      </c>
      <c r="H88" s="15">
        <v>3600</v>
      </c>
      <c r="I88" s="140" t="e">
        <v>#REF!</v>
      </c>
      <c r="J88" s="140" t="e" cm="1">
        <f t="array" ref="J88:J95">I88:I95</f>
        <v>#REF!</v>
      </c>
      <c r="K88" s="140"/>
      <c r="L88" s="140"/>
    </row>
    <row r="89" spans="2:12">
      <c r="B89" s="143">
        <v>15</v>
      </c>
      <c r="C89" s="144">
        <v>5.8955642897248733E-3</v>
      </c>
      <c r="D89" s="144" t="e">
        <v>#REF!</v>
      </c>
      <c r="E89" s="151"/>
      <c r="G89" s="15">
        <v>0</v>
      </c>
      <c r="H89" s="15">
        <v>2500</v>
      </c>
      <c r="I89" s="140" t="e">
        <v>#REF!</v>
      </c>
      <c r="J89" s="140" t="e">
        <v>#REF!</v>
      </c>
      <c r="K89" s="140"/>
      <c r="L89" s="140"/>
    </row>
    <row r="90" spans="2:12">
      <c r="B90" s="143">
        <v>20</v>
      </c>
      <c r="C90" s="144">
        <v>2.807411566535654E-3</v>
      </c>
      <c r="D90" s="144" t="e">
        <v>#REF!</v>
      </c>
      <c r="E90" s="151"/>
      <c r="G90" s="15">
        <v>0</v>
      </c>
      <c r="H90" s="15">
        <v>1500</v>
      </c>
      <c r="I90" s="140" t="e">
        <v>#REF!</v>
      </c>
      <c r="J90" s="140" t="e">
        <v>#REF!</v>
      </c>
      <c r="K90" s="140"/>
      <c r="L90" s="140"/>
    </row>
    <row r="91" spans="2:12">
      <c r="B91" s="143">
        <v>25</v>
      </c>
      <c r="C91" s="144">
        <v>5.6148231330713087E-4</v>
      </c>
      <c r="D91" s="144" t="e">
        <v>#REF!</v>
      </c>
      <c r="E91" s="151"/>
      <c r="G91" s="15">
        <v>0</v>
      </c>
      <c r="H91" s="15">
        <v>250</v>
      </c>
      <c r="I91" s="140" t="e">
        <v>#REF!</v>
      </c>
      <c r="J91" s="140" t="e">
        <v>#REF!</v>
      </c>
      <c r="K91" s="140"/>
      <c r="L91" s="140"/>
    </row>
    <row r="92" spans="2:12">
      <c r="B92" s="143">
        <v>35</v>
      </c>
      <c r="C92" s="144">
        <v>5.6148231330713087E-4</v>
      </c>
      <c r="D92" s="144" t="e">
        <v>#REF!</v>
      </c>
      <c r="E92" s="151"/>
      <c r="G92" s="15">
        <v>0</v>
      </c>
      <c r="H92" s="15">
        <v>50</v>
      </c>
      <c r="I92" s="140" t="e">
        <v>#REF!</v>
      </c>
      <c r="J92" s="140" t="e">
        <v>#REF!</v>
      </c>
      <c r="K92" s="140"/>
      <c r="L92" s="140"/>
    </row>
    <row r="93" spans="2:12">
      <c r="B93" s="143">
        <v>50</v>
      </c>
      <c r="C93" s="144">
        <v>8.4222346996069624E-4</v>
      </c>
      <c r="D93" s="144" t="e">
        <v>#REF!</v>
      </c>
      <c r="E93" s="151"/>
      <c r="G93" s="15">
        <v>0</v>
      </c>
      <c r="H93" s="15">
        <v>1000</v>
      </c>
      <c r="I93" s="140" t="e">
        <v>#REF!</v>
      </c>
      <c r="J93" s="140" t="e">
        <v>#REF!</v>
      </c>
      <c r="K93" s="140"/>
      <c r="L93" s="140"/>
    </row>
    <row r="94" spans="2:12">
      <c r="B94" s="143">
        <v>80</v>
      </c>
      <c r="C94" s="144">
        <v>8.4222346996069624E-4</v>
      </c>
      <c r="D94" s="144" t="e">
        <v>#REF!</v>
      </c>
      <c r="E94" s="151"/>
      <c r="G94" s="15">
        <v>0</v>
      </c>
      <c r="H94" s="15">
        <v>100</v>
      </c>
      <c r="I94" s="140" t="e">
        <v>#REF!</v>
      </c>
      <c r="J94" s="140" t="e">
        <v>#REF!</v>
      </c>
      <c r="K94" s="140"/>
      <c r="L94" s="140"/>
    </row>
    <row r="95" spans="2:12">
      <c r="B95" s="143">
        <v>100</v>
      </c>
      <c r="C95" s="144">
        <v>2.8074115665356543E-4</v>
      </c>
      <c r="D95" s="144" t="e">
        <v>#REF!</v>
      </c>
      <c r="E95" s="151"/>
      <c r="G95" s="15">
        <v>0</v>
      </c>
      <c r="H95" s="15">
        <v>1000</v>
      </c>
      <c r="I95" s="140" t="e">
        <v>#REF!</v>
      </c>
      <c r="J95" s="140" t="e">
        <v>#REF!</v>
      </c>
      <c r="K95" s="140"/>
      <c r="L95" s="140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2026-07-01T01:51:01Z</dcterms:modified>
</cp:coreProperties>
</file>