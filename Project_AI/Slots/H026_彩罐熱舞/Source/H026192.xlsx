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696CF6AD-0918-4E6A-B8B4-18E907964E0F}" xr6:coauthVersionLast="47" xr6:coauthVersionMax="47" xr10:uidLastSave="{00000000-0000-0000-0000-000000000000}"/>
  <bookViews>
    <workbookView xWindow="-25905" yWindow="2550" windowWidth="21600" windowHeight="11235" tabRatio="856" activeTab="2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O50" i="13"/>
  <c r="AN50" i="13"/>
  <c r="AM50" i="13"/>
  <c r="AL50" i="13"/>
  <c r="AK50" i="13"/>
  <c r="AO26" i="13"/>
  <c r="AN26" i="13"/>
  <c r="AM26" i="13"/>
  <c r="AL26" i="13"/>
  <c r="AK26" i="13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E6" i="74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C20" i="72" l="1"/>
  <c r="G19" i="72"/>
  <c r="F19" i="72"/>
  <c r="E19" i="72"/>
  <c r="D19" i="72"/>
  <c r="C19" i="72"/>
  <c r="G18" i="72"/>
  <c r="G14" i="72"/>
  <c r="F14" i="72"/>
  <c r="E14" i="72"/>
  <c r="D14" i="72"/>
  <c r="C14" i="72"/>
  <c r="G12" i="72"/>
  <c r="F12" i="72"/>
  <c r="D9" i="72"/>
  <c r="E8" i="72"/>
  <c r="D8" i="72"/>
  <c r="C8" i="72"/>
  <c r="G7" i="72"/>
  <c r="F7" i="72"/>
  <c r="E7" i="72"/>
  <c r="J4" i="72" a="1"/>
  <c r="J4" i="72" s="1"/>
  <c r="H4" i="72" a="1"/>
  <c r="H4" i="72" s="1"/>
  <c r="A4" i="72" a="1"/>
  <c r="F21" i="72" s="1"/>
  <c r="D20" i="71"/>
  <c r="C20" i="71"/>
  <c r="G19" i="71"/>
  <c r="F19" i="71"/>
  <c r="E19" i="71"/>
  <c r="D15" i="71"/>
  <c r="C15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D22" i="68" s="1"/>
  <c r="E9" i="69" l="1"/>
  <c r="D15" i="69"/>
  <c r="D20" i="69"/>
  <c r="A4" i="69"/>
  <c r="G9" i="69"/>
  <c r="E15" i="69"/>
  <c r="E20" i="69"/>
  <c r="E11" i="68"/>
  <c r="F6" i="69"/>
  <c r="F11" i="69"/>
  <c r="F16" i="69"/>
  <c r="C22" i="69"/>
  <c r="D20" i="72"/>
  <c r="D11" i="68"/>
  <c r="F5" i="69"/>
  <c r="E11" i="69"/>
  <c r="E16" i="69"/>
  <c r="G21" i="69"/>
  <c r="E20" i="71"/>
  <c r="G9" i="72"/>
  <c r="C15" i="72"/>
  <c r="F11" i="68"/>
  <c r="G6" i="69"/>
  <c r="G11" i="69"/>
  <c r="G16" i="69"/>
  <c r="D22" i="69"/>
  <c r="D15" i="72"/>
  <c r="G11" i="68"/>
  <c r="C7" i="69"/>
  <c r="C12" i="69"/>
  <c r="D17" i="69"/>
  <c r="E22" i="69"/>
  <c r="D10" i="72"/>
  <c r="E15" i="72"/>
  <c r="G20" i="72"/>
  <c r="E14" i="68"/>
  <c r="D7" i="69"/>
  <c r="D12" i="69"/>
  <c r="E17" i="69"/>
  <c r="F22" i="69"/>
  <c r="C8" i="71"/>
  <c r="E10" i="72"/>
  <c r="F15" i="72"/>
  <c r="C21" i="72"/>
  <c r="C5" i="69"/>
  <c r="G10" i="69"/>
  <c r="G15" i="69"/>
  <c r="G20" i="69"/>
  <c r="C11" i="68"/>
  <c r="E5" i="69"/>
  <c r="D11" i="69"/>
  <c r="D16" i="69"/>
  <c r="E21" i="69"/>
  <c r="F20" i="72"/>
  <c r="E7" i="69"/>
  <c r="G17" i="69"/>
  <c r="D8" i="71"/>
  <c r="F10" i="72"/>
  <c r="D21" i="72"/>
  <c r="F7" i="69"/>
  <c r="F12" i="69"/>
  <c r="C18" i="69"/>
  <c r="F23" i="69"/>
  <c r="E8" i="71"/>
  <c r="D5" i="72"/>
  <c r="G10" i="72"/>
  <c r="G21" i="72"/>
  <c r="G7" i="69"/>
  <c r="C13" i="69"/>
  <c r="D18" i="69"/>
  <c r="G23" i="69"/>
  <c r="F8" i="71"/>
  <c r="E5" i="72"/>
  <c r="C11" i="72"/>
  <c r="E16" i="72"/>
  <c r="C22" i="72"/>
  <c r="E22" i="68"/>
  <c r="C8" i="69"/>
  <c r="D13" i="69"/>
  <c r="E18" i="69"/>
  <c r="E13" i="69"/>
  <c r="G10" i="68"/>
  <c r="D5" i="69"/>
  <c r="C11" i="69"/>
  <c r="C16" i="69"/>
  <c r="C21" i="69"/>
  <c r="G8" i="71"/>
  <c r="F5" i="72"/>
  <c r="D11" i="72"/>
  <c r="F16" i="72"/>
  <c r="G22" i="72"/>
  <c r="F22" i="68"/>
  <c r="D8" i="69"/>
  <c r="D19" i="69"/>
  <c r="C9" i="71"/>
  <c r="G16" i="72"/>
  <c r="G22" i="68"/>
  <c r="G13" i="69"/>
  <c r="E19" i="69"/>
  <c r="C13" i="71"/>
  <c r="G11" i="72"/>
  <c r="C17" i="72"/>
  <c r="C23" i="68"/>
  <c r="C14" i="69"/>
  <c r="D13" i="71"/>
  <c r="C12" i="72"/>
  <c r="E23" i="72"/>
  <c r="D23" i="68"/>
  <c r="C9" i="69"/>
  <c r="D14" i="69"/>
  <c r="G19" i="69"/>
  <c r="G8" i="70"/>
  <c r="F14" i="71"/>
  <c r="G6" i="72"/>
  <c r="D12" i="72"/>
  <c r="E18" i="72"/>
  <c r="F23" i="72"/>
  <c r="Q4" i="69" a="1"/>
  <c r="Q4" i="69" s="1"/>
  <c r="C10" i="69"/>
  <c r="F15" i="69"/>
  <c r="F20" i="69"/>
  <c r="C10" i="72"/>
  <c r="F14" i="68"/>
  <c r="E12" i="69"/>
  <c r="E23" i="69"/>
  <c r="C5" i="72"/>
  <c r="G15" i="72"/>
  <c r="F19" i="68"/>
  <c r="D16" i="72"/>
  <c r="G19" i="68"/>
  <c r="G5" i="72"/>
  <c r="E11" i="72"/>
  <c r="C23" i="72"/>
  <c r="E8" i="69"/>
  <c r="E8" i="70"/>
  <c r="C6" i="72"/>
  <c r="D23" i="72"/>
  <c r="G8" i="69"/>
  <c r="F19" i="69"/>
  <c r="F8" i="70"/>
  <c r="F6" i="72"/>
  <c r="D17" i="72"/>
  <c r="E23" i="68"/>
  <c r="D9" i="69"/>
  <c r="C15" i="69"/>
  <c r="C20" i="69"/>
  <c r="C13" i="70"/>
  <c r="G14" i="71"/>
  <c r="C7" i="72"/>
  <c r="E12" i="72"/>
  <c r="F18" i="72"/>
  <c r="G23" i="72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F4" i="72" l="1"/>
  <c r="E4" i="72"/>
  <c r="E24" i="72" s="1"/>
  <c r="C4" i="72"/>
  <c r="C24" i="72" s="1"/>
  <c r="G24" i="70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J54" i="13" l="1" a="1"/>
  <c r="AJ54" i="13" s="1"/>
  <c r="AJ6" i="13" a="1"/>
  <c r="AJ6" i="13" s="1"/>
  <c r="AJ30" i="13" a="1"/>
  <c r="AJ30" i="13" s="1"/>
  <c r="AC30" i="13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<sst xmlns="http://schemas.openxmlformats.org/spreadsheetml/2006/main" count="7489" uniqueCount="218">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</sst>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0.0.1.6</v>
          </cell>
        </row>
      </sheetData>
      <sheetData sheetId="1" refreshError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1000</v>
          </cell>
          <cell r="AG5">
            <v>1500</v>
          </cell>
          <cell r="AH5">
            <v>2500</v>
          </cell>
          <cell r="AI5">
            <v>5000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1000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L7">
            <v>0</v>
          </cell>
          <cell r="N7" t="str">
            <v>BG_Symbol (3)</v>
          </cell>
          <cell r="O7">
            <v>10000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1000</v>
          </cell>
          <cell r="AG8">
            <v>1500</v>
          </cell>
          <cell r="AH8">
            <v>2500</v>
          </cell>
          <cell r="AI8">
            <v>4000</v>
          </cell>
          <cell r="AJ8">
            <v>10000</v>
          </cell>
          <cell r="AK8">
            <v>10000</v>
          </cell>
          <cell r="AL8">
            <v>10000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1000</v>
          </cell>
          <cell r="AG9">
            <v>1500</v>
          </cell>
          <cell r="AH9">
            <v>2500</v>
          </cell>
          <cell r="AI9">
            <v>4000</v>
          </cell>
          <cell r="AJ9">
            <v>10000</v>
          </cell>
          <cell r="AK9">
            <v>10000</v>
          </cell>
          <cell r="AL9">
            <v>10000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1000</v>
          </cell>
          <cell r="AG10">
            <v>1500</v>
          </cell>
          <cell r="AH10">
            <v>2500</v>
          </cell>
          <cell r="AI10">
            <v>4000</v>
          </cell>
          <cell r="AJ10">
            <v>10000</v>
          </cell>
          <cell r="AK10">
            <v>10000</v>
          </cell>
          <cell r="AL10">
            <v>10000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10000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10000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10000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</row>
        <row r="29">
          <cell r="I29">
            <v>5</v>
          </cell>
          <cell r="N29" t="str">
            <v>BG_Symbol (3)</v>
          </cell>
          <cell r="O29">
            <v>10000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</row>
        <row r="33">
          <cell r="I33">
            <v>20</v>
          </cell>
          <cell r="N33" t="str">
            <v>BF_Symbol</v>
          </cell>
          <cell r="O33">
            <v>10000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</row>
        <row r="34">
          <cell r="I34">
            <v>25</v>
          </cell>
        </row>
        <row r="35">
          <cell r="I35">
            <v>35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</row>
        <row r="40">
          <cell r="N40" t="str">
            <v>BG_Symbol (3)</v>
          </cell>
          <cell r="O40">
            <v>7700</v>
          </cell>
          <cell r="P40">
            <v>800</v>
          </cell>
          <cell r="Q40">
            <v>700</v>
          </cell>
          <cell r="R40">
            <v>400</v>
          </cell>
          <cell r="S40">
            <v>400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0.89000000000000012</v>
          </cell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10000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</row>
        <row r="51">
          <cell r="N51" t="str">
            <v>BG_Symbol (3)</v>
          </cell>
          <cell r="O51">
            <v>7900</v>
          </cell>
          <cell r="P51">
            <v>800</v>
          </cell>
          <cell r="Q51">
            <v>700</v>
          </cell>
          <cell r="R51">
            <v>400</v>
          </cell>
          <cell r="S51">
            <v>200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0.73000000000000009</v>
          </cell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</row>
        <row r="55">
          <cell r="N55" t="str">
            <v>BF_Symbol</v>
          </cell>
          <cell r="O55">
            <v>10000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H10" sqref="H10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0.0.1.6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16"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abSelected="1" topLeftCell="Q1" zoomScale="70" zoomScaleNormal="85" workbookViewId="0">
      <selection activeCell="AC18" sqref="AC18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1000</v>
      </c>
      <c r="AG5" s="148">
        <v>1500</v>
      </c>
      <c r="AH5" s="148">
        <v>2500</v>
      </c>
      <c r="AI5" s="148">
        <v>5000</v>
      </c>
      <c r="AJ5" s="148">
        <v>10000</v>
      </c>
      <c r="AK5" s="148">
        <v>10000</v>
      </c>
      <c r="AL5" s="148">
        <v>10000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1000</v>
      </c>
      <c r="AG6" s="148">
        <v>1500</v>
      </c>
      <c r="AH6" s="148">
        <v>2500</v>
      </c>
      <c r="AI6" s="148">
        <v>5000</v>
      </c>
      <c r="AJ6" s="148">
        <v>10000</v>
      </c>
      <c r="AK6" s="148">
        <v>10000</v>
      </c>
      <c r="AL6" s="148">
        <v>10000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10000</v>
      </c>
      <c r="P7" s="175">
        <v>0</v>
      </c>
      <c r="Q7" s="175">
        <v>0</v>
      </c>
      <c r="R7" s="175">
        <v>0</v>
      </c>
      <c r="S7" s="175">
        <v>0</v>
      </c>
      <c r="T7" s="148">
        <v>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1000</v>
      </c>
      <c r="AG8" s="148">
        <v>1500</v>
      </c>
      <c r="AH8" s="148">
        <v>2500</v>
      </c>
      <c r="AI8" s="148">
        <v>4000</v>
      </c>
      <c r="AJ8" s="148">
        <v>10000</v>
      </c>
      <c r="AK8" s="148">
        <v>10000</v>
      </c>
      <c r="AL8" s="148">
        <v>10000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1000</v>
      </c>
      <c r="AG9" s="148">
        <v>1500</v>
      </c>
      <c r="AH9" s="148">
        <v>2500</v>
      </c>
      <c r="AI9" s="148">
        <v>4000</v>
      </c>
      <c r="AJ9" s="148">
        <v>10000</v>
      </c>
      <c r="AK9" s="148">
        <v>10000</v>
      </c>
      <c r="AL9" s="148">
        <v>10000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1000</v>
      </c>
      <c r="AG10" s="148">
        <v>1500</v>
      </c>
      <c r="AH10" s="148">
        <v>2500</v>
      </c>
      <c r="AI10" s="148">
        <v>4000</v>
      </c>
      <c r="AJ10" s="148">
        <v>10000</v>
      </c>
      <c r="AK10" s="148">
        <v>10000</v>
      </c>
      <c r="AL10" s="148">
        <v>10000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10000</v>
      </c>
      <c r="P11" s="175">
        <v>0</v>
      </c>
      <c r="Q11" s="175">
        <v>0</v>
      </c>
      <c r="R11" s="175">
        <v>0</v>
      </c>
      <c r="S11" s="175">
        <v>0</v>
      </c>
      <c r="T11" s="148">
        <v>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10000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10000</v>
      </c>
      <c r="P18" s="147">
        <v>0</v>
      </c>
      <c r="Q18" s="147">
        <v>0</v>
      </c>
      <c r="R18" s="147">
        <v>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10000</v>
      </c>
      <c r="P22" s="147">
        <v>0</v>
      </c>
      <c r="Q22" s="147">
        <v>0</v>
      </c>
      <c r="R22" s="147">
        <v>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10000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10000</v>
      </c>
      <c r="P29" s="147">
        <v>0</v>
      </c>
      <c r="Q29" s="147">
        <v>0</v>
      </c>
      <c r="R29" s="147">
        <v>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10000</v>
      </c>
      <c r="P33" s="147">
        <v>0</v>
      </c>
      <c r="Q33" s="147">
        <v>0</v>
      </c>
      <c r="R33" s="147">
        <v>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 t="str">
        <v/>
      </c>
      <c r="U35" s="17" t="str">
        <v/>
      </c>
      <c r="V35" s="17" t="str">
        <v/>
      </c>
      <c r="W35" s="17" t="str">
        <v/>
      </c>
      <c r="X35" s="17" t="str">
        <v/>
      </c>
      <c r="Y35" s="17" t="str">
        <v/>
      </c>
      <c r="Z35" s="17" t="str">
        <v/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7700</v>
      </c>
      <c r="P40" s="147">
        <v>800</v>
      </c>
      <c r="Q40" s="147">
        <v>700</v>
      </c>
      <c r="R40" s="147">
        <v>400</v>
      </c>
      <c r="S40" s="147">
        <v>400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0.89000000000000012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10000</v>
      </c>
      <c r="P44" s="147">
        <v>0</v>
      </c>
      <c r="Q44" s="147">
        <v>0</v>
      </c>
      <c r="R44" s="147">
        <v>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7900</v>
      </c>
      <c r="P51" s="147">
        <v>800</v>
      </c>
      <c r="Q51" s="147">
        <v>700</v>
      </c>
      <c r="R51" s="147">
        <v>400</v>
      </c>
      <c r="S51" s="177">
        <v>200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0.73000000000000009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10000</v>
      </c>
      <c r="P55" s="147">
        <v>0</v>
      </c>
      <c r="Q55" s="147">
        <v>0</v>
      </c>
      <c r="R55" s="147">
        <v>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E14" sqref="E14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1000</v>
      </c>
      <c r="H7" s="166">
        <v>0.1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1500</v>
      </c>
      <c r="H8" s="166">
        <v>0.15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2500</v>
      </c>
      <c r="H9" s="166">
        <v>0.25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5000</v>
      </c>
      <c r="H10" s="166">
        <v>0.5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10000</v>
      </c>
      <c r="H11" s="166">
        <v>1</v>
      </c>
    </row>
    <row r="12" spans="2:9" x14ac:dyDescent="0.3">
      <c r="B12" s="133">
        <v>8</v>
      </c>
      <c r="C12" s="165">
        <v>0</v>
      </c>
      <c r="D12" s="165">
        <v>0</v>
      </c>
      <c r="G12" s="17">
        <v>10000</v>
      </c>
      <c r="H12" s="166">
        <v>1</v>
      </c>
    </row>
    <row r="13" spans="2:9" x14ac:dyDescent="0.3">
      <c r="B13" s="133">
        <v>9</v>
      </c>
      <c r="C13" s="165">
        <v>0</v>
      </c>
      <c r="D13" s="165">
        <v>0</v>
      </c>
      <c r="G13" s="17">
        <v>10000</v>
      </c>
      <c r="H13" s="166">
        <v>1</v>
      </c>
    </row>
    <row r="16" spans="2:9" x14ac:dyDescent="0.3">
      <c r="B16" s="167" t="s">
        <v>147</v>
      </c>
      <c r="I16" s="17">
        <f>1/I17</f>
        <v>51.374261494991003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1.9465000000000003E-2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0.98053500000000005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0.98053500000000005</v>
      </c>
      <c r="I18" s="166" cm="1">
        <f t="array" ref="I18:I30">_xlfn.ANCHORARRAY(G18)/SUM(_xlfn.ANCHORARRAY(G18))*I17</f>
        <v>0</v>
      </c>
      <c r="J18" s="166" cm="1">
        <f t="array" ref="J18:J22">H18:H22</f>
        <v>0.98053500000000005</v>
      </c>
    </row>
    <row r="19" spans="2:10" x14ac:dyDescent="0.3">
      <c r="B19" s="170">
        <v>2</v>
      </c>
      <c r="C19" s="171">
        <v>3.4690101757631819E-2</v>
      </c>
      <c r="D19" s="171">
        <v>0</v>
      </c>
      <c r="F19" s="17">
        <v>0</v>
      </c>
      <c r="G19" s="17">
        <v>0</v>
      </c>
      <c r="H19" s="166">
        <v>0</v>
      </c>
      <c r="I19" s="166">
        <v>0</v>
      </c>
      <c r="J19" s="166">
        <v>0</v>
      </c>
    </row>
    <row r="20" spans="2:10" x14ac:dyDescent="0.3">
      <c r="B20" s="170">
        <v>3</v>
      </c>
      <c r="C20" s="171">
        <v>2.8506743268903064E-2</v>
      </c>
      <c r="D20" s="171">
        <v>0</v>
      </c>
      <c r="F20" s="17">
        <v>0</v>
      </c>
      <c r="G20" s="17">
        <v>0</v>
      </c>
      <c r="H20" s="166">
        <v>0</v>
      </c>
      <c r="I20" s="166">
        <v>0</v>
      </c>
      <c r="J20" s="166">
        <v>0</v>
      </c>
    </row>
    <row r="21" spans="2:10" x14ac:dyDescent="0.3">
      <c r="B21" s="170">
        <v>5</v>
      </c>
      <c r="C21" s="171">
        <v>1.9109985880519986E-2</v>
      </c>
      <c r="D21" s="171">
        <v>0</v>
      </c>
      <c r="F21" s="17">
        <v>0</v>
      </c>
      <c r="G21" s="17">
        <v>0</v>
      </c>
      <c r="H21" s="166">
        <v>0</v>
      </c>
      <c r="I21" s="166">
        <v>0</v>
      </c>
      <c r="J21" s="166">
        <v>0</v>
      </c>
    </row>
    <row r="22" spans="2:10" x14ac:dyDescent="0.3">
      <c r="B22" s="170">
        <v>8</v>
      </c>
      <c r="C22" s="171">
        <v>1.8111884707142509E-2</v>
      </c>
      <c r="D22" s="171">
        <v>0</v>
      </c>
      <c r="F22" s="17">
        <v>0</v>
      </c>
      <c r="G22" s="17">
        <v>0</v>
      </c>
      <c r="H22" s="166">
        <v>0</v>
      </c>
      <c r="I22" s="166">
        <v>0</v>
      </c>
      <c r="J22" s="166">
        <v>0</v>
      </c>
    </row>
    <row r="23" spans="2:10" x14ac:dyDescent="0.3">
      <c r="B23" s="170">
        <v>10</v>
      </c>
      <c r="C23" s="171">
        <v>1.4849797945372219E-2</v>
      </c>
      <c r="D23" s="171">
        <v>6.6181000000000018E-3</v>
      </c>
      <c r="F23" s="17">
        <v>0</v>
      </c>
      <c r="G23" s="17">
        <v>3400</v>
      </c>
      <c r="H23" s="166">
        <v>0</v>
      </c>
      <c r="I23" s="166">
        <v>6.6181000000000018E-3</v>
      </c>
      <c r="J23" s="166" cm="1">
        <f t="array" ref="J23:J30">I23:I30</f>
        <v>6.6181000000000018E-3</v>
      </c>
    </row>
    <row r="24" spans="2:10" x14ac:dyDescent="0.3">
      <c r="B24" s="170">
        <v>15</v>
      </c>
      <c r="C24" s="171">
        <v>8.7881591119333951E-3</v>
      </c>
      <c r="D24" s="171">
        <v>2.3358000000000003E-3</v>
      </c>
      <c r="F24" s="17">
        <v>0</v>
      </c>
      <c r="G24" s="17">
        <v>1200</v>
      </c>
      <c r="H24" s="166">
        <v>0</v>
      </c>
      <c r="I24" s="166">
        <v>2.3358000000000003E-3</v>
      </c>
      <c r="J24" s="166">
        <v>2.3358000000000003E-3</v>
      </c>
    </row>
    <row r="25" spans="2:10" x14ac:dyDescent="0.3">
      <c r="B25" s="170">
        <v>20</v>
      </c>
      <c r="C25" s="171">
        <v>4.5523151078436146E-3</v>
      </c>
      <c r="D25" s="171">
        <v>4.6716000000000006E-3</v>
      </c>
      <c r="F25" s="17">
        <v>0</v>
      </c>
      <c r="G25" s="17">
        <v>2400</v>
      </c>
      <c r="H25" s="166">
        <v>0</v>
      </c>
      <c r="I25" s="166">
        <v>4.6716000000000006E-3</v>
      </c>
      <c r="J25" s="166">
        <v>4.6716000000000006E-3</v>
      </c>
    </row>
    <row r="26" spans="2:10" x14ac:dyDescent="0.3">
      <c r="B26" s="170">
        <v>25</v>
      </c>
      <c r="C26" s="171">
        <v>1.3876040703052729E-3</v>
      </c>
      <c r="D26" s="171">
        <v>9.7325000000000016E-4</v>
      </c>
      <c r="F26" s="17">
        <v>0</v>
      </c>
      <c r="G26" s="17">
        <v>500</v>
      </c>
      <c r="H26" s="166">
        <v>0</v>
      </c>
      <c r="I26" s="166">
        <v>9.7325000000000016E-4</v>
      </c>
      <c r="J26" s="166">
        <v>9.7325000000000016E-4</v>
      </c>
    </row>
    <row r="27" spans="2:10" x14ac:dyDescent="0.3">
      <c r="B27" s="170">
        <v>35</v>
      </c>
      <c r="C27" s="171">
        <v>1.9475144846389794E-4</v>
      </c>
      <c r="D27" s="171">
        <v>3.8930000000000008E-4</v>
      </c>
      <c r="F27" s="17">
        <v>0</v>
      </c>
      <c r="G27" s="17">
        <v>200</v>
      </c>
      <c r="H27" s="166">
        <v>0</v>
      </c>
      <c r="I27" s="166">
        <v>3.8930000000000008E-4</v>
      </c>
      <c r="J27" s="166">
        <v>3.8930000000000008E-4</v>
      </c>
    </row>
    <row r="28" spans="2:10" x14ac:dyDescent="0.3">
      <c r="B28" s="170">
        <v>50</v>
      </c>
      <c r="C28" s="171">
        <v>2.4343931057987243E-5</v>
      </c>
      <c r="D28" s="171">
        <v>3.8930000000000008E-4</v>
      </c>
      <c r="F28" s="17">
        <v>0</v>
      </c>
      <c r="G28" s="17">
        <v>200</v>
      </c>
      <c r="H28" s="166">
        <v>0</v>
      </c>
      <c r="I28" s="166">
        <v>3.8930000000000008E-4</v>
      </c>
      <c r="J28" s="166">
        <v>3.8930000000000008E-4</v>
      </c>
    </row>
    <row r="29" spans="2:10" x14ac:dyDescent="0.3">
      <c r="B29" s="170">
        <v>80</v>
      </c>
      <c r="C29" s="171">
        <v>4.8687862115974485E-5</v>
      </c>
      <c r="D29" s="171">
        <v>2.3358000000000003E-3</v>
      </c>
      <c r="F29" s="17">
        <v>0</v>
      </c>
      <c r="G29" s="17">
        <v>1200</v>
      </c>
      <c r="H29" s="166">
        <v>0</v>
      </c>
      <c r="I29" s="166">
        <v>2.3358000000000003E-3</v>
      </c>
      <c r="J29" s="166">
        <v>2.3358000000000003E-3</v>
      </c>
    </row>
    <row r="30" spans="2:10" x14ac:dyDescent="0.3">
      <c r="B30" s="170">
        <v>100</v>
      </c>
      <c r="C30" s="171">
        <v>0</v>
      </c>
      <c r="D30" s="171">
        <v>1.7518500000000003E-3</v>
      </c>
      <c r="F30" s="17">
        <v>0</v>
      </c>
      <c r="G30" s="17">
        <v>900</v>
      </c>
      <c r="H30" s="166">
        <v>0</v>
      </c>
      <c r="I30" s="166">
        <v>1.7518500000000003E-3</v>
      </c>
      <c r="J30" s="166">
        <v>1.7518500000000003E-3</v>
      </c>
    </row>
    <row r="31" spans="2:10" x14ac:dyDescent="0.3">
      <c r="C31" s="17">
        <f>SUMPRODUCT(C18:C30,B18:B30)</f>
        <v>0.81333073664735367</v>
      </c>
      <c r="D31" s="17">
        <f>SUMPRODUCT(D18:D30,B18:B30)</f>
        <v>0.6141207500000001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1000</v>
      </c>
      <c r="H39" s="166">
        <v>0.1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1500</v>
      </c>
      <c r="H40" s="166">
        <v>0.15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2500</v>
      </c>
      <c r="H41" s="166">
        <v>0.25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5000</v>
      </c>
      <c r="H42" s="166">
        <v>0.5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10000</v>
      </c>
      <c r="H43" s="166">
        <v>1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10000</v>
      </c>
      <c r="H44" s="166">
        <v>1</v>
      </c>
    </row>
    <row r="45" spans="2:9" x14ac:dyDescent="0.3">
      <c r="B45" s="133">
        <v>9</v>
      </c>
      <c r="C45" s="165">
        <v>0</v>
      </c>
      <c r="D45" s="165">
        <v>1E-4</v>
      </c>
      <c r="G45" s="17">
        <v>10000</v>
      </c>
      <c r="H45" s="166">
        <v>1</v>
      </c>
    </row>
    <row r="48" spans="2:9" x14ac:dyDescent="0.3">
      <c r="B48" s="167" t="s">
        <v>147</v>
      </c>
      <c r="I48" s="17">
        <f>1/I49</f>
        <v>4.3049636230573851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0.23229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0.2456672</v>
      </c>
      <c r="F51" s="17">
        <v>3200</v>
      </c>
      <c r="G51" s="17">
        <v>0</v>
      </c>
      <c r="H51" s="166">
        <v>0.2456672</v>
      </c>
      <c r="I51" s="166">
        <v>0</v>
      </c>
      <c r="J51" s="166">
        <v>0.2456672</v>
      </c>
    </row>
    <row r="52" spans="2:10" x14ac:dyDescent="0.3">
      <c r="B52" s="170">
        <v>3</v>
      </c>
      <c r="C52" s="171">
        <v>2.8506743268903064E-2</v>
      </c>
      <c r="D52" s="171">
        <v>0.19960460000000002</v>
      </c>
      <c r="F52" s="17">
        <v>2600</v>
      </c>
      <c r="G52" s="17">
        <v>0</v>
      </c>
      <c r="H52" s="166">
        <v>0.19960460000000002</v>
      </c>
      <c r="I52" s="166">
        <v>0</v>
      </c>
      <c r="J52" s="166">
        <v>0.19960460000000002</v>
      </c>
    </row>
    <row r="53" spans="2:10" x14ac:dyDescent="0.3">
      <c r="B53" s="170">
        <v>5</v>
      </c>
      <c r="C53" s="171">
        <v>1.9109985880519986E-2</v>
      </c>
      <c r="D53" s="171">
        <v>0.1612191</v>
      </c>
      <c r="F53" s="17">
        <v>2100</v>
      </c>
      <c r="G53" s="17">
        <v>0</v>
      </c>
      <c r="H53" s="166">
        <v>0.1612191</v>
      </c>
      <c r="I53" s="166">
        <v>0</v>
      </c>
      <c r="J53" s="166">
        <v>0.1612191</v>
      </c>
    </row>
    <row r="54" spans="2:10" x14ac:dyDescent="0.3">
      <c r="B54" s="170">
        <v>8</v>
      </c>
      <c r="C54" s="171">
        <v>1.8111884707142509E-2</v>
      </c>
      <c r="D54" s="171">
        <v>0.1612191</v>
      </c>
      <c r="F54" s="17">
        <v>2100</v>
      </c>
      <c r="G54" s="17">
        <v>0</v>
      </c>
      <c r="H54" s="166">
        <v>0.1612191</v>
      </c>
      <c r="I54" s="166">
        <v>0</v>
      </c>
      <c r="J54" s="166">
        <v>0.1612191</v>
      </c>
    </row>
    <row r="55" spans="2:10" x14ac:dyDescent="0.3">
      <c r="B55" s="170">
        <v>10</v>
      </c>
      <c r="C55" s="171">
        <v>1.4849797945372219E-2</v>
      </c>
      <c r="D55" s="171">
        <v>0.10336905</v>
      </c>
      <c r="F55" s="17">
        <v>0</v>
      </c>
      <c r="G55" s="17">
        <v>4450</v>
      </c>
      <c r="H55" s="166">
        <v>0</v>
      </c>
      <c r="I55" s="166">
        <v>0.10336905</v>
      </c>
      <c r="J55" s="166" cm="1">
        <f t="array" ref="J55:J62">I55:I62</f>
        <v>0.10336905</v>
      </c>
    </row>
    <row r="56" spans="2:10" x14ac:dyDescent="0.3">
      <c r="B56" s="170">
        <v>15</v>
      </c>
      <c r="C56" s="171">
        <v>8.7881591119333951E-3</v>
      </c>
      <c r="D56" s="171">
        <v>1.3937399999999999E-2</v>
      </c>
      <c r="F56" s="17">
        <v>0</v>
      </c>
      <c r="G56" s="17">
        <v>600</v>
      </c>
      <c r="H56" s="166">
        <v>0</v>
      </c>
      <c r="I56" s="166">
        <v>1.3937399999999999E-2</v>
      </c>
      <c r="J56" s="166">
        <v>1.3937399999999999E-2</v>
      </c>
    </row>
    <row r="57" spans="2:10" x14ac:dyDescent="0.3">
      <c r="B57" s="170">
        <v>20</v>
      </c>
      <c r="C57" s="171">
        <v>4.5523151078436146E-3</v>
      </c>
      <c r="D57" s="171">
        <v>5.5749599999999996E-2</v>
      </c>
      <c r="F57" s="17">
        <v>0</v>
      </c>
      <c r="G57" s="17">
        <v>2400</v>
      </c>
      <c r="H57" s="166">
        <v>0</v>
      </c>
      <c r="I57" s="166">
        <v>5.5749599999999996E-2</v>
      </c>
      <c r="J57" s="166">
        <v>5.5749599999999996E-2</v>
      </c>
    </row>
    <row r="58" spans="2:10" x14ac:dyDescent="0.3">
      <c r="B58" s="170">
        <v>25</v>
      </c>
      <c r="C58" s="171">
        <v>1.3876040703052729E-3</v>
      </c>
      <c r="D58" s="171">
        <v>5.8072499999999999E-3</v>
      </c>
      <c r="F58" s="17">
        <v>0</v>
      </c>
      <c r="G58" s="17">
        <v>250</v>
      </c>
      <c r="H58" s="166">
        <v>0</v>
      </c>
      <c r="I58" s="166">
        <v>5.8072499999999999E-3</v>
      </c>
      <c r="J58" s="166">
        <v>5.8072499999999999E-3</v>
      </c>
    </row>
    <row r="59" spans="2:10" x14ac:dyDescent="0.3">
      <c r="B59" s="170">
        <v>35</v>
      </c>
      <c r="C59" s="171">
        <v>1.9475144846389794E-4</v>
      </c>
      <c r="D59" s="171">
        <v>2.3229000000000001E-3</v>
      </c>
      <c r="F59" s="17">
        <v>0</v>
      </c>
      <c r="G59" s="17">
        <v>100</v>
      </c>
      <c r="H59" s="166">
        <v>0</v>
      </c>
      <c r="I59" s="166">
        <v>2.3229000000000001E-3</v>
      </c>
      <c r="J59" s="166">
        <v>2.3229000000000001E-3</v>
      </c>
    </row>
    <row r="60" spans="2:10" x14ac:dyDescent="0.3">
      <c r="B60" s="170">
        <v>50</v>
      </c>
      <c r="C60" s="171">
        <v>2.4343931057987243E-5</v>
      </c>
      <c r="D60" s="171">
        <v>2.3229000000000001E-3</v>
      </c>
      <c r="F60" s="17">
        <v>0</v>
      </c>
      <c r="G60" s="17">
        <v>100</v>
      </c>
      <c r="H60" s="166">
        <v>0</v>
      </c>
      <c r="I60" s="166">
        <v>2.3229000000000001E-3</v>
      </c>
      <c r="J60" s="166">
        <v>2.3229000000000001E-3</v>
      </c>
    </row>
    <row r="61" spans="2:10" x14ac:dyDescent="0.3">
      <c r="B61" s="170">
        <v>80</v>
      </c>
      <c r="C61" s="171">
        <v>4.8687862115974485E-5</v>
      </c>
      <c r="D61" s="171">
        <v>2.7874799999999998E-2</v>
      </c>
      <c r="F61" s="17">
        <v>0</v>
      </c>
      <c r="G61" s="17">
        <v>1200</v>
      </c>
      <c r="H61" s="166">
        <v>0</v>
      </c>
      <c r="I61" s="166">
        <v>2.7874799999999998E-2</v>
      </c>
      <c r="J61" s="166">
        <v>2.7874799999999998E-2</v>
      </c>
    </row>
    <row r="62" spans="2:10" x14ac:dyDescent="0.3">
      <c r="B62" s="170">
        <v>100</v>
      </c>
      <c r="C62" s="171">
        <v>0</v>
      </c>
      <c r="D62" s="171">
        <v>2.09061E-2</v>
      </c>
      <c r="F62" s="17">
        <v>0</v>
      </c>
      <c r="G62" s="17">
        <v>900</v>
      </c>
      <c r="H62" s="166">
        <v>0</v>
      </c>
      <c r="I62" s="166">
        <v>2.09061E-2</v>
      </c>
      <c r="J62" s="166">
        <v>2.09061E-2</v>
      </c>
    </row>
    <row r="63" spans="2:10" x14ac:dyDescent="0.3">
      <c r="C63" s="17">
        <f>SUMPRODUCT(C50:C62,B50:B62)</f>
        <v>0.81333073664735367</v>
      </c>
      <c r="D63" s="17">
        <f>SUMPRODUCT(D50:D62,B50:B62)</f>
        <v>10.206961750000001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1000</v>
      </c>
      <c r="H71" s="166">
        <v>0.1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1500</v>
      </c>
      <c r="H72" s="166">
        <v>0.15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2500</v>
      </c>
      <c r="H73" s="166">
        <v>0.25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4000</v>
      </c>
      <c r="H74" s="166">
        <v>0.4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10000</v>
      </c>
      <c r="H75" s="166">
        <v>1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10000</v>
      </c>
      <c r="H76" s="166">
        <v>1</v>
      </c>
    </row>
    <row r="77" spans="2:9" x14ac:dyDescent="0.3">
      <c r="B77" s="133">
        <v>9</v>
      </c>
      <c r="C77" s="165">
        <v>0</v>
      </c>
      <c r="D77" s="165">
        <v>1E-4</v>
      </c>
      <c r="G77" s="17">
        <v>10000</v>
      </c>
      <c r="H77" s="166">
        <v>1</v>
      </c>
    </row>
    <row r="80" spans="2:9" x14ac:dyDescent="0.3">
      <c r="B80" s="167" t="s">
        <v>147</v>
      </c>
      <c r="I80" s="17">
        <f>1/I81</f>
        <v>5.0574015071056486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0.19773000000000002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0.51666188000000002</v>
      </c>
      <c r="F83" s="17">
        <v>6440</v>
      </c>
      <c r="G83" s="17">
        <v>0</v>
      </c>
      <c r="H83" s="166">
        <v>0.51666188000000002</v>
      </c>
      <c r="I83" s="166">
        <v>0</v>
      </c>
      <c r="J83" s="166">
        <v>0.51666188000000002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0.2085902</v>
      </c>
      <c r="F84" s="17">
        <v>2600</v>
      </c>
      <c r="G84" s="17">
        <v>0</v>
      </c>
      <c r="H84" s="166">
        <v>0.2085902</v>
      </c>
      <c r="I84" s="166">
        <v>0</v>
      </c>
      <c r="J84" s="166">
        <v>0.2085902</v>
      </c>
      <c r="K84" s="166"/>
    </row>
    <row r="85" spans="2:11" x14ac:dyDescent="0.3">
      <c r="B85" s="170">
        <v>5</v>
      </c>
      <c r="C85" s="171">
        <v>2.1897810218978103E-2</v>
      </c>
      <c r="D85" s="171">
        <v>5.2949820000000002E-2</v>
      </c>
      <c r="F85" s="17">
        <v>660</v>
      </c>
      <c r="G85" s="17">
        <v>0</v>
      </c>
      <c r="H85" s="166">
        <v>5.2949820000000002E-2</v>
      </c>
      <c r="I85" s="166">
        <v>0</v>
      </c>
      <c r="J85" s="166">
        <v>5.2949820000000002E-2</v>
      </c>
      <c r="K85" s="166"/>
    </row>
    <row r="86" spans="2:11" x14ac:dyDescent="0.3">
      <c r="B86" s="170">
        <v>8</v>
      </c>
      <c r="C86" s="171">
        <v>1.0668163952835485E-2</v>
      </c>
      <c r="D86" s="171">
        <v>2.4068100000000002E-2</v>
      </c>
      <c r="F86" s="17">
        <v>300</v>
      </c>
      <c r="G86" s="17">
        <v>0</v>
      </c>
      <c r="H86" s="166">
        <v>2.4068100000000002E-2</v>
      </c>
      <c r="I86" s="166">
        <v>0</v>
      </c>
      <c r="J86" s="166">
        <v>2.4068100000000002E-2</v>
      </c>
      <c r="K86" s="166"/>
    </row>
    <row r="87" spans="2:11" x14ac:dyDescent="0.3">
      <c r="B87" s="170">
        <v>10</v>
      </c>
      <c r="C87" s="171">
        <v>1.0106681639528355E-2</v>
      </c>
      <c r="D87" s="171">
        <v>7.7114700000000008E-2</v>
      </c>
      <c r="F87" s="17">
        <v>0</v>
      </c>
      <c r="G87" s="17">
        <v>3900</v>
      </c>
      <c r="H87" s="166">
        <v>0</v>
      </c>
      <c r="I87" s="166">
        <v>7.7114700000000008E-2</v>
      </c>
      <c r="J87" s="166" cm="1">
        <f t="array" ref="J87:J94">I87:I94</f>
        <v>7.7114700000000008E-2</v>
      </c>
      <c r="K87" s="166"/>
    </row>
    <row r="88" spans="2:11" x14ac:dyDescent="0.3">
      <c r="B88" s="170">
        <v>15</v>
      </c>
      <c r="C88" s="171">
        <v>5.8955642897248733E-3</v>
      </c>
      <c r="D88" s="171">
        <v>2.9659500000000002E-2</v>
      </c>
      <c r="F88" s="17">
        <v>0</v>
      </c>
      <c r="G88" s="17">
        <v>1500</v>
      </c>
      <c r="H88" s="166">
        <v>0</v>
      </c>
      <c r="I88" s="166">
        <v>2.9659500000000002E-2</v>
      </c>
      <c r="J88" s="166">
        <v>2.9659500000000002E-2</v>
      </c>
      <c r="K88" s="166"/>
    </row>
    <row r="89" spans="2:11" x14ac:dyDescent="0.3">
      <c r="B89" s="170">
        <v>20</v>
      </c>
      <c r="C89" s="171">
        <v>2.807411566535654E-3</v>
      </c>
      <c r="D89" s="171">
        <v>4.9432500000000004E-2</v>
      </c>
      <c r="F89" s="17">
        <v>0</v>
      </c>
      <c r="G89" s="17">
        <v>2500</v>
      </c>
      <c r="H89" s="166">
        <v>0</v>
      </c>
      <c r="I89" s="166">
        <v>4.9432500000000004E-2</v>
      </c>
      <c r="J89" s="166">
        <v>4.9432500000000004E-2</v>
      </c>
      <c r="K89" s="166"/>
    </row>
    <row r="90" spans="2:11" x14ac:dyDescent="0.3">
      <c r="B90" s="170">
        <v>25</v>
      </c>
      <c r="C90" s="171">
        <v>5.6148231330713087E-4</v>
      </c>
      <c r="D90" s="171">
        <v>1.9773000000000004E-3</v>
      </c>
      <c r="F90" s="17">
        <v>0</v>
      </c>
      <c r="G90" s="17">
        <v>100</v>
      </c>
      <c r="H90" s="166">
        <v>0</v>
      </c>
      <c r="I90" s="166">
        <v>1.9773000000000004E-3</v>
      </c>
      <c r="J90" s="166">
        <v>1.9773000000000004E-3</v>
      </c>
      <c r="K90" s="166"/>
    </row>
    <row r="91" spans="2:11" x14ac:dyDescent="0.3">
      <c r="B91" s="170">
        <v>35</v>
      </c>
      <c r="C91" s="171">
        <v>5.6148231330713087E-4</v>
      </c>
      <c r="D91" s="171">
        <v>1.9773000000000004E-3</v>
      </c>
      <c r="F91" s="17">
        <v>0</v>
      </c>
      <c r="G91" s="17">
        <v>100</v>
      </c>
      <c r="H91" s="166">
        <v>0</v>
      </c>
      <c r="I91" s="166">
        <v>1.9773000000000004E-3</v>
      </c>
      <c r="J91" s="166">
        <v>1.9773000000000004E-3</v>
      </c>
      <c r="K91" s="166"/>
    </row>
    <row r="92" spans="2:11" x14ac:dyDescent="0.3">
      <c r="B92" s="170">
        <v>50</v>
      </c>
      <c r="C92" s="171">
        <v>8.4222346996069624E-4</v>
      </c>
      <c r="D92" s="171">
        <v>1.9773000000000004E-3</v>
      </c>
      <c r="F92" s="17">
        <v>0</v>
      </c>
      <c r="G92" s="17">
        <v>100</v>
      </c>
      <c r="H92" s="166">
        <v>0</v>
      </c>
      <c r="I92" s="166">
        <v>1.9773000000000004E-3</v>
      </c>
      <c r="J92" s="166">
        <v>1.9773000000000004E-3</v>
      </c>
      <c r="K92" s="166"/>
    </row>
    <row r="93" spans="2:11" x14ac:dyDescent="0.3">
      <c r="B93" s="170">
        <v>80</v>
      </c>
      <c r="C93" s="171">
        <v>8.4222346996069624E-4</v>
      </c>
      <c r="D93" s="171">
        <v>1.9773000000000002E-2</v>
      </c>
      <c r="F93" s="17">
        <v>0</v>
      </c>
      <c r="G93" s="17">
        <v>1000</v>
      </c>
      <c r="H93" s="166">
        <v>0</v>
      </c>
      <c r="I93" s="166">
        <v>1.9773000000000002E-2</v>
      </c>
      <c r="J93" s="166">
        <v>1.9773000000000002E-2</v>
      </c>
      <c r="K93" s="166"/>
    </row>
    <row r="94" spans="2:11" x14ac:dyDescent="0.3">
      <c r="B94" s="170">
        <v>100</v>
      </c>
      <c r="C94" s="171">
        <v>2.8074115665356543E-4</v>
      </c>
      <c r="D94" s="171">
        <v>1.5818400000000003E-2</v>
      </c>
      <c r="F94" s="17">
        <v>0</v>
      </c>
      <c r="G94" s="17">
        <v>800</v>
      </c>
      <c r="H94" s="166">
        <v>0</v>
      </c>
      <c r="I94" s="166">
        <v>1.5818400000000003E-2</v>
      </c>
      <c r="J94" s="166">
        <v>1.5818400000000003E-2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7.7022607600000006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A13" workbookViewId="0">
      <selection activeCell="K4" sqref="K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2026-05-27T10:59:38Z</dcterms:modified>
</cp:coreProperties>
</file>